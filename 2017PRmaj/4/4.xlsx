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7PRmaj\4\"/>
    </mc:Choice>
  </mc:AlternateContent>
  <xr:revisionPtr revIDLastSave="0" documentId="13_ncr:1_{B6470FB8-58C3-438F-90AB-722A7739953F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4.1" sheetId="7" r:id="rId1"/>
    <sheet name="4.2" sheetId="8" r:id="rId2"/>
    <sheet name="4.3" sheetId="9" r:id="rId3"/>
    <sheet name="4.4" sheetId="10" r:id="rId4"/>
    <sheet name="4.5" sheetId="11" r:id="rId5"/>
    <sheet name="dane" sheetId="2" r:id="rId6"/>
  </sheets>
  <definedNames>
    <definedName name="ExternalData_1" localSheetId="0" hidden="1">'4.1'!$A$1:$C$2163</definedName>
    <definedName name="ExternalData_1" localSheetId="1" hidden="1">'4.2'!$A$1:$C$2163</definedName>
    <definedName name="ExternalData_1" localSheetId="2" hidden="1">'4.3'!$A$1:$C$2163</definedName>
    <definedName name="ExternalData_1" localSheetId="3" hidden="1">'4.4'!$A$1:$C$2163</definedName>
    <definedName name="ExternalData_1" localSheetId="4" hidden="1">'4.5'!$A$1:$C$2163</definedName>
    <definedName name="ExternalData_1" localSheetId="5" hidden="1">dane!$A$1:$C$2163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1" l="1"/>
  <c r="G4" i="11"/>
  <c r="G3" i="11"/>
  <c r="H2" i="11"/>
  <c r="D3" i="11"/>
  <c r="D2" i="11"/>
  <c r="D4" i="11"/>
  <c r="E3" i="11" s="1"/>
  <c r="D5" i="11"/>
  <c r="D6" i="11"/>
  <c r="E5" i="11" s="1"/>
  <c r="D7" i="11"/>
  <c r="D8" i="11"/>
  <c r="E7" i="11" s="1"/>
  <c r="D9" i="11"/>
  <c r="E8" i="11" s="1"/>
  <c r="D10" i="11"/>
  <c r="E9" i="11" s="1"/>
  <c r="D11" i="11"/>
  <c r="D12" i="11"/>
  <c r="D13" i="11"/>
  <c r="E12" i="11" s="1"/>
  <c r="D14" i="11"/>
  <c r="D15" i="11"/>
  <c r="E14" i="11" s="1"/>
  <c r="D16" i="11"/>
  <c r="E15" i="11" s="1"/>
  <c r="D17" i="11"/>
  <c r="D18" i="11"/>
  <c r="E17" i="11" s="1"/>
  <c r="D19" i="11"/>
  <c r="D20" i="11"/>
  <c r="E19" i="11" s="1"/>
  <c r="D21" i="11"/>
  <c r="E20" i="11" s="1"/>
  <c r="D22" i="11"/>
  <c r="E21" i="11" s="1"/>
  <c r="D23" i="11"/>
  <c r="D24" i="11"/>
  <c r="D25" i="11"/>
  <c r="E24" i="11" s="1"/>
  <c r="D26" i="11"/>
  <c r="D27" i="11"/>
  <c r="E26" i="11" s="1"/>
  <c r="D28" i="11"/>
  <c r="E27" i="11" s="1"/>
  <c r="D29" i="11"/>
  <c r="D30" i="11"/>
  <c r="E29" i="11" s="1"/>
  <c r="D31" i="11"/>
  <c r="D32" i="11"/>
  <c r="E31" i="11" s="1"/>
  <c r="D33" i="11"/>
  <c r="E32" i="11" s="1"/>
  <c r="D34" i="11"/>
  <c r="E33" i="11" s="1"/>
  <c r="D35" i="11"/>
  <c r="D36" i="11"/>
  <c r="D37" i="11"/>
  <c r="E36" i="11" s="1"/>
  <c r="D38" i="11"/>
  <c r="D39" i="11"/>
  <c r="E38" i="11" s="1"/>
  <c r="D40" i="11"/>
  <c r="E39" i="11" s="1"/>
  <c r="D41" i="11"/>
  <c r="D42" i="11"/>
  <c r="E41" i="11" s="1"/>
  <c r="D43" i="11"/>
  <c r="D44" i="11"/>
  <c r="E43" i="11" s="1"/>
  <c r="D45" i="11"/>
  <c r="E44" i="11" s="1"/>
  <c r="D46" i="11"/>
  <c r="E45" i="11" s="1"/>
  <c r="D47" i="11"/>
  <c r="E46" i="11" s="1"/>
  <c r="D48" i="11"/>
  <c r="D49" i="11"/>
  <c r="E48" i="11" s="1"/>
  <c r="D50" i="11"/>
  <c r="D51" i="11"/>
  <c r="E50" i="11" s="1"/>
  <c r="D52" i="11"/>
  <c r="E51" i="11" s="1"/>
  <c r="D53" i="11"/>
  <c r="D54" i="11"/>
  <c r="E53" i="11" s="1"/>
  <c r="D55" i="11"/>
  <c r="D56" i="11"/>
  <c r="E55" i="11" s="1"/>
  <c r="D57" i="11"/>
  <c r="E56" i="11" s="1"/>
  <c r="D58" i="11"/>
  <c r="E57" i="11" s="1"/>
  <c r="D59" i="11"/>
  <c r="E58" i="11" s="1"/>
  <c r="D60" i="11"/>
  <c r="D61" i="11"/>
  <c r="E60" i="11" s="1"/>
  <c r="D62" i="11"/>
  <c r="D63" i="11"/>
  <c r="E62" i="11" s="1"/>
  <c r="D64" i="11"/>
  <c r="E63" i="11" s="1"/>
  <c r="D65" i="11"/>
  <c r="D66" i="11"/>
  <c r="E65" i="11" s="1"/>
  <c r="D67" i="11"/>
  <c r="D68" i="11"/>
  <c r="E67" i="11" s="1"/>
  <c r="D69" i="11"/>
  <c r="E68" i="11" s="1"/>
  <c r="D70" i="11"/>
  <c r="E69" i="11" s="1"/>
  <c r="D71" i="11"/>
  <c r="E70" i="11" s="1"/>
  <c r="D72" i="11"/>
  <c r="D73" i="11"/>
  <c r="E72" i="11" s="1"/>
  <c r="D74" i="11"/>
  <c r="D75" i="11"/>
  <c r="E74" i="11" s="1"/>
  <c r="D76" i="11"/>
  <c r="E75" i="11" s="1"/>
  <c r="D77" i="11"/>
  <c r="D78" i="11"/>
  <c r="E77" i="11" s="1"/>
  <c r="D79" i="11"/>
  <c r="D80" i="11"/>
  <c r="E79" i="11" s="1"/>
  <c r="D81" i="11"/>
  <c r="E80" i="11" s="1"/>
  <c r="D82" i="11"/>
  <c r="D83" i="11"/>
  <c r="E82" i="11" s="1"/>
  <c r="D84" i="11"/>
  <c r="D85" i="11"/>
  <c r="E84" i="11" s="1"/>
  <c r="D86" i="11"/>
  <c r="D87" i="11"/>
  <c r="E86" i="11" s="1"/>
  <c r="D88" i="11"/>
  <c r="E87" i="11" s="1"/>
  <c r="D89" i="11"/>
  <c r="D90" i="11"/>
  <c r="E89" i="11" s="1"/>
  <c r="D91" i="11"/>
  <c r="D92" i="11"/>
  <c r="E91" i="11" s="1"/>
  <c r="D93" i="11"/>
  <c r="E92" i="11" s="1"/>
  <c r="D94" i="11"/>
  <c r="D95" i="11"/>
  <c r="E94" i="11" s="1"/>
  <c r="D96" i="11"/>
  <c r="D97" i="11"/>
  <c r="E96" i="11" s="1"/>
  <c r="D98" i="11"/>
  <c r="D99" i="11"/>
  <c r="E98" i="11" s="1"/>
  <c r="D100" i="11"/>
  <c r="E99" i="11" s="1"/>
  <c r="D101" i="11"/>
  <c r="D102" i="11"/>
  <c r="E101" i="11" s="1"/>
  <c r="D103" i="11"/>
  <c r="D104" i="11"/>
  <c r="E103" i="11" s="1"/>
  <c r="D105" i="11"/>
  <c r="E104" i="11" s="1"/>
  <c r="D106" i="11"/>
  <c r="D107" i="11"/>
  <c r="E106" i="11" s="1"/>
  <c r="D108" i="11"/>
  <c r="D109" i="11"/>
  <c r="E108" i="11" s="1"/>
  <c r="D110" i="11"/>
  <c r="D111" i="11"/>
  <c r="E110" i="11" s="1"/>
  <c r="D112" i="11"/>
  <c r="E111" i="11" s="1"/>
  <c r="D113" i="11"/>
  <c r="D114" i="11"/>
  <c r="E113" i="11" s="1"/>
  <c r="D115" i="11"/>
  <c r="D116" i="11"/>
  <c r="D117" i="11"/>
  <c r="E116" i="11" s="1"/>
  <c r="D118" i="11"/>
  <c r="D119" i="11"/>
  <c r="E118" i="11" s="1"/>
  <c r="D120" i="11"/>
  <c r="D121" i="11"/>
  <c r="E120" i="11" s="1"/>
  <c r="D122" i="11"/>
  <c r="D123" i="11"/>
  <c r="E122" i="11" s="1"/>
  <c r="D124" i="11"/>
  <c r="E123" i="11" s="1"/>
  <c r="D125" i="11"/>
  <c r="D126" i="11"/>
  <c r="E125" i="11" s="1"/>
  <c r="D127" i="11"/>
  <c r="D128" i="11"/>
  <c r="D129" i="11"/>
  <c r="E128" i="11" s="1"/>
  <c r="D130" i="11"/>
  <c r="D131" i="11"/>
  <c r="E130" i="11" s="1"/>
  <c r="D132" i="11"/>
  <c r="D133" i="11"/>
  <c r="E132" i="11" s="1"/>
  <c r="D134" i="11"/>
  <c r="D135" i="11"/>
  <c r="E134" i="11" s="1"/>
  <c r="D136" i="11"/>
  <c r="E135" i="11" s="1"/>
  <c r="D137" i="11"/>
  <c r="D138" i="11"/>
  <c r="E137" i="11" s="1"/>
  <c r="D139" i="11"/>
  <c r="D140" i="11"/>
  <c r="D141" i="11"/>
  <c r="E140" i="11" s="1"/>
  <c r="D142" i="11"/>
  <c r="D143" i="11"/>
  <c r="E142" i="11" s="1"/>
  <c r="D144" i="11"/>
  <c r="D145" i="11"/>
  <c r="E144" i="11" s="1"/>
  <c r="D146" i="11"/>
  <c r="D147" i="11"/>
  <c r="E146" i="11" s="1"/>
  <c r="D148" i="11"/>
  <c r="E147" i="11" s="1"/>
  <c r="D149" i="11"/>
  <c r="D150" i="11"/>
  <c r="E149" i="11" s="1"/>
  <c r="D151" i="11"/>
  <c r="D152" i="11"/>
  <c r="D153" i="11"/>
  <c r="E152" i="11" s="1"/>
  <c r="D154" i="11"/>
  <c r="D155" i="11"/>
  <c r="E154" i="11" s="1"/>
  <c r="D156" i="11"/>
  <c r="D157" i="11"/>
  <c r="E156" i="11" s="1"/>
  <c r="D158" i="11"/>
  <c r="D159" i="11"/>
  <c r="E158" i="11" s="1"/>
  <c r="D160" i="11"/>
  <c r="E159" i="11" s="1"/>
  <c r="D161" i="11"/>
  <c r="D162" i="11"/>
  <c r="E161" i="11" s="1"/>
  <c r="D163" i="11"/>
  <c r="D164" i="11"/>
  <c r="D165" i="11"/>
  <c r="E164" i="11" s="1"/>
  <c r="D166" i="11"/>
  <c r="D167" i="11"/>
  <c r="E166" i="11" s="1"/>
  <c r="D168" i="11"/>
  <c r="D169" i="11"/>
  <c r="E168" i="11" s="1"/>
  <c r="D170" i="11"/>
  <c r="D171" i="11"/>
  <c r="E170" i="11" s="1"/>
  <c r="D172" i="11"/>
  <c r="E171" i="11" s="1"/>
  <c r="D173" i="11"/>
  <c r="D174" i="11"/>
  <c r="E173" i="11" s="1"/>
  <c r="D175" i="11"/>
  <c r="D176" i="11"/>
  <c r="D177" i="11"/>
  <c r="E176" i="11" s="1"/>
  <c r="D178" i="11"/>
  <c r="D179" i="11"/>
  <c r="E178" i="11" s="1"/>
  <c r="D180" i="11"/>
  <c r="D181" i="11"/>
  <c r="E180" i="11" s="1"/>
  <c r="D182" i="11"/>
  <c r="D183" i="11"/>
  <c r="E182" i="11" s="1"/>
  <c r="D184" i="11"/>
  <c r="E183" i="11" s="1"/>
  <c r="D185" i="11"/>
  <c r="D186" i="11"/>
  <c r="E185" i="11" s="1"/>
  <c r="D187" i="11"/>
  <c r="D188" i="11"/>
  <c r="D189" i="11"/>
  <c r="E188" i="11" s="1"/>
  <c r="D190" i="11"/>
  <c r="D191" i="11"/>
  <c r="E190" i="11" s="1"/>
  <c r="D192" i="11"/>
  <c r="D193" i="11"/>
  <c r="E192" i="11" s="1"/>
  <c r="D194" i="11"/>
  <c r="D195" i="11"/>
  <c r="E194" i="11" s="1"/>
  <c r="D196" i="11"/>
  <c r="E195" i="11" s="1"/>
  <c r="D197" i="11"/>
  <c r="D198" i="11"/>
  <c r="E197" i="11" s="1"/>
  <c r="D199" i="11"/>
  <c r="D200" i="11"/>
  <c r="D201" i="11"/>
  <c r="E200" i="11" s="1"/>
  <c r="D202" i="11"/>
  <c r="D203" i="11"/>
  <c r="E202" i="11" s="1"/>
  <c r="D204" i="11"/>
  <c r="D205" i="11"/>
  <c r="E204" i="11" s="1"/>
  <c r="D206" i="11"/>
  <c r="D207" i="11"/>
  <c r="E206" i="11" s="1"/>
  <c r="D208" i="11"/>
  <c r="E207" i="11" s="1"/>
  <c r="D209" i="11"/>
  <c r="D210" i="11"/>
  <c r="E209" i="11" s="1"/>
  <c r="D211" i="11"/>
  <c r="D212" i="11"/>
  <c r="D213" i="11"/>
  <c r="E212" i="11" s="1"/>
  <c r="D214" i="11"/>
  <c r="D215" i="11"/>
  <c r="E214" i="11" s="1"/>
  <c r="D216" i="11"/>
  <c r="D217" i="11"/>
  <c r="E216" i="11" s="1"/>
  <c r="D218" i="11"/>
  <c r="D219" i="11"/>
  <c r="E218" i="11" s="1"/>
  <c r="D220" i="11"/>
  <c r="E219" i="11" s="1"/>
  <c r="D221" i="11"/>
  <c r="D222" i="11"/>
  <c r="E221" i="11" s="1"/>
  <c r="D223" i="11"/>
  <c r="D224" i="11"/>
  <c r="D225" i="11"/>
  <c r="E224" i="11" s="1"/>
  <c r="D226" i="11"/>
  <c r="D227" i="11"/>
  <c r="E226" i="11" s="1"/>
  <c r="D228" i="11"/>
  <c r="D229" i="11"/>
  <c r="E228" i="11" s="1"/>
  <c r="D230" i="11"/>
  <c r="D231" i="11"/>
  <c r="E230" i="11" s="1"/>
  <c r="D232" i="11"/>
  <c r="E231" i="11" s="1"/>
  <c r="D233" i="11"/>
  <c r="D234" i="11"/>
  <c r="E233" i="11" s="1"/>
  <c r="D235" i="11"/>
  <c r="D236" i="11"/>
  <c r="D237" i="11"/>
  <c r="E236" i="11" s="1"/>
  <c r="D238" i="11"/>
  <c r="D239" i="11"/>
  <c r="E238" i="11" s="1"/>
  <c r="D240" i="11"/>
  <c r="D241" i="11"/>
  <c r="E240" i="11" s="1"/>
  <c r="D242" i="11"/>
  <c r="D243" i="11"/>
  <c r="E242" i="11" s="1"/>
  <c r="D244" i="11"/>
  <c r="E243" i="11" s="1"/>
  <c r="D245" i="11"/>
  <c r="D246" i="11"/>
  <c r="E245" i="11" s="1"/>
  <c r="D247" i="11"/>
  <c r="D248" i="11"/>
  <c r="D249" i="11"/>
  <c r="E248" i="11" s="1"/>
  <c r="D250" i="11"/>
  <c r="D251" i="11"/>
  <c r="E250" i="11" s="1"/>
  <c r="D252" i="11"/>
  <c r="D253" i="11"/>
  <c r="E252" i="11" s="1"/>
  <c r="D254" i="11"/>
  <c r="D255" i="11"/>
  <c r="E254" i="11" s="1"/>
  <c r="D256" i="11"/>
  <c r="E255" i="11" s="1"/>
  <c r="D257" i="11"/>
  <c r="D258" i="11"/>
  <c r="E257" i="11" s="1"/>
  <c r="D259" i="11"/>
  <c r="D260" i="11"/>
  <c r="D261" i="11"/>
  <c r="E260" i="11" s="1"/>
  <c r="D262" i="11"/>
  <c r="D263" i="11"/>
  <c r="E262" i="11" s="1"/>
  <c r="D264" i="11"/>
  <c r="D265" i="11"/>
  <c r="E264" i="11" s="1"/>
  <c r="D266" i="11"/>
  <c r="D267" i="11"/>
  <c r="E266" i="11" s="1"/>
  <c r="D268" i="11"/>
  <c r="E267" i="11" s="1"/>
  <c r="D269" i="11"/>
  <c r="D270" i="11"/>
  <c r="E269" i="11" s="1"/>
  <c r="D271" i="11"/>
  <c r="D272" i="11"/>
  <c r="D273" i="11"/>
  <c r="E272" i="11" s="1"/>
  <c r="D274" i="11"/>
  <c r="D275" i="11"/>
  <c r="E274" i="11" s="1"/>
  <c r="D276" i="11"/>
  <c r="D277" i="11"/>
  <c r="E276" i="11" s="1"/>
  <c r="D278" i="11"/>
  <c r="D279" i="11"/>
  <c r="E278" i="11" s="1"/>
  <c r="D280" i="11"/>
  <c r="E279" i="11" s="1"/>
  <c r="D281" i="11"/>
  <c r="D282" i="11"/>
  <c r="E281" i="11" s="1"/>
  <c r="D283" i="11"/>
  <c r="E282" i="11" s="1"/>
  <c r="D284" i="11"/>
  <c r="D285" i="11"/>
  <c r="E284" i="11" s="1"/>
  <c r="D286" i="11"/>
  <c r="D287" i="11"/>
  <c r="E286" i="11" s="1"/>
  <c r="D288" i="11"/>
  <c r="D289" i="11"/>
  <c r="E288" i="11" s="1"/>
  <c r="D290" i="11"/>
  <c r="D291" i="11"/>
  <c r="E290" i="11" s="1"/>
  <c r="D292" i="11"/>
  <c r="E291" i="11" s="1"/>
  <c r="D293" i="11"/>
  <c r="D294" i="11"/>
  <c r="E293" i="11" s="1"/>
  <c r="D295" i="11"/>
  <c r="E294" i="11" s="1"/>
  <c r="D296" i="11"/>
  <c r="D297" i="11"/>
  <c r="E296" i="11" s="1"/>
  <c r="D298" i="11"/>
  <c r="D299" i="11"/>
  <c r="E298" i="11" s="1"/>
  <c r="D300" i="11"/>
  <c r="D301" i="11"/>
  <c r="E300" i="11" s="1"/>
  <c r="D302" i="11"/>
  <c r="D303" i="11"/>
  <c r="E302" i="11" s="1"/>
  <c r="D304" i="11"/>
  <c r="E303" i="11" s="1"/>
  <c r="D305" i="11"/>
  <c r="D306" i="11"/>
  <c r="E305" i="11" s="1"/>
  <c r="D307" i="11"/>
  <c r="E306" i="11" s="1"/>
  <c r="D308" i="11"/>
  <c r="D309" i="11"/>
  <c r="E308" i="11" s="1"/>
  <c r="D310" i="11"/>
  <c r="D311" i="11"/>
  <c r="E310" i="11" s="1"/>
  <c r="D312" i="11"/>
  <c r="D313" i="11"/>
  <c r="E312" i="11" s="1"/>
  <c r="D314" i="11"/>
  <c r="D315" i="11"/>
  <c r="E314" i="11" s="1"/>
  <c r="D316" i="11"/>
  <c r="E315" i="11" s="1"/>
  <c r="D317" i="11"/>
  <c r="D318" i="11"/>
  <c r="E317" i="11" s="1"/>
  <c r="D319" i="11"/>
  <c r="E318" i="11" s="1"/>
  <c r="D320" i="11"/>
  <c r="D321" i="11"/>
  <c r="E320" i="11" s="1"/>
  <c r="D322" i="11"/>
  <c r="D323" i="11"/>
  <c r="E322" i="11" s="1"/>
  <c r="D324" i="11"/>
  <c r="D325" i="11"/>
  <c r="E324" i="11" s="1"/>
  <c r="D326" i="11"/>
  <c r="D327" i="11"/>
  <c r="E326" i="11" s="1"/>
  <c r="D328" i="11"/>
  <c r="E327" i="11" s="1"/>
  <c r="D329" i="11"/>
  <c r="D330" i="11"/>
  <c r="E329" i="11" s="1"/>
  <c r="D331" i="11"/>
  <c r="E330" i="11" s="1"/>
  <c r="D332" i="11"/>
  <c r="D333" i="11"/>
  <c r="E332" i="11" s="1"/>
  <c r="D334" i="11"/>
  <c r="D335" i="11"/>
  <c r="E334" i="11" s="1"/>
  <c r="D336" i="11"/>
  <c r="D337" i="11"/>
  <c r="E336" i="11" s="1"/>
  <c r="D338" i="11"/>
  <c r="D339" i="11"/>
  <c r="E338" i="11" s="1"/>
  <c r="D340" i="11"/>
  <c r="E339" i="11" s="1"/>
  <c r="D341" i="11"/>
  <c r="D342" i="11"/>
  <c r="E341" i="11" s="1"/>
  <c r="D343" i="11"/>
  <c r="E342" i="11" s="1"/>
  <c r="D344" i="11"/>
  <c r="D345" i="11"/>
  <c r="E344" i="11" s="1"/>
  <c r="D346" i="11"/>
  <c r="D347" i="11"/>
  <c r="E346" i="11" s="1"/>
  <c r="D348" i="11"/>
  <c r="D349" i="11"/>
  <c r="E348" i="11" s="1"/>
  <c r="D350" i="11"/>
  <c r="D351" i="11"/>
  <c r="E350" i="11" s="1"/>
  <c r="D352" i="11"/>
  <c r="E351" i="11" s="1"/>
  <c r="D353" i="11"/>
  <c r="D354" i="11"/>
  <c r="E353" i="11" s="1"/>
  <c r="D355" i="11"/>
  <c r="E354" i="11" s="1"/>
  <c r="D356" i="11"/>
  <c r="D357" i="11"/>
  <c r="E356" i="11" s="1"/>
  <c r="D358" i="11"/>
  <c r="D359" i="11"/>
  <c r="E358" i="11" s="1"/>
  <c r="D360" i="11"/>
  <c r="D361" i="11"/>
  <c r="E360" i="11" s="1"/>
  <c r="D362" i="11"/>
  <c r="D363" i="11"/>
  <c r="E362" i="11" s="1"/>
  <c r="D364" i="11"/>
  <c r="E363" i="11" s="1"/>
  <c r="D365" i="11"/>
  <c r="D366" i="11"/>
  <c r="E365" i="11" s="1"/>
  <c r="D367" i="11"/>
  <c r="E366" i="11" s="1"/>
  <c r="D368" i="11"/>
  <c r="D369" i="11"/>
  <c r="E368" i="11" s="1"/>
  <c r="D370" i="11"/>
  <c r="D371" i="11"/>
  <c r="E370" i="11" s="1"/>
  <c r="D372" i="11"/>
  <c r="D373" i="11"/>
  <c r="E372" i="11" s="1"/>
  <c r="D374" i="11"/>
  <c r="D375" i="11"/>
  <c r="E374" i="11" s="1"/>
  <c r="D376" i="11"/>
  <c r="E375" i="11" s="1"/>
  <c r="D377" i="11"/>
  <c r="D378" i="11"/>
  <c r="E377" i="11" s="1"/>
  <c r="D379" i="11"/>
  <c r="E378" i="11" s="1"/>
  <c r="D380" i="11"/>
  <c r="D381" i="11"/>
  <c r="E380" i="11" s="1"/>
  <c r="D382" i="11"/>
  <c r="D383" i="11"/>
  <c r="E382" i="11" s="1"/>
  <c r="D384" i="11"/>
  <c r="D385" i="11"/>
  <c r="E384" i="11" s="1"/>
  <c r="D386" i="11"/>
  <c r="D387" i="11"/>
  <c r="E386" i="11" s="1"/>
  <c r="D388" i="11"/>
  <c r="E387" i="11" s="1"/>
  <c r="D389" i="11"/>
  <c r="D390" i="11"/>
  <c r="E389" i="11" s="1"/>
  <c r="D391" i="11"/>
  <c r="E390" i="11" s="1"/>
  <c r="D392" i="11"/>
  <c r="D393" i="11"/>
  <c r="E392" i="11" s="1"/>
  <c r="D394" i="11"/>
  <c r="D395" i="11"/>
  <c r="E394" i="11" s="1"/>
  <c r="D396" i="11"/>
  <c r="D397" i="11"/>
  <c r="E396" i="11" s="1"/>
  <c r="D398" i="11"/>
  <c r="D399" i="11"/>
  <c r="E398" i="11" s="1"/>
  <c r="D400" i="11"/>
  <c r="E399" i="11" s="1"/>
  <c r="D401" i="11"/>
  <c r="D402" i="11"/>
  <c r="E401" i="11" s="1"/>
  <c r="D403" i="11"/>
  <c r="E402" i="11" s="1"/>
  <c r="D404" i="11"/>
  <c r="D405" i="11"/>
  <c r="E404" i="11" s="1"/>
  <c r="D406" i="11"/>
  <c r="D407" i="11"/>
  <c r="E406" i="11" s="1"/>
  <c r="D408" i="11"/>
  <c r="D409" i="11"/>
  <c r="E408" i="11" s="1"/>
  <c r="D410" i="11"/>
  <c r="D411" i="11"/>
  <c r="E410" i="11" s="1"/>
  <c r="D412" i="11"/>
  <c r="E411" i="11" s="1"/>
  <c r="D413" i="11"/>
  <c r="D414" i="11"/>
  <c r="E413" i="11" s="1"/>
  <c r="D415" i="11"/>
  <c r="E414" i="11" s="1"/>
  <c r="D416" i="11"/>
  <c r="D417" i="11"/>
  <c r="E416" i="11" s="1"/>
  <c r="D418" i="11"/>
  <c r="D419" i="11"/>
  <c r="E418" i="11" s="1"/>
  <c r="D420" i="11"/>
  <c r="D421" i="11"/>
  <c r="E420" i="11" s="1"/>
  <c r="D422" i="11"/>
  <c r="D423" i="11"/>
  <c r="E422" i="11" s="1"/>
  <c r="D424" i="11"/>
  <c r="E423" i="11" s="1"/>
  <c r="D425" i="11"/>
  <c r="D426" i="11"/>
  <c r="E425" i="11" s="1"/>
  <c r="D427" i="11"/>
  <c r="E426" i="11" s="1"/>
  <c r="D428" i="11"/>
  <c r="D429" i="11"/>
  <c r="E428" i="11" s="1"/>
  <c r="D430" i="11"/>
  <c r="D431" i="11"/>
  <c r="E430" i="11" s="1"/>
  <c r="D432" i="11"/>
  <c r="D433" i="11"/>
  <c r="E432" i="11" s="1"/>
  <c r="D434" i="11"/>
  <c r="D435" i="11"/>
  <c r="E434" i="11" s="1"/>
  <c r="D436" i="11"/>
  <c r="E435" i="11" s="1"/>
  <c r="D437" i="11"/>
  <c r="D438" i="11"/>
  <c r="E437" i="11" s="1"/>
  <c r="D439" i="11"/>
  <c r="E438" i="11" s="1"/>
  <c r="D440" i="11"/>
  <c r="D441" i="11"/>
  <c r="E440" i="11" s="1"/>
  <c r="D442" i="11"/>
  <c r="D443" i="11"/>
  <c r="E442" i="11" s="1"/>
  <c r="D444" i="11"/>
  <c r="D445" i="11"/>
  <c r="E444" i="11" s="1"/>
  <c r="D446" i="11"/>
  <c r="D447" i="11"/>
  <c r="E446" i="11" s="1"/>
  <c r="D448" i="11"/>
  <c r="E447" i="11" s="1"/>
  <c r="D449" i="11"/>
  <c r="D450" i="11"/>
  <c r="E449" i="11" s="1"/>
  <c r="D451" i="11"/>
  <c r="E450" i="11" s="1"/>
  <c r="D452" i="11"/>
  <c r="D453" i="11"/>
  <c r="E452" i="11" s="1"/>
  <c r="D454" i="11"/>
  <c r="D455" i="11"/>
  <c r="E454" i="11" s="1"/>
  <c r="D456" i="11"/>
  <c r="D457" i="11"/>
  <c r="E456" i="11" s="1"/>
  <c r="D458" i="11"/>
  <c r="D459" i="11"/>
  <c r="E458" i="11" s="1"/>
  <c r="D460" i="11"/>
  <c r="E459" i="11" s="1"/>
  <c r="D461" i="11"/>
  <c r="D462" i="11"/>
  <c r="E461" i="11" s="1"/>
  <c r="D463" i="11"/>
  <c r="E462" i="11" s="1"/>
  <c r="D464" i="11"/>
  <c r="D465" i="11"/>
  <c r="E464" i="11" s="1"/>
  <c r="D466" i="11"/>
  <c r="D467" i="11"/>
  <c r="E466" i="11" s="1"/>
  <c r="D468" i="11"/>
  <c r="D469" i="11"/>
  <c r="E468" i="11" s="1"/>
  <c r="D470" i="11"/>
  <c r="D471" i="11"/>
  <c r="E470" i="11" s="1"/>
  <c r="D472" i="11"/>
  <c r="E471" i="11" s="1"/>
  <c r="D473" i="11"/>
  <c r="D474" i="11"/>
  <c r="E473" i="11" s="1"/>
  <c r="D475" i="11"/>
  <c r="E474" i="11" s="1"/>
  <c r="D476" i="11"/>
  <c r="D477" i="11"/>
  <c r="E476" i="11" s="1"/>
  <c r="D478" i="11"/>
  <c r="D479" i="11"/>
  <c r="E478" i="11" s="1"/>
  <c r="D480" i="11"/>
  <c r="D481" i="11"/>
  <c r="E480" i="11" s="1"/>
  <c r="D482" i="11"/>
  <c r="D483" i="11"/>
  <c r="E482" i="11" s="1"/>
  <c r="D484" i="11"/>
  <c r="E483" i="11" s="1"/>
  <c r="D485" i="11"/>
  <c r="D486" i="11"/>
  <c r="E485" i="11" s="1"/>
  <c r="D487" i="11"/>
  <c r="E486" i="11" s="1"/>
  <c r="D488" i="11"/>
  <c r="D489" i="11"/>
  <c r="E488" i="11" s="1"/>
  <c r="D490" i="11"/>
  <c r="D491" i="11"/>
  <c r="E490" i="11" s="1"/>
  <c r="D492" i="11"/>
  <c r="D493" i="11"/>
  <c r="E492" i="11" s="1"/>
  <c r="D494" i="11"/>
  <c r="D495" i="11"/>
  <c r="E494" i="11" s="1"/>
  <c r="D496" i="11"/>
  <c r="E495" i="11" s="1"/>
  <c r="D497" i="11"/>
  <c r="D498" i="11"/>
  <c r="E497" i="11" s="1"/>
  <c r="D499" i="11"/>
  <c r="E498" i="11" s="1"/>
  <c r="D500" i="11"/>
  <c r="D501" i="11"/>
  <c r="E500" i="11" s="1"/>
  <c r="D502" i="11"/>
  <c r="D503" i="11"/>
  <c r="E502" i="11" s="1"/>
  <c r="D504" i="11"/>
  <c r="D505" i="11"/>
  <c r="E504" i="11" s="1"/>
  <c r="D506" i="11"/>
  <c r="D507" i="11"/>
  <c r="E506" i="11" s="1"/>
  <c r="D508" i="11"/>
  <c r="E507" i="11" s="1"/>
  <c r="D509" i="11"/>
  <c r="D510" i="11"/>
  <c r="E509" i="11" s="1"/>
  <c r="D511" i="11"/>
  <c r="E510" i="11" s="1"/>
  <c r="D512" i="11"/>
  <c r="D513" i="11"/>
  <c r="E512" i="11" s="1"/>
  <c r="D514" i="11"/>
  <c r="D515" i="11"/>
  <c r="E514" i="11" s="1"/>
  <c r="D516" i="11"/>
  <c r="D517" i="11"/>
  <c r="E516" i="11" s="1"/>
  <c r="D518" i="11"/>
  <c r="D519" i="11"/>
  <c r="E518" i="11" s="1"/>
  <c r="D520" i="11"/>
  <c r="E519" i="11" s="1"/>
  <c r="D521" i="11"/>
  <c r="D522" i="11"/>
  <c r="E521" i="11" s="1"/>
  <c r="D523" i="11"/>
  <c r="E522" i="11" s="1"/>
  <c r="D524" i="11"/>
  <c r="D525" i="11"/>
  <c r="E524" i="11" s="1"/>
  <c r="D526" i="11"/>
  <c r="D527" i="11"/>
  <c r="E526" i="11" s="1"/>
  <c r="D528" i="11"/>
  <c r="D529" i="11"/>
  <c r="E528" i="11" s="1"/>
  <c r="D530" i="11"/>
  <c r="D531" i="11"/>
  <c r="E530" i="11" s="1"/>
  <c r="D532" i="11"/>
  <c r="E531" i="11" s="1"/>
  <c r="D533" i="11"/>
  <c r="D534" i="11"/>
  <c r="E533" i="11" s="1"/>
  <c r="D535" i="11"/>
  <c r="E534" i="11" s="1"/>
  <c r="D536" i="11"/>
  <c r="D537" i="11"/>
  <c r="E536" i="11" s="1"/>
  <c r="D538" i="11"/>
  <c r="D539" i="11"/>
  <c r="E538" i="11" s="1"/>
  <c r="D540" i="11"/>
  <c r="D541" i="11"/>
  <c r="E540" i="11" s="1"/>
  <c r="D542" i="11"/>
  <c r="D543" i="11"/>
  <c r="E542" i="11" s="1"/>
  <c r="D544" i="11"/>
  <c r="E543" i="11" s="1"/>
  <c r="D545" i="11"/>
  <c r="D546" i="11"/>
  <c r="E545" i="11" s="1"/>
  <c r="D547" i="11"/>
  <c r="E546" i="11" s="1"/>
  <c r="D548" i="11"/>
  <c r="D549" i="11"/>
  <c r="E548" i="11" s="1"/>
  <c r="D550" i="11"/>
  <c r="D551" i="11"/>
  <c r="E550" i="11" s="1"/>
  <c r="D552" i="11"/>
  <c r="D553" i="11"/>
  <c r="E552" i="11" s="1"/>
  <c r="D554" i="11"/>
  <c r="D555" i="11"/>
  <c r="E554" i="11" s="1"/>
  <c r="D556" i="11"/>
  <c r="E555" i="11" s="1"/>
  <c r="D557" i="11"/>
  <c r="D558" i="11"/>
  <c r="E557" i="11" s="1"/>
  <c r="D559" i="11"/>
  <c r="E558" i="11" s="1"/>
  <c r="D560" i="11"/>
  <c r="D561" i="11"/>
  <c r="E560" i="11" s="1"/>
  <c r="D562" i="11"/>
  <c r="D563" i="11"/>
  <c r="D564" i="11"/>
  <c r="D565" i="11"/>
  <c r="E564" i="11" s="1"/>
  <c r="D566" i="11"/>
  <c r="D567" i="11"/>
  <c r="E566" i="11" s="1"/>
  <c r="D568" i="11"/>
  <c r="E567" i="11" s="1"/>
  <c r="D569" i="11"/>
  <c r="D570" i="11"/>
  <c r="E569" i="11" s="1"/>
  <c r="D571" i="11"/>
  <c r="D572" i="11"/>
  <c r="D573" i="11"/>
  <c r="E572" i="11" s="1"/>
  <c r="D574" i="11"/>
  <c r="D575" i="11"/>
  <c r="D576" i="11"/>
  <c r="D577" i="11"/>
  <c r="E576" i="11" s="1"/>
  <c r="D578" i="11"/>
  <c r="D579" i="11"/>
  <c r="E578" i="11" s="1"/>
  <c r="D580" i="11"/>
  <c r="E579" i="11" s="1"/>
  <c r="D581" i="11"/>
  <c r="E580" i="11" s="1"/>
  <c r="D582" i="11"/>
  <c r="E581" i="11" s="1"/>
  <c r="D583" i="11"/>
  <c r="D584" i="11"/>
  <c r="D585" i="11"/>
  <c r="E584" i="11" s="1"/>
  <c r="D586" i="11"/>
  <c r="D587" i="11"/>
  <c r="D588" i="11"/>
  <c r="D589" i="11"/>
  <c r="E588" i="11" s="1"/>
  <c r="D590" i="11"/>
  <c r="D591" i="11"/>
  <c r="E590" i="11" s="1"/>
  <c r="D592" i="11"/>
  <c r="E591" i="11" s="1"/>
  <c r="D593" i="11"/>
  <c r="D594" i="11"/>
  <c r="E593" i="11" s="1"/>
  <c r="D595" i="11"/>
  <c r="D596" i="11"/>
  <c r="D597" i="11"/>
  <c r="E596" i="11" s="1"/>
  <c r="D598" i="11"/>
  <c r="D599" i="11"/>
  <c r="D600" i="11"/>
  <c r="D601" i="11"/>
  <c r="E600" i="11" s="1"/>
  <c r="D602" i="11"/>
  <c r="D603" i="11"/>
  <c r="E602" i="11" s="1"/>
  <c r="D604" i="11"/>
  <c r="E603" i="11" s="1"/>
  <c r="D605" i="11"/>
  <c r="D606" i="11"/>
  <c r="E605" i="11" s="1"/>
  <c r="D607" i="11"/>
  <c r="D608" i="11"/>
  <c r="D609" i="11"/>
  <c r="E608" i="11" s="1"/>
  <c r="D610" i="11"/>
  <c r="D611" i="11"/>
  <c r="D612" i="11"/>
  <c r="D613" i="11"/>
  <c r="E612" i="11" s="1"/>
  <c r="D614" i="11"/>
  <c r="D615" i="11"/>
  <c r="E614" i="11" s="1"/>
  <c r="D616" i="11"/>
  <c r="E615" i="11" s="1"/>
  <c r="D617" i="11"/>
  <c r="D618" i="11"/>
  <c r="E617" i="11" s="1"/>
  <c r="D619" i="11"/>
  <c r="D620" i="11"/>
  <c r="D621" i="11"/>
  <c r="E620" i="11" s="1"/>
  <c r="D622" i="11"/>
  <c r="D623" i="11"/>
  <c r="D624" i="11"/>
  <c r="D625" i="11"/>
  <c r="E624" i="11" s="1"/>
  <c r="D626" i="11"/>
  <c r="D627" i="11"/>
  <c r="E626" i="11" s="1"/>
  <c r="D628" i="11"/>
  <c r="E627" i="11" s="1"/>
  <c r="D629" i="11"/>
  <c r="D630" i="11"/>
  <c r="E629" i="11" s="1"/>
  <c r="D631" i="11"/>
  <c r="D632" i="11"/>
  <c r="D633" i="11"/>
  <c r="E632" i="11" s="1"/>
  <c r="D634" i="11"/>
  <c r="D635" i="11"/>
  <c r="D636" i="11"/>
  <c r="D637" i="11"/>
  <c r="E636" i="11" s="1"/>
  <c r="D638" i="11"/>
  <c r="D639" i="11"/>
  <c r="E638" i="11" s="1"/>
  <c r="D640" i="11"/>
  <c r="E639" i="11" s="1"/>
  <c r="D641" i="11"/>
  <c r="D642" i="11"/>
  <c r="E641" i="11" s="1"/>
  <c r="D643" i="11"/>
  <c r="D644" i="11"/>
  <c r="D645" i="11"/>
  <c r="E644" i="11" s="1"/>
  <c r="D646" i="11"/>
  <c r="D647" i="11"/>
  <c r="D648" i="11"/>
  <c r="D649" i="11"/>
  <c r="E648" i="11" s="1"/>
  <c r="D650" i="11"/>
  <c r="D651" i="11"/>
  <c r="E650" i="11" s="1"/>
  <c r="D652" i="11"/>
  <c r="E651" i="11" s="1"/>
  <c r="D653" i="11"/>
  <c r="D654" i="11"/>
  <c r="E653" i="11" s="1"/>
  <c r="D655" i="11"/>
  <c r="D656" i="11"/>
  <c r="D657" i="11"/>
  <c r="E656" i="11" s="1"/>
  <c r="D658" i="11"/>
  <c r="D659" i="11"/>
  <c r="D660" i="11"/>
  <c r="D661" i="11"/>
  <c r="E660" i="11" s="1"/>
  <c r="D662" i="11"/>
  <c r="D663" i="11"/>
  <c r="E662" i="11" s="1"/>
  <c r="D664" i="11"/>
  <c r="E663" i="11" s="1"/>
  <c r="D665" i="11"/>
  <c r="D666" i="11"/>
  <c r="E665" i="11" s="1"/>
  <c r="D667" i="11"/>
  <c r="D668" i="11"/>
  <c r="D669" i="11"/>
  <c r="E668" i="11" s="1"/>
  <c r="D670" i="11"/>
  <c r="D671" i="11"/>
  <c r="D672" i="11"/>
  <c r="D673" i="11"/>
  <c r="E672" i="11" s="1"/>
  <c r="D674" i="11"/>
  <c r="D675" i="11"/>
  <c r="E674" i="11" s="1"/>
  <c r="D676" i="11"/>
  <c r="E675" i="11" s="1"/>
  <c r="D677" i="11"/>
  <c r="D678" i="11"/>
  <c r="E677" i="11" s="1"/>
  <c r="D679" i="11"/>
  <c r="D680" i="11"/>
  <c r="D681" i="11"/>
  <c r="E680" i="11" s="1"/>
  <c r="D682" i="11"/>
  <c r="D683" i="11"/>
  <c r="D684" i="11"/>
  <c r="D685" i="11"/>
  <c r="E684" i="11" s="1"/>
  <c r="D686" i="11"/>
  <c r="D687" i="11"/>
  <c r="E686" i="11" s="1"/>
  <c r="D688" i="11"/>
  <c r="E687" i="11" s="1"/>
  <c r="D689" i="11"/>
  <c r="D690" i="11"/>
  <c r="E689" i="11" s="1"/>
  <c r="D691" i="11"/>
  <c r="D692" i="11"/>
  <c r="D693" i="11"/>
  <c r="E692" i="11" s="1"/>
  <c r="D694" i="11"/>
  <c r="D695" i="11"/>
  <c r="D696" i="11"/>
  <c r="D697" i="11"/>
  <c r="E696" i="11" s="1"/>
  <c r="D698" i="11"/>
  <c r="D699" i="11"/>
  <c r="E698" i="11" s="1"/>
  <c r="D700" i="11"/>
  <c r="E699" i="11" s="1"/>
  <c r="D701" i="11"/>
  <c r="E700" i="11" s="1"/>
  <c r="D702" i="11"/>
  <c r="E701" i="11" s="1"/>
  <c r="D703" i="11"/>
  <c r="D704" i="11"/>
  <c r="D705" i="11"/>
  <c r="E704" i="11" s="1"/>
  <c r="D706" i="11"/>
  <c r="D707" i="11"/>
  <c r="D708" i="11"/>
  <c r="D709" i="11"/>
  <c r="E708" i="11" s="1"/>
  <c r="D710" i="11"/>
  <c r="D711" i="11"/>
  <c r="E710" i="11" s="1"/>
  <c r="D712" i="11"/>
  <c r="E711" i="11" s="1"/>
  <c r="D713" i="11"/>
  <c r="D714" i="11"/>
  <c r="E713" i="11" s="1"/>
  <c r="D715" i="11"/>
  <c r="D716" i="11"/>
  <c r="D717" i="11"/>
  <c r="E716" i="11" s="1"/>
  <c r="D718" i="11"/>
  <c r="D719" i="11"/>
  <c r="D720" i="11"/>
  <c r="D721" i="11"/>
  <c r="E720" i="11" s="1"/>
  <c r="D722" i="11"/>
  <c r="D723" i="11"/>
  <c r="E722" i="11" s="1"/>
  <c r="D724" i="11"/>
  <c r="E723" i="11" s="1"/>
  <c r="D725" i="11"/>
  <c r="D726" i="11"/>
  <c r="E725" i="11" s="1"/>
  <c r="D727" i="11"/>
  <c r="D728" i="11"/>
  <c r="D729" i="11"/>
  <c r="E728" i="11" s="1"/>
  <c r="D730" i="11"/>
  <c r="D731" i="11"/>
  <c r="D732" i="11"/>
  <c r="D733" i="11"/>
  <c r="E732" i="11" s="1"/>
  <c r="D734" i="11"/>
  <c r="D735" i="11"/>
  <c r="E734" i="11" s="1"/>
  <c r="D736" i="11"/>
  <c r="E735" i="11" s="1"/>
  <c r="D737" i="11"/>
  <c r="D738" i="11"/>
  <c r="E737" i="11" s="1"/>
  <c r="D739" i="11"/>
  <c r="D740" i="11"/>
  <c r="D741" i="11"/>
  <c r="E740" i="11" s="1"/>
  <c r="D742" i="11"/>
  <c r="D743" i="11"/>
  <c r="D744" i="11"/>
  <c r="D745" i="11"/>
  <c r="E744" i="11" s="1"/>
  <c r="D746" i="11"/>
  <c r="D747" i="11"/>
  <c r="E746" i="11" s="1"/>
  <c r="D748" i="11"/>
  <c r="E747" i="11" s="1"/>
  <c r="D749" i="11"/>
  <c r="D750" i="11"/>
  <c r="E749" i="11" s="1"/>
  <c r="D751" i="11"/>
  <c r="D752" i="11"/>
  <c r="D753" i="11"/>
  <c r="E752" i="11" s="1"/>
  <c r="D754" i="11"/>
  <c r="D755" i="11"/>
  <c r="D756" i="11"/>
  <c r="D757" i="11"/>
  <c r="E756" i="11" s="1"/>
  <c r="D758" i="11"/>
  <c r="D759" i="11"/>
  <c r="E758" i="11" s="1"/>
  <c r="D760" i="11"/>
  <c r="E759" i="11" s="1"/>
  <c r="D761" i="11"/>
  <c r="D762" i="11"/>
  <c r="E761" i="11" s="1"/>
  <c r="D763" i="11"/>
  <c r="D764" i="11"/>
  <c r="D765" i="11"/>
  <c r="E764" i="11" s="1"/>
  <c r="D766" i="11"/>
  <c r="D767" i="11"/>
  <c r="D768" i="11"/>
  <c r="D769" i="11"/>
  <c r="E768" i="11" s="1"/>
  <c r="D770" i="11"/>
  <c r="D771" i="11"/>
  <c r="E770" i="11" s="1"/>
  <c r="D772" i="11"/>
  <c r="E771" i="11" s="1"/>
  <c r="D773" i="11"/>
  <c r="D774" i="11"/>
  <c r="E773" i="11" s="1"/>
  <c r="D775" i="11"/>
  <c r="D776" i="11"/>
  <c r="D777" i="11"/>
  <c r="E776" i="11" s="1"/>
  <c r="D778" i="11"/>
  <c r="D779" i="11"/>
  <c r="D780" i="11"/>
  <c r="D781" i="11"/>
  <c r="E780" i="11" s="1"/>
  <c r="D782" i="11"/>
  <c r="D783" i="11"/>
  <c r="E782" i="11" s="1"/>
  <c r="D784" i="11"/>
  <c r="E783" i="11" s="1"/>
  <c r="D785" i="11"/>
  <c r="D786" i="11"/>
  <c r="E785" i="11" s="1"/>
  <c r="D787" i="11"/>
  <c r="D788" i="11"/>
  <c r="D789" i="11"/>
  <c r="E788" i="11" s="1"/>
  <c r="D790" i="11"/>
  <c r="D791" i="11"/>
  <c r="D792" i="11"/>
  <c r="D793" i="11"/>
  <c r="E792" i="11" s="1"/>
  <c r="D794" i="11"/>
  <c r="D795" i="11"/>
  <c r="E794" i="11" s="1"/>
  <c r="D796" i="11"/>
  <c r="E795" i="11" s="1"/>
  <c r="D797" i="11"/>
  <c r="D798" i="11"/>
  <c r="E797" i="11" s="1"/>
  <c r="D799" i="11"/>
  <c r="D800" i="11"/>
  <c r="D801" i="11"/>
  <c r="E800" i="11" s="1"/>
  <c r="D802" i="11"/>
  <c r="D803" i="11"/>
  <c r="D804" i="11"/>
  <c r="D805" i="11"/>
  <c r="E804" i="11" s="1"/>
  <c r="D806" i="11"/>
  <c r="D807" i="11"/>
  <c r="E806" i="11" s="1"/>
  <c r="D808" i="11"/>
  <c r="E807" i="11" s="1"/>
  <c r="D809" i="11"/>
  <c r="D810" i="11"/>
  <c r="E809" i="11" s="1"/>
  <c r="D811" i="11"/>
  <c r="D812" i="11"/>
  <c r="D813" i="11"/>
  <c r="E812" i="11" s="1"/>
  <c r="D814" i="11"/>
  <c r="D815" i="11"/>
  <c r="D816" i="11"/>
  <c r="D817" i="11"/>
  <c r="E816" i="11" s="1"/>
  <c r="D818" i="11"/>
  <c r="D819" i="11"/>
  <c r="E818" i="11" s="1"/>
  <c r="D820" i="11"/>
  <c r="E819" i="11" s="1"/>
  <c r="D821" i="11"/>
  <c r="E820" i="11" s="1"/>
  <c r="D822" i="11"/>
  <c r="E821" i="11" s="1"/>
  <c r="D823" i="11"/>
  <c r="D824" i="11"/>
  <c r="D825" i="11"/>
  <c r="E824" i="11" s="1"/>
  <c r="D826" i="11"/>
  <c r="D827" i="11"/>
  <c r="D828" i="11"/>
  <c r="D829" i="11"/>
  <c r="E828" i="11" s="1"/>
  <c r="D830" i="11"/>
  <c r="D831" i="11"/>
  <c r="E830" i="11" s="1"/>
  <c r="D832" i="11"/>
  <c r="E831" i="11" s="1"/>
  <c r="D833" i="11"/>
  <c r="D834" i="11"/>
  <c r="E833" i="11" s="1"/>
  <c r="D835" i="11"/>
  <c r="D836" i="11"/>
  <c r="D837" i="11"/>
  <c r="E836" i="11" s="1"/>
  <c r="D838" i="11"/>
  <c r="D839" i="11"/>
  <c r="D840" i="11"/>
  <c r="D841" i="11"/>
  <c r="E840" i="11" s="1"/>
  <c r="D842" i="11"/>
  <c r="D843" i="11"/>
  <c r="E842" i="11" s="1"/>
  <c r="D844" i="11"/>
  <c r="E843" i="11" s="1"/>
  <c r="D845" i="11"/>
  <c r="D846" i="11"/>
  <c r="E845" i="11" s="1"/>
  <c r="D847" i="11"/>
  <c r="D848" i="11"/>
  <c r="D849" i="11"/>
  <c r="E848" i="11" s="1"/>
  <c r="D850" i="11"/>
  <c r="D851" i="11"/>
  <c r="D852" i="11"/>
  <c r="D853" i="11"/>
  <c r="E852" i="11" s="1"/>
  <c r="D854" i="11"/>
  <c r="D855" i="11"/>
  <c r="E854" i="11" s="1"/>
  <c r="D856" i="11"/>
  <c r="E855" i="11" s="1"/>
  <c r="D857" i="11"/>
  <c r="D858" i="11"/>
  <c r="E857" i="11" s="1"/>
  <c r="D859" i="11"/>
  <c r="D860" i="11"/>
  <c r="D861" i="11"/>
  <c r="E860" i="11" s="1"/>
  <c r="D862" i="11"/>
  <c r="D863" i="11"/>
  <c r="D864" i="11"/>
  <c r="D865" i="11"/>
  <c r="E864" i="11" s="1"/>
  <c r="D866" i="11"/>
  <c r="D867" i="11"/>
  <c r="E866" i="11" s="1"/>
  <c r="D868" i="11"/>
  <c r="E867" i="11" s="1"/>
  <c r="D869" i="11"/>
  <c r="D870" i="11"/>
  <c r="E869" i="11" s="1"/>
  <c r="D871" i="11"/>
  <c r="D872" i="11"/>
  <c r="D873" i="11"/>
  <c r="E872" i="11" s="1"/>
  <c r="D874" i="11"/>
  <c r="D875" i="11"/>
  <c r="D876" i="11"/>
  <c r="D877" i="11"/>
  <c r="E876" i="11" s="1"/>
  <c r="D878" i="11"/>
  <c r="D879" i="11"/>
  <c r="E878" i="11" s="1"/>
  <c r="D880" i="11"/>
  <c r="E879" i="11" s="1"/>
  <c r="D881" i="11"/>
  <c r="D882" i="11"/>
  <c r="E881" i="11" s="1"/>
  <c r="D883" i="11"/>
  <c r="D884" i="11"/>
  <c r="D885" i="11"/>
  <c r="E884" i="11" s="1"/>
  <c r="D886" i="11"/>
  <c r="D887" i="11"/>
  <c r="D888" i="11"/>
  <c r="D889" i="11"/>
  <c r="E888" i="11" s="1"/>
  <c r="D890" i="11"/>
  <c r="D891" i="11"/>
  <c r="E890" i="11" s="1"/>
  <c r="D892" i="11"/>
  <c r="E891" i="11" s="1"/>
  <c r="D893" i="11"/>
  <c r="D894" i="11"/>
  <c r="E893" i="11" s="1"/>
  <c r="D895" i="11"/>
  <c r="D896" i="11"/>
  <c r="D897" i="11"/>
  <c r="E896" i="11" s="1"/>
  <c r="D898" i="11"/>
  <c r="D899" i="11"/>
  <c r="D900" i="11"/>
  <c r="D901" i="11"/>
  <c r="E900" i="11" s="1"/>
  <c r="D902" i="11"/>
  <c r="D903" i="11"/>
  <c r="E902" i="11" s="1"/>
  <c r="D904" i="11"/>
  <c r="E903" i="11" s="1"/>
  <c r="D905" i="11"/>
  <c r="D906" i="11"/>
  <c r="E905" i="11" s="1"/>
  <c r="D907" i="11"/>
  <c r="D908" i="11"/>
  <c r="D909" i="11"/>
  <c r="E908" i="11" s="1"/>
  <c r="D910" i="11"/>
  <c r="D911" i="11"/>
  <c r="D912" i="11"/>
  <c r="D913" i="11"/>
  <c r="E912" i="11" s="1"/>
  <c r="D914" i="11"/>
  <c r="D915" i="11"/>
  <c r="E914" i="11" s="1"/>
  <c r="D916" i="11"/>
  <c r="E915" i="11" s="1"/>
  <c r="D917" i="11"/>
  <c r="D918" i="11"/>
  <c r="E917" i="11" s="1"/>
  <c r="D919" i="11"/>
  <c r="D920" i="11"/>
  <c r="D921" i="11"/>
  <c r="E920" i="11" s="1"/>
  <c r="D922" i="11"/>
  <c r="D923" i="11"/>
  <c r="D924" i="11"/>
  <c r="D925" i="11"/>
  <c r="E924" i="11" s="1"/>
  <c r="D926" i="11"/>
  <c r="D927" i="11"/>
  <c r="E926" i="11" s="1"/>
  <c r="D928" i="11"/>
  <c r="E927" i="11" s="1"/>
  <c r="D929" i="11"/>
  <c r="D930" i="11"/>
  <c r="E929" i="11" s="1"/>
  <c r="D931" i="11"/>
  <c r="D932" i="11"/>
  <c r="D933" i="11"/>
  <c r="E932" i="11" s="1"/>
  <c r="D934" i="11"/>
  <c r="D935" i="11"/>
  <c r="D936" i="11"/>
  <c r="D937" i="11"/>
  <c r="E936" i="11" s="1"/>
  <c r="D938" i="11"/>
  <c r="D939" i="11"/>
  <c r="E938" i="11" s="1"/>
  <c r="D940" i="11"/>
  <c r="E939" i="11" s="1"/>
  <c r="D941" i="11"/>
  <c r="D942" i="11"/>
  <c r="E941" i="11" s="1"/>
  <c r="D943" i="11"/>
  <c r="D944" i="11"/>
  <c r="D945" i="11"/>
  <c r="E944" i="11" s="1"/>
  <c r="D946" i="11"/>
  <c r="D947" i="11"/>
  <c r="D948" i="11"/>
  <c r="D949" i="11"/>
  <c r="E948" i="11" s="1"/>
  <c r="D950" i="11"/>
  <c r="D951" i="11"/>
  <c r="E950" i="11" s="1"/>
  <c r="D952" i="11"/>
  <c r="E951" i="11" s="1"/>
  <c r="D953" i="11"/>
  <c r="D954" i="11"/>
  <c r="E953" i="11" s="1"/>
  <c r="D955" i="11"/>
  <c r="D956" i="11"/>
  <c r="D957" i="11"/>
  <c r="E956" i="11" s="1"/>
  <c r="D958" i="11"/>
  <c r="D959" i="11"/>
  <c r="D960" i="11"/>
  <c r="D961" i="11"/>
  <c r="E960" i="11" s="1"/>
  <c r="D962" i="11"/>
  <c r="D963" i="11"/>
  <c r="E962" i="11" s="1"/>
  <c r="D964" i="11"/>
  <c r="E963" i="11" s="1"/>
  <c r="D965" i="11"/>
  <c r="D966" i="11"/>
  <c r="E965" i="11" s="1"/>
  <c r="D967" i="11"/>
  <c r="D968" i="11"/>
  <c r="D969" i="11"/>
  <c r="E968" i="11" s="1"/>
  <c r="D970" i="11"/>
  <c r="D971" i="11"/>
  <c r="D972" i="11"/>
  <c r="D973" i="11"/>
  <c r="E972" i="11" s="1"/>
  <c r="D974" i="11"/>
  <c r="D975" i="11"/>
  <c r="E974" i="11" s="1"/>
  <c r="D976" i="11"/>
  <c r="E975" i="11" s="1"/>
  <c r="D977" i="11"/>
  <c r="D978" i="11"/>
  <c r="E977" i="11" s="1"/>
  <c r="D979" i="11"/>
  <c r="D980" i="11"/>
  <c r="D981" i="11"/>
  <c r="E980" i="11" s="1"/>
  <c r="D982" i="11"/>
  <c r="D983" i="11"/>
  <c r="D984" i="11"/>
  <c r="D985" i="11"/>
  <c r="E984" i="11" s="1"/>
  <c r="D986" i="11"/>
  <c r="D987" i="11"/>
  <c r="E986" i="11" s="1"/>
  <c r="D988" i="11"/>
  <c r="E987" i="11" s="1"/>
  <c r="D989" i="11"/>
  <c r="D990" i="11"/>
  <c r="E989" i="11" s="1"/>
  <c r="D991" i="11"/>
  <c r="D992" i="11"/>
  <c r="D993" i="11"/>
  <c r="E992" i="11" s="1"/>
  <c r="D994" i="11"/>
  <c r="D995" i="11"/>
  <c r="D996" i="11"/>
  <c r="D997" i="11"/>
  <c r="E996" i="11" s="1"/>
  <c r="D998" i="11"/>
  <c r="D999" i="11"/>
  <c r="E998" i="11" s="1"/>
  <c r="D1000" i="11"/>
  <c r="E999" i="11" s="1"/>
  <c r="D1001" i="11"/>
  <c r="D1002" i="11"/>
  <c r="E1001" i="11" s="1"/>
  <c r="D1003" i="11"/>
  <c r="D1004" i="11"/>
  <c r="D1005" i="11"/>
  <c r="E1004" i="11" s="1"/>
  <c r="D1006" i="11"/>
  <c r="D1007" i="11"/>
  <c r="D1008" i="11"/>
  <c r="D1009" i="11"/>
  <c r="E1008" i="11" s="1"/>
  <c r="D1010" i="11"/>
  <c r="D1011" i="11"/>
  <c r="E1010" i="11" s="1"/>
  <c r="D1012" i="11"/>
  <c r="E1011" i="11" s="1"/>
  <c r="D1013" i="11"/>
  <c r="E1012" i="11" s="1"/>
  <c r="D1014" i="11"/>
  <c r="E1013" i="11" s="1"/>
  <c r="D1015" i="11"/>
  <c r="D1016" i="11"/>
  <c r="D1017" i="11"/>
  <c r="E1016" i="11" s="1"/>
  <c r="D1018" i="11"/>
  <c r="D1019" i="11"/>
  <c r="D1020" i="11"/>
  <c r="D1021" i="11"/>
  <c r="E1020" i="11" s="1"/>
  <c r="D1022" i="11"/>
  <c r="D1023" i="11"/>
  <c r="E1022" i="11" s="1"/>
  <c r="D1024" i="11"/>
  <c r="E1023" i="11" s="1"/>
  <c r="D1025" i="11"/>
  <c r="E1024" i="11" s="1"/>
  <c r="D1026" i="11"/>
  <c r="E1025" i="11" s="1"/>
  <c r="D1027" i="11"/>
  <c r="D1028" i="11"/>
  <c r="D1029" i="11"/>
  <c r="E1028" i="11" s="1"/>
  <c r="D1030" i="11"/>
  <c r="D1031" i="11"/>
  <c r="D1032" i="11"/>
  <c r="D1033" i="11"/>
  <c r="E1032" i="11" s="1"/>
  <c r="D1034" i="11"/>
  <c r="D1035" i="11"/>
  <c r="E1034" i="11" s="1"/>
  <c r="D1036" i="11"/>
  <c r="E1035" i="11" s="1"/>
  <c r="D1037" i="11"/>
  <c r="E1036" i="11" s="1"/>
  <c r="D1038" i="11"/>
  <c r="E1037" i="11" s="1"/>
  <c r="D1039" i="11"/>
  <c r="D1040" i="11"/>
  <c r="D1041" i="11"/>
  <c r="E1040" i="11" s="1"/>
  <c r="D1042" i="11"/>
  <c r="D1043" i="11"/>
  <c r="D1044" i="11"/>
  <c r="D1045" i="11"/>
  <c r="E1044" i="11" s="1"/>
  <c r="D1046" i="11"/>
  <c r="D1047" i="11"/>
  <c r="E1046" i="11" s="1"/>
  <c r="D1048" i="11"/>
  <c r="E1047" i="11" s="1"/>
  <c r="D1049" i="11"/>
  <c r="E1048" i="11" s="1"/>
  <c r="D1050" i="11"/>
  <c r="E1049" i="11" s="1"/>
  <c r="D1051" i="11"/>
  <c r="D1052" i="11"/>
  <c r="D1053" i="11"/>
  <c r="E1052" i="11" s="1"/>
  <c r="D1054" i="11"/>
  <c r="D1055" i="11"/>
  <c r="D1056" i="11"/>
  <c r="D1057" i="11"/>
  <c r="E1056" i="11" s="1"/>
  <c r="D1058" i="11"/>
  <c r="D1059" i="11"/>
  <c r="E1058" i="11" s="1"/>
  <c r="D1060" i="11"/>
  <c r="E1059" i="11" s="1"/>
  <c r="D1061" i="11"/>
  <c r="E1060" i="11" s="1"/>
  <c r="D1062" i="11"/>
  <c r="E1061" i="11" s="1"/>
  <c r="D1063" i="11"/>
  <c r="D1064" i="11"/>
  <c r="D1065" i="11"/>
  <c r="E1064" i="11" s="1"/>
  <c r="D1066" i="11"/>
  <c r="D1067" i="11"/>
  <c r="E1066" i="11" s="1"/>
  <c r="D1068" i="11"/>
  <c r="D1069" i="11"/>
  <c r="E1068" i="11" s="1"/>
  <c r="D1070" i="11"/>
  <c r="D1071" i="11"/>
  <c r="E1070" i="11" s="1"/>
  <c r="D1072" i="11"/>
  <c r="E1071" i="11" s="1"/>
  <c r="D1073" i="11"/>
  <c r="E1072" i="11" s="1"/>
  <c r="D1074" i="11"/>
  <c r="E1073" i="11" s="1"/>
  <c r="D1075" i="11"/>
  <c r="D1076" i="11"/>
  <c r="D1077" i="11"/>
  <c r="E1076" i="11" s="1"/>
  <c r="D1078" i="11"/>
  <c r="D1079" i="11"/>
  <c r="E1078" i="11" s="1"/>
  <c r="D1080" i="11"/>
  <c r="D1081" i="11"/>
  <c r="E1080" i="11" s="1"/>
  <c r="D1082" i="11"/>
  <c r="D1083" i="11"/>
  <c r="E1082" i="11" s="1"/>
  <c r="D1084" i="11"/>
  <c r="E1083" i="11" s="1"/>
  <c r="D1085" i="11"/>
  <c r="D1086" i="11"/>
  <c r="E1085" i="11" s="1"/>
  <c r="D1087" i="11"/>
  <c r="D1088" i="11"/>
  <c r="D1089" i="11"/>
  <c r="E1088" i="11" s="1"/>
  <c r="D1090" i="11"/>
  <c r="D1091" i="11"/>
  <c r="E1090" i="11" s="1"/>
  <c r="D1092" i="11"/>
  <c r="D1093" i="11"/>
  <c r="E1092" i="11" s="1"/>
  <c r="D1094" i="11"/>
  <c r="D1095" i="11"/>
  <c r="E1094" i="11" s="1"/>
  <c r="D1096" i="11"/>
  <c r="E1095" i="11" s="1"/>
  <c r="D1097" i="11"/>
  <c r="D1098" i="11"/>
  <c r="E1097" i="11" s="1"/>
  <c r="D1099" i="11"/>
  <c r="D1100" i="11"/>
  <c r="D1101" i="11"/>
  <c r="E1100" i="11" s="1"/>
  <c r="D1102" i="11"/>
  <c r="D1103" i="11"/>
  <c r="E1102" i="11" s="1"/>
  <c r="D1104" i="11"/>
  <c r="D1105" i="11"/>
  <c r="E1104" i="11" s="1"/>
  <c r="D1106" i="11"/>
  <c r="D1107" i="11"/>
  <c r="E1106" i="11" s="1"/>
  <c r="D1108" i="11"/>
  <c r="E1107" i="11" s="1"/>
  <c r="D1109" i="11"/>
  <c r="D1110" i="11"/>
  <c r="E1109" i="11" s="1"/>
  <c r="D1111" i="11"/>
  <c r="D1112" i="11"/>
  <c r="D1113" i="11"/>
  <c r="E1112" i="11" s="1"/>
  <c r="D1114" i="11"/>
  <c r="D1115" i="11"/>
  <c r="E1114" i="11" s="1"/>
  <c r="D1116" i="11"/>
  <c r="D1117" i="11"/>
  <c r="E1116" i="11" s="1"/>
  <c r="D1118" i="11"/>
  <c r="D1119" i="11"/>
  <c r="E1118" i="11" s="1"/>
  <c r="D1120" i="11"/>
  <c r="E1119" i="11" s="1"/>
  <c r="D1121" i="11"/>
  <c r="E1120" i="11" s="1"/>
  <c r="D1122" i="11"/>
  <c r="E1121" i="11" s="1"/>
  <c r="D1123" i="11"/>
  <c r="D1124" i="11"/>
  <c r="D1125" i="11"/>
  <c r="E1124" i="11" s="1"/>
  <c r="D1126" i="11"/>
  <c r="D1127" i="11"/>
  <c r="E1126" i="11" s="1"/>
  <c r="D1128" i="11"/>
  <c r="D1129" i="11"/>
  <c r="E1128" i="11" s="1"/>
  <c r="D1130" i="11"/>
  <c r="D1131" i="11"/>
  <c r="E1130" i="11" s="1"/>
  <c r="D1132" i="11"/>
  <c r="E1131" i="11" s="1"/>
  <c r="D1133" i="11"/>
  <c r="E1132" i="11" s="1"/>
  <c r="D1134" i="11"/>
  <c r="E1133" i="11" s="1"/>
  <c r="D1135" i="11"/>
  <c r="D1136" i="11"/>
  <c r="D1137" i="11"/>
  <c r="E1136" i="11" s="1"/>
  <c r="D1138" i="11"/>
  <c r="D1139" i="11"/>
  <c r="E1138" i="11" s="1"/>
  <c r="D1140" i="11"/>
  <c r="D1141" i="11"/>
  <c r="E1140" i="11" s="1"/>
  <c r="D1142" i="11"/>
  <c r="D1143" i="11"/>
  <c r="E1142" i="11" s="1"/>
  <c r="D1144" i="11"/>
  <c r="E1143" i="11" s="1"/>
  <c r="D1145" i="11"/>
  <c r="E1144" i="11" s="1"/>
  <c r="D1146" i="11"/>
  <c r="E1145" i="11" s="1"/>
  <c r="D1147" i="11"/>
  <c r="D1148" i="11"/>
  <c r="D1149" i="11"/>
  <c r="E1148" i="11" s="1"/>
  <c r="D1150" i="11"/>
  <c r="D1151" i="11"/>
  <c r="E1150" i="11" s="1"/>
  <c r="D1152" i="11"/>
  <c r="D1153" i="11"/>
  <c r="E1152" i="11" s="1"/>
  <c r="D1154" i="11"/>
  <c r="D1155" i="11"/>
  <c r="E1154" i="11" s="1"/>
  <c r="D1156" i="11"/>
  <c r="E1155" i="11" s="1"/>
  <c r="D1157" i="11"/>
  <c r="E1156" i="11" s="1"/>
  <c r="D1158" i="11"/>
  <c r="E1157" i="11" s="1"/>
  <c r="D1159" i="11"/>
  <c r="D1160" i="11"/>
  <c r="D1161" i="11"/>
  <c r="E1160" i="11" s="1"/>
  <c r="D1162" i="11"/>
  <c r="D1163" i="11"/>
  <c r="E1162" i="11" s="1"/>
  <c r="D1164" i="11"/>
  <c r="D1165" i="11"/>
  <c r="E1164" i="11" s="1"/>
  <c r="D1166" i="11"/>
  <c r="D1167" i="11"/>
  <c r="E1166" i="11" s="1"/>
  <c r="D1168" i="11"/>
  <c r="E1167" i="11" s="1"/>
  <c r="D1169" i="11"/>
  <c r="E1168" i="11" s="1"/>
  <c r="D1170" i="11"/>
  <c r="E1169" i="11" s="1"/>
  <c r="D1171" i="11"/>
  <c r="D1172" i="11"/>
  <c r="D1173" i="11"/>
  <c r="E1172" i="11" s="1"/>
  <c r="D1174" i="11"/>
  <c r="D1175" i="11"/>
  <c r="E1174" i="11" s="1"/>
  <c r="D1176" i="11"/>
  <c r="D1177" i="11"/>
  <c r="E1176" i="11" s="1"/>
  <c r="D1178" i="11"/>
  <c r="D1179" i="11"/>
  <c r="E1178" i="11" s="1"/>
  <c r="D1180" i="11"/>
  <c r="E1179" i="11" s="1"/>
  <c r="D1181" i="11"/>
  <c r="E1180" i="11" s="1"/>
  <c r="D1182" i="11"/>
  <c r="E1181" i="11" s="1"/>
  <c r="D1183" i="11"/>
  <c r="D1184" i="11"/>
  <c r="D1185" i="11"/>
  <c r="E1184" i="11" s="1"/>
  <c r="D1186" i="11"/>
  <c r="D1187" i="11"/>
  <c r="E1186" i="11" s="1"/>
  <c r="D1188" i="11"/>
  <c r="D1189" i="11"/>
  <c r="E1188" i="11" s="1"/>
  <c r="D1190" i="11"/>
  <c r="D1191" i="11"/>
  <c r="E1190" i="11" s="1"/>
  <c r="D1192" i="11"/>
  <c r="E1191" i="11" s="1"/>
  <c r="D1193" i="11"/>
  <c r="E1192" i="11" s="1"/>
  <c r="D1194" i="11"/>
  <c r="E1193" i="11" s="1"/>
  <c r="D1195" i="11"/>
  <c r="D1196" i="11"/>
  <c r="D1197" i="11"/>
  <c r="E1196" i="11" s="1"/>
  <c r="D1198" i="11"/>
  <c r="D1199" i="11"/>
  <c r="E1198" i="11" s="1"/>
  <c r="D1200" i="11"/>
  <c r="D1201" i="11"/>
  <c r="E1200" i="11" s="1"/>
  <c r="D1202" i="11"/>
  <c r="D1203" i="11"/>
  <c r="E1202" i="11" s="1"/>
  <c r="D1204" i="11"/>
  <c r="E1203" i="11" s="1"/>
  <c r="D1205" i="11"/>
  <c r="E1204" i="11" s="1"/>
  <c r="D1206" i="11"/>
  <c r="E1205" i="11" s="1"/>
  <c r="D1207" i="11"/>
  <c r="D1208" i="11"/>
  <c r="D1209" i="11"/>
  <c r="E1208" i="11" s="1"/>
  <c r="D1210" i="11"/>
  <c r="D1211" i="11"/>
  <c r="E1210" i="11" s="1"/>
  <c r="D1212" i="11"/>
  <c r="D1213" i="11"/>
  <c r="E1212" i="11" s="1"/>
  <c r="D1214" i="11"/>
  <c r="D1215" i="11"/>
  <c r="E1214" i="11" s="1"/>
  <c r="D1216" i="11"/>
  <c r="E1215" i="11" s="1"/>
  <c r="D1217" i="11"/>
  <c r="E1216" i="11" s="1"/>
  <c r="D1218" i="11"/>
  <c r="E1217" i="11" s="1"/>
  <c r="D1219" i="11"/>
  <c r="D1220" i="11"/>
  <c r="D1221" i="11"/>
  <c r="E1220" i="11" s="1"/>
  <c r="D1222" i="11"/>
  <c r="D1223" i="11"/>
  <c r="E1222" i="11" s="1"/>
  <c r="D1224" i="11"/>
  <c r="D1225" i="11"/>
  <c r="E1224" i="11" s="1"/>
  <c r="D1226" i="11"/>
  <c r="D1227" i="11"/>
  <c r="E1226" i="11" s="1"/>
  <c r="D1228" i="11"/>
  <c r="E1227" i="11" s="1"/>
  <c r="D1229" i="11"/>
  <c r="E1228" i="11" s="1"/>
  <c r="D1230" i="11"/>
  <c r="E1229" i="11" s="1"/>
  <c r="D1231" i="11"/>
  <c r="D1232" i="11"/>
  <c r="D1233" i="11"/>
  <c r="E1232" i="11" s="1"/>
  <c r="D1234" i="11"/>
  <c r="D1235" i="11"/>
  <c r="E1234" i="11" s="1"/>
  <c r="D1236" i="11"/>
  <c r="D1237" i="11"/>
  <c r="E1236" i="11" s="1"/>
  <c r="D1238" i="11"/>
  <c r="D1239" i="11"/>
  <c r="E1238" i="11" s="1"/>
  <c r="D1240" i="11"/>
  <c r="E1239" i="11" s="1"/>
  <c r="D1241" i="11"/>
  <c r="E1240" i="11" s="1"/>
  <c r="D1242" i="11"/>
  <c r="E1241" i="11" s="1"/>
  <c r="D1243" i="11"/>
  <c r="D1244" i="11"/>
  <c r="D1245" i="11"/>
  <c r="E1244" i="11" s="1"/>
  <c r="D1246" i="11"/>
  <c r="D1247" i="11"/>
  <c r="E1246" i="11" s="1"/>
  <c r="D1248" i="11"/>
  <c r="D1249" i="11"/>
  <c r="E1248" i="11" s="1"/>
  <c r="D1250" i="11"/>
  <c r="D1251" i="11"/>
  <c r="E1250" i="11" s="1"/>
  <c r="D1252" i="11"/>
  <c r="E1251" i="11" s="1"/>
  <c r="D1253" i="11"/>
  <c r="E1252" i="11" s="1"/>
  <c r="D1254" i="11"/>
  <c r="E1253" i="11" s="1"/>
  <c r="D1255" i="11"/>
  <c r="D1256" i="11"/>
  <c r="D1257" i="11"/>
  <c r="E1256" i="11" s="1"/>
  <c r="D1258" i="11"/>
  <c r="D1259" i="11"/>
  <c r="E1258" i="11" s="1"/>
  <c r="D1260" i="11"/>
  <c r="D1261" i="11"/>
  <c r="E1260" i="11" s="1"/>
  <c r="D1262" i="11"/>
  <c r="D1263" i="11"/>
  <c r="E1262" i="11" s="1"/>
  <c r="D1264" i="11"/>
  <c r="E1263" i="11" s="1"/>
  <c r="D1265" i="11"/>
  <c r="E1264" i="11" s="1"/>
  <c r="D1266" i="11"/>
  <c r="E1265" i="11" s="1"/>
  <c r="D1267" i="11"/>
  <c r="D1268" i="11"/>
  <c r="D1269" i="11"/>
  <c r="E1268" i="11" s="1"/>
  <c r="D1270" i="11"/>
  <c r="D1271" i="11"/>
  <c r="E1270" i="11" s="1"/>
  <c r="D1272" i="11"/>
  <c r="D1273" i="11"/>
  <c r="E1272" i="11" s="1"/>
  <c r="D1274" i="11"/>
  <c r="D1275" i="11"/>
  <c r="E1274" i="11" s="1"/>
  <c r="D1276" i="11"/>
  <c r="E1275" i="11" s="1"/>
  <c r="D1277" i="11"/>
  <c r="E1276" i="11" s="1"/>
  <c r="D1278" i="11"/>
  <c r="E1277" i="11" s="1"/>
  <c r="D1279" i="11"/>
  <c r="D1280" i="11"/>
  <c r="D1281" i="11"/>
  <c r="E1280" i="11" s="1"/>
  <c r="D1282" i="11"/>
  <c r="D1283" i="11"/>
  <c r="E1282" i="11" s="1"/>
  <c r="D1284" i="11"/>
  <c r="D1285" i="11"/>
  <c r="E1284" i="11" s="1"/>
  <c r="D1286" i="11"/>
  <c r="D1287" i="11"/>
  <c r="E1286" i="11" s="1"/>
  <c r="D1288" i="11"/>
  <c r="E1287" i="11" s="1"/>
  <c r="D1289" i="11"/>
  <c r="E1288" i="11" s="1"/>
  <c r="D1290" i="11"/>
  <c r="E1289" i="11" s="1"/>
  <c r="D1291" i="11"/>
  <c r="E1290" i="11" s="1"/>
  <c r="D1292" i="11"/>
  <c r="D1293" i="11"/>
  <c r="E1292" i="11" s="1"/>
  <c r="D1294" i="11"/>
  <c r="D1295" i="11"/>
  <c r="E1294" i="11" s="1"/>
  <c r="D1296" i="11"/>
  <c r="D1297" i="11"/>
  <c r="E1296" i="11" s="1"/>
  <c r="D1298" i="11"/>
  <c r="D1299" i="11"/>
  <c r="E1298" i="11" s="1"/>
  <c r="D1300" i="11"/>
  <c r="E1299" i="11" s="1"/>
  <c r="D1301" i="11"/>
  <c r="E1300" i="11" s="1"/>
  <c r="D1302" i="11"/>
  <c r="E1301" i="11" s="1"/>
  <c r="D1303" i="11"/>
  <c r="E1302" i="11" s="1"/>
  <c r="D1304" i="11"/>
  <c r="D1305" i="11"/>
  <c r="E1304" i="11" s="1"/>
  <c r="D1306" i="11"/>
  <c r="D1307" i="11"/>
  <c r="E1306" i="11" s="1"/>
  <c r="D1308" i="11"/>
  <c r="D1309" i="11"/>
  <c r="E1308" i="11" s="1"/>
  <c r="D1310" i="11"/>
  <c r="D1311" i="11"/>
  <c r="E1310" i="11" s="1"/>
  <c r="D1312" i="11"/>
  <c r="E1311" i="11" s="1"/>
  <c r="D1313" i="11"/>
  <c r="E1312" i="11" s="1"/>
  <c r="D1314" i="11"/>
  <c r="E1313" i="11" s="1"/>
  <c r="D1315" i="11"/>
  <c r="E1314" i="11" s="1"/>
  <c r="D1316" i="11"/>
  <c r="D1317" i="11"/>
  <c r="E1316" i="11" s="1"/>
  <c r="D1318" i="11"/>
  <c r="D1319" i="11"/>
  <c r="E1318" i="11" s="1"/>
  <c r="D1320" i="11"/>
  <c r="D1321" i="11"/>
  <c r="E1320" i="11" s="1"/>
  <c r="D1322" i="11"/>
  <c r="D1323" i="11"/>
  <c r="E1322" i="11" s="1"/>
  <c r="D1324" i="11"/>
  <c r="E1323" i="11" s="1"/>
  <c r="D1325" i="11"/>
  <c r="E1324" i="11" s="1"/>
  <c r="D1326" i="11"/>
  <c r="E1325" i="11" s="1"/>
  <c r="D1327" i="11"/>
  <c r="E1326" i="11" s="1"/>
  <c r="D1328" i="11"/>
  <c r="D1329" i="11"/>
  <c r="E1328" i="11" s="1"/>
  <c r="D1330" i="11"/>
  <c r="D1331" i="11"/>
  <c r="E1330" i="11" s="1"/>
  <c r="D1332" i="11"/>
  <c r="D1333" i="11"/>
  <c r="E1332" i="11" s="1"/>
  <c r="D1334" i="11"/>
  <c r="D1335" i="11"/>
  <c r="E1334" i="11" s="1"/>
  <c r="D1336" i="11"/>
  <c r="E1335" i="11" s="1"/>
  <c r="D1337" i="11"/>
  <c r="E1336" i="11" s="1"/>
  <c r="D1338" i="11"/>
  <c r="E1337" i="11" s="1"/>
  <c r="D1339" i="11"/>
  <c r="E1338" i="11" s="1"/>
  <c r="D1340" i="11"/>
  <c r="D1341" i="11"/>
  <c r="E1340" i="11" s="1"/>
  <c r="D1342" i="11"/>
  <c r="D1343" i="11"/>
  <c r="E1342" i="11" s="1"/>
  <c r="D1344" i="11"/>
  <c r="D1345" i="11"/>
  <c r="E1344" i="11" s="1"/>
  <c r="D1346" i="11"/>
  <c r="D1347" i="11"/>
  <c r="E1346" i="11" s="1"/>
  <c r="D1348" i="11"/>
  <c r="E1347" i="11" s="1"/>
  <c r="D1349" i="11"/>
  <c r="E1348" i="11" s="1"/>
  <c r="D1350" i="11"/>
  <c r="E1349" i="11" s="1"/>
  <c r="D1351" i="11"/>
  <c r="E1350" i="11" s="1"/>
  <c r="D1352" i="11"/>
  <c r="D1353" i="11"/>
  <c r="E1352" i="11" s="1"/>
  <c r="D1354" i="11"/>
  <c r="D1355" i="11"/>
  <c r="E1354" i="11" s="1"/>
  <c r="D1356" i="11"/>
  <c r="D1357" i="11"/>
  <c r="E1356" i="11" s="1"/>
  <c r="D1358" i="11"/>
  <c r="D1359" i="11"/>
  <c r="E1358" i="11" s="1"/>
  <c r="D1360" i="11"/>
  <c r="E1359" i="11" s="1"/>
  <c r="D1361" i="11"/>
  <c r="E1360" i="11" s="1"/>
  <c r="D1362" i="11"/>
  <c r="E1361" i="11" s="1"/>
  <c r="D1363" i="11"/>
  <c r="E1362" i="11" s="1"/>
  <c r="D1364" i="11"/>
  <c r="D1365" i="11"/>
  <c r="E1364" i="11" s="1"/>
  <c r="D1366" i="11"/>
  <c r="E1365" i="11" s="1"/>
  <c r="D1367" i="11"/>
  <c r="E1366" i="11" s="1"/>
  <c r="D1368" i="11"/>
  <c r="D1369" i="11"/>
  <c r="E1368" i="11" s="1"/>
  <c r="D1370" i="11"/>
  <c r="D1371" i="11"/>
  <c r="E1370" i="11" s="1"/>
  <c r="D1372" i="11"/>
  <c r="E1371" i="11" s="1"/>
  <c r="D1373" i="11"/>
  <c r="E1372" i="11" s="1"/>
  <c r="D1374" i="11"/>
  <c r="E1373" i="11" s="1"/>
  <c r="D1375" i="11"/>
  <c r="E1374" i="11" s="1"/>
  <c r="D1376" i="11"/>
  <c r="D1377" i="11"/>
  <c r="E1376" i="11" s="1"/>
  <c r="D1378" i="11"/>
  <c r="E1377" i="11" s="1"/>
  <c r="D1379" i="11"/>
  <c r="D1380" i="11"/>
  <c r="D1381" i="11"/>
  <c r="E1380" i="11" s="1"/>
  <c r="D1382" i="11"/>
  <c r="D1383" i="11"/>
  <c r="E1382" i="11" s="1"/>
  <c r="D1384" i="11"/>
  <c r="E1383" i="11" s="1"/>
  <c r="D1385" i="11"/>
  <c r="E1384" i="11" s="1"/>
  <c r="D1386" i="11"/>
  <c r="E1385" i="11" s="1"/>
  <c r="D1387" i="11"/>
  <c r="E1386" i="11" s="1"/>
  <c r="D1388" i="11"/>
  <c r="D1389" i="11"/>
  <c r="E1388" i="11" s="1"/>
  <c r="D1390" i="11"/>
  <c r="E1389" i="11" s="1"/>
  <c r="D1391" i="11"/>
  <c r="D1392" i="11"/>
  <c r="D1393" i="11"/>
  <c r="E1392" i="11" s="1"/>
  <c r="D1394" i="11"/>
  <c r="D1395" i="11"/>
  <c r="E1394" i="11" s="1"/>
  <c r="D1396" i="11"/>
  <c r="E1395" i="11" s="1"/>
  <c r="D1397" i="11"/>
  <c r="E1396" i="11" s="1"/>
  <c r="D1398" i="11"/>
  <c r="E1397" i="11" s="1"/>
  <c r="D1399" i="11"/>
  <c r="E1398" i="11" s="1"/>
  <c r="D1400" i="11"/>
  <c r="D1401" i="11"/>
  <c r="E1400" i="11" s="1"/>
  <c r="D1402" i="11"/>
  <c r="E1401" i="11" s="1"/>
  <c r="D1403" i="11"/>
  <c r="D1404" i="11"/>
  <c r="D1405" i="11"/>
  <c r="E1404" i="11" s="1"/>
  <c r="D1406" i="11"/>
  <c r="D1407" i="11"/>
  <c r="E1406" i="11" s="1"/>
  <c r="D1408" i="11"/>
  <c r="E1407" i="11" s="1"/>
  <c r="D1409" i="11"/>
  <c r="E1408" i="11" s="1"/>
  <c r="D1410" i="11"/>
  <c r="E1409" i="11" s="1"/>
  <c r="D1411" i="11"/>
  <c r="E1410" i="11" s="1"/>
  <c r="D1412" i="11"/>
  <c r="D1413" i="11"/>
  <c r="E1412" i="11" s="1"/>
  <c r="D1414" i="11"/>
  <c r="E1413" i="11" s="1"/>
  <c r="D1415" i="11"/>
  <c r="D1416" i="11"/>
  <c r="D1417" i="11"/>
  <c r="E1416" i="11" s="1"/>
  <c r="D1418" i="11"/>
  <c r="D1419" i="11"/>
  <c r="E1418" i="11" s="1"/>
  <c r="D1420" i="11"/>
  <c r="E1419" i="11" s="1"/>
  <c r="D1421" i="11"/>
  <c r="E1420" i="11" s="1"/>
  <c r="D1422" i="11"/>
  <c r="E1421" i="11" s="1"/>
  <c r="D1423" i="11"/>
  <c r="E1422" i="11" s="1"/>
  <c r="D1424" i="11"/>
  <c r="D1425" i="11"/>
  <c r="E1424" i="11" s="1"/>
  <c r="D1426" i="11"/>
  <c r="E1425" i="11" s="1"/>
  <c r="D1427" i="11"/>
  <c r="D1428" i="11"/>
  <c r="D1429" i="11"/>
  <c r="E1428" i="11" s="1"/>
  <c r="D1430" i="11"/>
  <c r="D1431" i="11"/>
  <c r="E1430" i="11" s="1"/>
  <c r="D1432" i="11"/>
  <c r="E1431" i="11" s="1"/>
  <c r="D1433" i="11"/>
  <c r="E1432" i="11" s="1"/>
  <c r="D1434" i="11"/>
  <c r="E1433" i="11" s="1"/>
  <c r="D1435" i="11"/>
  <c r="E1434" i="11" s="1"/>
  <c r="D1436" i="11"/>
  <c r="D1437" i="11"/>
  <c r="E1436" i="11" s="1"/>
  <c r="D1438" i="11"/>
  <c r="E1437" i="11" s="1"/>
  <c r="D1439" i="11"/>
  <c r="D1440" i="11"/>
  <c r="D1441" i="11"/>
  <c r="E1440" i="11" s="1"/>
  <c r="D1442" i="11"/>
  <c r="D1443" i="11"/>
  <c r="E1442" i="11" s="1"/>
  <c r="D1444" i="11"/>
  <c r="E1443" i="11" s="1"/>
  <c r="D1445" i="11"/>
  <c r="E1444" i="11" s="1"/>
  <c r="D1446" i="11"/>
  <c r="E1445" i="11" s="1"/>
  <c r="D1447" i="11"/>
  <c r="E1446" i="11" s="1"/>
  <c r="D1448" i="11"/>
  <c r="D1449" i="11"/>
  <c r="E1448" i="11" s="1"/>
  <c r="D1450" i="11"/>
  <c r="E1449" i="11" s="1"/>
  <c r="D1451" i="11"/>
  <c r="D1452" i="11"/>
  <c r="D1453" i="11"/>
  <c r="E1452" i="11" s="1"/>
  <c r="D1454" i="11"/>
  <c r="D1455" i="11"/>
  <c r="E1454" i="11" s="1"/>
  <c r="D1456" i="11"/>
  <c r="E1455" i="11" s="1"/>
  <c r="D1457" i="11"/>
  <c r="E1456" i="11" s="1"/>
  <c r="D1458" i="11"/>
  <c r="E1457" i="11" s="1"/>
  <c r="D1459" i="11"/>
  <c r="E1458" i="11" s="1"/>
  <c r="D1460" i="11"/>
  <c r="D1461" i="11"/>
  <c r="E1460" i="11" s="1"/>
  <c r="D1462" i="11"/>
  <c r="E1461" i="11" s="1"/>
  <c r="D1463" i="11"/>
  <c r="D1464" i="11"/>
  <c r="D1465" i="11"/>
  <c r="E1464" i="11" s="1"/>
  <c r="D1466" i="11"/>
  <c r="D1467" i="11"/>
  <c r="E1466" i="11" s="1"/>
  <c r="D1468" i="11"/>
  <c r="E1467" i="11" s="1"/>
  <c r="D1469" i="11"/>
  <c r="E1468" i="11" s="1"/>
  <c r="D1470" i="11"/>
  <c r="E1469" i="11" s="1"/>
  <c r="D1471" i="11"/>
  <c r="E1470" i="11" s="1"/>
  <c r="D1472" i="11"/>
  <c r="D1473" i="11"/>
  <c r="E1472" i="11" s="1"/>
  <c r="D1474" i="11"/>
  <c r="E1473" i="11" s="1"/>
  <c r="D1475" i="11"/>
  <c r="D1476" i="11"/>
  <c r="D1477" i="11"/>
  <c r="E1476" i="11" s="1"/>
  <c r="D1478" i="11"/>
  <c r="D1479" i="11"/>
  <c r="E1478" i="11" s="1"/>
  <c r="D1480" i="11"/>
  <c r="E1479" i="11" s="1"/>
  <c r="D1481" i="11"/>
  <c r="E1480" i="11" s="1"/>
  <c r="D1482" i="11"/>
  <c r="E1481" i="11" s="1"/>
  <c r="D1483" i="11"/>
  <c r="E1482" i="11" s="1"/>
  <c r="D1484" i="11"/>
  <c r="D1485" i="11"/>
  <c r="E1484" i="11" s="1"/>
  <c r="D1486" i="11"/>
  <c r="E1485" i="11" s="1"/>
  <c r="D1487" i="11"/>
  <c r="D1488" i="11"/>
  <c r="D1489" i="11"/>
  <c r="E1488" i="11" s="1"/>
  <c r="D1490" i="11"/>
  <c r="D1491" i="11"/>
  <c r="E1490" i="11" s="1"/>
  <c r="D1492" i="11"/>
  <c r="E1491" i="11" s="1"/>
  <c r="D1493" i="11"/>
  <c r="E1492" i="11" s="1"/>
  <c r="D1494" i="11"/>
  <c r="E1493" i="11" s="1"/>
  <c r="D1495" i="11"/>
  <c r="E1494" i="11" s="1"/>
  <c r="D1496" i="11"/>
  <c r="D1497" i="11"/>
  <c r="E1496" i="11" s="1"/>
  <c r="D1498" i="11"/>
  <c r="E1497" i="11" s="1"/>
  <c r="D1499" i="11"/>
  <c r="D1500" i="11"/>
  <c r="D1501" i="11"/>
  <c r="E1500" i="11" s="1"/>
  <c r="D1502" i="11"/>
  <c r="D1503" i="11"/>
  <c r="E1502" i="11" s="1"/>
  <c r="D1504" i="11"/>
  <c r="E1503" i="11" s="1"/>
  <c r="D1505" i="11"/>
  <c r="E1504" i="11" s="1"/>
  <c r="D1506" i="11"/>
  <c r="E1505" i="11" s="1"/>
  <c r="D1507" i="11"/>
  <c r="E1506" i="11" s="1"/>
  <c r="D1508" i="11"/>
  <c r="D1509" i="11"/>
  <c r="E1508" i="11" s="1"/>
  <c r="D1510" i="11"/>
  <c r="E1509" i="11" s="1"/>
  <c r="D1511" i="11"/>
  <c r="D1512" i="11"/>
  <c r="D1513" i="11"/>
  <c r="E1512" i="11" s="1"/>
  <c r="D1514" i="11"/>
  <c r="D1515" i="11"/>
  <c r="E1514" i="11" s="1"/>
  <c r="D1516" i="11"/>
  <c r="E1515" i="11" s="1"/>
  <c r="D1517" i="11"/>
  <c r="E1516" i="11" s="1"/>
  <c r="D1518" i="11"/>
  <c r="E1517" i="11" s="1"/>
  <c r="D1519" i="11"/>
  <c r="E1518" i="11" s="1"/>
  <c r="D1520" i="11"/>
  <c r="D1521" i="11"/>
  <c r="E1520" i="11" s="1"/>
  <c r="D1522" i="11"/>
  <c r="E1521" i="11" s="1"/>
  <c r="D1523" i="11"/>
  <c r="D1524" i="11"/>
  <c r="D1525" i="11"/>
  <c r="E1524" i="11" s="1"/>
  <c r="D1526" i="11"/>
  <c r="D1527" i="11"/>
  <c r="E1526" i="11" s="1"/>
  <c r="D1528" i="11"/>
  <c r="E1527" i="11" s="1"/>
  <c r="D1529" i="11"/>
  <c r="E1528" i="11" s="1"/>
  <c r="D1530" i="11"/>
  <c r="E1529" i="11" s="1"/>
  <c r="D1531" i="11"/>
  <c r="E1530" i="11" s="1"/>
  <c r="D1532" i="11"/>
  <c r="D1533" i="11"/>
  <c r="E1532" i="11" s="1"/>
  <c r="D1534" i="11"/>
  <c r="E1533" i="11" s="1"/>
  <c r="D1535" i="11"/>
  <c r="D1536" i="11"/>
  <c r="D1537" i="11"/>
  <c r="E1536" i="11" s="1"/>
  <c r="D1538" i="11"/>
  <c r="D1539" i="11"/>
  <c r="E1538" i="11" s="1"/>
  <c r="D1540" i="11"/>
  <c r="E1539" i="11" s="1"/>
  <c r="D1541" i="11"/>
  <c r="E1540" i="11" s="1"/>
  <c r="D1542" i="11"/>
  <c r="E1541" i="11" s="1"/>
  <c r="D1543" i="11"/>
  <c r="E1542" i="11" s="1"/>
  <c r="D1544" i="11"/>
  <c r="D1545" i="11"/>
  <c r="E1544" i="11" s="1"/>
  <c r="D1546" i="11"/>
  <c r="E1545" i="11" s="1"/>
  <c r="D1547" i="11"/>
  <c r="D1548" i="11"/>
  <c r="D1549" i="11"/>
  <c r="E1548" i="11" s="1"/>
  <c r="D1550" i="11"/>
  <c r="D1551" i="11"/>
  <c r="E1550" i="11" s="1"/>
  <c r="D1552" i="11"/>
  <c r="E1551" i="11" s="1"/>
  <c r="D1553" i="11"/>
  <c r="E1552" i="11" s="1"/>
  <c r="D1554" i="11"/>
  <c r="E1553" i="11" s="1"/>
  <c r="D1555" i="11"/>
  <c r="E1554" i="11" s="1"/>
  <c r="D1556" i="11"/>
  <c r="D1557" i="11"/>
  <c r="E1556" i="11" s="1"/>
  <c r="D1558" i="11"/>
  <c r="E1557" i="11" s="1"/>
  <c r="D1559" i="11"/>
  <c r="D1560" i="11"/>
  <c r="D1561" i="11"/>
  <c r="E1560" i="11" s="1"/>
  <c r="D1562" i="11"/>
  <c r="D1563" i="11"/>
  <c r="E1562" i="11" s="1"/>
  <c r="D1564" i="11"/>
  <c r="E1563" i="11" s="1"/>
  <c r="D1565" i="11"/>
  <c r="E1564" i="11" s="1"/>
  <c r="D1566" i="11"/>
  <c r="E1565" i="11" s="1"/>
  <c r="D1567" i="11"/>
  <c r="E1566" i="11" s="1"/>
  <c r="D1568" i="11"/>
  <c r="D1569" i="11"/>
  <c r="E1568" i="11" s="1"/>
  <c r="D1570" i="11"/>
  <c r="E1569" i="11" s="1"/>
  <c r="D1571" i="11"/>
  <c r="D1572" i="11"/>
  <c r="D1573" i="11"/>
  <c r="E1572" i="11" s="1"/>
  <c r="D1574" i="11"/>
  <c r="D1575" i="11"/>
  <c r="E1574" i="11" s="1"/>
  <c r="D1576" i="11"/>
  <c r="E1575" i="11" s="1"/>
  <c r="D1577" i="11"/>
  <c r="E1576" i="11" s="1"/>
  <c r="D1578" i="11"/>
  <c r="E1577" i="11" s="1"/>
  <c r="D1579" i="11"/>
  <c r="E1578" i="11" s="1"/>
  <c r="D1580" i="11"/>
  <c r="D1581" i="11"/>
  <c r="E1580" i="11" s="1"/>
  <c r="D1582" i="11"/>
  <c r="E1581" i="11" s="1"/>
  <c r="D1583" i="11"/>
  <c r="D1584" i="11"/>
  <c r="D1585" i="11"/>
  <c r="E1584" i="11" s="1"/>
  <c r="D1586" i="11"/>
  <c r="D1587" i="11"/>
  <c r="E1586" i="11" s="1"/>
  <c r="D1588" i="11"/>
  <c r="E1587" i="11" s="1"/>
  <c r="D1589" i="11"/>
  <c r="E1588" i="11" s="1"/>
  <c r="D1590" i="11"/>
  <c r="E1589" i="11" s="1"/>
  <c r="D1591" i="11"/>
  <c r="E1590" i="11" s="1"/>
  <c r="D1592" i="11"/>
  <c r="D1593" i="11"/>
  <c r="E1592" i="11" s="1"/>
  <c r="D1594" i="11"/>
  <c r="E1593" i="11" s="1"/>
  <c r="D1595" i="11"/>
  <c r="D1596" i="11"/>
  <c r="D1597" i="11"/>
  <c r="E1596" i="11" s="1"/>
  <c r="D1598" i="11"/>
  <c r="D1599" i="11"/>
  <c r="E1598" i="11" s="1"/>
  <c r="D1600" i="11"/>
  <c r="E1599" i="11" s="1"/>
  <c r="D1601" i="11"/>
  <c r="E1600" i="11" s="1"/>
  <c r="D1602" i="11"/>
  <c r="E1601" i="11" s="1"/>
  <c r="D1603" i="11"/>
  <c r="E1602" i="11" s="1"/>
  <c r="D1604" i="11"/>
  <c r="D1605" i="11"/>
  <c r="E1604" i="11" s="1"/>
  <c r="D1606" i="11"/>
  <c r="E1605" i="11" s="1"/>
  <c r="D1607" i="11"/>
  <c r="D1608" i="11"/>
  <c r="D1609" i="11"/>
  <c r="E1608" i="11" s="1"/>
  <c r="D1610" i="11"/>
  <c r="D1611" i="11"/>
  <c r="E1610" i="11" s="1"/>
  <c r="D1612" i="11"/>
  <c r="E1611" i="11" s="1"/>
  <c r="D1613" i="11"/>
  <c r="E1612" i="11" s="1"/>
  <c r="D1614" i="11"/>
  <c r="E1613" i="11" s="1"/>
  <c r="D1615" i="11"/>
  <c r="E1614" i="11" s="1"/>
  <c r="D1616" i="11"/>
  <c r="D1617" i="11"/>
  <c r="E1616" i="11" s="1"/>
  <c r="D1618" i="11"/>
  <c r="E1617" i="11" s="1"/>
  <c r="D1619" i="11"/>
  <c r="D1620" i="11"/>
  <c r="D1621" i="11"/>
  <c r="E1620" i="11" s="1"/>
  <c r="D1622" i="11"/>
  <c r="D1623" i="11"/>
  <c r="E1622" i="11" s="1"/>
  <c r="D1624" i="11"/>
  <c r="E1623" i="11" s="1"/>
  <c r="D1625" i="11"/>
  <c r="E1624" i="11" s="1"/>
  <c r="D1626" i="11"/>
  <c r="E1625" i="11" s="1"/>
  <c r="D1627" i="11"/>
  <c r="E1626" i="11" s="1"/>
  <c r="D1628" i="11"/>
  <c r="D1629" i="11"/>
  <c r="E1628" i="11" s="1"/>
  <c r="D1630" i="11"/>
  <c r="E1629" i="11" s="1"/>
  <c r="D1631" i="11"/>
  <c r="D1632" i="11"/>
  <c r="D1633" i="11"/>
  <c r="E1632" i="11" s="1"/>
  <c r="D1634" i="11"/>
  <c r="D1635" i="11"/>
  <c r="E1634" i="11" s="1"/>
  <c r="D1636" i="11"/>
  <c r="E1635" i="11" s="1"/>
  <c r="D1637" i="11"/>
  <c r="E1636" i="11" s="1"/>
  <c r="D1638" i="11"/>
  <c r="E1637" i="11" s="1"/>
  <c r="D1639" i="11"/>
  <c r="E1638" i="11" s="1"/>
  <c r="D1640" i="11"/>
  <c r="D1641" i="11"/>
  <c r="E1640" i="11" s="1"/>
  <c r="D1642" i="11"/>
  <c r="E1641" i="11" s="1"/>
  <c r="D1643" i="11"/>
  <c r="D1644" i="11"/>
  <c r="D1645" i="11"/>
  <c r="E1644" i="11" s="1"/>
  <c r="D1646" i="11"/>
  <c r="D1647" i="11"/>
  <c r="E1646" i="11" s="1"/>
  <c r="D1648" i="11"/>
  <c r="E1647" i="11" s="1"/>
  <c r="D1649" i="11"/>
  <c r="E1648" i="11" s="1"/>
  <c r="D1650" i="11"/>
  <c r="E1649" i="11" s="1"/>
  <c r="D1651" i="11"/>
  <c r="E1650" i="11" s="1"/>
  <c r="D1652" i="11"/>
  <c r="D1653" i="11"/>
  <c r="E1652" i="11" s="1"/>
  <c r="D1654" i="11"/>
  <c r="E1653" i="11" s="1"/>
  <c r="D1655" i="11"/>
  <c r="D1656" i="11"/>
  <c r="D1657" i="11"/>
  <c r="E1656" i="11" s="1"/>
  <c r="D1658" i="11"/>
  <c r="D1659" i="11"/>
  <c r="E1658" i="11" s="1"/>
  <c r="D1660" i="11"/>
  <c r="E1659" i="11" s="1"/>
  <c r="D1661" i="11"/>
  <c r="E1660" i="11" s="1"/>
  <c r="D1662" i="11"/>
  <c r="E1661" i="11" s="1"/>
  <c r="D1663" i="11"/>
  <c r="E1662" i="11" s="1"/>
  <c r="D1664" i="11"/>
  <c r="D1665" i="11"/>
  <c r="E1664" i="11" s="1"/>
  <c r="D1666" i="11"/>
  <c r="E1665" i="11" s="1"/>
  <c r="D1667" i="11"/>
  <c r="D1668" i="11"/>
  <c r="D1669" i="11"/>
  <c r="E1668" i="11" s="1"/>
  <c r="D1670" i="11"/>
  <c r="D1671" i="11"/>
  <c r="E1670" i="11" s="1"/>
  <c r="D1672" i="11"/>
  <c r="E1671" i="11" s="1"/>
  <c r="D1673" i="11"/>
  <c r="E1672" i="11" s="1"/>
  <c r="D1674" i="11"/>
  <c r="E1673" i="11" s="1"/>
  <c r="D1675" i="11"/>
  <c r="E1674" i="11" s="1"/>
  <c r="D1676" i="11"/>
  <c r="D1677" i="11"/>
  <c r="E1676" i="11" s="1"/>
  <c r="D1678" i="11"/>
  <c r="E1677" i="11" s="1"/>
  <c r="D1679" i="11"/>
  <c r="D1680" i="11"/>
  <c r="D1681" i="11"/>
  <c r="E1680" i="11" s="1"/>
  <c r="D1682" i="11"/>
  <c r="D1683" i="11"/>
  <c r="E1682" i="11" s="1"/>
  <c r="D1684" i="11"/>
  <c r="E1683" i="11" s="1"/>
  <c r="D1685" i="11"/>
  <c r="E1684" i="11" s="1"/>
  <c r="D1686" i="11"/>
  <c r="E1685" i="11" s="1"/>
  <c r="D1687" i="11"/>
  <c r="E1686" i="11" s="1"/>
  <c r="D1688" i="11"/>
  <c r="D1689" i="11"/>
  <c r="E1688" i="11" s="1"/>
  <c r="D1690" i="11"/>
  <c r="E1689" i="11" s="1"/>
  <c r="D1691" i="11"/>
  <c r="D1692" i="11"/>
  <c r="D1693" i="11"/>
  <c r="E1692" i="11" s="1"/>
  <c r="D1694" i="11"/>
  <c r="D1695" i="11"/>
  <c r="E1694" i="11" s="1"/>
  <c r="D1696" i="11"/>
  <c r="E1695" i="11" s="1"/>
  <c r="D1697" i="11"/>
  <c r="E1696" i="11" s="1"/>
  <c r="D1698" i="11"/>
  <c r="E1697" i="11" s="1"/>
  <c r="D1699" i="11"/>
  <c r="E1698" i="11" s="1"/>
  <c r="D1700" i="11"/>
  <c r="D1701" i="11"/>
  <c r="E1700" i="11" s="1"/>
  <c r="D1702" i="11"/>
  <c r="E1701" i="11" s="1"/>
  <c r="D1703" i="11"/>
  <c r="D1704" i="11"/>
  <c r="D1705" i="11"/>
  <c r="E1704" i="11" s="1"/>
  <c r="D1706" i="11"/>
  <c r="D1707" i="11"/>
  <c r="E1706" i="11" s="1"/>
  <c r="D1708" i="11"/>
  <c r="E1707" i="11" s="1"/>
  <c r="D1709" i="11"/>
  <c r="E1708" i="11" s="1"/>
  <c r="D1710" i="11"/>
  <c r="E1709" i="11" s="1"/>
  <c r="D1711" i="11"/>
  <c r="E1710" i="11" s="1"/>
  <c r="D1712" i="11"/>
  <c r="D1713" i="11"/>
  <c r="E1712" i="11" s="1"/>
  <c r="D1714" i="11"/>
  <c r="E1713" i="11" s="1"/>
  <c r="D1715" i="11"/>
  <c r="D1716" i="11"/>
  <c r="D1717" i="11"/>
  <c r="E1716" i="11" s="1"/>
  <c r="D1718" i="11"/>
  <c r="D1719" i="11"/>
  <c r="E1718" i="11" s="1"/>
  <c r="D1720" i="11"/>
  <c r="E1719" i="11" s="1"/>
  <c r="D1721" i="11"/>
  <c r="E1720" i="11" s="1"/>
  <c r="D1722" i="11"/>
  <c r="E1721" i="11" s="1"/>
  <c r="D1723" i="11"/>
  <c r="E1722" i="11" s="1"/>
  <c r="D1724" i="11"/>
  <c r="D1725" i="11"/>
  <c r="E1724" i="11" s="1"/>
  <c r="D1726" i="11"/>
  <c r="E1725" i="11" s="1"/>
  <c r="D1727" i="11"/>
  <c r="D1728" i="11"/>
  <c r="D1729" i="11"/>
  <c r="E1728" i="11" s="1"/>
  <c r="D1730" i="11"/>
  <c r="D1731" i="11"/>
  <c r="E1730" i="11" s="1"/>
  <c r="D1732" i="11"/>
  <c r="E1731" i="11" s="1"/>
  <c r="D1733" i="11"/>
  <c r="E1732" i="11" s="1"/>
  <c r="D1734" i="11"/>
  <c r="E1733" i="11" s="1"/>
  <c r="D1735" i="11"/>
  <c r="E1734" i="11" s="1"/>
  <c r="D1736" i="11"/>
  <c r="D1737" i="11"/>
  <c r="E1736" i="11" s="1"/>
  <c r="D1738" i="11"/>
  <c r="E1737" i="11" s="1"/>
  <c r="D1739" i="11"/>
  <c r="D1740" i="11"/>
  <c r="D1741" i="11"/>
  <c r="E1740" i="11" s="1"/>
  <c r="D1742" i="11"/>
  <c r="D1743" i="11"/>
  <c r="E1742" i="11" s="1"/>
  <c r="D1744" i="11"/>
  <c r="E1743" i="11" s="1"/>
  <c r="D1745" i="11"/>
  <c r="E1744" i="11" s="1"/>
  <c r="D1746" i="11"/>
  <c r="E1745" i="11" s="1"/>
  <c r="D1747" i="11"/>
  <c r="E1746" i="11" s="1"/>
  <c r="D1748" i="11"/>
  <c r="D1749" i="11"/>
  <c r="E1748" i="11" s="1"/>
  <c r="D1750" i="11"/>
  <c r="E1749" i="11" s="1"/>
  <c r="D1751" i="11"/>
  <c r="D1752" i="11"/>
  <c r="D1753" i="11"/>
  <c r="E1752" i="11" s="1"/>
  <c r="D1754" i="11"/>
  <c r="D1755" i="11"/>
  <c r="E1754" i="11" s="1"/>
  <c r="D1756" i="11"/>
  <c r="E1755" i="11" s="1"/>
  <c r="D1757" i="11"/>
  <c r="E1756" i="11" s="1"/>
  <c r="D1758" i="11"/>
  <c r="E1757" i="11" s="1"/>
  <c r="D1759" i="11"/>
  <c r="E1758" i="11" s="1"/>
  <c r="D1760" i="11"/>
  <c r="D1761" i="11"/>
  <c r="E1760" i="11" s="1"/>
  <c r="D1762" i="11"/>
  <c r="E1761" i="11" s="1"/>
  <c r="D1763" i="11"/>
  <c r="D1764" i="11"/>
  <c r="D1765" i="11"/>
  <c r="E1764" i="11" s="1"/>
  <c r="D1766" i="11"/>
  <c r="D1767" i="11"/>
  <c r="E1766" i="11" s="1"/>
  <c r="D1768" i="11"/>
  <c r="E1767" i="11" s="1"/>
  <c r="D1769" i="11"/>
  <c r="D1770" i="11"/>
  <c r="E1769" i="11" s="1"/>
  <c r="D1771" i="11"/>
  <c r="E1770" i="11" s="1"/>
  <c r="D1772" i="11"/>
  <c r="D1773" i="11"/>
  <c r="E1772" i="11" s="1"/>
  <c r="D1774" i="11"/>
  <c r="E1773" i="11" s="1"/>
  <c r="D1775" i="11"/>
  <c r="D1776" i="11"/>
  <c r="D1777" i="11"/>
  <c r="E1776" i="11" s="1"/>
  <c r="D1778" i="11"/>
  <c r="D1779" i="11"/>
  <c r="E1778" i="11" s="1"/>
  <c r="D1780" i="11"/>
  <c r="E1779" i="11" s="1"/>
  <c r="D1781" i="11"/>
  <c r="D1782" i="11"/>
  <c r="E1781" i="11" s="1"/>
  <c r="D1783" i="11"/>
  <c r="E1782" i="11" s="1"/>
  <c r="D1784" i="11"/>
  <c r="D1785" i="11"/>
  <c r="E1784" i="11" s="1"/>
  <c r="D1786" i="11"/>
  <c r="E1785" i="11" s="1"/>
  <c r="D1787" i="11"/>
  <c r="D1788" i="11"/>
  <c r="D1789" i="11"/>
  <c r="E1788" i="11" s="1"/>
  <c r="D1790" i="11"/>
  <c r="D1791" i="11"/>
  <c r="E1790" i="11" s="1"/>
  <c r="D1792" i="11"/>
  <c r="E1791" i="11" s="1"/>
  <c r="D1793" i="11"/>
  <c r="D1794" i="11"/>
  <c r="E1793" i="11" s="1"/>
  <c r="D1795" i="11"/>
  <c r="E1794" i="11" s="1"/>
  <c r="D1796" i="11"/>
  <c r="D1797" i="11"/>
  <c r="E1796" i="11" s="1"/>
  <c r="D1798" i="11"/>
  <c r="E1797" i="11" s="1"/>
  <c r="D1799" i="11"/>
  <c r="D1800" i="11"/>
  <c r="D1801" i="11"/>
  <c r="E1800" i="11" s="1"/>
  <c r="D1802" i="11"/>
  <c r="D1803" i="11"/>
  <c r="E1802" i="11" s="1"/>
  <c r="D1804" i="11"/>
  <c r="E1803" i="11" s="1"/>
  <c r="D1805" i="11"/>
  <c r="D1806" i="11"/>
  <c r="E1805" i="11" s="1"/>
  <c r="D1807" i="11"/>
  <c r="E1806" i="11" s="1"/>
  <c r="D1808" i="11"/>
  <c r="D1809" i="11"/>
  <c r="E1808" i="11" s="1"/>
  <c r="D1810" i="11"/>
  <c r="E1809" i="11" s="1"/>
  <c r="D1811" i="11"/>
  <c r="D1812" i="11"/>
  <c r="D1813" i="11"/>
  <c r="E1812" i="11" s="1"/>
  <c r="D1814" i="11"/>
  <c r="D1815" i="11"/>
  <c r="E1814" i="11" s="1"/>
  <c r="D1816" i="11"/>
  <c r="E1815" i="11" s="1"/>
  <c r="D1817" i="11"/>
  <c r="D1818" i="11"/>
  <c r="E1817" i="11" s="1"/>
  <c r="D1819" i="11"/>
  <c r="E1818" i="11" s="1"/>
  <c r="D1820" i="11"/>
  <c r="D1821" i="11"/>
  <c r="E1820" i="11" s="1"/>
  <c r="D1822" i="11"/>
  <c r="E1821" i="11" s="1"/>
  <c r="D1823" i="11"/>
  <c r="D1824" i="11"/>
  <c r="D1825" i="11"/>
  <c r="E1824" i="11" s="1"/>
  <c r="D1826" i="11"/>
  <c r="E1825" i="11" s="1"/>
  <c r="D1827" i="11"/>
  <c r="E1826" i="11" s="1"/>
  <c r="D1828" i="11"/>
  <c r="E1827" i="11" s="1"/>
  <c r="D1829" i="11"/>
  <c r="D1830" i="11"/>
  <c r="E1829" i="11" s="1"/>
  <c r="D1831" i="11"/>
  <c r="E1830" i="11" s="1"/>
  <c r="D1832" i="11"/>
  <c r="D1833" i="11"/>
  <c r="E1832" i="11" s="1"/>
  <c r="D1834" i="11"/>
  <c r="E1833" i="11" s="1"/>
  <c r="D1835" i="11"/>
  <c r="D1836" i="11"/>
  <c r="D1837" i="11"/>
  <c r="E1836" i="11" s="1"/>
  <c r="D1838" i="11"/>
  <c r="E1837" i="11" s="1"/>
  <c r="D1839" i="11"/>
  <c r="D1840" i="11"/>
  <c r="E1839" i="11" s="1"/>
  <c r="D1841" i="11"/>
  <c r="D1842" i="11"/>
  <c r="E1841" i="11" s="1"/>
  <c r="D1843" i="11"/>
  <c r="E1842" i="11" s="1"/>
  <c r="D1844" i="11"/>
  <c r="D1845" i="11"/>
  <c r="E1844" i="11" s="1"/>
  <c r="D1846" i="11"/>
  <c r="E1845" i="11" s="1"/>
  <c r="D1847" i="11"/>
  <c r="D1848" i="11"/>
  <c r="D1849" i="11"/>
  <c r="E1848" i="11" s="1"/>
  <c r="D1850" i="11"/>
  <c r="E1849" i="11" s="1"/>
  <c r="D1851" i="11"/>
  <c r="D1852" i="11"/>
  <c r="E1851" i="11" s="1"/>
  <c r="D1853" i="11"/>
  <c r="D1854" i="11"/>
  <c r="E1853" i="11" s="1"/>
  <c r="D1855" i="11"/>
  <c r="E1854" i="11" s="1"/>
  <c r="D1856" i="11"/>
  <c r="D1857" i="11"/>
  <c r="E1856" i="11" s="1"/>
  <c r="D1858" i="11"/>
  <c r="E1857" i="11" s="1"/>
  <c r="D1859" i="11"/>
  <c r="D1860" i="11"/>
  <c r="D1861" i="11"/>
  <c r="E1860" i="11" s="1"/>
  <c r="D1862" i="11"/>
  <c r="E1861" i="11" s="1"/>
  <c r="D1863" i="11"/>
  <c r="D1864" i="11"/>
  <c r="E1863" i="11" s="1"/>
  <c r="D1865" i="11"/>
  <c r="D1866" i="11"/>
  <c r="E1865" i="11" s="1"/>
  <c r="D1867" i="11"/>
  <c r="E1866" i="11" s="1"/>
  <c r="D1868" i="11"/>
  <c r="D1869" i="11"/>
  <c r="E1868" i="11" s="1"/>
  <c r="D1870" i="11"/>
  <c r="E1869" i="11" s="1"/>
  <c r="D1871" i="11"/>
  <c r="D1872" i="11"/>
  <c r="D1873" i="11"/>
  <c r="E1872" i="11" s="1"/>
  <c r="D1874" i="11"/>
  <c r="E1873" i="11" s="1"/>
  <c r="D1875" i="11"/>
  <c r="D1876" i="11"/>
  <c r="E1875" i="11" s="1"/>
  <c r="D1877" i="11"/>
  <c r="D1878" i="11"/>
  <c r="E1877" i="11" s="1"/>
  <c r="D1879" i="11"/>
  <c r="E1878" i="11" s="1"/>
  <c r="D1880" i="11"/>
  <c r="D1881" i="11"/>
  <c r="E1880" i="11" s="1"/>
  <c r="D1882" i="11"/>
  <c r="E1881" i="11" s="1"/>
  <c r="D1883" i="11"/>
  <c r="D1884" i="11"/>
  <c r="D1885" i="11"/>
  <c r="E1884" i="11" s="1"/>
  <c r="D1886" i="11"/>
  <c r="E1885" i="11" s="1"/>
  <c r="D1887" i="11"/>
  <c r="D1888" i="11"/>
  <c r="E1887" i="11" s="1"/>
  <c r="D1889" i="11"/>
  <c r="D1890" i="11"/>
  <c r="E1889" i="11" s="1"/>
  <c r="D1891" i="11"/>
  <c r="E1890" i="11" s="1"/>
  <c r="D1892" i="11"/>
  <c r="D1893" i="11"/>
  <c r="E1892" i="11" s="1"/>
  <c r="D1894" i="11"/>
  <c r="E1893" i="11" s="1"/>
  <c r="D1895" i="11"/>
  <c r="D1896" i="11"/>
  <c r="D1897" i="11"/>
  <c r="E1896" i="11" s="1"/>
  <c r="D1898" i="11"/>
  <c r="E1897" i="11" s="1"/>
  <c r="D1899" i="11"/>
  <c r="D1900" i="11"/>
  <c r="E1899" i="11" s="1"/>
  <c r="D1901" i="11"/>
  <c r="D1902" i="11"/>
  <c r="E1901" i="11" s="1"/>
  <c r="D1903" i="11"/>
  <c r="E1902" i="11" s="1"/>
  <c r="D1904" i="11"/>
  <c r="D1905" i="11"/>
  <c r="E1904" i="11" s="1"/>
  <c r="D1906" i="11"/>
  <c r="E1905" i="11" s="1"/>
  <c r="D1907" i="11"/>
  <c r="D1908" i="11"/>
  <c r="D1909" i="11"/>
  <c r="E1908" i="11" s="1"/>
  <c r="D1910" i="11"/>
  <c r="E1909" i="11" s="1"/>
  <c r="D1911" i="11"/>
  <c r="D1912" i="11"/>
  <c r="E1911" i="11" s="1"/>
  <c r="D1913" i="11"/>
  <c r="D1914" i="11"/>
  <c r="E1913" i="11" s="1"/>
  <c r="D1915" i="11"/>
  <c r="E1914" i="11" s="1"/>
  <c r="D1916" i="11"/>
  <c r="D1917" i="11"/>
  <c r="E1916" i="11" s="1"/>
  <c r="D1918" i="11"/>
  <c r="E1917" i="11" s="1"/>
  <c r="D1919" i="11"/>
  <c r="D1920" i="11"/>
  <c r="D1921" i="11"/>
  <c r="E1920" i="11" s="1"/>
  <c r="D1922" i="11"/>
  <c r="E1921" i="11" s="1"/>
  <c r="D1923" i="11"/>
  <c r="D1924" i="11"/>
  <c r="E1923" i="11" s="1"/>
  <c r="D1925" i="11"/>
  <c r="D1926" i="11"/>
  <c r="E1925" i="11" s="1"/>
  <c r="D1927" i="11"/>
  <c r="E1926" i="11" s="1"/>
  <c r="D1928" i="11"/>
  <c r="D1929" i="11"/>
  <c r="E1928" i="11" s="1"/>
  <c r="D1930" i="11"/>
  <c r="E1929" i="11" s="1"/>
  <c r="D1931" i="11"/>
  <c r="D1932" i="11"/>
  <c r="D1933" i="11"/>
  <c r="E1932" i="11" s="1"/>
  <c r="D1934" i="11"/>
  <c r="E1933" i="11" s="1"/>
  <c r="D1935" i="11"/>
  <c r="D1936" i="11"/>
  <c r="E1935" i="11" s="1"/>
  <c r="D1937" i="11"/>
  <c r="D1938" i="11"/>
  <c r="E1937" i="11" s="1"/>
  <c r="D1939" i="11"/>
  <c r="E1938" i="11" s="1"/>
  <c r="D1940" i="11"/>
  <c r="D1941" i="11"/>
  <c r="E1940" i="11" s="1"/>
  <c r="D1942" i="11"/>
  <c r="E1941" i="11" s="1"/>
  <c r="D1943" i="11"/>
  <c r="D1944" i="11"/>
  <c r="D1945" i="11"/>
  <c r="E1944" i="11" s="1"/>
  <c r="D1946" i="11"/>
  <c r="E1945" i="11" s="1"/>
  <c r="D1947" i="11"/>
  <c r="D1948" i="11"/>
  <c r="E1947" i="11" s="1"/>
  <c r="D1949" i="11"/>
  <c r="D1950" i="11"/>
  <c r="E1949" i="11" s="1"/>
  <c r="D1951" i="11"/>
  <c r="E1950" i="11" s="1"/>
  <c r="D1952" i="11"/>
  <c r="D1953" i="11"/>
  <c r="E1952" i="11" s="1"/>
  <c r="D1954" i="11"/>
  <c r="E1953" i="11" s="1"/>
  <c r="D1955" i="11"/>
  <c r="D1956" i="11"/>
  <c r="D1957" i="11"/>
  <c r="E1956" i="11" s="1"/>
  <c r="D1958" i="11"/>
  <c r="E1957" i="11" s="1"/>
  <c r="D1959" i="11"/>
  <c r="D1960" i="11"/>
  <c r="E1959" i="11" s="1"/>
  <c r="D1961" i="11"/>
  <c r="D1962" i="11"/>
  <c r="E1961" i="11" s="1"/>
  <c r="D1963" i="11"/>
  <c r="E1962" i="11" s="1"/>
  <c r="D1964" i="11"/>
  <c r="D1965" i="11"/>
  <c r="E1964" i="11" s="1"/>
  <c r="D1966" i="11"/>
  <c r="E1965" i="11" s="1"/>
  <c r="D1967" i="11"/>
  <c r="D1968" i="11"/>
  <c r="D1969" i="11"/>
  <c r="E1968" i="11" s="1"/>
  <c r="D1970" i="11"/>
  <c r="E1969" i="11" s="1"/>
  <c r="D1971" i="11"/>
  <c r="D1972" i="11"/>
  <c r="E1971" i="11" s="1"/>
  <c r="D1973" i="11"/>
  <c r="D1974" i="11"/>
  <c r="E1973" i="11" s="1"/>
  <c r="D1975" i="11"/>
  <c r="E1974" i="11" s="1"/>
  <c r="D1976" i="11"/>
  <c r="D1977" i="11"/>
  <c r="E1976" i="11" s="1"/>
  <c r="D1978" i="11"/>
  <c r="E1977" i="11" s="1"/>
  <c r="D1979" i="11"/>
  <c r="D1980" i="11"/>
  <c r="D1981" i="11"/>
  <c r="E1980" i="11" s="1"/>
  <c r="D1982" i="11"/>
  <c r="E1981" i="11" s="1"/>
  <c r="D1983" i="11"/>
  <c r="D1984" i="11"/>
  <c r="E1983" i="11" s="1"/>
  <c r="D1985" i="11"/>
  <c r="D1986" i="11"/>
  <c r="E1985" i="11" s="1"/>
  <c r="D1987" i="11"/>
  <c r="E1986" i="11" s="1"/>
  <c r="D1988" i="11"/>
  <c r="D1989" i="11"/>
  <c r="E1988" i="11" s="1"/>
  <c r="D1990" i="11"/>
  <c r="E1989" i="11" s="1"/>
  <c r="D1991" i="11"/>
  <c r="D1992" i="11"/>
  <c r="D1993" i="11"/>
  <c r="E1992" i="11" s="1"/>
  <c r="D1994" i="11"/>
  <c r="E1993" i="11" s="1"/>
  <c r="D1995" i="11"/>
  <c r="D1996" i="11"/>
  <c r="E1995" i="11" s="1"/>
  <c r="D1997" i="11"/>
  <c r="D1998" i="11"/>
  <c r="E1997" i="11" s="1"/>
  <c r="D1999" i="11"/>
  <c r="E1998" i="11" s="1"/>
  <c r="D2000" i="11"/>
  <c r="D2001" i="11"/>
  <c r="E2000" i="11" s="1"/>
  <c r="D2002" i="11"/>
  <c r="E2001" i="11" s="1"/>
  <c r="D2003" i="11"/>
  <c r="D2004" i="11"/>
  <c r="D2005" i="11"/>
  <c r="E2004" i="11" s="1"/>
  <c r="D2006" i="11"/>
  <c r="E2005" i="11" s="1"/>
  <c r="D2007" i="11"/>
  <c r="E2006" i="11" s="1"/>
  <c r="D2008" i="11"/>
  <c r="E2007" i="11" s="1"/>
  <c r="D2009" i="11"/>
  <c r="D2010" i="11"/>
  <c r="E2009" i="11" s="1"/>
  <c r="D2011" i="11"/>
  <c r="E2010" i="11" s="1"/>
  <c r="D2012" i="11"/>
  <c r="D2013" i="11"/>
  <c r="E2012" i="11" s="1"/>
  <c r="D2014" i="11"/>
  <c r="E2013" i="11" s="1"/>
  <c r="D2015" i="11"/>
  <c r="D2016" i="11"/>
  <c r="D2017" i="11"/>
  <c r="E2016" i="11" s="1"/>
  <c r="D2018" i="11"/>
  <c r="E2017" i="11" s="1"/>
  <c r="D2019" i="11"/>
  <c r="D2020" i="11"/>
  <c r="E2019" i="11" s="1"/>
  <c r="D2021" i="11"/>
  <c r="D2022" i="11"/>
  <c r="E2021" i="11" s="1"/>
  <c r="D2023" i="11"/>
  <c r="E2022" i="11" s="1"/>
  <c r="D2024" i="11"/>
  <c r="D2025" i="11"/>
  <c r="E2024" i="11" s="1"/>
  <c r="D2026" i="11"/>
  <c r="E2025" i="11" s="1"/>
  <c r="D2027" i="11"/>
  <c r="D2028" i="11"/>
  <c r="D2029" i="11"/>
  <c r="E2028" i="11" s="1"/>
  <c r="D2030" i="11"/>
  <c r="E2029" i="11" s="1"/>
  <c r="D2031" i="11"/>
  <c r="D2032" i="11"/>
  <c r="E2031" i="11" s="1"/>
  <c r="D2033" i="11"/>
  <c r="D2034" i="11"/>
  <c r="E2033" i="11" s="1"/>
  <c r="D2035" i="11"/>
  <c r="E2034" i="11" s="1"/>
  <c r="D2036" i="11"/>
  <c r="D2037" i="11"/>
  <c r="E2036" i="11" s="1"/>
  <c r="D2038" i="11"/>
  <c r="E2037" i="11" s="1"/>
  <c r="D2039" i="11"/>
  <c r="D2040" i="11"/>
  <c r="D2041" i="11"/>
  <c r="E2040" i="11" s="1"/>
  <c r="D2042" i="11"/>
  <c r="E2041" i="11" s="1"/>
  <c r="D2043" i="11"/>
  <c r="D2044" i="11"/>
  <c r="E2043" i="11" s="1"/>
  <c r="D2045" i="11"/>
  <c r="D2046" i="11"/>
  <c r="E2045" i="11" s="1"/>
  <c r="D2047" i="11"/>
  <c r="E2046" i="11" s="1"/>
  <c r="D2048" i="11"/>
  <c r="D2049" i="11"/>
  <c r="E2048" i="11" s="1"/>
  <c r="D2050" i="11"/>
  <c r="E2049" i="11" s="1"/>
  <c r="D2051" i="11"/>
  <c r="D2052" i="11"/>
  <c r="D2053" i="11"/>
  <c r="E2052" i="11" s="1"/>
  <c r="D2054" i="11"/>
  <c r="E2053" i="11" s="1"/>
  <c r="D2055" i="11"/>
  <c r="D2056" i="11"/>
  <c r="E2055" i="11" s="1"/>
  <c r="D2057" i="11"/>
  <c r="D2058" i="11"/>
  <c r="E2057" i="11" s="1"/>
  <c r="D2059" i="11"/>
  <c r="E2058" i="11" s="1"/>
  <c r="D2060" i="11"/>
  <c r="D2061" i="11"/>
  <c r="E2060" i="11" s="1"/>
  <c r="D2062" i="11"/>
  <c r="E2061" i="11" s="1"/>
  <c r="D2063" i="11"/>
  <c r="D2064" i="11"/>
  <c r="D2065" i="11"/>
  <c r="E2064" i="11" s="1"/>
  <c r="D2066" i="11"/>
  <c r="E2065" i="11" s="1"/>
  <c r="D2067" i="11"/>
  <c r="D2068" i="11"/>
  <c r="E2067" i="11" s="1"/>
  <c r="D2069" i="11"/>
  <c r="D2070" i="11"/>
  <c r="E2069" i="11" s="1"/>
  <c r="D2071" i="11"/>
  <c r="E2070" i="11" s="1"/>
  <c r="D2072" i="11"/>
  <c r="D2073" i="11"/>
  <c r="E2072" i="11" s="1"/>
  <c r="D2074" i="11"/>
  <c r="E2073" i="11" s="1"/>
  <c r="D2075" i="11"/>
  <c r="D2076" i="11"/>
  <c r="D2077" i="11"/>
  <c r="E2076" i="11" s="1"/>
  <c r="D2078" i="11"/>
  <c r="E2077" i="11" s="1"/>
  <c r="D2079" i="11"/>
  <c r="D2080" i="11"/>
  <c r="E2079" i="11" s="1"/>
  <c r="D2081" i="11"/>
  <c r="D2082" i="11"/>
  <c r="E2081" i="11" s="1"/>
  <c r="D2083" i="11"/>
  <c r="E2082" i="11" s="1"/>
  <c r="D2084" i="11"/>
  <c r="D2085" i="11"/>
  <c r="E2084" i="11" s="1"/>
  <c r="D2086" i="11"/>
  <c r="E2085" i="11" s="1"/>
  <c r="D2087" i="11"/>
  <c r="D2088" i="11"/>
  <c r="D2089" i="11"/>
  <c r="E2088" i="11" s="1"/>
  <c r="D2090" i="11"/>
  <c r="E2089" i="11" s="1"/>
  <c r="D2091" i="11"/>
  <c r="D2092" i="11"/>
  <c r="E2091" i="11" s="1"/>
  <c r="D2093" i="11"/>
  <c r="D2094" i="11"/>
  <c r="E2093" i="11" s="1"/>
  <c r="D2095" i="11"/>
  <c r="E2094" i="11" s="1"/>
  <c r="D2096" i="11"/>
  <c r="D2097" i="11"/>
  <c r="E2096" i="11" s="1"/>
  <c r="D2098" i="11"/>
  <c r="E2097" i="11" s="1"/>
  <c r="D2099" i="11"/>
  <c r="D2100" i="11"/>
  <c r="D2101" i="11"/>
  <c r="E2100" i="11" s="1"/>
  <c r="D2102" i="11"/>
  <c r="E2101" i="11" s="1"/>
  <c r="D2103" i="11"/>
  <c r="D2104" i="11"/>
  <c r="E2103" i="11" s="1"/>
  <c r="D2105" i="11"/>
  <c r="D2106" i="11"/>
  <c r="E2105" i="11" s="1"/>
  <c r="D2107" i="11"/>
  <c r="E2106" i="11" s="1"/>
  <c r="D2108" i="11"/>
  <c r="D2109" i="11"/>
  <c r="E2108" i="11" s="1"/>
  <c r="D2110" i="11"/>
  <c r="E2109" i="11" s="1"/>
  <c r="D2111" i="11"/>
  <c r="D2112" i="11"/>
  <c r="D2113" i="11"/>
  <c r="E2112" i="11" s="1"/>
  <c r="D2114" i="11"/>
  <c r="E2113" i="11" s="1"/>
  <c r="D2115" i="11"/>
  <c r="D2116" i="11"/>
  <c r="E2115" i="11" s="1"/>
  <c r="D2117" i="11"/>
  <c r="D2118" i="11"/>
  <c r="E2117" i="11" s="1"/>
  <c r="D2119" i="11"/>
  <c r="E2118" i="11" s="1"/>
  <c r="D2120" i="11"/>
  <c r="D2121" i="11"/>
  <c r="E2120" i="11" s="1"/>
  <c r="D2122" i="11"/>
  <c r="E2121" i="11" s="1"/>
  <c r="D2123" i="11"/>
  <c r="D2124" i="11"/>
  <c r="D2125" i="11"/>
  <c r="E2124" i="11" s="1"/>
  <c r="D2126" i="11"/>
  <c r="E2125" i="11" s="1"/>
  <c r="D2127" i="11"/>
  <c r="D2128" i="11"/>
  <c r="E2127" i="11" s="1"/>
  <c r="D2129" i="11"/>
  <c r="D2130" i="11"/>
  <c r="E2129" i="11" s="1"/>
  <c r="D2131" i="11"/>
  <c r="E2130" i="11" s="1"/>
  <c r="D2132" i="11"/>
  <c r="D2133" i="11"/>
  <c r="E2132" i="11" s="1"/>
  <c r="D2134" i="11"/>
  <c r="E2133" i="11" s="1"/>
  <c r="D2135" i="11"/>
  <c r="D2136" i="11"/>
  <c r="D2137" i="11"/>
  <c r="E2136" i="11" s="1"/>
  <c r="D2138" i="11"/>
  <c r="E2137" i="11" s="1"/>
  <c r="D2139" i="11"/>
  <c r="D2140" i="11"/>
  <c r="E2139" i="11" s="1"/>
  <c r="D2141" i="11"/>
  <c r="D2142" i="11"/>
  <c r="E2141" i="11" s="1"/>
  <c r="D2143" i="11"/>
  <c r="E2142" i="11" s="1"/>
  <c r="D2144" i="11"/>
  <c r="D2145" i="11"/>
  <c r="E2144" i="11" s="1"/>
  <c r="D2146" i="11"/>
  <c r="E2145" i="11" s="1"/>
  <c r="D2147" i="11"/>
  <c r="D2148" i="11"/>
  <c r="D2149" i="11"/>
  <c r="E2148" i="11" s="1"/>
  <c r="D2150" i="11"/>
  <c r="E2149" i="11" s="1"/>
  <c r="D2151" i="11"/>
  <c r="D2152" i="11"/>
  <c r="E2151" i="11" s="1"/>
  <c r="D2153" i="11"/>
  <c r="D2154" i="11"/>
  <c r="E2153" i="11" s="1"/>
  <c r="D2155" i="11"/>
  <c r="E2154" i="11" s="1"/>
  <c r="D2156" i="11"/>
  <c r="D2157" i="11"/>
  <c r="E2156" i="11" s="1"/>
  <c r="D2158" i="11"/>
  <c r="E2157" i="11" s="1"/>
  <c r="D2159" i="11"/>
  <c r="D2160" i="11"/>
  <c r="D2161" i="11"/>
  <c r="E2160" i="11" s="1"/>
  <c r="D2162" i="11"/>
  <c r="E2161" i="11" s="1"/>
  <c r="D2163" i="11"/>
  <c r="F3" i="10"/>
  <c r="F4" i="10"/>
  <c r="F5" i="10"/>
  <c r="F6" i="10"/>
  <c r="F7" i="10"/>
  <c r="F8" i="10"/>
  <c r="F9" i="10"/>
  <c r="F10" i="10"/>
  <c r="F11" i="10"/>
  <c r="F12" i="10"/>
  <c r="F13" i="10"/>
  <c r="F14" i="10"/>
  <c r="H1" i="10" s="1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38" i="10"/>
  <c r="F1939" i="10"/>
  <c r="F1940" i="10"/>
  <c r="F1941" i="10"/>
  <c r="F1942" i="10"/>
  <c r="F1943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55" i="10"/>
  <c r="F1956" i="10"/>
  <c r="F1957" i="10"/>
  <c r="F1958" i="10"/>
  <c r="F1959" i="10"/>
  <c r="F1960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F2000" i="10"/>
  <c r="F2001" i="10"/>
  <c r="F2002" i="10"/>
  <c r="F2003" i="10"/>
  <c r="F2004" i="10"/>
  <c r="F2005" i="10"/>
  <c r="F2006" i="10"/>
  <c r="F2007" i="10"/>
  <c r="F2008" i="10"/>
  <c r="F2009" i="10"/>
  <c r="F2010" i="10"/>
  <c r="F2011" i="10"/>
  <c r="F2012" i="10"/>
  <c r="F2013" i="10"/>
  <c r="F2014" i="10"/>
  <c r="F2015" i="10"/>
  <c r="F2016" i="10"/>
  <c r="F2017" i="10"/>
  <c r="F2018" i="10"/>
  <c r="F2019" i="10"/>
  <c r="F2020" i="10"/>
  <c r="F2021" i="10"/>
  <c r="F2022" i="10"/>
  <c r="F2023" i="10"/>
  <c r="F2024" i="10"/>
  <c r="F2025" i="10"/>
  <c r="F2026" i="10"/>
  <c r="F2027" i="10"/>
  <c r="F2028" i="10"/>
  <c r="F2029" i="10"/>
  <c r="F2030" i="10"/>
  <c r="F2031" i="10"/>
  <c r="F2032" i="10"/>
  <c r="F2033" i="10"/>
  <c r="F2034" i="10"/>
  <c r="F2035" i="10"/>
  <c r="F2036" i="10"/>
  <c r="F2037" i="10"/>
  <c r="F2038" i="10"/>
  <c r="F2039" i="10"/>
  <c r="F2040" i="10"/>
  <c r="F2041" i="10"/>
  <c r="F2042" i="10"/>
  <c r="F2043" i="10"/>
  <c r="F2044" i="10"/>
  <c r="F2045" i="10"/>
  <c r="F2046" i="10"/>
  <c r="F2047" i="10"/>
  <c r="F2048" i="10"/>
  <c r="F2049" i="10"/>
  <c r="F2050" i="10"/>
  <c r="F2051" i="10"/>
  <c r="F2052" i="10"/>
  <c r="F2053" i="10"/>
  <c r="F2054" i="10"/>
  <c r="F2055" i="10"/>
  <c r="F2056" i="10"/>
  <c r="F2057" i="10"/>
  <c r="F2058" i="10"/>
  <c r="F2059" i="10"/>
  <c r="F2060" i="10"/>
  <c r="F2061" i="10"/>
  <c r="F2062" i="10"/>
  <c r="F2063" i="10"/>
  <c r="F2064" i="10"/>
  <c r="F2065" i="10"/>
  <c r="F2066" i="10"/>
  <c r="F2067" i="10"/>
  <c r="F2068" i="10"/>
  <c r="F2069" i="10"/>
  <c r="F2070" i="10"/>
  <c r="F2071" i="10"/>
  <c r="F2072" i="10"/>
  <c r="F2073" i="10"/>
  <c r="F2074" i="10"/>
  <c r="F2075" i="10"/>
  <c r="F2076" i="10"/>
  <c r="F2077" i="10"/>
  <c r="F2078" i="10"/>
  <c r="F2079" i="10"/>
  <c r="F2080" i="10"/>
  <c r="F2081" i="10"/>
  <c r="F2082" i="10"/>
  <c r="F2083" i="10"/>
  <c r="F2084" i="10"/>
  <c r="F2085" i="10"/>
  <c r="F2086" i="10"/>
  <c r="F2087" i="10"/>
  <c r="F2088" i="10"/>
  <c r="F2089" i="10"/>
  <c r="F2090" i="10"/>
  <c r="F2091" i="10"/>
  <c r="F2092" i="10"/>
  <c r="F2093" i="10"/>
  <c r="F2094" i="10"/>
  <c r="F2095" i="10"/>
  <c r="F2096" i="10"/>
  <c r="F2097" i="10"/>
  <c r="F2098" i="10"/>
  <c r="F2099" i="10"/>
  <c r="F2100" i="10"/>
  <c r="F2101" i="10"/>
  <c r="F2102" i="10"/>
  <c r="F2103" i="10"/>
  <c r="F2104" i="10"/>
  <c r="F2105" i="10"/>
  <c r="F2106" i="10"/>
  <c r="F2107" i="10"/>
  <c r="F2108" i="10"/>
  <c r="F2109" i="10"/>
  <c r="F2110" i="10"/>
  <c r="F2111" i="10"/>
  <c r="F2112" i="10"/>
  <c r="F2113" i="10"/>
  <c r="F2114" i="10"/>
  <c r="F2115" i="10"/>
  <c r="F2116" i="10"/>
  <c r="F2117" i="10"/>
  <c r="F2118" i="10"/>
  <c r="F2119" i="10"/>
  <c r="F2120" i="10"/>
  <c r="F2121" i="10"/>
  <c r="F2122" i="10"/>
  <c r="F2123" i="10"/>
  <c r="F2124" i="10"/>
  <c r="F2125" i="10"/>
  <c r="F2126" i="10"/>
  <c r="F2127" i="10"/>
  <c r="F2128" i="10"/>
  <c r="F2129" i="10"/>
  <c r="F2130" i="10"/>
  <c r="F2131" i="10"/>
  <c r="F2132" i="10"/>
  <c r="F2133" i="10"/>
  <c r="F2134" i="10"/>
  <c r="F2135" i="10"/>
  <c r="F2136" i="10"/>
  <c r="F2137" i="10"/>
  <c r="F2138" i="10"/>
  <c r="F2139" i="10"/>
  <c r="F2140" i="10"/>
  <c r="F2141" i="10"/>
  <c r="F2142" i="10"/>
  <c r="F2143" i="10"/>
  <c r="F2144" i="10"/>
  <c r="F2145" i="10"/>
  <c r="F2146" i="10"/>
  <c r="F2147" i="10"/>
  <c r="F2148" i="10"/>
  <c r="F2149" i="10"/>
  <c r="F2150" i="10"/>
  <c r="F2151" i="10"/>
  <c r="F2152" i="10"/>
  <c r="F2153" i="10"/>
  <c r="F2154" i="10"/>
  <c r="F2155" i="10"/>
  <c r="F2156" i="10"/>
  <c r="F2157" i="10"/>
  <c r="F2158" i="10"/>
  <c r="F2159" i="10"/>
  <c r="F2160" i="10"/>
  <c r="F2161" i="10"/>
  <c r="F2162" i="10"/>
  <c r="F2163" i="10"/>
  <c r="F2" i="10"/>
  <c r="D4" i="10"/>
  <c r="D5" i="10"/>
  <c r="D6" i="10" s="1"/>
  <c r="D7" i="10" s="1"/>
  <c r="D8" i="10"/>
  <c r="D9" i="10" s="1"/>
  <c r="D10" i="10" s="1"/>
  <c r="D11" i="10" s="1"/>
  <c r="D12" i="10"/>
  <c r="D13" i="10" s="1"/>
  <c r="D14" i="10"/>
  <c r="D15" i="10" s="1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D47" i="10" s="1"/>
  <c r="D48" i="10" s="1"/>
  <c r="D49" i="10" s="1"/>
  <c r="D50" i="10"/>
  <c r="D51" i="10" s="1"/>
  <c r="D52" i="10"/>
  <c r="D53" i="10"/>
  <c r="D54" i="10" s="1"/>
  <c r="D55" i="10" s="1"/>
  <c r="D56" i="10" s="1"/>
  <c r="D57" i="10" s="1"/>
  <c r="D58" i="10" s="1"/>
  <c r="D59" i="10" s="1"/>
  <c r="D60" i="10" s="1"/>
  <c r="D61" i="10" s="1"/>
  <c r="D62" i="10" s="1"/>
  <c r="D63" i="10" s="1"/>
  <c r="D64" i="10" s="1"/>
  <c r="D65" i="10" s="1"/>
  <c r="D66" i="10" s="1"/>
  <c r="D67" i="10" s="1"/>
  <c r="D68" i="10" s="1"/>
  <c r="D69" i="10" s="1"/>
  <c r="D70" i="10" s="1"/>
  <c r="D71" i="10" s="1"/>
  <c r="D72" i="10" s="1"/>
  <c r="D73" i="10" s="1"/>
  <c r="D74" i="10" s="1"/>
  <c r="D75" i="10" s="1"/>
  <c r="D76" i="10" s="1"/>
  <c r="D77" i="10" s="1"/>
  <c r="D78" i="10" s="1"/>
  <c r="D79" i="10" s="1"/>
  <c r="D80" i="10" s="1"/>
  <c r="D81" i="10" s="1"/>
  <c r="D82" i="10" s="1"/>
  <c r="D83" i="10" s="1"/>
  <c r="D84" i="10" s="1"/>
  <c r="D85" i="10" s="1"/>
  <c r="D86" i="10" s="1"/>
  <c r="D87" i="10" s="1"/>
  <c r="D88" i="10" s="1"/>
  <c r="D89" i="10"/>
  <c r="D90" i="10" s="1"/>
  <c r="D91" i="10" s="1"/>
  <c r="D92" i="10" s="1"/>
  <c r="D93" i="10" s="1"/>
  <c r="D94" i="10"/>
  <c r="D95" i="10"/>
  <c r="D96" i="10" s="1"/>
  <c r="E96" i="10" s="1" a="1"/>
  <c r="E96" i="10" s="1"/>
  <c r="D97" i="10"/>
  <c r="D98" i="10"/>
  <c r="D99" i="10"/>
  <c r="D100" i="10" s="1"/>
  <c r="D101" i="10" s="1"/>
  <c r="D102" i="10"/>
  <c r="D103" i="10" s="1"/>
  <c r="D104" i="10" s="1"/>
  <c r="D105" i="10" s="1"/>
  <c r="D106" i="10" s="1"/>
  <c r="D107" i="10"/>
  <c r="D108" i="10" s="1"/>
  <c r="D109" i="10"/>
  <c r="D110" i="10"/>
  <c r="D111" i="10"/>
  <c r="D112" i="10" s="1"/>
  <c r="D113" i="10"/>
  <c r="D114" i="10" s="1"/>
  <c r="D115" i="10"/>
  <c r="D116" i="10"/>
  <c r="D117" i="10" s="1"/>
  <c r="D118" i="10" s="1"/>
  <c r="D119" i="10"/>
  <c r="D120" i="10" s="1"/>
  <c r="D162" i="10"/>
  <c r="D163" i="10" s="1"/>
  <c r="D164" i="10" s="1"/>
  <c r="D165" i="10" s="1"/>
  <c r="D166" i="10"/>
  <c r="D167" i="10"/>
  <c r="D168" i="10"/>
  <c r="D169" i="10" s="1"/>
  <c r="D170" i="10" s="1"/>
  <c r="D173" i="10"/>
  <c r="D174" i="10" s="1"/>
  <c r="D175" i="10" s="1"/>
  <c r="D176" i="10" s="1"/>
  <c r="D177" i="10" s="1"/>
  <c r="D178" i="10"/>
  <c r="D179" i="10"/>
  <c r="D180" i="10" s="1"/>
  <c r="D181" i="10"/>
  <c r="D182" i="10"/>
  <c r="D183" i="10"/>
  <c r="D184" i="10" s="1"/>
  <c r="D185" i="10" s="1"/>
  <c r="D186" i="10" s="1"/>
  <c r="D187" i="10" s="1"/>
  <c r="D188" i="10" s="1"/>
  <c r="D189" i="10" s="1"/>
  <c r="D190" i="10" s="1"/>
  <c r="D191" i="10"/>
  <c r="D192" i="10" s="1"/>
  <c r="D193" i="10" s="1"/>
  <c r="D194" i="10" s="1"/>
  <c r="D195" i="10" s="1"/>
  <c r="D196" i="10"/>
  <c r="D197" i="10"/>
  <c r="D198" i="10" s="1"/>
  <c r="D199" i="10" s="1"/>
  <c r="D200" i="10"/>
  <c r="D201" i="10"/>
  <c r="D202" i="10" s="1"/>
  <c r="D203" i="10"/>
  <c r="D204" i="10" s="1"/>
  <c r="D205" i="10" s="1"/>
  <c r="D206" i="10"/>
  <c r="D207" i="10"/>
  <c r="D208" i="10"/>
  <c r="D209" i="10"/>
  <c r="D210" i="10" s="1"/>
  <c r="D211" i="10" s="1"/>
  <c r="D212" i="10"/>
  <c r="D213" i="10" s="1"/>
  <c r="D214" i="10" s="1"/>
  <c r="D215" i="10" s="1"/>
  <c r="D216" i="10" s="1"/>
  <c r="D217" i="10"/>
  <c r="D218" i="10"/>
  <c r="D219" i="10"/>
  <c r="D220" i="10"/>
  <c r="D221" i="10"/>
  <c r="D222" i="10" s="1"/>
  <c r="D223" i="10" s="1"/>
  <c r="D224" i="10"/>
  <c r="D225" i="10" s="1"/>
  <c r="D226" i="10" s="1"/>
  <c r="D227" i="10"/>
  <c r="D228" i="10" s="1"/>
  <c r="D229" i="10" s="1"/>
  <c r="D230" i="10" s="1"/>
  <c r="D231" i="10" s="1"/>
  <c r="D232" i="10"/>
  <c r="D233" i="10"/>
  <c r="D234" i="10" s="1"/>
  <c r="D235" i="10"/>
  <c r="D236" i="10"/>
  <c r="D237" i="10" s="1"/>
  <c r="D238" i="10"/>
  <c r="D239" i="10"/>
  <c r="D240" i="10" s="1"/>
  <c r="D241" i="10" s="1"/>
  <c r="D242" i="10" s="1"/>
  <c r="D328" i="10"/>
  <c r="D329" i="10"/>
  <c r="D330" i="10" s="1"/>
  <c r="D331" i="10"/>
  <c r="D332" i="10"/>
  <c r="D333" i="10"/>
  <c r="D334" i="10" s="1"/>
  <c r="D335" i="10" s="1"/>
  <c r="D336" i="10" s="1"/>
  <c r="D337" i="10" s="1"/>
  <c r="D338" i="10" s="1"/>
  <c r="D339" i="10" s="1"/>
  <c r="D340" i="10" s="1"/>
  <c r="D341" i="10" s="1"/>
  <c r="D342" i="10" s="1"/>
  <c r="D343" i="10" s="1"/>
  <c r="D344" i="10" s="1"/>
  <c r="D345" i="10" s="1"/>
  <c r="D346" i="10" s="1"/>
  <c r="D347" i="10" s="1"/>
  <c r="D348" i="10"/>
  <c r="D349" i="10" s="1"/>
  <c r="D350" i="10" s="1"/>
  <c r="D351" i="10" s="1"/>
  <c r="D353" i="10"/>
  <c r="D354" i="10" s="1"/>
  <c r="D355" i="10" s="1"/>
  <c r="D356" i="10" s="1"/>
  <c r="D357" i="10"/>
  <c r="D358" i="10" s="1"/>
  <c r="D359" i="10" s="1"/>
  <c r="D360" i="10" s="1"/>
  <c r="D361" i="10" s="1"/>
  <c r="D362" i="10"/>
  <c r="D363" i="10"/>
  <c r="D364" i="10" s="1"/>
  <c r="D365" i="10" s="1"/>
  <c r="D366" i="10" s="1"/>
  <c r="D367" i="10"/>
  <c r="D368" i="10"/>
  <c r="D369" i="10" s="1"/>
  <c r="D370" i="10" s="1"/>
  <c r="D371" i="10" s="1"/>
  <c r="D372" i="10"/>
  <c r="D373" i="10"/>
  <c r="D374" i="10"/>
  <c r="D375" i="10"/>
  <c r="D376" i="10" s="1"/>
  <c r="D377" i="10" s="1"/>
  <c r="D378" i="10" s="1"/>
  <c r="D379" i="10" s="1"/>
  <c r="D380" i="10"/>
  <c r="D381" i="10" s="1"/>
  <c r="D382" i="10" s="1"/>
  <c r="D383" i="10" s="1"/>
  <c r="D384" i="10" s="1"/>
  <c r="D385" i="10"/>
  <c r="D386" i="10"/>
  <c r="D387" i="10" s="1"/>
  <c r="D390" i="10"/>
  <c r="D391" i="10" s="1"/>
  <c r="D392" i="10" s="1"/>
  <c r="D393" i="10"/>
  <c r="D394" i="10" s="1"/>
  <c r="D395" i="10" s="1"/>
  <c r="D396" i="10" s="1"/>
  <c r="D397" i="10"/>
  <c r="D398" i="10"/>
  <c r="D399" i="10"/>
  <c r="D400" i="10" s="1"/>
  <c r="D401" i="10"/>
  <c r="D402" i="10" s="1"/>
  <c r="D403" i="10" s="1"/>
  <c r="D404" i="10" s="1"/>
  <c r="D405" i="10"/>
  <c r="D406" i="10" s="1"/>
  <c r="D407" i="10" s="1"/>
  <c r="D408" i="10" s="1"/>
  <c r="D409" i="10" s="1"/>
  <c r="D410" i="10"/>
  <c r="D411" i="10"/>
  <c r="D412" i="10" s="1"/>
  <c r="D413" i="10" s="1"/>
  <c r="D414" i="10"/>
  <c r="D415" i="10"/>
  <c r="D416" i="10"/>
  <c r="D417" i="10" s="1"/>
  <c r="D418" i="10" s="1"/>
  <c r="D419" i="10" s="1"/>
  <c r="D420" i="10" s="1"/>
  <c r="D421" i="10" s="1"/>
  <c r="D422" i="10" s="1"/>
  <c r="D423" i="10" s="1"/>
  <c r="D506" i="10"/>
  <c r="D507" i="10"/>
  <c r="D508" i="10"/>
  <c r="D509" i="10"/>
  <c r="D510" i="10"/>
  <c r="D511" i="10" s="1"/>
  <c r="D512" i="10" s="1"/>
  <c r="D513" i="10"/>
  <c r="D514" i="10" s="1"/>
  <c r="D515" i="10" s="1"/>
  <c r="D516" i="10" s="1"/>
  <c r="D517" i="10" s="1"/>
  <c r="D518" i="10"/>
  <c r="D519" i="10" s="1"/>
  <c r="D520" i="10" s="1"/>
  <c r="D521" i="10" s="1"/>
  <c r="D522" i="10" s="1"/>
  <c r="D523" i="10" s="1"/>
  <c r="D524" i="10" s="1"/>
  <c r="D525" i="10" s="1"/>
  <c r="D526" i="10" s="1"/>
  <c r="D527" i="10" s="1"/>
  <c r="D528" i="10" s="1"/>
  <c r="D529" i="10" s="1"/>
  <c r="D530" i="10" s="1"/>
  <c r="D531" i="10" s="1"/>
  <c r="D532" i="10" s="1"/>
  <c r="D533" i="10" s="1"/>
  <c r="D534" i="10" s="1"/>
  <c r="D535" i="10" s="1"/>
  <c r="D536" i="10" s="1"/>
  <c r="D537" i="10" s="1"/>
  <c r="D538" i="10" s="1"/>
  <c r="D539" i="10" s="1"/>
  <c r="D540" i="10" s="1"/>
  <c r="D541" i="10" s="1"/>
  <c r="D542" i="10" s="1"/>
  <c r="D543" i="10" s="1"/>
  <c r="D544" i="10" s="1"/>
  <c r="D545" i="10" s="1"/>
  <c r="D546" i="10" s="1"/>
  <c r="D547" i="10" s="1"/>
  <c r="D548" i="10" s="1"/>
  <c r="D549" i="10" s="1"/>
  <c r="D550" i="10" s="1"/>
  <c r="D551" i="10" s="1"/>
  <c r="D552" i="10" s="1"/>
  <c r="D553" i="10" s="1"/>
  <c r="D554" i="10" s="1"/>
  <c r="D555" i="10" s="1"/>
  <c r="D556" i="10" s="1"/>
  <c r="D557" i="10" s="1"/>
  <c r="D558" i="10" s="1"/>
  <c r="D559" i="10" s="1"/>
  <c r="D560" i="10" s="1"/>
  <c r="D561" i="10" s="1"/>
  <c r="D562" i="10"/>
  <c r="D563" i="10"/>
  <c r="D564" i="10"/>
  <c r="D565" i="10" s="1"/>
  <c r="D566" i="10"/>
  <c r="D567" i="10" s="1"/>
  <c r="D568" i="10" s="1"/>
  <c r="D569" i="10"/>
  <c r="D570" i="10"/>
  <c r="D571" i="10" s="1"/>
  <c r="D572" i="10"/>
  <c r="D573" i="10" s="1"/>
  <c r="D574" i="10" s="1"/>
  <c r="D575" i="10"/>
  <c r="D576" i="10"/>
  <c r="D577" i="10" s="1"/>
  <c r="D578" i="10" s="1"/>
  <c r="D579" i="10" s="1"/>
  <c r="D580" i="10"/>
  <c r="D581" i="10"/>
  <c r="D582" i="10" s="1"/>
  <c r="D583" i="10"/>
  <c r="D584" i="10"/>
  <c r="D585" i="10" s="1"/>
  <c r="D586" i="10" s="1"/>
  <c r="D587" i="10" s="1"/>
  <c r="D588" i="10"/>
  <c r="D589" i="10" s="1"/>
  <c r="D590" i="10" s="1"/>
  <c r="D591" i="10" s="1"/>
  <c r="D592" i="10"/>
  <c r="D593" i="10"/>
  <c r="D594" i="10"/>
  <c r="D595" i="10" s="1"/>
  <c r="D596" i="10"/>
  <c r="D597" i="10" s="1"/>
  <c r="D598" i="10" s="1"/>
  <c r="D599" i="10" s="1"/>
  <c r="D600" i="10" s="1"/>
  <c r="D601" i="10" s="1"/>
  <c r="D602" i="10" s="1"/>
  <c r="D603" i="10" s="1"/>
  <c r="D604" i="10" s="1"/>
  <c r="D605" i="10" s="1"/>
  <c r="D606" i="10" s="1"/>
  <c r="D607" i="10" s="1"/>
  <c r="D608" i="10" s="1"/>
  <c r="D609" i="10"/>
  <c r="D610" i="10" s="1"/>
  <c r="D611" i="10"/>
  <c r="D612" i="10"/>
  <c r="D613" i="10" s="1"/>
  <c r="D614" i="10"/>
  <c r="D615" i="10"/>
  <c r="D616" i="10" s="1"/>
  <c r="D617" i="10"/>
  <c r="D618" i="10" s="1"/>
  <c r="D621" i="10"/>
  <c r="D622" i="10"/>
  <c r="D623" i="10"/>
  <c r="D624" i="10" s="1"/>
  <c r="D625" i="10" s="1"/>
  <c r="D626" i="10"/>
  <c r="D627" i="10"/>
  <c r="D628" i="10"/>
  <c r="D629" i="10"/>
  <c r="D630" i="10"/>
  <c r="D631" i="10" s="1"/>
  <c r="D632" i="10" s="1"/>
  <c r="D633" i="10"/>
  <c r="D634" i="10"/>
  <c r="D635" i="10"/>
  <c r="D637" i="10"/>
  <c r="D638" i="10"/>
  <c r="D639" i="10" s="1"/>
  <c r="D640" i="10" s="1"/>
  <c r="D641" i="10" s="1"/>
  <c r="D642" i="10" s="1"/>
  <c r="D643" i="10" s="1"/>
  <c r="D644" i="10" s="1"/>
  <c r="D645" i="10" s="1"/>
  <c r="D646" i="10" s="1"/>
  <c r="D647" i="10" s="1"/>
  <c r="D648" i="10" s="1"/>
  <c r="D649" i="10" s="1"/>
  <c r="D650" i="10" s="1"/>
  <c r="D651" i="10"/>
  <c r="D652" i="10" s="1"/>
  <c r="D653" i="10" s="1"/>
  <c r="D654" i="10" s="1"/>
  <c r="D655" i="10" s="1"/>
  <c r="D656" i="10" s="1"/>
  <c r="D657" i="10" s="1"/>
  <c r="D658" i="10" s="1"/>
  <c r="D659" i="10" s="1"/>
  <c r="D660" i="10" s="1"/>
  <c r="D661" i="10" s="1"/>
  <c r="D662" i="10" s="1"/>
  <c r="D663" i="10" s="1"/>
  <c r="D664" i="10" s="1"/>
  <c r="D665" i="10" s="1"/>
  <c r="D666" i="10" s="1"/>
  <c r="D667" i="10" s="1"/>
  <c r="D668" i="10" s="1"/>
  <c r="D669" i="10" s="1"/>
  <c r="D670" i="10" s="1"/>
  <c r="D671" i="10" s="1"/>
  <c r="D672" i="10" s="1"/>
  <c r="D673" i="10" s="1"/>
  <c r="D674" i="10" s="1"/>
  <c r="D675" i="10" s="1"/>
  <c r="D676" i="10" s="1"/>
  <c r="D677" i="10" s="1"/>
  <c r="D678" i="10" s="1"/>
  <c r="D679" i="10" s="1"/>
  <c r="D680" i="10" s="1"/>
  <c r="D681" i="10" s="1"/>
  <c r="D682" i="10" s="1"/>
  <c r="D683" i="10"/>
  <c r="D684" i="10" s="1"/>
  <c r="D685" i="10"/>
  <c r="D686" i="10"/>
  <c r="D687" i="10" s="1"/>
  <c r="D688" i="10" s="1"/>
  <c r="D689" i="10"/>
  <c r="D690" i="10"/>
  <c r="D691" i="10"/>
  <c r="D692" i="10"/>
  <c r="D693" i="10" s="1"/>
  <c r="D694" i="10" s="1"/>
  <c r="D695" i="10"/>
  <c r="D696" i="10" s="1"/>
  <c r="D697" i="10" s="1"/>
  <c r="D698" i="10" s="1"/>
  <c r="D699" i="10" s="1"/>
  <c r="D700" i="10" s="1"/>
  <c r="D701" i="10" s="1"/>
  <c r="D702" i="10" s="1"/>
  <c r="D703" i="10" s="1"/>
  <c r="D704" i="10" s="1"/>
  <c r="D705" i="10" s="1"/>
  <c r="D706" i="10" s="1"/>
  <c r="D707" i="10" s="1"/>
  <c r="D708" i="10" s="1"/>
  <c r="D709" i="10" s="1"/>
  <c r="D710" i="10"/>
  <c r="D711" i="10" s="1"/>
  <c r="E711" i="10" s="1" a="1"/>
  <c r="E711" i="10" s="1"/>
  <c r="D712" i="10"/>
  <c r="D713" i="10"/>
  <c r="D714" i="10" s="1"/>
  <c r="D715" i="10" s="1"/>
  <c r="D716" i="10" s="1"/>
  <c r="D717" i="10"/>
  <c r="D718" i="10" s="1"/>
  <c r="D719" i="10"/>
  <c r="D720" i="10"/>
  <c r="D721" i="10" s="1"/>
  <c r="D722" i="10"/>
  <c r="D723" i="10" s="1"/>
  <c r="D724" i="10" s="1"/>
  <c r="D725" i="10"/>
  <c r="D726" i="10"/>
  <c r="D727" i="10"/>
  <c r="D728" i="10"/>
  <c r="D729" i="10" s="1"/>
  <c r="D730" i="10" s="1"/>
  <c r="D731" i="10"/>
  <c r="D732" i="10"/>
  <c r="D733" i="10" s="1"/>
  <c r="D734" i="10" s="1"/>
  <c r="D735" i="10" s="1"/>
  <c r="D736" i="10" s="1"/>
  <c r="D737" i="10"/>
  <c r="D738" i="10"/>
  <c r="D739" i="10" s="1"/>
  <c r="D740" i="10"/>
  <c r="D741" i="10" s="1"/>
  <c r="D742" i="10" s="1"/>
  <c r="D743" i="10"/>
  <c r="D744" i="10" s="1"/>
  <c r="D745" i="10" s="1"/>
  <c r="D746" i="10"/>
  <c r="D747" i="10"/>
  <c r="D748" i="10" s="1"/>
  <c r="D749" i="10" s="1"/>
  <c r="D750" i="10" s="1"/>
  <c r="D751" i="10" s="1"/>
  <c r="D752" i="10"/>
  <c r="D753" i="10" s="1"/>
  <c r="D754" i="10" s="1"/>
  <c r="D755" i="10" s="1"/>
  <c r="D756" i="10" s="1"/>
  <c r="D757" i="10" s="1"/>
  <c r="D758" i="10" s="1"/>
  <c r="D759" i="10" s="1"/>
  <c r="D760" i="10" s="1"/>
  <c r="D761" i="10" s="1"/>
  <c r="D762" i="10" s="1"/>
  <c r="D763" i="10" s="1"/>
  <c r="D764" i="10" s="1"/>
  <c r="D765" i="10" s="1"/>
  <c r="D766" i="10" s="1"/>
  <c r="D767" i="10"/>
  <c r="D768" i="10" s="1"/>
  <c r="D796" i="10"/>
  <c r="D797" i="10"/>
  <c r="D798" i="10"/>
  <c r="D799" i="10" s="1"/>
  <c r="D800" i="10"/>
  <c r="D801" i="10" s="1"/>
  <c r="D802" i="10" s="1"/>
  <c r="D803" i="10" s="1"/>
  <c r="D804" i="10" s="1"/>
  <c r="D805" i="10" s="1"/>
  <c r="D806" i="10" s="1"/>
  <c r="D807" i="10" s="1"/>
  <c r="D808" i="10" s="1"/>
  <c r="D809" i="10" s="1"/>
  <c r="D810" i="10" s="1"/>
  <c r="D811" i="10" s="1"/>
  <c r="D812" i="10" s="1"/>
  <c r="D813" i="10" s="1"/>
  <c r="D814" i="10" s="1"/>
  <c r="D815" i="10" s="1"/>
  <c r="D816" i="10" s="1"/>
  <c r="D817" i="10" s="1"/>
  <c r="D818" i="10" s="1"/>
  <c r="D819" i="10" s="1"/>
  <c r="D820" i="10" s="1"/>
  <c r="D821" i="10" s="1"/>
  <c r="D822" i="10" s="1"/>
  <c r="D823" i="10" s="1"/>
  <c r="D824" i="10" s="1"/>
  <c r="D825" i="10" s="1"/>
  <c r="D826" i="10" s="1"/>
  <c r="D827" i="10" s="1"/>
  <c r="D828" i="10" s="1"/>
  <c r="D829" i="10" s="1"/>
  <c r="D830" i="10" s="1"/>
  <c r="D831" i="10" s="1"/>
  <c r="D832" i="10" s="1"/>
  <c r="D833" i="10" s="1"/>
  <c r="D834" i="10" s="1"/>
  <c r="D835" i="10" s="1"/>
  <c r="D836" i="10" s="1"/>
  <c r="D837" i="10" s="1"/>
  <c r="D838" i="10" s="1"/>
  <c r="D839" i="10" s="1"/>
  <c r="D840" i="10" s="1"/>
  <c r="D841" i="10" s="1"/>
  <c r="D842" i="10" s="1"/>
  <c r="D843" i="10" s="1"/>
  <c r="D844" i="10" s="1"/>
  <c r="D845" i="10" s="1"/>
  <c r="D846" i="10" s="1"/>
  <c r="D889" i="10"/>
  <c r="D890" i="10"/>
  <c r="D891" i="10"/>
  <c r="D892" i="10" s="1"/>
  <c r="D893" i="10" s="1"/>
  <c r="D894" i="10"/>
  <c r="D895" i="10" s="1"/>
  <c r="D896" i="10"/>
  <c r="D897" i="10" s="1"/>
  <c r="D898" i="10" s="1"/>
  <c r="D899" i="10"/>
  <c r="D900" i="10"/>
  <c r="D901" i="10" s="1"/>
  <c r="D902" i="10"/>
  <c r="E902" i="10" s="1" a="1"/>
  <c r="E902" i="10" s="1"/>
  <c r="D903" i="10"/>
  <c r="D904" i="10"/>
  <c r="D905" i="10"/>
  <c r="D906" i="10"/>
  <c r="D907" i="10" s="1"/>
  <c r="D908" i="10" s="1"/>
  <c r="D909" i="10" s="1"/>
  <c r="D910" i="10" s="1"/>
  <c r="D911" i="10" s="1"/>
  <c r="D912" i="10" s="1"/>
  <c r="D913" i="10" s="1"/>
  <c r="D914" i="10" s="1"/>
  <c r="D915" i="10" s="1"/>
  <c r="D916" i="10" s="1"/>
  <c r="D917" i="10" s="1"/>
  <c r="D918" i="10" s="1"/>
  <c r="D919" i="10" s="1"/>
  <c r="D920" i="10"/>
  <c r="D921" i="10" s="1"/>
  <c r="D922" i="10" s="1"/>
  <c r="D923" i="10" s="1"/>
  <c r="D924" i="10" s="1"/>
  <c r="D925" i="10" s="1"/>
  <c r="D926" i="10" s="1"/>
  <c r="D927" i="10" s="1"/>
  <c r="D928" i="10" s="1"/>
  <c r="D929" i="10" s="1"/>
  <c r="D930" i="10" s="1"/>
  <c r="D931" i="10" s="1"/>
  <c r="D932" i="10"/>
  <c r="D933" i="10" s="1"/>
  <c r="D934" i="10" s="1"/>
  <c r="D935" i="10" s="1"/>
  <c r="D936" i="10" s="1"/>
  <c r="D937" i="10" s="1"/>
  <c r="D938" i="10" s="1"/>
  <c r="D939" i="10" s="1"/>
  <c r="D940" i="10" s="1"/>
  <c r="D941" i="10" s="1"/>
  <c r="D942" i="10" s="1"/>
  <c r="D943" i="10" s="1"/>
  <c r="D944" i="10" s="1"/>
  <c r="D945" i="10" s="1"/>
  <c r="D946" i="10" s="1"/>
  <c r="D947" i="10" s="1"/>
  <c r="D948" i="10" s="1"/>
  <c r="D998" i="10"/>
  <c r="D999" i="10" s="1"/>
  <c r="D1000" i="10" s="1"/>
  <c r="D1001" i="10" s="1"/>
  <c r="D1002" i="10" s="1"/>
  <c r="D1003" i="10"/>
  <c r="D1004" i="10"/>
  <c r="D1005" i="10" s="1"/>
  <c r="D1006" i="10"/>
  <c r="D1007" i="10"/>
  <c r="E1007" i="10" s="1" a="1"/>
  <c r="E1007" i="10" s="1"/>
  <c r="D1008" i="10"/>
  <c r="D1009" i="10" s="1"/>
  <c r="D1010" i="10"/>
  <c r="D1011" i="10"/>
  <c r="D1012" i="10" s="1"/>
  <c r="D1013" i="10"/>
  <c r="D1014" i="10"/>
  <c r="D1015" i="10" s="1"/>
  <c r="D1016" i="10" s="1"/>
  <c r="D1017" i="10" s="1"/>
  <c r="D1018" i="10"/>
  <c r="D1019" i="10"/>
  <c r="D1020" i="10" s="1"/>
  <c r="D1021" i="10" s="1"/>
  <c r="D1022" i="10" s="1"/>
  <c r="D1023" i="10"/>
  <c r="D1024" i="10" s="1"/>
  <c r="D1025" i="10"/>
  <c r="D1026" i="10" s="1"/>
  <c r="D1027" i="10" s="1"/>
  <c r="D1028" i="10" s="1"/>
  <c r="D1029" i="10" s="1"/>
  <c r="D1030" i="10" s="1"/>
  <c r="D1031" i="10" s="1"/>
  <c r="D1032" i="10" s="1"/>
  <c r="D1033" i="10" s="1"/>
  <c r="D1034" i="10" s="1"/>
  <c r="D1035" i="10" s="1"/>
  <c r="D1036" i="10" s="1"/>
  <c r="D1037" i="10" s="1"/>
  <c r="D1038" i="10" s="1"/>
  <c r="D1039" i="10" s="1"/>
  <c r="D1040" i="10" s="1"/>
  <c r="D1041" i="10" s="1"/>
  <c r="D1042" i="10" s="1"/>
  <c r="D1043" i="10" s="1"/>
  <c r="D1044" i="10" s="1"/>
  <c r="D1073" i="10"/>
  <c r="D1074" i="10"/>
  <c r="D1075" i="10" s="1"/>
  <c r="D1076" i="10" s="1"/>
  <c r="D1077" i="10" s="1"/>
  <c r="D1078" i="10" s="1"/>
  <c r="D1079" i="10" s="1"/>
  <c r="D1080" i="10" s="1"/>
  <c r="D1081" i="10" s="1"/>
  <c r="D1082" i="10" s="1"/>
  <c r="D1083" i="10" s="1"/>
  <c r="D1084" i="10" s="1"/>
  <c r="D1085" i="10" s="1"/>
  <c r="E1085" i="10" s="1" a="1"/>
  <c r="E1085" i="10" s="1"/>
  <c r="D1086" i="10"/>
  <c r="D1087" i="10" s="1"/>
  <c r="D1088" i="10" s="1"/>
  <c r="D1089" i="10" s="1"/>
  <c r="D1090" i="10" s="1"/>
  <c r="D1091" i="10" s="1"/>
  <c r="D1092" i="10" s="1"/>
  <c r="D1093" i="10" s="1"/>
  <c r="D1094" i="10" s="1"/>
  <c r="D1095" i="10" s="1"/>
  <c r="D1096" i="10" s="1"/>
  <c r="D1097" i="10" s="1"/>
  <c r="D1098" i="10" s="1"/>
  <c r="D1099" i="10" s="1"/>
  <c r="D1100" i="10" s="1"/>
  <c r="D1101" i="10" s="1"/>
  <c r="D1102" i="10" s="1"/>
  <c r="D1103" i="10" s="1"/>
  <c r="D1104" i="10" s="1"/>
  <c r="D1105" i="10" s="1"/>
  <c r="D1106" i="10" s="1"/>
  <c r="D1107" i="10" s="1"/>
  <c r="D1108" i="10" s="1"/>
  <c r="D1109" i="10" s="1"/>
  <c r="D1110" i="10" s="1"/>
  <c r="D1111" i="10" s="1"/>
  <c r="D1112" i="10" s="1"/>
  <c r="D1113" i="10" s="1"/>
  <c r="D1114" i="10" s="1"/>
  <c r="D1115" i="10" s="1"/>
  <c r="D1116" i="10" s="1"/>
  <c r="D1117" i="10" s="1"/>
  <c r="D1118" i="10" s="1"/>
  <c r="D1119" i="10" s="1"/>
  <c r="D1120" i="10" s="1"/>
  <c r="D1121" i="10" s="1"/>
  <c r="D1122" i="10" s="1"/>
  <c r="D1123" i="10" s="1"/>
  <c r="D1124" i="10" s="1"/>
  <c r="D1125" i="10" s="1"/>
  <c r="D1126" i="10" s="1"/>
  <c r="E1126" i="10" s="1" a="1"/>
  <c r="E1126" i="10" s="1"/>
  <c r="D1127" i="10"/>
  <c r="D1128" i="10"/>
  <c r="D1129" i="10"/>
  <c r="D1130" i="10"/>
  <c r="D1131" i="10"/>
  <c r="D1132" i="10" s="1"/>
  <c r="D1133" i="10" s="1"/>
  <c r="D1134" i="10" s="1"/>
  <c r="D1135" i="10"/>
  <c r="D1136" i="10" s="1"/>
  <c r="D1137" i="10" s="1"/>
  <c r="D1138" i="10" s="1"/>
  <c r="D1139" i="10" s="1"/>
  <c r="D1140" i="10" s="1"/>
  <c r="D1141" i="10" s="1"/>
  <c r="D1142" i="10" s="1"/>
  <c r="D1143" i="10" s="1"/>
  <c r="D1144" i="10" s="1"/>
  <c r="D1145" i="10" s="1"/>
  <c r="D1146" i="10" s="1"/>
  <c r="D1147" i="10" s="1"/>
  <c r="D1148" i="10" s="1"/>
  <c r="D1149" i="10"/>
  <c r="E1149" i="10" s="1" a="1"/>
  <c r="E1149" i="10" s="1"/>
  <c r="D1150" i="10"/>
  <c r="D1151" i="10" s="1"/>
  <c r="D1152" i="10" s="1"/>
  <c r="D1164" i="10"/>
  <c r="D1165" i="10"/>
  <c r="D1166" i="10" s="1"/>
  <c r="D1167" i="10"/>
  <c r="D1168" i="10" s="1"/>
  <c r="D1169" i="10"/>
  <c r="D1170" i="10" s="1"/>
  <c r="D1171" i="10" s="1"/>
  <c r="D1172" i="10"/>
  <c r="D1173" i="10" s="1"/>
  <c r="D1174" i="10"/>
  <c r="D1175" i="10"/>
  <c r="D1176" i="10"/>
  <c r="D1177" i="10"/>
  <c r="D1178" i="10"/>
  <c r="D1179" i="10"/>
  <c r="D1180" i="10" s="1"/>
  <c r="D1181" i="10"/>
  <c r="D1182" i="10" s="1"/>
  <c r="D1183" i="10"/>
  <c r="D1184" i="10"/>
  <c r="D1185" i="10" s="1"/>
  <c r="D1186" i="10" s="1"/>
  <c r="D1187" i="10" s="1"/>
  <c r="D1188" i="10" s="1"/>
  <c r="D1189" i="10" s="1"/>
  <c r="D1190" i="10" s="1"/>
  <c r="D1191" i="10" s="1"/>
  <c r="D1192" i="10" s="1"/>
  <c r="D1193" i="10" s="1"/>
  <c r="D1194" i="10" s="1"/>
  <c r="D1195" i="10" s="1"/>
  <c r="D1196" i="10" s="1"/>
  <c r="D1197" i="10" s="1"/>
  <c r="D1198" i="10" s="1"/>
  <c r="D1199" i="10" s="1"/>
  <c r="D1200" i="10" s="1"/>
  <c r="D1201" i="10" s="1"/>
  <c r="D1202" i="10" s="1"/>
  <c r="D1203" i="10"/>
  <c r="D1204" i="10" s="1"/>
  <c r="D1205" i="10" s="1"/>
  <c r="D1206" i="10" s="1"/>
  <c r="D1223" i="10"/>
  <c r="D1224" i="10"/>
  <c r="D1225" i="10"/>
  <c r="D1226" i="10"/>
  <c r="D1227" i="10"/>
  <c r="D1228" i="10" s="1"/>
  <c r="D1229" i="10" s="1"/>
  <c r="D1230" i="10" s="1"/>
  <c r="D1231" i="10" s="1"/>
  <c r="D1232" i="10"/>
  <c r="D1233" i="10" s="1"/>
  <c r="D1234" i="10" s="1"/>
  <c r="D1235" i="10" s="1"/>
  <c r="D1236" i="10"/>
  <c r="D1237" i="10" s="1"/>
  <c r="D1238" i="10"/>
  <c r="D1239" i="10" s="1"/>
  <c r="D1242" i="10"/>
  <c r="D1243" i="10" s="1"/>
  <c r="D1244" i="10"/>
  <c r="D1245" i="10" s="1"/>
  <c r="D1246" i="10"/>
  <c r="D1247" i="10"/>
  <c r="D1248" i="10" s="1"/>
  <c r="D1249" i="10" s="1"/>
  <c r="D1250" i="10" s="1"/>
  <c r="D1251" i="10"/>
  <c r="D1252" i="10" s="1"/>
  <c r="D1253" i="10" s="1"/>
  <c r="D1254" i="10" s="1"/>
  <c r="D1255" i="10"/>
  <c r="D1256" i="10"/>
  <c r="D1257" i="10" s="1"/>
  <c r="D1258" i="10" s="1"/>
  <c r="D1259" i="10" s="1"/>
  <c r="D1260" i="10"/>
  <c r="D1261" i="10" s="1"/>
  <c r="D1262" i="10"/>
  <c r="D1263" i="10" s="1"/>
  <c r="D1264" i="10" s="1"/>
  <c r="D1265" i="10" s="1"/>
  <c r="D1266" i="10" s="1"/>
  <c r="D1267" i="10" s="1"/>
  <c r="D1268" i="10" s="1"/>
  <c r="D1269" i="10" s="1"/>
  <c r="D1270" i="10" s="1"/>
  <c r="D1271" i="10" s="1"/>
  <c r="D1272" i="10" s="1"/>
  <c r="D1273" i="10" s="1"/>
  <c r="D1274" i="10" s="1"/>
  <c r="D1275" i="10" s="1"/>
  <c r="D1276" i="10" s="1"/>
  <c r="D1277" i="10" s="1"/>
  <c r="D1278" i="10" s="1"/>
  <c r="D1279" i="10" s="1"/>
  <c r="D1280" i="10" s="1"/>
  <c r="D1290" i="10"/>
  <c r="D1291" i="10" s="1"/>
  <c r="D1292" i="10" s="1"/>
  <c r="D1295" i="10"/>
  <c r="D1296" i="10"/>
  <c r="D1297" i="10" s="1"/>
  <c r="D1298" i="10" s="1"/>
  <c r="D1299" i="10" s="1"/>
  <c r="D1300" i="10"/>
  <c r="D1301" i="10"/>
  <c r="D1302" i="10" s="1"/>
  <c r="D1303" i="10" s="1"/>
  <c r="D1304" i="10" s="1"/>
  <c r="D1305" i="10"/>
  <c r="D1306" i="10"/>
  <c r="D1307" i="10"/>
  <c r="D1308" i="10" s="1"/>
  <c r="D1309" i="10" s="1"/>
  <c r="D1310" i="10" s="1"/>
  <c r="D1311" i="10" s="1"/>
  <c r="D1312" i="10" s="1"/>
  <c r="D1313" i="10" s="1"/>
  <c r="D1314" i="10" s="1"/>
  <c r="D1315" i="10"/>
  <c r="D1316" i="10"/>
  <c r="D1317" i="10" s="1"/>
  <c r="D1318" i="10"/>
  <c r="D1319" i="10"/>
  <c r="D1320" i="10" s="1"/>
  <c r="D1321" i="10"/>
  <c r="D1322" i="10"/>
  <c r="D1323" i="10"/>
  <c r="D1324" i="10" s="1"/>
  <c r="D1325" i="10"/>
  <c r="D1326" i="10"/>
  <c r="D1327" i="10" s="1"/>
  <c r="D1328" i="10" s="1"/>
  <c r="D1329" i="10" s="1"/>
  <c r="D1330" i="10"/>
  <c r="D1331" i="10"/>
  <c r="D1332" i="10" s="1"/>
  <c r="D1333" i="10" s="1"/>
  <c r="E1333" i="10" s="1" a="1"/>
  <c r="E1333" i="10" s="1"/>
  <c r="D1334" i="10"/>
  <c r="D1335" i="10"/>
  <c r="D1336" i="10" s="1"/>
  <c r="D1337" i="10" s="1"/>
  <c r="D1338" i="10" s="1"/>
  <c r="D1339" i="10"/>
  <c r="D1340" i="10"/>
  <c r="D1341" i="10" s="1"/>
  <c r="D1342" i="10" s="1"/>
  <c r="D1343" i="10"/>
  <c r="D1344" i="10"/>
  <c r="D1345" i="10" s="1"/>
  <c r="D1382" i="10"/>
  <c r="D1383" i="10"/>
  <c r="D1384" i="10" s="1"/>
  <c r="D1385" i="10"/>
  <c r="D1386" i="10" s="1"/>
  <c r="D1387" i="10"/>
  <c r="D1388" i="10"/>
  <c r="D1389" i="10" s="1"/>
  <c r="D1390" i="10" s="1"/>
  <c r="D1391" i="10"/>
  <c r="D1392" i="10" s="1"/>
  <c r="E1392" i="10" s="1" a="1"/>
  <c r="E1392" i="10" s="1"/>
  <c r="D1393" i="10"/>
  <c r="D1394" i="10"/>
  <c r="D1395" i="10"/>
  <c r="D1396" i="10" s="1"/>
  <c r="D1397" i="10"/>
  <c r="D1398" i="10" s="1"/>
  <c r="D1399" i="10" s="1"/>
  <c r="D1400" i="10" s="1"/>
  <c r="D1401" i="10" s="1"/>
  <c r="D1402" i="10" s="1"/>
  <c r="D1403" i="10" s="1"/>
  <c r="D1404" i="10" s="1"/>
  <c r="D1405" i="10" s="1"/>
  <c r="D1406" i="10" s="1"/>
  <c r="D1407" i="10" s="1"/>
  <c r="D1408" i="10" s="1"/>
  <c r="D1442" i="10"/>
  <c r="D1443" i="10"/>
  <c r="D1444" i="10" s="1"/>
  <c r="D1445" i="10" s="1"/>
  <c r="D1446" i="10" s="1"/>
  <c r="D1447" i="10"/>
  <c r="D1448" i="10"/>
  <c r="D1449" i="10" s="1"/>
  <c r="D1468" i="10"/>
  <c r="D1469" i="10"/>
  <c r="D1470" i="10"/>
  <c r="D1471" i="10" s="1"/>
  <c r="D1472" i="10" s="1"/>
  <c r="D1473" i="10" s="1"/>
  <c r="D1474" i="10"/>
  <c r="D1475" i="10"/>
  <c r="D1476" i="10" s="1"/>
  <c r="D1477" i="10" s="1"/>
  <c r="D1478" i="10" s="1"/>
  <c r="D1479" i="10" s="1"/>
  <c r="D1480" i="10" s="1"/>
  <c r="D1481" i="10" s="1"/>
  <c r="D1482" i="10" s="1"/>
  <c r="D1483" i="10" s="1"/>
  <c r="D1484" i="10" s="1"/>
  <c r="D1485" i="10" s="1"/>
  <c r="D1494" i="10"/>
  <c r="D1495" i="10" s="1"/>
  <c r="D1496" i="10" s="1"/>
  <c r="D1497" i="10" s="1"/>
  <c r="D1498" i="10"/>
  <c r="D1499" i="10"/>
  <c r="D1500" i="10" s="1"/>
  <c r="D1501" i="10" s="1"/>
  <c r="D1502" i="10"/>
  <c r="D1503" i="10"/>
  <c r="D1505" i="10"/>
  <c r="D1506" i="10" s="1"/>
  <c r="D1507" i="10" s="1"/>
  <c r="D1508" i="10" s="1"/>
  <c r="D1509" i="10"/>
  <c r="D1510" i="10"/>
  <c r="D1511" i="10"/>
  <c r="D1512" i="10" s="1"/>
  <c r="D1513" i="10" s="1"/>
  <c r="D1514" i="10" s="1"/>
  <c r="D1515" i="10"/>
  <c r="D1516" i="10" s="1"/>
  <c r="D1517" i="10" s="1"/>
  <c r="D1518" i="10" s="1"/>
  <c r="D1519" i="10" s="1"/>
  <c r="D1520" i="10" s="1"/>
  <c r="D1595" i="10"/>
  <c r="D1596" i="10"/>
  <c r="D1597" i="10" s="1"/>
  <c r="D1598" i="10" s="1"/>
  <c r="D1599" i="10"/>
  <c r="D1600" i="10" s="1"/>
  <c r="D1601" i="10"/>
  <c r="D1602" i="10"/>
  <c r="D1603" i="10" s="1"/>
  <c r="D1604" i="10"/>
  <c r="D1605" i="10"/>
  <c r="D1606" i="10"/>
  <c r="D1607" i="10"/>
  <c r="E1607" i="10" s="1" a="1"/>
  <c r="E1607" i="10" s="1"/>
  <c r="D1608" i="10"/>
  <c r="D1609" i="10" s="1"/>
  <c r="D1610" i="10"/>
  <c r="D1611" i="10" s="1"/>
  <c r="D1612" i="10" s="1"/>
  <c r="D1613" i="10"/>
  <c r="D1614" i="10"/>
  <c r="D1615" i="10" s="1"/>
  <c r="D1616" i="10"/>
  <c r="D1617" i="10" s="1"/>
  <c r="D1618" i="10"/>
  <c r="D1619" i="10"/>
  <c r="D1620" i="10" s="1"/>
  <c r="D1621" i="10"/>
  <c r="D1622" i="10"/>
  <c r="D1623" i="10" s="1"/>
  <c r="D1624" i="10" s="1"/>
  <c r="E1624" i="10" s="1" a="1"/>
  <c r="E1624" i="10" s="1"/>
  <c r="D1625" i="10"/>
  <c r="D1626" i="10"/>
  <c r="D1627" i="10" s="1"/>
  <c r="D1628" i="10" s="1"/>
  <c r="D1629" i="10" s="1"/>
  <c r="D1719" i="10"/>
  <c r="D1720" i="10" s="1"/>
  <c r="D1721" i="10"/>
  <c r="D1722" i="10" s="1"/>
  <c r="D1723" i="10" s="1"/>
  <c r="D1724" i="10"/>
  <c r="D1725" i="10" s="1"/>
  <c r="D1726" i="10" s="1"/>
  <c r="D1727" i="10" s="1"/>
  <c r="D1729" i="10"/>
  <c r="D1730" i="10"/>
  <c r="D1731" i="10" s="1"/>
  <c r="D1732" i="10" s="1"/>
  <c r="D1733" i="10"/>
  <c r="D1734" i="10"/>
  <c r="D1735" i="10" s="1"/>
  <c r="D1736" i="10" s="1"/>
  <c r="D1737" i="10" s="1"/>
  <c r="D1738" i="10"/>
  <c r="D1739" i="10" s="1"/>
  <c r="D1740" i="10"/>
  <c r="D1741" i="10"/>
  <c r="D1742" i="10" s="1"/>
  <c r="D1744" i="10"/>
  <c r="D1745" i="10"/>
  <c r="D1746" i="10"/>
  <c r="D1747" i="10" s="1"/>
  <c r="D1748" i="10" s="1"/>
  <c r="D1749" i="10" s="1"/>
  <c r="D1750" i="10" s="1"/>
  <c r="D1751" i="10" s="1"/>
  <c r="D1752" i="10" s="1"/>
  <c r="D1753" i="10" s="1"/>
  <c r="D1774" i="10"/>
  <c r="D1775" i="10"/>
  <c r="D1776" i="10" s="1"/>
  <c r="D1777" i="10" s="1"/>
  <c r="D1778" i="10" s="1"/>
  <c r="E1778" i="10" s="1" a="1"/>
  <c r="E1778" i="10" s="1"/>
  <c r="D1811" i="10"/>
  <c r="D1812" i="10" s="1"/>
  <c r="D1813" i="10" s="1"/>
  <c r="D1814" i="10" s="1"/>
  <c r="D1815" i="10" s="1"/>
  <c r="D1816" i="10"/>
  <c r="D1817" i="10"/>
  <c r="D1818" i="10"/>
  <c r="D1819" i="10" s="1"/>
  <c r="D1820" i="10" s="1"/>
  <c r="D1821" i="10" s="1"/>
  <c r="D1822" i="10" s="1"/>
  <c r="D1823" i="10" s="1"/>
  <c r="D1824" i="10" s="1"/>
  <c r="D1825" i="10" s="1"/>
  <c r="D1826" i="10" s="1"/>
  <c r="D1827" i="10" s="1"/>
  <c r="D1828" i="10" s="1"/>
  <c r="D1829" i="10" s="1"/>
  <c r="D1830" i="10"/>
  <c r="D1831" i="10"/>
  <c r="D1832" i="10" s="1"/>
  <c r="D1833" i="10" s="1"/>
  <c r="D1834" i="10" s="1"/>
  <c r="D1835" i="10" s="1"/>
  <c r="D1836" i="10" s="1"/>
  <c r="D1837" i="10" s="1"/>
  <c r="D1838" i="10" s="1"/>
  <c r="D1839" i="10" s="1"/>
  <c r="D1840" i="10" s="1"/>
  <c r="D1841" i="10" s="1"/>
  <c r="D1842" i="10" s="1"/>
  <c r="D1843" i="10" s="1"/>
  <c r="D1844" i="10" s="1"/>
  <c r="D1865" i="10"/>
  <c r="D1866" i="10"/>
  <c r="D1867" i="10" s="1"/>
  <c r="D1868" i="10" s="1"/>
  <c r="D1869" i="10" s="1"/>
  <c r="D1870" i="10" s="1"/>
  <c r="D1871" i="10" s="1"/>
  <c r="D1872" i="10" s="1"/>
  <c r="D1873" i="10" s="1"/>
  <c r="D1874" i="10" s="1"/>
  <c r="D1875" i="10" s="1"/>
  <c r="D1876" i="10" s="1"/>
  <c r="D1877" i="10" s="1"/>
  <c r="D1878" i="10" s="1"/>
  <c r="D1879" i="10" s="1"/>
  <c r="D1880" i="10" s="1"/>
  <c r="D1881" i="10" s="1"/>
  <c r="D1882" i="10" s="1"/>
  <c r="D1883" i="10"/>
  <c r="D1884" i="10"/>
  <c r="D1885" i="10" s="1"/>
  <c r="D1886" i="10" s="1"/>
  <c r="D1887" i="10" s="1"/>
  <c r="D1888" i="10" s="1"/>
  <c r="D1889" i="10" s="1"/>
  <c r="D1890" i="10" s="1"/>
  <c r="D1891" i="10" s="1"/>
  <c r="D1892" i="10" s="1"/>
  <c r="E1892" i="10" s="1" a="1"/>
  <c r="E1892" i="10" s="1"/>
  <c r="D1893" i="10"/>
  <c r="D1894" i="10" s="1"/>
  <c r="D1929" i="10"/>
  <c r="D1930" i="10"/>
  <c r="D1931" i="10"/>
  <c r="D1932" i="10"/>
  <c r="D1933" i="10"/>
  <c r="D1934" i="10" s="1"/>
  <c r="D1935" i="10" s="1"/>
  <c r="D1936" i="10" s="1"/>
  <c r="D1937" i="10" s="1"/>
  <c r="D1938" i="10" s="1"/>
  <c r="D1939" i="10" s="1"/>
  <c r="D1940" i="10" s="1"/>
  <c r="D1941" i="10" s="1"/>
  <c r="D1942" i="10" s="1"/>
  <c r="D1943" i="10" s="1"/>
  <c r="D1944" i="10" s="1"/>
  <c r="D1951" i="10"/>
  <c r="D1952" i="10" s="1"/>
  <c r="D1953" i="10" s="1"/>
  <c r="D1954" i="10" s="1"/>
  <c r="D1955" i="10" s="1"/>
  <c r="D1956" i="10" s="1"/>
  <c r="D1957" i="10" s="1"/>
  <c r="D1958" i="10" s="1"/>
  <c r="D1959" i="10" s="1"/>
  <c r="D1960" i="10"/>
  <c r="D1961" i="10"/>
  <c r="D1962" i="10"/>
  <c r="D1963" i="10"/>
  <c r="D1964" i="10" s="1"/>
  <c r="D1965" i="10"/>
  <c r="D1966" i="10" s="1"/>
  <c r="D1967" i="10" s="1"/>
  <c r="D1968" i="10" s="1"/>
  <c r="D1969" i="10" s="1"/>
  <c r="D1970" i="10" s="1"/>
  <c r="D1971" i="10" s="1"/>
  <c r="D1972" i="10" s="1"/>
  <c r="D1973" i="10" s="1"/>
  <c r="D1974" i="10" s="1"/>
  <c r="D1975" i="10" s="1"/>
  <c r="D1976" i="10" s="1"/>
  <c r="D1977" i="10" s="1"/>
  <c r="D1978" i="10" s="1"/>
  <c r="D1979" i="10" s="1"/>
  <c r="D1980" i="10" s="1"/>
  <c r="D1981" i="10" s="1"/>
  <c r="D1982" i="10" s="1"/>
  <c r="D1983" i="10" s="1"/>
  <c r="D1984" i="10" s="1"/>
  <c r="D1985" i="10" s="1"/>
  <c r="D1986" i="10" s="1"/>
  <c r="D1987" i="10" s="1"/>
  <c r="D1988" i="10" s="1"/>
  <c r="D1989" i="10" s="1"/>
  <c r="D1990" i="10" s="1"/>
  <c r="D1991" i="10" s="1"/>
  <c r="D1992" i="10" s="1"/>
  <c r="D2036" i="10"/>
  <c r="D2037" i="10"/>
  <c r="D2038" i="10"/>
  <c r="D2039" i="10" s="1"/>
  <c r="D2040" i="10" s="1"/>
  <c r="D2041" i="10" s="1"/>
  <c r="D2042" i="10" s="1"/>
  <c r="D2043" i="10"/>
  <c r="D2044" i="10" s="1"/>
  <c r="D2045" i="10" s="1"/>
  <c r="D2046" i="10" s="1"/>
  <c r="D2047" i="10" s="1"/>
  <c r="D2048" i="10" s="1"/>
  <c r="D2049" i="10" s="1"/>
  <c r="E2049" i="10" s="1" a="1"/>
  <c r="E2049" i="10" s="1"/>
  <c r="D2050" i="10"/>
  <c r="D2051" i="10" s="1"/>
  <c r="D2052" i="10"/>
  <c r="D2053" i="10" s="1"/>
  <c r="D2054" i="10" s="1"/>
  <c r="D2055" i="10"/>
  <c r="D2056" i="10" s="1"/>
  <c r="D2057" i="10" s="1"/>
  <c r="D2058" i="10"/>
  <c r="D2059" i="10"/>
  <c r="D2060" i="10" s="1"/>
  <c r="D2061" i="10"/>
  <c r="D2062" i="10" s="1"/>
  <c r="D2063" i="10"/>
  <c r="D2064" i="10"/>
  <c r="D2065" i="10"/>
  <c r="D2066" i="10" s="1"/>
  <c r="D2067" i="10" s="1"/>
  <c r="D2068" i="10"/>
  <c r="D2069" i="10"/>
  <c r="D2070" i="10"/>
  <c r="D2071" i="10" s="1"/>
  <c r="D2072" i="10" s="1"/>
  <c r="D2073" i="10"/>
  <c r="D2074" i="10"/>
  <c r="D2075" i="10" s="1"/>
  <c r="D2076" i="10" s="1"/>
  <c r="D2077" i="10" s="1"/>
  <c r="D2078" i="10"/>
  <c r="D2079" i="10"/>
  <c r="D2080" i="10" s="1"/>
  <c r="D2081" i="10" s="1"/>
  <c r="D2082" i="10"/>
  <c r="D2083" i="10" s="1"/>
  <c r="D2084" i="10" s="1"/>
  <c r="D2085" i="10" s="1"/>
  <c r="D2086" i="10" s="1"/>
  <c r="D2087" i="10" s="1"/>
  <c r="D2088" i="10" s="1"/>
  <c r="D2115" i="10"/>
  <c r="D2116" i="10" s="1"/>
  <c r="D2117" i="10" s="1"/>
  <c r="D2118" i="10"/>
  <c r="D2119" i="10"/>
  <c r="D2120" i="10" s="1"/>
  <c r="D2121" i="10"/>
  <c r="D2122" i="10"/>
  <c r="D2123" i="10" s="1"/>
  <c r="D2124" i="10" s="1"/>
  <c r="D2125" i="10" s="1"/>
  <c r="D2126" i="10" s="1"/>
  <c r="D2127" i="10"/>
  <c r="D2128" i="10" s="1"/>
  <c r="D2129" i="10" s="1"/>
  <c r="D2130" i="10"/>
  <c r="D2131" i="10"/>
  <c r="D2132" i="10" s="1"/>
  <c r="D2133" i="10" s="1"/>
  <c r="D2134" i="10"/>
  <c r="D2135" i="10"/>
  <c r="D2136" i="10"/>
  <c r="D2137" i="10"/>
  <c r="D2138" i="10" s="1"/>
  <c r="D2139" i="10" s="1"/>
  <c r="D2140" i="10" s="1"/>
  <c r="D2141" i="10" s="1"/>
  <c r="D2142" i="10"/>
  <c r="D2143" i="10" s="1"/>
  <c r="D2144" i="10" s="1"/>
  <c r="D2145" i="10" s="1"/>
  <c r="D2146" i="10" s="1"/>
  <c r="D2147" i="10" s="1"/>
  <c r="D2148" i="10" s="1"/>
  <c r="D2149" i="10" s="1"/>
  <c r="D2150" i="10" s="1"/>
  <c r="D2151" i="10" s="1"/>
  <c r="D2152" i="10" s="1"/>
  <c r="D2153" i="10" s="1"/>
  <c r="D2154" i="10" s="1"/>
  <c r="D2155" i="10" s="1"/>
  <c r="D2156" i="10" s="1"/>
  <c r="D2157" i="10" s="1"/>
  <c r="D2158" i="10" s="1"/>
  <c r="D2159" i="10" s="1"/>
  <c r="D2160" i="10" s="1"/>
  <c r="D2161" i="10" s="1"/>
  <c r="D2162" i="10"/>
  <c r="D2163" i="10"/>
  <c r="D3" i="10"/>
  <c r="E2" i="10" a="1"/>
  <c r="E2" i="10" s="1"/>
  <c r="E3" i="10" a="1"/>
  <c r="E3" i="10" s="1"/>
  <c r="E4" i="10" a="1"/>
  <c r="E4" i="10" s="1"/>
  <c r="E5" i="10" a="1"/>
  <c r="E5" i="10" s="1"/>
  <c r="E6" i="10" a="1"/>
  <c r="E6" i="10"/>
  <c r="E7" i="10" a="1"/>
  <c r="E7" i="10" s="1"/>
  <c r="E8" i="10" a="1"/>
  <c r="E8" i="10" s="1"/>
  <c r="E9" i="10" a="1"/>
  <c r="E9" i="10" s="1"/>
  <c r="E10" i="10" a="1"/>
  <c r="E10" i="10" s="1"/>
  <c r="E11" i="10" a="1"/>
  <c r="E11" i="10" s="1"/>
  <c r="E12" i="10" a="1"/>
  <c r="E12" i="10" s="1"/>
  <c r="E13" i="10" a="1"/>
  <c r="E13" i="10" s="1"/>
  <c r="E14" i="10" a="1"/>
  <c r="E14" i="10" s="1"/>
  <c r="E15" i="10" a="1"/>
  <c r="E15" i="10" s="1"/>
  <c r="E16" i="10" a="1"/>
  <c r="E16" i="10" s="1"/>
  <c r="E17" i="10" a="1"/>
  <c r="E17" i="10" s="1"/>
  <c r="E18" i="10" a="1"/>
  <c r="E18" i="10" s="1"/>
  <c r="E19" i="10" a="1"/>
  <c r="E19" i="10" s="1"/>
  <c r="E20" i="10" a="1"/>
  <c r="E20" i="10" s="1"/>
  <c r="E21" i="10" a="1"/>
  <c r="E21" i="10" s="1"/>
  <c r="E22" i="10" a="1"/>
  <c r="E22" i="10" s="1"/>
  <c r="E23" i="10" a="1"/>
  <c r="E23" i="10" s="1"/>
  <c r="E24" i="10" a="1"/>
  <c r="E24" i="10" s="1"/>
  <c r="E25" i="10" a="1"/>
  <c r="E25" i="10" s="1"/>
  <c r="E26" i="10" a="1"/>
  <c r="E26" i="10" s="1"/>
  <c r="E27" i="10" a="1"/>
  <c r="E27" i="10" s="1"/>
  <c r="E28" i="10" a="1"/>
  <c r="E28" i="10" s="1"/>
  <c r="E29" i="10" a="1"/>
  <c r="E29" i="10" s="1"/>
  <c r="E30" i="10" a="1"/>
  <c r="E30" i="10" s="1"/>
  <c r="E31" i="10" a="1"/>
  <c r="E31" i="10" s="1"/>
  <c r="E32" i="10" a="1"/>
  <c r="E32" i="10" s="1"/>
  <c r="E33" i="10" a="1"/>
  <c r="E33" i="10" s="1"/>
  <c r="E34" i="10" a="1"/>
  <c r="E34" i="10" s="1"/>
  <c r="E35" i="10" a="1"/>
  <c r="E35" i="10" s="1"/>
  <c r="E36" i="10" a="1"/>
  <c r="E36" i="10" s="1"/>
  <c r="E37" i="10" a="1"/>
  <c r="E37" i="10" s="1"/>
  <c r="E38" i="10" a="1"/>
  <c r="E38" i="10" s="1"/>
  <c r="E39" i="10" a="1"/>
  <c r="E39" i="10" s="1"/>
  <c r="E40" i="10" a="1"/>
  <c r="E40" i="10" s="1"/>
  <c r="E41" i="10" a="1"/>
  <c r="E41" i="10" s="1"/>
  <c r="E42" i="10" a="1"/>
  <c r="E42" i="10" s="1"/>
  <c r="E43" i="10" a="1"/>
  <c r="E43" i="10" s="1"/>
  <c r="E44" i="10" a="1"/>
  <c r="E44" i="10" s="1"/>
  <c r="E45" i="10" a="1"/>
  <c r="E45" i="10" s="1"/>
  <c r="E46" i="10" a="1"/>
  <c r="E46" i="10" s="1"/>
  <c r="E47" i="10" a="1"/>
  <c r="E47" i="10" s="1"/>
  <c r="E48" i="10" a="1"/>
  <c r="E48" i="10" s="1"/>
  <c r="E49" i="10" a="1"/>
  <c r="E49" i="10" s="1"/>
  <c r="E50" i="10" a="1"/>
  <c r="E50" i="10" s="1"/>
  <c r="E51" i="10" a="1"/>
  <c r="E51" i="10" s="1"/>
  <c r="E52" i="10" a="1"/>
  <c r="E52" i="10" s="1"/>
  <c r="E53" i="10" a="1"/>
  <c r="E53" i="10" s="1"/>
  <c r="E54" i="10" a="1"/>
  <c r="E54" i="10" s="1"/>
  <c r="E55" i="10" a="1"/>
  <c r="E55" i="10" s="1"/>
  <c r="E56" i="10" a="1"/>
  <c r="E56" i="10" s="1"/>
  <c r="E57" i="10" a="1"/>
  <c r="E57" i="10" s="1"/>
  <c r="E58" i="10" a="1"/>
  <c r="E58" i="10" s="1"/>
  <c r="E59" i="10" a="1"/>
  <c r="E59" i="10" s="1"/>
  <c r="E60" i="10" a="1"/>
  <c r="E60" i="10" s="1"/>
  <c r="E61" i="10" a="1"/>
  <c r="E61" i="10" s="1"/>
  <c r="E62" i="10" a="1"/>
  <c r="E62" i="10" s="1"/>
  <c r="E63" i="10" a="1"/>
  <c r="E63" i="10" s="1"/>
  <c r="E64" i="10" a="1"/>
  <c r="E64" i="10" s="1"/>
  <c r="E65" i="10" a="1"/>
  <c r="E65" i="10" s="1"/>
  <c r="E66" i="10" a="1"/>
  <c r="E66" i="10"/>
  <c r="E67" i="10" a="1"/>
  <c r="E67" i="10" s="1"/>
  <c r="E68" i="10" a="1"/>
  <c r="E68" i="10" s="1"/>
  <c r="E69" i="10" a="1"/>
  <c r="E69" i="10" s="1"/>
  <c r="E70" i="10" a="1"/>
  <c r="E70" i="10" s="1"/>
  <c r="E71" i="10" a="1"/>
  <c r="E71" i="10" s="1"/>
  <c r="E72" i="10" a="1"/>
  <c r="E72" i="10"/>
  <c r="E73" i="10" a="1"/>
  <c r="E73" i="10" s="1"/>
  <c r="E74" i="10" a="1"/>
  <c r="E74" i="10" s="1"/>
  <c r="E75" i="10" a="1"/>
  <c r="E75" i="10" s="1"/>
  <c r="E76" i="10" a="1"/>
  <c r="E76" i="10" s="1"/>
  <c r="E77" i="10" a="1"/>
  <c r="E77" i="10" s="1"/>
  <c r="E78" i="10" a="1"/>
  <c r="E78" i="10" s="1"/>
  <c r="E79" i="10" a="1"/>
  <c r="E79" i="10" s="1"/>
  <c r="E80" i="10" a="1"/>
  <c r="E80" i="10" s="1"/>
  <c r="E81" i="10" a="1"/>
  <c r="E81" i="10" s="1"/>
  <c r="E82" i="10" a="1"/>
  <c r="E82" i="10" s="1"/>
  <c r="E83" i="10" a="1"/>
  <c r="E83" i="10" s="1"/>
  <c r="E84" i="10" a="1"/>
  <c r="E84" i="10" s="1"/>
  <c r="E85" i="10" a="1"/>
  <c r="E85" i="10" s="1"/>
  <c r="E86" i="10" a="1"/>
  <c r="E86" i="10" s="1"/>
  <c r="E87" i="10" a="1"/>
  <c r="E87" i="10" s="1"/>
  <c r="E88" i="10" a="1"/>
  <c r="E88" i="10" s="1"/>
  <c r="E89" i="10" a="1"/>
  <c r="E89" i="10" s="1"/>
  <c r="E90" i="10" a="1"/>
  <c r="E90" i="10" s="1"/>
  <c r="E91" i="10" a="1"/>
  <c r="E91" i="10" s="1"/>
  <c r="E92" i="10" a="1"/>
  <c r="E92" i="10" s="1"/>
  <c r="E93" i="10" a="1"/>
  <c r="E93" i="10" s="1"/>
  <c r="E94" i="10" a="1"/>
  <c r="E94" i="10" s="1"/>
  <c r="E95" i="10" a="1"/>
  <c r="E95" i="10" s="1"/>
  <c r="E97" i="10" a="1"/>
  <c r="E97" i="10" s="1"/>
  <c r="E98" i="10" a="1"/>
  <c r="E98" i="10" s="1"/>
  <c r="E99" i="10" a="1"/>
  <c r="E99" i="10" s="1"/>
  <c r="E100" i="10" a="1"/>
  <c r="E100" i="10" s="1"/>
  <c r="E101" i="10" a="1"/>
  <c r="E101" i="10" s="1"/>
  <c r="E102" i="10" a="1"/>
  <c r="E102" i="10" s="1"/>
  <c r="E103" i="10" a="1"/>
  <c r="E103" i="10" s="1"/>
  <c r="E104" i="10" a="1"/>
  <c r="E104" i="10" s="1"/>
  <c r="E105" i="10" a="1"/>
  <c r="E105" i="10" s="1"/>
  <c r="E106" i="10" a="1"/>
  <c r="E106" i="10" s="1"/>
  <c r="E107" i="10" a="1"/>
  <c r="E107" i="10" s="1"/>
  <c r="E108" i="10" a="1"/>
  <c r="E108" i="10" s="1"/>
  <c r="E109" i="10" a="1"/>
  <c r="E109" i="10" s="1"/>
  <c r="E110" i="10" a="1"/>
  <c r="E110" i="10" s="1"/>
  <c r="E111" i="10" a="1"/>
  <c r="E111" i="10" s="1"/>
  <c r="E112" i="10" a="1"/>
  <c r="E112" i="10" s="1"/>
  <c r="E113" i="10" a="1"/>
  <c r="E113" i="10" s="1"/>
  <c r="E114" i="10" a="1"/>
  <c r="E114" i="10" s="1"/>
  <c r="E115" i="10" a="1"/>
  <c r="E115" i="10" s="1"/>
  <c r="E116" i="10" a="1"/>
  <c r="E116" i="10" s="1"/>
  <c r="E117" i="10" a="1"/>
  <c r="E117" i="10" s="1"/>
  <c r="E118" i="10" a="1"/>
  <c r="E118" i="10" s="1"/>
  <c r="E119" i="10" a="1"/>
  <c r="E119" i="10" s="1"/>
  <c r="E162" i="10" a="1"/>
  <c r="E162" i="10" s="1"/>
  <c r="E163" i="10" a="1"/>
  <c r="E163" i="10" s="1"/>
  <c r="E164" i="10" a="1"/>
  <c r="E164" i="10" s="1"/>
  <c r="E165" i="10" a="1"/>
  <c r="E165" i="10" s="1"/>
  <c r="E166" i="10" a="1"/>
  <c r="E166" i="10" s="1"/>
  <c r="E167" i="10" a="1"/>
  <c r="E167" i="10" s="1"/>
  <c r="E168" i="10" a="1"/>
  <c r="E168" i="10" s="1"/>
  <c r="E169" i="10" a="1"/>
  <c r="E169" i="10" s="1"/>
  <c r="E173" i="10" a="1"/>
  <c r="E173" i="10" s="1"/>
  <c r="E174" i="10" a="1"/>
  <c r="E174" i="10" s="1"/>
  <c r="E175" i="10" a="1"/>
  <c r="E175" i="10" s="1"/>
  <c r="E176" i="10" a="1"/>
  <c r="E176" i="10" s="1"/>
  <c r="E177" i="10" a="1"/>
  <c r="E177" i="10" s="1"/>
  <c r="E178" i="10" a="1"/>
  <c r="E178" i="10" s="1"/>
  <c r="E179" i="10" a="1"/>
  <c r="E179" i="10" s="1"/>
  <c r="E180" i="10" a="1"/>
  <c r="E180" i="10" s="1"/>
  <c r="E181" i="10" a="1"/>
  <c r="E181" i="10" s="1"/>
  <c r="E182" i="10" a="1"/>
  <c r="E182" i="10" s="1"/>
  <c r="E183" i="10" a="1"/>
  <c r="E183" i="10" s="1"/>
  <c r="E184" i="10" a="1"/>
  <c r="E184" i="10" s="1"/>
  <c r="E185" i="10" a="1"/>
  <c r="E185" i="10" s="1"/>
  <c r="E186" i="10" a="1"/>
  <c r="E186" i="10" s="1"/>
  <c r="E187" i="10" a="1"/>
  <c r="E187" i="10" s="1"/>
  <c r="E188" i="10" a="1"/>
  <c r="E188" i="10" s="1"/>
  <c r="E189" i="10" a="1"/>
  <c r="E189" i="10" s="1"/>
  <c r="E190" i="10" a="1"/>
  <c r="E190" i="10" s="1"/>
  <c r="E191" i="10" a="1"/>
  <c r="E191" i="10" s="1"/>
  <c r="E192" i="10" a="1"/>
  <c r="E192" i="10" s="1"/>
  <c r="E193" i="10" a="1"/>
  <c r="E193" i="10" s="1"/>
  <c r="E194" i="10" a="1"/>
  <c r="E194" i="10" s="1"/>
  <c r="E195" i="10" a="1"/>
  <c r="E195" i="10" s="1"/>
  <c r="E196" i="10" a="1"/>
  <c r="E196" i="10" s="1"/>
  <c r="E197" i="10" a="1"/>
  <c r="E197" i="10" s="1"/>
  <c r="E198" i="10" a="1"/>
  <c r="E198" i="10"/>
  <c r="E199" i="10" a="1"/>
  <c r="E199" i="10" s="1"/>
  <c r="E200" i="10" a="1"/>
  <c r="E200" i="10" s="1"/>
  <c r="E201" i="10" a="1"/>
  <c r="E201" i="10" s="1"/>
  <c r="E202" i="10" a="1"/>
  <c r="E202" i="10" s="1"/>
  <c r="E203" i="10" a="1"/>
  <c r="E203" i="10" s="1"/>
  <c r="E204" i="10" a="1"/>
  <c r="E204" i="10" s="1"/>
  <c r="E205" i="10" a="1"/>
  <c r="E205" i="10" s="1"/>
  <c r="E206" i="10" a="1"/>
  <c r="E206" i="10" s="1"/>
  <c r="E207" i="10" a="1"/>
  <c r="E207" i="10" s="1"/>
  <c r="E208" i="10" a="1"/>
  <c r="E208" i="10" s="1"/>
  <c r="E209" i="10" a="1"/>
  <c r="E209" i="10" s="1"/>
  <c r="E210" i="10" a="1"/>
  <c r="E210" i="10" s="1"/>
  <c r="E211" i="10" a="1"/>
  <c r="E211" i="10" s="1"/>
  <c r="E212" i="10" a="1"/>
  <c r="E212" i="10" s="1"/>
  <c r="E213" i="10" a="1"/>
  <c r="E213" i="10" s="1"/>
  <c r="E214" i="10" a="1"/>
  <c r="E214" i="10" s="1"/>
  <c r="E215" i="10" a="1"/>
  <c r="E215" i="10" s="1"/>
  <c r="E216" i="10" a="1"/>
  <c r="E216" i="10"/>
  <c r="E217" i="10" a="1"/>
  <c r="E217" i="10" s="1"/>
  <c r="E218" i="10" a="1"/>
  <c r="E218" i="10" s="1"/>
  <c r="E219" i="10" a="1"/>
  <c r="E219" i="10" s="1"/>
  <c r="E220" i="10" a="1"/>
  <c r="E220" i="10" s="1"/>
  <c r="E221" i="10" a="1"/>
  <c r="E221" i="10" s="1"/>
  <c r="E222" i="10" a="1"/>
  <c r="E222" i="10" s="1"/>
  <c r="E223" i="10" a="1"/>
  <c r="E223" i="10" s="1"/>
  <c r="E224" i="10" a="1"/>
  <c r="E224" i="10" s="1"/>
  <c r="E225" i="10" a="1"/>
  <c r="E225" i="10" s="1"/>
  <c r="E226" i="10" a="1"/>
  <c r="E226" i="10" s="1"/>
  <c r="E227" i="10" a="1"/>
  <c r="E227" i="10" s="1"/>
  <c r="E228" i="10" a="1"/>
  <c r="E228" i="10" s="1"/>
  <c r="E229" i="10" a="1"/>
  <c r="E229" i="10" s="1"/>
  <c r="E230" i="10" a="1"/>
  <c r="E230" i="10" s="1"/>
  <c r="E231" i="10" a="1"/>
  <c r="E231" i="10" s="1"/>
  <c r="E232" i="10" a="1"/>
  <c r="E232" i="10" s="1"/>
  <c r="E233" i="10" a="1"/>
  <c r="E233" i="10" s="1"/>
  <c r="E234" i="10" a="1"/>
  <c r="E234" i="10" s="1"/>
  <c r="E235" i="10" a="1"/>
  <c r="E235" i="10" s="1"/>
  <c r="E236" i="10" a="1"/>
  <c r="E236" i="10" s="1"/>
  <c r="E237" i="10" a="1"/>
  <c r="E237" i="10" s="1"/>
  <c r="E238" i="10" a="1"/>
  <c r="E238" i="10" s="1"/>
  <c r="E239" i="10" a="1"/>
  <c r="E239" i="10" s="1"/>
  <c r="E240" i="10" a="1"/>
  <c r="E240" i="10" s="1"/>
  <c r="E241" i="10" a="1"/>
  <c r="E241" i="10" s="1"/>
  <c r="E328" i="10" a="1"/>
  <c r="E328" i="10" s="1"/>
  <c r="E329" i="10" a="1"/>
  <c r="E329" i="10" s="1"/>
  <c r="E330" i="10" a="1"/>
  <c r="E330" i="10" s="1"/>
  <c r="E331" i="10" a="1"/>
  <c r="E331" i="10" s="1"/>
  <c r="E332" i="10" a="1"/>
  <c r="E332" i="10" s="1"/>
  <c r="E333" i="10" a="1"/>
  <c r="E333" i="10" s="1"/>
  <c r="E334" i="10" a="1"/>
  <c r="E334" i="10" s="1"/>
  <c r="E335" i="10" a="1"/>
  <c r="E335" i="10" s="1"/>
  <c r="E336" i="10" a="1"/>
  <c r="E336" i="10" s="1"/>
  <c r="E337" i="10" a="1"/>
  <c r="E337" i="10" s="1"/>
  <c r="E338" i="10" a="1"/>
  <c r="E338" i="10" s="1"/>
  <c r="E339" i="10" a="1"/>
  <c r="E339" i="10" s="1"/>
  <c r="E340" i="10" a="1"/>
  <c r="E340" i="10" s="1"/>
  <c r="E341" i="10" a="1"/>
  <c r="E341" i="10" s="1"/>
  <c r="E342" i="10" a="1"/>
  <c r="E342" i="10"/>
  <c r="E343" i="10" a="1"/>
  <c r="E343" i="10" s="1"/>
  <c r="E344" i="10" a="1"/>
  <c r="E344" i="10" s="1"/>
  <c r="E345" i="10" a="1"/>
  <c r="E345" i="10" s="1"/>
  <c r="E346" i="10" a="1"/>
  <c r="E346" i="10" s="1"/>
  <c r="E347" i="10" a="1"/>
  <c r="E347" i="10" s="1"/>
  <c r="E348" i="10" a="1"/>
  <c r="E348" i="10" s="1"/>
  <c r="E349" i="10" a="1"/>
  <c r="E349" i="10" s="1"/>
  <c r="E350" i="10" a="1"/>
  <c r="E350" i="10" s="1"/>
  <c r="E353" i="10" a="1"/>
  <c r="E353" i="10" s="1"/>
  <c r="E354" i="10" a="1"/>
  <c r="E354" i="10" s="1"/>
  <c r="E355" i="10" a="1"/>
  <c r="E355" i="10" s="1"/>
  <c r="E356" i="10" a="1"/>
  <c r="E356" i="10" s="1"/>
  <c r="E357" i="10" a="1"/>
  <c r="E357" i="10" s="1"/>
  <c r="E358" i="10" a="1"/>
  <c r="E358" i="10" s="1"/>
  <c r="E359" i="10" a="1"/>
  <c r="E359" i="10" s="1"/>
  <c r="E360" i="10" a="1"/>
  <c r="E360" i="10" s="1"/>
  <c r="E361" i="10" a="1"/>
  <c r="E361" i="10" s="1"/>
  <c r="E362" i="10" a="1"/>
  <c r="E362" i="10" s="1"/>
  <c r="E363" i="10" a="1"/>
  <c r="E363" i="10" s="1"/>
  <c r="E364" i="10" a="1"/>
  <c r="E364" i="10" s="1"/>
  <c r="E365" i="10" a="1"/>
  <c r="E365" i="10" s="1"/>
  <c r="E366" i="10" a="1"/>
  <c r="E366" i="10" s="1"/>
  <c r="E367" i="10" a="1"/>
  <c r="E367" i="10" s="1"/>
  <c r="E368" i="10" a="1"/>
  <c r="E368" i="10" s="1"/>
  <c r="E369" i="10" a="1"/>
  <c r="E369" i="10" s="1"/>
  <c r="E370" i="10" a="1"/>
  <c r="E370" i="10" s="1"/>
  <c r="E371" i="10" a="1"/>
  <c r="E371" i="10" s="1"/>
  <c r="E372" i="10" a="1"/>
  <c r="E372" i="10" s="1"/>
  <c r="E373" i="10" a="1"/>
  <c r="E373" i="10" s="1"/>
  <c r="E374" i="10" a="1"/>
  <c r="E374" i="10" s="1"/>
  <c r="E375" i="10" a="1"/>
  <c r="E375" i="10" s="1"/>
  <c r="E376" i="10" a="1"/>
  <c r="E376" i="10" s="1"/>
  <c r="E377" i="10" a="1"/>
  <c r="E377" i="10" s="1"/>
  <c r="E378" i="10" a="1"/>
  <c r="E378" i="10" s="1"/>
  <c r="E379" i="10" a="1"/>
  <c r="E379" i="10"/>
  <c r="E380" i="10" a="1"/>
  <c r="E380" i="10" s="1"/>
  <c r="E381" i="10" a="1"/>
  <c r="E381" i="10" s="1"/>
  <c r="E382" i="10" a="1"/>
  <c r="E382" i="10" s="1"/>
  <c r="E383" i="10" a="1"/>
  <c r="E383" i="10" s="1"/>
  <c r="E384" i="10" a="1"/>
  <c r="E384" i="10" s="1"/>
  <c r="E385" i="10" a="1"/>
  <c r="E385" i="10" s="1"/>
  <c r="E386" i="10" a="1"/>
  <c r="E386" i="10" s="1"/>
  <c r="E390" i="10" a="1"/>
  <c r="E390" i="10" s="1"/>
  <c r="E391" i="10" a="1"/>
  <c r="E391" i="10" s="1"/>
  <c r="E392" i="10" a="1"/>
  <c r="E392" i="10" s="1"/>
  <c r="E393" i="10" a="1"/>
  <c r="E393" i="10" s="1"/>
  <c r="E394" i="10" a="1"/>
  <c r="E394" i="10" s="1"/>
  <c r="E395" i="10" a="1"/>
  <c r="E395" i="10" s="1"/>
  <c r="E396" i="10" a="1"/>
  <c r="E396" i="10" s="1"/>
  <c r="E397" i="10" a="1"/>
  <c r="E397" i="10" s="1"/>
  <c r="E398" i="10" a="1"/>
  <c r="E398" i="10" s="1"/>
  <c r="E399" i="10" a="1"/>
  <c r="E399" i="10" s="1"/>
  <c r="E400" i="10" a="1"/>
  <c r="E400" i="10" s="1"/>
  <c r="E401" i="10" a="1"/>
  <c r="E401" i="10" s="1"/>
  <c r="E402" i="10" a="1"/>
  <c r="E402" i="10" s="1"/>
  <c r="E403" i="10" a="1"/>
  <c r="E403" i="10" s="1"/>
  <c r="E404" i="10" a="1"/>
  <c r="E404" i="10" s="1"/>
  <c r="E405" i="10" a="1"/>
  <c r="E405" i="10" s="1"/>
  <c r="E406" i="10" a="1"/>
  <c r="E406" i="10" s="1"/>
  <c r="E407" i="10" a="1"/>
  <c r="E407" i="10" s="1"/>
  <c r="E408" i="10" a="1"/>
  <c r="E408" i="10" s="1"/>
  <c r="E409" i="10" a="1"/>
  <c r="E409" i="10" s="1"/>
  <c r="E410" i="10" a="1"/>
  <c r="E410" i="10" s="1"/>
  <c r="E411" i="10" a="1"/>
  <c r="E411" i="10" s="1"/>
  <c r="E412" i="10" a="1"/>
  <c r="E412" i="10" s="1"/>
  <c r="E413" i="10" a="1"/>
  <c r="E413" i="10" s="1"/>
  <c r="E414" i="10" a="1"/>
  <c r="E414" i="10" s="1"/>
  <c r="E415" i="10" a="1"/>
  <c r="E415" i="10" s="1"/>
  <c r="E416" i="10" a="1"/>
  <c r="E416" i="10" s="1"/>
  <c r="E417" i="10" a="1"/>
  <c r="E417" i="10" s="1"/>
  <c r="E418" i="10" a="1"/>
  <c r="E418" i="10"/>
  <c r="E419" i="10" a="1"/>
  <c r="E419" i="10" s="1"/>
  <c r="E420" i="10" a="1"/>
  <c r="E420" i="10" s="1"/>
  <c r="E421" i="10" a="1"/>
  <c r="E421" i="10" s="1"/>
  <c r="E422" i="10" a="1"/>
  <c r="E422" i="10" s="1"/>
  <c r="E506" i="10" a="1"/>
  <c r="E506" i="10" s="1"/>
  <c r="E507" i="10" a="1"/>
  <c r="E507" i="10" s="1"/>
  <c r="E508" i="10" a="1"/>
  <c r="E508" i="10"/>
  <c r="E509" i="10" a="1"/>
  <c r="E509" i="10" s="1"/>
  <c r="E510" i="10" a="1"/>
  <c r="E510" i="10" s="1"/>
  <c r="E511" i="10" a="1"/>
  <c r="E511" i="10"/>
  <c r="E512" i="10" a="1"/>
  <c r="E512" i="10" s="1"/>
  <c r="E513" i="10" a="1"/>
  <c r="E513" i="10"/>
  <c r="E514" i="10" a="1"/>
  <c r="E514" i="10" s="1"/>
  <c r="E515" i="10" a="1"/>
  <c r="E515" i="10" s="1"/>
  <c r="E516" i="10" a="1"/>
  <c r="E516" i="10" s="1"/>
  <c r="E517" i="10" a="1"/>
  <c r="E517" i="10" s="1"/>
  <c r="E518" i="10" a="1"/>
  <c r="E518" i="10" s="1"/>
  <c r="E519" i="10" a="1"/>
  <c r="E519" i="10" s="1"/>
  <c r="E520" i="10" a="1"/>
  <c r="E520" i="10"/>
  <c r="E521" i="10" a="1"/>
  <c r="E521" i="10" s="1"/>
  <c r="E522" i="10" a="1"/>
  <c r="E522" i="10" s="1"/>
  <c r="E523" i="10" a="1"/>
  <c r="E523" i="10" s="1"/>
  <c r="E524" i="10" a="1"/>
  <c r="E524" i="10" s="1"/>
  <c r="E525" i="10" a="1"/>
  <c r="E525" i="10" s="1"/>
  <c r="E526" i="10" a="1"/>
  <c r="E526" i="10"/>
  <c r="E527" i="10" a="1"/>
  <c r="E527" i="10" s="1"/>
  <c r="E528" i="10" a="1"/>
  <c r="E528" i="10"/>
  <c r="E529" i="10" a="1"/>
  <c r="E529" i="10" s="1"/>
  <c r="E530" i="10" a="1"/>
  <c r="E530" i="10" s="1"/>
  <c r="E531" i="10" a="1"/>
  <c r="E531" i="10" s="1"/>
  <c r="E532" i="10" a="1"/>
  <c r="E532" i="10" s="1"/>
  <c r="E533" i="10" a="1"/>
  <c r="E533" i="10" s="1"/>
  <c r="E534" i="10" a="1"/>
  <c r="E534" i="10" s="1"/>
  <c r="E535" i="10" a="1"/>
  <c r="E535" i="10" s="1"/>
  <c r="E536" i="10" a="1"/>
  <c r="E536" i="10" s="1"/>
  <c r="E537" i="10" a="1"/>
  <c r="E537" i="10"/>
  <c r="E538" i="10" a="1"/>
  <c r="E538" i="10" s="1"/>
  <c r="E539" i="10" a="1"/>
  <c r="E539" i="10" s="1"/>
  <c r="E540" i="10" a="1"/>
  <c r="E540" i="10" s="1"/>
  <c r="E541" i="10" a="1"/>
  <c r="E541" i="10" s="1"/>
  <c r="E542" i="10" a="1"/>
  <c r="E542" i="10" s="1"/>
  <c r="E543" i="10" a="1"/>
  <c r="E543" i="10" s="1"/>
  <c r="E544" i="10" a="1"/>
  <c r="E544" i="10" s="1"/>
  <c r="E545" i="10" a="1"/>
  <c r="E545" i="10" s="1"/>
  <c r="E546" i="10" a="1"/>
  <c r="E546" i="10" s="1"/>
  <c r="E547" i="10" a="1"/>
  <c r="E547" i="10"/>
  <c r="E548" i="10" a="1"/>
  <c r="E548" i="10" s="1"/>
  <c r="E549" i="10" a="1"/>
  <c r="E549" i="10"/>
  <c r="E550" i="10" a="1"/>
  <c r="E550" i="10" s="1"/>
  <c r="E551" i="10" a="1"/>
  <c r="E551" i="10" s="1"/>
  <c r="E552" i="10" a="1"/>
  <c r="E552" i="10" s="1"/>
  <c r="E553" i="10" a="1"/>
  <c r="E553" i="10" s="1"/>
  <c r="E554" i="10" a="1"/>
  <c r="E554" i="10" s="1"/>
  <c r="E555" i="10" a="1"/>
  <c r="E555" i="10" s="1"/>
  <c r="E556" i="10" a="1"/>
  <c r="E556" i="10" s="1"/>
  <c r="E557" i="10" a="1"/>
  <c r="E557" i="10" s="1"/>
  <c r="E558" i="10" a="1"/>
  <c r="E558" i="10" s="1"/>
  <c r="E559" i="10" a="1"/>
  <c r="E559" i="10" s="1"/>
  <c r="E560" i="10" a="1"/>
  <c r="E560" i="10" s="1"/>
  <c r="E561" i="10" a="1"/>
  <c r="E561" i="10"/>
  <c r="E562" i="10" a="1"/>
  <c r="E562" i="10" s="1"/>
  <c r="E563" i="10" a="1"/>
  <c r="E563" i="10" s="1"/>
  <c r="E564" i="10" a="1"/>
  <c r="E564" i="10" s="1"/>
  <c r="E565" i="10" a="1"/>
  <c r="E565" i="10" s="1"/>
  <c r="E566" i="10" a="1"/>
  <c r="E566" i="10" s="1"/>
  <c r="E567" i="10" a="1"/>
  <c r="E567" i="10" s="1"/>
  <c r="E568" i="10" a="1"/>
  <c r="E568" i="10" s="1"/>
  <c r="E569" i="10" a="1"/>
  <c r="E569" i="10" s="1"/>
  <c r="E570" i="10" a="1"/>
  <c r="E570" i="10" s="1"/>
  <c r="E571" i="10" a="1"/>
  <c r="E571" i="10" s="1"/>
  <c r="E572" i="10" a="1"/>
  <c r="E572" i="10" s="1"/>
  <c r="E573" i="10" a="1"/>
  <c r="E573" i="10" s="1"/>
  <c r="E574" i="10" a="1"/>
  <c r="E574" i="10" s="1"/>
  <c r="E575" i="10" a="1"/>
  <c r="E575" i="10" s="1"/>
  <c r="E576" i="10" a="1"/>
  <c r="E576" i="10" s="1"/>
  <c r="E577" i="10" a="1"/>
  <c r="E577" i="10" s="1"/>
  <c r="E578" i="10" a="1"/>
  <c r="E578" i="10" s="1"/>
  <c r="E579" i="10" a="1"/>
  <c r="E579" i="10"/>
  <c r="E580" i="10" a="1"/>
  <c r="E580" i="10" s="1"/>
  <c r="E581" i="10" a="1"/>
  <c r="E581" i="10" s="1"/>
  <c r="E582" i="10" a="1"/>
  <c r="E582" i="10" s="1"/>
  <c r="E583" i="10" a="1"/>
  <c r="E583" i="10" s="1"/>
  <c r="E584" i="10" a="1"/>
  <c r="E584" i="10" s="1"/>
  <c r="E585" i="10" a="1"/>
  <c r="E585" i="10" s="1"/>
  <c r="E586" i="10" a="1"/>
  <c r="E586" i="10" s="1"/>
  <c r="E587" i="10" a="1"/>
  <c r="E587" i="10" s="1"/>
  <c r="E588" i="10" a="1"/>
  <c r="E588" i="10" s="1"/>
  <c r="E589" i="10" a="1"/>
  <c r="E589" i="10" s="1"/>
  <c r="E590" i="10" a="1"/>
  <c r="E590" i="10" s="1"/>
  <c r="E591" i="10" a="1"/>
  <c r="E591" i="10" s="1"/>
  <c r="E592" i="10" a="1"/>
  <c r="E592" i="10" s="1"/>
  <c r="E593" i="10" a="1"/>
  <c r="E593" i="10" s="1"/>
  <c r="E594" i="10" a="1"/>
  <c r="E594" i="10" s="1"/>
  <c r="E595" i="10" a="1"/>
  <c r="E595" i="10" s="1"/>
  <c r="E596" i="10" a="1"/>
  <c r="E596" i="10" s="1"/>
  <c r="E597" i="10" a="1"/>
  <c r="E597" i="10" s="1"/>
  <c r="E598" i="10" a="1"/>
  <c r="E598" i="10" s="1"/>
  <c r="E599" i="10" a="1"/>
  <c r="E599" i="10" s="1"/>
  <c r="E600" i="10" a="1"/>
  <c r="E600" i="10" s="1"/>
  <c r="E601" i="10" a="1"/>
  <c r="E601" i="10" s="1"/>
  <c r="E602" i="10" a="1"/>
  <c r="E602" i="10" s="1"/>
  <c r="E603" i="10" a="1"/>
  <c r="E603" i="10" s="1"/>
  <c r="E604" i="10" a="1"/>
  <c r="E604" i="10" s="1"/>
  <c r="E605" i="10" a="1"/>
  <c r="E605" i="10" s="1"/>
  <c r="E606" i="10" a="1"/>
  <c r="E606" i="10" s="1"/>
  <c r="E607" i="10" a="1"/>
  <c r="E607" i="10" s="1"/>
  <c r="E608" i="10" a="1"/>
  <c r="E608" i="10" s="1"/>
  <c r="E609" i="10" a="1"/>
  <c r="E609" i="10" s="1"/>
  <c r="E610" i="10" a="1"/>
  <c r="E610" i="10" s="1"/>
  <c r="E611" i="10" a="1"/>
  <c r="E611" i="10" s="1"/>
  <c r="E612" i="10" a="1"/>
  <c r="E612" i="10" s="1"/>
  <c r="E613" i="10" a="1"/>
  <c r="E613" i="10"/>
  <c r="E614" i="10" a="1"/>
  <c r="E614" i="10" s="1"/>
  <c r="E615" i="10" a="1"/>
  <c r="E615" i="10"/>
  <c r="E616" i="10" a="1"/>
  <c r="E616" i="10" s="1"/>
  <c r="E617" i="10" a="1"/>
  <c r="E617" i="10" s="1"/>
  <c r="E621" i="10" a="1"/>
  <c r="E621" i="10" s="1"/>
  <c r="E622" i="10" a="1"/>
  <c r="E622" i="10"/>
  <c r="E623" i="10" a="1"/>
  <c r="E623" i="10"/>
  <c r="E624" i="10" a="1"/>
  <c r="E624" i="10" s="1"/>
  <c r="E625" i="10" a="1"/>
  <c r="E625" i="10" s="1"/>
  <c r="E626" i="10" a="1"/>
  <c r="E626" i="10" s="1"/>
  <c r="E627" i="10" a="1"/>
  <c r="E627" i="10" s="1"/>
  <c r="E628" i="10" a="1"/>
  <c r="E628" i="10"/>
  <c r="E629" i="10" a="1"/>
  <c r="E629" i="10" s="1"/>
  <c r="E630" i="10" a="1"/>
  <c r="E630" i="10" s="1"/>
  <c r="E631" i="10" a="1"/>
  <c r="E631" i="10"/>
  <c r="E632" i="10" a="1"/>
  <c r="E632" i="10" s="1"/>
  <c r="E633" i="10" a="1"/>
  <c r="E633" i="10"/>
  <c r="E634" i="10" a="1"/>
  <c r="E634" i="10" s="1"/>
  <c r="E637" i="10" a="1"/>
  <c r="E637" i="10" s="1"/>
  <c r="E638" i="10" a="1"/>
  <c r="E638" i="10" s="1"/>
  <c r="E639" i="10" a="1"/>
  <c r="E639" i="10" s="1"/>
  <c r="E640" i="10" a="1"/>
  <c r="E640" i="10" s="1"/>
  <c r="E641" i="10" a="1"/>
  <c r="E641" i="10" s="1"/>
  <c r="E642" i="10" a="1"/>
  <c r="E642" i="10" s="1"/>
  <c r="E643" i="10" a="1"/>
  <c r="E643" i="10" s="1"/>
  <c r="E644" i="10" a="1"/>
  <c r="E644" i="10" s="1"/>
  <c r="E645" i="10" a="1"/>
  <c r="E645" i="10" s="1"/>
  <c r="E646" i="10" a="1"/>
  <c r="E646" i="10" s="1"/>
  <c r="E647" i="10" a="1"/>
  <c r="E647" i="10" s="1"/>
  <c r="E648" i="10" a="1"/>
  <c r="E648" i="10" s="1"/>
  <c r="E649" i="10" a="1"/>
  <c r="E649" i="10" s="1"/>
  <c r="E650" i="10" a="1"/>
  <c r="E650" i="10" s="1"/>
  <c r="E651" i="10" a="1"/>
  <c r="E651" i="10" s="1"/>
  <c r="E652" i="10" a="1"/>
  <c r="E652" i="10" s="1"/>
  <c r="E653" i="10" a="1"/>
  <c r="E653" i="10" s="1"/>
  <c r="E654" i="10" a="1"/>
  <c r="E654" i="10"/>
  <c r="E655" i="10" a="1"/>
  <c r="E655" i="10" s="1"/>
  <c r="E656" i="10" a="1"/>
  <c r="E656" i="10" s="1"/>
  <c r="E657" i="10" a="1"/>
  <c r="E657" i="10" s="1"/>
  <c r="E658" i="10" a="1"/>
  <c r="E658" i="10" s="1"/>
  <c r="E659" i="10" a="1"/>
  <c r="E659" i="10" s="1"/>
  <c r="E660" i="10" a="1"/>
  <c r="E660" i="10" s="1"/>
  <c r="E661" i="10" a="1"/>
  <c r="E661" i="10" s="1"/>
  <c r="E662" i="10" a="1"/>
  <c r="E662" i="10" s="1"/>
  <c r="E663" i="10" a="1"/>
  <c r="E663" i="10" s="1"/>
  <c r="E664" i="10" a="1"/>
  <c r="E664" i="10" s="1"/>
  <c r="E665" i="10" a="1"/>
  <c r="E665" i="10"/>
  <c r="E666" i="10" a="1"/>
  <c r="E666" i="10" s="1"/>
  <c r="E667" i="10" a="1"/>
  <c r="E667" i="10" s="1"/>
  <c r="E668" i="10" a="1"/>
  <c r="E668" i="10" s="1"/>
  <c r="E669" i="10" a="1"/>
  <c r="E669" i="10" s="1"/>
  <c r="E670" i="10" a="1"/>
  <c r="E670" i="10" s="1"/>
  <c r="E671" i="10" a="1"/>
  <c r="E671" i="10" s="1"/>
  <c r="E672" i="10" a="1"/>
  <c r="E672" i="10" s="1"/>
  <c r="E673" i="10" a="1"/>
  <c r="E673" i="10" s="1"/>
  <c r="E674" i="10" a="1"/>
  <c r="E674" i="10" s="1"/>
  <c r="E675" i="10" a="1"/>
  <c r="E675" i="10" s="1"/>
  <c r="E676" i="10" a="1"/>
  <c r="E676" i="10" s="1"/>
  <c r="E677" i="10" a="1"/>
  <c r="E677" i="10" s="1"/>
  <c r="E678" i="10" a="1"/>
  <c r="E678" i="10" s="1"/>
  <c r="E679" i="10" a="1"/>
  <c r="E679" i="10" s="1"/>
  <c r="E680" i="10" a="1"/>
  <c r="E680" i="10" s="1"/>
  <c r="E681" i="10" a="1"/>
  <c r="E681" i="10" s="1"/>
  <c r="E682" i="10" a="1"/>
  <c r="E682" i="10" s="1"/>
  <c r="E683" i="10" a="1"/>
  <c r="E683" i="10" s="1"/>
  <c r="E684" i="10" a="1"/>
  <c r="E684" i="10" s="1"/>
  <c r="E685" i="10" a="1"/>
  <c r="E685" i="10" s="1"/>
  <c r="E686" i="10" a="1"/>
  <c r="E686" i="10" s="1"/>
  <c r="E687" i="10" a="1"/>
  <c r="E687" i="10" s="1"/>
  <c r="E688" i="10" a="1"/>
  <c r="E688" i="10" s="1"/>
  <c r="E689" i="10" a="1"/>
  <c r="E689" i="10" s="1"/>
  <c r="E690" i="10" a="1"/>
  <c r="E690" i="10"/>
  <c r="E691" i="10" a="1"/>
  <c r="E691" i="10" s="1"/>
  <c r="E692" i="10" a="1"/>
  <c r="E692" i="10" s="1"/>
  <c r="E693" i="10" a="1"/>
  <c r="E693" i="10" s="1"/>
  <c r="E694" i="10" a="1"/>
  <c r="E694" i="10" s="1"/>
  <c r="E695" i="10" a="1"/>
  <c r="E695" i="10" s="1"/>
  <c r="E696" i="10" a="1"/>
  <c r="E696" i="10" s="1"/>
  <c r="E697" i="10" a="1"/>
  <c r="E697" i="10" s="1"/>
  <c r="E698" i="10" a="1"/>
  <c r="E698" i="10" s="1"/>
  <c r="E699" i="10" a="1"/>
  <c r="E699" i="10" s="1"/>
  <c r="E700" i="10" a="1"/>
  <c r="E700" i="10" s="1"/>
  <c r="E701" i="10" a="1"/>
  <c r="E701" i="10" s="1"/>
  <c r="E702" i="10" a="1"/>
  <c r="E702" i="10" s="1"/>
  <c r="E703" i="10" a="1"/>
  <c r="E703" i="10" s="1"/>
  <c r="E704" i="10" a="1"/>
  <c r="E704" i="10" s="1"/>
  <c r="E705" i="10" a="1"/>
  <c r="E705" i="10" s="1"/>
  <c r="E706" i="10" a="1"/>
  <c r="E706" i="10" s="1"/>
  <c r="E707" i="10" a="1"/>
  <c r="E707" i="10"/>
  <c r="E708" i="10" a="1"/>
  <c r="E708" i="10" s="1"/>
  <c r="E709" i="10" a="1"/>
  <c r="E709" i="10" s="1"/>
  <c r="E710" i="10" a="1"/>
  <c r="E710" i="10" s="1"/>
  <c r="E712" i="10" a="1"/>
  <c r="E712" i="10" s="1"/>
  <c r="E713" i="10" a="1"/>
  <c r="E713" i="10" s="1"/>
  <c r="E714" i="10" a="1"/>
  <c r="E714" i="10" s="1"/>
  <c r="E715" i="10" a="1"/>
  <c r="E715" i="10" s="1"/>
  <c r="E716" i="10" a="1"/>
  <c r="E716" i="10" s="1"/>
  <c r="E717" i="10" a="1"/>
  <c r="E717" i="10" s="1"/>
  <c r="E718" i="10" a="1"/>
  <c r="E718" i="10" s="1"/>
  <c r="E719" i="10" a="1"/>
  <c r="E719" i="10" s="1"/>
  <c r="E720" i="10" a="1"/>
  <c r="E720" i="10" s="1"/>
  <c r="E721" i="10" a="1"/>
  <c r="E721" i="10" s="1"/>
  <c r="E722" i="10" a="1"/>
  <c r="E722" i="10" s="1"/>
  <c r="E723" i="10" a="1"/>
  <c r="E723" i="10"/>
  <c r="E724" i="10" a="1"/>
  <c r="E724" i="10" s="1"/>
  <c r="E725" i="10" a="1"/>
  <c r="E725" i="10" s="1"/>
  <c r="E726" i="10" a="1"/>
  <c r="E726" i="10" s="1"/>
  <c r="E727" i="10" a="1"/>
  <c r="E727" i="10" s="1"/>
  <c r="E728" i="10" a="1"/>
  <c r="E728" i="10" s="1"/>
  <c r="E729" i="10" a="1"/>
  <c r="E729" i="10" s="1"/>
  <c r="E730" i="10" a="1"/>
  <c r="E730" i="10" s="1"/>
  <c r="E731" i="10" a="1"/>
  <c r="E731" i="10" s="1"/>
  <c r="E732" i="10" a="1"/>
  <c r="E732" i="10" s="1"/>
  <c r="E733" i="10" a="1"/>
  <c r="E733" i="10" s="1"/>
  <c r="E734" i="10" a="1"/>
  <c r="E734" i="10" s="1"/>
  <c r="E735" i="10" a="1"/>
  <c r="E735" i="10" s="1"/>
  <c r="E736" i="10" a="1"/>
  <c r="E736" i="10" s="1"/>
  <c r="E737" i="10" a="1"/>
  <c r="E737" i="10" s="1"/>
  <c r="E738" i="10" a="1"/>
  <c r="E738" i="10" s="1"/>
  <c r="E739" i="10" a="1"/>
  <c r="E739" i="10" s="1"/>
  <c r="E740" i="10" a="1"/>
  <c r="E740" i="10" s="1"/>
  <c r="E741" i="10" a="1"/>
  <c r="E741" i="10" s="1"/>
  <c r="E742" i="10" a="1"/>
  <c r="E742" i="10" s="1"/>
  <c r="E743" i="10" a="1"/>
  <c r="E743" i="10" s="1"/>
  <c r="E744" i="10" a="1"/>
  <c r="E744" i="10"/>
  <c r="E745" i="10" a="1"/>
  <c r="E745" i="10" s="1"/>
  <c r="E746" i="10" a="1"/>
  <c r="E746" i="10" s="1"/>
  <c r="E747" i="10" a="1"/>
  <c r="E747" i="10" s="1"/>
  <c r="E748" i="10" a="1"/>
  <c r="E748" i="10" s="1"/>
  <c r="E749" i="10" a="1"/>
  <c r="E749" i="10" s="1"/>
  <c r="E750" i="10" a="1"/>
  <c r="E750" i="10" s="1"/>
  <c r="E751" i="10" a="1"/>
  <c r="E751" i="10" s="1"/>
  <c r="E752" i="10" a="1"/>
  <c r="E752" i="10" s="1"/>
  <c r="E753" i="10" a="1"/>
  <c r="E753" i="10"/>
  <c r="E754" i="10" a="1"/>
  <c r="E754" i="10" s="1"/>
  <c r="E755" i="10" a="1"/>
  <c r="E755" i="10" s="1"/>
  <c r="E756" i="10" a="1"/>
  <c r="E756" i="10" s="1"/>
  <c r="E757" i="10" a="1"/>
  <c r="E757" i="10" s="1"/>
  <c r="E758" i="10" a="1"/>
  <c r="E758" i="10" s="1"/>
  <c r="E759" i="10" a="1"/>
  <c r="E759" i="10" s="1"/>
  <c r="E760" i="10" a="1"/>
  <c r="E760" i="10" s="1"/>
  <c r="E761" i="10" a="1"/>
  <c r="E761" i="10" s="1"/>
  <c r="E762" i="10" a="1"/>
  <c r="E762" i="10"/>
  <c r="E763" i="10" a="1"/>
  <c r="E763" i="10" s="1"/>
  <c r="E764" i="10" a="1"/>
  <c r="E764" i="10" s="1"/>
  <c r="E765" i="10" a="1"/>
  <c r="E765" i="10" s="1"/>
  <c r="E766" i="10" a="1"/>
  <c r="E766" i="10"/>
  <c r="E767" i="10" a="1"/>
  <c r="E767" i="10" s="1"/>
  <c r="E796" i="10" a="1"/>
  <c r="E796" i="10" s="1"/>
  <c r="E797" i="10" a="1"/>
  <c r="E797" i="10" s="1"/>
  <c r="E798" i="10" a="1"/>
  <c r="E798" i="10" s="1"/>
  <c r="E799" i="10" a="1"/>
  <c r="E799" i="10" s="1"/>
  <c r="E800" i="10" a="1"/>
  <c r="E800" i="10" s="1"/>
  <c r="E801" i="10" a="1"/>
  <c r="E801" i="10" s="1"/>
  <c r="E802" i="10" a="1"/>
  <c r="E802" i="10" s="1"/>
  <c r="E803" i="10" a="1"/>
  <c r="E803" i="10"/>
  <c r="E804" i="10" a="1"/>
  <c r="E804" i="10" s="1"/>
  <c r="E805" i="10" a="1"/>
  <c r="E805" i="10" s="1"/>
  <c r="E806" i="10" a="1"/>
  <c r="E806" i="10" s="1"/>
  <c r="E807" i="10" a="1"/>
  <c r="E807" i="10" s="1"/>
  <c r="E808" i="10" a="1"/>
  <c r="E808" i="10"/>
  <c r="E809" i="10" a="1"/>
  <c r="E809" i="10" s="1"/>
  <c r="E810" i="10" a="1"/>
  <c r="E810" i="10" s="1"/>
  <c r="E811" i="10" a="1"/>
  <c r="E811" i="10" s="1"/>
  <c r="E812" i="10" a="1"/>
  <c r="E812" i="10" s="1"/>
  <c r="E813" i="10" a="1"/>
  <c r="E813" i="10" s="1"/>
  <c r="E814" i="10" a="1"/>
  <c r="E814" i="10" s="1"/>
  <c r="E815" i="10" a="1"/>
  <c r="E815" i="10" s="1"/>
  <c r="E816" i="10" a="1"/>
  <c r="E816" i="10"/>
  <c r="E817" i="10" a="1"/>
  <c r="E817" i="10" s="1"/>
  <c r="E818" i="10" a="1"/>
  <c r="E818" i="10" s="1"/>
  <c r="E819" i="10" a="1"/>
  <c r="E819" i="10" s="1"/>
  <c r="E820" i="10" a="1"/>
  <c r="E820" i="10" s="1"/>
  <c r="E821" i="10" a="1"/>
  <c r="E821" i="10" s="1"/>
  <c r="E822" i="10" a="1"/>
  <c r="E822" i="10" s="1"/>
  <c r="E823" i="10" a="1"/>
  <c r="E823" i="10" s="1"/>
  <c r="E824" i="10" a="1"/>
  <c r="E824" i="10" s="1"/>
  <c r="E825" i="10" a="1"/>
  <c r="E825" i="10" s="1"/>
  <c r="E826" i="10" a="1"/>
  <c r="E826" i="10" s="1"/>
  <c r="E827" i="10" a="1"/>
  <c r="E827" i="10" s="1"/>
  <c r="E828" i="10" a="1"/>
  <c r="E828" i="10" s="1"/>
  <c r="E829" i="10" a="1"/>
  <c r="E829" i="10"/>
  <c r="E830" i="10" a="1"/>
  <c r="E830" i="10" s="1"/>
  <c r="E831" i="10" a="1"/>
  <c r="E831" i="10"/>
  <c r="E832" i="10" a="1"/>
  <c r="E832" i="10" s="1"/>
  <c r="E833" i="10" a="1"/>
  <c r="E833" i="10" s="1"/>
  <c r="E834" i="10" a="1"/>
  <c r="E834" i="10" s="1"/>
  <c r="E835" i="10" a="1"/>
  <c r="E835" i="10"/>
  <c r="E836" i="10" a="1"/>
  <c r="E836" i="10" s="1"/>
  <c r="E837" i="10" a="1"/>
  <c r="E837" i="10" s="1"/>
  <c r="E838" i="10" a="1"/>
  <c r="E838" i="10" s="1"/>
  <c r="E839" i="10" a="1"/>
  <c r="E839" i="10" s="1"/>
  <c r="E840" i="10" a="1"/>
  <c r="E840" i="10" s="1"/>
  <c r="E841" i="10" a="1"/>
  <c r="E841" i="10" s="1"/>
  <c r="E842" i="10" a="1"/>
  <c r="E842" i="10" s="1"/>
  <c r="E843" i="10" a="1"/>
  <c r="E843" i="10" s="1"/>
  <c r="E844" i="10" a="1"/>
  <c r="E844" i="10" s="1"/>
  <c r="E845" i="10" a="1"/>
  <c r="E845" i="10" s="1"/>
  <c r="E889" i="10" a="1"/>
  <c r="E889" i="10" s="1"/>
  <c r="E890" i="10" a="1"/>
  <c r="E890" i="10" s="1"/>
  <c r="E891" i="10" a="1"/>
  <c r="E891" i="10" s="1"/>
  <c r="E892" i="10" a="1"/>
  <c r="E892" i="10" s="1"/>
  <c r="E893" i="10" a="1"/>
  <c r="E893" i="10"/>
  <c r="E894" i="10" a="1"/>
  <c r="E894" i="10" s="1"/>
  <c r="E895" i="10" a="1"/>
  <c r="E895" i="10" s="1"/>
  <c r="E896" i="10" a="1"/>
  <c r="E896" i="10" s="1"/>
  <c r="E897" i="10" a="1"/>
  <c r="E897" i="10" s="1"/>
  <c r="E898" i="10" a="1"/>
  <c r="E898" i="10"/>
  <c r="E899" i="10" a="1"/>
  <c r="E899" i="10" s="1"/>
  <c r="E900" i="10" a="1"/>
  <c r="E900" i="10" s="1"/>
  <c r="E901" i="10" a="1"/>
  <c r="E901" i="10" s="1"/>
  <c r="E903" i="10" a="1"/>
  <c r="E903" i="10"/>
  <c r="E904" i="10" a="1"/>
  <c r="E904" i="10" s="1"/>
  <c r="E905" i="10" a="1"/>
  <c r="E905" i="10" s="1"/>
  <c r="E906" i="10" a="1"/>
  <c r="E906" i="10" s="1"/>
  <c r="E907" i="10" a="1"/>
  <c r="E907" i="10" s="1"/>
  <c r="E908" i="10" a="1"/>
  <c r="E908" i="10" s="1"/>
  <c r="E909" i="10" a="1"/>
  <c r="E909" i="10" s="1"/>
  <c r="E910" i="10" a="1"/>
  <c r="E910" i="10"/>
  <c r="E911" i="10" a="1"/>
  <c r="E911" i="10" s="1"/>
  <c r="E912" i="10" a="1"/>
  <c r="E912" i="10" s="1"/>
  <c r="E913" i="10" a="1"/>
  <c r="E913" i="10" s="1"/>
  <c r="E914" i="10" a="1"/>
  <c r="E914" i="10" s="1"/>
  <c r="E915" i="10" a="1"/>
  <c r="E915" i="10" s="1"/>
  <c r="E916" i="10" a="1"/>
  <c r="E916" i="10" s="1"/>
  <c r="E917" i="10" a="1"/>
  <c r="E917" i="10" s="1"/>
  <c r="E918" i="10" a="1"/>
  <c r="E918" i="10" s="1"/>
  <c r="E919" i="10" a="1"/>
  <c r="E919" i="10" s="1"/>
  <c r="E920" i="10" a="1"/>
  <c r="E920" i="10" s="1"/>
  <c r="E921" i="10" a="1"/>
  <c r="E921" i="10" s="1"/>
  <c r="E922" i="10" a="1"/>
  <c r="E922" i="10" s="1"/>
  <c r="E923" i="10" a="1"/>
  <c r="E923" i="10"/>
  <c r="E924" i="10" a="1"/>
  <c r="E924" i="10" s="1"/>
  <c r="E925" i="10" a="1"/>
  <c r="E925" i="10" s="1"/>
  <c r="E926" i="10" a="1"/>
  <c r="E926" i="10" s="1"/>
  <c r="E927" i="10" a="1"/>
  <c r="E927" i="10" s="1"/>
  <c r="E928" i="10" a="1"/>
  <c r="E928" i="10"/>
  <c r="E929" i="10" a="1"/>
  <c r="E929" i="10"/>
  <c r="E930" i="10" a="1"/>
  <c r="E930" i="10" s="1"/>
  <c r="E931" i="10" a="1"/>
  <c r="E931" i="10" s="1"/>
  <c r="E932" i="10" a="1"/>
  <c r="E932" i="10" s="1"/>
  <c r="E933" i="10" a="1"/>
  <c r="E933" i="10" s="1"/>
  <c r="E934" i="10" a="1"/>
  <c r="E934" i="10" s="1"/>
  <c r="E935" i="10" a="1"/>
  <c r="E935" i="10" s="1"/>
  <c r="E936" i="10" a="1"/>
  <c r="E936" i="10" s="1"/>
  <c r="E937" i="10" a="1"/>
  <c r="E937" i="10"/>
  <c r="E938" i="10" a="1"/>
  <c r="E938" i="10" s="1"/>
  <c r="E939" i="10" a="1"/>
  <c r="E939" i="10"/>
  <c r="E940" i="10" a="1"/>
  <c r="E940" i="10"/>
  <c r="E941" i="10" a="1"/>
  <c r="E941" i="10" s="1"/>
  <c r="E942" i="10" a="1"/>
  <c r="E942" i="10" s="1"/>
  <c r="E943" i="10" a="1"/>
  <c r="E943" i="10" s="1"/>
  <c r="E944" i="10" a="1"/>
  <c r="E944" i="10" s="1"/>
  <c r="E945" i="10" a="1"/>
  <c r="E945" i="10" s="1"/>
  <c r="E946" i="10" a="1"/>
  <c r="E946" i="10" s="1"/>
  <c r="E947" i="10" a="1"/>
  <c r="E947" i="10" s="1"/>
  <c r="E998" i="10" a="1"/>
  <c r="E998" i="10" s="1"/>
  <c r="E999" i="10" a="1"/>
  <c r="E999" i="10" s="1"/>
  <c r="E1000" i="10" a="1"/>
  <c r="E1000" i="10" s="1"/>
  <c r="E1001" i="10" a="1"/>
  <c r="E1001" i="10" s="1"/>
  <c r="E1002" i="10" a="1"/>
  <c r="E1002" i="10" s="1"/>
  <c r="E1003" i="10" a="1"/>
  <c r="E1003" i="10" s="1"/>
  <c r="E1004" i="10" a="1"/>
  <c r="E1004" i="10" s="1"/>
  <c r="E1005" i="10" a="1"/>
  <c r="E1005" i="10" s="1"/>
  <c r="E1006" i="10" a="1"/>
  <c r="E1006" i="10" s="1"/>
  <c r="E1008" i="10" a="1"/>
  <c r="E1008" i="10" s="1"/>
  <c r="E1009" i="10" a="1"/>
  <c r="E1009" i="10"/>
  <c r="E1010" i="10" a="1"/>
  <c r="E1010" i="10" s="1"/>
  <c r="E1011" i="10" a="1"/>
  <c r="E1011" i="10" s="1"/>
  <c r="E1012" i="10" a="1"/>
  <c r="E1012" i="10" s="1"/>
  <c r="E1013" i="10" a="1"/>
  <c r="E1013" i="10" s="1"/>
  <c r="E1014" i="10" a="1"/>
  <c r="E1014" i="10" s="1"/>
  <c r="E1015" i="10" a="1"/>
  <c r="E1015" i="10" s="1"/>
  <c r="E1016" i="10" a="1"/>
  <c r="E1016" i="10"/>
  <c r="E1017" i="10" a="1"/>
  <c r="E1017" i="10"/>
  <c r="E1018" i="10" a="1"/>
  <c r="E1018" i="10" s="1"/>
  <c r="E1019" i="10" a="1"/>
  <c r="E1019" i="10" s="1"/>
  <c r="E1020" i="10" a="1"/>
  <c r="E1020" i="10"/>
  <c r="E1021" i="10" a="1"/>
  <c r="E1021" i="10" s="1"/>
  <c r="E1022" i="10" a="1"/>
  <c r="E1022" i="10" s="1"/>
  <c r="E1023" i="10" a="1"/>
  <c r="E1023" i="10"/>
  <c r="E1024" i="10" a="1"/>
  <c r="E1024" i="10" s="1"/>
  <c r="E1025" i="10" a="1"/>
  <c r="E1025" i="10" s="1"/>
  <c r="E1026" i="10" a="1"/>
  <c r="E1026" i="10"/>
  <c r="E1027" i="10" a="1"/>
  <c r="E1027" i="10" s="1"/>
  <c r="E1028" i="10" a="1"/>
  <c r="E1028" i="10" s="1"/>
  <c r="E1029" i="10" a="1"/>
  <c r="E1029" i="10" s="1"/>
  <c r="E1030" i="10" a="1"/>
  <c r="E1030" i="10" s="1"/>
  <c r="E1031" i="10" a="1"/>
  <c r="E1031" i="10" s="1"/>
  <c r="E1032" i="10" a="1"/>
  <c r="E1032" i="10"/>
  <c r="E1033" i="10" a="1"/>
  <c r="E1033" i="10" s="1"/>
  <c r="E1034" i="10" a="1"/>
  <c r="E1034" i="10" s="1"/>
  <c r="E1035" i="10" a="1"/>
  <c r="E1035" i="10" s="1"/>
  <c r="E1036" i="10" a="1"/>
  <c r="E1036" i="10" s="1"/>
  <c r="E1037" i="10" a="1"/>
  <c r="E1037" i="10" s="1"/>
  <c r="E1038" i="10" a="1"/>
  <c r="E1038" i="10" s="1"/>
  <c r="E1039" i="10" a="1"/>
  <c r="E1039" i="10" s="1"/>
  <c r="E1040" i="10" a="1"/>
  <c r="E1040" i="10" s="1"/>
  <c r="E1041" i="10" a="1"/>
  <c r="E1041" i="10"/>
  <c r="E1042" i="10" a="1"/>
  <c r="E1042" i="10" s="1"/>
  <c r="E1043" i="10" a="1"/>
  <c r="E1043" i="10" s="1"/>
  <c r="E1073" i="10" a="1"/>
  <c r="E1073" i="10" s="1"/>
  <c r="E1074" i="10" a="1"/>
  <c r="E1074" i="10" s="1"/>
  <c r="E1075" i="10" a="1"/>
  <c r="E1075" i="10" s="1"/>
  <c r="E1076" i="10" a="1"/>
  <c r="E1076" i="10" s="1"/>
  <c r="E1077" i="10" a="1"/>
  <c r="E1077" i="10"/>
  <c r="E1078" i="10" a="1"/>
  <c r="E1078" i="10" s="1"/>
  <c r="E1079" i="10" a="1"/>
  <c r="E1079" i="10" s="1"/>
  <c r="E1080" i="10" a="1"/>
  <c r="E1080" i="10" s="1"/>
  <c r="E1081" i="10" a="1"/>
  <c r="E1081" i="10" s="1"/>
  <c r="E1082" i="10" a="1"/>
  <c r="E1082" i="10" s="1"/>
  <c r="E1083" i="10" a="1"/>
  <c r="E1083" i="10" s="1"/>
  <c r="E1084" i="10" a="1"/>
  <c r="E1084" i="10" s="1"/>
  <c r="E1086" i="10" a="1"/>
  <c r="E1086" i="10" s="1"/>
  <c r="E1087" i="10" a="1"/>
  <c r="E1087" i="10"/>
  <c r="E1088" i="10" a="1"/>
  <c r="E1088" i="10" s="1"/>
  <c r="E1089" i="10" a="1"/>
  <c r="E1089" i="10" s="1"/>
  <c r="E1090" i="10" a="1"/>
  <c r="E1090" i="10" s="1"/>
  <c r="E1091" i="10" a="1"/>
  <c r="E1091" i="10" s="1"/>
  <c r="E1092" i="10" a="1"/>
  <c r="E1092" i="10"/>
  <c r="E1093" i="10" a="1"/>
  <c r="E1093" i="10" s="1"/>
  <c r="E1094" i="10" a="1"/>
  <c r="E1094" i="10" s="1"/>
  <c r="E1095" i="10" a="1"/>
  <c r="E1095" i="10" s="1"/>
  <c r="E1096" i="10" a="1"/>
  <c r="E1096" i="10" s="1"/>
  <c r="E1097" i="10" a="1"/>
  <c r="E1097" i="10" s="1"/>
  <c r="E1098" i="10" a="1"/>
  <c r="E1098" i="10" s="1"/>
  <c r="E1099" i="10" a="1"/>
  <c r="E1099" i="10" s="1"/>
  <c r="E1100" i="10" a="1"/>
  <c r="E1100" i="10" s="1"/>
  <c r="E1101" i="10" a="1"/>
  <c r="E1101" i="10" s="1"/>
  <c r="E1102" i="10" a="1"/>
  <c r="E1102" i="10" s="1"/>
  <c r="E1103" i="10" a="1"/>
  <c r="E1103" i="10" s="1"/>
  <c r="E1104" i="10" a="1"/>
  <c r="E1104" i="10" s="1"/>
  <c r="E1105" i="10" a="1"/>
  <c r="E1105" i="10" s="1"/>
  <c r="E1106" i="10" a="1"/>
  <c r="E1106" i="10" s="1"/>
  <c r="E1107" i="10" a="1"/>
  <c r="E1107" i="10" s="1"/>
  <c r="E1108" i="10" a="1"/>
  <c r="E1108" i="10" s="1"/>
  <c r="E1109" i="10" a="1"/>
  <c r="E1109" i="10" s="1"/>
  <c r="E1110" i="10" a="1"/>
  <c r="E1110" i="10" s="1"/>
  <c r="E1111" i="10" a="1"/>
  <c r="E1111" i="10" s="1"/>
  <c r="E1112" i="10" a="1"/>
  <c r="E1112" i="10" s="1"/>
  <c r="E1113" i="10" a="1"/>
  <c r="E1113" i="10" s="1"/>
  <c r="E1114" i="10" a="1"/>
  <c r="E1114" i="10" s="1"/>
  <c r="E1115" i="10" a="1"/>
  <c r="E1115" i="10" s="1"/>
  <c r="E1116" i="10" a="1"/>
  <c r="E1116" i="10" s="1"/>
  <c r="E1117" i="10" a="1"/>
  <c r="E1117" i="10" s="1"/>
  <c r="E1118" i="10" a="1"/>
  <c r="E1118" i="10" s="1"/>
  <c r="E1119" i="10" a="1"/>
  <c r="E1119" i="10" s="1"/>
  <c r="E1120" i="10" a="1"/>
  <c r="E1120" i="10" s="1"/>
  <c r="E1121" i="10" a="1"/>
  <c r="E1121" i="10" s="1"/>
  <c r="E1122" i="10" a="1"/>
  <c r="E1122" i="10" s="1"/>
  <c r="E1123" i="10" a="1"/>
  <c r="E1123" i="10" s="1"/>
  <c r="E1124" i="10" a="1"/>
  <c r="E1124" i="10" s="1"/>
  <c r="E1125" i="10" a="1"/>
  <c r="E1125" i="10" s="1"/>
  <c r="E1127" i="10" a="1"/>
  <c r="E1127" i="10" s="1"/>
  <c r="E1128" i="10" a="1"/>
  <c r="E1128" i="10" s="1"/>
  <c r="E1129" i="10" a="1"/>
  <c r="E1129" i="10" s="1"/>
  <c r="E1130" i="10" a="1"/>
  <c r="E1130" i="10" s="1"/>
  <c r="E1131" i="10" a="1"/>
  <c r="E1131" i="10" s="1"/>
  <c r="E1132" i="10" a="1"/>
  <c r="E1132" i="10" s="1"/>
  <c r="E1133" i="10" a="1"/>
  <c r="E1133" i="10" s="1"/>
  <c r="E1134" i="10" a="1"/>
  <c r="E1134" i="10" s="1"/>
  <c r="E1135" i="10" a="1"/>
  <c r="E1135" i="10" s="1"/>
  <c r="E1136" i="10" a="1"/>
  <c r="E1136" i="10" s="1"/>
  <c r="E1137" i="10" a="1"/>
  <c r="E1137" i="10" s="1"/>
  <c r="E1138" i="10" a="1"/>
  <c r="E1138" i="10" s="1"/>
  <c r="E1139" i="10" a="1"/>
  <c r="E1139" i="10" s="1"/>
  <c r="E1140" i="10" a="1"/>
  <c r="E1140" i="10" s="1"/>
  <c r="E1141" i="10" a="1"/>
  <c r="E1141" i="10" s="1"/>
  <c r="E1142" i="10" a="1"/>
  <c r="E1142" i="10" s="1"/>
  <c r="E1143" i="10" a="1"/>
  <c r="E1143" i="10" s="1"/>
  <c r="E1144" i="10" a="1"/>
  <c r="E1144" i="10" s="1"/>
  <c r="E1145" i="10" a="1"/>
  <c r="E1145" i="10" s="1"/>
  <c r="E1146" i="10" a="1"/>
  <c r="E1146" i="10" s="1"/>
  <c r="E1147" i="10" a="1"/>
  <c r="E1147" i="10" s="1"/>
  <c r="E1148" i="10" a="1"/>
  <c r="E1148" i="10" s="1"/>
  <c r="E1150" i="10" a="1"/>
  <c r="E1150" i="10" s="1"/>
  <c r="E1151" i="10" a="1"/>
  <c r="E1151" i="10" s="1"/>
  <c r="E1164" i="10" a="1"/>
  <c r="E1164" i="10"/>
  <c r="E1165" i="10" a="1"/>
  <c r="E1165" i="10" s="1"/>
  <c r="E1166" i="10" a="1"/>
  <c r="E1166" i="10" s="1"/>
  <c r="E1167" i="10" a="1"/>
  <c r="E1167" i="10" s="1"/>
  <c r="E1168" i="10" a="1"/>
  <c r="E1168" i="10" s="1"/>
  <c r="E1169" i="10" a="1"/>
  <c r="E1169" i="10" s="1"/>
  <c r="E1170" i="10" a="1"/>
  <c r="E1170" i="10" s="1"/>
  <c r="E1171" i="10" a="1"/>
  <c r="E1171" i="10" s="1"/>
  <c r="E1172" i="10" a="1"/>
  <c r="E1172" i="10" s="1"/>
  <c r="E1173" i="10" a="1"/>
  <c r="E1173" i="10" s="1"/>
  <c r="E1174" i="10" a="1"/>
  <c r="E1174" i="10" s="1"/>
  <c r="E1175" i="10" a="1"/>
  <c r="E1175" i="10" s="1"/>
  <c r="E1176" i="10" a="1"/>
  <c r="E1176" i="10" s="1"/>
  <c r="E1177" i="10" a="1"/>
  <c r="E1177" i="10" s="1"/>
  <c r="E1178" i="10" a="1"/>
  <c r="E1178" i="10"/>
  <c r="E1179" i="10" a="1"/>
  <c r="E1179" i="10" s="1"/>
  <c r="E1180" i="10" a="1"/>
  <c r="E1180" i="10" s="1"/>
  <c r="E1181" i="10" a="1"/>
  <c r="E1181" i="10" s="1"/>
  <c r="E1182" i="10" a="1"/>
  <c r="E1182" i="10" s="1"/>
  <c r="E1183" i="10" a="1"/>
  <c r="E1183" i="10" s="1"/>
  <c r="E1184" i="10" a="1"/>
  <c r="E1184" i="10" s="1"/>
  <c r="E1185" i="10" a="1"/>
  <c r="E1185" i="10" s="1"/>
  <c r="E1186" i="10" a="1"/>
  <c r="E1186" i="10" s="1"/>
  <c r="E1187" i="10" a="1"/>
  <c r="E1187" i="10" s="1"/>
  <c r="E1188" i="10" a="1"/>
  <c r="E1188" i="10" s="1"/>
  <c r="E1189" i="10" a="1"/>
  <c r="E1189" i="10" s="1"/>
  <c r="E1190" i="10" a="1"/>
  <c r="E1190" i="10" s="1"/>
  <c r="E1191" i="10" a="1"/>
  <c r="E1191" i="10" s="1"/>
  <c r="E1192" i="10" a="1"/>
  <c r="E1192" i="10" s="1"/>
  <c r="E1193" i="10" a="1"/>
  <c r="E1193" i="10" s="1"/>
  <c r="E1194" i="10" a="1"/>
  <c r="E1194" i="10" s="1"/>
  <c r="E1195" i="10" a="1"/>
  <c r="E1195" i="10" s="1"/>
  <c r="E1196" i="10" a="1"/>
  <c r="E1196" i="10" s="1"/>
  <c r="E1197" i="10" a="1"/>
  <c r="E1197" i="10" s="1"/>
  <c r="E1198" i="10" a="1"/>
  <c r="E1198" i="10" s="1"/>
  <c r="E1199" i="10" a="1"/>
  <c r="E1199" i="10" s="1"/>
  <c r="E1200" i="10" a="1"/>
  <c r="E1200" i="10"/>
  <c r="E1201" i="10" a="1"/>
  <c r="E1201" i="10" s="1"/>
  <c r="E1202" i="10" a="1"/>
  <c r="E1202" i="10" s="1"/>
  <c r="E1203" i="10" a="1"/>
  <c r="E1203" i="10" s="1"/>
  <c r="E1204" i="10" a="1"/>
  <c r="E1204" i="10" s="1"/>
  <c r="E1205" i="10" a="1"/>
  <c r="E1205" i="10" s="1"/>
  <c r="E1223" i="10" a="1"/>
  <c r="E1223" i="10" s="1"/>
  <c r="E1224" i="10" a="1"/>
  <c r="E1224" i="10" s="1"/>
  <c r="E1225" i="10" a="1"/>
  <c r="E1225" i="10" s="1"/>
  <c r="E1226" i="10" a="1"/>
  <c r="E1226" i="10" s="1"/>
  <c r="E1227" i="10" a="1"/>
  <c r="E1227" i="10" s="1"/>
  <c r="E1228" i="10" a="1"/>
  <c r="E1228" i="10" s="1"/>
  <c r="E1229" i="10" a="1"/>
  <c r="E1229" i="10" s="1"/>
  <c r="E1230" i="10" a="1"/>
  <c r="E1230" i="10" s="1"/>
  <c r="E1231" i="10" a="1"/>
  <c r="E1231" i="10" s="1"/>
  <c r="E1232" i="10" a="1"/>
  <c r="E1232" i="10" s="1"/>
  <c r="E1233" i="10" a="1"/>
  <c r="E1233" i="10" s="1"/>
  <c r="E1234" i="10" a="1"/>
  <c r="E1234" i="10" s="1"/>
  <c r="E1235" i="10" a="1"/>
  <c r="E1235" i="10" s="1"/>
  <c r="E1236" i="10" a="1"/>
  <c r="E1236" i="10" s="1"/>
  <c r="E1237" i="10" a="1"/>
  <c r="E1237" i="10" s="1"/>
  <c r="E1238" i="10" a="1"/>
  <c r="E1238" i="10" s="1"/>
  <c r="E1242" i="10" a="1"/>
  <c r="E1242" i="10" s="1"/>
  <c r="E1243" i="10" a="1"/>
  <c r="E1243" i="10" s="1"/>
  <c r="E1244" i="10" a="1"/>
  <c r="E1244" i="10" s="1"/>
  <c r="E1245" i="10" a="1"/>
  <c r="E1245" i="10" s="1"/>
  <c r="E1246" i="10" a="1"/>
  <c r="E1246" i="10" s="1"/>
  <c r="E1247" i="10" a="1"/>
  <c r="E1247" i="10" s="1"/>
  <c r="E1248" i="10" a="1"/>
  <c r="E1248" i="10" s="1"/>
  <c r="E1249" i="10" a="1"/>
  <c r="E1249" i="10" s="1"/>
  <c r="E1250" i="10" a="1"/>
  <c r="E1250" i="10" s="1"/>
  <c r="E1251" i="10" a="1"/>
  <c r="E1251" i="10" s="1"/>
  <c r="E1252" i="10" a="1"/>
  <c r="E1252" i="10" s="1"/>
  <c r="E1253" i="10" a="1"/>
  <c r="E1253" i="10" s="1"/>
  <c r="E1254" i="10" a="1"/>
  <c r="E1254" i="10" s="1"/>
  <c r="E1255" i="10" a="1"/>
  <c r="E1255" i="10" s="1"/>
  <c r="E1256" i="10" a="1"/>
  <c r="E1256" i="10" s="1"/>
  <c r="E1257" i="10" a="1"/>
  <c r="E1257" i="10" s="1"/>
  <c r="E1258" i="10" a="1"/>
  <c r="E1258" i="10" s="1"/>
  <c r="E1259" i="10" a="1"/>
  <c r="E1259" i="10" s="1"/>
  <c r="E1260" i="10" a="1"/>
  <c r="E1260" i="10" s="1"/>
  <c r="E1261" i="10" a="1"/>
  <c r="E1261" i="10" s="1"/>
  <c r="E1262" i="10" a="1"/>
  <c r="E1262" i="10" s="1"/>
  <c r="E1263" i="10" a="1"/>
  <c r="E1263" i="10" s="1"/>
  <c r="E1264" i="10" a="1"/>
  <c r="E1264" i="10" s="1"/>
  <c r="E1265" i="10" a="1"/>
  <c r="E1265" i="10" s="1"/>
  <c r="E1266" i="10" a="1"/>
  <c r="E1266" i="10" s="1"/>
  <c r="E1267" i="10" a="1"/>
  <c r="E1267" i="10" s="1"/>
  <c r="E1268" i="10" a="1"/>
  <c r="E1268" i="10" s="1"/>
  <c r="E1269" i="10" a="1"/>
  <c r="E1269" i="10" s="1"/>
  <c r="E1270" i="10" a="1"/>
  <c r="E1270" i="10" s="1"/>
  <c r="E1271" i="10" a="1"/>
  <c r="E1271" i="10" s="1"/>
  <c r="E1272" i="10" a="1"/>
  <c r="E1272" i="10" s="1"/>
  <c r="E1273" i="10" a="1"/>
  <c r="E1273" i="10" s="1"/>
  <c r="E1274" i="10" a="1"/>
  <c r="E1274" i="10" s="1"/>
  <c r="E1275" i="10" a="1"/>
  <c r="E1275" i="10" s="1"/>
  <c r="E1276" i="10" a="1"/>
  <c r="E1276" i="10" s="1"/>
  <c r="E1277" i="10" a="1"/>
  <c r="E1277" i="10" s="1"/>
  <c r="E1278" i="10" a="1"/>
  <c r="E1278" i="10" s="1"/>
  <c r="E1279" i="10" a="1"/>
  <c r="E1279" i="10" s="1"/>
  <c r="E1290" i="10" a="1"/>
  <c r="E1290" i="10"/>
  <c r="E1291" i="10" a="1"/>
  <c r="E1291" i="10"/>
  <c r="E1295" i="10" a="1"/>
  <c r="E1295" i="10" s="1"/>
  <c r="E1296" i="10" a="1"/>
  <c r="E1296" i="10" s="1"/>
  <c r="E1297" i="10" a="1"/>
  <c r="E1297" i="10" s="1"/>
  <c r="E1298" i="10" a="1"/>
  <c r="E1298" i="10" s="1"/>
  <c r="E1299" i="10" a="1"/>
  <c r="E1299" i="10" s="1"/>
  <c r="E1300" i="10" a="1"/>
  <c r="E1300" i="10" s="1"/>
  <c r="E1301" i="10" a="1"/>
  <c r="E1301" i="10" s="1"/>
  <c r="E1302" i="10" a="1"/>
  <c r="E1302" i="10" s="1"/>
  <c r="E1303" i="10" a="1"/>
  <c r="E1303" i="10" s="1"/>
  <c r="E1304" i="10" a="1"/>
  <c r="E1304" i="10" s="1"/>
  <c r="E1305" i="10" a="1"/>
  <c r="E1305" i="10" s="1"/>
  <c r="E1306" i="10" a="1"/>
  <c r="E1306" i="10" s="1"/>
  <c r="E1307" i="10" a="1"/>
  <c r="E1307" i="10" s="1"/>
  <c r="E1308" i="10" a="1"/>
  <c r="E1308" i="10" s="1"/>
  <c r="E1309" i="10" a="1"/>
  <c r="E1309" i="10" s="1"/>
  <c r="E1310" i="10" a="1"/>
  <c r="E1310" i="10" s="1"/>
  <c r="E1311" i="10" a="1"/>
  <c r="E1311" i="10" s="1"/>
  <c r="E1312" i="10" a="1"/>
  <c r="E1312" i="10" s="1"/>
  <c r="E1313" i="10" a="1"/>
  <c r="E1313" i="10" s="1"/>
  <c r="E1314" i="10" a="1"/>
  <c r="E1314" i="10" s="1"/>
  <c r="E1315" i="10" a="1"/>
  <c r="E1315" i="10" s="1"/>
  <c r="E1316" i="10" a="1"/>
  <c r="E1316" i="10" s="1"/>
  <c r="E1317" i="10" a="1"/>
  <c r="E1317" i="10" s="1"/>
  <c r="E1318" i="10" a="1"/>
  <c r="E1318" i="10" s="1"/>
  <c r="E1319" i="10" a="1"/>
  <c r="E1319" i="10" s="1"/>
  <c r="E1320" i="10" a="1"/>
  <c r="E1320" i="10" s="1"/>
  <c r="E1321" i="10" a="1"/>
  <c r="E1321" i="10" s="1"/>
  <c r="E1322" i="10" a="1"/>
  <c r="E1322" i="10" s="1"/>
  <c r="E1323" i="10" a="1"/>
  <c r="E1323" i="10" s="1"/>
  <c r="E1324" i="10" a="1"/>
  <c r="E1324" i="10" s="1"/>
  <c r="E1325" i="10" a="1"/>
  <c r="E1325" i="10" s="1"/>
  <c r="E1326" i="10" a="1"/>
  <c r="E1326" i="10" s="1"/>
  <c r="E1327" i="10" a="1"/>
  <c r="E1327" i="10"/>
  <c r="E1328" i="10" a="1"/>
  <c r="E1328" i="10" s="1"/>
  <c r="E1329" i="10" a="1"/>
  <c r="E1329" i="10"/>
  <c r="E1330" i="10" a="1"/>
  <c r="E1330" i="10" s="1"/>
  <c r="E1331" i="10" a="1"/>
  <c r="E1331" i="10" s="1"/>
  <c r="E1332" i="10" a="1"/>
  <c r="E1332" i="10" s="1"/>
  <c r="E1334" i="10" a="1"/>
  <c r="E1334" i="10" s="1"/>
  <c r="E1335" i="10" a="1"/>
  <c r="E1335" i="10" s="1"/>
  <c r="E1336" i="10" a="1"/>
  <c r="E1336" i="10" s="1"/>
  <c r="E1337" i="10" a="1"/>
  <c r="E1337" i="10" s="1"/>
  <c r="E1338" i="10" a="1"/>
  <c r="E1338" i="10" s="1"/>
  <c r="E1339" i="10" a="1"/>
  <c r="E1339" i="10" s="1"/>
  <c r="E1340" i="10" a="1"/>
  <c r="E1340" i="10" s="1"/>
  <c r="E1341" i="10" a="1"/>
  <c r="E1341" i="10"/>
  <c r="E1342" i="10" a="1"/>
  <c r="E1342" i="10" s="1"/>
  <c r="E1343" i="10" a="1"/>
  <c r="E1343" i="10" s="1"/>
  <c r="E1344" i="10" a="1"/>
  <c r="E1344" i="10" s="1"/>
  <c r="E1345" i="10" a="1"/>
  <c r="E1345" i="10" s="1"/>
  <c r="E1382" i="10" a="1"/>
  <c r="E1382" i="10" s="1"/>
  <c r="E1383" i="10" a="1"/>
  <c r="E1383" i="10" s="1"/>
  <c r="E1384" i="10" a="1"/>
  <c r="E1384" i="10" s="1"/>
  <c r="E1385" i="10" a="1"/>
  <c r="E1385" i="10" s="1"/>
  <c r="E1386" i="10" a="1"/>
  <c r="E1386" i="10" s="1"/>
  <c r="E1387" i="10" a="1"/>
  <c r="E1387" i="10"/>
  <c r="E1388" i="10" a="1"/>
  <c r="E1388" i="10" s="1"/>
  <c r="E1389" i="10" a="1"/>
  <c r="E1389" i="10" s="1"/>
  <c r="E1390" i="10" a="1"/>
  <c r="E1390" i="10" s="1"/>
  <c r="E1391" i="10" a="1"/>
  <c r="E1391" i="10" s="1"/>
  <c r="E1393" i="10" a="1"/>
  <c r="E1393" i="10" s="1"/>
  <c r="E1394" i="10" a="1"/>
  <c r="E1394" i="10" s="1"/>
  <c r="E1395" i="10" a="1"/>
  <c r="E1395" i="10" s="1"/>
  <c r="E1396" i="10" a="1"/>
  <c r="E1396" i="10" s="1"/>
  <c r="E1397" i="10" a="1"/>
  <c r="E1397" i="10" s="1"/>
  <c r="E1398" i="10" a="1"/>
  <c r="E1398" i="10" s="1"/>
  <c r="E1399" i="10" a="1"/>
  <c r="E1399" i="10" s="1"/>
  <c r="E1400" i="10" a="1"/>
  <c r="E1400" i="10" s="1"/>
  <c r="E1401" i="10" a="1"/>
  <c r="E1401" i="10"/>
  <c r="E1402" i="10" a="1"/>
  <c r="E1402" i="10"/>
  <c r="E1403" i="10" a="1"/>
  <c r="E1403" i="10" s="1"/>
  <c r="E1404" i="10" a="1"/>
  <c r="E1404" i="10" s="1"/>
  <c r="E1405" i="10" a="1"/>
  <c r="E1405" i="10" s="1"/>
  <c r="E1406" i="10" a="1"/>
  <c r="E1406" i="10" s="1"/>
  <c r="E1407" i="10" a="1"/>
  <c r="E1407" i="10" s="1"/>
  <c r="E1442" i="10" a="1"/>
  <c r="E1442" i="10" s="1"/>
  <c r="E1443" i="10" a="1"/>
  <c r="E1443" i="10" s="1"/>
  <c r="E1444" i="10" a="1"/>
  <c r="E1444" i="10" s="1"/>
  <c r="E1445" i="10" a="1"/>
  <c r="E1445" i="10" s="1"/>
  <c r="E1446" i="10" a="1"/>
  <c r="E1446" i="10" s="1"/>
  <c r="E1447" i="10" a="1"/>
  <c r="E1447" i="10"/>
  <c r="E1448" i="10" a="1"/>
  <c r="E1448" i="10" s="1"/>
  <c r="E1468" i="10" a="1"/>
  <c r="E1468" i="10" s="1"/>
  <c r="E1469" i="10" a="1"/>
  <c r="E1469" i="10" s="1"/>
  <c r="E1470" i="10" a="1"/>
  <c r="E1470" i="10" s="1"/>
  <c r="E1471" i="10" a="1"/>
  <c r="E1471" i="10" s="1"/>
  <c r="E1472" i="10" a="1"/>
  <c r="E1472" i="10" s="1"/>
  <c r="E1473" i="10" a="1"/>
  <c r="E1473" i="10" s="1"/>
  <c r="E1474" i="10" a="1"/>
  <c r="E1474" i="10" s="1"/>
  <c r="E1475" i="10" a="1"/>
  <c r="E1475" i="10" s="1"/>
  <c r="E1476" i="10" a="1"/>
  <c r="E1476" i="10" s="1"/>
  <c r="E1477" i="10" a="1"/>
  <c r="E1477" i="10" s="1"/>
  <c r="E1478" i="10" a="1"/>
  <c r="E1478" i="10" s="1"/>
  <c r="E1479" i="10" a="1"/>
  <c r="E1479" i="10" s="1"/>
  <c r="E1480" i="10" a="1"/>
  <c r="E1480" i="10"/>
  <c r="E1481" i="10" a="1"/>
  <c r="E1481" i="10" s="1"/>
  <c r="E1482" i="10" a="1"/>
  <c r="E1482" i="10" s="1"/>
  <c r="E1483" i="10" a="1"/>
  <c r="E1483" i="10" s="1"/>
  <c r="E1484" i="10" a="1"/>
  <c r="E1484" i="10" s="1"/>
  <c r="E1494" i="10" a="1"/>
  <c r="E1494" i="10" s="1"/>
  <c r="E1495" i="10" a="1"/>
  <c r="E1495" i="10" s="1"/>
  <c r="E1496" i="10" a="1"/>
  <c r="E1496" i="10" s="1"/>
  <c r="E1497" i="10" a="1"/>
  <c r="E1497" i="10" s="1"/>
  <c r="E1498" i="10" a="1"/>
  <c r="E1498" i="10" s="1"/>
  <c r="E1499" i="10" a="1"/>
  <c r="E1499" i="10" s="1"/>
  <c r="E1500" i="10" a="1"/>
  <c r="E1500" i="10" s="1"/>
  <c r="E1501" i="10" a="1"/>
  <c r="E1501" i="10" s="1"/>
  <c r="E1502" i="10" a="1"/>
  <c r="E1502" i="10" s="1"/>
  <c r="E1505" i="10" a="1"/>
  <c r="E1505" i="10" s="1"/>
  <c r="E1506" i="10" a="1"/>
  <c r="E1506" i="10" s="1"/>
  <c r="E1507" i="10" a="1"/>
  <c r="E1507" i="10" s="1"/>
  <c r="E1508" i="10" a="1"/>
  <c r="E1508" i="10" s="1"/>
  <c r="E1509" i="10" a="1"/>
  <c r="E1509" i="10"/>
  <c r="E1510" i="10" a="1"/>
  <c r="E1510" i="10" s="1"/>
  <c r="E1511" i="10" a="1"/>
  <c r="E1511" i="10" s="1"/>
  <c r="E1512" i="10" a="1"/>
  <c r="E1512" i="10" s="1"/>
  <c r="E1513" i="10" a="1"/>
  <c r="E1513" i="10" s="1"/>
  <c r="E1514" i="10" a="1"/>
  <c r="E1514" i="10" s="1"/>
  <c r="E1515" i="10" a="1"/>
  <c r="E1515" i="10" s="1"/>
  <c r="E1516" i="10" a="1"/>
  <c r="E1516" i="10" s="1"/>
  <c r="E1517" i="10" a="1"/>
  <c r="E1517" i="10" s="1"/>
  <c r="E1518" i="10" a="1"/>
  <c r="E1518" i="10" s="1"/>
  <c r="E1519" i="10" a="1"/>
  <c r="E1519" i="10" s="1"/>
  <c r="E1595" i="10" a="1"/>
  <c r="E1595" i="10" s="1"/>
  <c r="E1596" i="10" a="1"/>
  <c r="E1596" i="10" s="1"/>
  <c r="E1597" i="10" a="1"/>
  <c r="E1597" i="10" s="1"/>
  <c r="E1598" i="10" a="1"/>
  <c r="E1598" i="10" s="1"/>
  <c r="E1599" i="10" a="1"/>
  <c r="E1599" i="10"/>
  <c r="E1600" i="10" a="1"/>
  <c r="E1600" i="10" s="1"/>
  <c r="E1601" i="10" a="1"/>
  <c r="E1601" i="10" s="1"/>
  <c r="E1602" i="10" a="1"/>
  <c r="E1602" i="10" s="1"/>
  <c r="E1603" i="10" a="1"/>
  <c r="E1603" i="10" s="1"/>
  <c r="E1604" i="10" a="1"/>
  <c r="E1604" i="10" s="1"/>
  <c r="E1605" i="10" a="1"/>
  <c r="E1605" i="10"/>
  <c r="E1606" i="10" a="1"/>
  <c r="E1606" i="10" s="1"/>
  <c r="E1608" i="10" a="1"/>
  <c r="E1608" i="10" s="1"/>
  <c r="E1609" i="10" a="1"/>
  <c r="E1609" i="10" s="1"/>
  <c r="E1610" i="10" a="1"/>
  <c r="E1610" i="10" s="1"/>
  <c r="E1611" i="10" a="1"/>
  <c r="E1611" i="10" s="1"/>
  <c r="E1612" i="10" a="1"/>
  <c r="E1612" i="10" s="1"/>
  <c r="E1613" i="10" a="1"/>
  <c r="E1613" i="10" s="1"/>
  <c r="E1614" i="10" a="1"/>
  <c r="E1614" i="10" s="1"/>
  <c r="E1615" i="10" a="1"/>
  <c r="E1615" i="10" s="1"/>
  <c r="E1616" i="10" a="1"/>
  <c r="E1616" i="10" s="1"/>
  <c r="E1617" i="10" a="1"/>
  <c r="E1617" i="10" s="1"/>
  <c r="E1618" i="10" a="1"/>
  <c r="E1618" i="10" s="1"/>
  <c r="E1619" i="10" a="1"/>
  <c r="E1619" i="10" s="1"/>
  <c r="E1620" i="10" a="1"/>
  <c r="E1620" i="10" s="1"/>
  <c r="E1621" i="10" a="1"/>
  <c r="E1621" i="10" s="1"/>
  <c r="E1622" i="10" a="1"/>
  <c r="E1622" i="10" s="1"/>
  <c r="E1623" i="10" a="1"/>
  <c r="E1623" i="10" s="1"/>
  <c r="E1625" i="10" a="1"/>
  <c r="E1625" i="10" s="1"/>
  <c r="E1626" i="10" a="1"/>
  <c r="E1626" i="10" s="1"/>
  <c r="E1627" i="10" a="1"/>
  <c r="E1627" i="10" s="1"/>
  <c r="E1628" i="10" a="1"/>
  <c r="E1628" i="10" s="1"/>
  <c r="E1719" i="10" a="1"/>
  <c r="E1719" i="10" s="1"/>
  <c r="E1720" i="10" a="1"/>
  <c r="E1720" i="10" s="1"/>
  <c r="E1721" i="10" a="1"/>
  <c r="E1721" i="10" s="1"/>
  <c r="E1722" i="10" a="1"/>
  <c r="E1722" i="10" s="1"/>
  <c r="E1723" i="10" a="1"/>
  <c r="E1723" i="10" s="1"/>
  <c r="E1724" i="10" a="1"/>
  <c r="E1724" i="10" s="1"/>
  <c r="E1725" i="10" a="1"/>
  <c r="E1725" i="10"/>
  <c r="E1726" i="10" a="1"/>
  <c r="E1726" i="10" s="1"/>
  <c r="E1729" i="10" a="1"/>
  <c r="E1729" i="10" s="1"/>
  <c r="E1730" i="10" a="1"/>
  <c r="E1730" i="10" s="1"/>
  <c r="E1731" i="10" a="1"/>
  <c r="E1731" i="10" s="1"/>
  <c r="E1732" i="10" a="1"/>
  <c r="E1732" i="10" s="1"/>
  <c r="E1733" i="10" a="1"/>
  <c r="E1733" i="10" s="1"/>
  <c r="E1734" i="10" a="1"/>
  <c r="E1734" i="10" s="1"/>
  <c r="E1735" i="10" a="1"/>
  <c r="E1735" i="10" s="1"/>
  <c r="E1736" i="10" a="1"/>
  <c r="E1736" i="10" s="1"/>
  <c r="E1737" i="10" a="1"/>
  <c r="E1737" i="10" s="1"/>
  <c r="E1738" i="10" a="1"/>
  <c r="E1738" i="10" s="1"/>
  <c r="E1739" i="10" a="1"/>
  <c r="E1739" i="10" s="1"/>
  <c r="E1740" i="10" a="1"/>
  <c r="E1740" i="10" s="1"/>
  <c r="E1741" i="10" a="1"/>
  <c r="E1741" i="10" s="1"/>
  <c r="E1744" i="10" a="1"/>
  <c r="E1744" i="10"/>
  <c r="E1745" i="10" a="1"/>
  <c r="E1745" i="10" s="1"/>
  <c r="E1746" i="10" a="1"/>
  <c r="E1746" i="10" s="1"/>
  <c r="E1747" i="10" a="1"/>
  <c r="E1747" i="10" s="1"/>
  <c r="E1748" i="10" a="1"/>
  <c r="E1748" i="10" s="1"/>
  <c r="E1749" i="10" a="1"/>
  <c r="E1749" i="10" s="1"/>
  <c r="E1750" i="10" a="1"/>
  <c r="E1750" i="10" s="1"/>
  <c r="E1751" i="10" a="1"/>
  <c r="E1751" i="10" s="1"/>
  <c r="E1752" i="10" a="1"/>
  <c r="E1752" i="10" s="1"/>
  <c r="E1774" i="10" a="1"/>
  <c r="E1774" i="10" s="1"/>
  <c r="E1775" i="10" a="1"/>
  <c r="E1775" i="10" s="1"/>
  <c r="E1776" i="10" a="1"/>
  <c r="E1776" i="10" s="1"/>
  <c r="E1777" i="10" a="1"/>
  <c r="E1777" i="10" s="1"/>
  <c r="E1811" i="10" a="1"/>
  <c r="E1811" i="10" s="1"/>
  <c r="E1812" i="10" a="1"/>
  <c r="E1812" i="10" s="1"/>
  <c r="E1813" i="10" a="1"/>
  <c r="E1813" i="10" s="1"/>
  <c r="E1814" i="10" a="1"/>
  <c r="E1814" i="10" s="1"/>
  <c r="E1815" i="10" a="1"/>
  <c r="E1815" i="10" s="1"/>
  <c r="E1816" i="10" a="1"/>
  <c r="E1816" i="10" s="1"/>
  <c r="E1817" i="10" a="1"/>
  <c r="E1817" i="10" s="1"/>
  <c r="E1818" i="10" a="1"/>
  <c r="E1818" i="10" s="1"/>
  <c r="E1819" i="10" a="1"/>
  <c r="E1819" i="10" s="1"/>
  <c r="E1820" i="10" a="1"/>
  <c r="E1820" i="10" s="1"/>
  <c r="E1821" i="10" a="1"/>
  <c r="E1821" i="10"/>
  <c r="E1822" i="10" a="1"/>
  <c r="E1822" i="10" s="1"/>
  <c r="E1823" i="10" a="1"/>
  <c r="E1823" i="10" s="1"/>
  <c r="E1824" i="10" a="1"/>
  <c r="E1824" i="10" s="1"/>
  <c r="E1825" i="10" a="1"/>
  <c r="E1825" i="10" s="1"/>
  <c r="E1826" i="10" a="1"/>
  <c r="E1826" i="10" s="1"/>
  <c r="E1827" i="10" a="1"/>
  <c r="E1827" i="10"/>
  <c r="E1828" i="10" a="1"/>
  <c r="E1828" i="10" s="1"/>
  <c r="E1829" i="10" a="1"/>
  <c r="E1829" i="10" s="1"/>
  <c r="E1830" i="10" a="1"/>
  <c r="E1830" i="10" s="1"/>
  <c r="E1831" i="10" a="1"/>
  <c r="E1831" i="10" s="1"/>
  <c r="E1832" i="10" a="1"/>
  <c r="E1832" i="10" s="1"/>
  <c r="E1833" i="10" a="1"/>
  <c r="E1833" i="10" s="1"/>
  <c r="E1834" i="10" a="1"/>
  <c r="E1834" i="10" s="1"/>
  <c r="E1835" i="10" a="1"/>
  <c r="E1835" i="10" s="1"/>
  <c r="E1836" i="10" a="1"/>
  <c r="E1836" i="10" s="1"/>
  <c r="E1837" i="10" a="1"/>
  <c r="E1837" i="10" s="1"/>
  <c r="E1838" i="10" a="1"/>
  <c r="E1838" i="10" s="1"/>
  <c r="E1839" i="10" a="1"/>
  <c r="E1839" i="10" s="1"/>
  <c r="E1840" i="10" a="1"/>
  <c r="E1840" i="10" s="1"/>
  <c r="E1841" i="10" a="1"/>
  <c r="E1841" i="10" s="1"/>
  <c r="E1842" i="10" a="1"/>
  <c r="E1842" i="10" s="1"/>
  <c r="E1843" i="10" a="1"/>
  <c r="E1843" i="10" s="1"/>
  <c r="E1865" i="10" a="1"/>
  <c r="E1865" i="10" s="1"/>
  <c r="E1866" i="10" a="1"/>
  <c r="E1866" i="10" s="1"/>
  <c r="E1867" i="10" a="1"/>
  <c r="E1867" i="10" s="1"/>
  <c r="E1868" i="10" a="1"/>
  <c r="E1868" i="10" s="1"/>
  <c r="E1869" i="10" a="1"/>
  <c r="E1869" i="10" s="1"/>
  <c r="E1870" i="10" a="1"/>
  <c r="E1870" i="10" s="1"/>
  <c r="E1871" i="10" a="1"/>
  <c r="E1871" i="10"/>
  <c r="E1872" i="10" a="1"/>
  <c r="E1872" i="10" s="1"/>
  <c r="E1873" i="10" a="1"/>
  <c r="E1873" i="10" s="1"/>
  <c r="E1874" i="10" a="1"/>
  <c r="E1874" i="10" s="1"/>
  <c r="E1875" i="10" a="1"/>
  <c r="E1875" i="10" s="1"/>
  <c r="E1876" i="10" a="1"/>
  <c r="E1876" i="10" s="1"/>
  <c r="E1877" i="10" a="1"/>
  <c r="E1877" i="10" s="1"/>
  <c r="E1878" i="10" a="1"/>
  <c r="E1878" i="10" s="1"/>
  <c r="E1879" i="10" a="1"/>
  <c r="E1879" i="10" s="1"/>
  <c r="E1880" i="10" a="1"/>
  <c r="E1880" i="10" s="1"/>
  <c r="E1881" i="10" a="1"/>
  <c r="E1881" i="10" s="1"/>
  <c r="E1882" i="10" a="1"/>
  <c r="E1882" i="10" s="1"/>
  <c r="E1883" i="10" a="1"/>
  <c r="E1883" i="10" s="1"/>
  <c r="E1884" i="10" a="1"/>
  <c r="E1884" i="10" s="1"/>
  <c r="E1885" i="10" a="1"/>
  <c r="E1885" i="10" s="1"/>
  <c r="E1886" i="10" a="1"/>
  <c r="E1886" i="10"/>
  <c r="E1887" i="10" a="1"/>
  <c r="E1887" i="10" s="1"/>
  <c r="E1888" i="10" a="1"/>
  <c r="E1888" i="10" s="1"/>
  <c r="E1889" i="10" a="1"/>
  <c r="E1889" i="10" s="1"/>
  <c r="E1891" i="10" a="1"/>
  <c r="E1891" i="10" s="1"/>
  <c r="E1929" i="10" a="1"/>
  <c r="E1929" i="10" s="1"/>
  <c r="E1930" i="10" a="1"/>
  <c r="E1930" i="10" s="1"/>
  <c r="E1931" i="10" a="1"/>
  <c r="E1931" i="10" s="1"/>
  <c r="E1932" i="10" a="1"/>
  <c r="E1932" i="10" s="1"/>
  <c r="E1933" i="10" a="1"/>
  <c r="E1933" i="10" s="1"/>
  <c r="E1934" i="10" a="1"/>
  <c r="E1934" i="10" s="1"/>
  <c r="E1935" i="10" a="1"/>
  <c r="E1935" i="10" s="1"/>
  <c r="E1936" i="10" a="1"/>
  <c r="E1936" i="10" s="1"/>
  <c r="E1937" i="10" a="1"/>
  <c r="E1937" i="10" s="1"/>
  <c r="E1938" i="10" a="1"/>
  <c r="E1938" i="10" s="1"/>
  <c r="E1939" i="10" a="1"/>
  <c r="E1939" i="10" s="1"/>
  <c r="E1940" i="10" a="1"/>
  <c r="E1940" i="10" s="1"/>
  <c r="E1941" i="10" a="1"/>
  <c r="E1941" i="10" s="1"/>
  <c r="E1942" i="10" a="1"/>
  <c r="E1942" i="10"/>
  <c r="E1943" i="10" a="1"/>
  <c r="E1943" i="10" s="1"/>
  <c r="E1944" i="10" a="1"/>
  <c r="E1944" i="10" s="1"/>
  <c r="E1951" i="10" a="1"/>
  <c r="E1951" i="10" s="1"/>
  <c r="E1952" i="10" a="1"/>
  <c r="E1952" i="10" s="1"/>
  <c r="E1953" i="10" a="1"/>
  <c r="E1953" i="10" s="1"/>
  <c r="E1954" i="10" a="1"/>
  <c r="E1954" i="10" s="1"/>
  <c r="E1955" i="10" a="1"/>
  <c r="E1955" i="10" s="1"/>
  <c r="E1956" i="10" a="1"/>
  <c r="E1956" i="10" s="1"/>
  <c r="E1957" i="10" a="1"/>
  <c r="E1957" i="10" s="1"/>
  <c r="E1958" i="10" a="1"/>
  <c r="E1958" i="10"/>
  <c r="E1959" i="10" a="1"/>
  <c r="E1959" i="10" s="1"/>
  <c r="E1960" i="10" a="1"/>
  <c r="E1960" i="10" s="1"/>
  <c r="E1961" i="10" a="1"/>
  <c r="E1961" i="10" s="1"/>
  <c r="E1962" i="10" a="1"/>
  <c r="E1962" i="10" s="1"/>
  <c r="E1963" i="10" a="1"/>
  <c r="E1963" i="10" s="1"/>
  <c r="E1964" i="10" a="1"/>
  <c r="E1964" i="10" s="1"/>
  <c r="E1981" i="10" a="1"/>
  <c r="E1981" i="10" s="1"/>
  <c r="E1990" i="10" a="1"/>
  <c r="E1990" i="10" s="1"/>
  <c r="E2036" i="10" a="1"/>
  <c r="E2036" i="10" s="1"/>
  <c r="E2037" i="10" a="1"/>
  <c r="E2037" i="10" s="1"/>
  <c r="E2038" i="10" a="1"/>
  <c r="E2038" i="10"/>
  <c r="E2039" i="10" a="1"/>
  <c r="E2039" i="10" s="1"/>
  <c r="E2040" i="10" a="1"/>
  <c r="E2040" i="10" s="1"/>
  <c r="E2041" i="10" a="1"/>
  <c r="E2041" i="10" s="1"/>
  <c r="E2042" i="10" a="1"/>
  <c r="E2042" i="10" s="1"/>
  <c r="E2043" i="10" a="1"/>
  <c r="E2043" i="10" s="1"/>
  <c r="E2044" i="10" a="1"/>
  <c r="E2044" i="10" s="1"/>
  <c r="E2045" i="10" a="1"/>
  <c r="E2045" i="10" s="1"/>
  <c r="E2046" i="10" a="1"/>
  <c r="E2046" i="10" s="1"/>
  <c r="E2047" i="10" a="1"/>
  <c r="E2047" i="10"/>
  <c r="E2048" i="10" a="1"/>
  <c r="E2048" i="10" s="1"/>
  <c r="E2050" i="10" a="1"/>
  <c r="E2050" i="10" s="1"/>
  <c r="E2051" i="10" a="1"/>
  <c r="E2051" i="10" s="1"/>
  <c r="E2052" i="10" a="1"/>
  <c r="E2052" i="10" s="1"/>
  <c r="E2053" i="10" a="1"/>
  <c r="E2053" i="10" s="1"/>
  <c r="E2054" i="10" a="1"/>
  <c r="E2054" i="10" s="1"/>
  <c r="E2055" i="10" a="1"/>
  <c r="E2055" i="10" s="1"/>
  <c r="E2056" i="10" a="1"/>
  <c r="E2056" i="10" s="1"/>
  <c r="E2057" i="10" a="1"/>
  <c r="E2057" i="10" s="1"/>
  <c r="E2058" i="10" a="1"/>
  <c r="E2058" i="10" s="1"/>
  <c r="E2059" i="10" a="1"/>
  <c r="E2059" i="10" s="1"/>
  <c r="E2060" i="10" a="1"/>
  <c r="E2060" i="10" s="1"/>
  <c r="E2061" i="10" a="1"/>
  <c r="E2061" i="10" s="1"/>
  <c r="E2062" i="10" a="1"/>
  <c r="E2062" i="10" s="1"/>
  <c r="E2063" i="10" a="1"/>
  <c r="E2063" i="10"/>
  <c r="E2064" i="10" a="1"/>
  <c r="E2064" i="10" s="1"/>
  <c r="E2065" i="10" a="1"/>
  <c r="E2065" i="10" s="1"/>
  <c r="E2066" i="10" a="1"/>
  <c r="E2066" i="10" s="1"/>
  <c r="E2067" i="10" a="1"/>
  <c r="E2067" i="10" s="1"/>
  <c r="E2068" i="10" a="1"/>
  <c r="E2068" i="10" s="1"/>
  <c r="E2069" i="10" a="1"/>
  <c r="E2069" i="10" s="1"/>
  <c r="E2070" i="10" a="1"/>
  <c r="E2070" i="10" s="1"/>
  <c r="E2071" i="10" a="1"/>
  <c r="E2071" i="10" s="1"/>
  <c r="E2072" i="10" a="1"/>
  <c r="E2072" i="10" s="1"/>
  <c r="E2073" i="10" a="1"/>
  <c r="E2073" i="10" s="1"/>
  <c r="E2074" i="10" a="1"/>
  <c r="E2074" i="10" s="1"/>
  <c r="E2075" i="10" a="1"/>
  <c r="E2075" i="10" s="1"/>
  <c r="E2076" i="10" a="1"/>
  <c r="E2076" i="10" s="1"/>
  <c r="E2077" i="10" a="1"/>
  <c r="E2077" i="10" s="1"/>
  <c r="E2078" i="10" a="1"/>
  <c r="E2078" i="10" s="1"/>
  <c r="E2079" i="10" a="1"/>
  <c r="E2079" i="10" s="1"/>
  <c r="E2080" i="10" a="1"/>
  <c r="E2080" i="10" s="1"/>
  <c r="E2081" i="10" a="1"/>
  <c r="E2081" i="10" s="1"/>
  <c r="E2082" i="10" a="1"/>
  <c r="E2082" i="10" s="1"/>
  <c r="E2083" i="10" a="1"/>
  <c r="E2083" i="10" s="1"/>
  <c r="E2084" i="10" a="1"/>
  <c r="E2084" i="10"/>
  <c r="E2115" i="10" a="1"/>
  <c r="E2115" i="10" s="1"/>
  <c r="E2116" i="10" a="1"/>
  <c r="E2116" i="10" s="1"/>
  <c r="E2117" i="10" a="1"/>
  <c r="E2117" i="10" s="1"/>
  <c r="E2118" i="10" a="1"/>
  <c r="E2118" i="10" s="1"/>
  <c r="E2119" i="10" a="1"/>
  <c r="E2119" i="10" s="1"/>
  <c r="E2120" i="10" a="1"/>
  <c r="E2120" i="10"/>
  <c r="E2121" i="10" a="1"/>
  <c r="E2121" i="10" s="1"/>
  <c r="E2122" i="10" a="1"/>
  <c r="E2122" i="10" s="1"/>
  <c r="E2123" i="10" a="1"/>
  <c r="E2123" i="10" s="1"/>
  <c r="E2124" i="10" a="1"/>
  <c r="E2124" i="10" s="1"/>
  <c r="E2125" i="10" a="1"/>
  <c r="E2125" i="10" s="1"/>
  <c r="E2126" i="10" a="1"/>
  <c r="E2126" i="10" s="1"/>
  <c r="E2127" i="10" a="1"/>
  <c r="E2127" i="10" s="1"/>
  <c r="E2128" i="10" a="1"/>
  <c r="E2128" i="10" s="1"/>
  <c r="E2129" i="10" a="1"/>
  <c r="E2129" i="10" s="1"/>
  <c r="E2130" i="10" a="1"/>
  <c r="E2130" i="10" s="1"/>
  <c r="E2131" i="10" a="1"/>
  <c r="E2131" i="10" s="1"/>
  <c r="E2132" i="10" a="1"/>
  <c r="E2132" i="10" s="1"/>
  <c r="E2133" i="10" a="1"/>
  <c r="E2133" i="10" s="1"/>
  <c r="E2134" i="10" a="1"/>
  <c r="E2134" i="10" s="1"/>
  <c r="E2135" i="10" a="1"/>
  <c r="E2135" i="10" s="1"/>
  <c r="E2136" i="10" a="1"/>
  <c r="E2136" i="10" s="1"/>
  <c r="E2137" i="10" a="1"/>
  <c r="E2137" i="10" s="1"/>
  <c r="E2138" i="10" a="1"/>
  <c r="E2138" i="10" s="1"/>
  <c r="E2139" i="10" a="1"/>
  <c r="E2139" i="10" s="1"/>
  <c r="E2140" i="10" a="1"/>
  <c r="E2140" i="10" s="1"/>
  <c r="E2141" i="10" a="1"/>
  <c r="E2141" i="10" s="1"/>
  <c r="E2142" i="10" a="1"/>
  <c r="E2142" i="10" s="1"/>
  <c r="E2143" i="10" a="1"/>
  <c r="E2143" i="10" s="1"/>
  <c r="E2144" i="10" a="1"/>
  <c r="E2144" i="10" s="1"/>
  <c r="E2145" i="10" a="1"/>
  <c r="E2145" i="10" s="1"/>
  <c r="E2146" i="10" a="1"/>
  <c r="E2146" i="10" s="1"/>
  <c r="E2147" i="10" a="1"/>
  <c r="E2147" i="10"/>
  <c r="E2148" i="10" a="1"/>
  <c r="E2148" i="10" s="1"/>
  <c r="E2149" i="10" a="1"/>
  <c r="E2149" i="10" s="1"/>
  <c r="E2150" i="10" a="1"/>
  <c r="E2150" i="10" s="1"/>
  <c r="E2151" i="10" a="1"/>
  <c r="E2151" i="10" s="1"/>
  <c r="E2152" i="10" a="1"/>
  <c r="E2152" i="10" s="1"/>
  <c r="E2153" i="10" a="1"/>
  <c r="E2153" i="10" s="1"/>
  <c r="E2154" i="10" a="1"/>
  <c r="E2154" i="10" s="1"/>
  <c r="E2155" i="10" a="1"/>
  <c r="E2155" i="10" s="1"/>
  <c r="E2156" i="10" a="1"/>
  <c r="E2156" i="10" s="1"/>
  <c r="E2157" i="10" a="1"/>
  <c r="E2157" i="10" s="1"/>
  <c r="E2158" i="10" a="1"/>
  <c r="E2158" i="10" s="1"/>
  <c r="E2159" i="10" a="1"/>
  <c r="E2159" i="10" s="1"/>
  <c r="E2160" i="10" a="1"/>
  <c r="E2160" i="10" s="1"/>
  <c r="E2161" i="10" a="1"/>
  <c r="E2161" i="10"/>
  <c r="E2162" i="10" a="1"/>
  <c r="E2162" i="10" s="1"/>
  <c r="E2163" i="10" a="1"/>
  <c r="E2163" i="10" s="1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602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D1915" i="9"/>
  <c r="D1916" i="9"/>
  <c r="D1917" i="9"/>
  <c r="D1918" i="9"/>
  <c r="D1919" i="9"/>
  <c r="D1920" i="9"/>
  <c r="D1921" i="9"/>
  <c r="D1922" i="9"/>
  <c r="D1923" i="9"/>
  <c r="D1924" i="9"/>
  <c r="D1925" i="9"/>
  <c r="D1926" i="9"/>
  <c r="D1927" i="9"/>
  <c r="D1928" i="9"/>
  <c r="D1929" i="9"/>
  <c r="D1930" i="9"/>
  <c r="D1931" i="9"/>
  <c r="D1932" i="9"/>
  <c r="D1933" i="9"/>
  <c r="D1934" i="9"/>
  <c r="D1935" i="9"/>
  <c r="D1936" i="9"/>
  <c r="D1937" i="9"/>
  <c r="D1938" i="9"/>
  <c r="D1939" i="9"/>
  <c r="D1940" i="9"/>
  <c r="D1941" i="9"/>
  <c r="D1942" i="9"/>
  <c r="D1943" i="9"/>
  <c r="D1944" i="9"/>
  <c r="D1945" i="9"/>
  <c r="D1946" i="9"/>
  <c r="D1947" i="9"/>
  <c r="D1948" i="9"/>
  <c r="D1949" i="9"/>
  <c r="D1950" i="9"/>
  <c r="D1951" i="9"/>
  <c r="D1952" i="9"/>
  <c r="D1953" i="9"/>
  <c r="D1954" i="9"/>
  <c r="D1955" i="9"/>
  <c r="D1956" i="9"/>
  <c r="D1957" i="9"/>
  <c r="D1958" i="9"/>
  <c r="D1959" i="9"/>
  <c r="D1960" i="9"/>
  <c r="D1961" i="9"/>
  <c r="D1962" i="9"/>
  <c r="D1963" i="9"/>
  <c r="D1964" i="9"/>
  <c r="D1965" i="9"/>
  <c r="D1966" i="9"/>
  <c r="D1967" i="9"/>
  <c r="D1968" i="9"/>
  <c r="D1969" i="9"/>
  <c r="D1970" i="9"/>
  <c r="D1971" i="9"/>
  <c r="D1972" i="9"/>
  <c r="D1973" i="9"/>
  <c r="D1974" i="9"/>
  <c r="D1975" i="9"/>
  <c r="D1976" i="9"/>
  <c r="D1977" i="9"/>
  <c r="D1978" i="9"/>
  <c r="D1979" i="9"/>
  <c r="D1980" i="9"/>
  <c r="D1981" i="9"/>
  <c r="D1982" i="9"/>
  <c r="D1983" i="9"/>
  <c r="D1984" i="9"/>
  <c r="D1985" i="9"/>
  <c r="D1986" i="9"/>
  <c r="D1987" i="9"/>
  <c r="D1988" i="9"/>
  <c r="D1989" i="9"/>
  <c r="D1990" i="9"/>
  <c r="D1991" i="9"/>
  <c r="D1992" i="9"/>
  <c r="D1993" i="9"/>
  <c r="D1994" i="9"/>
  <c r="D1995" i="9"/>
  <c r="D1996" i="9"/>
  <c r="D1997" i="9"/>
  <c r="D1998" i="9"/>
  <c r="D1999" i="9"/>
  <c r="D2000" i="9"/>
  <c r="D2001" i="9"/>
  <c r="D2002" i="9"/>
  <c r="D2003" i="9"/>
  <c r="D2004" i="9"/>
  <c r="D2005" i="9"/>
  <c r="D2006" i="9"/>
  <c r="D2007" i="9"/>
  <c r="D2008" i="9"/>
  <c r="D2009" i="9"/>
  <c r="D2010" i="9"/>
  <c r="D2011" i="9"/>
  <c r="D2012" i="9"/>
  <c r="D2013" i="9"/>
  <c r="D2014" i="9"/>
  <c r="D2015" i="9"/>
  <c r="D2016" i="9"/>
  <c r="D2017" i="9"/>
  <c r="D2018" i="9"/>
  <c r="D2019" i="9"/>
  <c r="D2020" i="9"/>
  <c r="D2021" i="9"/>
  <c r="D2022" i="9"/>
  <c r="D2023" i="9"/>
  <c r="D2024" i="9"/>
  <c r="D2025" i="9"/>
  <c r="D2026" i="9"/>
  <c r="D2027" i="9"/>
  <c r="D2028" i="9"/>
  <c r="D2029" i="9"/>
  <c r="D2030" i="9"/>
  <c r="D2031" i="9"/>
  <c r="D2032" i="9"/>
  <c r="D2033" i="9"/>
  <c r="D2034" i="9"/>
  <c r="D2035" i="9"/>
  <c r="D2036" i="9"/>
  <c r="D2037" i="9"/>
  <c r="D2038" i="9"/>
  <c r="D2039" i="9"/>
  <c r="D2040" i="9"/>
  <c r="D2041" i="9"/>
  <c r="D2042" i="9"/>
  <c r="D2043" i="9"/>
  <c r="D2044" i="9"/>
  <c r="D2045" i="9"/>
  <c r="D2046" i="9"/>
  <c r="D2047" i="9"/>
  <c r="D2048" i="9"/>
  <c r="D2049" i="9"/>
  <c r="D2050" i="9"/>
  <c r="D2051" i="9"/>
  <c r="D2052" i="9"/>
  <c r="D2053" i="9"/>
  <c r="D2054" i="9"/>
  <c r="D2055" i="9"/>
  <c r="D2056" i="9"/>
  <c r="D2057" i="9"/>
  <c r="D2058" i="9"/>
  <c r="D2059" i="9"/>
  <c r="D2060" i="9"/>
  <c r="D2061" i="9"/>
  <c r="D2062" i="9"/>
  <c r="D2063" i="9"/>
  <c r="D2064" i="9"/>
  <c r="D2065" i="9"/>
  <c r="D2066" i="9"/>
  <c r="D2067" i="9"/>
  <c r="D2068" i="9"/>
  <c r="D2069" i="9"/>
  <c r="D2070" i="9"/>
  <c r="D2071" i="9"/>
  <c r="D2072" i="9"/>
  <c r="D2073" i="9"/>
  <c r="D2074" i="9"/>
  <c r="D2075" i="9"/>
  <c r="D2076" i="9"/>
  <c r="D2077" i="9"/>
  <c r="D2078" i="9"/>
  <c r="D2079" i="9"/>
  <c r="D2080" i="9"/>
  <c r="D2081" i="9"/>
  <c r="D2082" i="9"/>
  <c r="D2083" i="9"/>
  <c r="D2084" i="9"/>
  <c r="D2085" i="9"/>
  <c r="D2086" i="9"/>
  <c r="D2087" i="9"/>
  <c r="D2088" i="9"/>
  <c r="D2089" i="9"/>
  <c r="D2090" i="9"/>
  <c r="D2091" i="9"/>
  <c r="D2092" i="9"/>
  <c r="D2093" i="9"/>
  <c r="D2094" i="9"/>
  <c r="D2095" i="9"/>
  <c r="D2096" i="9"/>
  <c r="D2097" i="9"/>
  <c r="D2098" i="9"/>
  <c r="D2099" i="9"/>
  <c r="D2100" i="9"/>
  <c r="D2101" i="9"/>
  <c r="D2102" i="9"/>
  <c r="D2103" i="9"/>
  <c r="D2104" i="9"/>
  <c r="D2105" i="9"/>
  <c r="D2106" i="9"/>
  <c r="D2107" i="9"/>
  <c r="D2108" i="9"/>
  <c r="D2109" i="9"/>
  <c r="D2110" i="9"/>
  <c r="D2111" i="9"/>
  <c r="D2112" i="9"/>
  <c r="D2113" i="9"/>
  <c r="D2114" i="9"/>
  <c r="D2115" i="9"/>
  <c r="D2116" i="9"/>
  <c r="D2117" i="9"/>
  <c r="D2118" i="9"/>
  <c r="D2119" i="9"/>
  <c r="D2120" i="9"/>
  <c r="D2121" i="9"/>
  <c r="D2122" i="9"/>
  <c r="D2123" i="9"/>
  <c r="D2124" i="9"/>
  <c r="D2125" i="9"/>
  <c r="D2126" i="9"/>
  <c r="D2127" i="9"/>
  <c r="D2128" i="9"/>
  <c r="D2129" i="9"/>
  <c r="D2130" i="9"/>
  <c r="D2131" i="9"/>
  <c r="D2132" i="9"/>
  <c r="D2133" i="9"/>
  <c r="D2134" i="9"/>
  <c r="D2135" i="9"/>
  <c r="D2136" i="9"/>
  <c r="D2137" i="9"/>
  <c r="D2138" i="9"/>
  <c r="D2139" i="9"/>
  <c r="D2140" i="9"/>
  <c r="D2141" i="9"/>
  <c r="D2142" i="9"/>
  <c r="D2143" i="9"/>
  <c r="D2144" i="9"/>
  <c r="D2145" i="9"/>
  <c r="D2146" i="9"/>
  <c r="D2147" i="9"/>
  <c r="D2148" i="9"/>
  <c r="D2149" i="9"/>
  <c r="D2150" i="9"/>
  <c r="D2151" i="9"/>
  <c r="D2152" i="9"/>
  <c r="D2153" i="9"/>
  <c r="D2154" i="9"/>
  <c r="D2155" i="9"/>
  <c r="D2156" i="9"/>
  <c r="D2157" i="9"/>
  <c r="D2158" i="9"/>
  <c r="D2159" i="9"/>
  <c r="D2160" i="9"/>
  <c r="D2161" i="9"/>
  <c r="D2162" i="9"/>
  <c r="D2163" i="9"/>
  <c r="G1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3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D2058" i="8"/>
  <c r="D2059" i="8"/>
  <c r="D2060" i="8"/>
  <c r="D2061" i="8"/>
  <c r="D2062" i="8"/>
  <c r="D2063" i="8"/>
  <c r="D2064" i="8"/>
  <c r="D2065" i="8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3" i="8"/>
  <c r="D2144" i="8"/>
  <c r="D2145" i="8"/>
  <c r="D2146" i="8"/>
  <c r="D2147" i="8"/>
  <c r="D2148" i="8"/>
  <c r="D2149" i="8"/>
  <c r="D2150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E2155" i="11" l="1"/>
  <c r="E2143" i="11"/>
  <c r="E2131" i="11"/>
  <c r="E2119" i="11"/>
  <c r="E2107" i="11"/>
  <c r="E2095" i="11"/>
  <c r="E2083" i="11"/>
  <c r="E2071" i="11"/>
  <c r="E2059" i="11"/>
  <c r="E2047" i="11"/>
  <c r="E2035" i="11"/>
  <c r="E2023" i="11"/>
  <c r="E2011" i="11"/>
  <c r="E1999" i="11"/>
  <c r="E1987" i="11"/>
  <c r="E1975" i="11"/>
  <c r="E1963" i="11"/>
  <c r="E1951" i="11"/>
  <c r="E1939" i="11"/>
  <c r="E1927" i="11"/>
  <c r="E1915" i="11"/>
  <c r="E1903" i="11"/>
  <c r="E1891" i="11"/>
  <c r="E1879" i="11"/>
  <c r="E1867" i="11"/>
  <c r="E1855" i="11"/>
  <c r="E1843" i="11"/>
  <c r="E1831" i="11"/>
  <c r="E1819" i="11"/>
  <c r="E1807" i="11"/>
  <c r="E1795" i="11"/>
  <c r="E1783" i="11"/>
  <c r="E1771" i="11"/>
  <c r="E1759" i="11"/>
  <c r="E1747" i="11"/>
  <c r="E1735" i="11"/>
  <c r="E1723" i="11"/>
  <c r="E1711" i="11"/>
  <c r="E1699" i="11"/>
  <c r="E1687" i="11"/>
  <c r="E1675" i="11"/>
  <c r="E1663" i="11"/>
  <c r="E1651" i="11"/>
  <c r="E1639" i="11"/>
  <c r="E1627" i="11"/>
  <c r="E1615" i="11"/>
  <c r="E1603" i="11"/>
  <c r="E1591" i="11"/>
  <c r="E1579" i="11"/>
  <c r="E1567" i="11"/>
  <c r="E1555" i="11"/>
  <c r="E1543" i="11"/>
  <c r="E1531" i="11"/>
  <c r="E2152" i="11"/>
  <c r="E2140" i="11"/>
  <c r="E2128" i="11"/>
  <c r="E2116" i="11"/>
  <c r="E2104" i="11"/>
  <c r="E2092" i="11"/>
  <c r="E2080" i="11"/>
  <c r="E2068" i="11"/>
  <c r="E2056" i="11"/>
  <c r="E2044" i="11"/>
  <c r="E2032" i="11"/>
  <c r="E2020" i="11"/>
  <c r="E2008" i="11"/>
  <c r="E1996" i="11"/>
  <c r="E1984" i="11"/>
  <c r="E1972" i="11"/>
  <c r="E1960" i="11"/>
  <c r="E1948" i="11"/>
  <c r="E1936" i="11"/>
  <c r="E1924" i="11"/>
  <c r="E1912" i="11"/>
  <c r="E1900" i="11"/>
  <c r="E1888" i="11"/>
  <c r="E1876" i="11"/>
  <c r="E1864" i="11"/>
  <c r="E1852" i="11"/>
  <c r="E1840" i="11"/>
  <c r="E1828" i="11"/>
  <c r="E1816" i="11"/>
  <c r="E1804" i="11"/>
  <c r="E1792" i="11"/>
  <c r="E1780" i="11"/>
  <c r="E1768" i="11"/>
  <c r="E2163" i="11"/>
  <c r="E2162" i="11"/>
  <c r="E2150" i="11"/>
  <c r="E2138" i="11"/>
  <c r="E2126" i="11"/>
  <c r="E2114" i="11"/>
  <c r="E2102" i="11"/>
  <c r="E2090" i="11"/>
  <c r="E2078" i="11"/>
  <c r="E2066" i="11"/>
  <c r="E2054" i="11"/>
  <c r="E2042" i="11"/>
  <c r="E2030" i="11"/>
  <c r="E2018" i="11"/>
  <c r="E1994" i="11"/>
  <c r="E1982" i="11"/>
  <c r="E1970" i="11"/>
  <c r="E1958" i="11"/>
  <c r="E1946" i="11"/>
  <c r="E1934" i="11"/>
  <c r="E1922" i="11"/>
  <c r="E1910" i="11"/>
  <c r="E1898" i="11"/>
  <c r="E1886" i="11"/>
  <c r="E1874" i="11"/>
  <c r="E1862" i="11"/>
  <c r="E1850" i="11"/>
  <c r="E1838" i="11"/>
  <c r="E2159" i="11"/>
  <c r="E2147" i="11"/>
  <c r="E2135" i="11"/>
  <c r="E2123" i="11"/>
  <c r="E2111" i="11"/>
  <c r="E2099" i="11"/>
  <c r="E2087" i="11"/>
  <c r="E2075" i="11"/>
  <c r="E2063" i="11"/>
  <c r="E2051" i="11"/>
  <c r="E2039" i="11"/>
  <c r="E2027" i="11"/>
  <c r="E2015" i="11"/>
  <c r="E2003" i="11"/>
  <c r="E1991" i="11"/>
  <c r="E1979" i="11"/>
  <c r="E1967" i="11"/>
  <c r="E1955" i="11"/>
  <c r="E1943" i="11"/>
  <c r="E1931" i="11"/>
  <c r="E1919" i="11"/>
  <c r="E1907" i="11"/>
  <c r="E1895" i="11"/>
  <c r="E1883" i="11"/>
  <c r="E1871" i="11"/>
  <c r="E1859" i="11"/>
  <c r="E1847" i="11"/>
  <c r="E1835" i="11"/>
  <c r="E1823" i="11"/>
  <c r="E1811" i="11"/>
  <c r="E1799" i="11"/>
  <c r="E1571" i="11"/>
  <c r="E1559" i="11"/>
  <c r="E1475" i="11"/>
  <c r="E2158" i="11"/>
  <c r="E2146" i="11"/>
  <c r="E2134" i="11"/>
  <c r="E2122" i="11"/>
  <c r="E2110" i="11"/>
  <c r="E2098" i="11"/>
  <c r="E2086" i="11"/>
  <c r="E2074" i="11"/>
  <c r="E2062" i="11"/>
  <c r="E2050" i="11"/>
  <c r="E2038" i="11"/>
  <c r="E2026" i="11"/>
  <c r="E2014" i="11"/>
  <c r="E2002" i="11"/>
  <c r="E1990" i="11"/>
  <c r="E1978" i="11"/>
  <c r="E1966" i="11"/>
  <c r="E1954" i="11"/>
  <c r="E1942" i="11"/>
  <c r="E1930" i="11"/>
  <c r="E1918" i="11"/>
  <c r="E1906" i="11"/>
  <c r="E1894" i="11"/>
  <c r="E1882" i="11"/>
  <c r="E1870" i="11"/>
  <c r="E1858" i="11"/>
  <c r="E1846" i="11"/>
  <c r="E1834" i="11"/>
  <c r="E1822" i="11"/>
  <c r="E1810" i="11"/>
  <c r="E1798" i="11"/>
  <c r="E1786" i="11"/>
  <c r="E1774" i="11"/>
  <c r="E1762" i="11"/>
  <c r="E1750" i="11"/>
  <c r="E1738" i="11"/>
  <c r="E1726" i="11"/>
  <c r="E1714" i="11"/>
  <c r="E1702" i="11"/>
  <c r="E1690" i="11"/>
  <c r="E1678" i="11"/>
  <c r="E1666" i="11"/>
  <c r="E1654" i="11"/>
  <c r="E1642" i="11"/>
  <c r="E1630" i="11"/>
  <c r="E1618" i="11"/>
  <c r="E1606" i="11"/>
  <c r="E1594" i="11"/>
  <c r="E1582" i="11"/>
  <c r="E1570" i="11"/>
  <c r="E1558" i="11"/>
  <c r="E1546" i="11"/>
  <c r="E1534" i="11"/>
  <c r="E1522" i="11"/>
  <c r="E1510" i="11"/>
  <c r="E1498" i="11"/>
  <c r="E1486" i="11"/>
  <c r="E1474" i="11"/>
  <c r="E1462" i="11"/>
  <c r="E1450" i="11"/>
  <c r="E1438" i="11"/>
  <c r="E1426" i="11"/>
  <c r="E1414" i="11"/>
  <c r="E1402" i="11"/>
  <c r="E1390" i="11"/>
  <c r="E1378" i="11"/>
  <c r="E1108" i="11"/>
  <c r="E1096" i="11"/>
  <c r="E1084" i="11"/>
  <c r="E1813" i="11"/>
  <c r="E1801" i="11"/>
  <c r="E1789" i="11"/>
  <c r="E1777" i="11"/>
  <c r="E1765" i="11"/>
  <c r="E1753" i="11"/>
  <c r="E1741" i="11"/>
  <c r="E1729" i="11"/>
  <c r="E1717" i="11"/>
  <c r="E1705" i="11"/>
  <c r="E1693" i="11"/>
  <c r="E1681" i="11"/>
  <c r="E1669" i="11"/>
  <c r="E1657" i="11"/>
  <c r="E1645" i="11"/>
  <c r="E1633" i="11"/>
  <c r="E1621" i="11"/>
  <c r="E1609" i="11"/>
  <c r="E1597" i="11"/>
  <c r="E1585" i="11"/>
  <c r="E1573" i="11"/>
  <c r="E1561" i="11"/>
  <c r="E1549" i="11"/>
  <c r="E1537" i="11"/>
  <c r="E1525" i="11"/>
  <c r="E1513" i="11"/>
  <c r="E1501" i="11"/>
  <c r="E1489" i="11"/>
  <c r="E1477" i="11"/>
  <c r="E1465" i="11"/>
  <c r="E1453" i="11"/>
  <c r="E1441" i="11"/>
  <c r="E1429" i="11"/>
  <c r="E1417" i="11"/>
  <c r="E1405" i="11"/>
  <c r="E1393" i="11"/>
  <c r="E1381" i="11"/>
  <c r="E1369" i="11"/>
  <c r="E1357" i="11"/>
  <c r="E1345" i="11"/>
  <c r="E1333" i="11"/>
  <c r="E1321" i="11"/>
  <c r="E1309" i="11"/>
  <c r="E1297" i="11"/>
  <c r="E1285" i="11"/>
  <c r="E1273" i="11"/>
  <c r="E1261" i="11"/>
  <c r="E1249" i="11"/>
  <c r="E1237" i="11"/>
  <c r="E1225" i="11"/>
  <c r="E1213" i="11"/>
  <c r="E1201" i="11"/>
  <c r="E1189" i="11"/>
  <c r="E1177" i="11"/>
  <c r="E1165" i="11"/>
  <c r="E1153" i="11"/>
  <c r="E1141" i="11"/>
  <c r="E1129" i="11"/>
  <c r="E1117" i="11"/>
  <c r="E1105" i="11"/>
  <c r="E1093" i="11"/>
  <c r="E1081" i="11"/>
  <c r="E1069" i="11"/>
  <c r="E1057" i="11"/>
  <c r="E1045" i="11"/>
  <c r="E1033" i="11"/>
  <c r="E1021" i="11"/>
  <c r="E1009" i="11"/>
  <c r="E997" i="11"/>
  <c r="E985" i="11"/>
  <c r="E973" i="11"/>
  <c r="E961" i="11"/>
  <c r="E949" i="11"/>
  <c r="E937" i="11"/>
  <c r="E913" i="11"/>
  <c r="E1787" i="11"/>
  <c r="E1775" i="11"/>
  <c r="E1763" i="11"/>
  <c r="E1751" i="11"/>
  <c r="E1739" i="11"/>
  <c r="E1727" i="11"/>
  <c r="E1715" i="11"/>
  <c r="E1703" i="11"/>
  <c r="E1691" i="11"/>
  <c r="E1679" i="11"/>
  <c r="E1667" i="11"/>
  <c r="E1655" i="11"/>
  <c r="E1643" i="11"/>
  <c r="E1631" i="11"/>
  <c r="E1619" i="11"/>
  <c r="E1607" i="11"/>
  <c r="E1595" i="11"/>
  <c r="E1583" i="11"/>
  <c r="E1547" i="11"/>
  <c r="E1535" i="11"/>
  <c r="E1523" i="11"/>
  <c r="E1511" i="11"/>
  <c r="E1499" i="11"/>
  <c r="E1487" i="11"/>
  <c r="E1463" i="11"/>
  <c r="E1451" i="11"/>
  <c r="E1439" i="11"/>
  <c r="E1427" i="11"/>
  <c r="E1415" i="11"/>
  <c r="E1403" i="11"/>
  <c r="E1391" i="11"/>
  <c r="E1379" i="11"/>
  <c r="E1367" i="11"/>
  <c r="E1355" i="11"/>
  <c r="E1343" i="11"/>
  <c r="E1331" i="11"/>
  <c r="E1319" i="11"/>
  <c r="E1307" i="11"/>
  <c r="E1295" i="11"/>
  <c r="E1283" i="11"/>
  <c r="E1271" i="11"/>
  <c r="E1259" i="11"/>
  <c r="E1247" i="11"/>
  <c r="E1235" i="11"/>
  <c r="E1223" i="11"/>
  <c r="E1211" i="11"/>
  <c r="E1199" i="11"/>
  <c r="E1187" i="11"/>
  <c r="E1175" i="11"/>
  <c r="E1163" i="11"/>
  <c r="E1151" i="11"/>
  <c r="E1139" i="11"/>
  <c r="E1127" i="11"/>
  <c r="E1115" i="11"/>
  <c r="E1103" i="11"/>
  <c r="E1091" i="11"/>
  <c r="E1079" i="11"/>
  <c r="E1067" i="11"/>
  <c r="E1055" i="11"/>
  <c r="E1043" i="11"/>
  <c r="E1031" i="11"/>
  <c r="E1019" i="11"/>
  <c r="E1007" i="11"/>
  <c r="E995" i="11"/>
  <c r="E983" i="11"/>
  <c r="E971" i="11"/>
  <c r="E959" i="11"/>
  <c r="E947" i="11"/>
  <c r="E935" i="11"/>
  <c r="E923" i="11"/>
  <c r="E911" i="11"/>
  <c r="E899" i="11"/>
  <c r="E887" i="11"/>
  <c r="E875" i="11"/>
  <c r="E863" i="11"/>
  <c r="E851" i="11"/>
  <c r="E839" i="11"/>
  <c r="E827" i="11"/>
  <c r="E815" i="11"/>
  <c r="E803" i="11"/>
  <c r="E791" i="11"/>
  <c r="E779" i="11"/>
  <c r="E1054" i="11"/>
  <c r="E1042" i="11"/>
  <c r="E1030" i="11"/>
  <c r="E1018" i="11"/>
  <c r="E1006" i="11"/>
  <c r="E994" i="11"/>
  <c r="E982" i="11"/>
  <c r="E970" i="11"/>
  <c r="E958" i="11"/>
  <c r="E946" i="11"/>
  <c r="E934" i="11"/>
  <c r="E922" i="11"/>
  <c r="E910" i="11"/>
  <c r="E898" i="11"/>
  <c r="E886" i="11"/>
  <c r="E874" i="11"/>
  <c r="E862" i="11"/>
  <c r="E850" i="11"/>
  <c r="E838" i="11"/>
  <c r="E826" i="11"/>
  <c r="E814" i="11"/>
  <c r="E802" i="11"/>
  <c r="E790" i="11"/>
  <c r="E778" i="11"/>
  <c r="E766" i="11"/>
  <c r="E754" i="11"/>
  <c r="E742" i="11"/>
  <c r="E730" i="11"/>
  <c r="E718" i="11"/>
  <c r="E706" i="11"/>
  <c r="E694" i="11"/>
  <c r="E682" i="11"/>
  <c r="E670" i="11"/>
  <c r="E658" i="11"/>
  <c r="E646" i="11"/>
  <c r="E634" i="11"/>
  <c r="E622" i="11"/>
  <c r="E1353" i="11"/>
  <c r="E1341" i="11"/>
  <c r="E1329" i="11"/>
  <c r="E1317" i="11"/>
  <c r="E1305" i="11"/>
  <c r="E1293" i="11"/>
  <c r="E1281" i="11"/>
  <c r="E1269" i="11"/>
  <c r="E1257" i="11"/>
  <c r="E1245" i="11"/>
  <c r="E1233" i="11"/>
  <c r="E1221" i="11"/>
  <c r="E1209" i="11"/>
  <c r="E1197" i="11"/>
  <c r="E1185" i="11"/>
  <c r="E1173" i="11"/>
  <c r="E1161" i="11"/>
  <c r="E1149" i="11"/>
  <c r="E1137" i="11"/>
  <c r="E1125" i="11"/>
  <c r="E1113" i="11"/>
  <c r="E1101" i="11"/>
  <c r="E1089" i="11"/>
  <c r="E1077" i="11"/>
  <c r="E1065" i="11"/>
  <c r="E1053" i="11"/>
  <c r="E1041" i="11"/>
  <c r="E1029" i="11"/>
  <c r="E1017" i="11"/>
  <c r="E1005" i="11"/>
  <c r="E993" i="11"/>
  <c r="E981" i="11"/>
  <c r="E969" i="11"/>
  <c r="E957" i="11"/>
  <c r="E945" i="11"/>
  <c r="E933" i="11"/>
  <c r="E921" i="11"/>
  <c r="E909" i="11"/>
  <c r="E897" i="11"/>
  <c r="E885" i="11"/>
  <c r="E873" i="11"/>
  <c r="E861" i="11"/>
  <c r="E849" i="11"/>
  <c r="E837" i="11"/>
  <c r="E825" i="11"/>
  <c r="E813" i="11"/>
  <c r="E801" i="11"/>
  <c r="E789" i="11"/>
  <c r="E777" i="11"/>
  <c r="E765" i="11"/>
  <c r="E753" i="11"/>
  <c r="E741" i="11"/>
  <c r="E729" i="11"/>
  <c r="E717" i="11"/>
  <c r="E705" i="11"/>
  <c r="E693" i="11"/>
  <c r="E681" i="11"/>
  <c r="E669" i="11"/>
  <c r="E657" i="11"/>
  <c r="E645" i="11"/>
  <c r="E633" i="11"/>
  <c r="E621" i="11"/>
  <c r="E609" i="11"/>
  <c r="E1519" i="11"/>
  <c r="E1507" i="11"/>
  <c r="E1495" i="11"/>
  <c r="E1483" i="11"/>
  <c r="E1471" i="11"/>
  <c r="E1459" i="11"/>
  <c r="E1447" i="11"/>
  <c r="E1435" i="11"/>
  <c r="E1423" i="11"/>
  <c r="E1411" i="11"/>
  <c r="E1399" i="11"/>
  <c r="E1387" i="11"/>
  <c r="E1375" i="11"/>
  <c r="E1363" i="11"/>
  <c r="E1351" i="11"/>
  <c r="E1339" i="11"/>
  <c r="E1327" i="11"/>
  <c r="E1315" i="11"/>
  <c r="E1303" i="11"/>
  <c r="E1291" i="11"/>
  <c r="E1279" i="11"/>
  <c r="E1267" i="11"/>
  <c r="E1255" i="11"/>
  <c r="E1243" i="11"/>
  <c r="E1231" i="11"/>
  <c r="E1219" i="11"/>
  <c r="E1207" i="11"/>
  <c r="E1195" i="11"/>
  <c r="E1183" i="11"/>
  <c r="E1171" i="11"/>
  <c r="E871" i="11"/>
  <c r="E763" i="11"/>
  <c r="E1278" i="11"/>
  <c r="E1266" i="11"/>
  <c r="E1254" i="11"/>
  <c r="E1242" i="11"/>
  <c r="E1230" i="11"/>
  <c r="E1218" i="11"/>
  <c r="E1206" i="11"/>
  <c r="E1194" i="11"/>
  <c r="E1182" i="11"/>
  <c r="E1170" i="11"/>
  <c r="E1158" i="11"/>
  <c r="E1146" i="11"/>
  <c r="E1134" i="11"/>
  <c r="E1122" i="11"/>
  <c r="E1110" i="11"/>
  <c r="E1098" i="11"/>
  <c r="E1086" i="11"/>
  <c r="E1074" i="11"/>
  <c r="E1062" i="11"/>
  <c r="E1050" i="11"/>
  <c r="E1038" i="11"/>
  <c r="E1026" i="11"/>
  <c r="E1014" i="11"/>
  <c r="E1002" i="11"/>
  <c r="E990" i="11"/>
  <c r="E978" i="11"/>
  <c r="E966" i="11"/>
  <c r="E954" i="11"/>
  <c r="E942" i="11"/>
  <c r="E930" i="11"/>
  <c r="E918" i="11"/>
  <c r="E906" i="11"/>
  <c r="E894" i="11"/>
  <c r="E882" i="11"/>
  <c r="E870" i="11"/>
  <c r="E858" i="11"/>
  <c r="E846" i="11"/>
  <c r="E834" i="11"/>
  <c r="E822" i="11"/>
  <c r="E810" i="11"/>
  <c r="E798" i="11"/>
  <c r="E786" i="11"/>
  <c r="E774" i="11"/>
  <c r="E762" i="11"/>
  <c r="E750" i="11"/>
  <c r="E738" i="11"/>
  <c r="E726" i="11"/>
  <c r="E714" i="11"/>
  <c r="E702" i="11"/>
  <c r="E690" i="11"/>
  <c r="E678" i="11"/>
  <c r="E666" i="11"/>
  <c r="E654" i="11"/>
  <c r="E642" i="11"/>
  <c r="E630" i="11"/>
  <c r="E618" i="11"/>
  <c r="E606" i="11"/>
  <c r="E594" i="11"/>
  <c r="E582" i="11"/>
  <c r="E570" i="11"/>
  <c r="E955" i="11"/>
  <c r="E1159" i="11"/>
  <c r="E1147" i="11"/>
  <c r="E1135" i="11"/>
  <c r="E1123" i="11"/>
  <c r="E1111" i="11"/>
  <c r="E1099" i="11"/>
  <c r="E1087" i="11"/>
  <c r="E1075" i="11"/>
  <c r="E1063" i="11"/>
  <c r="E1051" i="11"/>
  <c r="E1039" i="11"/>
  <c r="E1027" i="11"/>
  <c r="E1015" i="11"/>
  <c r="E1003" i="11"/>
  <c r="E991" i="11"/>
  <c r="E979" i="11"/>
  <c r="E967" i="11"/>
  <c r="E943" i="11"/>
  <c r="E931" i="11"/>
  <c r="E919" i="11"/>
  <c r="E907" i="11"/>
  <c r="E895" i="11"/>
  <c r="E883" i="11"/>
  <c r="E859" i="11"/>
  <c r="E847" i="11"/>
  <c r="E835" i="11"/>
  <c r="E823" i="11"/>
  <c r="E811" i="11"/>
  <c r="E799" i="11"/>
  <c r="E787" i="11"/>
  <c r="E775" i="11"/>
  <c r="E751" i="11"/>
  <c r="E739" i="11"/>
  <c r="E727" i="11"/>
  <c r="E715" i="11"/>
  <c r="E703" i="11"/>
  <c r="E691" i="11"/>
  <c r="E679" i="11"/>
  <c r="E667" i="11"/>
  <c r="E655" i="11"/>
  <c r="E643" i="11"/>
  <c r="E631" i="11"/>
  <c r="E619" i="11"/>
  <c r="E607" i="11"/>
  <c r="E595" i="11"/>
  <c r="E583" i="11"/>
  <c r="E571" i="11"/>
  <c r="E559" i="11"/>
  <c r="E547" i="11"/>
  <c r="E535" i="11"/>
  <c r="E523" i="11"/>
  <c r="E511" i="11"/>
  <c r="E499" i="11"/>
  <c r="E487" i="11"/>
  <c r="E475" i="11"/>
  <c r="E463" i="11"/>
  <c r="E451" i="11"/>
  <c r="E439" i="11"/>
  <c r="E427" i="11"/>
  <c r="E415" i="11"/>
  <c r="E403" i="11"/>
  <c r="E391" i="11"/>
  <c r="E379" i="11"/>
  <c r="E367" i="11"/>
  <c r="E355" i="11"/>
  <c r="E343" i="11"/>
  <c r="E331" i="11"/>
  <c r="E319" i="11"/>
  <c r="E307" i="11"/>
  <c r="E295" i="11"/>
  <c r="E1000" i="11"/>
  <c r="E988" i="11"/>
  <c r="E976" i="11"/>
  <c r="E964" i="11"/>
  <c r="E952" i="11"/>
  <c r="E940" i="11"/>
  <c r="E928" i="11"/>
  <c r="E916" i="11"/>
  <c r="E904" i="11"/>
  <c r="E892" i="11"/>
  <c r="E880" i="11"/>
  <c r="E868" i="11"/>
  <c r="E856" i="11"/>
  <c r="E844" i="11"/>
  <c r="E832" i="11"/>
  <c r="E808" i="11"/>
  <c r="E796" i="11"/>
  <c r="E784" i="11"/>
  <c r="E772" i="11"/>
  <c r="E760" i="11"/>
  <c r="E748" i="11"/>
  <c r="E736" i="11"/>
  <c r="E724" i="11"/>
  <c r="E712" i="11"/>
  <c r="E688" i="11"/>
  <c r="E676" i="11"/>
  <c r="E664" i="11"/>
  <c r="E652" i="11"/>
  <c r="E640" i="11"/>
  <c r="E628" i="11"/>
  <c r="E616" i="11"/>
  <c r="E604" i="11"/>
  <c r="E592" i="11"/>
  <c r="E568" i="11"/>
  <c r="E556" i="11"/>
  <c r="E544" i="11"/>
  <c r="E532" i="11"/>
  <c r="E520" i="11"/>
  <c r="E508" i="11"/>
  <c r="E496" i="11"/>
  <c r="E484" i="11"/>
  <c r="E472" i="11"/>
  <c r="E460" i="11"/>
  <c r="E448" i="11"/>
  <c r="E436" i="11"/>
  <c r="E424" i="11"/>
  <c r="E412" i="11"/>
  <c r="E400" i="11"/>
  <c r="E388" i="11"/>
  <c r="E376" i="11"/>
  <c r="E364" i="11"/>
  <c r="E352" i="11"/>
  <c r="E340" i="11"/>
  <c r="E328" i="11"/>
  <c r="E316" i="11"/>
  <c r="E304" i="11"/>
  <c r="E292" i="11"/>
  <c r="E280" i="11"/>
  <c r="E925" i="11"/>
  <c r="E901" i="11"/>
  <c r="E889" i="11"/>
  <c r="E877" i="11"/>
  <c r="E865" i="11"/>
  <c r="E853" i="11"/>
  <c r="E841" i="11"/>
  <c r="E829" i="11"/>
  <c r="E817" i="11"/>
  <c r="E805" i="11"/>
  <c r="E793" i="11"/>
  <c r="E781" i="11"/>
  <c r="E769" i="11"/>
  <c r="E757" i="11"/>
  <c r="E745" i="11"/>
  <c r="E733" i="11"/>
  <c r="E721" i="11"/>
  <c r="E709" i="11"/>
  <c r="E697" i="11"/>
  <c r="E685" i="11"/>
  <c r="E673" i="11"/>
  <c r="E661" i="11"/>
  <c r="E649" i="11"/>
  <c r="E637" i="11"/>
  <c r="E625" i="11"/>
  <c r="E613" i="11"/>
  <c r="E601" i="11"/>
  <c r="E589" i="11"/>
  <c r="E577" i="11"/>
  <c r="E565" i="11"/>
  <c r="E553" i="11"/>
  <c r="E541" i="11"/>
  <c r="E529" i="11"/>
  <c r="E517" i="11"/>
  <c r="E505" i="11"/>
  <c r="E493" i="11"/>
  <c r="E481" i="11"/>
  <c r="E469" i="11"/>
  <c r="E457" i="11"/>
  <c r="E445" i="11"/>
  <c r="E433" i="11"/>
  <c r="E421" i="11"/>
  <c r="E409" i="11"/>
  <c r="E397" i="11"/>
  <c r="E385" i="11"/>
  <c r="E373" i="11"/>
  <c r="E361" i="11"/>
  <c r="E349" i="11"/>
  <c r="E337" i="11"/>
  <c r="E325" i="11"/>
  <c r="E313" i="11"/>
  <c r="E301" i="11"/>
  <c r="E289" i="11"/>
  <c r="E277" i="11"/>
  <c r="E265" i="11"/>
  <c r="E253" i="11"/>
  <c r="E241" i="11"/>
  <c r="E229" i="11"/>
  <c r="E217" i="11"/>
  <c r="E205" i="11"/>
  <c r="E193" i="11"/>
  <c r="E181" i="11"/>
  <c r="E169" i="11"/>
  <c r="E157" i="11"/>
  <c r="E145" i="11"/>
  <c r="E133" i="11"/>
  <c r="E121" i="11"/>
  <c r="E109" i="11"/>
  <c r="E97" i="11"/>
  <c r="E85" i="11"/>
  <c r="E73" i="11"/>
  <c r="E61" i="11"/>
  <c r="E49" i="11"/>
  <c r="E37" i="11"/>
  <c r="E25" i="11"/>
  <c r="E2" i="11"/>
  <c r="E767" i="11"/>
  <c r="E755" i="11"/>
  <c r="E743" i="11"/>
  <c r="E731" i="11"/>
  <c r="E719" i="11"/>
  <c r="E707" i="11"/>
  <c r="E695" i="11"/>
  <c r="E683" i="11"/>
  <c r="E671" i="11"/>
  <c r="E659" i="11"/>
  <c r="E647" i="11"/>
  <c r="E635" i="11"/>
  <c r="E623" i="11"/>
  <c r="E611" i="11"/>
  <c r="E599" i="11"/>
  <c r="E587" i="11"/>
  <c r="E575" i="11"/>
  <c r="E563" i="11"/>
  <c r="E551" i="11"/>
  <c r="E539" i="11"/>
  <c r="E527" i="11"/>
  <c r="E515" i="11"/>
  <c r="E503" i="11"/>
  <c r="E491" i="11"/>
  <c r="E479" i="11"/>
  <c r="E467" i="11"/>
  <c r="E455" i="11"/>
  <c r="E443" i="11"/>
  <c r="E431" i="11"/>
  <c r="E419" i="11"/>
  <c r="E407" i="11"/>
  <c r="E395" i="11"/>
  <c r="E383" i="11"/>
  <c r="E371" i="11"/>
  <c r="E359" i="11"/>
  <c r="E347" i="11"/>
  <c r="E335" i="11"/>
  <c r="E323" i="11"/>
  <c r="E311" i="11"/>
  <c r="E299" i="11"/>
  <c r="E287" i="11"/>
  <c r="E275" i="11"/>
  <c r="E263" i="11"/>
  <c r="E251" i="11"/>
  <c r="E239" i="11"/>
  <c r="E227" i="11"/>
  <c r="E215" i="11"/>
  <c r="E203" i="11"/>
  <c r="E191" i="11"/>
  <c r="E179" i="11"/>
  <c r="E167" i="11"/>
  <c r="E155" i="11"/>
  <c r="E143" i="11"/>
  <c r="E131" i="11"/>
  <c r="E119" i="11"/>
  <c r="E107" i="11"/>
  <c r="E95" i="11"/>
  <c r="E610" i="11"/>
  <c r="E598" i="11"/>
  <c r="E586" i="11"/>
  <c r="E574" i="11"/>
  <c r="E562" i="11"/>
  <c r="E34" i="11"/>
  <c r="E597" i="11"/>
  <c r="E585" i="11"/>
  <c r="E573" i="11"/>
  <c r="E561" i="11"/>
  <c r="E549" i="11"/>
  <c r="E537" i="11"/>
  <c r="E525" i="11"/>
  <c r="E513" i="11"/>
  <c r="E501" i="11"/>
  <c r="E489" i="11"/>
  <c r="E477" i="11"/>
  <c r="E465" i="11"/>
  <c r="E453" i="11"/>
  <c r="E441" i="11"/>
  <c r="E429" i="11"/>
  <c r="E417" i="11"/>
  <c r="E405" i="11"/>
  <c r="E393" i="11"/>
  <c r="E381" i="11"/>
  <c r="E369" i="11"/>
  <c r="E357" i="11"/>
  <c r="E345" i="11"/>
  <c r="E333" i="11"/>
  <c r="E321" i="11"/>
  <c r="E309" i="11"/>
  <c r="E297" i="11"/>
  <c r="E285" i="11"/>
  <c r="E273" i="11"/>
  <c r="E261" i="11"/>
  <c r="E249" i="11"/>
  <c r="E237" i="11"/>
  <c r="E225" i="11"/>
  <c r="E213" i="11"/>
  <c r="E201" i="11"/>
  <c r="E189" i="11"/>
  <c r="E177" i="11"/>
  <c r="E165" i="11"/>
  <c r="E153" i="11"/>
  <c r="E141" i="11"/>
  <c r="E129" i="11"/>
  <c r="E117" i="11"/>
  <c r="E105" i="11"/>
  <c r="E93" i="11"/>
  <c r="E81" i="11"/>
  <c r="E13" i="11"/>
  <c r="E83" i="11"/>
  <c r="E71" i="11"/>
  <c r="E59" i="11"/>
  <c r="E47" i="11"/>
  <c r="E35" i="11"/>
  <c r="E23" i="11"/>
  <c r="E11" i="11"/>
  <c r="E22" i="11"/>
  <c r="E10" i="11"/>
  <c r="E283" i="11"/>
  <c r="E271" i="11"/>
  <c r="E259" i="11"/>
  <c r="E247" i="11"/>
  <c r="E235" i="11"/>
  <c r="E223" i="11"/>
  <c r="E211" i="11"/>
  <c r="E199" i="11"/>
  <c r="E187" i="11"/>
  <c r="E175" i="11"/>
  <c r="E163" i="11"/>
  <c r="E151" i="11"/>
  <c r="E139" i="11"/>
  <c r="E127" i="11"/>
  <c r="E115" i="11"/>
  <c r="E270" i="11"/>
  <c r="E258" i="11"/>
  <c r="E246" i="11"/>
  <c r="E234" i="11"/>
  <c r="E222" i="11"/>
  <c r="E210" i="11"/>
  <c r="E198" i="11"/>
  <c r="E186" i="11"/>
  <c r="E174" i="11"/>
  <c r="E162" i="11"/>
  <c r="E150" i="11"/>
  <c r="E138" i="11"/>
  <c r="E126" i="11"/>
  <c r="E114" i="11"/>
  <c r="E102" i="11"/>
  <c r="E90" i="11"/>
  <c r="E78" i="11"/>
  <c r="E66" i="11"/>
  <c r="E54" i="11"/>
  <c r="E42" i="11"/>
  <c r="E30" i="11"/>
  <c r="E18" i="11"/>
  <c r="E6" i="11"/>
  <c r="E268" i="11"/>
  <c r="E256" i="11"/>
  <c r="E244" i="11"/>
  <c r="E232" i="11"/>
  <c r="E220" i="11"/>
  <c r="E208" i="11"/>
  <c r="E196" i="11"/>
  <c r="E184" i="11"/>
  <c r="E172" i="11"/>
  <c r="E160" i="11"/>
  <c r="E148" i="11"/>
  <c r="E136" i="11"/>
  <c r="E124" i="11"/>
  <c r="E112" i="11"/>
  <c r="E100" i="11"/>
  <c r="E88" i="11"/>
  <c r="E76" i="11"/>
  <c r="E64" i="11"/>
  <c r="E52" i="11"/>
  <c r="E40" i="11"/>
  <c r="E28" i="11"/>
  <c r="E16" i="11"/>
  <c r="E4" i="11"/>
  <c r="D1845" i="10"/>
  <c r="E1844" i="10" a="1"/>
  <c r="E1844" i="10" s="1"/>
  <c r="D1895" i="10"/>
  <c r="E1894" i="10" a="1"/>
  <c r="E1894" i="10" s="1"/>
  <c r="D2089" i="10"/>
  <c r="D1293" i="10"/>
  <c r="E1292" i="10" a="1"/>
  <c r="E1292" i="10" s="1"/>
  <c r="E1980" i="10" a="1"/>
  <c r="E1980" i="10" s="1"/>
  <c r="D619" i="10"/>
  <c r="E618" i="10" a="1"/>
  <c r="E618" i="10" s="1"/>
  <c r="D121" i="10"/>
  <c r="E120" i="10" a="1"/>
  <c r="E120" i="10" s="1"/>
  <c r="E2088" i="10" a="1"/>
  <c r="E2088" i="10" s="1"/>
  <c r="E1989" i="10" a="1"/>
  <c r="E1989" i="10" s="1"/>
  <c r="E1970" i="10" a="1"/>
  <c r="E1970" i="10" s="1"/>
  <c r="E1893" i="10" a="1"/>
  <c r="E1893" i="10" s="1"/>
  <c r="D1779" i="10"/>
  <c r="E1408" i="10" a="1"/>
  <c r="E1408" i="10" s="1"/>
  <c r="D1409" i="10"/>
  <c r="D1281" i="10"/>
  <c r="E1280" i="10" a="1"/>
  <c r="E1280" i="10" s="1"/>
  <c r="D847" i="10"/>
  <c r="E846" i="10" a="1"/>
  <c r="E846" i="10" s="1"/>
  <c r="D636" i="10"/>
  <c r="E636" i="10" s="1" a="1"/>
  <c r="E636" i="10" s="1"/>
  <c r="E635" i="10" a="1"/>
  <c r="E635" i="10" s="1"/>
  <c r="E2087" i="10" a="1"/>
  <c r="E2087" i="10" s="1"/>
  <c r="E1979" i="10" a="1"/>
  <c r="E1979" i="10" s="1"/>
  <c r="E1969" i="10" a="1"/>
  <c r="E1969" i="10" s="1"/>
  <c r="E1727" i="10" a="1"/>
  <c r="E1727" i="10" s="1"/>
  <c r="D1728" i="10"/>
  <c r="E1728" i="10" s="1" a="1"/>
  <c r="E1728" i="10" s="1"/>
  <c r="E1971" i="10" a="1"/>
  <c r="E1971" i="10" s="1"/>
  <c r="E1988" i="10" a="1"/>
  <c r="E1988" i="10" s="1"/>
  <c r="E1978" i="10" a="1"/>
  <c r="E1978" i="10" s="1"/>
  <c r="E1968" i="10" a="1"/>
  <c r="E1968" i="10" s="1"/>
  <c r="D1486" i="10"/>
  <c r="E1485" i="10" a="1"/>
  <c r="E1485" i="10" s="1"/>
  <c r="D1754" i="10"/>
  <c r="E1753" i="10" a="1"/>
  <c r="E1753" i="10" s="1"/>
  <c r="E2085" i="10" a="1"/>
  <c r="E2085" i="10" s="1"/>
  <c r="E1986" i="10" a="1"/>
  <c r="E1986" i="10" s="1"/>
  <c r="E1967" i="10" a="1"/>
  <c r="E1967" i="10" s="1"/>
  <c r="E1890" i="10" a="1"/>
  <c r="E1890" i="10" s="1"/>
  <c r="D1945" i="10"/>
  <c r="D1521" i="10"/>
  <c r="E1520" i="10" a="1"/>
  <c r="E1520" i="10" s="1"/>
  <c r="D769" i="10"/>
  <c r="E768" i="10" a="1"/>
  <c r="E768" i="10" s="1"/>
  <c r="D1207" i="10"/>
  <c r="E1206" i="10" a="1"/>
  <c r="E1206" i="10" s="1"/>
  <c r="D1993" i="10"/>
  <c r="D949" i="10"/>
  <c r="E948" i="10" a="1"/>
  <c r="E948" i="10" s="1"/>
  <c r="E2086" i="10" a="1"/>
  <c r="E2086" i="10" s="1"/>
  <c r="E1987" i="10" a="1"/>
  <c r="E1987" i="10" s="1"/>
  <c r="E1977" i="10" a="1"/>
  <c r="E1977" i="10" s="1"/>
  <c r="E1985" i="10" a="1"/>
  <c r="E1985" i="10" s="1"/>
  <c r="E1976" i="10" a="1"/>
  <c r="E1976" i="10" s="1"/>
  <c r="E1966" i="10" a="1"/>
  <c r="E1966" i="10" s="1"/>
  <c r="E1975" i="10" a="1"/>
  <c r="E1975" i="10" s="1"/>
  <c r="D1743" i="10"/>
  <c r="E1743" i="10" s="1" a="1"/>
  <c r="E1743" i="10" s="1"/>
  <c r="E1742" i="10" a="1"/>
  <c r="E1742" i="10" s="1"/>
  <c r="D1630" i="10"/>
  <c r="E1629" i="10" a="1"/>
  <c r="E1629" i="10" s="1"/>
  <c r="E1984" i="10" a="1"/>
  <c r="E1984" i="10" s="1"/>
  <c r="E1974" i="10" a="1"/>
  <c r="E1974" i="10" s="1"/>
  <c r="E1965" i="10" a="1"/>
  <c r="E1965" i="10" s="1"/>
  <c r="D1450" i="10"/>
  <c r="E1449" i="10" a="1"/>
  <c r="E1449" i="10" s="1"/>
  <c r="D1153" i="10"/>
  <c r="E1152" i="10" a="1"/>
  <c r="E1152" i="10" s="1"/>
  <c r="D1045" i="10"/>
  <c r="E1044" i="10" a="1"/>
  <c r="E1044" i="10" s="1"/>
  <c r="E1992" i="10" a="1"/>
  <c r="E1992" i="10" s="1"/>
  <c r="E1983" i="10" a="1"/>
  <c r="E1983" i="10" s="1"/>
  <c r="E1973" i="10" a="1"/>
  <c r="E1973" i="10" s="1"/>
  <c r="E1991" i="10" a="1"/>
  <c r="E1991" i="10" s="1"/>
  <c r="E1982" i="10" a="1"/>
  <c r="E1982" i="10" s="1"/>
  <c r="E1972" i="10" a="1"/>
  <c r="E1972" i="10" s="1"/>
  <c r="D1504" i="10"/>
  <c r="E1504" i="10" s="1" a="1"/>
  <c r="E1504" i="10" s="1"/>
  <c r="E1503" i="10" a="1"/>
  <c r="E1503" i="10" s="1"/>
  <c r="D1240" i="10"/>
  <c r="E1239" i="10" a="1"/>
  <c r="E1239" i="10" s="1"/>
  <c r="D243" i="10"/>
  <c r="E242" i="10" a="1"/>
  <c r="E242" i="10" s="1"/>
  <c r="D424" i="10"/>
  <c r="E423" i="10" a="1"/>
  <c r="E423" i="10" s="1"/>
  <c r="D388" i="10"/>
  <c r="E387" i="10" a="1"/>
  <c r="E387" i="10" s="1"/>
  <c r="D352" i="10"/>
  <c r="E352" i="10" s="1" a="1"/>
  <c r="E352" i="10" s="1"/>
  <c r="E351" i="10" a="1"/>
  <c r="E351" i="10" s="1"/>
  <c r="D171" i="10"/>
  <c r="E170" i="10" a="1"/>
  <c r="E170" i="10" s="1"/>
  <c r="D1346" i="10"/>
  <c r="F3" i="11" l="1"/>
  <c r="D1451" i="10"/>
  <c r="E1450" i="10" a="1"/>
  <c r="E1450" i="10" s="1"/>
  <c r="D848" i="10"/>
  <c r="E847" i="10" a="1"/>
  <c r="E847" i="10" s="1"/>
  <c r="D620" i="10"/>
  <c r="E620" i="10" s="1" a="1"/>
  <c r="E620" i="10" s="1"/>
  <c r="E619" i="10" a="1"/>
  <c r="E619" i="10" s="1"/>
  <c r="D1282" i="10"/>
  <c r="E1281" i="10" a="1"/>
  <c r="E1281" i="10" s="1"/>
  <c r="D1410" i="10"/>
  <c r="E1409" i="10" a="1"/>
  <c r="E1409" i="10" s="1"/>
  <c r="D1294" i="10"/>
  <c r="E1294" i="10" s="1" a="1"/>
  <c r="E1294" i="10" s="1"/>
  <c r="E1293" i="10" a="1"/>
  <c r="E1293" i="10" s="1"/>
  <c r="D425" i="10"/>
  <c r="E424" i="10" a="1"/>
  <c r="E424" i="10" s="1"/>
  <c r="D1631" i="10"/>
  <c r="E1630" i="10" a="1"/>
  <c r="E1630" i="10" s="1"/>
  <c r="D950" i="10"/>
  <c r="E949" i="10" a="1"/>
  <c r="E949" i="10" s="1"/>
  <c r="D1780" i="10"/>
  <c r="E1779" i="10" a="1"/>
  <c r="E1779" i="10" s="1"/>
  <c r="D770" i="10"/>
  <c r="E769" i="10" a="1"/>
  <c r="E769" i="10" s="1"/>
  <c r="D122" i="10"/>
  <c r="E121" i="10" a="1"/>
  <c r="E121" i="10" s="1"/>
  <c r="D2090" i="10"/>
  <c r="E2089" i="10" a="1"/>
  <c r="E2089" i="10" s="1"/>
  <c r="D1487" i="10"/>
  <c r="E1486" i="10" a="1"/>
  <c r="E1486" i="10" s="1"/>
  <c r="D1994" i="10"/>
  <c r="E1993" i="10" a="1"/>
  <c r="E1993" i="10" s="1"/>
  <c r="D1896" i="10"/>
  <c r="E1895" i="10" a="1"/>
  <c r="E1895" i="10" s="1"/>
  <c r="D1347" i="10"/>
  <c r="E1346" i="10" a="1"/>
  <c r="E1346" i="10" s="1"/>
  <c r="D1522" i="10"/>
  <c r="E1521" i="10" a="1"/>
  <c r="E1521" i="10" s="1"/>
  <c r="D389" i="10"/>
  <c r="E389" i="10" s="1" a="1"/>
  <c r="E389" i="10" s="1"/>
  <c r="E388" i="10" a="1"/>
  <c r="E388" i="10" s="1"/>
  <c r="D1946" i="10"/>
  <c r="E1945" i="10" a="1"/>
  <c r="E1945" i="10" s="1"/>
  <c r="D244" i="10"/>
  <c r="E243" i="10" a="1"/>
  <c r="E243" i="10" s="1"/>
  <c r="E1045" i="10" a="1"/>
  <c r="E1045" i="10" s="1"/>
  <c r="D1046" i="10"/>
  <c r="D1208" i="10"/>
  <c r="E1207" i="10" a="1"/>
  <c r="E1207" i="10" s="1"/>
  <c r="D1755" i="10"/>
  <c r="E1754" i="10" a="1"/>
  <c r="E1754" i="10" s="1"/>
  <c r="D172" i="10"/>
  <c r="E172" i="10" s="1" a="1"/>
  <c r="E172" i="10" s="1"/>
  <c r="E171" i="10" a="1"/>
  <c r="E171" i="10" s="1"/>
  <c r="D1241" i="10"/>
  <c r="E1241" i="10" s="1" a="1"/>
  <c r="E1241" i="10" s="1"/>
  <c r="E1240" i="10" a="1"/>
  <c r="E1240" i="10" s="1"/>
  <c r="D1154" i="10"/>
  <c r="E1153" i="10" a="1"/>
  <c r="E1153" i="10" s="1"/>
  <c r="D1846" i="10"/>
  <c r="E1845" i="10" a="1"/>
  <c r="E1845" i="10" s="1"/>
  <c r="H3" i="11" l="1"/>
  <c r="D1756" i="10"/>
  <c r="E1755" i="10" a="1"/>
  <c r="E1755" i="10" s="1"/>
  <c r="D771" i="10"/>
  <c r="E770" i="10" a="1"/>
  <c r="E770" i="10" s="1"/>
  <c r="D1411" i="10"/>
  <c r="E1410" i="10" a="1"/>
  <c r="E1410" i="10" s="1"/>
  <c r="D1047" i="10"/>
  <c r="E1046" i="10" a="1"/>
  <c r="E1046" i="10" s="1"/>
  <c r="D123" i="10"/>
  <c r="E122" i="10" a="1"/>
  <c r="E122" i="10" s="1"/>
  <c r="D1897" i="10"/>
  <c r="E1896" i="10" a="1"/>
  <c r="E1896" i="10" s="1"/>
  <c r="D1781" i="10"/>
  <c r="E1780" i="10" a="1"/>
  <c r="E1780" i="10" s="1"/>
  <c r="E1282" i="10" a="1"/>
  <c r="E1282" i="10" s="1"/>
  <c r="D1283" i="10"/>
  <c r="D1995" i="10"/>
  <c r="E1994" i="10" a="1"/>
  <c r="E1994" i="10" s="1"/>
  <c r="D951" i="10"/>
  <c r="E950" i="10" a="1"/>
  <c r="E950" i="10" s="1"/>
  <c r="D1523" i="10"/>
  <c r="E1522" i="10" a="1"/>
  <c r="E1522" i="10" s="1"/>
  <c r="D1209" i="10"/>
  <c r="E1208" i="10" a="1"/>
  <c r="E1208" i="10" s="1"/>
  <c r="D1348" i="10"/>
  <c r="E1347" i="10" a="1"/>
  <c r="E1347" i="10" s="1"/>
  <c r="D1155" i="10"/>
  <c r="E1154" i="10" a="1"/>
  <c r="E1154" i="10" s="1"/>
  <c r="D1947" i="10"/>
  <c r="E1946" i="10" a="1"/>
  <c r="E1946" i="10" s="1"/>
  <c r="D1488" i="10"/>
  <c r="E1487" i="10" a="1"/>
  <c r="E1487" i="10" s="1"/>
  <c r="D1632" i="10"/>
  <c r="E1631" i="10" a="1"/>
  <c r="E1631" i="10" s="1"/>
  <c r="D849" i="10"/>
  <c r="E848" i="10" a="1"/>
  <c r="E848" i="10" s="1"/>
  <c r="D245" i="10"/>
  <c r="E244" i="10" a="1"/>
  <c r="E244" i="10" s="1"/>
  <c r="D1847" i="10"/>
  <c r="E1846" i="10" a="1"/>
  <c r="E1846" i="10" s="1"/>
  <c r="D2091" i="10"/>
  <c r="E2090" i="10" a="1"/>
  <c r="E2090" i="10" s="1"/>
  <c r="D426" i="10"/>
  <c r="E425" i="10" a="1"/>
  <c r="E425" i="10" s="1"/>
  <c r="D1452" i="10"/>
  <c r="E1451" i="10" a="1"/>
  <c r="E1451" i="10" s="1"/>
  <c r="H4" i="11" l="1"/>
  <c r="I3" i="11"/>
  <c r="F4" i="11"/>
  <c r="D1633" i="10"/>
  <c r="E1632" i="10" a="1"/>
  <c r="E1632" i="10" s="1"/>
  <c r="D1048" i="10"/>
  <c r="E1047" i="10" a="1"/>
  <c r="E1047" i="10" s="1"/>
  <c r="D124" i="10"/>
  <c r="E123" i="10" a="1"/>
  <c r="E123" i="10" s="1"/>
  <c r="D1948" i="10"/>
  <c r="E1947" i="10" a="1"/>
  <c r="E1947" i="10" s="1"/>
  <c r="D1412" i="10"/>
  <c r="E1411" i="10" a="1"/>
  <c r="E1411" i="10" s="1"/>
  <c r="D1489" i="10"/>
  <c r="E1488" i="10" a="1"/>
  <c r="E1488" i="10" s="1"/>
  <c r="D1284" i="10"/>
  <c r="E1283" i="10" a="1"/>
  <c r="E1283" i="10" s="1"/>
  <c r="D1453" i="10"/>
  <c r="E1452" i="10" a="1"/>
  <c r="E1452" i="10" s="1"/>
  <c r="D1898" i="10"/>
  <c r="E1897" i="10" a="1"/>
  <c r="E1897" i="10" s="1"/>
  <c r="D772" i="10"/>
  <c r="E771" i="10" a="1"/>
  <c r="E771" i="10" s="1"/>
  <c r="D1210" i="10"/>
  <c r="E1209" i="10" a="1"/>
  <c r="E1209" i="10" s="1"/>
  <c r="D1524" i="10"/>
  <c r="E1523" i="10" a="1"/>
  <c r="E1523" i="10" s="1"/>
  <c r="D1996" i="10"/>
  <c r="E1995" i="10" a="1"/>
  <c r="E1995" i="10" s="1"/>
  <c r="D1156" i="10"/>
  <c r="E1155" i="10" a="1"/>
  <c r="E1155" i="10" s="1"/>
  <c r="D427" i="10"/>
  <c r="E426" i="10" a="1"/>
  <c r="E426" i="10" s="1"/>
  <c r="D952" i="10"/>
  <c r="E951" i="10" a="1"/>
  <c r="E951" i="10" s="1"/>
  <c r="D2092" i="10"/>
  <c r="E2091" i="10" a="1"/>
  <c r="E2091" i="10" s="1"/>
  <c r="D1848" i="10"/>
  <c r="E1847" i="10" a="1"/>
  <c r="E1847" i="10" s="1"/>
  <c r="D246" i="10"/>
  <c r="E245" i="10" a="1"/>
  <c r="E245" i="10" s="1"/>
  <c r="E1348" i="10" a="1"/>
  <c r="E1348" i="10" s="1"/>
  <c r="D1349" i="10"/>
  <c r="D850" i="10"/>
  <c r="E849" i="10" a="1"/>
  <c r="E849" i="10" s="1"/>
  <c r="D1782" i="10"/>
  <c r="E1781" i="10" a="1"/>
  <c r="E1781" i="10" s="1"/>
  <c r="D1757" i="10"/>
  <c r="E1756" i="10" a="1"/>
  <c r="E1756" i="10" s="1"/>
  <c r="G5" i="11" l="1"/>
  <c r="H5" i="11" s="1"/>
  <c r="I5" i="11" s="1"/>
  <c r="F5" i="11"/>
  <c r="D1849" i="10"/>
  <c r="E1848" i="10" a="1"/>
  <c r="E1848" i="10" s="1"/>
  <c r="D1525" i="10"/>
  <c r="E1524" i="10" a="1"/>
  <c r="E1524" i="10" s="1"/>
  <c r="D1490" i="10"/>
  <c r="E1489" i="10" a="1"/>
  <c r="E1489" i="10" s="1"/>
  <c r="D1211" i="10"/>
  <c r="E1210" i="10" a="1"/>
  <c r="E1210" i="10" s="1"/>
  <c r="D2093" i="10"/>
  <c r="E2092" i="10" a="1"/>
  <c r="E2092" i="10" s="1"/>
  <c r="D1949" i="10"/>
  <c r="E1948" i="10" a="1"/>
  <c r="E1948" i="10" s="1"/>
  <c r="D1758" i="10"/>
  <c r="E1757" i="10" a="1"/>
  <c r="E1757" i="10" s="1"/>
  <c r="D851" i="10"/>
  <c r="E850" i="10" a="1"/>
  <c r="E850" i="10" s="1"/>
  <c r="D428" i="10"/>
  <c r="E427" i="10" a="1"/>
  <c r="E427" i="10" s="1"/>
  <c r="D1899" i="10"/>
  <c r="E1898" i="10" a="1"/>
  <c r="E1898" i="10" s="1"/>
  <c r="D125" i="10"/>
  <c r="E124" i="10" a="1"/>
  <c r="E124" i="10" s="1"/>
  <c r="D1413" i="10"/>
  <c r="E1412" i="10" a="1"/>
  <c r="E1412" i="10" s="1"/>
  <c r="D773" i="10"/>
  <c r="E772" i="10" a="1"/>
  <c r="E772" i="10" s="1"/>
  <c r="D1454" i="10"/>
  <c r="E1453" i="10" a="1"/>
  <c r="E1453" i="10" s="1"/>
  <c r="D1049" i="10"/>
  <c r="E1048" i="10" a="1"/>
  <c r="E1048" i="10" s="1"/>
  <c r="D953" i="10"/>
  <c r="E952" i="10" a="1"/>
  <c r="E952" i="10" s="1"/>
  <c r="D1783" i="10"/>
  <c r="E1782" i="10" a="1"/>
  <c r="E1782" i="10" s="1"/>
  <c r="D1350" i="10"/>
  <c r="E1349" i="10" a="1"/>
  <c r="E1349" i="10" s="1"/>
  <c r="D1157" i="10"/>
  <c r="E1156" i="10" a="1"/>
  <c r="E1156" i="10" s="1"/>
  <c r="D247" i="10"/>
  <c r="E246" i="10" a="1"/>
  <c r="E246" i="10" s="1"/>
  <c r="D1997" i="10"/>
  <c r="E1996" i="10" a="1"/>
  <c r="E1996" i="10" s="1"/>
  <c r="D1285" i="10"/>
  <c r="E1284" i="10" a="1"/>
  <c r="E1284" i="10" s="1"/>
  <c r="D1634" i="10"/>
  <c r="E1633" i="10" a="1"/>
  <c r="E1633" i="10" s="1"/>
  <c r="G6" i="11" l="1"/>
  <c r="F6" i="11"/>
  <c r="H6" i="11"/>
  <c r="I6" i="11" s="1"/>
  <c r="D1784" i="10"/>
  <c r="E1783" i="10" a="1"/>
  <c r="E1783" i="10" s="1"/>
  <c r="D2094" i="10"/>
  <c r="E2093" i="10" a="1"/>
  <c r="E2093" i="10" s="1"/>
  <c r="D1212" i="10"/>
  <c r="E1211" i="10" a="1"/>
  <c r="E1211" i="10" s="1"/>
  <c r="D126" i="10"/>
  <c r="E125" i="10" a="1"/>
  <c r="E125" i="10" s="1"/>
  <c r="D954" i="10"/>
  <c r="E953" i="10" a="1"/>
  <c r="E953" i="10" s="1"/>
  <c r="D429" i="10"/>
  <c r="E428" i="10" a="1"/>
  <c r="E428" i="10" s="1"/>
  <c r="D1491" i="10"/>
  <c r="E1490" i="10" a="1"/>
  <c r="E1490" i="10" s="1"/>
  <c r="D1635" i="10"/>
  <c r="E1634" i="10" a="1"/>
  <c r="E1634" i="10" s="1"/>
  <c r="D1900" i="10"/>
  <c r="E1899" i="10" a="1"/>
  <c r="E1899" i="10" s="1"/>
  <c r="D1998" i="10"/>
  <c r="E1997" i="10" a="1"/>
  <c r="E1997" i="10" s="1"/>
  <c r="D1050" i="10"/>
  <c r="E1049" i="10" a="1"/>
  <c r="E1049" i="10" s="1"/>
  <c r="D248" i="10"/>
  <c r="E247" i="10" a="1"/>
  <c r="E247" i="10" s="1"/>
  <c r="D1950" i="10"/>
  <c r="E1950" i="10" s="1" a="1"/>
  <c r="E1950" i="10" s="1"/>
  <c r="E1949" i="10" a="1"/>
  <c r="E1949" i="10" s="1"/>
  <c r="D1455" i="10"/>
  <c r="E1454" i="10" a="1"/>
  <c r="E1454" i="10" s="1"/>
  <c r="D852" i="10"/>
  <c r="E851" i="10" a="1"/>
  <c r="E851" i="10" s="1"/>
  <c r="D1526" i="10"/>
  <c r="E1525" i="10" a="1"/>
  <c r="E1525" i="10" s="1"/>
  <c r="D1286" i="10"/>
  <c r="E1285" i="10" a="1"/>
  <c r="E1285" i="10" s="1"/>
  <c r="D1158" i="10"/>
  <c r="E1157" i="10" a="1"/>
  <c r="E1157" i="10" s="1"/>
  <c r="D774" i="10"/>
  <c r="E773" i="10" a="1"/>
  <c r="E773" i="10" s="1"/>
  <c r="D1759" i="10"/>
  <c r="E1758" i="10" a="1"/>
  <c r="E1758" i="10" s="1"/>
  <c r="D1351" i="10"/>
  <c r="E1350" i="10" a="1"/>
  <c r="E1350" i="10" s="1"/>
  <c r="D1414" i="10"/>
  <c r="E1413" i="10" a="1"/>
  <c r="E1413" i="10" s="1"/>
  <c r="D1850" i="10"/>
  <c r="E1849" i="10" a="1"/>
  <c r="E1849" i="10" s="1"/>
  <c r="G7" i="11" l="1"/>
  <c r="F7" i="11"/>
  <c r="H7" i="11"/>
  <c r="I7" i="11" s="1"/>
  <c r="D1159" i="10"/>
  <c r="E1158" i="10" a="1"/>
  <c r="E1158" i="10" s="1"/>
  <c r="D249" i="10"/>
  <c r="E248" i="10" a="1"/>
  <c r="E248" i="10" s="1"/>
  <c r="D430" i="10"/>
  <c r="E429" i="10" a="1"/>
  <c r="E429" i="10" s="1"/>
  <c r="D1851" i="10"/>
  <c r="E1850" i="10" a="1"/>
  <c r="E1850" i="10" s="1"/>
  <c r="D1415" i="10"/>
  <c r="E1414" i="10" a="1"/>
  <c r="E1414" i="10" s="1"/>
  <c r="D1527" i="10"/>
  <c r="E1526" i="10" a="1"/>
  <c r="E1526" i="10" s="1"/>
  <c r="D1999" i="10"/>
  <c r="E1998" i="10" a="1"/>
  <c r="E1998" i="10" s="1"/>
  <c r="D127" i="10"/>
  <c r="E126" i="10" a="1"/>
  <c r="E126" i="10" s="1"/>
  <c r="D1352" i="10"/>
  <c r="E1351" i="10" a="1"/>
  <c r="E1351" i="10" s="1"/>
  <c r="D853" i="10"/>
  <c r="E852" i="10" a="1"/>
  <c r="E852" i="10" s="1"/>
  <c r="D1901" i="10"/>
  <c r="E1900" i="10" a="1"/>
  <c r="E1900" i="10" s="1"/>
  <c r="D1213" i="10"/>
  <c r="E1212" i="10" a="1"/>
  <c r="E1212" i="10" s="1"/>
  <c r="D1760" i="10"/>
  <c r="E1759" i="10" a="1"/>
  <c r="E1759" i="10" s="1"/>
  <c r="D1456" i="10"/>
  <c r="E1455" i="10" a="1"/>
  <c r="E1455" i="10" s="1"/>
  <c r="D1636" i="10"/>
  <c r="E1635" i="10" a="1"/>
  <c r="E1635" i="10" s="1"/>
  <c r="D2095" i="10"/>
  <c r="E2094" i="10" a="1"/>
  <c r="E2094" i="10" s="1"/>
  <c r="D955" i="10"/>
  <c r="E954" i="10" a="1"/>
  <c r="E954" i="10" s="1"/>
  <c r="D1287" i="10"/>
  <c r="E1286" i="10" a="1"/>
  <c r="E1286" i="10" s="1"/>
  <c r="D1051" i="10"/>
  <c r="E1050" i="10" a="1"/>
  <c r="E1050" i="10" s="1"/>
  <c r="D775" i="10"/>
  <c r="E774" i="10" a="1"/>
  <c r="E774" i="10" s="1"/>
  <c r="D1492" i="10"/>
  <c r="E1491" i="10" a="1"/>
  <c r="E1491" i="10" s="1"/>
  <c r="D1785" i="10"/>
  <c r="E1784" i="10" a="1"/>
  <c r="E1784" i="10" s="1"/>
  <c r="G8" i="11" l="1"/>
  <c r="F8" i="11"/>
  <c r="H8" i="11"/>
  <c r="I8" i="11" s="1"/>
  <c r="D1214" i="10"/>
  <c r="E1213" i="10" a="1"/>
  <c r="E1213" i="10" s="1"/>
  <c r="D2096" i="10"/>
  <c r="E2095" i="10" a="1"/>
  <c r="E2095" i="10" s="1"/>
  <c r="D1852" i="10"/>
  <c r="E1851" i="10" a="1"/>
  <c r="E1851" i="10" s="1"/>
  <c r="D1288" i="10"/>
  <c r="E1287" i="10" a="1"/>
  <c r="E1287" i="10" s="1"/>
  <c r="D1902" i="10"/>
  <c r="E1901" i="10" a="1"/>
  <c r="E1901" i="10" s="1"/>
  <c r="D431" i="10"/>
  <c r="E430" i="10" a="1"/>
  <c r="E430" i="10" s="1"/>
  <c r="D1528" i="10"/>
  <c r="E1527" i="10" a="1"/>
  <c r="E1527" i="10" s="1"/>
  <c r="D956" i="10"/>
  <c r="E955" i="10" a="1"/>
  <c r="E955" i="10" s="1"/>
  <c r="D1637" i="10"/>
  <c r="E1636" i="10" a="1"/>
  <c r="E1636" i="10" s="1"/>
  <c r="D1457" i="10"/>
  <c r="E1456" i="10" a="1"/>
  <c r="E1456" i="10" s="1"/>
  <c r="D1416" i="10"/>
  <c r="E1415" i="10" a="1"/>
  <c r="E1415" i="10" s="1"/>
  <c r="D1493" i="10"/>
  <c r="E1493" i="10" s="1" a="1"/>
  <c r="E1493" i="10" s="1"/>
  <c r="E1492" i="10" a="1"/>
  <c r="E1492" i="10" s="1"/>
  <c r="D1353" i="10"/>
  <c r="E1352" i="10" a="1"/>
  <c r="E1352" i="10" s="1"/>
  <c r="D250" i="10"/>
  <c r="E249" i="10" a="1"/>
  <c r="E249" i="10" s="1"/>
  <c r="D1786" i="10"/>
  <c r="E1785" i="10" a="1"/>
  <c r="E1785" i="10" s="1"/>
  <c r="D776" i="10"/>
  <c r="E775" i="10" a="1"/>
  <c r="E775" i="10" s="1"/>
  <c r="D128" i="10"/>
  <c r="E127" i="10" a="1"/>
  <c r="E127" i="10" s="1"/>
  <c r="D854" i="10"/>
  <c r="E853" i="10" a="1"/>
  <c r="E853" i="10" s="1"/>
  <c r="D1052" i="10"/>
  <c r="E1051" i="10" a="1"/>
  <c r="E1051" i="10" s="1"/>
  <c r="D1761" i="10"/>
  <c r="E1760" i="10" a="1"/>
  <c r="E1760" i="10" s="1"/>
  <c r="D2000" i="10"/>
  <c r="E1999" i="10" a="1"/>
  <c r="E1999" i="10" s="1"/>
  <c r="D1160" i="10"/>
  <c r="E1159" i="10" a="1"/>
  <c r="E1159" i="10" s="1"/>
  <c r="G9" i="11" l="1"/>
  <c r="F9" i="11"/>
  <c r="H9" i="11"/>
  <c r="D855" i="10"/>
  <c r="E854" i="10" a="1"/>
  <c r="E854" i="10" s="1"/>
  <c r="D777" i="10"/>
  <c r="E776" i="10" a="1"/>
  <c r="E776" i="10" s="1"/>
  <c r="D1289" i="10"/>
  <c r="E1289" i="10" s="1" a="1"/>
  <c r="E1289" i="10" s="1"/>
  <c r="E1288" i="10" a="1"/>
  <c r="E1288" i="10" s="1"/>
  <c r="D432" i="10"/>
  <c r="E431" i="10" a="1"/>
  <c r="E431" i="10" s="1"/>
  <c r="D1417" i="10"/>
  <c r="E1416" i="10" a="1"/>
  <c r="E1416" i="10" s="1"/>
  <c r="D2001" i="10"/>
  <c r="E2000" i="10" a="1"/>
  <c r="E2000" i="10" s="1"/>
  <c r="D1787" i="10"/>
  <c r="E1786" i="10" a="1"/>
  <c r="E1786" i="10" s="1"/>
  <c r="D1638" i="10"/>
  <c r="E1637" i="10" a="1"/>
  <c r="E1637" i="10" s="1"/>
  <c r="D1853" i="10"/>
  <c r="E1852" i="10" a="1"/>
  <c r="E1852" i="10" s="1"/>
  <c r="D129" i="10"/>
  <c r="E128" i="10" a="1"/>
  <c r="E128" i="10" s="1"/>
  <c r="D1903" i="10"/>
  <c r="E1902" i="10" a="1"/>
  <c r="E1902" i="10" s="1"/>
  <c r="D1161" i="10"/>
  <c r="E1160" i="10" a="1"/>
  <c r="E1160" i="10" s="1"/>
  <c r="D251" i="10"/>
  <c r="E250" i="10" a="1"/>
  <c r="E250" i="10" s="1"/>
  <c r="D957" i="10"/>
  <c r="E956" i="10" a="1"/>
  <c r="E956" i="10" s="1"/>
  <c r="D2097" i="10"/>
  <c r="E2096" i="10" a="1"/>
  <c r="E2096" i="10" s="1"/>
  <c r="D1458" i="10"/>
  <c r="E1457" i="10" a="1"/>
  <c r="E1457" i="10" s="1"/>
  <c r="D1762" i="10"/>
  <c r="E1761" i="10" a="1"/>
  <c r="E1761" i="10" s="1"/>
  <c r="D1053" i="10"/>
  <c r="E1052" i="10" a="1"/>
  <c r="E1052" i="10" s="1"/>
  <c r="D1354" i="10"/>
  <c r="E1353" i="10" a="1"/>
  <c r="E1353" i="10" s="1"/>
  <c r="D1529" i="10"/>
  <c r="E1528" i="10" a="1"/>
  <c r="E1528" i="10" s="1"/>
  <c r="D1215" i="10"/>
  <c r="E1214" i="10" a="1"/>
  <c r="E1214" i="10" s="1"/>
  <c r="I9" i="11" l="1"/>
  <c r="G10" i="11" s="1"/>
  <c r="H10" i="11" s="1"/>
  <c r="I10" i="11" s="1"/>
  <c r="F10" i="11"/>
  <c r="D1054" i="10"/>
  <c r="E1053" i="10" a="1"/>
  <c r="E1053" i="10" s="1"/>
  <c r="D1162" i="10"/>
  <c r="E1161" i="10" a="1"/>
  <c r="E1161" i="10" s="1"/>
  <c r="D2002" i="10"/>
  <c r="E2001" i="10" a="1"/>
  <c r="E2001" i="10" s="1"/>
  <c r="D1418" i="10"/>
  <c r="E1417" i="10" a="1"/>
  <c r="E1417" i="10" s="1"/>
  <c r="D1459" i="10"/>
  <c r="E1458" i="10" a="1"/>
  <c r="E1458" i="10" s="1"/>
  <c r="D130" i="10"/>
  <c r="E129" i="10" a="1"/>
  <c r="E129" i="10" s="1"/>
  <c r="D433" i="10"/>
  <c r="E432" i="10" a="1"/>
  <c r="E432" i="10" s="1"/>
  <c r="D1904" i="10"/>
  <c r="E1903" i="10" a="1"/>
  <c r="E1903" i="10" s="1"/>
  <c r="D1763" i="10"/>
  <c r="E1762" i="10" a="1"/>
  <c r="E1762" i="10" s="1"/>
  <c r="D1216" i="10"/>
  <c r="E1215" i="10" a="1"/>
  <c r="E1215" i="10" s="1"/>
  <c r="D2098" i="10"/>
  <c r="E2097" i="10" a="1"/>
  <c r="E2097" i="10" s="1"/>
  <c r="D1854" i="10"/>
  <c r="E1853" i="10" a="1"/>
  <c r="E1853" i="10" s="1"/>
  <c r="D1639" i="10"/>
  <c r="E1638" i="10" a="1"/>
  <c r="E1638" i="10" s="1"/>
  <c r="D778" i="10"/>
  <c r="E777" i="10" a="1"/>
  <c r="E777" i="10" s="1"/>
  <c r="D1530" i="10"/>
  <c r="E1529" i="10" a="1"/>
  <c r="E1529" i="10" s="1"/>
  <c r="D958" i="10"/>
  <c r="E957" i="10" a="1"/>
  <c r="E957" i="10" s="1"/>
  <c r="D1355" i="10"/>
  <c r="E1354" i="10" a="1"/>
  <c r="E1354" i="10" s="1"/>
  <c r="D252" i="10"/>
  <c r="E251" i="10" a="1"/>
  <c r="E251" i="10" s="1"/>
  <c r="D1788" i="10"/>
  <c r="E1787" i="10" a="1"/>
  <c r="E1787" i="10" s="1"/>
  <c r="D856" i="10"/>
  <c r="E855" i="10" a="1"/>
  <c r="E855" i="10" s="1"/>
  <c r="G11" i="11" l="1"/>
  <c r="F11" i="11"/>
  <c r="H11" i="11"/>
  <c r="I11" i="11" s="1"/>
  <c r="D253" i="10"/>
  <c r="E252" i="10" a="1"/>
  <c r="E252" i="10" s="1"/>
  <c r="D1855" i="10"/>
  <c r="E1854" i="10" a="1"/>
  <c r="E1854" i="10" s="1"/>
  <c r="D131" i="10"/>
  <c r="E130" i="10" a="1"/>
  <c r="E130" i="10" s="1"/>
  <c r="D2099" i="10"/>
  <c r="E2098" i="10" a="1"/>
  <c r="E2098" i="10" s="1"/>
  <c r="D959" i="10"/>
  <c r="E958" i="10" a="1"/>
  <c r="E958" i="10" s="1"/>
  <c r="D1217" i="10"/>
  <c r="E1216" i="10" a="1"/>
  <c r="E1216" i="10" s="1"/>
  <c r="D1419" i="10"/>
  <c r="E1418" i="10" a="1"/>
  <c r="E1418" i="10" s="1"/>
  <c r="D1356" i="10"/>
  <c r="E1355" i="10" a="1"/>
  <c r="E1355" i="10" s="1"/>
  <c r="D1460" i="10"/>
  <c r="E1459" i="10" a="1"/>
  <c r="E1459" i="10" s="1"/>
  <c r="D1531" i="10"/>
  <c r="E1530" i="10" a="1"/>
  <c r="E1530" i="10" s="1"/>
  <c r="D1764" i="10"/>
  <c r="E1763" i="10" a="1"/>
  <c r="E1763" i="10" s="1"/>
  <c r="D2003" i="10"/>
  <c r="E2002" i="10" a="1"/>
  <c r="E2002" i="10" s="1"/>
  <c r="D1905" i="10"/>
  <c r="E1904" i="10" a="1"/>
  <c r="E1904" i="10" s="1"/>
  <c r="D857" i="10"/>
  <c r="E856" i="10" a="1"/>
  <c r="E856" i="10" s="1"/>
  <c r="D779" i="10"/>
  <c r="E778" i="10" a="1"/>
  <c r="E778" i="10" s="1"/>
  <c r="D1163" i="10"/>
  <c r="E1163" i="10" s="1" a="1"/>
  <c r="E1163" i="10" s="1"/>
  <c r="E1162" i="10" a="1"/>
  <c r="E1162" i="10" s="1"/>
  <c r="D1789" i="10"/>
  <c r="E1788" i="10" a="1"/>
  <c r="E1788" i="10" s="1"/>
  <c r="D1640" i="10"/>
  <c r="E1639" i="10" a="1"/>
  <c r="E1639" i="10" s="1"/>
  <c r="D434" i="10"/>
  <c r="E433" i="10" a="1"/>
  <c r="E433" i="10" s="1"/>
  <c r="D1055" i="10"/>
  <c r="E1054" i="10" a="1"/>
  <c r="E1054" i="10" s="1"/>
  <c r="G12" i="11" l="1"/>
  <c r="F12" i="11"/>
  <c r="H12" i="11"/>
  <c r="D1641" i="10"/>
  <c r="E1640" i="10" a="1"/>
  <c r="E1640" i="10" s="1"/>
  <c r="D2004" i="10"/>
  <c r="E2003" i="10" a="1"/>
  <c r="E2003" i="10" s="1"/>
  <c r="D1218" i="10"/>
  <c r="E1217" i="10" a="1"/>
  <c r="E1217" i="10" s="1"/>
  <c r="D858" i="10"/>
  <c r="E857" i="10" a="1"/>
  <c r="E857" i="10" s="1"/>
  <c r="D1765" i="10"/>
  <c r="E1764" i="10" a="1"/>
  <c r="E1764" i="10" s="1"/>
  <c r="D1357" i="10"/>
  <c r="E1356" i="10" a="1"/>
  <c r="E1356" i="10" s="1"/>
  <c r="D1056" i="10"/>
  <c r="E1055" i="10" a="1"/>
  <c r="E1055" i="10" s="1"/>
  <c r="D1856" i="10"/>
  <c r="E1855" i="10" a="1"/>
  <c r="E1855" i="10" s="1"/>
  <c r="D1790" i="10"/>
  <c r="E1789" i="10" a="1"/>
  <c r="E1789" i="10" s="1"/>
  <c r="D960" i="10"/>
  <c r="E959" i="10" a="1"/>
  <c r="E959" i="10" s="1"/>
  <c r="D1532" i="10"/>
  <c r="E1531" i="10" a="1"/>
  <c r="E1531" i="10" s="1"/>
  <c r="D2100" i="10"/>
  <c r="E2099" i="10" a="1"/>
  <c r="E2099" i="10" s="1"/>
  <c r="D780" i="10"/>
  <c r="E779" i="10" a="1"/>
  <c r="E779" i="10" s="1"/>
  <c r="D1461" i="10"/>
  <c r="E1460" i="10" a="1"/>
  <c r="E1460" i="10" s="1"/>
  <c r="D132" i="10"/>
  <c r="E131" i="10" a="1"/>
  <c r="E131" i="10" s="1"/>
  <c r="D435" i="10"/>
  <c r="E434" i="10" a="1"/>
  <c r="E434" i="10" s="1"/>
  <c r="D1906" i="10"/>
  <c r="E1905" i="10" a="1"/>
  <c r="E1905" i="10" s="1"/>
  <c r="D1420" i="10"/>
  <c r="E1419" i="10" a="1"/>
  <c r="E1419" i="10" s="1"/>
  <c r="D254" i="10"/>
  <c r="E253" i="10" a="1"/>
  <c r="E253" i="10" s="1"/>
  <c r="I12" i="11" l="1"/>
  <c r="G13" i="11" s="1"/>
  <c r="H13" i="11" s="1"/>
  <c r="F13" i="11"/>
  <c r="D1421" i="10"/>
  <c r="E1420" i="10" a="1"/>
  <c r="E1420" i="10" s="1"/>
  <c r="D1358" i="10"/>
  <c r="E1357" i="10" a="1"/>
  <c r="E1357" i="10" s="1"/>
  <c r="D436" i="10"/>
  <c r="E435" i="10" a="1"/>
  <c r="E435" i="10" s="1"/>
  <c r="D961" i="10"/>
  <c r="E960" i="10" a="1"/>
  <c r="E960" i="10" s="1"/>
  <c r="D859" i="10"/>
  <c r="E858" i="10" a="1"/>
  <c r="E858" i="10" s="1"/>
  <c r="D2101" i="10"/>
  <c r="E2100" i="10" a="1"/>
  <c r="E2100" i="10" s="1"/>
  <c r="D1907" i="10"/>
  <c r="E1906" i="10" a="1"/>
  <c r="E1906" i="10" s="1"/>
  <c r="D1766" i="10"/>
  <c r="E1765" i="10" a="1"/>
  <c r="E1765" i="10" s="1"/>
  <c r="D133" i="10"/>
  <c r="E132" i="10" a="1"/>
  <c r="E132" i="10" s="1"/>
  <c r="E1790" i="10" a="1"/>
  <c r="E1790" i="10" s="1"/>
  <c r="D1791" i="10"/>
  <c r="D1219" i="10"/>
  <c r="E1218" i="10" a="1"/>
  <c r="E1218" i="10" s="1"/>
  <c r="D1857" i="10"/>
  <c r="E1856" i="10" a="1"/>
  <c r="E1856" i="10" s="1"/>
  <c r="D2005" i="10"/>
  <c r="E2004" i="10" a="1"/>
  <c r="E2004" i="10" s="1"/>
  <c r="D1533" i="10"/>
  <c r="E1532" i="10" a="1"/>
  <c r="E1532" i="10" s="1"/>
  <c r="D1462" i="10"/>
  <c r="E1461" i="10" a="1"/>
  <c r="E1461" i="10" s="1"/>
  <c r="D255" i="10"/>
  <c r="E254" i="10" a="1"/>
  <c r="E254" i="10" s="1"/>
  <c r="D781" i="10"/>
  <c r="E780" i="10" a="1"/>
  <c r="E780" i="10" s="1"/>
  <c r="D1057" i="10"/>
  <c r="E1056" i="10" a="1"/>
  <c r="E1056" i="10" s="1"/>
  <c r="D1642" i="10"/>
  <c r="E1641" i="10" a="1"/>
  <c r="E1641" i="10" s="1"/>
  <c r="I13" i="11" l="1"/>
  <c r="G14" i="11" s="1"/>
  <c r="H14" i="11" s="1"/>
  <c r="I14" i="11" s="1"/>
  <c r="F14" i="11"/>
  <c r="D1767" i="10"/>
  <c r="E1766" i="10" a="1"/>
  <c r="E1766" i="10" s="1"/>
  <c r="D1359" i="10"/>
  <c r="E1358" i="10" a="1"/>
  <c r="E1358" i="10" s="1"/>
  <c r="D1058" i="10"/>
  <c r="E1057" i="10" a="1"/>
  <c r="E1057" i="10" s="1"/>
  <c r="D1858" i="10"/>
  <c r="E1857" i="10" a="1"/>
  <c r="E1857" i="10" s="1"/>
  <c r="D2102" i="10"/>
  <c r="E2101" i="10" a="1"/>
  <c r="E2101" i="10" s="1"/>
  <c r="D962" i="10"/>
  <c r="E961" i="10" a="1"/>
  <c r="E961" i="10" s="1"/>
  <c r="D1534" i="10"/>
  <c r="E1533" i="10" a="1"/>
  <c r="E1533" i="10" s="1"/>
  <c r="D782" i="10"/>
  <c r="E781" i="10" a="1"/>
  <c r="E781" i="10" s="1"/>
  <c r="D1220" i="10"/>
  <c r="E1219" i="10" a="1"/>
  <c r="E1219" i="10" s="1"/>
  <c r="D860" i="10"/>
  <c r="E859" i="10" a="1"/>
  <c r="E859" i="10" s="1"/>
  <c r="D1792" i="10"/>
  <c r="E1791" i="10" a="1"/>
  <c r="E1791" i="10" s="1"/>
  <c r="D256" i="10"/>
  <c r="E255" i="10" a="1"/>
  <c r="E255" i="10" s="1"/>
  <c r="D1463" i="10"/>
  <c r="E1462" i="10" a="1"/>
  <c r="E1462" i="10" s="1"/>
  <c r="D134" i="10"/>
  <c r="E133" i="10" a="1"/>
  <c r="E133" i="10" s="1"/>
  <c r="D437" i="10"/>
  <c r="E436" i="10" a="1"/>
  <c r="E436" i="10" s="1"/>
  <c r="D1643" i="10"/>
  <c r="E1642" i="10" a="1"/>
  <c r="E1642" i="10" s="1"/>
  <c r="D2006" i="10"/>
  <c r="E2005" i="10" a="1"/>
  <c r="E2005" i="10" s="1"/>
  <c r="D1908" i="10"/>
  <c r="E1907" i="10" a="1"/>
  <c r="E1907" i="10" s="1"/>
  <c r="D1422" i="10"/>
  <c r="E1421" i="10" a="1"/>
  <c r="E1421" i="10" s="1"/>
  <c r="G15" i="11" l="1"/>
  <c r="F15" i="11"/>
  <c r="H15" i="11"/>
  <c r="D963" i="10"/>
  <c r="E962" i="10" a="1"/>
  <c r="E962" i="10" s="1"/>
  <c r="D257" i="10"/>
  <c r="E256" i="10" a="1"/>
  <c r="E256" i="10" s="1"/>
  <c r="D1644" i="10"/>
  <c r="E1643" i="10" a="1"/>
  <c r="E1643" i="10" s="1"/>
  <c r="D861" i="10"/>
  <c r="E860" i="10" a="1"/>
  <c r="E860" i="10" s="1"/>
  <c r="D1859" i="10"/>
  <c r="E1858" i="10" a="1"/>
  <c r="E1858" i="10" s="1"/>
  <c r="D1909" i="10"/>
  <c r="E1908" i="10" a="1"/>
  <c r="E1908" i="10" s="1"/>
  <c r="D1793" i="10"/>
  <c r="E1792" i="10" a="1"/>
  <c r="E1792" i="10" s="1"/>
  <c r="D2103" i="10"/>
  <c r="E2102" i="10" a="1"/>
  <c r="E2102" i="10" s="1"/>
  <c r="D438" i="10"/>
  <c r="E437" i="10" a="1"/>
  <c r="E437" i="10" s="1"/>
  <c r="D1221" i="10"/>
  <c r="E1220" i="10" a="1"/>
  <c r="E1220" i="10" s="1"/>
  <c r="D1059" i="10"/>
  <c r="E1058" i="10" a="1"/>
  <c r="E1058" i="10" s="1"/>
  <c r="D2007" i="10"/>
  <c r="E2006" i="10" a="1"/>
  <c r="E2006" i="10" s="1"/>
  <c r="D135" i="10"/>
  <c r="E134" i="10" a="1"/>
  <c r="E134" i="10" s="1"/>
  <c r="D783" i="10"/>
  <c r="E782" i="10" a="1"/>
  <c r="E782" i="10" s="1"/>
  <c r="D1360" i="10"/>
  <c r="E1359" i="10" a="1"/>
  <c r="E1359" i="10" s="1"/>
  <c r="D1423" i="10"/>
  <c r="E1422" i="10" a="1"/>
  <c r="E1422" i="10" s="1"/>
  <c r="D1464" i="10"/>
  <c r="E1463" i="10" a="1"/>
  <c r="E1463" i="10" s="1"/>
  <c r="D1535" i="10"/>
  <c r="E1534" i="10" a="1"/>
  <c r="E1534" i="10" s="1"/>
  <c r="D1768" i="10"/>
  <c r="E1767" i="10" a="1"/>
  <c r="E1767" i="10" s="1"/>
  <c r="I15" i="11" l="1"/>
  <c r="G16" i="11"/>
  <c r="F16" i="11"/>
  <c r="H16" i="11" s="1"/>
  <c r="D1536" i="10"/>
  <c r="E1535" i="10" a="1"/>
  <c r="E1535" i="10" s="1"/>
  <c r="D2008" i="10"/>
  <c r="E2007" i="10" a="1"/>
  <c r="E2007" i="10" s="1"/>
  <c r="D1910" i="10"/>
  <c r="E1909" i="10" a="1"/>
  <c r="E1909" i="10" s="1"/>
  <c r="D1860" i="10"/>
  <c r="E1859" i="10" a="1"/>
  <c r="E1859" i="10" s="1"/>
  <c r="D1424" i="10"/>
  <c r="E1423" i="10" a="1"/>
  <c r="E1423" i="10" s="1"/>
  <c r="D1222" i="10"/>
  <c r="E1222" i="10" s="1" a="1"/>
  <c r="E1222" i="10" s="1"/>
  <c r="E1221" i="10" a="1"/>
  <c r="E1221" i="10" s="1"/>
  <c r="D862" i="10"/>
  <c r="E861" i="10" a="1"/>
  <c r="E861" i="10" s="1"/>
  <c r="D1060" i="10"/>
  <c r="E1059" i="10" a="1"/>
  <c r="E1059" i="10" s="1"/>
  <c r="D2104" i="10"/>
  <c r="E2103" i="10" a="1"/>
  <c r="E2103" i="10" s="1"/>
  <c r="D258" i="10"/>
  <c r="E257" i="10" a="1"/>
  <c r="E257" i="10" s="1"/>
  <c r="D1465" i="10"/>
  <c r="E1464" i="10" a="1"/>
  <c r="E1464" i="10" s="1"/>
  <c r="D1361" i="10"/>
  <c r="E1360" i="10" a="1"/>
  <c r="E1360" i="10" s="1"/>
  <c r="D439" i="10"/>
  <c r="E438" i="10" a="1"/>
  <c r="E438" i="10" s="1"/>
  <c r="D1645" i="10"/>
  <c r="E1644" i="10" a="1"/>
  <c r="E1644" i="10" s="1"/>
  <c r="D784" i="10"/>
  <c r="E783" i="10" a="1"/>
  <c r="E783" i="10" s="1"/>
  <c r="D1769" i="10"/>
  <c r="E1768" i="10" a="1"/>
  <c r="E1768" i="10" s="1"/>
  <c r="D136" i="10"/>
  <c r="E135" i="10" a="1"/>
  <c r="E135" i="10" s="1"/>
  <c r="D1794" i="10"/>
  <c r="E1793" i="10" a="1"/>
  <c r="E1793" i="10" s="1"/>
  <c r="D964" i="10"/>
  <c r="E963" i="10" a="1"/>
  <c r="E963" i="10" s="1"/>
  <c r="I16" i="11" l="1"/>
  <c r="G17" i="11" s="1"/>
  <c r="F17" i="11"/>
  <c r="D259" i="10"/>
  <c r="E258" i="10" a="1"/>
  <c r="E258" i="10" s="1"/>
  <c r="D1861" i="10"/>
  <c r="E1860" i="10" a="1"/>
  <c r="E1860" i="10" s="1"/>
  <c r="D1466" i="10"/>
  <c r="E1465" i="10" a="1"/>
  <c r="E1465" i="10" s="1"/>
  <c r="D2105" i="10"/>
  <c r="E2104" i="10" a="1"/>
  <c r="E2104" i="10" s="1"/>
  <c r="D1911" i="10"/>
  <c r="E1910" i="10" a="1"/>
  <c r="E1910" i="10" s="1"/>
  <c r="D1362" i="10"/>
  <c r="E1361" i="10" a="1"/>
  <c r="E1361" i="10" s="1"/>
  <c r="D137" i="10"/>
  <c r="E136" i="10" a="1"/>
  <c r="E136" i="10" s="1"/>
  <c r="D1425" i="10"/>
  <c r="E1424" i="10" a="1"/>
  <c r="E1424" i="10" s="1"/>
  <c r="D1770" i="10"/>
  <c r="E1769" i="10" a="1"/>
  <c r="E1769" i="10" s="1"/>
  <c r="D1061" i="10"/>
  <c r="E1060" i="10" a="1"/>
  <c r="E1060" i="10" s="1"/>
  <c r="D2009" i="10"/>
  <c r="E2008" i="10" a="1"/>
  <c r="E2008" i="10" s="1"/>
  <c r="D965" i="10"/>
  <c r="E964" i="10" a="1"/>
  <c r="E964" i="10" s="1"/>
  <c r="D1795" i="10"/>
  <c r="E1794" i="10" a="1"/>
  <c r="E1794" i="10" s="1"/>
  <c r="D785" i="10"/>
  <c r="E784" i="10" a="1"/>
  <c r="E784" i="10" s="1"/>
  <c r="D1646" i="10"/>
  <c r="E1645" i="10" a="1"/>
  <c r="E1645" i="10" s="1"/>
  <c r="D440" i="10"/>
  <c r="E439" i="10" a="1"/>
  <c r="E439" i="10" s="1"/>
  <c r="D863" i="10"/>
  <c r="E862" i="10" a="1"/>
  <c r="E862" i="10" s="1"/>
  <c r="D1537" i="10"/>
  <c r="E1536" i="10" a="1"/>
  <c r="E1536" i="10" s="1"/>
  <c r="D441" i="10" l="1"/>
  <c r="E440" i="10" a="1"/>
  <c r="E440" i="10" s="1"/>
  <c r="E1466" i="10" a="1"/>
  <c r="E1466" i="10" s="1"/>
  <c r="D1467" i="10"/>
  <c r="E1467" i="10" s="1" a="1"/>
  <c r="E1467" i="10" s="1"/>
  <c r="D966" i="10"/>
  <c r="E965" i="10" a="1"/>
  <c r="E965" i="10" s="1"/>
  <c r="D1538" i="10"/>
  <c r="E1537" i="10" a="1"/>
  <c r="E1537" i="10" s="1"/>
  <c r="D1062" i="10"/>
  <c r="E1061" i="10" a="1"/>
  <c r="E1061" i="10" s="1"/>
  <c r="D2106" i="10"/>
  <c r="E2105" i="10" a="1"/>
  <c r="E2105" i="10" s="1"/>
  <c r="D1862" i="10"/>
  <c r="E1861" i="10" a="1"/>
  <c r="E1861" i="10" s="1"/>
  <c r="D1363" i="10"/>
  <c r="E1362" i="10" a="1"/>
  <c r="E1362" i="10" s="1"/>
  <c r="D2010" i="10"/>
  <c r="E2009" i="10" a="1"/>
  <c r="E2009" i="10" s="1"/>
  <c r="D864" i="10"/>
  <c r="E863" i="10" a="1"/>
  <c r="E863" i="10" s="1"/>
  <c r="D1912" i="10"/>
  <c r="E1911" i="10" a="1"/>
  <c r="E1911" i="10" s="1"/>
  <c r="D1647" i="10"/>
  <c r="E1646" i="10" a="1"/>
  <c r="E1646" i="10" s="1"/>
  <c r="D1771" i="10"/>
  <c r="E1770" i="10" a="1"/>
  <c r="E1770" i="10" s="1"/>
  <c r="D786" i="10"/>
  <c r="E785" i="10" a="1"/>
  <c r="E785" i="10" s="1"/>
  <c r="D1426" i="10"/>
  <c r="E1425" i="10" a="1"/>
  <c r="E1425" i="10" s="1"/>
  <c r="D1796" i="10"/>
  <c r="E1795" i="10" a="1"/>
  <c r="E1795" i="10" s="1"/>
  <c r="D138" i="10"/>
  <c r="E137" i="10" a="1"/>
  <c r="E137" i="10" s="1"/>
  <c r="D260" i="10"/>
  <c r="E259" i="10" a="1"/>
  <c r="E259" i="10" s="1"/>
  <c r="D1648" i="10" l="1"/>
  <c r="E1647" i="10" a="1"/>
  <c r="E1647" i="10" s="1"/>
  <c r="D2107" i="10"/>
  <c r="E2106" i="10" a="1"/>
  <c r="E2106" i="10" s="1"/>
  <c r="D865" i="10"/>
  <c r="E864" i="10" a="1"/>
  <c r="E864" i="10" s="1"/>
  <c r="D1539" i="10"/>
  <c r="E1538" i="10" a="1"/>
  <c r="E1538" i="10" s="1"/>
  <c r="D261" i="10"/>
  <c r="E260" i="10" a="1"/>
  <c r="E260" i="10" s="1"/>
  <c r="D139" i="10"/>
  <c r="E138" i="10" a="1"/>
  <c r="E138" i="10" s="1"/>
  <c r="D1913" i="10"/>
  <c r="E1912" i="10" a="1"/>
  <c r="E1912" i="10" s="1"/>
  <c r="D1063" i="10"/>
  <c r="E1062" i="10" a="1"/>
  <c r="E1062" i="10" s="1"/>
  <c r="D1797" i="10"/>
  <c r="E1796" i="10" a="1"/>
  <c r="E1796" i="10" s="1"/>
  <c r="D1427" i="10"/>
  <c r="E1426" i="10" a="1"/>
  <c r="E1426" i="10" s="1"/>
  <c r="D787" i="10"/>
  <c r="E786" i="10" a="1"/>
  <c r="E786" i="10" s="1"/>
  <c r="D2011" i="10"/>
  <c r="E2010" i="10" a="1"/>
  <c r="E2010" i="10" s="1"/>
  <c r="D967" i="10"/>
  <c r="E966" i="10" a="1"/>
  <c r="E966" i="10" s="1"/>
  <c r="D1364" i="10"/>
  <c r="E1363" i="10" a="1"/>
  <c r="E1363" i="10" s="1"/>
  <c r="D1772" i="10"/>
  <c r="E1771" i="10" a="1"/>
  <c r="E1771" i="10" s="1"/>
  <c r="D1863" i="10"/>
  <c r="E1862" i="10" a="1"/>
  <c r="E1862" i="10" s="1"/>
  <c r="D442" i="10"/>
  <c r="E441" i="10" a="1"/>
  <c r="E441" i="10" s="1"/>
  <c r="D2012" i="10" l="1"/>
  <c r="E2011" i="10" a="1"/>
  <c r="E2011" i="10" s="1"/>
  <c r="D1540" i="10"/>
  <c r="E1539" i="10" a="1"/>
  <c r="E1539" i="10" s="1"/>
  <c r="D788" i="10"/>
  <c r="E787" i="10" a="1"/>
  <c r="E787" i="10" s="1"/>
  <c r="D1864" i="10"/>
  <c r="E1864" i="10" s="1" a="1"/>
  <c r="E1864" i="10" s="1"/>
  <c r="E1863" i="10" a="1"/>
  <c r="E1863" i="10" s="1"/>
  <c r="D443" i="10"/>
  <c r="E442" i="10" a="1"/>
  <c r="E442" i="10" s="1"/>
  <c r="D1798" i="10"/>
  <c r="E1797" i="10" a="1"/>
  <c r="E1797" i="10" s="1"/>
  <c r="D866" i="10"/>
  <c r="E865" i="10" a="1"/>
  <c r="E865" i="10" s="1"/>
  <c r="E1427" i="10" a="1"/>
  <c r="E1427" i="10" s="1"/>
  <c r="D1428" i="10"/>
  <c r="D140" i="10"/>
  <c r="E139" i="10" a="1"/>
  <c r="E139" i="10" s="1"/>
  <c r="D262" i="10"/>
  <c r="E261" i="10" a="1"/>
  <c r="E261" i="10" s="1"/>
  <c r="D1773" i="10"/>
  <c r="E1773" i="10" s="1" a="1"/>
  <c r="E1773" i="10" s="1"/>
  <c r="E1772" i="10" a="1"/>
  <c r="E1772" i="10" s="1"/>
  <c r="D1365" i="10"/>
  <c r="E1364" i="10" a="1"/>
  <c r="E1364" i="10" s="1"/>
  <c r="D1064" i="10"/>
  <c r="E1063" i="10" a="1"/>
  <c r="E1063" i="10" s="1"/>
  <c r="D2108" i="10"/>
  <c r="E2107" i="10" a="1"/>
  <c r="E2107" i="10" s="1"/>
  <c r="D968" i="10"/>
  <c r="E967" i="10" a="1"/>
  <c r="E967" i="10" s="1"/>
  <c r="D1914" i="10"/>
  <c r="E1913" i="10" a="1"/>
  <c r="E1913" i="10" s="1"/>
  <c r="D1649" i="10"/>
  <c r="E1648" i="10" a="1"/>
  <c r="E1648" i="10" s="1"/>
  <c r="D1366" i="10" l="1"/>
  <c r="E1365" i="10" a="1"/>
  <c r="E1365" i="10" s="1"/>
  <c r="D1915" i="10"/>
  <c r="E1914" i="10" a="1"/>
  <c r="E1914" i="10" s="1"/>
  <c r="D263" i="10"/>
  <c r="E262" i="10" a="1"/>
  <c r="E262" i="10" s="1"/>
  <c r="D141" i="10"/>
  <c r="E140" i="10" a="1"/>
  <c r="E140" i="10" s="1"/>
  <c r="D789" i="10"/>
  <c r="E788" i="10" a="1"/>
  <c r="E788" i="10" s="1"/>
  <c r="D1799" i="10"/>
  <c r="E1798" i="10" a="1"/>
  <c r="E1798" i="10" s="1"/>
  <c r="D1650" i="10"/>
  <c r="E1649" i="10" a="1"/>
  <c r="E1649" i="10" s="1"/>
  <c r="D969" i="10"/>
  <c r="E968" i="10" a="1"/>
  <c r="E968" i="10" s="1"/>
  <c r="D444" i="10"/>
  <c r="E443" i="10" a="1"/>
  <c r="E443" i="10" s="1"/>
  <c r="D1429" i="10"/>
  <c r="E1428" i="10" a="1"/>
  <c r="E1428" i="10" s="1"/>
  <c r="D2109" i="10"/>
  <c r="E2108" i="10" a="1"/>
  <c r="E2108" i="10" s="1"/>
  <c r="D1541" i="10"/>
  <c r="E1540" i="10" a="1"/>
  <c r="E1540" i="10" s="1"/>
  <c r="D1065" i="10"/>
  <c r="E1064" i="10" a="1"/>
  <c r="E1064" i="10" s="1"/>
  <c r="D867" i="10"/>
  <c r="E866" i="10" a="1"/>
  <c r="E866" i="10" s="1"/>
  <c r="E2012" i="10" a="1"/>
  <c r="E2012" i="10" s="1"/>
  <c r="D2013" i="10"/>
  <c r="D1800" i="10" l="1"/>
  <c r="E1799" i="10" a="1"/>
  <c r="E1799" i="10" s="1"/>
  <c r="D1542" i="10"/>
  <c r="E1541" i="10" a="1"/>
  <c r="E1541" i="10" s="1"/>
  <c r="D1430" i="10"/>
  <c r="E1429" i="10" a="1"/>
  <c r="E1429" i="10" s="1"/>
  <c r="D142" i="10"/>
  <c r="E141" i="10" a="1"/>
  <c r="E141" i="10" s="1"/>
  <c r="D2110" i="10"/>
  <c r="E2109" i="10" a="1"/>
  <c r="E2109" i="10" s="1"/>
  <c r="D790" i="10"/>
  <c r="E789" i="10" a="1"/>
  <c r="E789" i="10" s="1"/>
  <c r="D2014" i="10"/>
  <c r="E2013" i="10" a="1"/>
  <c r="E2013" i="10" s="1"/>
  <c r="D445" i="10"/>
  <c r="E444" i="10" a="1"/>
  <c r="E444" i="10" s="1"/>
  <c r="D264" i="10"/>
  <c r="E263" i="10" a="1"/>
  <c r="E263" i="10" s="1"/>
  <c r="D868" i="10"/>
  <c r="E867" i="10" a="1"/>
  <c r="E867" i="10" s="1"/>
  <c r="D970" i="10"/>
  <c r="E969" i="10" a="1"/>
  <c r="E969" i="10" s="1"/>
  <c r="D1916" i="10"/>
  <c r="E1915" i="10" a="1"/>
  <c r="E1915" i="10" s="1"/>
  <c r="D1066" i="10"/>
  <c r="E1065" i="10" a="1"/>
  <c r="E1065" i="10" s="1"/>
  <c r="D1651" i="10"/>
  <c r="E1650" i="10" a="1"/>
  <c r="E1650" i="10" s="1"/>
  <c r="D1367" i="10"/>
  <c r="E1366" i="10" a="1"/>
  <c r="E1366" i="10" s="1"/>
  <c r="D1917" i="10" l="1"/>
  <c r="E1916" i="10" a="1"/>
  <c r="E1916" i="10" s="1"/>
  <c r="D971" i="10"/>
  <c r="E970" i="10" a="1"/>
  <c r="E970" i="10" s="1"/>
  <c r="D791" i="10"/>
  <c r="E790" i="10" a="1"/>
  <c r="E790" i="10" s="1"/>
  <c r="D1431" i="10"/>
  <c r="E1430" i="10" a="1"/>
  <c r="E1430" i="10" s="1"/>
  <c r="D1368" i="10"/>
  <c r="E1367" i="10" a="1"/>
  <c r="E1367" i="10" s="1"/>
  <c r="D2111" i="10"/>
  <c r="E2110" i="10" a="1"/>
  <c r="E2110" i="10" s="1"/>
  <c r="D143" i="10"/>
  <c r="E142" i="10" a="1"/>
  <c r="E142" i="10" s="1"/>
  <c r="D446" i="10"/>
  <c r="E445" i="10" a="1"/>
  <c r="E445" i="10" s="1"/>
  <c r="D869" i="10"/>
  <c r="E868" i="10" a="1"/>
  <c r="E868" i="10" s="1"/>
  <c r="D265" i="10"/>
  <c r="E264" i="10" a="1"/>
  <c r="E264" i="10" s="1"/>
  <c r="D1652" i="10"/>
  <c r="E1651" i="10" a="1"/>
  <c r="E1651" i="10" s="1"/>
  <c r="D1543" i="10"/>
  <c r="E1542" i="10" a="1"/>
  <c r="E1542" i="10" s="1"/>
  <c r="D1067" i="10"/>
  <c r="E1066" i="10" a="1"/>
  <c r="E1066" i="10" s="1"/>
  <c r="D2015" i="10"/>
  <c r="E2014" i="10" a="1"/>
  <c r="E2014" i="10" s="1"/>
  <c r="D1801" i="10"/>
  <c r="E1800" i="10" a="1"/>
  <c r="E1800" i="10" s="1"/>
  <c r="D2112" i="10" l="1"/>
  <c r="E2111" i="10" a="1"/>
  <c r="E2111" i="10" s="1"/>
  <c r="D1369" i="10"/>
  <c r="E1368" i="10" a="1"/>
  <c r="E1368" i="10" s="1"/>
  <c r="D1432" i="10"/>
  <c r="E1431" i="10" a="1"/>
  <c r="E1431" i="10" s="1"/>
  <c r="D870" i="10"/>
  <c r="E869" i="10" a="1"/>
  <c r="E869" i="10" s="1"/>
  <c r="D1544" i="10"/>
  <c r="E1543" i="10" a="1"/>
  <c r="E1543" i="10" s="1"/>
  <c r="D1653" i="10"/>
  <c r="E1652" i="10" a="1"/>
  <c r="E1652" i="10" s="1"/>
  <c r="D266" i="10"/>
  <c r="E265" i="10" a="1"/>
  <c r="E265" i="10" s="1"/>
  <c r="D1802" i="10"/>
  <c r="E1801" i="10" a="1"/>
  <c r="E1801" i="10" s="1"/>
  <c r="D792" i="10"/>
  <c r="E791" i="10" a="1"/>
  <c r="E791" i="10" s="1"/>
  <c r="D2016" i="10"/>
  <c r="E2015" i="10" a="1"/>
  <c r="E2015" i="10" s="1"/>
  <c r="D447" i="10"/>
  <c r="E446" i="10" a="1"/>
  <c r="E446" i="10" s="1"/>
  <c r="D972" i="10"/>
  <c r="E971" i="10" a="1"/>
  <c r="E971" i="10" s="1"/>
  <c r="D1068" i="10"/>
  <c r="E1067" i="10" a="1"/>
  <c r="E1067" i="10" s="1"/>
  <c r="D144" i="10"/>
  <c r="E143" i="10" a="1"/>
  <c r="E143" i="10" s="1"/>
  <c r="D1918" i="10"/>
  <c r="E1917" i="10" a="1"/>
  <c r="E1917" i="10" s="1"/>
  <c r="D973" i="10" l="1"/>
  <c r="E972" i="10" a="1"/>
  <c r="E972" i="10" s="1"/>
  <c r="D2017" i="10"/>
  <c r="E2016" i="10" a="1"/>
  <c r="E2016" i="10" s="1"/>
  <c r="D1433" i="10"/>
  <c r="E1432" i="10" a="1"/>
  <c r="E1432" i="10" s="1"/>
  <c r="D448" i="10"/>
  <c r="E447" i="10" a="1"/>
  <c r="E447" i="10" s="1"/>
  <c r="D871" i="10"/>
  <c r="E870" i="10" a="1"/>
  <c r="E870" i="10" s="1"/>
  <c r="D1654" i="10"/>
  <c r="E1653" i="10" a="1"/>
  <c r="E1653" i="10" s="1"/>
  <c r="D1545" i="10"/>
  <c r="E1544" i="10" a="1"/>
  <c r="E1544" i="10" s="1"/>
  <c r="D1370" i="10"/>
  <c r="E1369" i="10" a="1"/>
  <c r="E1369" i="10" s="1"/>
  <c r="D1919" i="10"/>
  <c r="E1918" i="10" a="1"/>
  <c r="E1918" i="10" s="1"/>
  <c r="D793" i="10"/>
  <c r="E792" i="10" a="1"/>
  <c r="E792" i="10" s="1"/>
  <c r="D145" i="10"/>
  <c r="E144" i="10" a="1"/>
  <c r="E144" i="10" s="1"/>
  <c r="D1803" i="10"/>
  <c r="E1802" i="10" a="1"/>
  <c r="E1802" i="10" s="1"/>
  <c r="D1069" i="10"/>
  <c r="E1068" i="10" a="1"/>
  <c r="E1068" i="10" s="1"/>
  <c r="D267" i="10"/>
  <c r="E266" i="10" a="1"/>
  <c r="E266" i="10" s="1"/>
  <c r="D2113" i="10"/>
  <c r="E2112" i="10" a="1"/>
  <c r="E2112" i="10" s="1"/>
  <c r="D146" i="10" l="1"/>
  <c r="E145" i="10" a="1"/>
  <c r="E145" i="10" s="1"/>
  <c r="D872" i="10"/>
  <c r="E871" i="10" a="1"/>
  <c r="E871" i="10" s="1"/>
  <c r="D794" i="10"/>
  <c r="E793" i="10" a="1"/>
  <c r="E793" i="10" s="1"/>
  <c r="D449" i="10"/>
  <c r="E448" i="10" a="1"/>
  <c r="E448" i="10" s="1"/>
  <c r="D2114" i="10"/>
  <c r="E2114" i="10" s="1" a="1"/>
  <c r="E2114" i="10" s="1"/>
  <c r="E2113" i="10" a="1"/>
  <c r="E2113" i="10" s="1"/>
  <c r="D1920" i="10"/>
  <c r="E1919" i="10" a="1"/>
  <c r="E1919" i="10" s="1"/>
  <c r="D1434" i="10"/>
  <c r="E1433" i="10" a="1"/>
  <c r="E1433" i="10" s="1"/>
  <c r="D1804" i="10"/>
  <c r="E1803" i="10" a="1"/>
  <c r="E1803" i="10" s="1"/>
  <c r="D1655" i="10"/>
  <c r="E1654" i="10" a="1"/>
  <c r="E1654" i="10" s="1"/>
  <c r="D268" i="10"/>
  <c r="E267" i="10" a="1"/>
  <c r="E267" i="10" s="1"/>
  <c r="E1370" i="10" a="1"/>
  <c r="E1370" i="10" s="1"/>
  <c r="D1371" i="10"/>
  <c r="D2018" i="10"/>
  <c r="E2017" i="10" a="1"/>
  <c r="E2017" i="10" s="1"/>
  <c r="D1070" i="10"/>
  <c r="E1069" i="10" a="1"/>
  <c r="E1069" i="10" s="1"/>
  <c r="D1546" i="10"/>
  <c r="E1545" i="10" a="1"/>
  <c r="E1545" i="10" s="1"/>
  <c r="D974" i="10"/>
  <c r="E973" i="10" a="1"/>
  <c r="E973" i="10" s="1"/>
  <c r="D2019" i="10" l="1"/>
  <c r="E2018" i="10" a="1"/>
  <c r="E2018" i="10" s="1"/>
  <c r="D269" i="10"/>
  <c r="E268" i="10" a="1"/>
  <c r="E268" i="10" s="1"/>
  <c r="D873" i="10"/>
  <c r="E872" i="10" a="1"/>
  <c r="E872" i="10" s="1"/>
  <c r="D450" i="10"/>
  <c r="E449" i="10" a="1"/>
  <c r="E449" i="10" s="1"/>
  <c r="D975" i="10"/>
  <c r="E974" i="10" a="1"/>
  <c r="E974" i="10" s="1"/>
  <c r="D795" i="10"/>
  <c r="E795" i="10" s="1" a="1"/>
  <c r="E795" i="10" s="1"/>
  <c r="E794" i="10" a="1"/>
  <c r="E794" i="10" s="1"/>
  <c r="D1547" i="10"/>
  <c r="E1546" i="10" a="1"/>
  <c r="E1546" i="10" s="1"/>
  <c r="D1921" i="10"/>
  <c r="E1920" i="10" a="1"/>
  <c r="E1920" i="10" s="1"/>
  <c r="D1372" i="10"/>
  <c r="E1371" i="10" a="1"/>
  <c r="E1371" i="10" s="1"/>
  <c r="D1656" i="10"/>
  <c r="E1655" i="10" a="1"/>
  <c r="E1655" i="10" s="1"/>
  <c r="D1805" i="10"/>
  <c r="E1804" i="10" a="1"/>
  <c r="E1804" i="10" s="1"/>
  <c r="D1071" i="10"/>
  <c r="E1070" i="10" a="1"/>
  <c r="E1070" i="10" s="1"/>
  <c r="D1435" i="10"/>
  <c r="E1434" i="10" a="1"/>
  <c r="E1434" i="10" s="1"/>
  <c r="D147" i="10"/>
  <c r="E146" i="10" a="1"/>
  <c r="E146" i="10" s="1"/>
  <c r="D1806" i="10" l="1"/>
  <c r="E1805" i="10" a="1"/>
  <c r="E1805" i="10" s="1"/>
  <c r="D1373" i="10"/>
  <c r="E1372" i="10" a="1"/>
  <c r="E1372" i="10" s="1"/>
  <c r="D874" i="10"/>
  <c r="E873" i="10" a="1"/>
  <c r="E873" i="10" s="1"/>
  <c r="D1072" i="10"/>
  <c r="E1072" i="10" s="1" a="1"/>
  <c r="E1072" i="10" s="1"/>
  <c r="E1071" i="10" a="1"/>
  <c r="E1071" i="10" s="1"/>
  <c r="D976" i="10"/>
  <c r="E975" i="10" a="1"/>
  <c r="E975" i="10" s="1"/>
  <c r="D451" i="10"/>
  <c r="E450" i="10" a="1"/>
  <c r="E450" i="10" s="1"/>
  <c r="D1657" i="10"/>
  <c r="E1656" i="10" a="1"/>
  <c r="E1656" i="10" s="1"/>
  <c r="D148" i="10"/>
  <c r="E147" i="10" a="1"/>
  <c r="E147" i="10" s="1"/>
  <c r="D1922" i="10"/>
  <c r="E1921" i="10" a="1"/>
  <c r="E1921" i="10" s="1"/>
  <c r="D270" i="10"/>
  <c r="E269" i="10" a="1"/>
  <c r="E269" i="10" s="1"/>
  <c r="D1436" i="10"/>
  <c r="E1435" i="10" a="1"/>
  <c r="E1435" i="10" s="1"/>
  <c r="D1548" i="10"/>
  <c r="E1547" i="10" a="1"/>
  <c r="E1547" i="10" s="1"/>
  <c r="D2020" i="10"/>
  <c r="E2019" i="10" a="1"/>
  <c r="E2019" i="10" s="1"/>
  <c r="D271" i="10" l="1"/>
  <c r="E270" i="10" a="1"/>
  <c r="E270" i="10" s="1"/>
  <c r="D875" i="10"/>
  <c r="E874" i="10" a="1"/>
  <c r="E874" i="10" s="1"/>
  <c r="D1549" i="10"/>
  <c r="E1548" i="10" a="1"/>
  <c r="E1548" i="10" s="1"/>
  <c r="D452" i="10"/>
  <c r="E451" i="10" a="1"/>
  <c r="E451" i="10" s="1"/>
  <c r="D1437" i="10"/>
  <c r="E1436" i="10" a="1"/>
  <c r="E1436" i="10" s="1"/>
  <c r="D977" i="10"/>
  <c r="E976" i="10" a="1"/>
  <c r="E976" i="10" s="1"/>
  <c r="D1923" i="10"/>
  <c r="E1922" i="10" a="1"/>
  <c r="E1922" i="10" s="1"/>
  <c r="D149" i="10"/>
  <c r="E148" i="10" a="1"/>
  <c r="E148" i="10" s="1"/>
  <c r="D1374" i="10"/>
  <c r="E1373" i="10" a="1"/>
  <c r="E1373" i="10" s="1"/>
  <c r="D2021" i="10"/>
  <c r="E2020" i="10" a="1"/>
  <c r="E2020" i="10" s="1"/>
  <c r="D1658" i="10"/>
  <c r="E1657" i="10" a="1"/>
  <c r="E1657" i="10" s="1"/>
  <c r="D1807" i="10"/>
  <c r="E1806" i="10" a="1"/>
  <c r="E1806" i="10" s="1"/>
  <c r="D1659" i="10" l="1"/>
  <c r="E1658" i="10" a="1"/>
  <c r="E1658" i="10" s="1"/>
  <c r="D978" i="10"/>
  <c r="E977" i="10" a="1"/>
  <c r="E977" i="10" s="1"/>
  <c r="D2022" i="10"/>
  <c r="E2021" i="10" a="1"/>
  <c r="E2021" i="10" s="1"/>
  <c r="D1375" i="10"/>
  <c r="E1374" i="10" a="1"/>
  <c r="E1374" i="10" s="1"/>
  <c r="D1550" i="10"/>
  <c r="E1549" i="10" a="1"/>
  <c r="E1549" i="10" s="1"/>
  <c r="D1808" i="10"/>
  <c r="E1807" i="10" a="1"/>
  <c r="E1807" i="10" s="1"/>
  <c r="D1438" i="10"/>
  <c r="E1437" i="10" a="1"/>
  <c r="E1437" i="10" s="1"/>
  <c r="D453" i="10"/>
  <c r="E452" i="10" a="1"/>
  <c r="E452" i="10" s="1"/>
  <c r="D150" i="10"/>
  <c r="E149" i="10" a="1"/>
  <c r="E149" i="10" s="1"/>
  <c r="D876" i="10"/>
  <c r="E875" i="10" a="1"/>
  <c r="E875" i="10" s="1"/>
  <c r="D1924" i="10"/>
  <c r="E1923" i="10" a="1"/>
  <c r="E1923" i="10" s="1"/>
  <c r="D272" i="10"/>
  <c r="E271" i="10" a="1"/>
  <c r="E271" i="10" s="1"/>
  <c r="D273" i="10" l="1"/>
  <c r="E272" i="10" a="1"/>
  <c r="E272" i="10" s="1"/>
  <c r="D1809" i="10"/>
  <c r="E1808" i="10" a="1"/>
  <c r="E1808" i="10" s="1"/>
  <c r="D1551" i="10"/>
  <c r="E1550" i="10" a="1"/>
  <c r="E1550" i="10" s="1"/>
  <c r="D877" i="10"/>
  <c r="E876" i="10" a="1"/>
  <c r="E876" i="10" s="1"/>
  <c r="D1376" i="10"/>
  <c r="E1375" i="10" a="1"/>
  <c r="E1375" i="10" s="1"/>
  <c r="D151" i="10"/>
  <c r="E150" i="10" a="1"/>
  <c r="E150" i="10" s="1"/>
  <c r="D1925" i="10"/>
  <c r="E1924" i="10" a="1"/>
  <c r="E1924" i="10" s="1"/>
  <c r="D2023" i="10"/>
  <c r="E2022" i="10" a="1"/>
  <c r="E2022" i="10" s="1"/>
  <c r="D454" i="10"/>
  <c r="E453" i="10" a="1"/>
  <c r="E453" i="10" s="1"/>
  <c r="D979" i="10"/>
  <c r="E978" i="10" a="1"/>
  <c r="E978" i="10" s="1"/>
  <c r="D1439" i="10"/>
  <c r="E1438" i="10" a="1"/>
  <c r="E1438" i="10" s="1"/>
  <c r="D1660" i="10"/>
  <c r="E1659" i="10" a="1"/>
  <c r="E1659" i="10" s="1"/>
  <c r="D152" i="10" l="1"/>
  <c r="E151" i="10" a="1"/>
  <c r="E151" i="10" s="1"/>
  <c r="D1377" i="10"/>
  <c r="E1376" i="10" a="1"/>
  <c r="E1376" i="10" s="1"/>
  <c r="D980" i="10"/>
  <c r="E979" i="10" a="1"/>
  <c r="E979" i="10" s="1"/>
  <c r="D878" i="10"/>
  <c r="E877" i="10" a="1"/>
  <c r="E877" i="10" s="1"/>
  <c r="D455" i="10"/>
  <c r="E454" i="10" a="1"/>
  <c r="E454" i="10" s="1"/>
  <c r="D1552" i="10"/>
  <c r="E1551" i="10" a="1"/>
  <c r="E1551" i="10" s="1"/>
  <c r="D1661" i="10"/>
  <c r="E1660" i="10" a="1"/>
  <c r="E1660" i="10" s="1"/>
  <c r="D1440" i="10"/>
  <c r="E1439" i="10" a="1"/>
  <c r="E1439" i="10" s="1"/>
  <c r="D2024" i="10"/>
  <c r="E2023" i="10" a="1"/>
  <c r="E2023" i="10" s="1"/>
  <c r="D1810" i="10"/>
  <c r="E1810" i="10" s="1" a="1"/>
  <c r="E1810" i="10" s="1"/>
  <c r="E1809" i="10" a="1"/>
  <c r="E1809" i="10" s="1"/>
  <c r="D1926" i="10"/>
  <c r="E1925" i="10" a="1"/>
  <c r="E1925" i="10" s="1"/>
  <c r="D274" i="10"/>
  <c r="E273" i="10" a="1"/>
  <c r="E273" i="10" s="1"/>
  <c r="D981" i="10" l="1"/>
  <c r="E980" i="10" a="1"/>
  <c r="E980" i="10" s="1"/>
  <c r="D1553" i="10"/>
  <c r="E1552" i="10" a="1"/>
  <c r="E1552" i="10" s="1"/>
  <c r="D275" i="10"/>
  <c r="E274" i="10" a="1"/>
  <c r="E274" i="10" s="1"/>
  <c r="D1927" i="10"/>
  <c r="E1926" i="10" a="1"/>
  <c r="E1926" i="10" s="1"/>
  <c r="D456" i="10"/>
  <c r="E455" i="10" a="1"/>
  <c r="E455" i="10" s="1"/>
  <c r="D879" i="10"/>
  <c r="E878" i="10" a="1"/>
  <c r="E878" i="10" s="1"/>
  <c r="D2025" i="10"/>
  <c r="E2024" i="10" a="1"/>
  <c r="E2024" i="10" s="1"/>
  <c r="D1441" i="10"/>
  <c r="E1441" i="10" s="1" a="1"/>
  <c r="E1441" i="10" s="1"/>
  <c r="E1440" i="10" a="1"/>
  <c r="E1440" i="10" s="1"/>
  <c r="D1378" i="10"/>
  <c r="E1377" i="10" a="1"/>
  <c r="E1377" i="10" s="1"/>
  <c r="D1662" i="10"/>
  <c r="E1661" i="10" a="1"/>
  <c r="E1661" i="10" s="1"/>
  <c r="D153" i="10"/>
  <c r="E152" i="10" a="1"/>
  <c r="E152" i="10" s="1"/>
  <c r="D1928" i="10" l="1"/>
  <c r="E1928" i="10" s="1" a="1"/>
  <c r="E1928" i="10" s="1"/>
  <c r="E1927" i="10" a="1"/>
  <c r="E1927" i="10" s="1"/>
  <c r="D880" i="10"/>
  <c r="E879" i="10" a="1"/>
  <c r="E879" i="10" s="1"/>
  <c r="D154" i="10"/>
  <c r="E153" i="10" a="1"/>
  <c r="E153" i="10" s="1"/>
  <c r="D457" i="10"/>
  <c r="E456" i="10" a="1"/>
  <c r="E456" i="10" s="1"/>
  <c r="D1663" i="10"/>
  <c r="E1662" i="10" a="1"/>
  <c r="E1662" i="10" s="1"/>
  <c r="D1379" i="10"/>
  <c r="E1378" i="10" a="1"/>
  <c r="E1378" i="10" s="1"/>
  <c r="D276" i="10"/>
  <c r="E275" i="10" a="1"/>
  <c r="E275" i="10" s="1"/>
  <c r="D1554" i="10"/>
  <c r="E1553" i="10" a="1"/>
  <c r="E1553" i="10" s="1"/>
  <c r="D2026" i="10"/>
  <c r="E2025" i="10" a="1"/>
  <c r="E2025" i="10" s="1"/>
  <c r="D982" i="10"/>
  <c r="E981" i="10" a="1"/>
  <c r="E981" i="10" s="1"/>
  <c r="D1664" i="10" l="1"/>
  <c r="E1663" i="10" a="1"/>
  <c r="E1663" i="10" s="1"/>
  <c r="D2027" i="10"/>
  <c r="E2026" i="10" a="1"/>
  <c r="E2026" i="10" s="1"/>
  <c r="D1555" i="10"/>
  <c r="E1554" i="10" a="1"/>
  <c r="E1554" i="10" s="1"/>
  <c r="D881" i="10"/>
  <c r="E880" i="10" a="1"/>
  <c r="E880" i="10" s="1"/>
  <c r="D1380" i="10"/>
  <c r="E1379" i="10" a="1"/>
  <c r="E1379" i="10" s="1"/>
  <c r="D983" i="10"/>
  <c r="E982" i="10" a="1"/>
  <c r="E982" i="10" s="1"/>
  <c r="D458" i="10"/>
  <c r="E457" i="10" a="1"/>
  <c r="E457" i="10" s="1"/>
  <c r="D155" i="10"/>
  <c r="E154" i="10" a="1"/>
  <c r="E154" i="10" s="1"/>
  <c r="D277" i="10"/>
  <c r="E276" i="10" a="1"/>
  <c r="E276" i="10" s="1"/>
  <c r="D882" i="10" l="1"/>
  <c r="E881" i="10" a="1"/>
  <c r="E881" i="10" s="1"/>
  <c r="D984" i="10"/>
  <c r="E983" i="10" a="1"/>
  <c r="E983" i="10" s="1"/>
  <c r="D1381" i="10"/>
  <c r="E1381" i="10" s="1" a="1"/>
  <c r="E1381" i="10" s="1"/>
  <c r="E1380" i="10" a="1"/>
  <c r="E1380" i="10" s="1"/>
  <c r="D156" i="10"/>
  <c r="E155" i="10" a="1"/>
  <c r="E155" i="10" s="1"/>
  <c r="D2028" i="10"/>
  <c r="E2027" i="10" a="1"/>
  <c r="E2027" i="10" s="1"/>
  <c r="D278" i="10"/>
  <c r="E277" i="10" a="1"/>
  <c r="E277" i="10" s="1"/>
  <c r="D1556" i="10"/>
  <c r="E1555" i="10" a="1"/>
  <c r="E1555" i="10" s="1"/>
  <c r="E458" i="10" a="1"/>
  <c r="E458" i="10" s="1"/>
  <c r="D459" i="10"/>
  <c r="D1665" i="10"/>
  <c r="E1664" i="10" a="1"/>
  <c r="E1664" i="10" s="1"/>
  <c r="D279" i="10" l="1"/>
  <c r="E278" i="10" a="1"/>
  <c r="E278" i="10" s="1"/>
  <c r="D985" i="10"/>
  <c r="E984" i="10" a="1"/>
  <c r="E984" i="10" s="1"/>
  <c r="D2029" i="10"/>
  <c r="E2028" i="10" a="1"/>
  <c r="E2028" i="10" s="1"/>
  <c r="D157" i="10"/>
  <c r="E156" i="10" a="1"/>
  <c r="E156" i="10" s="1"/>
  <c r="D1666" i="10"/>
  <c r="E1665" i="10" a="1"/>
  <c r="E1665" i="10" s="1"/>
  <c r="D460" i="10"/>
  <c r="E459" i="10" a="1"/>
  <c r="E459" i="10" s="1"/>
  <c r="D1557" i="10"/>
  <c r="E1556" i="10" a="1"/>
  <c r="E1556" i="10" s="1"/>
  <c r="D883" i="10"/>
  <c r="E882" i="10" a="1"/>
  <c r="E882" i="10" s="1"/>
  <c r="D884" i="10" l="1"/>
  <c r="E883" i="10" a="1"/>
  <c r="E883" i="10" s="1"/>
  <c r="D986" i="10"/>
  <c r="E985" i="10" a="1"/>
  <c r="E985" i="10" s="1"/>
  <c r="D461" i="10"/>
  <c r="E460" i="10" a="1"/>
  <c r="E460" i="10" s="1"/>
  <c r="D1667" i="10"/>
  <c r="E1666" i="10" a="1"/>
  <c r="E1666" i="10" s="1"/>
  <c r="D158" i="10"/>
  <c r="E157" i="10" a="1"/>
  <c r="E157" i="10" s="1"/>
  <c r="D2030" i="10"/>
  <c r="E2029" i="10" a="1"/>
  <c r="E2029" i="10" s="1"/>
  <c r="E1557" i="10" a="1"/>
  <c r="E1557" i="10" s="1"/>
  <c r="D1558" i="10"/>
  <c r="D280" i="10"/>
  <c r="E279" i="10" a="1"/>
  <c r="E279" i="10" s="1"/>
  <c r="D159" i="10" l="1"/>
  <c r="E158" i="10" a="1"/>
  <c r="E158" i="10" s="1"/>
  <c r="D462" i="10"/>
  <c r="E461" i="10" a="1"/>
  <c r="E461" i="10" s="1"/>
  <c r="D2031" i="10"/>
  <c r="E2030" i="10" a="1"/>
  <c r="E2030" i="10" s="1"/>
  <c r="D1668" i="10"/>
  <c r="E1667" i="10" a="1"/>
  <c r="E1667" i="10" s="1"/>
  <c r="D281" i="10"/>
  <c r="E280" i="10" a="1"/>
  <c r="E280" i="10" s="1"/>
  <c r="D987" i="10"/>
  <c r="E986" i="10" a="1"/>
  <c r="E986" i="10" s="1"/>
  <c r="D1559" i="10"/>
  <c r="E1558" i="10" a="1"/>
  <c r="E1558" i="10" s="1"/>
  <c r="D885" i="10"/>
  <c r="E884" i="10" a="1"/>
  <c r="E884" i="10" s="1"/>
  <c r="D1669" i="10" l="1"/>
  <c r="E1668" i="10" a="1"/>
  <c r="E1668" i="10" s="1"/>
  <c r="D282" i="10"/>
  <c r="E281" i="10" a="1"/>
  <c r="E281" i="10" s="1"/>
  <c r="D2032" i="10"/>
  <c r="E2031" i="10" a="1"/>
  <c r="E2031" i="10" s="1"/>
  <c r="D988" i="10"/>
  <c r="E987" i="10" a="1"/>
  <c r="E987" i="10" s="1"/>
  <c r="D886" i="10"/>
  <c r="E885" i="10" a="1"/>
  <c r="E885" i="10" s="1"/>
  <c r="D463" i="10"/>
  <c r="E462" i="10" a="1"/>
  <c r="E462" i="10" s="1"/>
  <c r="D1560" i="10"/>
  <c r="E1559" i="10" a="1"/>
  <c r="E1559" i="10" s="1"/>
  <c r="D160" i="10"/>
  <c r="E159" i="10" a="1"/>
  <c r="E159" i="10" s="1"/>
  <c r="D887" i="10" l="1"/>
  <c r="E886" i="10" a="1"/>
  <c r="E886" i="10" s="1"/>
  <c r="D989" i="10"/>
  <c r="E988" i="10" a="1"/>
  <c r="E988" i="10" s="1"/>
  <c r="D464" i="10"/>
  <c r="E463" i="10" a="1"/>
  <c r="E463" i="10" s="1"/>
  <c r="D2033" i="10"/>
  <c r="E2032" i="10" a="1"/>
  <c r="E2032" i="10" s="1"/>
  <c r="D161" i="10"/>
  <c r="E161" i="10" s="1" a="1"/>
  <c r="E161" i="10" s="1"/>
  <c r="E160" i="10" a="1"/>
  <c r="E160" i="10" s="1"/>
  <c r="D283" i="10"/>
  <c r="E282" i="10" a="1"/>
  <c r="E282" i="10" s="1"/>
  <c r="D1561" i="10"/>
  <c r="E1560" i="10" a="1"/>
  <c r="E1560" i="10" s="1"/>
  <c r="D1670" i="10"/>
  <c r="E1669" i="10" a="1"/>
  <c r="E1669" i="10" s="1"/>
  <c r="D284" i="10" l="1"/>
  <c r="E283" i="10" a="1"/>
  <c r="E283" i="10" s="1"/>
  <c r="D465" i="10"/>
  <c r="E464" i="10" a="1"/>
  <c r="E464" i="10" s="1"/>
  <c r="D2034" i="10"/>
  <c r="E2033" i="10" a="1"/>
  <c r="E2033" i="10" s="1"/>
  <c r="D1671" i="10"/>
  <c r="E1670" i="10" a="1"/>
  <c r="E1670" i="10" s="1"/>
  <c r="D990" i="10"/>
  <c r="E989" i="10" a="1"/>
  <c r="E989" i="10" s="1"/>
  <c r="D1562" i="10"/>
  <c r="E1561" i="10" a="1"/>
  <c r="E1561" i="10" s="1"/>
  <c r="D888" i="10"/>
  <c r="E888" i="10" s="1" a="1"/>
  <c r="E888" i="10" s="1"/>
  <c r="E887" i="10" a="1"/>
  <c r="E887" i="10" s="1"/>
  <c r="D1672" i="10" l="1"/>
  <c r="E1671" i="10" a="1"/>
  <c r="E1671" i="10" s="1"/>
  <c r="D2035" i="10"/>
  <c r="E2035" i="10" s="1" a="1"/>
  <c r="E2035" i="10" s="1"/>
  <c r="E2034" i="10" a="1"/>
  <c r="E2034" i="10" s="1"/>
  <c r="D1563" i="10"/>
  <c r="E1562" i="10" a="1"/>
  <c r="E1562" i="10" s="1"/>
  <c r="D991" i="10"/>
  <c r="E990" i="10" a="1"/>
  <c r="E990" i="10" s="1"/>
  <c r="D466" i="10"/>
  <c r="E465" i="10" a="1"/>
  <c r="E465" i="10" s="1"/>
  <c r="D285" i="10"/>
  <c r="E284" i="10" a="1"/>
  <c r="E284" i="10" s="1"/>
  <c r="D286" i="10" l="1"/>
  <c r="E285" i="10" a="1"/>
  <c r="E285" i="10" s="1"/>
  <c r="D467" i="10"/>
  <c r="E466" i="10" a="1"/>
  <c r="E466" i="10" s="1"/>
  <c r="D992" i="10"/>
  <c r="E991" i="10" a="1"/>
  <c r="E991" i="10" s="1"/>
  <c r="D1564" i="10"/>
  <c r="E1563" i="10" a="1"/>
  <c r="E1563" i="10" s="1"/>
  <c r="D1673" i="10"/>
  <c r="E1672" i="10" a="1"/>
  <c r="E1672" i="10" s="1"/>
  <c r="D993" i="10" l="1"/>
  <c r="E992" i="10" a="1"/>
  <c r="E992" i="10" s="1"/>
  <c r="D468" i="10"/>
  <c r="E467" i="10" a="1"/>
  <c r="E467" i="10" s="1"/>
  <c r="D1674" i="10"/>
  <c r="E1673" i="10" a="1"/>
  <c r="E1673" i="10" s="1"/>
  <c r="D1565" i="10"/>
  <c r="E1564" i="10" a="1"/>
  <c r="E1564" i="10" s="1"/>
  <c r="D287" i="10"/>
  <c r="E286" i="10" a="1"/>
  <c r="E286" i="10" s="1"/>
  <c r="D1566" i="10" l="1"/>
  <c r="E1565" i="10" a="1"/>
  <c r="E1565" i="10" s="1"/>
  <c r="D1675" i="10"/>
  <c r="E1674" i="10" a="1"/>
  <c r="E1674" i="10" s="1"/>
  <c r="D288" i="10"/>
  <c r="E287" i="10" a="1"/>
  <c r="E287" i="10" s="1"/>
  <c r="D469" i="10"/>
  <c r="E468" i="10" a="1"/>
  <c r="E468" i="10" s="1"/>
  <c r="D994" i="10"/>
  <c r="E993" i="10" a="1"/>
  <c r="E993" i="10" s="1"/>
  <c r="D995" i="10" l="1"/>
  <c r="E994" i="10" a="1"/>
  <c r="E994" i="10" s="1"/>
  <c r="D470" i="10"/>
  <c r="E469" i="10" a="1"/>
  <c r="E469" i="10" s="1"/>
  <c r="D289" i="10"/>
  <c r="E288" i="10" a="1"/>
  <c r="E288" i="10" s="1"/>
  <c r="D1676" i="10"/>
  <c r="E1675" i="10" a="1"/>
  <c r="E1675" i="10" s="1"/>
  <c r="D1567" i="10"/>
  <c r="E1566" i="10" a="1"/>
  <c r="E1566" i="10" s="1"/>
  <c r="D1677" i="10" l="1"/>
  <c r="E1676" i="10" a="1"/>
  <c r="E1676" i="10" s="1"/>
  <c r="D1568" i="10"/>
  <c r="E1567" i="10" a="1"/>
  <c r="E1567" i="10" s="1"/>
  <c r="D290" i="10"/>
  <c r="E289" i="10" a="1"/>
  <c r="E289" i="10" s="1"/>
  <c r="D471" i="10"/>
  <c r="E470" i="10" a="1"/>
  <c r="E470" i="10" s="1"/>
  <c r="D996" i="10"/>
  <c r="E995" i="10" a="1"/>
  <c r="E995" i="10" s="1"/>
  <c r="D997" i="10" l="1"/>
  <c r="E997" i="10" s="1" a="1"/>
  <c r="E997" i="10" s="1"/>
  <c r="E996" i="10" a="1"/>
  <c r="E996" i="10" s="1"/>
  <c r="D472" i="10"/>
  <c r="E471" i="10" a="1"/>
  <c r="E471" i="10" s="1"/>
  <c r="D291" i="10"/>
  <c r="E290" i="10" a="1"/>
  <c r="E290" i="10" s="1"/>
  <c r="D1569" i="10"/>
  <c r="E1568" i="10" a="1"/>
  <c r="E1568" i="10" s="1"/>
  <c r="D1678" i="10"/>
  <c r="E1677" i="10" a="1"/>
  <c r="E1677" i="10" s="1"/>
  <c r="D1679" i="10" l="1"/>
  <c r="E1678" i="10" a="1"/>
  <c r="E1678" i="10" s="1"/>
  <c r="D1570" i="10"/>
  <c r="E1569" i="10" a="1"/>
  <c r="E1569" i="10" s="1"/>
  <c r="D292" i="10"/>
  <c r="E291" i="10" a="1"/>
  <c r="E291" i="10" s="1"/>
  <c r="D473" i="10"/>
  <c r="E472" i="10" a="1"/>
  <c r="E472" i="10" s="1"/>
  <c r="D474" i="10" l="1"/>
  <c r="E473" i="10" a="1"/>
  <c r="E473" i="10" s="1"/>
  <c r="D293" i="10"/>
  <c r="E292" i="10" a="1"/>
  <c r="E292" i="10" s="1"/>
  <c r="D1571" i="10"/>
  <c r="E1570" i="10" a="1"/>
  <c r="E1570" i="10" s="1"/>
  <c r="D1680" i="10"/>
  <c r="E1679" i="10" a="1"/>
  <c r="E1679" i="10" s="1"/>
  <c r="D1681" i="10" l="1"/>
  <c r="E1680" i="10" a="1"/>
  <c r="E1680" i="10" s="1"/>
  <c r="D1572" i="10"/>
  <c r="E1571" i="10" a="1"/>
  <c r="E1571" i="10" s="1"/>
  <c r="D294" i="10"/>
  <c r="E293" i="10" a="1"/>
  <c r="E293" i="10" s="1"/>
  <c r="D475" i="10"/>
  <c r="E474" i="10" a="1"/>
  <c r="E474" i="10" s="1"/>
  <c r="D1682" i="10" l="1"/>
  <c r="E1681" i="10" a="1"/>
  <c r="E1681" i="10" s="1"/>
  <c r="D476" i="10"/>
  <c r="E475" i="10" a="1"/>
  <c r="E475" i="10" s="1"/>
  <c r="D295" i="10"/>
  <c r="E294" i="10" a="1"/>
  <c r="E294" i="10" s="1"/>
  <c r="D1573" i="10"/>
  <c r="E1572" i="10" a="1"/>
  <c r="E1572" i="10" s="1"/>
  <c r="E1573" i="10" l="1" a="1"/>
  <c r="E1573" i="10" s="1"/>
  <c r="D1574" i="10"/>
  <c r="D477" i="10"/>
  <c r="E476" i="10" a="1"/>
  <c r="E476" i="10" s="1"/>
  <c r="D296" i="10"/>
  <c r="E295" i="10" a="1"/>
  <c r="E295" i="10" s="1"/>
  <c r="D1683" i="10"/>
  <c r="E1682" i="10" a="1"/>
  <c r="E1682" i="10" s="1"/>
  <c r="D1684" i="10" l="1"/>
  <c r="E1683" i="10" a="1"/>
  <c r="E1683" i="10" s="1"/>
  <c r="D297" i="10"/>
  <c r="E296" i="10" a="1"/>
  <c r="E296" i="10" s="1"/>
  <c r="D478" i="10"/>
  <c r="E477" i="10" a="1"/>
  <c r="E477" i="10" s="1"/>
  <c r="D1575" i="10"/>
  <c r="E1574" i="10" a="1"/>
  <c r="E1574" i="10" s="1"/>
  <c r="D1576" i="10" l="1"/>
  <c r="E1575" i="10" a="1"/>
  <c r="E1575" i="10" s="1"/>
  <c r="D479" i="10"/>
  <c r="E478" i="10" a="1"/>
  <c r="E478" i="10" s="1"/>
  <c r="D298" i="10"/>
  <c r="E297" i="10" a="1"/>
  <c r="E297" i="10" s="1"/>
  <c r="D1685" i="10"/>
  <c r="E1684" i="10" a="1"/>
  <c r="E1684" i="10" s="1"/>
  <c r="D1686" i="10" l="1"/>
  <c r="E1685" i="10" a="1"/>
  <c r="E1685" i="10" s="1"/>
  <c r="D299" i="10"/>
  <c r="E298" i="10" a="1"/>
  <c r="E298" i="10" s="1"/>
  <c r="D480" i="10"/>
  <c r="E479" i="10" a="1"/>
  <c r="E479" i="10" s="1"/>
  <c r="D1577" i="10"/>
  <c r="E1576" i="10" a="1"/>
  <c r="E1576" i="10" s="1"/>
  <c r="D481" i="10" l="1"/>
  <c r="E480" i="10" a="1"/>
  <c r="E480" i="10" s="1"/>
  <c r="D1578" i="10"/>
  <c r="E1577" i="10" a="1"/>
  <c r="E1577" i="10" s="1"/>
  <c r="D300" i="10"/>
  <c r="E299" i="10" a="1"/>
  <c r="E299" i="10" s="1"/>
  <c r="D1687" i="10"/>
  <c r="E1686" i="10" a="1"/>
  <c r="E1686" i="10" s="1"/>
  <c r="E1687" i="10" l="1" a="1"/>
  <c r="E1687" i="10" s="1"/>
  <c r="D1688" i="10"/>
  <c r="D301" i="10"/>
  <c r="E300" i="10" a="1"/>
  <c r="E300" i="10" s="1"/>
  <c r="D1579" i="10"/>
  <c r="E1578" i="10" a="1"/>
  <c r="E1578" i="10" s="1"/>
  <c r="D482" i="10"/>
  <c r="E481" i="10" a="1"/>
  <c r="E481" i="10" s="1"/>
  <c r="D483" i="10" l="1"/>
  <c r="E482" i="10" a="1"/>
  <c r="E482" i="10" s="1"/>
  <c r="D1580" i="10"/>
  <c r="E1579" i="10" a="1"/>
  <c r="E1579" i="10" s="1"/>
  <c r="D1689" i="10"/>
  <c r="E1688" i="10" a="1"/>
  <c r="E1688" i="10" s="1"/>
  <c r="D302" i="10"/>
  <c r="E301" i="10" a="1"/>
  <c r="E301" i="10" s="1"/>
  <c r="E302" i="10" l="1" a="1"/>
  <c r="E302" i="10" s="1"/>
  <c r="D303" i="10"/>
  <c r="D1690" i="10"/>
  <c r="E1689" i="10" a="1"/>
  <c r="E1689" i="10" s="1"/>
  <c r="D1581" i="10"/>
  <c r="E1580" i="10" a="1"/>
  <c r="E1580" i="10" s="1"/>
  <c r="D484" i="10"/>
  <c r="E483" i="10" a="1"/>
  <c r="E483" i="10" s="1"/>
  <c r="D485" i="10" l="1"/>
  <c r="E484" i="10" a="1"/>
  <c r="E484" i="10" s="1"/>
  <c r="D1582" i="10"/>
  <c r="E1581" i="10" a="1"/>
  <c r="E1581" i="10" s="1"/>
  <c r="D304" i="10"/>
  <c r="E303" i="10" a="1"/>
  <c r="E303" i="10" s="1"/>
  <c r="D1691" i="10"/>
  <c r="E1690" i="10" a="1"/>
  <c r="E1690" i="10" s="1"/>
  <c r="D1692" i="10" l="1"/>
  <c r="E1691" i="10" a="1"/>
  <c r="E1691" i="10" s="1"/>
  <c r="D305" i="10"/>
  <c r="E304" i="10" a="1"/>
  <c r="E304" i="10" s="1"/>
  <c r="D1583" i="10"/>
  <c r="E1582" i="10" a="1"/>
  <c r="E1582" i="10" s="1"/>
  <c r="D486" i="10"/>
  <c r="E485" i="10" a="1"/>
  <c r="E485" i="10" s="1"/>
  <c r="D487" i="10" l="1"/>
  <c r="E486" i="10" a="1"/>
  <c r="E486" i="10" s="1"/>
  <c r="D306" i="10"/>
  <c r="E305" i="10" a="1"/>
  <c r="E305" i="10" s="1"/>
  <c r="D1584" i="10"/>
  <c r="E1583" i="10" a="1"/>
  <c r="E1583" i="10" s="1"/>
  <c r="D1693" i="10"/>
  <c r="E1692" i="10" a="1"/>
  <c r="E1692" i="10" s="1"/>
  <c r="D1585" i="10" l="1"/>
  <c r="E1584" i="10" a="1"/>
  <c r="E1584" i="10" s="1"/>
  <c r="D307" i="10"/>
  <c r="E306" i="10" a="1"/>
  <c r="E306" i="10" s="1"/>
  <c r="D1694" i="10"/>
  <c r="E1693" i="10" a="1"/>
  <c r="E1693" i="10" s="1"/>
  <c r="D488" i="10"/>
  <c r="E487" i="10" a="1"/>
  <c r="E487" i="10" s="1"/>
  <c r="D489" i="10" l="1"/>
  <c r="E488" i="10" a="1"/>
  <c r="E488" i="10" s="1"/>
  <c r="D1695" i="10"/>
  <c r="E1694" i="10" a="1"/>
  <c r="E1694" i="10" s="1"/>
  <c r="D308" i="10"/>
  <c r="E307" i="10" a="1"/>
  <c r="E307" i="10" s="1"/>
  <c r="D1586" i="10"/>
  <c r="E1585" i="10" a="1"/>
  <c r="E1585" i="10" s="1"/>
  <c r="D309" i="10" l="1"/>
  <c r="E308" i="10" a="1"/>
  <c r="E308" i="10" s="1"/>
  <c r="D1696" i="10"/>
  <c r="E1695" i="10" a="1"/>
  <c r="E1695" i="10" s="1"/>
  <c r="D490" i="10"/>
  <c r="E489" i="10" a="1"/>
  <c r="E489" i="10" s="1"/>
  <c r="D1587" i="10"/>
  <c r="E1586" i="10" a="1"/>
  <c r="E1586" i="10" s="1"/>
  <c r="D491" i="10" l="1"/>
  <c r="E490" i="10" a="1"/>
  <c r="E490" i="10" s="1"/>
  <c r="D1697" i="10"/>
  <c r="E1696" i="10" a="1"/>
  <c r="E1696" i="10" s="1"/>
  <c r="D1588" i="10"/>
  <c r="E1587" i="10" a="1"/>
  <c r="E1587" i="10" s="1"/>
  <c r="D310" i="10"/>
  <c r="E309" i="10" a="1"/>
  <c r="E309" i="10" s="1"/>
  <c r="D311" i="10" l="1"/>
  <c r="E310" i="10" a="1"/>
  <c r="E310" i="10" s="1"/>
  <c r="D1589" i="10"/>
  <c r="E1588" i="10" a="1"/>
  <c r="E1588" i="10" s="1"/>
  <c r="D1698" i="10"/>
  <c r="E1697" i="10" a="1"/>
  <c r="E1697" i="10" s="1"/>
  <c r="D492" i="10"/>
  <c r="E491" i="10" a="1"/>
  <c r="E491" i="10" s="1"/>
  <c r="D493" i="10" l="1"/>
  <c r="E492" i="10" a="1"/>
  <c r="E492" i="10" s="1"/>
  <c r="D1699" i="10"/>
  <c r="E1698" i="10" a="1"/>
  <c r="E1698" i="10" s="1"/>
  <c r="D1590" i="10"/>
  <c r="E1589" i="10" a="1"/>
  <c r="E1589" i="10" s="1"/>
  <c r="D312" i="10"/>
  <c r="E311" i="10" a="1"/>
  <c r="E311" i="10" s="1"/>
  <c r="D313" i="10" l="1"/>
  <c r="E312" i="10" a="1"/>
  <c r="E312" i="10" s="1"/>
  <c r="D1591" i="10"/>
  <c r="E1590" i="10" a="1"/>
  <c r="E1590" i="10" s="1"/>
  <c r="D1700" i="10"/>
  <c r="E1699" i="10" a="1"/>
  <c r="E1699" i="10" s="1"/>
  <c r="D494" i="10"/>
  <c r="E493" i="10" a="1"/>
  <c r="E493" i="10" s="1"/>
  <c r="D495" i="10" l="1"/>
  <c r="E494" i="10" a="1"/>
  <c r="E494" i="10" s="1"/>
  <c r="E1700" i="10" a="1"/>
  <c r="E1700" i="10" s="1"/>
  <c r="D1701" i="10"/>
  <c r="D1592" i="10"/>
  <c r="E1591" i="10" a="1"/>
  <c r="E1591" i="10" s="1"/>
  <c r="D314" i="10"/>
  <c r="E313" i="10" a="1"/>
  <c r="E313" i="10" s="1"/>
  <c r="D315" i="10" l="1"/>
  <c r="E314" i="10" a="1"/>
  <c r="E314" i="10" s="1"/>
  <c r="D1702" i="10"/>
  <c r="E1701" i="10" a="1"/>
  <c r="E1701" i="10" s="1"/>
  <c r="D1593" i="10"/>
  <c r="E1592" i="10" a="1"/>
  <c r="E1592" i="10" s="1"/>
  <c r="D496" i="10"/>
  <c r="E495" i="10" a="1"/>
  <c r="E495" i="10" s="1"/>
  <c r="D1594" i="10" l="1"/>
  <c r="E1594" i="10" s="1" a="1"/>
  <c r="E1594" i="10" s="1"/>
  <c r="E1593" i="10" a="1"/>
  <c r="E1593" i="10" s="1"/>
  <c r="D497" i="10"/>
  <c r="E496" i="10" a="1"/>
  <c r="E496" i="10" s="1"/>
  <c r="D1703" i="10"/>
  <c r="E1702" i="10" a="1"/>
  <c r="E1702" i="10" s="1"/>
  <c r="D316" i="10"/>
  <c r="E315" i="10" a="1"/>
  <c r="E315" i="10" s="1"/>
  <c r="D498" i="10" l="1"/>
  <c r="E497" i="10" a="1"/>
  <c r="E497" i="10" s="1"/>
  <c r="D1704" i="10"/>
  <c r="E1703" i="10" a="1"/>
  <c r="E1703" i="10" s="1"/>
  <c r="D317" i="10"/>
  <c r="E316" i="10" a="1"/>
  <c r="E316" i="10" s="1"/>
  <c r="D318" i="10" l="1"/>
  <c r="E317" i="10" a="1"/>
  <c r="E317" i="10" s="1"/>
  <c r="D1705" i="10"/>
  <c r="E1704" i="10" a="1"/>
  <c r="E1704" i="10" s="1"/>
  <c r="D499" i="10"/>
  <c r="E498" i="10" a="1"/>
  <c r="E498" i="10" s="1"/>
  <c r="D500" i="10" l="1"/>
  <c r="E499" i="10" a="1"/>
  <c r="E499" i="10" s="1"/>
  <c r="D1706" i="10"/>
  <c r="E1705" i="10" a="1"/>
  <c r="E1705" i="10" s="1"/>
  <c r="D319" i="10"/>
  <c r="E318" i="10" a="1"/>
  <c r="E318" i="10" s="1"/>
  <c r="D501" i="10" l="1"/>
  <c r="E500" i="10" a="1"/>
  <c r="E500" i="10" s="1"/>
  <c r="D320" i="10"/>
  <c r="E319" i="10" a="1"/>
  <c r="E319" i="10" s="1"/>
  <c r="D1707" i="10"/>
  <c r="E1706" i="10" a="1"/>
  <c r="E1706" i="10" s="1"/>
  <c r="D502" i="10" l="1"/>
  <c r="E501" i="10" a="1"/>
  <c r="E501" i="10" s="1"/>
  <c r="D1708" i="10"/>
  <c r="E1707" i="10" a="1"/>
  <c r="E1707" i="10" s="1"/>
  <c r="D321" i="10"/>
  <c r="E320" i="10" a="1"/>
  <c r="E320" i="10" s="1"/>
  <c r="D322" i="10" l="1"/>
  <c r="E321" i="10" a="1"/>
  <c r="E321" i="10" s="1"/>
  <c r="D1709" i="10"/>
  <c r="E1708" i="10" a="1"/>
  <c r="E1708" i="10" s="1"/>
  <c r="D503" i="10"/>
  <c r="E502" i="10" a="1"/>
  <c r="E502" i="10" s="1"/>
  <c r="D1710" i="10" l="1"/>
  <c r="E1709" i="10" a="1"/>
  <c r="E1709" i="10" s="1"/>
  <c r="D504" i="10"/>
  <c r="E503" i="10" a="1"/>
  <c r="E503" i="10" s="1"/>
  <c r="D323" i="10"/>
  <c r="E322" i="10" a="1"/>
  <c r="E322" i="10" s="1"/>
  <c r="D1711" i="10" l="1"/>
  <c r="E1710" i="10" a="1"/>
  <c r="E1710" i="10" s="1"/>
  <c r="D324" i="10"/>
  <c r="E323" i="10" a="1"/>
  <c r="E323" i="10" s="1"/>
  <c r="D505" i="10"/>
  <c r="E505" i="10" s="1" a="1"/>
  <c r="E505" i="10" s="1"/>
  <c r="E504" i="10" a="1"/>
  <c r="E504" i="10" s="1"/>
  <c r="D325" i="10" l="1"/>
  <c r="E324" i="10" a="1"/>
  <c r="E324" i="10" s="1"/>
  <c r="D1712" i="10"/>
  <c r="E1711" i="10" a="1"/>
  <c r="E1711" i="10" s="1"/>
  <c r="D1713" i="10" l="1"/>
  <c r="E1712" i="10" a="1"/>
  <c r="E1712" i="10" s="1"/>
  <c r="D326" i="10"/>
  <c r="E325" i="10" a="1"/>
  <c r="E325" i="10" s="1"/>
  <c r="D327" i="10" l="1"/>
  <c r="E327" i="10" s="1" a="1"/>
  <c r="E327" i="10" s="1"/>
  <c r="E326" i="10" a="1"/>
  <c r="E326" i="10" s="1"/>
  <c r="D1714" i="10"/>
  <c r="E1713" i="10" a="1"/>
  <c r="E1713" i="10" s="1"/>
  <c r="E1714" i="10" l="1" a="1"/>
  <c r="E1714" i="10" s="1"/>
  <c r="D1715" i="10"/>
  <c r="D1716" i="10" l="1"/>
  <c r="E1715" i="10" a="1"/>
  <c r="E1715" i="10" s="1"/>
  <c r="D1717" i="10" l="1"/>
  <c r="E1716" i="10" a="1"/>
  <c r="E1716" i="10" s="1"/>
  <c r="D1718" i="10" l="1"/>
  <c r="E1718" i="10" s="1" a="1"/>
  <c r="E1718" i="10" s="1"/>
  <c r="E1717" i="10" a="1"/>
  <c r="E1717" i="10" s="1"/>
  <c r="H17" i="11"/>
  <c r="I17" i="11" s="1"/>
  <c r="G18" i="11" l="1"/>
  <c r="F18" i="11"/>
  <c r="H18" i="11"/>
  <c r="I18" i="11" s="1"/>
  <c r="G19" i="11" l="1"/>
  <c r="F19" i="11"/>
  <c r="H19" i="11"/>
  <c r="I19" i="11" l="1"/>
  <c r="G20" i="11" s="1"/>
  <c r="H20" i="11" s="1"/>
  <c r="I20" i="11" s="1"/>
  <c r="F20" i="11"/>
  <c r="G21" i="11" l="1"/>
  <c r="F21" i="11"/>
  <c r="H21" i="11"/>
  <c r="I21" i="11" s="1"/>
  <c r="G22" i="11" l="1"/>
  <c r="F22" i="11"/>
  <c r="H22" i="11"/>
  <c r="I22" i="11" l="1"/>
  <c r="G23" i="11" s="1"/>
  <c r="H23" i="11" s="1"/>
  <c r="F23" i="11"/>
  <c r="I23" i="11" l="1"/>
  <c r="G24" i="11" s="1"/>
  <c r="H24" i="11" s="1"/>
  <c r="F24" i="11"/>
  <c r="I24" i="11" l="1"/>
  <c r="F25" i="11"/>
  <c r="G25" i="11"/>
  <c r="H25" i="11" s="1"/>
  <c r="F26" i="11" l="1"/>
  <c r="I25" i="11"/>
  <c r="G26" i="11"/>
  <c r="H26" i="11" s="1"/>
  <c r="F27" i="11" l="1"/>
  <c r="I26" i="11"/>
  <c r="G27" i="11"/>
  <c r="H27" i="11" s="1"/>
  <c r="F28" i="11" l="1"/>
  <c r="I27" i="11"/>
  <c r="G28" i="11"/>
  <c r="H28" i="11" s="1"/>
  <c r="F29" i="11" l="1"/>
  <c r="I28" i="11"/>
  <c r="G29" i="11"/>
  <c r="H29" i="11" s="1"/>
  <c r="F30" i="11" l="1"/>
  <c r="I29" i="11"/>
  <c r="G30" i="11" s="1"/>
  <c r="H30" i="11" s="1"/>
  <c r="F31" i="11" l="1"/>
  <c r="I30" i="11"/>
  <c r="G31" i="11"/>
  <c r="H31" i="11" s="1"/>
  <c r="I31" i="11" l="1"/>
  <c r="G32" i="11"/>
  <c r="F32" i="11"/>
  <c r="H32" i="11" s="1"/>
  <c r="I32" i="11" s="1"/>
  <c r="F33" i="11" l="1"/>
  <c r="G33" i="11"/>
  <c r="H33" i="11" s="1"/>
  <c r="F34" i="11" l="1"/>
  <c r="I33" i="11"/>
  <c r="G34" i="11"/>
  <c r="H34" i="11" s="1"/>
  <c r="F35" i="11" l="1"/>
  <c r="I34" i="11"/>
  <c r="G35" i="11" s="1"/>
  <c r="H35" i="11" s="1"/>
  <c r="F36" i="11" l="1"/>
  <c r="I35" i="11"/>
  <c r="G36" i="11"/>
  <c r="H36" i="11" s="1"/>
  <c r="F37" i="11" l="1"/>
  <c r="I36" i="11"/>
  <c r="G37" i="11"/>
  <c r="H37" i="11" s="1"/>
  <c r="F38" i="11" l="1"/>
  <c r="I37" i="11"/>
  <c r="G38" i="11"/>
  <c r="H38" i="11" s="1"/>
  <c r="I38" i="11" s="1"/>
  <c r="G39" i="11" l="1"/>
  <c r="H39" i="11" s="1"/>
  <c r="F39" i="11"/>
  <c r="F40" i="11" l="1"/>
  <c r="I39" i="11"/>
  <c r="G40" i="11" s="1"/>
  <c r="H40" i="11" s="1"/>
  <c r="F41" i="11" l="1"/>
  <c r="I40" i="11"/>
  <c r="G41" i="11"/>
  <c r="H41" i="11" s="1"/>
  <c r="I41" i="11" s="1"/>
  <c r="H42" i="11" l="1"/>
  <c r="I42" i="11" s="1"/>
  <c r="G42" i="11"/>
  <c r="F42" i="11"/>
  <c r="F43" i="11" l="1"/>
  <c r="G43" i="11"/>
  <c r="H43" i="11" s="1"/>
  <c r="I43" i="11" s="1"/>
  <c r="G44" i="11" l="1"/>
  <c r="H44" i="11" s="1"/>
  <c r="F44" i="11"/>
  <c r="F45" i="11" l="1"/>
  <c r="I44" i="11"/>
  <c r="G45" i="11"/>
  <c r="H45" i="11" s="1"/>
  <c r="F46" i="11" l="1"/>
  <c r="I45" i="11"/>
  <c r="G46" i="11"/>
  <c r="H46" i="11" s="1"/>
  <c r="I46" i="11" s="1"/>
  <c r="G47" i="11" l="1"/>
  <c r="H47" i="11" s="1"/>
  <c r="F47" i="11"/>
  <c r="F48" i="11" l="1"/>
  <c r="I47" i="11"/>
  <c r="G48" i="11"/>
  <c r="H48" i="11" s="1"/>
  <c r="F49" i="11" l="1"/>
  <c r="I48" i="11"/>
  <c r="G49" i="11"/>
  <c r="H49" i="11" s="1"/>
  <c r="F50" i="11" l="1"/>
  <c r="I49" i="11"/>
  <c r="G50" i="11" s="1"/>
  <c r="H50" i="11" s="1"/>
  <c r="F51" i="11" l="1"/>
  <c r="I50" i="11"/>
  <c r="G51" i="11"/>
  <c r="H51" i="11" s="1"/>
  <c r="F52" i="11" l="1"/>
  <c r="I51" i="11"/>
  <c r="G52" i="11" s="1"/>
  <c r="H52" i="11" s="1"/>
  <c r="F53" i="11" l="1"/>
  <c r="I52" i="11"/>
  <c r="G53" i="11"/>
  <c r="H53" i="11" s="1"/>
  <c r="I53" i="11" s="1"/>
  <c r="G54" i="11" l="1"/>
  <c r="H54" i="11" s="1"/>
  <c r="F54" i="11"/>
  <c r="F55" i="11" l="1"/>
  <c r="I54" i="11"/>
  <c r="G55" i="11"/>
  <c r="H55" i="11" s="1"/>
  <c r="F56" i="11" l="1"/>
  <c r="I55" i="11"/>
  <c r="G56" i="11" s="1"/>
  <c r="H56" i="11" s="1"/>
  <c r="F57" i="11" l="1"/>
  <c r="I56" i="11"/>
  <c r="G57" i="11"/>
  <c r="H57" i="11" s="1"/>
  <c r="F58" i="11" l="1"/>
  <c r="I57" i="11"/>
  <c r="G58" i="11" s="1"/>
  <c r="H58" i="11" s="1"/>
  <c r="F59" i="11" l="1"/>
  <c r="I58" i="11"/>
  <c r="G59" i="11"/>
  <c r="H59" i="11" s="1"/>
  <c r="F60" i="11" l="1"/>
  <c r="I59" i="11"/>
  <c r="G60" i="11"/>
  <c r="H60" i="11" s="1"/>
  <c r="F61" i="11" l="1"/>
  <c r="I60" i="11"/>
  <c r="G61" i="11"/>
  <c r="H61" i="11" s="1"/>
  <c r="I61" i="11" l="1"/>
  <c r="F62" i="11"/>
  <c r="G62" i="11"/>
  <c r="H62" i="11" s="1"/>
  <c r="I62" i="11" s="1"/>
  <c r="G63" i="11" l="1"/>
  <c r="H63" i="11" s="1"/>
  <c r="F63" i="11"/>
  <c r="I63" i="11" l="1"/>
  <c r="G64" i="11"/>
  <c r="H64" i="11" s="1"/>
  <c r="F64" i="11"/>
  <c r="F65" i="11" l="1"/>
  <c r="I64" i="11"/>
  <c r="G65" i="11"/>
  <c r="H65" i="11" s="1"/>
  <c r="I65" i="11" s="1"/>
  <c r="G66" i="11" l="1"/>
  <c r="H66" i="11" s="1"/>
  <c r="F66" i="11"/>
  <c r="F67" i="11" l="1"/>
  <c r="I66" i="11"/>
  <c r="G67" i="11"/>
  <c r="H67" i="11" s="1"/>
  <c r="F68" i="11" l="1"/>
  <c r="I67" i="11"/>
  <c r="G68" i="11"/>
  <c r="H68" i="11" s="1"/>
  <c r="I68" i="11" s="1"/>
  <c r="G69" i="11" l="1"/>
  <c r="H69" i="11" s="1"/>
  <c r="F69" i="11"/>
  <c r="F70" i="11" l="1"/>
  <c r="I69" i="11"/>
  <c r="G70" i="11"/>
  <c r="H70" i="11" s="1"/>
  <c r="F71" i="11" l="1"/>
  <c r="I70" i="11"/>
  <c r="G71" i="11"/>
  <c r="H71" i="11" s="1"/>
  <c r="F72" i="11" l="1"/>
  <c r="I71" i="11"/>
  <c r="G72" i="11"/>
  <c r="H72" i="11" s="1"/>
  <c r="F73" i="11" l="1"/>
  <c r="I72" i="11"/>
  <c r="G73" i="11"/>
  <c r="H73" i="11" s="1"/>
  <c r="F74" i="11" l="1"/>
  <c r="I73" i="11"/>
  <c r="G74" i="11"/>
  <c r="H74" i="11" s="1"/>
  <c r="F75" i="11" l="1"/>
  <c r="I74" i="11"/>
  <c r="G75" i="11"/>
  <c r="H75" i="11" s="1"/>
  <c r="I75" i="11" l="1"/>
  <c r="G76" i="11"/>
  <c r="H76" i="11" s="1"/>
  <c r="F76" i="11"/>
  <c r="I76" i="11" l="1"/>
  <c r="G77" i="11"/>
  <c r="H77" i="11" s="1"/>
  <c r="F77" i="11"/>
  <c r="F78" i="11" l="1"/>
  <c r="I77" i="11"/>
  <c r="G78" i="11"/>
  <c r="H78" i="11" s="1"/>
  <c r="F79" i="11" l="1"/>
  <c r="I78" i="11"/>
  <c r="G79" i="11"/>
  <c r="H79" i="11" s="1"/>
  <c r="I79" i="11" l="1"/>
  <c r="G80" i="11" s="1"/>
  <c r="H80" i="11" s="1"/>
  <c r="F80" i="11"/>
  <c r="F81" i="11" l="1"/>
  <c r="I80" i="11"/>
  <c r="G81" i="11"/>
  <c r="H81" i="11" s="1"/>
  <c r="F82" i="11" l="1"/>
  <c r="I81" i="11"/>
  <c r="G82" i="11"/>
  <c r="H82" i="11" s="1"/>
  <c r="F83" i="11" l="1"/>
  <c r="I82" i="11"/>
  <c r="G83" i="11" s="1"/>
  <c r="H83" i="11" s="1"/>
  <c r="F84" i="11" l="1"/>
  <c r="I83" i="11"/>
  <c r="G84" i="11"/>
  <c r="H84" i="11" s="1"/>
  <c r="F85" i="11" l="1"/>
  <c r="I84" i="11"/>
  <c r="G85" i="11"/>
  <c r="H85" i="11" s="1"/>
  <c r="F86" i="11" l="1"/>
  <c r="I85" i="11"/>
  <c r="G86" i="11"/>
  <c r="H86" i="11" s="1"/>
  <c r="F87" i="11" l="1"/>
  <c r="I86" i="11"/>
  <c r="G87" i="11"/>
  <c r="H87" i="11" s="1"/>
  <c r="F88" i="11" l="1"/>
  <c r="I87" i="11"/>
  <c r="G88" i="11" s="1"/>
  <c r="H88" i="11" s="1"/>
  <c r="F89" i="11" l="1"/>
  <c r="I88" i="11"/>
  <c r="H89" i="11"/>
  <c r="I89" i="11" s="1"/>
  <c r="G89" i="11"/>
  <c r="G90" i="11" l="1"/>
  <c r="H90" i="11" s="1"/>
  <c r="F90" i="11"/>
  <c r="I90" i="11" l="1"/>
  <c r="G91" i="11"/>
  <c r="H91" i="11" s="1"/>
  <c r="F91" i="11"/>
  <c r="F92" i="11" l="1"/>
  <c r="I91" i="11"/>
  <c r="G92" i="11" s="1"/>
  <c r="H92" i="11" s="1"/>
  <c r="I92" i="11" s="1"/>
  <c r="G93" i="11" l="1"/>
  <c r="H93" i="11" s="1"/>
  <c r="F93" i="11"/>
  <c r="F94" i="11" l="1"/>
  <c r="I93" i="11"/>
  <c r="G94" i="11" s="1"/>
  <c r="H94" i="11" s="1"/>
  <c r="F95" i="11" l="1"/>
  <c r="I94" i="11"/>
  <c r="G95" i="11" s="1"/>
  <c r="H95" i="11" s="1"/>
  <c r="F96" i="11" l="1"/>
  <c r="I95" i="11"/>
  <c r="G96" i="11"/>
  <c r="H96" i="11" s="1"/>
  <c r="F97" i="11" l="1"/>
  <c r="I96" i="11"/>
  <c r="G97" i="11"/>
  <c r="H97" i="11" s="1"/>
  <c r="I97" i="11" s="1"/>
  <c r="G98" i="11" l="1"/>
  <c r="H98" i="11" s="1"/>
  <c r="F98" i="11"/>
  <c r="F99" i="11" l="1"/>
  <c r="I98" i="11"/>
  <c r="G99" i="11"/>
  <c r="H99" i="11" s="1"/>
  <c r="F100" i="11" l="1"/>
  <c r="I99" i="11"/>
  <c r="G100" i="11"/>
  <c r="H100" i="11" s="1"/>
  <c r="F101" i="11" l="1"/>
  <c r="I100" i="11"/>
  <c r="G101" i="11"/>
  <c r="H101" i="11" s="1"/>
  <c r="F102" i="11" l="1"/>
  <c r="I101" i="11"/>
  <c r="G102" i="11" s="1"/>
  <c r="H102" i="11" s="1"/>
  <c r="F103" i="11" l="1"/>
  <c r="I102" i="11"/>
  <c r="G103" i="11" s="1"/>
  <c r="H103" i="11" s="1"/>
  <c r="F104" i="11" l="1"/>
  <c r="I103" i="11"/>
  <c r="G104" i="11"/>
  <c r="H104" i="11" s="1"/>
  <c r="F105" i="11" l="1"/>
  <c r="I104" i="11"/>
  <c r="G105" i="11"/>
  <c r="H105" i="11" s="1"/>
  <c r="F106" i="11" l="1"/>
  <c r="I105" i="11"/>
  <c r="G106" i="11"/>
  <c r="H106" i="11" s="1"/>
  <c r="F107" i="11" l="1"/>
  <c r="I106" i="11"/>
  <c r="G107" i="11"/>
  <c r="H107" i="11" s="1"/>
  <c r="F108" i="11" l="1"/>
  <c r="I107" i="11"/>
  <c r="G108" i="11"/>
  <c r="H108" i="11" s="1"/>
  <c r="F109" i="11" l="1"/>
  <c r="I108" i="11"/>
  <c r="G109" i="11"/>
  <c r="H109" i="11" s="1"/>
  <c r="I109" i="11" s="1"/>
  <c r="G110" i="11" l="1"/>
  <c r="H110" i="11" s="1"/>
  <c r="F110" i="11"/>
  <c r="F111" i="11" l="1"/>
  <c r="I110" i="11"/>
  <c r="G111" i="11"/>
  <c r="H111" i="11" s="1"/>
  <c r="F112" i="11" l="1"/>
  <c r="I111" i="11"/>
  <c r="G112" i="11" s="1"/>
  <c r="H112" i="11" s="1"/>
  <c r="I112" i="11" s="1"/>
  <c r="G113" i="11" l="1"/>
  <c r="F113" i="11"/>
  <c r="H113" i="11" s="1"/>
  <c r="F114" i="11" l="1"/>
  <c r="I113" i="11"/>
  <c r="G114" i="11"/>
  <c r="H114" i="11" s="1"/>
  <c r="F115" i="11" l="1"/>
  <c r="I114" i="11"/>
  <c r="G115" i="11"/>
  <c r="H115" i="11" s="1"/>
  <c r="F116" i="11" l="1"/>
  <c r="I115" i="11"/>
  <c r="G116" i="11"/>
  <c r="H116" i="11" s="1"/>
  <c r="F117" i="11" l="1"/>
  <c r="I116" i="11"/>
  <c r="G117" i="11"/>
  <c r="H117" i="11" s="1"/>
  <c r="I117" i="11" s="1"/>
  <c r="G118" i="11" l="1"/>
  <c r="H118" i="11" s="1"/>
  <c r="F118" i="11"/>
  <c r="I118" i="11" l="1"/>
  <c r="G119" i="11"/>
  <c r="H119" i="11" s="1"/>
  <c r="F119" i="11"/>
  <c r="I119" i="11" l="1"/>
  <c r="G120" i="11"/>
  <c r="H120" i="11" s="1"/>
  <c r="I120" i="11" s="1"/>
  <c r="F120" i="11"/>
  <c r="G121" i="11" l="1"/>
  <c r="H121" i="11" s="1"/>
  <c r="F121" i="11"/>
  <c r="I121" i="11" l="1"/>
  <c r="G122" i="11"/>
  <c r="H122" i="11" s="1"/>
  <c r="F122" i="11"/>
  <c r="F123" i="11" l="1"/>
  <c r="I122" i="11"/>
  <c r="G123" i="11"/>
  <c r="H123" i="11" s="1"/>
  <c r="F124" i="11" l="1"/>
  <c r="I123" i="11"/>
  <c r="G124" i="11"/>
  <c r="H124" i="11" s="1"/>
  <c r="F125" i="11" l="1"/>
  <c r="I124" i="11"/>
  <c r="G125" i="11"/>
  <c r="H125" i="11" s="1"/>
  <c r="F126" i="11" l="1"/>
  <c r="I125" i="11"/>
  <c r="G126" i="11"/>
  <c r="H126" i="11" s="1"/>
  <c r="F127" i="11" l="1"/>
  <c r="I126" i="11"/>
  <c r="G127" i="11" s="1"/>
  <c r="H127" i="11" s="1"/>
  <c r="F128" i="11" l="1"/>
  <c r="I127" i="11"/>
  <c r="H128" i="11"/>
  <c r="I128" i="11" s="1"/>
  <c r="G128" i="11"/>
  <c r="G129" i="11" l="1"/>
  <c r="H129" i="11" s="1"/>
  <c r="F129" i="11"/>
  <c r="F130" i="11" l="1"/>
  <c r="I129" i="11"/>
  <c r="G130" i="11"/>
  <c r="H130" i="11" s="1"/>
  <c r="F131" i="11" l="1"/>
  <c r="I130" i="11"/>
  <c r="G131" i="11" s="1"/>
  <c r="H131" i="11" s="1"/>
  <c r="I131" i="11" s="1"/>
  <c r="G132" i="11" l="1"/>
  <c r="H132" i="11" s="1"/>
  <c r="F132" i="11"/>
  <c r="I132" i="11" l="1"/>
  <c r="G133" i="11"/>
  <c r="H133" i="11" s="1"/>
  <c r="F133" i="11"/>
  <c r="F134" i="11" l="1"/>
  <c r="I133" i="11"/>
  <c r="G134" i="11" s="1"/>
  <c r="H134" i="11" s="1"/>
  <c r="F135" i="11" l="1"/>
  <c r="I134" i="11"/>
  <c r="G135" i="11"/>
  <c r="H135" i="11" s="1"/>
  <c r="F136" i="11" l="1"/>
  <c r="I135" i="11"/>
  <c r="G136" i="11"/>
  <c r="H136" i="11" s="1"/>
  <c r="F137" i="11" l="1"/>
  <c r="I136" i="11"/>
  <c r="G137" i="11"/>
  <c r="H137" i="11" s="1"/>
  <c r="F138" i="11" l="1"/>
  <c r="I137" i="11"/>
  <c r="G138" i="11"/>
  <c r="H138" i="11" s="1"/>
  <c r="I138" i="11" l="1"/>
  <c r="G139" i="11" s="1"/>
  <c r="H139" i="11" s="1"/>
  <c r="I139" i="11" s="1"/>
  <c r="F139" i="11"/>
  <c r="G140" i="11" l="1"/>
  <c r="H140" i="11" s="1"/>
  <c r="F140" i="11"/>
  <c r="F141" i="11" l="1"/>
  <c r="I140" i="11"/>
  <c r="G141" i="11"/>
  <c r="H141" i="11" s="1"/>
  <c r="F142" i="11" l="1"/>
  <c r="I141" i="11"/>
  <c r="G142" i="11" s="1"/>
  <c r="H142" i="11" s="1"/>
  <c r="I142" i="11" s="1"/>
  <c r="G143" i="11" l="1"/>
  <c r="H143" i="11" s="1"/>
  <c r="F143" i="11"/>
  <c r="F144" i="11" l="1"/>
  <c r="I143" i="11"/>
  <c r="G144" i="11"/>
  <c r="H144" i="11" s="1"/>
  <c r="I144" i="11" l="1"/>
  <c r="G145" i="11"/>
  <c r="H145" i="11" s="1"/>
  <c r="F145" i="11"/>
  <c r="F146" i="11" l="1"/>
  <c r="I145" i="11"/>
  <c r="G146" i="11"/>
  <c r="H146" i="11" s="1"/>
  <c r="F147" i="11" l="1"/>
  <c r="I146" i="11"/>
  <c r="G147" i="11"/>
  <c r="H147" i="11" s="1"/>
  <c r="I147" i="11" l="1"/>
  <c r="G148" i="11" s="1"/>
  <c r="H148" i="11" s="1"/>
  <c r="F148" i="11"/>
  <c r="F149" i="11" l="1"/>
  <c r="I148" i="11"/>
  <c r="G149" i="11" s="1"/>
  <c r="H149" i="11" s="1"/>
  <c r="I149" i="11" s="1"/>
  <c r="G150" i="11" l="1"/>
  <c r="H150" i="11" s="1"/>
  <c r="F150" i="11"/>
  <c r="F151" i="11" l="1"/>
  <c r="I150" i="11"/>
  <c r="G151" i="11"/>
  <c r="H151" i="11" s="1"/>
  <c r="F152" i="11" l="1"/>
  <c r="I151" i="11"/>
  <c r="G152" i="11" s="1"/>
  <c r="H152" i="11" s="1"/>
  <c r="F153" i="11" l="1"/>
  <c r="I152" i="11"/>
  <c r="G153" i="11"/>
  <c r="H153" i="11" s="1"/>
  <c r="F154" i="11" l="1"/>
  <c r="I153" i="11"/>
  <c r="G154" i="11"/>
  <c r="H154" i="11" s="1"/>
  <c r="I154" i="11" s="1"/>
  <c r="G155" i="11" l="1"/>
  <c r="H155" i="11" s="1"/>
  <c r="F155" i="11"/>
  <c r="F156" i="11" l="1"/>
  <c r="I155" i="11"/>
  <c r="G156" i="11"/>
  <c r="H156" i="11" s="1"/>
  <c r="F157" i="11" l="1"/>
  <c r="I156" i="11"/>
  <c r="G157" i="11" s="1"/>
  <c r="H157" i="11" s="1"/>
  <c r="F158" i="11" l="1"/>
  <c r="I157" i="11"/>
  <c r="G158" i="11" s="1"/>
  <c r="H158" i="11" s="1"/>
  <c r="I158" i="11" s="1"/>
  <c r="G159" i="11" l="1"/>
  <c r="F159" i="11"/>
  <c r="H159" i="11" s="1"/>
  <c r="I159" i="11" s="1"/>
  <c r="F160" i="11" l="1"/>
  <c r="G160" i="11"/>
  <c r="H160" i="11" s="1"/>
  <c r="F161" i="11" l="1"/>
  <c r="I160" i="11"/>
  <c r="G161" i="11"/>
  <c r="H161" i="11" s="1"/>
  <c r="F162" i="11" l="1"/>
  <c r="I161" i="11"/>
  <c r="G162" i="11" s="1"/>
  <c r="H162" i="11" s="1"/>
  <c r="F163" i="11" l="1"/>
  <c r="I162" i="11"/>
  <c r="G163" i="11"/>
  <c r="H163" i="11" s="1"/>
  <c r="F164" i="11" l="1"/>
  <c r="I163" i="11"/>
  <c r="G164" i="11"/>
  <c r="H164" i="11" s="1"/>
  <c r="I164" i="11" s="1"/>
  <c r="G165" i="11" l="1"/>
  <c r="H165" i="11" s="1"/>
  <c r="F165" i="11"/>
  <c r="F166" i="11" l="1"/>
  <c r="I165" i="11"/>
  <c r="G166" i="11"/>
  <c r="H166" i="11" s="1"/>
  <c r="F167" i="11" l="1"/>
  <c r="I166" i="11"/>
  <c r="G167" i="11"/>
  <c r="H167" i="11" s="1"/>
  <c r="F168" i="11" l="1"/>
  <c r="I167" i="11"/>
  <c r="G168" i="11" s="1"/>
  <c r="H168" i="11" s="1"/>
  <c r="F169" i="11" l="1"/>
  <c r="I168" i="11"/>
  <c r="G169" i="11" s="1"/>
  <c r="H169" i="11" s="1"/>
  <c r="F170" i="11" l="1"/>
  <c r="I169" i="11"/>
  <c r="G170" i="11" s="1"/>
  <c r="H170" i="11" s="1"/>
  <c r="F171" i="11" l="1"/>
  <c r="I170" i="11"/>
  <c r="G171" i="11"/>
  <c r="H171" i="11" s="1"/>
  <c r="F172" i="11" l="1"/>
  <c r="I171" i="11"/>
  <c r="G172" i="11"/>
  <c r="H172" i="11" s="1"/>
  <c r="F173" i="11" l="1"/>
  <c r="I172" i="11"/>
  <c r="G173" i="11"/>
  <c r="H173" i="11" s="1"/>
  <c r="F174" i="11" l="1"/>
  <c r="I173" i="11"/>
  <c r="G174" i="11"/>
  <c r="H174" i="11" s="1"/>
  <c r="I174" i="11" s="1"/>
  <c r="G175" i="11" l="1"/>
  <c r="F175" i="11"/>
  <c r="H175" i="11" s="1"/>
  <c r="I175" i="11" s="1"/>
  <c r="F176" i="11"/>
  <c r="G176" i="11" l="1"/>
  <c r="H176" i="11" s="1"/>
  <c r="F177" i="11" l="1"/>
  <c r="I176" i="11"/>
  <c r="G177" i="11"/>
  <c r="H177" i="11" s="1"/>
  <c r="F178" i="11" l="1"/>
  <c r="I177" i="11"/>
  <c r="G178" i="11" s="1"/>
  <c r="H178" i="11" s="1"/>
  <c r="I178" i="11" s="1"/>
  <c r="G179" i="11" l="1"/>
  <c r="H179" i="11" s="1"/>
  <c r="F179" i="11"/>
  <c r="F180" i="11" l="1"/>
  <c r="I179" i="11"/>
  <c r="G180" i="11"/>
  <c r="H180" i="11" s="1"/>
  <c r="I180" i="11" s="1"/>
  <c r="G181" i="11" l="1"/>
  <c r="H181" i="11" s="1"/>
  <c r="F181" i="11"/>
  <c r="I181" i="11" l="1"/>
  <c r="G182" i="11"/>
  <c r="H182" i="11" s="1"/>
  <c r="F182" i="11"/>
  <c r="F183" i="11" l="1"/>
  <c r="I182" i="11"/>
  <c r="G183" i="11"/>
  <c r="H183" i="11" s="1"/>
  <c r="I183" i="11" s="1"/>
  <c r="H184" i="11" l="1"/>
  <c r="G184" i="11"/>
  <c r="F184" i="11"/>
  <c r="F185" i="11" l="1"/>
  <c r="I184" i="11"/>
  <c r="G185" i="11"/>
  <c r="H185" i="11" s="1"/>
  <c r="I185" i="11" l="1"/>
  <c r="G186" i="11" s="1"/>
  <c r="H186" i="11" s="1"/>
  <c r="I186" i="11" s="1"/>
  <c r="F186" i="11"/>
  <c r="G187" i="11" l="1"/>
  <c r="H187" i="11" s="1"/>
  <c r="F187" i="11"/>
  <c r="F188" i="11" l="1"/>
  <c r="I187" i="11"/>
  <c r="G188" i="11" s="1"/>
  <c r="H188" i="11" s="1"/>
  <c r="F189" i="11" l="1"/>
  <c r="I188" i="11"/>
  <c r="G189" i="11" s="1"/>
  <c r="H189" i="11" s="1"/>
  <c r="F190" i="11" l="1"/>
  <c r="I189" i="11"/>
  <c r="G190" i="11"/>
  <c r="H190" i="11" s="1"/>
  <c r="F191" i="11" l="1"/>
  <c r="I190" i="11"/>
  <c r="G191" i="11"/>
  <c r="H191" i="11" s="1"/>
  <c r="F192" i="11" l="1"/>
  <c r="I191" i="11"/>
  <c r="G192" i="11" s="1"/>
  <c r="H192" i="11" s="1"/>
  <c r="I192" i="11" s="1"/>
  <c r="G193" i="11" l="1"/>
  <c r="H193" i="11" s="1"/>
  <c r="F193" i="11"/>
  <c r="I193" i="11" l="1"/>
  <c r="G194" i="11"/>
  <c r="H194" i="11" s="1"/>
  <c r="F194" i="11"/>
  <c r="F195" i="11" l="1"/>
  <c r="I194" i="11"/>
  <c r="G195" i="11" s="1"/>
  <c r="H195" i="11" s="1"/>
  <c r="F196" i="11" l="1"/>
  <c r="I195" i="11"/>
  <c r="G196" i="11"/>
  <c r="H196" i="11" s="1"/>
  <c r="F197" i="11" l="1"/>
  <c r="I196" i="11"/>
  <c r="G197" i="11" s="1"/>
  <c r="H197" i="11" s="1"/>
  <c r="F198" i="11" l="1"/>
  <c r="I197" i="11"/>
  <c r="G198" i="11"/>
  <c r="H198" i="11" s="1"/>
  <c r="I198" i="11" l="1"/>
  <c r="G199" i="11" s="1"/>
  <c r="H199" i="11" s="1"/>
  <c r="F199" i="11"/>
  <c r="F200" i="11" l="1"/>
  <c r="I199" i="11"/>
  <c r="G200" i="11" s="1"/>
  <c r="H200" i="11" s="1"/>
  <c r="F201" i="11" l="1"/>
  <c r="I200" i="11"/>
  <c r="G201" i="11"/>
  <c r="H201" i="11" s="1"/>
  <c r="F202" i="11" l="1"/>
  <c r="I201" i="11"/>
  <c r="G202" i="11" s="1"/>
  <c r="H202" i="11" s="1"/>
  <c r="I202" i="11" s="1"/>
  <c r="G203" i="11" l="1"/>
  <c r="F203" i="11"/>
  <c r="H203" i="11" s="1"/>
  <c r="I203" i="11" s="1"/>
  <c r="F204" i="11"/>
  <c r="G204" i="11" l="1"/>
  <c r="H204" i="11" s="1"/>
  <c r="F205" i="11" l="1"/>
  <c r="I204" i="11"/>
  <c r="G205" i="11" s="1"/>
  <c r="H205" i="11" s="1"/>
  <c r="F206" i="11" l="1"/>
  <c r="I205" i="11"/>
  <c r="G206" i="11"/>
  <c r="H206" i="11" s="1"/>
  <c r="F207" i="11" l="1"/>
  <c r="I206" i="11"/>
  <c r="G207" i="11"/>
  <c r="H207" i="11" s="1"/>
  <c r="F208" i="11" l="1"/>
  <c r="I207" i="11"/>
  <c r="G208" i="11"/>
  <c r="H208" i="11" s="1"/>
  <c r="F209" i="11" l="1"/>
  <c r="I208" i="11"/>
  <c r="G209" i="11" s="1"/>
  <c r="H209" i="11" s="1"/>
  <c r="I209" i="11" s="1"/>
  <c r="H210" i="11" l="1"/>
  <c r="I210" i="11" s="1"/>
  <c r="G210" i="11"/>
  <c r="F210" i="11"/>
  <c r="G211" i="11" l="1"/>
  <c r="H211" i="11" s="1"/>
  <c r="F211" i="11"/>
  <c r="I211" i="11" l="1"/>
  <c r="G212" i="11"/>
  <c r="H212" i="11" s="1"/>
  <c r="F212" i="11"/>
  <c r="F213" i="11" l="1"/>
  <c r="I212" i="11"/>
  <c r="G213" i="11"/>
  <c r="H213" i="11" s="1"/>
  <c r="F214" i="11" l="1"/>
  <c r="I213" i="11"/>
  <c r="G214" i="11"/>
  <c r="H214" i="11" s="1"/>
  <c r="I214" i="11" s="1"/>
  <c r="G215" i="11" l="1"/>
  <c r="H215" i="11" s="1"/>
  <c r="F215" i="11"/>
  <c r="F216" i="11" l="1"/>
  <c r="I215" i="11"/>
  <c r="G216" i="11"/>
  <c r="H216" i="11" s="1"/>
  <c r="F217" i="11" l="1"/>
  <c r="I216" i="11"/>
  <c r="G217" i="11"/>
  <c r="H217" i="11" s="1"/>
  <c r="I217" i="11" s="1"/>
  <c r="G218" i="11" l="1"/>
  <c r="H218" i="11" s="1"/>
  <c r="F218" i="11"/>
  <c r="F219" i="11" l="1"/>
  <c r="I218" i="11"/>
  <c r="G219" i="11"/>
  <c r="H219" i="11" s="1"/>
  <c r="F220" i="11" l="1"/>
  <c r="I219" i="11"/>
  <c r="G220" i="11"/>
  <c r="H220" i="11" s="1"/>
  <c r="F221" i="11" l="1"/>
  <c r="I220" i="11"/>
  <c r="G221" i="11"/>
  <c r="H221" i="11" s="1"/>
  <c r="F222" i="11" l="1"/>
  <c r="I221" i="11"/>
  <c r="H222" i="11"/>
  <c r="G222" i="11"/>
  <c r="F223" i="11" l="1"/>
  <c r="I222" i="11"/>
  <c r="G223" i="11"/>
  <c r="H223" i="11" s="1"/>
  <c r="F224" i="11" l="1"/>
  <c r="I223" i="11"/>
  <c r="G224" i="11"/>
  <c r="H224" i="11" s="1"/>
  <c r="F225" i="11" l="1"/>
  <c r="I224" i="11"/>
  <c r="G225" i="11"/>
  <c r="H225" i="11" s="1"/>
  <c r="F226" i="11" l="1"/>
  <c r="I225" i="11"/>
  <c r="G226" i="11"/>
  <c r="H226" i="11" s="1"/>
  <c r="F227" i="11" l="1"/>
  <c r="I226" i="11"/>
  <c r="G227" i="11"/>
  <c r="H227" i="11" s="1"/>
  <c r="F228" i="11" l="1"/>
  <c r="I227" i="11"/>
  <c r="G228" i="11" s="1"/>
  <c r="H228" i="11" s="1"/>
  <c r="F229" i="11" l="1"/>
  <c r="I228" i="11"/>
  <c r="G229" i="11" s="1"/>
  <c r="H229" i="11" s="1"/>
  <c r="F230" i="11" l="1"/>
  <c r="I229" i="11"/>
  <c r="G230" i="11"/>
  <c r="H230" i="11" s="1"/>
  <c r="F231" i="11" l="1"/>
  <c r="I230" i="11"/>
  <c r="G231" i="11"/>
  <c r="H231" i="11" s="1"/>
  <c r="I231" i="11" s="1"/>
  <c r="G232" i="11" l="1"/>
  <c r="H232" i="11" s="1"/>
  <c r="F232" i="11"/>
  <c r="F233" i="11" l="1"/>
  <c r="I232" i="11"/>
  <c r="G233" i="11"/>
  <c r="H233" i="11" s="1"/>
  <c r="F234" i="11" l="1"/>
  <c r="I233" i="11"/>
  <c r="G234" i="11"/>
  <c r="H234" i="11" s="1"/>
  <c r="F235" i="11" l="1"/>
  <c r="I234" i="11"/>
  <c r="G235" i="11"/>
  <c r="H235" i="11" s="1"/>
  <c r="F236" i="11" l="1"/>
  <c r="I235" i="11"/>
  <c r="G236" i="11"/>
  <c r="H236" i="11" s="1"/>
  <c r="I236" i="11" s="1"/>
  <c r="G237" i="11" l="1"/>
  <c r="H237" i="11" s="1"/>
  <c r="F237" i="11"/>
  <c r="F238" i="11" l="1"/>
  <c r="I237" i="11"/>
  <c r="G238" i="11"/>
  <c r="H238" i="11" s="1"/>
  <c r="F239" i="11" l="1"/>
  <c r="I238" i="11"/>
  <c r="G239" i="11"/>
  <c r="H239" i="11" s="1"/>
  <c r="F240" i="11" l="1"/>
  <c r="I239" i="11"/>
  <c r="G240" i="11"/>
  <c r="H240" i="11" s="1"/>
  <c r="F241" i="11" l="1"/>
  <c r="I240" i="11"/>
  <c r="G241" i="11"/>
  <c r="H241" i="11" s="1"/>
  <c r="F242" i="11" l="1"/>
  <c r="I241" i="11"/>
  <c r="G242" i="11" s="1"/>
  <c r="H242" i="11" s="1"/>
  <c r="I242" i="11" s="1"/>
  <c r="G243" i="11" l="1"/>
  <c r="H243" i="11" s="1"/>
  <c r="F243" i="11"/>
  <c r="F244" i="11" l="1"/>
  <c r="I243" i="11"/>
  <c r="G244" i="11" s="1"/>
  <c r="H244" i="11" s="1"/>
  <c r="F245" i="11" l="1"/>
  <c r="I244" i="11"/>
  <c r="G245" i="11"/>
  <c r="H245" i="11" s="1"/>
  <c r="I245" i="11" s="1"/>
  <c r="G246" i="11" l="1"/>
  <c r="H246" i="11" s="1"/>
  <c r="F246" i="11"/>
  <c r="F247" i="11" l="1"/>
  <c r="I246" i="11"/>
  <c r="G247" i="11"/>
  <c r="H247" i="11" s="1"/>
  <c r="F248" i="11" l="1"/>
  <c r="I247" i="11"/>
  <c r="G248" i="11"/>
  <c r="H248" i="11" s="1"/>
  <c r="F249" i="11" l="1"/>
  <c r="I248" i="11"/>
  <c r="G249" i="11"/>
  <c r="H249" i="11" s="1"/>
  <c r="I249" i="11" s="1"/>
  <c r="G250" i="11" l="1"/>
  <c r="H250" i="11" s="1"/>
  <c r="I250" i="11" s="1"/>
  <c r="F250" i="11"/>
  <c r="G251" i="11" l="1"/>
  <c r="H251" i="11" s="1"/>
  <c r="I251" i="11" s="1"/>
  <c r="F251" i="11"/>
  <c r="G252" i="11" l="1"/>
  <c r="H252" i="11" s="1"/>
  <c r="F252" i="11"/>
  <c r="F253" i="11" l="1"/>
  <c r="I252" i="11"/>
  <c r="G253" i="11"/>
  <c r="H253" i="11" s="1"/>
  <c r="F254" i="11" l="1"/>
  <c r="I253" i="11"/>
  <c r="G254" i="11"/>
  <c r="H254" i="11" s="1"/>
  <c r="I254" i="11" s="1"/>
  <c r="G255" i="11" l="1"/>
  <c r="H255" i="11" s="1"/>
  <c r="F255" i="11"/>
  <c r="I255" i="11" l="1"/>
  <c r="G256" i="11"/>
  <c r="H256" i="11" s="1"/>
  <c r="F256" i="11"/>
  <c r="F257" i="11" l="1"/>
  <c r="I256" i="11"/>
  <c r="G257" i="11"/>
  <c r="H257" i="11" s="1"/>
  <c r="F258" i="11" l="1"/>
  <c r="I257" i="11"/>
  <c r="G258" i="11"/>
  <c r="H258" i="11" s="1"/>
  <c r="F259" i="11" l="1"/>
  <c r="I258" i="11"/>
  <c r="G259" i="11"/>
  <c r="H259" i="11" s="1"/>
  <c r="F260" i="11" l="1"/>
  <c r="I259" i="11"/>
  <c r="G260" i="11"/>
  <c r="H260" i="11" s="1"/>
  <c r="F261" i="11" l="1"/>
  <c r="I260" i="11"/>
  <c r="G261" i="11" s="1"/>
  <c r="H261" i="11" s="1"/>
  <c r="F262" i="11" l="1"/>
  <c r="I261" i="11"/>
  <c r="G262" i="11"/>
  <c r="H262" i="11" s="1"/>
  <c r="I262" i="11" s="1"/>
  <c r="G263" i="11" l="1"/>
  <c r="H263" i="11" s="1"/>
  <c r="F263" i="11"/>
  <c r="F264" i="11" l="1"/>
  <c r="I263" i="11"/>
  <c r="G264" i="11"/>
  <c r="H264" i="11" s="1"/>
  <c r="F265" i="11" l="1"/>
  <c r="I264" i="11"/>
  <c r="G265" i="11"/>
  <c r="H265" i="11" s="1"/>
  <c r="F266" i="11" l="1"/>
  <c r="I265" i="11"/>
  <c r="G266" i="11"/>
  <c r="H266" i="11" s="1"/>
  <c r="F267" i="11" l="1"/>
  <c r="I266" i="11"/>
  <c r="G267" i="11"/>
  <c r="H267" i="11" s="1"/>
  <c r="I267" i="11" s="1"/>
  <c r="G268" i="11" l="1"/>
  <c r="H268" i="11" s="1"/>
  <c r="F268" i="11"/>
  <c r="F269" i="11" l="1"/>
  <c r="I268" i="11"/>
  <c r="G269" i="11" s="1"/>
  <c r="H269" i="11" s="1"/>
  <c r="F270" i="11" l="1"/>
  <c r="I269" i="11"/>
  <c r="G270" i="11"/>
  <c r="H270" i="11" s="1"/>
  <c r="F271" i="11" l="1"/>
  <c r="I270" i="11"/>
  <c r="G271" i="11"/>
  <c r="H271" i="11" s="1"/>
  <c r="I271" i="11" s="1"/>
  <c r="G272" i="11" l="1"/>
  <c r="H272" i="11" s="1"/>
  <c r="F272" i="11"/>
  <c r="F273" i="11" l="1"/>
  <c r="I272" i="11"/>
  <c r="G273" i="11"/>
  <c r="H273" i="11" s="1"/>
  <c r="F274" i="11" l="1"/>
  <c r="I273" i="11"/>
  <c r="G274" i="11"/>
  <c r="H274" i="11" s="1"/>
  <c r="F275" i="11" l="1"/>
  <c r="I274" i="11"/>
  <c r="G275" i="11"/>
  <c r="H275" i="11" s="1"/>
  <c r="I275" i="11" s="1"/>
  <c r="G276" i="11" l="1"/>
  <c r="H276" i="11" s="1"/>
  <c r="F276" i="11"/>
  <c r="I276" i="11" l="1"/>
  <c r="G277" i="11"/>
  <c r="H277" i="11" s="1"/>
  <c r="F277" i="11"/>
  <c r="I277" i="11" l="1"/>
  <c r="G278" i="11"/>
  <c r="H278" i="11" s="1"/>
  <c r="I278" i="11" s="1"/>
  <c r="F278" i="11"/>
  <c r="G279" i="11" l="1"/>
  <c r="H279" i="11" s="1"/>
  <c r="F279" i="11"/>
  <c r="I279" i="11" l="1"/>
  <c r="G280" i="11" s="1"/>
  <c r="H280" i="11" s="1"/>
  <c r="F280" i="11"/>
  <c r="F281" i="11" l="1"/>
  <c r="I280" i="11"/>
  <c r="G281" i="11" s="1"/>
  <c r="H281" i="11" s="1"/>
  <c r="F282" i="11" l="1"/>
  <c r="I281" i="11"/>
  <c r="G282" i="11" s="1"/>
  <c r="H282" i="11" s="1"/>
  <c r="F283" i="11" l="1"/>
  <c r="I282" i="11"/>
  <c r="G283" i="11" s="1"/>
  <c r="H283" i="11" s="1"/>
  <c r="F284" i="11" l="1"/>
  <c r="I283" i="11"/>
  <c r="G284" i="11"/>
  <c r="H284" i="11" s="1"/>
  <c r="F285" i="11" l="1"/>
  <c r="I284" i="11"/>
  <c r="G285" i="11" s="1"/>
  <c r="H285" i="11" s="1"/>
  <c r="F286" i="11" l="1"/>
  <c r="I285" i="11"/>
  <c r="G286" i="11"/>
  <c r="H286" i="11" s="1"/>
  <c r="I286" i="11" s="1"/>
  <c r="G287" i="11" l="1"/>
  <c r="H287" i="11" s="1"/>
  <c r="F287" i="11"/>
  <c r="F288" i="11" l="1"/>
  <c r="I287" i="11"/>
  <c r="G288" i="11"/>
  <c r="H288" i="11" s="1"/>
  <c r="F289" i="11" l="1"/>
  <c r="I288" i="11"/>
  <c r="G289" i="11"/>
  <c r="H289" i="11" s="1"/>
  <c r="I289" i="11" s="1"/>
  <c r="G290" i="11" l="1"/>
  <c r="H290" i="11" s="1"/>
  <c r="F290" i="11"/>
  <c r="F291" i="11" l="1"/>
  <c r="I290" i="11"/>
  <c r="G291" i="11"/>
  <c r="H291" i="11" s="1"/>
  <c r="F292" i="11" l="1"/>
  <c r="I291" i="11"/>
  <c r="G292" i="11"/>
  <c r="H292" i="11" s="1"/>
  <c r="I292" i="11" s="1"/>
  <c r="G293" i="11" l="1"/>
  <c r="F293" i="11"/>
  <c r="H293" i="11" s="1"/>
  <c r="F294" i="11" l="1"/>
  <c r="I293" i="11"/>
  <c r="G294" i="11"/>
  <c r="H294" i="11" s="1"/>
  <c r="I294" i="11" s="1"/>
  <c r="G295" i="11" l="1"/>
  <c r="H295" i="11" s="1"/>
  <c r="F295" i="11"/>
  <c r="F296" i="11" l="1"/>
  <c r="I295" i="11"/>
  <c r="G296" i="11"/>
  <c r="H296" i="11" s="1"/>
  <c r="F297" i="11" l="1"/>
  <c r="I296" i="11"/>
  <c r="G297" i="11"/>
  <c r="H297" i="11" s="1"/>
  <c r="F298" i="11" l="1"/>
  <c r="I297" i="11"/>
  <c r="G298" i="11"/>
  <c r="H298" i="11" s="1"/>
  <c r="F299" i="11" l="1"/>
  <c r="I298" i="11"/>
  <c r="G299" i="11"/>
  <c r="H299" i="11" s="1"/>
  <c r="F300" i="11" l="1"/>
  <c r="I299" i="11"/>
  <c r="G300" i="11"/>
  <c r="H300" i="11" s="1"/>
  <c r="I300" i="11" s="1"/>
  <c r="G301" i="11" l="1"/>
  <c r="H301" i="11" s="1"/>
  <c r="F301" i="11"/>
  <c r="F302" i="11" l="1"/>
  <c r="I301" i="11"/>
  <c r="G302" i="11"/>
  <c r="H302" i="11" s="1"/>
  <c r="F303" i="11" l="1"/>
  <c r="I302" i="11"/>
  <c r="G303" i="11"/>
  <c r="H303" i="11" s="1"/>
  <c r="F304" i="11" l="1"/>
  <c r="I303" i="11"/>
  <c r="G304" i="11"/>
  <c r="H304" i="11" s="1"/>
  <c r="F305" i="11" l="1"/>
  <c r="I304" i="11"/>
  <c r="G305" i="11"/>
  <c r="H305" i="11" s="1"/>
  <c r="F306" i="11" l="1"/>
  <c r="I305" i="11"/>
  <c r="G306" i="11" s="1"/>
  <c r="H306" i="11" s="1"/>
  <c r="F307" i="11" l="1"/>
  <c r="I306" i="11"/>
  <c r="G307" i="11"/>
  <c r="H307" i="11" s="1"/>
  <c r="F308" i="11" l="1"/>
  <c r="I307" i="11"/>
  <c r="G308" i="11"/>
  <c r="H308" i="11" s="1"/>
  <c r="F309" i="11" l="1"/>
  <c r="I308" i="11"/>
  <c r="G309" i="11"/>
  <c r="H309" i="11" s="1"/>
  <c r="I309" i="11" s="1"/>
  <c r="G310" i="11" l="1"/>
  <c r="H310" i="11" s="1"/>
  <c r="F310" i="11"/>
  <c r="F311" i="11" l="1"/>
  <c r="I310" i="11"/>
  <c r="G311" i="11"/>
  <c r="H311" i="11" s="1"/>
  <c r="F312" i="11" l="1"/>
  <c r="I311" i="11"/>
  <c r="G312" i="11"/>
  <c r="H312" i="11" s="1"/>
  <c r="F313" i="11" l="1"/>
  <c r="I312" i="11"/>
  <c r="G313" i="11"/>
  <c r="H313" i="11" s="1"/>
  <c r="I313" i="11" s="1"/>
  <c r="G314" i="11" l="1"/>
  <c r="F314" i="11"/>
  <c r="H314" i="11" s="1"/>
  <c r="F315" i="11" l="1"/>
  <c r="I314" i="11"/>
  <c r="G315" i="11"/>
  <c r="H315" i="11" s="1"/>
  <c r="F316" i="11" l="1"/>
  <c r="I315" i="11"/>
  <c r="G316" i="11"/>
  <c r="H316" i="11" s="1"/>
  <c r="F317" i="11" l="1"/>
  <c r="I316" i="11"/>
  <c r="G317" i="11"/>
  <c r="H317" i="11" s="1"/>
  <c r="F318" i="11" l="1"/>
  <c r="I317" i="11"/>
  <c r="G318" i="11" s="1"/>
  <c r="H318" i="11" s="1"/>
  <c r="F319" i="11" l="1"/>
  <c r="I318" i="11"/>
  <c r="G319" i="11"/>
  <c r="H319" i="11" s="1"/>
  <c r="F320" i="11" l="1"/>
  <c r="I319" i="11"/>
  <c r="G320" i="11"/>
  <c r="H320" i="11" s="1"/>
  <c r="F321" i="11" l="1"/>
  <c r="I320" i="11"/>
  <c r="G321" i="11"/>
  <c r="H321" i="11" s="1"/>
  <c r="F322" i="11" l="1"/>
  <c r="I321" i="11"/>
  <c r="G322" i="11"/>
  <c r="H322" i="11" s="1"/>
  <c r="F323" i="11" l="1"/>
  <c r="I322" i="11"/>
  <c r="G323" i="11"/>
  <c r="H323" i="11" s="1"/>
  <c r="F324" i="11" l="1"/>
  <c r="I323" i="11"/>
  <c r="G324" i="11"/>
  <c r="H324" i="11" s="1"/>
  <c r="F325" i="11" l="1"/>
  <c r="I324" i="11"/>
  <c r="G325" i="11"/>
  <c r="H325" i="11" s="1"/>
  <c r="I325" i="11" s="1"/>
  <c r="G326" i="11" l="1"/>
  <c r="H326" i="11" s="1"/>
  <c r="F326" i="11"/>
  <c r="I326" i="11" l="1"/>
  <c r="G327" i="11"/>
  <c r="H327" i="11" s="1"/>
  <c r="F327" i="11"/>
  <c r="F328" i="11" l="1"/>
  <c r="I327" i="11"/>
  <c r="G328" i="11"/>
  <c r="H328" i="11" s="1"/>
  <c r="F329" i="11" l="1"/>
  <c r="I328" i="11"/>
  <c r="G329" i="11"/>
  <c r="H329" i="11" s="1"/>
  <c r="F330" i="11" l="1"/>
  <c r="I329" i="11"/>
  <c r="G330" i="11"/>
  <c r="H330" i="11" s="1"/>
  <c r="I330" i="11" s="1"/>
  <c r="G331" i="11" l="1"/>
  <c r="F331" i="11"/>
  <c r="H331" i="11" s="1"/>
  <c r="I331" i="11" s="1"/>
  <c r="F332" i="11"/>
  <c r="G332" i="11" l="1"/>
  <c r="H332" i="11" s="1"/>
  <c r="F333" i="11" l="1"/>
  <c r="I332" i="11"/>
  <c r="G333" i="11"/>
  <c r="H333" i="11" s="1"/>
  <c r="I333" i="11" s="1"/>
  <c r="G334" i="11" l="1"/>
  <c r="H334" i="11" s="1"/>
  <c r="F334" i="11"/>
  <c r="F335" i="11" l="1"/>
  <c r="I334" i="11"/>
  <c r="G335" i="11"/>
  <c r="H335" i="11" s="1"/>
  <c r="I335" i="11" s="1"/>
  <c r="G336" i="11" l="1"/>
  <c r="H336" i="11" s="1"/>
  <c r="F336" i="11"/>
  <c r="I336" i="11" l="1"/>
  <c r="G337" i="11"/>
  <c r="H337" i="11" s="1"/>
  <c r="F337" i="11"/>
  <c r="F338" i="11" l="1"/>
  <c r="I337" i="11"/>
  <c r="G338" i="11"/>
  <c r="H338" i="11" s="1"/>
  <c r="I338" i="11" s="1"/>
  <c r="G339" i="11" l="1"/>
  <c r="H339" i="11" s="1"/>
  <c r="F339" i="11"/>
  <c r="F340" i="11" l="1"/>
  <c r="I339" i="11"/>
  <c r="G340" i="11"/>
  <c r="H340" i="11" s="1"/>
  <c r="F341" i="11" l="1"/>
  <c r="I340" i="11"/>
  <c r="G341" i="11"/>
  <c r="H341" i="11" s="1"/>
  <c r="F342" i="11" l="1"/>
  <c r="I341" i="11"/>
  <c r="G342" i="11"/>
  <c r="H342" i="11" s="1"/>
  <c r="I342" i="11" s="1"/>
  <c r="G343" i="11" l="1"/>
  <c r="H343" i="11" s="1"/>
  <c r="F343" i="11"/>
  <c r="F344" i="11" l="1"/>
  <c r="I343" i="11"/>
  <c r="G344" i="11"/>
  <c r="H344" i="11" s="1"/>
  <c r="F345" i="11" l="1"/>
  <c r="I344" i="11"/>
  <c r="G345" i="11"/>
  <c r="H345" i="11" s="1"/>
  <c r="F346" i="11" l="1"/>
  <c r="I345" i="11"/>
  <c r="G346" i="11"/>
  <c r="H346" i="11" s="1"/>
  <c r="I346" i="11" s="1"/>
  <c r="G347" i="11" l="1"/>
  <c r="H347" i="11" s="1"/>
  <c r="F347" i="11"/>
  <c r="I347" i="11" l="1"/>
  <c r="F348" i="11"/>
  <c r="G348" i="11"/>
  <c r="H348" i="11" s="1"/>
  <c r="F349" i="11" l="1"/>
  <c r="I348" i="11"/>
  <c r="G349" i="11"/>
  <c r="H349" i="11" s="1"/>
  <c r="F350" i="11" l="1"/>
  <c r="I349" i="11"/>
  <c r="G350" i="11"/>
  <c r="H350" i="11" s="1"/>
  <c r="F351" i="11" l="1"/>
  <c r="I350" i="11"/>
  <c r="G351" i="11"/>
  <c r="H351" i="11" s="1"/>
  <c r="F352" i="11" l="1"/>
  <c r="I351" i="11"/>
  <c r="G352" i="11"/>
  <c r="H352" i="11" s="1"/>
  <c r="F353" i="11" l="1"/>
  <c r="I352" i="11"/>
  <c r="G353" i="11"/>
  <c r="H353" i="11" s="1"/>
  <c r="F354" i="11" l="1"/>
  <c r="I353" i="11"/>
  <c r="G354" i="11" s="1"/>
  <c r="H354" i="11" s="1"/>
  <c r="F355" i="11" l="1"/>
  <c r="I354" i="11"/>
  <c r="G355" i="11"/>
  <c r="H355" i="11" s="1"/>
  <c r="F356" i="11" l="1"/>
  <c r="I355" i="11"/>
  <c r="G356" i="11" s="1"/>
  <c r="H356" i="11" s="1"/>
  <c r="I356" i="11" s="1"/>
  <c r="G357" i="11" l="1"/>
  <c r="F357" i="11"/>
  <c r="H357" i="11" s="1"/>
  <c r="I357" i="11" s="1"/>
  <c r="F358" i="11"/>
  <c r="G358" i="11" l="1"/>
  <c r="H358" i="11" s="1"/>
  <c r="I358" i="11" s="1"/>
  <c r="G359" i="11" l="1"/>
  <c r="H359" i="11" s="1"/>
  <c r="F359" i="11"/>
  <c r="F360" i="11" l="1"/>
  <c r="I359" i="11"/>
  <c r="G360" i="11"/>
  <c r="H360" i="11" s="1"/>
  <c r="F361" i="11" l="1"/>
  <c r="I360" i="11"/>
  <c r="G361" i="11"/>
  <c r="H361" i="11" s="1"/>
  <c r="F362" i="11" l="1"/>
  <c r="I361" i="11"/>
  <c r="G362" i="11" s="1"/>
  <c r="H362" i="11" s="1"/>
  <c r="F363" i="11" l="1"/>
  <c r="I362" i="11"/>
  <c r="G363" i="11"/>
  <c r="H363" i="11" s="1"/>
  <c r="F364" i="11" l="1"/>
  <c r="I363" i="11"/>
  <c r="G364" i="11"/>
  <c r="H364" i="11" s="1"/>
  <c r="I364" i="11" s="1"/>
  <c r="G365" i="11" l="1"/>
  <c r="H365" i="11" s="1"/>
  <c r="F365" i="11"/>
  <c r="F366" i="11" l="1"/>
  <c r="I365" i="11"/>
  <c r="G366" i="11"/>
  <c r="H366" i="11" s="1"/>
  <c r="I366" i="11" s="1"/>
  <c r="G367" i="11" l="1"/>
  <c r="H367" i="11" s="1"/>
  <c r="I367" i="11" s="1"/>
  <c r="F367" i="11"/>
  <c r="G368" i="11" l="1"/>
  <c r="H368" i="11" s="1"/>
  <c r="F368" i="11"/>
  <c r="F369" i="11" l="1"/>
  <c r="I368" i="11"/>
  <c r="G369" i="11"/>
  <c r="H369" i="11" s="1"/>
  <c r="I369" i="11" s="1"/>
  <c r="G370" i="11" l="1"/>
  <c r="H370" i="11" s="1"/>
  <c r="F370" i="11"/>
  <c r="F371" i="11" l="1"/>
  <c r="I370" i="11"/>
  <c r="G371" i="11"/>
  <c r="H371" i="11" s="1"/>
  <c r="F372" i="11" l="1"/>
  <c r="I371" i="11"/>
  <c r="G372" i="11"/>
  <c r="H372" i="11" s="1"/>
  <c r="F373" i="11" l="1"/>
  <c r="I372" i="11"/>
  <c r="G373" i="11"/>
  <c r="H373" i="11" s="1"/>
  <c r="F374" i="11" l="1"/>
  <c r="I373" i="11"/>
  <c r="G374" i="11" s="1"/>
  <c r="H374" i="11" s="1"/>
  <c r="F375" i="11" l="1"/>
  <c r="I374" i="11"/>
  <c r="G375" i="11"/>
  <c r="H375" i="11" s="1"/>
  <c r="F376" i="11" l="1"/>
  <c r="I375" i="11"/>
  <c r="G376" i="11"/>
  <c r="H376" i="11" s="1"/>
  <c r="F377" i="11" l="1"/>
  <c r="I376" i="11"/>
  <c r="G377" i="11"/>
  <c r="H377" i="11" s="1"/>
  <c r="F378" i="11" l="1"/>
  <c r="I377" i="11"/>
  <c r="G378" i="11"/>
  <c r="H378" i="11" s="1"/>
  <c r="F379" i="11" l="1"/>
  <c r="I378" i="11"/>
  <c r="G379" i="11" s="1"/>
  <c r="H379" i="11" s="1"/>
  <c r="F380" i="11" l="1"/>
  <c r="I379" i="11"/>
  <c r="G380" i="11" s="1"/>
  <c r="H380" i="11" s="1"/>
  <c r="I380" i="11" s="1"/>
  <c r="G381" i="11" l="1"/>
  <c r="F381" i="11"/>
  <c r="H381" i="11" s="1"/>
  <c r="I381" i="11" s="1"/>
  <c r="G382" i="11" l="1"/>
  <c r="H382" i="11" s="1"/>
  <c r="I382" i="11" s="1"/>
  <c r="F382" i="11"/>
  <c r="G383" i="11" l="1"/>
  <c r="H383" i="11" s="1"/>
  <c r="F383" i="11"/>
  <c r="I383" i="11" l="1"/>
  <c r="G384" i="11"/>
  <c r="H384" i="11" s="1"/>
  <c r="F384" i="11"/>
  <c r="F385" i="11" l="1"/>
  <c r="I384" i="11"/>
  <c r="G385" i="11"/>
  <c r="H385" i="11" s="1"/>
  <c r="F386" i="11" l="1"/>
  <c r="I385" i="11"/>
  <c r="G386" i="11"/>
  <c r="H386" i="11" s="1"/>
  <c r="F387" i="11" l="1"/>
  <c r="I386" i="11"/>
  <c r="G387" i="11"/>
  <c r="H387" i="11" s="1"/>
  <c r="F388" i="11" l="1"/>
  <c r="I387" i="11"/>
  <c r="G388" i="11"/>
  <c r="H388" i="11" s="1"/>
  <c r="I388" i="11" s="1"/>
  <c r="G389" i="11" l="1"/>
  <c r="H389" i="11" s="1"/>
  <c r="F389" i="11"/>
  <c r="F390" i="11" l="1"/>
  <c r="I389" i="11"/>
  <c r="G390" i="11" s="1"/>
  <c r="H390" i="11" s="1"/>
  <c r="F391" i="11" l="1"/>
  <c r="I390" i="11"/>
  <c r="G391" i="11" s="1"/>
  <c r="H391" i="11" s="1"/>
  <c r="I391" i="11" s="1"/>
  <c r="G392" i="11" l="1"/>
  <c r="H392" i="11" s="1"/>
  <c r="F392" i="11"/>
  <c r="F393" i="11" l="1"/>
  <c r="I392" i="11"/>
  <c r="G393" i="11"/>
  <c r="H393" i="11" s="1"/>
  <c r="F394" i="11" l="1"/>
  <c r="I393" i="11"/>
  <c r="G394" i="11"/>
  <c r="H394" i="11" s="1"/>
  <c r="F395" i="11" l="1"/>
  <c r="I394" i="11"/>
  <c r="G395" i="11" s="1"/>
  <c r="H395" i="11" s="1"/>
  <c r="F396" i="11" l="1"/>
  <c r="I395" i="11"/>
  <c r="G396" i="11" s="1"/>
  <c r="H396" i="11" s="1"/>
  <c r="F397" i="11" l="1"/>
  <c r="I396" i="11"/>
  <c r="G397" i="11"/>
  <c r="H397" i="11" s="1"/>
  <c r="F398" i="11" l="1"/>
  <c r="I397" i="11"/>
  <c r="G398" i="11"/>
  <c r="H398" i="11" s="1"/>
  <c r="F399" i="11" l="1"/>
  <c r="I398" i="11"/>
  <c r="G399" i="11"/>
  <c r="H399" i="11" s="1"/>
  <c r="F400" i="11" l="1"/>
  <c r="I399" i="11"/>
  <c r="G400" i="11"/>
  <c r="H400" i="11" s="1"/>
  <c r="F401" i="11" l="1"/>
  <c r="I400" i="11"/>
  <c r="G401" i="11"/>
  <c r="H401" i="11" s="1"/>
  <c r="F402" i="11" l="1"/>
  <c r="I401" i="11"/>
  <c r="G402" i="11" s="1"/>
  <c r="H402" i="11" s="1"/>
  <c r="F403" i="11" l="1"/>
  <c r="I402" i="11"/>
  <c r="G403" i="11" s="1"/>
  <c r="H403" i="11" s="1"/>
  <c r="I403" i="11" s="1"/>
  <c r="G404" i="11" l="1"/>
  <c r="H404" i="11" s="1"/>
  <c r="F404" i="11"/>
  <c r="F405" i="11" l="1"/>
  <c r="I404" i="11"/>
  <c r="G405" i="11"/>
  <c r="H405" i="11" s="1"/>
  <c r="I405" i="11" s="1"/>
  <c r="G406" i="11" l="1"/>
  <c r="H406" i="11" s="1"/>
  <c r="F406" i="11"/>
  <c r="F407" i="11" l="1"/>
  <c r="I406" i="11"/>
  <c r="G407" i="11"/>
  <c r="H407" i="11" s="1"/>
  <c r="I407" i="11" s="1"/>
  <c r="G408" i="11" l="1"/>
  <c r="H408" i="11" s="1"/>
  <c r="F408" i="11"/>
  <c r="F409" i="11" l="1"/>
  <c r="I408" i="11"/>
  <c r="G409" i="11"/>
  <c r="H409" i="11" s="1"/>
  <c r="I409" i="11" s="1"/>
  <c r="G410" i="11" l="1"/>
  <c r="H410" i="11" s="1"/>
  <c r="F410" i="11"/>
  <c r="F411" i="11" l="1"/>
  <c r="I410" i="11"/>
  <c r="G411" i="11"/>
  <c r="H411" i="11" s="1"/>
  <c r="F412" i="11" l="1"/>
  <c r="I411" i="11"/>
  <c r="G412" i="11"/>
  <c r="H412" i="11" s="1"/>
  <c r="F413" i="11" l="1"/>
  <c r="I412" i="11"/>
  <c r="G413" i="11"/>
  <c r="H413" i="11" s="1"/>
  <c r="I413" i="11" s="1"/>
  <c r="G414" i="11" l="1"/>
  <c r="H414" i="11" s="1"/>
  <c r="F414" i="11"/>
  <c r="F415" i="11" l="1"/>
  <c r="I414" i="11"/>
  <c r="G415" i="11" s="1"/>
  <c r="H415" i="11" s="1"/>
  <c r="F416" i="11" l="1"/>
  <c r="I415" i="11"/>
  <c r="G416" i="11"/>
  <c r="H416" i="11" s="1"/>
  <c r="I416" i="11" s="1"/>
  <c r="G417" i="11" l="1"/>
  <c r="H417" i="11" s="1"/>
  <c r="F417" i="11"/>
  <c r="F418" i="11" l="1"/>
  <c r="I417" i="11"/>
  <c r="G418" i="11"/>
  <c r="H418" i="11" s="1"/>
  <c r="F419" i="11" l="1"/>
  <c r="I418" i="11"/>
  <c r="G419" i="11"/>
  <c r="H419" i="11" s="1"/>
  <c r="F420" i="11" l="1"/>
  <c r="I419" i="11"/>
  <c r="G420" i="11"/>
  <c r="H420" i="11" s="1"/>
  <c r="F421" i="11" l="1"/>
  <c r="I420" i="11"/>
  <c r="G421" i="11"/>
  <c r="H421" i="11" s="1"/>
  <c r="F422" i="11" l="1"/>
  <c r="I421" i="11"/>
  <c r="G422" i="11"/>
  <c r="H422" i="11" s="1"/>
  <c r="F423" i="11" l="1"/>
  <c r="I422" i="11"/>
  <c r="G423" i="11"/>
  <c r="H423" i="11" s="1"/>
  <c r="I423" i="11" s="1"/>
  <c r="G424" i="11" l="1"/>
  <c r="H424" i="11" s="1"/>
  <c r="F424" i="11"/>
  <c r="F425" i="11" l="1"/>
  <c r="I424" i="11"/>
  <c r="G425" i="11"/>
  <c r="H425" i="11" s="1"/>
  <c r="F426" i="11" l="1"/>
  <c r="I425" i="11"/>
  <c r="G426" i="11"/>
  <c r="H426" i="11" s="1"/>
  <c r="F427" i="11" l="1"/>
  <c r="I426" i="11"/>
  <c r="G427" i="11"/>
  <c r="H427" i="11" s="1"/>
  <c r="I427" i="11" s="1"/>
  <c r="H428" i="11" l="1"/>
  <c r="G428" i="11"/>
  <c r="F428" i="11"/>
  <c r="F429" i="11" l="1"/>
  <c r="I428" i="11"/>
  <c r="G429" i="11"/>
  <c r="H429" i="11" s="1"/>
  <c r="F430" i="11" l="1"/>
  <c r="I429" i="11"/>
  <c r="G430" i="11"/>
  <c r="H430" i="11" s="1"/>
  <c r="I430" i="11" s="1"/>
  <c r="G431" i="11" l="1"/>
  <c r="H431" i="11" s="1"/>
  <c r="F431" i="11"/>
  <c r="F432" i="11" l="1"/>
  <c r="I431" i="11"/>
  <c r="G432" i="11"/>
  <c r="H432" i="11" s="1"/>
  <c r="F433" i="11" l="1"/>
  <c r="I432" i="11"/>
  <c r="G433" i="11"/>
  <c r="H433" i="11" s="1"/>
  <c r="F434" i="11" l="1"/>
  <c r="I433" i="11"/>
  <c r="G434" i="11"/>
  <c r="H434" i="11" s="1"/>
  <c r="F435" i="11" l="1"/>
  <c r="I434" i="11"/>
  <c r="G435" i="11"/>
  <c r="H435" i="11" s="1"/>
  <c r="I435" i="11" l="1"/>
  <c r="G436" i="11"/>
  <c r="H436" i="11" s="1"/>
  <c r="F436" i="11"/>
  <c r="I436" i="11" l="1"/>
  <c r="G437" i="11"/>
  <c r="H437" i="11" s="1"/>
  <c r="F437" i="11"/>
  <c r="I437" i="11" l="1"/>
  <c r="G438" i="11"/>
  <c r="H438" i="11" s="1"/>
  <c r="F438" i="11"/>
  <c r="F439" i="11" l="1"/>
  <c r="I438" i="11"/>
  <c r="G439" i="11" s="1"/>
  <c r="H439" i="11" s="1"/>
  <c r="F440" i="11" l="1"/>
  <c r="I439" i="11"/>
  <c r="G440" i="11"/>
  <c r="H440" i="11" s="1"/>
  <c r="F441" i="11" l="1"/>
  <c r="I440" i="11"/>
  <c r="G441" i="11"/>
  <c r="H441" i="11" s="1"/>
  <c r="I441" i="11" l="1"/>
  <c r="G442" i="11"/>
  <c r="H442" i="11" s="1"/>
  <c r="F442" i="11"/>
  <c r="I442" i="11" l="1"/>
  <c r="G443" i="11" s="1"/>
  <c r="H443" i="11" s="1"/>
  <c r="I443" i="11" s="1"/>
  <c r="F443" i="11"/>
  <c r="G444" i="11" l="1"/>
  <c r="F444" i="11"/>
  <c r="H444" i="11" l="1"/>
  <c r="F445" i="11" l="1"/>
  <c r="I444" i="11"/>
  <c r="G445" i="11" s="1"/>
  <c r="H445" i="11" s="1"/>
  <c r="I445" i="11" s="1"/>
  <c r="G446" i="11"/>
  <c r="H446" i="11" s="1"/>
  <c r="F446" i="11"/>
  <c r="I446" i="11" l="1"/>
  <c r="G447" i="11"/>
  <c r="H447" i="11" s="1"/>
  <c r="F447" i="11"/>
  <c r="F448" i="11" l="1"/>
  <c r="I447" i="11"/>
  <c r="G448" i="11"/>
  <c r="H448" i="11" s="1"/>
  <c r="F449" i="11" l="1"/>
  <c r="I448" i="11"/>
  <c r="G449" i="11"/>
  <c r="H449" i="11" s="1"/>
  <c r="F450" i="11" l="1"/>
  <c r="I449" i="11"/>
  <c r="G450" i="11"/>
  <c r="H450" i="11" s="1"/>
  <c r="I450" i="11" l="1"/>
  <c r="G451" i="11"/>
  <c r="H451" i="11" s="1"/>
  <c r="F451" i="11"/>
  <c r="I451" i="11" l="1"/>
  <c r="G452" i="11"/>
  <c r="H452" i="11" s="1"/>
  <c r="F452" i="11"/>
  <c r="F453" i="11" l="1"/>
  <c r="I452" i="11"/>
  <c r="G453" i="11"/>
  <c r="H453" i="11" s="1"/>
  <c r="F454" i="11" l="1"/>
  <c r="I453" i="11"/>
  <c r="G454" i="11"/>
  <c r="H454" i="11" s="1"/>
  <c r="I454" i="11" s="1"/>
  <c r="G455" i="11" l="1"/>
  <c r="H455" i="11" s="1"/>
  <c r="I455" i="11" s="1"/>
  <c r="F455" i="11"/>
  <c r="G456" i="11" l="1"/>
  <c r="H456" i="11" s="1"/>
  <c r="F456" i="11"/>
  <c r="F457" i="11" l="1"/>
  <c r="I456" i="11"/>
  <c r="G457" i="11"/>
  <c r="H457" i="11" s="1"/>
  <c r="F458" i="11" l="1"/>
  <c r="I457" i="11"/>
  <c r="G458" i="11"/>
  <c r="H458" i="11" s="1"/>
  <c r="I458" i="11" s="1"/>
  <c r="G459" i="11" l="1"/>
  <c r="F459" i="11"/>
  <c r="H459" i="11" l="1"/>
  <c r="I459" i="11" s="1"/>
  <c r="G460" i="11" l="1"/>
  <c r="H460" i="11" s="1"/>
  <c r="F460" i="11"/>
  <c r="I460" i="11" l="1"/>
  <c r="G461" i="11"/>
  <c r="H461" i="11" s="1"/>
  <c r="F461" i="11"/>
  <c r="I461" i="11" l="1"/>
  <c r="G462" i="11"/>
  <c r="H462" i="11" s="1"/>
  <c r="I462" i="11" s="1"/>
  <c r="F462" i="11"/>
  <c r="G463" i="11" l="1"/>
  <c r="H463" i="11" s="1"/>
  <c r="F463" i="11"/>
  <c r="I463" i="11" l="1"/>
  <c r="G464" i="11"/>
  <c r="H464" i="11" s="1"/>
  <c r="I464" i="11" s="1"/>
  <c r="F464" i="11"/>
  <c r="G465" i="11" l="1"/>
  <c r="H465" i="11" s="1"/>
  <c r="I465" i="11" s="1"/>
  <c r="F465" i="11"/>
  <c r="G466" i="11" l="1"/>
  <c r="H466" i="11" s="1"/>
  <c r="I466" i="11" s="1"/>
  <c r="F466" i="11"/>
  <c r="G467" i="11" l="1"/>
  <c r="H467" i="11" s="1"/>
  <c r="F467" i="11"/>
  <c r="I467" i="11" l="1"/>
  <c r="G468" i="11"/>
  <c r="H468" i="11" s="1"/>
  <c r="F468" i="11"/>
  <c r="I468" i="11" l="1"/>
  <c r="G469" i="11"/>
  <c r="H469" i="11" s="1"/>
  <c r="I469" i="11" s="1"/>
  <c r="F469" i="11"/>
  <c r="G470" i="11" l="1"/>
  <c r="H470" i="11" s="1"/>
  <c r="F470" i="11"/>
  <c r="I470" i="11" l="1"/>
  <c r="G471" i="11"/>
  <c r="H471" i="11" s="1"/>
  <c r="F471" i="11"/>
  <c r="I471" i="11" l="1"/>
  <c r="G472" i="11" s="1"/>
  <c r="H472" i="11" s="1"/>
  <c r="I472" i="11" s="1"/>
  <c r="F472" i="11"/>
  <c r="G473" i="11" l="1"/>
  <c r="H473" i="11" s="1"/>
  <c r="I473" i="11" s="1"/>
  <c r="F473" i="11"/>
  <c r="G474" i="11" l="1"/>
  <c r="H474" i="11" s="1"/>
  <c r="F474" i="11"/>
  <c r="I474" i="11" l="1"/>
  <c r="G475" i="11"/>
  <c r="H475" i="11" s="1"/>
  <c r="F475" i="11"/>
  <c r="I475" i="11" l="1"/>
  <c r="G476" i="11"/>
  <c r="F476" i="11"/>
  <c r="H476" i="11" s="1"/>
  <c r="I476" i="11" s="1"/>
  <c r="G477" i="11" l="1"/>
  <c r="F477" i="11"/>
  <c r="H477" i="11" l="1"/>
  <c r="I477" i="11" s="1"/>
  <c r="G478" i="11" l="1"/>
  <c r="H478" i="11" s="1"/>
  <c r="I478" i="11" s="1"/>
  <c r="F478" i="11"/>
  <c r="G479" i="11" l="1"/>
  <c r="H479" i="11" s="1"/>
  <c r="F479" i="11"/>
  <c r="I479" i="11" l="1"/>
  <c r="G480" i="11"/>
  <c r="H480" i="11" s="1"/>
  <c r="I480" i="11" s="1"/>
  <c r="F480" i="11"/>
  <c r="G481" i="11" l="1"/>
  <c r="H481" i="11" s="1"/>
  <c r="I481" i="11" s="1"/>
  <c r="F481" i="11"/>
  <c r="G482" i="11" l="1"/>
  <c r="H482" i="11" s="1"/>
  <c r="I482" i="11" s="1"/>
  <c r="F482" i="11"/>
  <c r="G483" i="11" l="1"/>
  <c r="H483" i="11" s="1"/>
  <c r="I483" i="11" s="1"/>
  <c r="F483" i="11"/>
  <c r="H484" i="11" l="1"/>
  <c r="I484" i="11" s="1"/>
  <c r="G484" i="11"/>
  <c r="F484" i="11"/>
  <c r="G485" i="11" l="1"/>
  <c r="H485" i="11" s="1"/>
  <c r="F485" i="11"/>
  <c r="I485" i="11" l="1"/>
  <c r="G486" i="11"/>
  <c r="F486" i="11"/>
  <c r="H486" i="11" s="1"/>
  <c r="I486" i="11" s="1"/>
  <c r="G487" i="11" l="1"/>
  <c r="F487" i="11"/>
  <c r="H487" i="11" s="1"/>
  <c r="I487" i="11" s="1"/>
  <c r="G488" i="11" l="1"/>
  <c r="H488" i="11" s="1"/>
  <c r="F488" i="11"/>
  <c r="I488" i="11" l="1"/>
  <c r="G489" i="11"/>
  <c r="H489" i="11" s="1"/>
  <c r="I489" i="11" s="1"/>
  <c r="F489" i="11"/>
  <c r="H490" i="11" l="1"/>
  <c r="G490" i="11"/>
  <c r="F490" i="11"/>
  <c r="I490" i="11" l="1"/>
  <c r="G491" i="11" s="1"/>
  <c r="H491" i="11" s="1"/>
  <c r="I491" i="11" s="1"/>
  <c r="F491" i="11"/>
  <c r="G492" i="11" l="1"/>
  <c r="H492" i="11" s="1"/>
  <c r="I492" i="11" s="1"/>
  <c r="F492" i="11"/>
  <c r="G493" i="11" l="1"/>
  <c r="H493" i="11" s="1"/>
  <c r="I493" i="11" s="1"/>
  <c r="F493" i="11"/>
  <c r="G494" i="11" l="1"/>
  <c r="H494" i="11" s="1"/>
  <c r="F494" i="11"/>
  <c r="I494" i="11" l="1"/>
  <c r="G495" i="11"/>
  <c r="H495" i="11" s="1"/>
  <c r="I495" i="11" s="1"/>
  <c r="F495" i="11"/>
  <c r="G496" i="11" l="1"/>
  <c r="H496" i="11" s="1"/>
  <c r="I496" i="11" s="1"/>
  <c r="F496" i="11"/>
  <c r="G497" i="11" l="1"/>
  <c r="H497" i="11" s="1"/>
  <c r="F497" i="11"/>
  <c r="I497" i="11" l="1"/>
  <c r="G498" i="11"/>
  <c r="H498" i="11" s="1"/>
  <c r="F498" i="11"/>
  <c r="I498" i="11" l="1"/>
  <c r="G499" i="11" s="1"/>
  <c r="H499" i="11" s="1"/>
  <c r="I499" i="11" s="1"/>
  <c r="F499" i="11"/>
  <c r="G500" i="11" l="1"/>
  <c r="H500" i="11" s="1"/>
  <c r="F500" i="11"/>
  <c r="I500" i="11" l="1"/>
  <c r="G501" i="11"/>
  <c r="H501" i="11" s="1"/>
  <c r="I501" i="11" s="1"/>
  <c r="F501" i="11"/>
  <c r="G502" i="11" l="1"/>
  <c r="H502" i="11" s="1"/>
  <c r="F502" i="11"/>
  <c r="I502" i="11" l="1"/>
  <c r="G503" i="11" s="1"/>
  <c r="H503" i="11" s="1"/>
  <c r="I503" i="11" s="1"/>
  <c r="F503" i="11"/>
  <c r="G504" i="11" l="1"/>
  <c r="H504" i="11" s="1"/>
  <c r="F504" i="11"/>
  <c r="I504" i="11" l="1"/>
  <c r="G505" i="11"/>
  <c r="H505" i="11" s="1"/>
  <c r="F505" i="11"/>
  <c r="I505" i="11" l="1"/>
  <c r="G506" i="11"/>
  <c r="H506" i="11" s="1"/>
  <c r="I506" i="11" s="1"/>
  <c r="F506" i="11"/>
  <c r="G507" i="11" l="1"/>
  <c r="H507" i="11" s="1"/>
  <c r="I507" i="11" s="1"/>
  <c r="F507" i="11"/>
  <c r="G508" i="11" l="1"/>
  <c r="H508" i="11" s="1"/>
  <c r="F508" i="11"/>
  <c r="I508" i="11" l="1"/>
  <c r="G509" i="11"/>
  <c r="H509" i="11" s="1"/>
  <c r="F509" i="11"/>
  <c r="I509" i="11" l="1"/>
  <c r="G510" i="11"/>
  <c r="H510" i="11" s="1"/>
  <c r="F510" i="11"/>
  <c r="I510" i="11" l="1"/>
  <c r="G511" i="11"/>
  <c r="H511" i="11" s="1"/>
  <c r="F511" i="11"/>
  <c r="I511" i="11" l="1"/>
  <c r="G512" i="11"/>
  <c r="H512" i="11" s="1"/>
  <c r="F512" i="11"/>
  <c r="I512" i="11" l="1"/>
  <c r="G513" i="11"/>
  <c r="H513" i="11" s="1"/>
  <c r="I513" i="11" s="1"/>
  <c r="F513" i="11"/>
  <c r="G514" i="11" l="1"/>
  <c r="H514" i="11" s="1"/>
  <c r="F514" i="11"/>
  <c r="I514" i="11" l="1"/>
  <c r="G515" i="11"/>
  <c r="H515" i="11" s="1"/>
  <c r="I515" i="11" s="1"/>
  <c r="F515" i="11"/>
  <c r="G516" i="11" l="1"/>
  <c r="H516" i="11" s="1"/>
  <c r="F516" i="11"/>
  <c r="I516" i="11" l="1"/>
  <c r="G517" i="11"/>
  <c r="H517" i="11" s="1"/>
  <c r="F517" i="11"/>
  <c r="I517" i="11" l="1"/>
  <c r="G518" i="11"/>
  <c r="H518" i="11" s="1"/>
  <c r="F518" i="11"/>
  <c r="I518" i="11" l="1"/>
  <c r="G519" i="11"/>
  <c r="H519" i="11" s="1"/>
  <c r="I519" i="11" s="1"/>
  <c r="F519" i="11"/>
  <c r="G520" i="11" l="1"/>
  <c r="F520" i="11"/>
  <c r="H520" i="11" l="1"/>
  <c r="I520" i="11" s="1"/>
  <c r="G521" i="11" s="1"/>
  <c r="F521" i="11" l="1"/>
  <c r="H521" i="11" s="1"/>
  <c r="I521" i="11" s="1"/>
  <c r="G522" i="11" s="1"/>
  <c r="H522" i="11" s="1"/>
  <c r="I522" i="11" l="1"/>
  <c r="G523" i="11" s="1"/>
  <c r="H523" i="11" s="1"/>
  <c r="I523" i="11" s="1"/>
  <c r="F522" i="11"/>
  <c r="F523" i="11"/>
  <c r="G524" i="11" l="1"/>
  <c r="H524" i="11" s="1"/>
  <c r="F524" i="11"/>
  <c r="I524" i="11" l="1"/>
  <c r="G525" i="11"/>
  <c r="H525" i="11" s="1"/>
  <c r="F525" i="11"/>
  <c r="I525" i="11" l="1"/>
  <c r="G526" i="11" s="1"/>
  <c r="H526" i="11" s="1"/>
  <c r="I526" i="11" s="1"/>
  <c r="F526" i="11"/>
  <c r="G527" i="11" l="1"/>
  <c r="H527" i="11" s="1"/>
  <c r="I527" i="11" s="1"/>
  <c r="F527" i="11"/>
  <c r="G528" i="11" l="1"/>
  <c r="H528" i="11" s="1"/>
  <c r="F528" i="11"/>
  <c r="I528" i="11" l="1"/>
  <c r="G529" i="11"/>
  <c r="H529" i="11" s="1"/>
  <c r="F529" i="11"/>
  <c r="I529" i="11" l="1"/>
  <c r="G530" i="11"/>
  <c r="H530" i="11" s="1"/>
  <c r="F530" i="11"/>
  <c r="I530" i="11" l="1"/>
  <c r="G531" i="11"/>
  <c r="H531" i="11" s="1"/>
  <c r="I531" i="11" s="1"/>
  <c r="F531" i="11"/>
  <c r="G532" i="11" l="1"/>
  <c r="H532" i="11" s="1"/>
  <c r="I532" i="11" s="1"/>
  <c r="F532" i="11"/>
  <c r="G533" i="11" l="1"/>
  <c r="H533" i="11" s="1"/>
  <c r="F533" i="11"/>
  <c r="I533" i="11" l="1"/>
  <c r="G534" i="11"/>
  <c r="H534" i="11" s="1"/>
  <c r="F534" i="11"/>
  <c r="I534" i="11" l="1"/>
  <c r="G535" i="11"/>
  <c r="H535" i="11" s="1"/>
  <c r="F535" i="11"/>
  <c r="I535" i="11" l="1"/>
  <c r="G536" i="11"/>
  <c r="H536" i="11" s="1"/>
  <c r="F536" i="11"/>
  <c r="I536" i="11" l="1"/>
  <c r="G537" i="11"/>
  <c r="H537" i="11" s="1"/>
  <c r="F537" i="11"/>
  <c r="I537" i="11" l="1"/>
  <c r="G538" i="11"/>
  <c r="H538" i="11" s="1"/>
  <c r="I538" i="11" s="1"/>
  <c r="F538" i="11"/>
  <c r="G539" i="11" l="1"/>
  <c r="H539" i="11" s="1"/>
  <c r="I539" i="11" s="1"/>
  <c r="F539" i="11"/>
  <c r="G540" i="11" l="1"/>
  <c r="H540" i="11" s="1"/>
  <c r="F540" i="11"/>
  <c r="I540" i="11" l="1"/>
  <c r="G541" i="11"/>
  <c r="H541" i="11" s="1"/>
  <c r="I541" i="11" s="1"/>
  <c r="F541" i="11"/>
  <c r="G542" i="11" l="1"/>
  <c r="H542" i="11" s="1"/>
  <c r="F542" i="11"/>
  <c r="I542" i="11" l="1"/>
  <c r="G543" i="11" s="1"/>
  <c r="H543" i="11" s="1"/>
  <c r="I543" i="11" s="1"/>
  <c r="F543" i="11"/>
  <c r="G544" i="11" l="1"/>
  <c r="H544" i="11" s="1"/>
  <c r="F544" i="11"/>
  <c r="I544" i="11" l="1"/>
  <c r="G545" i="11"/>
  <c r="H545" i="11" s="1"/>
  <c r="F545" i="11"/>
  <c r="I545" i="11" l="1"/>
  <c r="G546" i="11"/>
  <c r="H546" i="11" s="1"/>
  <c r="I546" i="11" s="1"/>
  <c r="F546" i="11"/>
  <c r="G547" i="11" l="1"/>
  <c r="F547" i="11"/>
  <c r="H547" i="11" s="1"/>
  <c r="I547" i="11" s="1"/>
  <c r="G548" i="11" l="1"/>
  <c r="F548" i="11"/>
  <c r="H548" i="11" s="1"/>
  <c r="I548" i="11" s="1"/>
  <c r="G549" i="11" l="1"/>
  <c r="H549" i="11" s="1"/>
  <c r="F549" i="11"/>
  <c r="I549" i="11" l="1"/>
  <c r="G550" i="11" s="1"/>
  <c r="H550" i="11" s="1"/>
  <c r="I550" i="11" s="1"/>
  <c r="F550" i="11"/>
  <c r="G551" i="11" l="1"/>
  <c r="H551" i="11" s="1"/>
  <c r="F551" i="11"/>
  <c r="I551" i="11" l="1"/>
  <c r="G552" i="11" s="1"/>
  <c r="H552" i="11" s="1"/>
  <c r="I552" i="11" s="1"/>
  <c r="F552" i="11"/>
  <c r="G553" i="11" l="1"/>
  <c r="H553" i="11" s="1"/>
  <c r="F553" i="11"/>
  <c r="I553" i="11" l="1"/>
  <c r="G554" i="11" s="1"/>
  <c r="H554" i="11" s="1"/>
  <c r="I554" i="11" s="1"/>
  <c r="F554" i="11"/>
  <c r="G555" i="11" l="1"/>
  <c r="H555" i="11" s="1"/>
  <c r="F555" i="11"/>
  <c r="I555" i="11" l="1"/>
  <c r="G556" i="11"/>
  <c r="H556" i="11" s="1"/>
  <c r="I556" i="11" s="1"/>
  <c r="F556" i="11"/>
  <c r="G557" i="11" l="1"/>
  <c r="H557" i="11" s="1"/>
  <c r="F557" i="11"/>
  <c r="I557" i="11" l="1"/>
  <c r="G558" i="11"/>
  <c r="H558" i="11" s="1"/>
  <c r="I558" i="11" s="1"/>
  <c r="F558" i="11"/>
  <c r="G559" i="11" l="1"/>
  <c r="H559" i="11" s="1"/>
  <c r="I559" i="11" s="1"/>
  <c r="F559" i="11"/>
  <c r="G560" i="11" l="1"/>
  <c r="H560" i="11" s="1"/>
  <c r="F560" i="11"/>
  <c r="I560" i="11" l="1"/>
  <c r="G561" i="11"/>
  <c r="H561" i="11" s="1"/>
  <c r="F561" i="11"/>
  <c r="I561" i="11" l="1"/>
  <c r="G562" i="11"/>
  <c r="F562" i="11"/>
  <c r="H562" i="11" s="1"/>
  <c r="I562" i="11" s="1"/>
  <c r="G563" i="11" l="1"/>
  <c r="H563" i="11" s="1"/>
  <c r="F563" i="11"/>
  <c r="I563" i="11" l="1"/>
  <c r="G564" i="11" s="1"/>
  <c r="H564" i="11" s="1"/>
  <c r="I564" i="11" s="1"/>
  <c r="F564" i="11"/>
  <c r="G565" i="11" l="1"/>
  <c r="H565" i="11" s="1"/>
  <c r="I565" i="11" s="1"/>
  <c r="F565" i="11"/>
  <c r="G566" i="11" l="1"/>
  <c r="H566" i="11" s="1"/>
  <c r="F566" i="11"/>
  <c r="I566" i="11" l="1"/>
  <c r="G567" i="11"/>
  <c r="H567" i="11" s="1"/>
  <c r="F567" i="11"/>
  <c r="I567" i="11" l="1"/>
  <c r="G568" i="11" s="1"/>
  <c r="H568" i="11" s="1"/>
  <c r="I568" i="11" s="1"/>
  <c r="F568" i="11"/>
  <c r="G569" i="11" l="1"/>
  <c r="H569" i="11" s="1"/>
  <c r="I569" i="11" s="1"/>
  <c r="F569" i="11"/>
  <c r="G570" i="11" l="1"/>
  <c r="H570" i="11" s="1"/>
  <c r="F570" i="11"/>
  <c r="I570" i="11" l="1"/>
  <c r="G571" i="11"/>
  <c r="H571" i="11" s="1"/>
  <c r="F571" i="11"/>
  <c r="I571" i="11" l="1"/>
  <c r="G572" i="11"/>
  <c r="H572" i="11" s="1"/>
  <c r="F572" i="11"/>
  <c r="I572" i="11" l="1"/>
  <c r="G573" i="11"/>
  <c r="H573" i="11" s="1"/>
  <c r="F573" i="11"/>
  <c r="I573" i="11" l="1"/>
  <c r="G574" i="11" s="1"/>
  <c r="H574" i="11" s="1"/>
  <c r="I574" i="11" s="1"/>
  <c r="F574" i="11"/>
  <c r="G575" i="11" l="1"/>
  <c r="H575" i="11" s="1"/>
  <c r="I575" i="11" s="1"/>
  <c r="F575" i="11"/>
  <c r="G576" i="11" l="1"/>
  <c r="H576" i="11" s="1"/>
  <c r="F576" i="11"/>
  <c r="I576" i="11" l="1"/>
  <c r="G577" i="11"/>
  <c r="F577" i="11"/>
  <c r="H577" i="11" s="1"/>
  <c r="I577" i="11" s="1"/>
  <c r="G578" i="11" l="1"/>
  <c r="F578" i="11"/>
  <c r="H578" i="11" s="1"/>
  <c r="I578" i="11" s="1"/>
  <c r="G579" i="11" l="1"/>
  <c r="H579" i="11" s="1"/>
  <c r="F579" i="11"/>
  <c r="I579" i="11" l="1"/>
  <c r="G580" i="11"/>
  <c r="H580" i="11" s="1"/>
  <c r="F580" i="11"/>
  <c r="I580" i="11" l="1"/>
  <c r="G581" i="11"/>
  <c r="H581" i="11" s="1"/>
  <c r="F581" i="11"/>
  <c r="I581" i="11" l="1"/>
  <c r="G582" i="11" s="1"/>
  <c r="H582" i="11" s="1"/>
  <c r="I582" i="11" s="1"/>
  <c r="F582" i="11"/>
  <c r="G583" i="11" l="1"/>
  <c r="H583" i="11" s="1"/>
  <c r="I583" i="11" s="1"/>
  <c r="F583" i="11"/>
  <c r="G584" i="11" l="1"/>
  <c r="H584" i="11" s="1"/>
  <c r="F584" i="11"/>
  <c r="I584" i="11" l="1"/>
  <c r="G585" i="11"/>
  <c r="H585" i="11" s="1"/>
  <c r="F585" i="11"/>
  <c r="I585" i="11" l="1"/>
  <c r="G586" i="11"/>
  <c r="H586" i="11" s="1"/>
  <c r="F586" i="11"/>
  <c r="I586" i="11" l="1"/>
  <c r="G587" i="11" s="1"/>
  <c r="H587" i="11" s="1"/>
  <c r="I587" i="11" s="1"/>
  <c r="F587" i="11"/>
  <c r="G588" i="11" l="1"/>
  <c r="H588" i="11" s="1"/>
  <c r="F588" i="11"/>
  <c r="I588" i="11" l="1"/>
  <c r="G589" i="11" s="1"/>
  <c r="H589" i="11" s="1"/>
  <c r="I589" i="11" s="1"/>
  <c r="F589" i="11"/>
  <c r="G590" i="11" l="1"/>
  <c r="H590" i="11" s="1"/>
  <c r="F590" i="11"/>
  <c r="I590" i="11" l="1"/>
  <c r="G591" i="11"/>
  <c r="H591" i="11" s="1"/>
  <c r="F591" i="11"/>
  <c r="I591" i="11" l="1"/>
  <c r="G592" i="11"/>
  <c r="H592" i="11" s="1"/>
  <c r="F592" i="11"/>
  <c r="I592" i="11" l="1"/>
  <c r="G593" i="11" s="1"/>
  <c r="H593" i="11" s="1"/>
  <c r="I593" i="11" s="1"/>
  <c r="F593" i="11"/>
  <c r="G594" i="11" l="1"/>
  <c r="H594" i="11" s="1"/>
  <c r="I594" i="11" s="1"/>
  <c r="F594" i="11"/>
  <c r="G595" i="11" l="1"/>
  <c r="H595" i="11" s="1"/>
  <c r="F595" i="11"/>
  <c r="I595" i="11" l="1"/>
  <c r="G596" i="11"/>
  <c r="H596" i="11" s="1"/>
  <c r="F596" i="11"/>
  <c r="I596" i="11" l="1"/>
  <c r="G597" i="11"/>
  <c r="H597" i="11" s="1"/>
  <c r="F597" i="11"/>
  <c r="I597" i="11" l="1"/>
  <c r="G598" i="11"/>
  <c r="H598" i="11" s="1"/>
  <c r="F598" i="11"/>
  <c r="I598" i="11" l="1"/>
  <c r="G599" i="11"/>
  <c r="H599" i="11" s="1"/>
  <c r="F599" i="11"/>
  <c r="I599" i="11" l="1"/>
  <c r="G600" i="11" s="1"/>
  <c r="H600" i="11" s="1"/>
  <c r="I600" i="11" s="1"/>
  <c r="F600" i="11"/>
  <c r="G601" i="11" l="1"/>
  <c r="H601" i="11" s="1"/>
  <c r="F601" i="11"/>
  <c r="I601" i="11" l="1"/>
  <c r="G602" i="11"/>
  <c r="H602" i="11" s="1"/>
  <c r="I602" i="11" s="1"/>
  <c r="F602" i="11"/>
  <c r="G603" i="11" l="1"/>
  <c r="H603" i="11" s="1"/>
  <c r="F603" i="11"/>
  <c r="I603" i="11" l="1"/>
  <c r="G604" i="11" s="1"/>
  <c r="H604" i="11" s="1"/>
  <c r="I604" i="11" s="1"/>
  <c r="F604" i="11"/>
  <c r="G605" i="11" l="1"/>
  <c r="H605" i="11" s="1"/>
  <c r="F605" i="11"/>
  <c r="I605" i="11" l="1"/>
  <c r="G606" i="11"/>
  <c r="H606" i="11" s="1"/>
  <c r="F606" i="11"/>
  <c r="I606" i="11" l="1"/>
  <c r="G607" i="11"/>
  <c r="H607" i="11" s="1"/>
  <c r="F607" i="11"/>
  <c r="I607" i="11" l="1"/>
  <c r="G608" i="11" s="1"/>
  <c r="H608" i="11" s="1"/>
  <c r="I608" i="11" s="1"/>
  <c r="F608" i="11"/>
  <c r="G609" i="11" l="1"/>
  <c r="H609" i="11" s="1"/>
  <c r="F609" i="11"/>
  <c r="I609" i="11" l="1"/>
  <c r="G610" i="11"/>
  <c r="H610" i="11" s="1"/>
  <c r="F610" i="11"/>
  <c r="I610" i="11" l="1"/>
  <c r="H611" i="11"/>
  <c r="I611" i="11" s="1"/>
  <c r="G611" i="11"/>
  <c r="F611" i="11"/>
  <c r="G612" i="11" l="1"/>
  <c r="H612" i="11" s="1"/>
  <c r="F612" i="11"/>
  <c r="I612" i="11" l="1"/>
  <c r="G613" i="11"/>
  <c r="H613" i="11" s="1"/>
  <c r="F613" i="11"/>
  <c r="I613" i="11" l="1"/>
  <c r="G614" i="11"/>
  <c r="H614" i="11" s="1"/>
  <c r="F614" i="11"/>
  <c r="I614" i="11" l="1"/>
  <c r="G615" i="11"/>
  <c r="H615" i="11" s="1"/>
  <c r="F615" i="11"/>
  <c r="I615" i="11" l="1"/>
  <c r="G616" i="11" s="1"/>
  <c r="H616" i="11" s="1"/>
  <c r="I616" i="11" s="1"/>
  <c r="F616" i="11"/>
  <c r="G617" i="11" l="1"/>
  <c r="H617" i="11" s="1"/>
  <c r="F617" i="11"/>
  <c r="I617" i="11" l="1"/>
  <c r="G618" i="11" s="1"/>
  <c r="H618" i="11" s="1"/>
  <c r="I618" i="11" s="1"/>
  <c r="F618" i="11"/>
  <c r="G619" i="11" l="1"/>
  <c r="H619" i="11" s="1"/>
  <c r="F619" i="11"/>
  <c r="I619" i="11" l="1"/>
  <c r="G620" i="11" s="1"/>
  <c r="H620" i="11" s="1"/>
  <c r="I620" i="11" s="1"/>
  <c r="F620" i="11"/>
  <c r="G621" i="11" l="1"/>
  <c r="H621" i="11" s="1"/>
  <c r="F621" i="11"/>
  <c r="I621" i="11" l="1"/>
  <c r="G622" i="11"/>
  <c r="H622" i="11" s="1"/>
  <c r="F622" i="11"/>
  <c r="I622" i="11" l="1"/>
  <c r="G623" i="11"/>
  <c r="H623" i="11" s="1"/>
  <c r="F623" i="11"/>
  <c r="I623" i="11" l="1"/>
  <c r="G624" i="11" s="1"/>
  <c r="H624" i="11" s="1"/>
  <c r="I624" i="11" s="1"/>
  <c r="F624" i="11"/>
  <c r="G625" i="11" l="1"/>
  <c r="H625" i="11" s="1"/>
  <c r="F625" i="11"/>
  <c r="I625" i="11" l="1"/>
  <c r="G626" i="11" s="1"/>
  <c r="H626" i="11" s="1"/>
  <c r="I626" i="11" s="1"/>
  <c r="F626" i="11"/>
  <c r="G627" i="11" l="1"/>
  <c r="H627" i="11" s="1"/>
  <c r="I627" i="11" s="1"/>
  <c r="F627" i="11"/>
  <c r="G628" i="11" l="1"/>
  <c r="H628" i="11" s="1"/>
  <c r="I628" i="11" s="1"/>
  <c r="F628" i="11"/>
  <c r="G629" i="11" l="1"/>
  <c r="H629" i="11" s="1"/>
  <c r="I629" i="11" s="1"/>
  <c r="F629" i="11"/>
  <c r="G630" i="11" l="1"/>
  <c r="H630" i="11" s="1"/>
  <c r="F630" i="11"/>
  <c r="I630" i="11" l="1"/>
  <c r="G631" i="11"/>
  <c r="H631" i="11" s="1"/>
  <c r="F631" i="11"/>
  <c r="I631" i="11" l="1"/>
  <c r="G632" i="11"/>
  <c r="H632" i="11" s="1"/>
  <c r="F632" i="11"/>
  <c r="I632" i="11" l="1"/>
  <c r="G633" i="11"/>
  <c r="H633" i="11" s="1"/>
  <c r="F633" i="11"/>
  <c r="I633" i="11" l="1"/>
  <c r="G634" i="11"/>
  <c r="H634" i="11" s="1"/>
  <c r="F634" i="11"/>
  <c r="I634" i="11" l="1"/>
  <c r="G635" i="11" s="1"/>
  <c r="H635" i="11" s="1"/>
  <c r="I635" i="11" s="1"/>
  <c r="F635" i="11"/>
  <c r="G636" i="11" l="1"/>
  <c r="H636" i="11" s="1"/>
  <c r="F636" i="11"/>
  <c r="I636" i="11" l="1"/>
  <c r="G637" i="11" s="1"/>
  <c r="H637" i="11" s="1"/>
  <c r="I637" i="11" s="1"/>
  <c r="F637" i="11"/>
  <c r="G638" i="11" l="1"/>
  <c r="H638" i="11" s="1"/>
  <c r="I638" i="11" s="1"/>
  <c r="F638" i="11"/>
  <c r="G639" i="11" l="1"/>
  <c r="H639" i="11" s="1"/>
  <c r="F639" i="11"/>
  <c r="I639" i="11" l="1"/>
  <c r="G640" i="11" s="1"/>
  <c r="H640" i="11" s="1"/>
  <c r="I640" i="11" s="1"/>
  <c r="F640" i="11"/>
  <c r="G641" i="11" l="1"/>
  <c r="F641" i="11"/>
  <c r="H641" i="11" s="1"/>
  <c r="I641" i="11" s="1"/>
  <c r="G642" i="11" l="1"/>
  <c r="H642" i="11" s="1"/>
  <c r="F642" i="11"/>
  <c r="I642" i="11" l="1"/>
  <c r="G643" i="11" s="1"/>
  <c r="H643" i="11" s="1"/>
  <c r="I643" i="11" s="1"/>
  <c r="F643" i="11"/>
  <c r="G644" i="11" l="1"/>
  <c r="H644" i="11" s="1"/>
  <c r="F644" i="11"/>
  <c r="I644" i="11" l="1"/>
  <c r="G645" i="11"/>
  <c r="H645" i="11" s="1"/>
  <c r="F645" i="11"/>
  <c r="I645" i="11" l="1"/>
  <c r="G646" i="11"/>
  <c r="H646" i="11" s="1"/>
  <c r="F646" i="11"/>
  <c r="I646" i="11" l="1"/>
  <c r="G647" i="11"/>
  <c r="H647" i="11" s="1"/>
  <c r="F647" i="11"/>
  <c r="I647" i="11" l="1"/>
  <c r="G648" i="11"/>
  <c r="H648" i="11" s="1"/>
  <c r="F648" i="11"/>
  <c r="I648" i="11" l="1"/>
  <c r="G649" i="11"/>
  <c r="H649" i="11" s="1"/>
  <c r="I649" i="11" s="1"/>
  <c r="F649" i="11"/>
  <c r="G650" i="11" l="1"/>
  <c r="H650" i="11" s="1"/>
  <c r="F650" i="11"/>
  <c r="I650" i="11" l="1"/>
  <c r="G651" i="11" s="1"/>
  <c r="H651" i="11" s="1"/>
  <c r="I651" i="11" s="1"/>
  <c r="F651" i="11"/>
  <c r="G652" i="11" l="1"/>
  <c r="H652" i="11" s="1"/>
  <c r="F652" i="11"/>
  <c r="I652" i="11" l="1"/>
  <c r="G653" i="11" s="1"/>
  <c r="H653" i="11" s="1"/>
  <c r="I653" i="11" s="1"/>
  <c r="F653" i="11"/>
  <c r="G654" i="11" l="1"/>
  <c r="H654" i="11" s="1"/>
  <c r="F654" i="11"/>
  <c r="I654" i="11" l="1"/>
  <c r="G655" i="11"/>
  <c r="H655" i="11" s="1"/>
  <c r="F655" i="11"/>
  <c r="I655" i="11" l="1"/>
  <c r="G656" i="11"/>
  <c r="H656" i="11" s="1"/>
  <c r="F656" i="11"/>
  <c r="I656" i="11" l="1"/>
  <c r="G657" i="11"/>
  <c r="H657" i="11" s="1"/>
  <c r="F657" i="11"/>
  <c r="I657" i="11" l="1"/>
  <c r="G658" i="11"/>
  <c r="H658" i="11" s="1"/>
  <c r="F658" i="11"/>
  <c r="I658" i="11" l="1"/>
  <c r="G659" i="11" s="1"/>
  <c r="H659" i="11" s="1"/>
  <c r="I659" i="11" s="1"/>
  <c r="F659" i="11"/>
  <c r="G660" i="11" l="1"/>
  <c r="H660" i="11" s="1"/>
  <c r="I660" i="11" s="1"/>
  <c r="F660" i="11"/>
  <c r="G661" i="11" l="1"/>
  <c r="H661" i="11" s="1"/>
  <c r="F661" i="11"/>
  <c r="I661" i="11" l="1"/>
  <c r="G662" i="11"/>
  <c r="H662" i="11" s="1"/>
  <c r="F662" i="11"/>
  <c r="I662" i="11" l="1"/>
  <c r="G663" i="11"/>
  <c r="H663" i="11" s="1"/>
  <c r="I663" i="11" s="1"/>
  <c r="F663" i="11"/>
  <c r="G664" i="11" l="1"/>
  <c r="H664" i="11" s="1"/>
  <c r="F664" i="11"/>
  <c r="I664" i="11" l="1"/>
  <c r="G665" i="11" s="1"/>
  <c r="H665" i="11" s="1"/>
  <c r="I665" i="11" s="1"/>
  <c r="F665" i="11"/>
  <c r="G666" i="11" l="1"/>
  <c r="H666" i="11" s="1"/>
  <c r="F666" i="11"/>
  <c r="I666" i="11" l="1"/>
  <c r="G667" i="11"/>
  <c r="H667" i="11" s="1"/>
  <c r="F667" i="11"/>
  <c r="I667" i="11" l="1"/>
  <c r="G668" i="11"/>
  <c r="F668" i="11"/>
  <c r="H668" i="11" l="1"/>
  <c r="I668" i="11" s="1"/>
  <c r="G669" i="11"/>
  <c r="H669" i="11" s="1"/>
  <c r="F669" i="11"/>
  <c r="I669" i="11" l="1"/>
  <c r="G670" i="11"/>
  <c r="H670" i="11" s="1"/>
  <c r="I670" i="11" s="1"/>
  <c r="F670" i="11"/>
  <c r="H671" i="11" l="1"/>
  <c r="I671" i="11" s="1"/>
  <c r="G671" i="11"/>
  <c r="F671" i="11"/>
  <c r="G672" i="11" l="1"/>
  <c r="H672" i="11" s="1"/>
  <c r="F672" i="11"/>
  <c r="I672" i="11" l="1"/>
  <c r="G673" i="11"/>
  <c r="H673" i="11" s="1"/>
  <c r="F673" i="11"/>
  <c r="I673" i="11" l="1"/>
  <c r="G674" i="11"/>
  <c r="H674" i="11" s="1"/>
  <c r="F674" i="11"/>
  <c r="I674" i="11" l="1"/>
  <c r="G675" i="11" s="1"/>
  <c r="H675" i="11" s="1"/>
  <c r="I675" i="11" s="1"/>
  <c r="F675" i="11"/>
  <c r="G676" i="11" l="1"/>
  <c r="H676" i="11" s="1"/>
  <c r="F676" i="11"/>
  <c r="I676" i="11" l="1"/>
  <c r="G677" i="11"/>
  <c r="H677" i="11" s="1"/>
  <c r="F677" i="11"/>
  <c r="I677" i="11" l="1"/>
  <c r="G678" i="11" s="1"/>
  <c r="H678" i="11" s="1"/>
  <c r="I678" i="11" s="1"/>
  <c r="F678" i="11"/>
  <c r="G679" i="11" l="1"/>
  <c r="H679" i="11" s="1"/>
  <c r="I679" i="11" s="1"/>
  <c r="F679" i="11"/>
  <c r="G680" i="11" l="1"/>
  <c r="H680" i="11" s="1"/>
  <c r="F680" i="11"/>
  <c r="I680" i="11" l="1"/>
  <c r="G681" i="11"/>
  <c r="H681" i="11" s="1"/>
  <c r="F681" i="11"/>
  <c r="I681" i="11" l="1"/>
  <c r="G682" i="11"/>
  <c r="H682" i="11" s="1"/>
  <c r="F682" i="11"/>
  <c r="I682" i="11" l="1"/>
  <c r="G683" i="11" s="1"/>
  <c r="H683" i="11" s="1"/>
  <c r="I683" i="11" s="1"/>
  <c r="F683" i="11"/>
  <c r="G684" i="11" l="1"/>
  <c r="H684" i="11" s="1"/>
  <c r="I684" i="11" s="1"/>
  <c r="F684" i="11"/>
  <c r="G685" i="11" l="1"/>
  <c r="H685" i="11" s="1"/>
  <c r="I685" i="11" s="1"/>
  <c r="F685" i="11"/>
  <c r="G686" i="11" l="1"/>
  <c r="H686" i="11" s="1"/>
  <c r="F686" i="11"/>
  <c r="I686" i="11" l="1"/>
  <c r="G687" i="11"/>
  <c r="H687" i="11" s="1"/>
  <c r="F687" i="11"/>
  <c r="I687" i="11" l="1"/>
  <c r="G688" i="11"/>
  <c r="H688" i="11" s="1"/>
  <c r="F688" i="11"/>
  <c r="I688" i="11" l="1"/>
  <c r="G689" i="11"/>
  <c r="H689" i="11" s="1"/>
  <c r="F689" i="11"/>
  <c r="I689" i="11" l="1"/>
  <c r="G690" i="11"/>
  <c r="H690" i="11" s="1"/>
  <c r="I690" i="11" s="1"/>
  <c r="F690" i="11"/>
  <c r="G691" i="11" l="1"/>
  <c r="F691" i="11"/>
  <c r="H691" i="11" s="1"/>
  <c r="I691" i="11" s="1"/>
  <c r="G692" i="11" l="1"/>
  <c r="F692" i="11"/>
  <c r="H692" i="11" l="1"/>
  <c r="I692" i="11" s="1"/>
  <c r="G693" i="11" s="1"/>
  <c r="H693" i="11" s="1"/>
  <c r="F693" i="11" l="1"/>
  <c r="I693" i="11" s="1"/>
  <c r="G694" i="11" s="1"/>
  <c r="H694" i="11" s="1"/>
  <c r="I694" i="11" s="1"/>
  <c r="F694" i="11"/>
  <c r="G695" i="11" l="1"/>
  <c r="H695" i="11" s="1"/>
  <c r="F695" i="11"/>
  <c r="I695" i="11" l="1"/>
  <c r="G696" i="11" s="1"/>
  <c r="H696" i="11" s="1"/>
  <c r="I696" i="11" s="1"/>
  <c r="F696" i="11"/>
  <c r="G697" i="11" l="1"/>
  <c r="H697" i="11" s="1"/>
  <c r="F697" i="11"/>
  <c r="I697" i="11" l="1"/>
  <c r="G698" i="11"/>
  <c r="H698" i="11" s="1"/>
  <c r="F698" i="11"/>
  <c r="I698" i="11" l="1"/>
  <c r="G699" i="11"/>
  <c r="H699" i="11" s="1"/>
  <c r="F699" i="11"/>
  <c r="I699" i="11" l="1"/>
  <c r="G700" i="11"/>
  <c r="H700" i="11" s="1"/>
  <c r="F700" i="11"/>
  <c r="I700" i="11" l="1"/>
  <c r="G701" i="11"/>
  <c r="H701" i="11" s="1"/>
  <c r="F701" i="11"/>
  <c r="I701" i="11" l="1"/>
  <c r="G702" i="11"/>
  <c r="H702" i="11" s="1"/>
  <c r="I702" i="11" s="1"/>
  <c r="F702" i="11"/>
  <c r="G703" i="11" l="1"/>
  <c r="H703" i="11" s="1"/>
  <c r="F703" i="11"/>
  <c r="I703" i="11" l="1"/>
  <c r="G704" i="11" s="1"/>
  <c r="H704" i="11" s="1"/>
  <c r="I704" i="11" s="1"/>
  <c r="F704" i="11"/>
  <c r="G705" i="11" l="1"/>
  <c r="H705" i="11" s="1"/>
  <c r="I705" i="11" s="1"/>
  <c r="F705" i="11"/>
  <c r="G706" i="11" l="1"/>
  <c r="H706" i="11" s="1"/>
  <c r="I706" i="11" s="1"/>
  <c r="F706" i="11"/>
  <c r="G707" i="11" l="1"/>
  <c r="H707" i="11" s="1"/>
  <c r="F707" i="11"/>
  <c r="I707" i="11" l="1"/>
  <c r="G708" i="11"/>
  <c r="H708" i="11" s="1"/>
  <c r="F708" i="11"/>
  <c r="I708" i="11" l="1"/>
  <c r="G709" i="11"/>
  <c r="H709" i="11" s="1"/>
  <c r="F709" i="11"/>
  <c r="I709" i="11" l="1"/>
  <c r="G710" i="11"/>
  <c r="H710" i="11" s="1"/>
  <c r="F710" i="11"/>
  <c r="I710" i="11" l="1"/>
  <c r="G711" i="11" s="1"/>
  <c r="H711" i="11" s="1"/>
  <c r="I711" i="11" s="1"/>
  <c r="F711" i="11"/>
  <c r="G712" i="11" l="1"/>
  <c r="H712" i="11" s="1"/>
  <c r="F712" i="11"/>
  <c r="I712" i="11" l="1"/>
  <c r="G713" i="11" s="1"/>
  <c r="H713" i="11" s="1"/>
  <c r="I713" i="11" s="1"/>
  <c r="F713" i="11"/>
  <c r="G714" i="11" l="1"/>
  <c r="H714" i="11" s="1"/>
  <c r="F714" i="11"/>
  <c r="I714" i="11" l="1"/>
  <c r="G715" i="11"/>
  <c r="H715" i="11" s="1"/>
  <c r="F715" i="11"/>
  <c r="I715" i="11" l="1"/>
  <c r="G716" i="11"/>
  <c r="H716" i="11" s="1"/>
  <c r="I716" i="11" s="1"/>
  <c r="F716" i="11"/>
  <c r="G717" i="11" l="1"/>
  <c r="H717" i="11" s="1"/>
  <c r="I717" i="11" s="1"/>
  <c r="F717" i="11"/>
  <c r="G718" i="11" l="1"/>
  <c r="F718" i="11"/>
  <c r="H718" i="11" l="1"/>
  <c r="I718" i="11" l="1"/>
  <c r="G719" i="11" s="1"/>
  <c r="H719" i="11" s="1"/>
  <c r="F719" i="11"/>
  <c r="I719" i="11" l="1"/>
  <c r="G720" i="11" s="1"/>
  <c r="H720" i="11" s="1"/>
  <c r="F720" i="11"/>
  <c r="F721" i="11"/>
  <c r="I720" i="11" l="1"/>
  <c r="G721" i="11" s="1"/>
  <c r="H721" i="11" s="1"/>
  <c r="I721" i="11" s="1"/>
  <c r="G722" i="11"/>
  <c r="H722" i="11" s="1"/>
  <c r="I722" i="11" s="1"/>
  <c r="F722" i="11"/>
  <c r="G723" i="11" l="1"/>
  <c r="H723" i="11" s="1"/>
  <c r="I723" i="11" s="1"/>
  <c r="F723" i="11"/>
  <c r="G724" i="11" l="1"/>
  <c r="H724" i="11" s="1"/>
  <c r="F724" i="11"/>
  <c r="I724" i="11" l="1"/>
  <c r="G725" i="11" s="1"/>
  <c r="H725" i="11" s="1"/>
  <c r="I725" i="11" s="1"/>
  <c r="F725" i="11"/>
  <c r="G726" i="11" l="1"/>
  <c r="H726" i="11" s="1"/>
  <c r="I726" i="11" s="1"/>
  <c r="F726" i="11"/>
  <c r="H727" i="11" l="1"/>
  <c r="I727" i="11" s="1"/>
  <c r="G727" i="11"/>
  <c r="F727" i="11"/>
  <c r="G728" i="11" l="1"/>
  <c r="H728" i="11" s="1"/>
  <c r="I728" i="11" s="1"/>
  <c r="F728" i="11"/>
  <c r="G729" i="11" l="1"/>
  <c r="H729" i="11" s="1"/>
  <c r="F729" i="11"/>
  <c r="I729" i="11" l="1"/>
  <c r="G730" i="11"/>
  <c r="H730" i="11" s="1"/>
  <c r="F730" i="11"/>
  <c r="I730" i="11" l="1"/>
  <c r="G731" i="11" s="1"/>
  <c r="H731" i="11" s="1"/>
  <c r="I731" i="11" s="1"/>
  <c r="F731" i="11"/>
  <c r="G732" i="11" l="1"/>
  <c r="H732" i="11" s="1"/>
  <c r="I732" i="11" s="1"/>
  <c r="F732" i="11"/>
  <c r="G733" i="11" l="1"/>
  <c r="H733" i="11" s="1"/>
  <c r="I733" i="11" s="1"/>
  <c r="F733" i="11"/>
  <c r="G734" i="11" l="1"/>
  <c r="H734" i="11" s="1"/>
  <c r="F734" i="11"/>
  <c r="I734" i="11" l="1"/>
  <c r="G735" i="11"/>
  <c r="H735" i="11" s="1"/>
  <c r="F735" i="11"/>
  <c r="I735" i="11" l="1"/>
  <c r="G736" i="11"/>
  <c r="H736" i="11" s="1"/>
  <c r="F736" i="11"/>
  <c r="I736" i="11" l="1"/>
  <c r="G737" i="11"/>
  <c r="F737" i="11"/>
  <c r="H737" i="11" s="1"/>
  <c r="I737" i="11" s="1"/>
  <c r="G738" i="11" l="1"/>
  <c r="H738" i="11" s="1"/>
  <c r="F738" i="11"/>
  <c r="I738" i="11" l="1"/>
  <c r="G739" i="11"/>
  <c r="H739" i="11" s="1"/>
  <c r="F739" i="11"/>
  <c r="I739" i="11" l="1"/>
  <c r="G740" i="11" s="1"/>
  <c r="H740" i="11" s="1"/>
  <c r="I740" i="11" s="1"/>
  <c r="F740" i="11"/>
  <c r="G741" i="11" l="1"/>
  <c r="H741" i="11" s="1"/>
  <c r="F741" i="11"/>
  <c r="I741" i="11" l="1"/>
  <c r="G742" i="11"/>
  <c r="H742" i="11" s="1"/>
  <c r="I742" i="11" s="1"/>
  <c r="F742" i="11"/>
  <c r="G743" i="11" l="1"/>
  <c r="H743" i="11" s="1"/>
  <c r="F743" i="11"/>
  <c r="I743" i="11" l="1"/>
  <c r="G744" i="11"/>
  <c r="H744" i="11" s="1"/>
  <c r="I744" i="11" s="1"/>
  <c r="F744" i="11"/>
  <c r="G745" i="11" l="1"/>
  <c r="H745" i="11" s="1"/>
  <c r="F745" i="11"/>
  <c r="I745" i="11" l="1"/>
  <c r="G746" i="11"/>
  <c r="H746" i="11" s="1"/>
  <c r="F746" i="11"/>
  <c r="I746" i="11" l="1"/>
  <c r="G747" i="11"/>
  <c r="H747" i="11" s="1"/>
  <c r="I747" i="11" s="1"/>
  <c r="F747" i="11"/>
  <c r="G748" i="11" l="1"/>
  <c r="H748" i="11" s="1"/>
  <c r="I748" i="11" s="1"/>
  <c r="F748" i="11"/>
  <c r="G749" i="11" l="1"/>
  <c r="H749" i="11" s="1"/>
  <c r="I749" i="11" s="1"/>
  <c r="F749" i="11"/>
  <c r="G750" i="11" l="1"/>
  <c r="H750" i="11" s="1"/>
  <c r="F750" i="11"/>
  <c r="I750" i="11" l="1"/>
  <c r="G751" i="11"/>
  <c r="H751" i="11" s="1"/>
  <c r="F751" i="11"/>
  <c r="I751" i="11" l="1"/>
  <c r="G752" i="11"/>
  <c r="H752" i="11" s="1"/>
  <c r="I752" i="11" s="1"/>
  <c r="F752" i="11"/>
  <c r="G753" i="11" l="1"/>
  <c r="H753" i="11" s="1"/>
  <c r="F753" i="11"/>
  <c r="I753" i="11" l="1"/>
  <c r="G754" i="11" s="1"/>
  <c r="H754" i="11" s="1"/>
  <c r="I754" i="11" s="1"/>
  <c r="F754" i="11"/>
  <c r="G755" i="11" l="1"/>
  <c r="H755" i="11" s="1"/>
  <c r="F755" i="11"/>
  <c r="I755" i="11" l="1"/>
  <c r="G756" i="11"/>
  <c r="H756" i="11" s="1"/>
  <c r="F756" i="11"/>
  <c r="I756" i="11" l="1"/>
  <c r="G757" i="11"/>
  <c r="H757" i="11" s="1"/>
  <c r="I757" i="11" s="1"/>
  <c r="F757" i="11"/>
  <c r="G758" i="11" l="1"/>
  <c r="H758" i="11" s="1"/>
  <c r="I758" i="11" s="1"/>
  <c r="F758" i="11"/>
  <c r="G759" i="11" l="1"/>
  <c r="H759" i="11" s="1"/>
  <c r="I759" i="11" s="1"/>
  <c r="F759" i="11"/>
  <c r="G760" i="11" l="1"/>
  <c r="H760" i="11" s="1"/>
  <c r="I760" i="11" s="1"/>
  <c r="F760" i="11"/>
  <c r="G761" i="11" l="1"/>
  <c r="H761" i="11" s="1"/>
  <c r="I761" i="11" s="1"/>
  <c r="F761" i="11"/>
  <c r="G762" i="11" l="1"/>
  <c r="H762" i="11" s="1"/>
  <c r="F762" i="11"/>
  <c r="I762" i="11" l="1"/>
  <c r="G763" i="11"/>
  <c r="H763" i="11" s="1"/>
  <c r="F763" i="11"/>
  <c r="I763" i="11" l="1"/>
  <c r="G764" i="11"/>
  <c r="H764" i="11" s="1"/>
  <c r="F764" i="11"/>
  <c r="I764" i="11" l="1"/>
  <c r="G765" i="11"/>
  <c r="H765" i="11" s="1"/>
  <c r="I765" i="11" s="1"/>
  <c r="F765" i="11"/>
  <c r="G766" i="11" l="1"/>
  <c r="H766" i="11" s="1"/>
  <c r="F766" i="11"/>
  <c r="I766" i="11" l="1"/>
  <c r="G767" i="11"/>
  <c r="H767" i="11" s="1"/>
  <c r="F767" i="11"/>
  <c r="I767" i="11" l="1"/>
  <c r="G768" i="11"/>
  <c r="H768" i="11" s="1"/>
  <c r="F768" i="11"/>
  <c r="I768" i="11" l="1"/>
  <c r="G769" i="11"/>
  <c r="H769" i="11" s="1"/>
  <c r="F769" i="11"/>
  <c r="I769" i="11" l="1"/>
  <c r="G770" i="11"/>
  <c r="H770" i="11" s="1"/>
  <c r="I770" i="11" s="1"/>
  <c r="F770" i="11"/>
  <c r="G771" i="11" l="1"/>
  <c r="H771" i="11" s="1"/>
  <c r="F771" i="11"/>
  <c r="I771" i="11" l="1"/>
  <c r="G772" i="11"/>
  <c r="H772" i="11" s="1"/>
  <c r="F772" i="11"/>
  <c r="I772" i="11" l="1"/>
  <c r="G773" i="11"/>
  <c r="H773" i="11" s="1"/>
  <c r="I773" i="11" s="1"/>
  <c r="F773" i="11"/>
  <c r="G774" i="11" l="1"/>
  <c r="H774" i="11" s="1"/>
  <c r="F774" i="11"/>
  <c r="I774" i="11" l="1"/>
  <c r="G775" i="11"/>
  <c r="H775" i="11" s="1"/>
  <c r="I775" i="11" s="1"/>
  <c r="F775" i="11"/>
  <c r="G776" i="11" l="1"/>
  <c r="F776" i="11"/>
  <c r="H776" i="11" s="1"/>
  <c r="I776" i="11" s="1"/>
  <c r="G777" i="11" l="1"/>
  <c r="F777" i="11"/>
  <c r="H777" i="11" s="1"/>
  <c r="I777" i="11" s="1"/>
  <c r="G778" i="11" l="1"/>
  <c r="H778" i="11" s="1"/>
  <c r="F778" i="11"/>
  <c r="I778" i="11" l="1"/>
  <c r="G779" i="11"/>
  <c r="H779" i="11" s="1"/>
  <c r="F779" i="11"/>
  <c r="I779" i="11" l="1"/>
  <c r="G780" i="11"/>
  <c r="H780" i="11" s="1"/>
  <c r="F780" i="11"/>
  <c r="I780" i="11" l="1"/>
  <c r="G781" i="11" s="1"/>
  <c r="H781" i="11" s="1"/>
  <c r="I781" i="11" s="1"/>
  <c r="F781" i="11"/>
  <c r="H782" i="11" l="1"/>
  <c r="I782" i="11" s="1"/>
  <c r="G782" i="11"/>
  <c r="F782" i="11"/>
  <c r="G783" i="11" l="1"/>
  <c r="H783" i="11" s="1"/>
  <c r="F783" i="11"/>
  <c r="I783" i="11" l="1"/>
  <c r="G784" i="11"/>
  <c r="H784" i="11" s="1"/>
  <c r="I784" i="11" s="1"/>
  <c r="F784" i="11"/>
  <c r="G785" i="11" l="1"/>
  <c r="H785" i="11" s="1"/>
  <c r="I785" i="11" s="1"/>
  <c r="F785" i="11"/>
  <c r="G786" i="11" l="1"/>
  <c r="H786" i="11" s="1"/>
  <c r="F786" i="11"/>
  <c r="I786" i="11" l="1"/>
  <c r="G787" i="11" s="1"/>
  <c r="H787" i="11" s="1"/>
  <c r="I787" i="11" s="1"/>
  <c r="F787" i="11"/>
  <c r="G788" i="11" l="1"/>
  <c r="H788" i="11" s="1"/>
  <c r="F788" i="11"/>
  <c r="I788" i="11" l="1"/>
  <c r="G789" i="11"/>
  <c r="H789" i="11" s="1"/>
  <c r="F789" i="11"/>
  <c r="I789" i="11" l="1"/>
  <c r="G790" i="11"/>
  <c r="H790" i="11" s="1"/>
  <c r="I790" i="11" s="1"/>
  <c r="F790" i="11"/>
  <c r="G791" i="11" l="1"/>
  <c r="H791" i="11" s="1"/>
  <c r="F791" i="11"/>
  <c r="I791" i="11" l="1"/>
  <c r="G792" i="11"/>
  <c r="H792" i="11" s="1"/>
  <c r="I792" i="11" s="1"/>
  <c r="F792" i="11"/>
  <c r="G793" i="11" l="1"/>
  <c r="H793" i="11" s="1"/>
  <c r="F793" i="11"/>
  <c r="I793" i="11" l="1"/>
  <c r="G794" i="11"/>
  <c r="H794" i="11" s="1"/>
  <c r="F794" i="11"/>
  <c r="I794" i="11" l="1"/>
  <c r="G795" i="11"/>
  <c r="H795" i="11" s="1"/>
  <c r="F795" i="11"/>
  <c r="I795" i="11" l="1"/>
  <c r="G796" i="11"/>
  <c r="F796" i="11"/>
  <c r="H796" i="11" l="1"/>
  <c r="I796" i="11" s="1"/>
  <c r="G797" i="11" l="1"/>
  <c r="H797" i="11" s="1"/>
  <c r="F797" i="11"/>
  <c r="I797" i="11" l="1"/>
  <c r="G798" i="11"/>
  <c r="H798" i="11" s="1"/>
  <c r="F798" i="11"/>
  <c r="I798" i="11" l="1"/>
  <c r="G799" i="11"/>
  <c r="H799" i="11" s="1"/>
  <c r="F799" i="11"/>
  <c r="I799" i="11" l="1"/>
  <c r="G800" i="11"/>
  <c r="H800" i="11" s="1"/>
  <c r="F800" i="11"/>
  <c r="I800" i="11" l="1"/>
  <c r="G801" i="11" s="1"/>
  <c r="H801" i="11" s="1"/>
  <c r="I801" i="11" s="1"/>
  <c r="F801" i="11"/>
  <c r="G802" i="11" l="1"/>
  <c r="H802" i="11" s="1"/>
  <c r="F802" i="11"/>
  <c r="I802" i="11" l="1"/>
  <c r="G803" i="11" s="1"/>
  <c r="H803" i="11" s="1"/>
  <c r="I803" i="11" s="1"/>
  <c r="F803" i="11"/>
  <c r="G804" i="11" l="1"/>
  <c r="H804" i="11" s="1"/>
  <c r="I804" i="11" s="1"/>
  <c r="F804" i="11"/>
  <c r="G805" i="11" l="1"/>
  <c r="H805" i="11" s="1"/>
  <c r="F805" i="11"/>
  <c r="I805" i="11" l="1"/>
  <c r="G806" i="11" s="1"/>
  <c r="H806" i="11" s="1"/>
  <c r="I806" i="11" s="1"/>
  <c r="F806" i="11"/>
  <c r="G807" i="11" l="1"/>
  <c r="H807" i="11" s="1"/>
  <c r="I807" i="11" s="1"/>
  <c r="F807" i="11"/>
  <c r="G808" i="11" l="1"/>
  <c r="H808" i="11" s="1"/>
  <c r="F808" i="11"/>
  <c r="I808" i="11" l="1"/>
  <c r="G809" i="11"/>
  <c r="H809" i="11" s="1"/>
  <c r="F809" i="11"/>
  <c r="I809" i="11" l="1"/>
  <c r="G810" i="11"/>
  <c r="H810" i="11" s="1"/>
  <c r="I810" i="11" s="1"/>
  <c r="F810" i="11"/>
  <c r="G811" i="11" l="1"/>
  <c r="H811" i="11" s="1"/>
  <c r="F811" i="11"/>
  <c r="I811" i="11" l="1"/>
  <c r="G812" i="11"/>
  <c r="H812" i="11" s="1"/>
  <c r="I812" i="11" s="1"/>
  <c r="F812" i="11"/>
  <c r="G813" i="11" l="1"/>
  <c r="H813" i="11" s="1"/>
  <c r="I813" i="11" s="1"/>
  <c r="F813" i="11"/>
  <c r="G814" i="11" l="1"/>
  <c r="H814" i="11" s="1"/>
  <c r="I814" i="11" s="1"/>
  <c r="F814" i="11"/>
  <c r="G815" i="11" l="1"/>
  <c r="H815" i="11" s="1"/>
  <c r="F815" i="11"/>
  <c r="I815" i="11" l="1"/>
  <c r="G816" i="11"/>
  <c r="H816" i="11" s="1"/>
  <c r="I816" i="11" s="1"/>
  <c r="F816" i="11"/>
  <c r="G817" i="11" l="1"/>
  <c r="H817" i="11" s="1"/>
  <c r="I817" i="11" s="1"/>
  <c r="F817" i="11"/>
  <c r="G818" i="11" l="1"/>
  <c r="H818" i="11" s="1"/>
  <c r="I818" i="11" s="1"/>
  <c r="F818" i="11"/>
  <c r="G819" i="11" l="1"/>
  <c r="H819" i="11" s="1"/>
  <c r="F819" i="11"/>
  <c r="I819" i="11" l="1"/>
  <c r="G820" i="11"/>
  <c r="H820" i="11" s="1"/>
  <c r="F820" i="11"/>
  <c r="I820" i="11" l="1"/>
  <c r="G821" i="11" s="1"/>
  <c r="F821" i="11"/>
  <c r="H821" i="11" l="1"/>
  <c r="I821" i="11" s="1"/>
  <c r="G822" i="11" s="1"/>
  <c r="F822" i="11" l="1"/>
  <c r="H822" i="11" s="1"/>
  <c r="I822" i="11" s="1"/>
  <c r="G823" i="11" s="1"/>
  <c r="H823" i="11" s="1"/>
  <c r="I823" i="11" l="1"/>
  <c r="G824" i="11" s="1"/>
  <c r="H824" i="11" s="1"/>
  <c r="I824" i="11" s="1"/>
  <c r="F823" i="11"/>
  <c r="F824" i="11"/>
  <c r="G825" i="11" l="1"/>
  <c r="H825" i="11" s="1"/>
  <c r="I825" i="11" s="1"/>
  <c r="F825" i="11"/>
  <c r="G826" i="11" l="1"/>
  <c r="H826" i="11" s="1"/>
  <c r="I826" i="11" s="1"/>
  <c r="F826" i="11"/>
  <c r="G827" i="11" l="1"/>
  <c r="H827" i="11" s="1"/>
  <c r="F827" i="11"/>
  <c r="I827" i="11" l="1"/>
  <c r="G828" i="11"/>
  <c r="H828" i="11" s="1"/>
  <c r="F828" i="11"/>
  <c r="I828" i="11" l="1"/>
  <c r="G829" i="11" s="1"/>
  <c r="H829" i="11" s="1"/>
  <c r="I829" i="11" s="1"/>
  <c r="F829" i="11"/>
  <c r="G830" i="11" l="1"/>
  <c r="H830" i="11" s="1"/>
  <c r="I830" i="11" s="1"/>
  <c r="F830" i="11"/>
  <c r="G831" i="11" l="1"/>
  <c r="H831" i="11" s="1"/>
  <c r="F831" i="11"/>
  <c r="I831" i="11" l="1"/>
  <c r="G832" i="11" s="1"/>
  <c r="H832" i="11" s="1"/>
  <c r="I832" i="11" s="1"/>
  <c r="F832" i="11"/>
  <c r="G833" i="11" l="1"/>
  <c r="H833" i="11" s="1"/>
  <c r="I833" i="11" s="1"/>
  <c r="F833" i="11"/>
  <c r="G834" i="11" l="1"/>
  <c r="H834" i="11" s="1"/>
  <c r="F834" i="11"/>
  <c r="I834" i="11" l="1"/>
  <c r="G835" i="11"/>
  <c r="H835" i="11" s="1"/>
  <c r="F835" i="11"/>
  <c r="I835" i="11" l="1"/>
  <c r="G836" i="11"/>
  <c r="H836" i="11" s="1"/>
  <c r="I836" i="11" s="1"/>
  <c r="F836" i="11"/>
  <c r="G837" i="11" l="1"/>
  <c r="H837" i="11" s="1"/>
  <c r="I837" i="11" s="1"/>
  <c r="F837" i="11"/>
  <c r="G838" i="11" l="1"/>
  <c r="H838" i="11" s="1"/>
  <c r="F838" i="11"/>
  <c r="I838" i="11" l="1"/>
  <c r="G839" i="11"/>
  <c r="F839" i="11"/>
  <c r="H839" i="11" s="1"/>
  <c r="I839" i="11" s="1"/>
  <c r="G840" i="11" l="1"/>
  <c r="H840" i="11" s="1"/>
  <c r="I840" i="11" s="1"/>
  <c r="F840" i="11"/>
  <c r="G841" i="11" l="1"/>
  <c r="H841" i="11" s="1"/>
  <c r="I841" i="11" s="1"/>
  <c r="F841" i="11"/>
  <c r="G842" i="11" l="1"/>
  <c r="H842" i="11" s="1"/>
  <c r="F842" i="11"/>
  <c r="I842" i="11" l="1"/>
  <c r="G843" i="11" s="1"/>
  <c r="H843" i="11" s="1"/>
  <c r="I843" i="11" s="1"/>
  <c r="F843" i="11"/>
  <c r="G844" i="11" l="1"/>
  <c r="H844" i="11" s="1"/>
  <c r="F844" i="11"/>
  <c r="I844" i="11" l="1"/>
  <c r="G845" i="11"/>
  <c r="H845" i="11" s="1"/>
  <c r="I845" i="11" s="1"/>
  <c r="F845" i="11"/>
  <c r="G846" i="11" l="1"/>
  <c r="H846" i="11" s="1"/>
  <c r="F846" i="11"/>
  <c r="I846" i="11" l="1"/>
  <c r="G847" i="11"/>
  <c r="H847" i="11" s="1"/>
  <c r="F847" i="11"/>
  <c r="I847" i="11" l="1"/>
  <c r="G848" i="11" s="1"/>
  <c r="H848" i="11" s="1"/>
  <c r="I848" i="11" s="1"/>
  <c r="F848" i="11"/>
  <c r="G849" i="11" l="1"/>
  <c r="H849" i="11" s="1"/>
  <c r="F849" i="11"/>
  <c r="I849" i="11" l="1"/>
  <c r="G850" i="11"/>
  <c r="H850" i="11" s="1"/>
  <c r="I850" i="11" s="1"/>
  <c r="F850" i="11"/>
  <c r="G851" i="11" l="1"/>
  <c r="H851" i="11" s="1"/>
  <c r="F851" i="11"/>
  <c r="I851" i="11" l="1"/>
  <c r="G852" i="11"/>
  <c r="H852" i="11" s="1"/>
  <c r="F852" i="11"/>
  <c r="I852" i="11" l="1"/>
  <c r="G853" i="11"/>
  <c r="H853" i="11" s="1"/>
  <c r="F853" i="11"/>
  <c r="I853" i="11" l="1"/>
  <c r="G854" i="11"/>
  <c r="H854" i="11" s="1"/>
  <c r="F854" i="11"/>
  <c r="I854" i="11" l="1"/>
  <c r="G855" i="11"/>
  <c r="H855" i="11" s="1"/>
  <c r="F855" i="11"/>
  <c r="I855" i="11" l="1"/>
  <c r="G856" i="11"/>
  <c r="H856" i="11" s="1"/>
  <c r="F856" i="11"/>
  <c r="I856" i="11" l="1"/>
  <c r="G857" i="11"/>
  <c r="F857" i="11"/>
  <c r="H857" i="11" s="1"/>
  <c r="I857" i="11" s="1"/>
  <c r="G858" i="11" l="1"/>
  <c r="H858" i="11" s="1"/>
  <c r="F858" i="11"/>
  <c r="I858" i="11" l="1"/>
  <c r="G859" i="11"/>
  <c r="H859" i="11" s="1"/>
  <c r="F859" i="11"/>
  <c r="I859" i="11" l="1"/>
  <c r="G860" i="11"/>
  <c r="H860" i="11" s="1"/>
  <c r="F860" i="11"/>
  <c r="I860" i="11" l="1"/>
  <c r="G861" i="11" s="1"/>
  <c r="H861" i="11" s="1"/>
  <c r="I861" i="11" s="1"/>
  <c r="F861" i="11"/>
  <c r="G862" i="11" l="1"/>
  <c r="H862" i="11" s="1"/>
  <c r="F862" i="11"/>
  <c r="I862" i="11" l="1"/>
  <c r="G863" i="11" s="1"/>
  <c r="H863" i="11" s="1"/>
  <c r="I863" i="11" s="1"/>
  <c r="F863" i="11"/>
  <c r="G864" i="11" l="1"/>
  <c r="H864" i="11" s="1"/>
  <c r="I864" i="11" s="1"/>
  <c r="F864" i="11"/>
  <c r="G865" i="11" l="1"/>
  <c r="H865" i="11" s="1"/>
  <c r="F865" i="11"/>
  <c r="I865" i="11" l="1"/>
  <c r="G866" i="11"/>
  <c r="H866" i="11" s="1"/>
  <c r="I866" i="11" s="1"/>
  <c r="F866" i="11"/>
  <c r="G867" i="11" l="1"/>
  <c r="H867" i="11" s="1"/>
  <c r="F867" i="11"/>
  <c r="I867" i="11" l="1"/>
  <c r="G868" i="11"/>
  <c r="H868" i="11" s="1"/>
  <c r="I868" i="11" s="1"/>
  <c r="F868" i="11"/>
  <c r="G869" i="11" l="1"/>
  <c r="H869" i="11" s="1"/>
  <c r="F869" i="11"/>
  <c r="I869" i="11" l="1"/>
  <c r="G870" i="11"/>
  <c r="H870" i="11" s="1"/>
  <c r="F870" i="11"/>
  <c r="I870" i="11" l="1"/>
  <c r="G871" i="11"/>
  <c r="H871" i="11" s="1"/>
  <c r="F871" i="11"/>
  <c r="I871" i="11" l="1"/>
  <c r="G872" i="11"/>
  <c r="F872" i="11"/>
  <c r="H872" i="11" l="1"/>
  <c r="I872" i="11" s="1"/>
  <c r="G873" i="11" l="1"/>
  <c r="H873" i="11" s="1"/>
  <c r="F873" i="11"/>
  <c r="I873" i="11" l="1"/>
  <c r="G874" i="11"/>
  <c r="H874" i="11" s="1"/>
  <c r="I874" i="11" s="1"/>
  <c r="F874" i="11"/>
  <c r="G875" i="11" l="1"/>
  <c r="H875" i="11" s="1"/>
  <c r="I875" i="11" s="1"/>
  <c r="F875" i="11"/>
  <c r="G876" i="11" l="1"/>
  <c r="H876" i="11" s="1"/>
  <c r="I876" i="11" s="1"/>
  <c r="F876" i="11"/>
  <c r="G877" i="11" l="1"/>
  <c r="H877" i="11" s="1"/>
  <c r="I877" i="11" s="1"/>
  <c r="F877" i="11"/>
  <c r="G878" i="11" l="1"/>
  <c r="H878" i="11" s="1"/>
  <c r="I878" i="11" s="1"/>
  <c r="F878" i="11"/>
  <c r="G879" i="11" l="1"/>
  <c r="H879" i="11" s="1"/>
  <c r="I879" i="11" s="1"/>
  <c r="F879" i="11"/>
  <c r="G880" i="11" l="1"/>
  <c r="H880" i="11" s="1"/>
  <c r="I880" i="11" s="1"/>
  <c r="F880" i="11"/>
  <c r="G881" i="11" l="1"/>
  <c r="H881" i="11" s="1"/>
  <c r="F881" i="11"/>
  <c r="I881" i="11" l="1"/>
  <c r="G882" i="11"/>
  <c r="H882" i="11" s="1"/>
  <c r="F882" i="11"/>
  <c r="I882" i="11" l="1"/>
  <c r="G883" i="11" s="1"/>
  <c r="H883" i="11" s="1"/>
  <c r="I883" i="11" s="1"/>
  <c r="F883" i="11"/>
  <c r="G884" i="11" l="1"/>
  <c r="H884" i="11" s="1"/>
  <c r="F884" i="11"/>
  <c r="I884" i="11" l="1"/>
  <c r="G885" i="11"/>
  <c r="H885" i="11" s="1"/>
  <c r="F885" i="11"/>
  <c r="I885" i="11" l="1"/>
  <c r="G886" i="11"/>
  <c r="H886" i="11" s="1"/>
  <c r="F886" i="11"/>
  <c r="I886" i="11" l="1"/>
  <c r="G887" i="11"/>
  <c r="H887" i="11" s="1"/>
  <c r="F887" i="11"/>
  <c r="I887" i="11" l="1"/>
  <c r="G888" i="11"/>
  <c r="H888" i="11" s="1"/>
  <c r="F888" i="11"/>
  <c r="I888" i="11" l="1"/>
  <c r="G889" i="11" s="1"/>
  <c r="H889" i="11" s="1"/>
  <c r="I889" i="11" s="1"/>
  <c r="F889" i="11"/>
  <c r="G890" i="11" l="1"/>
  <c r="H890" i="11" s="1"/>
  <c r="F890" i="11"/>
  <c r="I890" i="11" l="1"/>
  <c r="G891" i="11"/>
  <c r="H891" i="11" s="1"/>
  <c r="F891" i="11"/>
  <c r="I891" i="11" l="1"/>
  <c r="G892" i="11" s="1"/>
  <c r="H892" i="11" s="1"/>
  <c r="I892" i="11" s="1"/>
  <c r="F892" i="11"/>
  <c r="G893" i="11" l="1"/>
  <c r="H893" i="11" s="1"/>
  <c r="F893" i="11"/>
  <c r="I893" i="11" l="1"/>
  <c r="G894" i="11"/>
  <c r="H894" i="11" s="1"/>
  <c r="F894" i="11"/>
  <c r="I894" i="11" l="1"/>
  <c r="G895" i="11"/>
  <c r="H895" i="11" s="1"/>
  <c r="I895" i="11" s="1"/>
  <c r="F895" i="11"/>
  <c r="G896" i="11" l="1"/>
  <c r="H896" i="11" s="1"/>
  <c r="I896" i="11" s="1"/>
  <c r="F896" i="11"/>
  <c r="G897" i="11" l="1"/>
  <c r="H897" i="11" s="1"/>
  <c r="I897" i="11" s="1"/>
  <c r="F897" i="11"/>
  <c r="G898" i="11" l="1"/>
  <c r="H898" i="11" s="1"/>
  <c r="I898" i="11" s="1"/>
  <c r="F898" i="11"/>
  <c r="G899" i="11" l="1"/>
  <c r="H899" i="11" s="1"/>
  <c r="I899" i="11" s="1"/>
  <c r="F899" i="11"/>
  <c r="G900" i="11" l="1"/>
  <c r="H900" i="11" s="1"/>
  <c r="I900" i="11" s="1"/>
  <c r="F900" i="11"/>
  <c r="G901" i="11" l="1"/>
  <c r="H901" i="11" s="1"/>
  <c r="I901" i="11" s="1"/>
  <c r="F901" i="11"/>
  <c r="G902" i="11" l="1"/>
  <c r="H902" i="11" s="1"/>
  <c r="I902" i="11" s="1"/>
  <c r="F902" i="11"/>
  <c r="G903" i="11" l="1"/>
  <c r="H903" i="11" s="1"/>
  <c r="F903" i="11"/>
  <c r="I903" i="11" l="1"/>
  <c r="G904" i="11"/>
  <c r="H904" i="11" s="1"/>
  <c r="F904" i="11"/>
  <c r="I904" i="11" l="1"/>
  <c r="G905" i="11" s="1"/>
  <c r="H905" i="11" s="1"/>
  <c r="I905" i="11" s="1"/>
  <c r="F905" i="11"/>
  <c r="G906" i="11" l="1"/>
  <c r="H906" i="11" s="1"/>
  <c r="F906" i="11"/>
  <c r="I906" i="11" l="1"/>
  <c r="G907" i="11"/>
  <c r="H907" i="11" s="1"/>
  <c r="I907" i="11" s="1"/>
  <c r="F907" i="11"/>
  <c r="G908" i="11" l="1"/>
  <c r="H908" i="11" s="1"/>
  <c r="F908" i="11"/>
  <c r="I908" i="11" l="1"/>
  <c r="G909" i="11" s="1"/>
  <c r="H909" i="11" s="1"/>
  <c r="I909" i="11" s="1"/>
  <c r="F909" i="11"/>
  <c r="G910" i="11" l="1"/>
  <c r="H910" i="11" s="1"/>
  <c r="F910" i="11"/>
  <c r="I910" i="11" l="1"/>
  <c r="G911" i="11" s="1"/>
  <c r="H911" i="11" s="1"/>
  <c r="I911" i="11" s="1"/>
  <c r="F911" i="11"/>
  <c r="G912" i="11" l="1"/>
  <c r="H912" i="11" s="1"/>
  <c r="F912" i="11"/>
  <c r="I912" i="11" l="1"/>
  <c r="G913" i="11" s="1"/>
  <c r="H913" i="11" s="1"/>
  <c r="I913" i="11" s="1"/>
  <c r="F913" i="11"/>
  <c r="G914" i="11" l="1"/>
  <c r="H914" i="11" s="1"/>
  <c r="F914" i="11"/>
  <c r="I914" i="11" l="1"/>
  <c r="G915" i="11"/>
  <c r="H915" i="11" s="1"/>
  <c r="I915" i="11" s="1"/>
  <c r="F915" i="11"/>
  <c r="G916" i="11" l="1"/>
  <c r="H916" i="11" s="1"/>
  <c r="I916" i="11" s="1"/>
  <c r="F916" i="11"/>
  <c r="G917" i="11" l="1"/>
  <c r="H917" i="11" s="1"/>
  <c r="F917" i="11"/>
  <c r="I917" i="11" l="1"/>
  <c r="G918" i="11"/>
  <c r="H918" i="11" s="1"/>
  <c r="I918" i="11" s="1"/>
  <c r="F918" i="11"/>
  <c r="G919" i="11" l="1"/>
  <c r="H919" i="11" s="1"/>
  <c r="F919" i="11"/>
  <c r="I919" i="11" l="1"/>
  <c r="G920" i="11"/>
  <c r="H920" i="11" s="1"/>
  <c r="F920" i="11"/>
  <c r="I920" i="11" l="1"/>
  <c r="G921" i="11"/>
  <c r="H921" i="11" s="1"/>
  <c r="F921" i="11"/>
  <c r="I921" i="11" l="1"/>
  <c r="G922" i="11"/>
  <c r="H922" i="11" s="1"/>
  <c r="F922" i="11"/>
  <c r="I922" i="11" l="1"/>
  <c r="G923" i="11"/>
  <c r="H923" i="11" s="1"/>
  <c r="F923" i="11"/>
  <c r="I923" i="11" l="1"/>
  <c r="G924" i="11"/>
  <c r="H924" i="11" s="1"/>
  <c r="F924" i="11"/>
  <c r="I924" i="11" l="1"/>
  <c r="G925" i="11" s="1"/>
  <c r="H925" i="11" s="1"/>
  <c r="I925" i="11" s="1"/>
  <c r="F925" i="11"/>
  <c r="G926" i="11" l="1"/>
  <c r="H926" i="11" s="1"/>
  <c r="I926" i="11" s="1"/>
  <c r="F926" i="11"/>
  <c r="G927" i="11" l="1"/>
  <c r="H927" i="11" s="1"/>
  <c r="F927" i="11"/>
  <c r="I927" i="11" l="1"/>
  <c r="G928" i="11" s="1"/>
  <c r="F928" i="11"/>
  <c r="H928" i="11" l="1"/>
  <c r="I928" i="11" l="1"/>
  <c r="G929" i="11" s="1"/>
  <c r="H929" i="11" s="1"/>
  <c r="F929" i="11"/>
  <c r="I929" i="11" l="1"/>
  <c r="G930" i="11" s="1"/>
  <c r="H930" i="11" s="1"/>
  <c r="F930" i="11"/>
  <c r="F931" i="11"/>
  <c r="I930" i="11" l="1"/>
  <c r="G931" i="11" s="1"/>
  <c r="H931" i="11" s="1"/>
  <c r="I931" i="11" s="1"/>
  <c r="G932" i="11" s="1"/>
  <c r="H932" i="11" s="1"/>
  <c r="I932" i="11" s="1"/>
  <c r="F932" i="11"/>
  <c r="G933" i="11" l="1"/>
  <c r="H933" i="11" s="1"/>
  <c r="F933" i="11"/>
  <c r="I933" i="11" l="1"/>
  <c r="G934" i="11"/>
  <c r="H934" i="11" s="1"/>
  <c r="F934" i="11"/>
  <c r="I934" i="11" l="1"/>
  <c r="G935" i="11" s="1"/>
  <c r="H935" i="11" s="1"/>
  <c r="I935" i="11" s="1"/>
  <c r="F935" i="11"/>
  <c r="H936" i="11" l="1"/>
  <c r="I936" i="11" s="1"/>
  <c r="G936" i="11"/>
  <c r="F936" i="11"/>
  <c r="G937" i="11" l="1"/>
  <c r="H937" i="11" s="1"/>
  <c r="F937" i="11"/>
  <c r="I937" i="11" l="1"/>
  <c r="G938" i="11"/>
  <c r="H938" i="11" s="1"/>
  <c r="F938" i="11"/>
  <c r="I938" i="11" l="1"/>
  <c r="G939" i="11"/>
  <c r="H939" i="11" s="1"/>
  <c r="I939" i="11" s="1"/>
  <c r="F939" i="11"/>
  <c r="G940" i="11" l="1"/>
  <c r="H940" i="11" s="1"/>
  <c r="F940" i="11"/>
  <c r="I940" i="11" l="1"/>
  <c r="G941" i="11"/>
  <c r="H941" i="11" s="1"/>
  <c r="I941" i="11" s="1"/>
  <c r="F941" i="11"/>
  <c r="G942" i="11" l="1"/>
  <c r="H942" i="11" s="1"/>
  <c r="F942" i="11"/>
  <c r="I942" i="11" l="1"/>
  <c r="G943" i="11"/>
  <c r="F943" i="11"/>
  <c r="H943" i="11" s="1"/>
  <c r="I943" i="11" s="1"/>
  <c r="G944" i="11" l="1"/>
  <c r="H944" i="11" s="1"/>
  <c r="F944" i="11"/>
  <c r="I944" i="11" l="1"/>
  <c r="G945" i="11"/>
  <c r="H945" i="11" s="1"/>
  <c r="F945" i="11"/>
  <c r="I945" i="11" l="1"/>
  <c r="G946" i="11" s="1"/>
  <c r="H946" i="11" s="1"/>
  <c r="I946" i="11" s="1"/>
  <c r="F946" i="11"/>
  <c r="G947" i="11" l="1"/>
  <c r="H947" i="11" s="1"/>
  <c r="F947" i="11"/>
  <c r="I947" i="11" l="1"/>
  <c r="G948" i="11"/>
  <c r="H948" i="11" s="1"/>
  <c r="I948" i="11" s="1"/>
  <c r="F948" i="11"/>
  <c r="G949" i="11" l="1"/>
  <c r="H949" i="11" s="1"/>
  <c r="I949" i="11" s="1"/>
  <c r="F949" i="11"/>
  <c r="G950" i="11" l="1"/>
  <c r="H950" i="11" s="1"/>
  <c r="F950" i="11"/>
  <c r="I950" i="11" l="1"/>
  <c r="G951" i="11"/>
  <c r="H951" i="11" s="1"/>
  <c r="F951" i="11"/>
  <c r="I951" i="11" l="1"/>
  <c r="G952" i="11"/>
  <c r="H952" i="11" s="1"/>
  <c r="I952" i="11" s="1"/>
  <c r="F952" i="11"/>
  <c r="G953" i="11" l="1"/>
  <c r="H953" i="11" s="1"/>
  <c r="F953" i="11"/>
  <c r="I953" i="11" l="1"/>
  <c r="G954" i="11"/>
  <c r="H954" i="11" s="1"/>
  <c r="I954" i="11" s="1"/>
  <c r="F954" i="11"/>
  <c r="G955" i="11" l="1"/>
  <c r="H955" i="11" s="1"/>
  <c r="I955" i="11" s="1"/>
  <c r="F955" i="11"/>
  <c r="G956" i="11" l="1"/>
  <c r="H956" i="11" s="1"/>
  <c r="F956" i="11"/>
  <c r="I956" i="11" l="1"/>
  <c r="G957" i="11"/>
  <c r="H957" i="11" s="1"/>
  <c r="F957" i="11"/>
  <c r="I957" i="11" l="1"/>
  <c r="G958" i="11" s="1"/>
  <c r="H958" i="11" s="1"/>
  <c r="I958" i="11" s="1"/>
  <c r="F958" i="11"/>
  <c r="G959" i="11" l="1"/>
  <c r="H959" i="11" s="1"/>
  <c r="F959" i="11"/>
  <c r="I959" i="11" l="1"/>
  <c r="G960" i="11" s="1"/>
  <c r="H960" i="11" s="1"/>
  <c r="I960" i="11" s="1"/>
  <c r="F960" i="11"/>
  <c r="H961" i="11" l="1"/>
  <c r="G961" i="11"/>
  <c r="F961" i="11"/>
  <c r="I961" i="11" l="1"/>
  <c r="G962" i="11"/>
  <c r="F962" i="11"/>
  <c r="H962" i="11" s="1"/>
  <c r="I962" i="11" s="1"/>
  <c r="G963" i="11" l="1"/>
  <c r="H963" i="11" s="1"/>
  <c r="F963" i="11"/>
  <c r="I963" i="11" l="1"/>
  <c r="G964" i="11"/>
  <c r="H964" i="11" s="1"/>
  <c r="I964" i="11" s="1"/>
  <c r="F964" i="11"/>
  <c r="G965" i="11" l="1"/>
  <c r="H965" i="11" s="1"/>
  <c r="F965" i="11"/>
  <c r="I965" i="11" l="1"/>
  <c r="G966" i="11"/>
  <c r="H966" i="11" s="1"/>
  <c r="I966" i="11" s="1"/>
  <c r="F966" i="11"/>
  <c r="G967" i="11" l="1"/>
  <c r="H967" i="11" s="1"/>
  <c r="F967" i="11"/>
  <c r="I967" i="11" l="1"/>
  <c r="G968" i="11"/>
  <c r="H968" i="11" s="1"/>
  <c r="I968" i="11" s="1"/>
  <c r="F968" i="11"/>
  <c r="G969" i="11" l="1"/>
  <c r="H969" i="11" s="1"/>
  <c r="F969" i="11"/>
  <c r="I969" i="11" l="1"/>
  <c r="G970" i="11"/>
  <c r="H970" i="11" s="1"/>
  <c r="I970" i="11" s="1"/>
  <c r="F970" i="11"/>
  <c r="G971" i="11" l="1"/>
  <c r="H971" i="11" s="1"/>
  <c r="F971" i="11"/>
  <c r="I971" i="11" l="1"/>
  <c r="G972" i="11" s="1"/>
  <c r="H972" i="11" s="1"/>
  <c r="I972" i="11" s="1"/>
  <c r="F972" i="11"/>
  <c r="G973" i="11" l="1"/>
  <c r="H973" i="11" s="1"/>
  <c r="F973" i="11"/>
  <c r="I973" i="11" l="1"/>
  <c r="G974" i="11"/>
  <c r="H974" i="11" s="1"/>
  <c r="F974" i="11"/>
  <c r="I974" i="11" l="1"/>
  <c r="G975" i="11"/>
  <c r="H975" i="11" s="1"/>
  <c r="I975" i="11" s="1"/>
  <c r="F975" i="11"/>
  <c r="G976" i="11" l="1"/>
  <c r="H976" i="11" s="1"/>
  <c r="F976" i="11"/>
  <c r="I976" i="11" l="1"/>
  <c r="G977" i="11"/>
  <c r="H977" i="11" s="1"/>
  <c r="F977" i="11"/>
  <c r="I977" i="11" l="1"/>
  <c r="G978" i="11"/>
  <c r="H978" i="11" s="1"/>
  <c r="F978" i="11"/>
  <c r="I978" i="11" l="1"/>
  <c r="G979" i="11"/>
  <c r="H979" i="11" s="1"/>
  <c r="I979" i="11" s="1"/>
  <c r="F979" i="11"/>
  <c r="G980" i="11" l="1"/>
  <c r="H980" i="11" s="1"/>
  <c r="I980" i="11" s="1"/>
  <c r="F980" i="11"/>
  <c r="G981" i="11" l="1"/>
  <c r="H981" i="11" s="1"/>
  <c r="I981" i="11" s="1"/>
  <c r="F981" i="11"/>
  <c r="G982" i="11" l="1"/>
  <c r="H982" i="11" s="1"/>
  <c r="F982" i="11"/>
  <c r="I982" i="11" l="1"/>
  <c r="G983" i="11"/>
  <c r="F983" i="11"/>
  <c r="H983" i="11" l="1"/>
  <c r="I983" i="11" s="1"/>
  <c r="G984" i="11" l="1"/>
  <c r="H984" i="11" s="1"/>
  <c r="F984" i="11"/>
  <c r="I984" i="11" l="1"/>
  <c r="G985" i="11"/>
  <c r="H985" i="11" s="1"/>
  <c r="F985" i="11"/>
  <c r="I985" i="11" l="1"/>
  <c r="G986" i="11"/>
  <c r="H986" i="11" s="1"/>
  <c r="F986" i="11"/>
  <c r="I986" i="11" l="1"/>
  <c r="G987" i="11"/>
  <c r="H987" i="11" s="1"/>
  <c r="I987" i="11" s="1"/>
  <c r="F987" i="11"/>
  <c r="G988" i="11" l="1"/>
  <c r="H988" i="11" s="1"/>
  <c r="F988" i="11"/>
  <c r="I988" i="11" l="1"/>
  <c r="G989" i="11"/>
  <c r="H989" i="11" s="1"/>
  <c r="F989" i="11"/>
  <c r="I989" i="11" l="1"/>
  <c r="G990" i="11"/>
  <c r="H990" i="11" s="1"/>
  <c r="I990" i="11" s="1"/>
  <c r="F990" i="11"/>
  <c r="G991" i="11" l="1"/>
  <c r="H991" i="11" s="1"/>
  <c r="F991" i="11"/>
  <c r="I991" i="11" l="1"/>
  <c r="G992" i="11"/>
  <c r="H992" i="11" s="1"/>
  <c r="F992" i="11"/>
  <c r="I992" i="11" l="1"/>
  <c r="G993" i="11"/>
  <c r="H993" i="11" s="1"/>
  <c r="I993" i="11" s="1"/>
  <c r="F993" i="11"/>
  <c r="G994" i="11" l="1"/>
  <c r="H994" i="11" s="1"/>
  <c r="I994" i="11" s="1"/>
  <c r="F994" i="11"/>
  <c r="G995" i="11" l="1"/>
  <c r="H995" i="11" s="1"/>
  <c r="F995" i="11"/>
  <c r="I995" i="11" l="1"/>
  <c r="G996" i="11"/>
  <c r="H996" i="11" s="1"/>
  <c r="F996" i="11"/>
  <c r="I996" i="11" l="1"/>
  <c r="G997" i="11"/>
  <c r="H997" i="11" s="1"/>
  <c r="F997" i="11"/>
  <c r="I997" i="11" l="1"/>
  <c r="G998" i="11"/>
  <c r="H998" i="11" s="1"/>
  <c r="F998" i="11"/>
  <c r="I998" i="11" l="1"/>
  <c r="G999" i="11" s="1"/>
  <c r="H999" i="11" s="1"/>
  <c r="I999" i="11" s="1"/>
  <c r="F999" i="11"/>
  <c r="G1000" i="11" l="1"/>
  <c r="H1000" i="11" s="1"/>
  <c r="F1000" i="11"/>
  <c r="I1000" i="11" l="1"/>
  <c r="G1001" i="11"/>
  <c r="H1001" i="11" s="1"/>
  <c r="F1001" i="11"/>
  <c r="I1001" i="11" l="1"/>
  <c r="G1002" i="11" s="1"/>
  <c r="H1002" i="11" s="1"/>
  <c r="I1002" i="11" s="1"/>
  <c r="F1002" i="11"/>
  <c r="G1003" i="11" l="1"/>
  <c r="H1003" i="11" s="1"/>
  <c r="F1003" i="11"/>
  <c r="I1003" i="11" l="1"/>
  <c r="G1004" i="11"/>
  <c r="H1004" i="11" s="1"/>
  <c r="F1004" i="11"/>
  <c r="I1004" i="11" l="1"/>
  <c r="G1005" i="11" s="1"/>
  <c r="H1005" i="11" s="1"/>
  <c r="I1005" i="11" s="1"/>
  <c r="F1005" i="11"/>
  <c r="G1006" i="11" l="1"/>
  <c r="H1006" i="11" s="1"/>
  <c r="F1006" i="11"/>
  <c r="I1006" i="11" l="1"/>
  <c r="G1007" i="11" s="1"/>
  <c r="H1007" i="11" s="1"/>
  <c r="I1007" i="11" s="1"/>
  <c r="F1007" i="11"/>
  <c r="G1008" i="11" l="1"/>
  <c r="H1008" i="11" s="1"/>
  <c r="I1008" i="11" s="1"/>
  <c r="F1008" i="11"/>
  <c r="G1009" i="11" l="1"/>
  <c r="H1009" i="11" s="1"/>
  <c r="F1009" i="11"/>
  <c r="I1009" i="11" l="1"/>
  <c r="G1010" i="11"/>
  <c r="H1010" i="11" s="1"/>
  <c r="F1010" i="11"/>
  <c r="I1010" i="11" l="1"/>
  <c r="G1011" i="11"/>
  <c r="H1011" i="11" s="1"/>
  <c r="I1011" i="11" s="1"/>
  <c r="F1011" i="11"/>
  <c r="G1012" i="11" l="1"/>
  <c r="H1012" i="11" s="1"/>
  <c r="F1012" i="11"/>
  <c r="I1012" i="11" l="1"/>
  <c r="G1013" i="11" s="1"/>
  <c r="H1013" i="11" s="1"/>
  <c r="I1013" i="11" s="1"/>
  <c r="F1013" i="11"/>
  <c r="G1014" i="11" l="1"/>
  <c r="H1014" i="11" s="1"/>
  <c r="F1014" i="11"/>
  <c r="I1014" i="11" l="1"/>
  <c r="G1015" i="11" s="1"/>
  <c r="H1015" i="11" s="1"/>
  <c r="I1015" i="11" s="1"/>
  <c r="F1015" i="11"/>
  <c r="G1016" i="11" l="1"/>
  <c r="H1016" i="11" s="1"/>
  <c r="I1016" i="11" s="1"/>
  <c r="F1016" i="11"/>
  <c r="H1017" i="11" l="1"/>
  <c r="I1017" i="11" s="1"/>
  <c r="G1017" i="11"/>
  <c r="F1017" i="11"/>
  <c r="G1018" i="11" l="1"/>
  <c r="H1018" i="11" s="1"/>
  <c r="F1018" i="11"/>
  <c r="I1018" i="11" l="1"/>
  <c r="G1019" i="11"/>
  <c r="H1019" i="11" s="1"/>
  <c r="F1019" i="11"/>
  <c r="I1019" i="11" l="1"/>
  <c r="G1020" i="11"/>
  <c r="H1020" i="11" s="1"/>
  <c r="I1020" i="11" s="1"/>
  <c r="F1020" i="11"/>
  <c r="G1021" i="11" l="1"/>
  <c r="H1021" i="11" s="1"/>
  <c r="F1021" i="11"/>
  <c r="I1021" i="11" l="1"/>
  <c r="G1022" i="11"/>
  <c r="F1022" i="11"/>
  <c r="H1022" i="11" s="1"/>
  <c r="I1022" i="11" s="1"/>
  <c r="G1023" i="11" l="1"/>
  <c r="H1023" i="11" s="1"/>
  <c r="F1023" i="11"/>
  <c r="I1023" i="11" l="1"/>
  <c r="G1024" i="11" s="1"/>
  <c r="H1024" i="11" s="1"/>
  <c r="I1024" i="11" s="1"/>
  <c r="F1024" i="11"/>
  <c r="G1025" i="11" l="1"/>
  <c r="H1025" i="11" s="1"/>
  <c r="I1025" i="11" s="1"/>
  <c r="F1025" i="11"/>
  <c r="G1026" i="11" l="1"/>
  <c r="H1026" i="11" s="1"/>
  <c r="I1026" i="11" s="1"/>
  <c r="F1026" i="11"/>
  <c r="G1027" i="11" l="1"/>
  <c r="H1027" i="11" s="1"/>
  <c r="F1027" i="11"/>
  <c r="I1027" i="11" l="1"/>
  <c r="G1028" i="11"/>
  <c r="H1028" i="11" s="1"/>
  <c r="I1028" i="11" s="1"/>
  <c r="F1028" i="11"/>
  <c r="G1029" i="11" l="1"/>
  <c r="H1029" i="11" s="1"/>
  <c r="I1029" i="11" s="1"/>
  <c r="F1029" i="11"/>
  <c r="G1030" i="11" l="1"/>
  <c r="H1030" i="11" s="1"/>
  <c r="F1030" i="11"/>
  <c r="I1030" i="11" l="1"/>
  <c r="G1031" i="11"/>
  <c r="H1031" i="11" s="1"/>
  <c r="F1031" i="11"/>
  <c r="I1031" i="11" l="1"/>
  <c r="G1032" i="11"/>
  <c r="H1032" i="11" s="1"/>
  <c r="F1032" i="11"/>
  <c r="I1032" i="11" l="1"/>
  <c r="G1033" i="11"/>
  <c r="H1033" i="11" s="1"/>
  <c r="I1033" i="11" s="1"/>
  <c r="F1033" i="11"/>
  <c r="G1034" i="11" l="1"/>
  <c r="H1034" i="11" s="1"/>
  <c r="F1034" i="11"/>
  <c r="I1034" i="11" l="1"/>
  <c r="G1035" i="11" s="1"/>
  <c r="H1035" i="11" s="1"/>
  <c r="I1035" i="11" s="1"/>
  <c r="F1035" i="11"/>
  <c r="G1036" i="11" l="1"/>
  <c r="H1036" i="11" s="1"/>
  <c r="I1036" i="11" s="1"/>
  <c r="F1036" i="11"/>
  <c r="G1037" i="11" l="1"/>
  <c r="H1037" i="11" s="1"/>
  <c r="F1037" i="11"/>
  <c r="I1037" i="11" l="1"/>
  <c r="G1038" i="11" s="1"/>
  <c r="H1038" i="11" s="1"/>
  <c r="I1038" i="11" s="1"/>
  <c r="F1038" i="11"/>
  <c r="G1039" i="11" l="1"/>
  <c r="F1039" i="11"/>
  <c r="H1039" i="11" l="1"/>
  <c r="I1039" i="11" s="1"/>
  <c r="G1040" i="11"/>
  <c r="H1040" i="11" s="1"/>
  <c r="F1040" i="11"/>
  <c r="I1040" i="11" l="1"/>
  <c r="G1041" i="11"/>
  <c r="H1041" i="11" s="1"/>
  <c r="F1041" i="11"/>
  <c r="I1041" i="11" l="1"/>
  <c r="G1042" i="11"/>
  <c r="H1042" i="11" s="1"/>
  <c r="F1042" i="11"/>
  <c r="I1042" i="11" l="1"/>
  <c r="G1043" i="11"/>
  <c r="H1043" i="11" s="1"/>
  <c r="F1043" i="11"/>
  <c r="I1043" i="11" l="1"/>
  <c r="G1044" i="11"/>
  <c r="H1044" i="11" s="1"/>
  <c r="F1044" i="11"/>
  <c r="I1044" i="11" l="1"/>
  <c r="G1045" i="11"/>
  <c r="H1045" i="11" s="1"/>
  <c r="F1045" i="11"/>
  <c r="I1045" i="11" l="1"/>
  <c r="G1046" i="11"/>
  <c r="H1046" i="11" s="1"/>
  <c r="F1046" i="11"/>
  <c r="I1046" i="11" l="1"/>
  <c r="G1047" i="11" s="1"/>
  <c r="H1047" i="11" s="1"/>
  <c r="I1047" i="11" s="1"/>
  <c r="F1047" i="11"/>
  <c r="G1048" i="11" l="1"/>
  <c r="H1048" i="11" s="1"/>
  <c r="F1048" i="11"/>
  <c r="I1048" i="11" l="1"/>
  <c r="G1049" i="11"/>
  <c r="H1049" i="11" s="1"/>
  <c r="F1049" i="11"/>
  <c r="I1049" i="11" l="1"/>
  <c r="G1050" i="11"/>
  <c r="H1050" i="11" s="1"/>
  <c r="F1050" i="11"/>
  <c r="I1050" i="11" l="1"/>
  <c r="G1051" i="11" s="1"/>
  <c r="H1051" i="11" s="1"/>
  <c r="I1051" i="11" s="1"/>
  <c r="F1051" i="11"/>
  <c r="G1052" i="11" l="1"/>
  <c r="H1052" i="11" s="1"/>
  <c r="F1052" i="11"/>
  <c r="I1052" i="11" l="1"/>
  <c r="G1053" i="11"/>
  <c r="H1053" i="11" s="1"/>
  <c r="I1053" i="11" s="1"/>
  <c r="F1053" i="11"/>
  <c r="G1054" i="11" l="1"/>
  <c r="H1054" i="11" s="1"/>
  <c r="F1054" i="11"/>
  <c r="I1054" i="11" l="1"/>
  <c r="G1055" i="11"/>
  <c r="H1055" i="11" s="1"/>
  <c r="F1055" i="11"/>
  <c r="I1055" i="11" l="1"/>
  <c r="G1056" i="11"/>
  <c r="H1056" i="11" s="1"/>
  <c r="F1056" i="11"/>
  <c r="I1056" i="11" l="1"/>
  <c r="G1057" i="11"/>
  <c r="H1057" i="11" s="1"/>
  <c r="F1057" i="11"/>
  <c r="I1057" i="11" l="1"/>
  <c r="G1058" i="11"/>
  <c r="H1058" i="11" s="1"/>
  <c r="F1058" i="11"/>
  <c r="I1058" i="11" l="1"/>
  <c r="G1059" i="11"/>
  <c r="H1059" i="11" s="1"/>
  <c r="F1059" i="11"/>
  <c r="I1059" i="11" l="1"/>
  <c r="G1060" i="11"/>
  <c r="H1060" i="11" s="1"/>
  <c r="F1060" i="11"/>
  <c r="I1060" i="11" l="1"/>
  <c r="G1061" i="11"/>
  <c r="H1061" i="11" s="1"/>
  <c r="F1061" i="11"/>
  <c r="I1061" i="11" l="1"/>
  <c r="G1062" i="11"/>
  <c r="H1062" i="11" s="1"/>
  <c r="F1062" i="11"/>
  <c r="I1062" i="11" l="1"/>
  <c r="G1063" i="11"/>
  <c r="H1063" i="11" s="1"/>
  <c r="F1063" i="11"/>
  <c r="I1063" i="11" l="1"/>
  <c r="G1064" i="11"/>
  <c r="H1064" i="11" s="1"/>
  <c r="F1064" i="11"/>
  <c r="I1064" i="11" l="1"/>
  <c r="G1065" i="11"/>
  <c r="H1065" i="11" s="1"/>
  <c r="I1065" i="11" s="1"/>
  <c r="F1065" i="11"/>
  <c r="G1066" i="11" l="1"/>
  <c r="H1066" i="11" s="1"/>
  <c r="F1066" i="11"/>
  <c r="I1066" i="11" l="1"/>
  <c r="G1067" i="11"/>
  <c r="H1067" i="11" s="1"/>
  <c r="F1067" i="11"/>
  <c r="I1067" i="11" l="1"/>
  <c r="G1068" i="11"/>
  <c r="H1068" i="11" s="1"/>
  <c r="F1068" i="11"/>
  <c r="I1068" i="11" l="1"/>
  <c r="G1069" i="11"/>
  <c r="H1069" i="11" s="1"/>
  <c r="F1069" i="11"/>
  <c r="I1069" i="11" l="1"/>
  <c r="G1070" i="11" s="1"/>
  <c r="F1070" i="11"/>
  <c r="H1070" i="11" l="1"/>
  <c r="I1070" i="11" s="1"/>
  <c r="G1071" i="11"/>
  <c r="H1071" i="11" s="1"/>
  <c r="F1071" i="11"/>
  <c r="I1071" i="11" l="1"/>
  <c r="G1072" i="11"/>
  <c r="H1072" i="11" s="1"/>
  <c r="I1072" i="11" s="1"/>
  <c r="F1072" i="11"/>
  <c r="H1073" i="11" l="1"/>
  <c r="I1073" i="11" s="1"/>
  <c r="G1073" i="11"/>
  <c r="F1073" i="11"/>
  <c r="G1074" i="11" l="1"/>
  <c r="H1074" i="11" s="1"/>
  <c r="F1074" i="11"/>
  <c r="I1074" i="11" l="1"/>
  <c r="H1075" i="11"/>
  <c r="I1075" i="11" s="1"/>
  <c r="G1075" i="11"/>
  <c r="F1075" i="11"/>
  <c r="G1076" i="11" l="1"/>
  <c r="H1076" i="11" s="1"/>
  <c r="F1076" i="11"/>
  <c r="I1076" i="11" l="1"/>
  <c r="G1077" i="11" s="1"/>
  <c r="H1077" i="11" s="1"/>
  <c r="I1077" i="11" s="1"/>
  <c r="F1077" i="11"/>
  <c r="G1078" i="11" l="1"/>
  <c r="H1078" i="11" s="1"/>
  <c r="F1078" i="11"/>
  <c r="I1078" i="11" l="1"/>
  <c r="G1079" i="11" s="1"/>
  <c r="H1079" i="11" s="1"/>
  <c r="I1079" i="11" s="1"/>
  <c r="F1079" i="11"/>
  <c r="G1080" i="11" l="1"/>
  <c r="H1080" i="11" s="1"/>
  <c r="F1080" i="11"/>
  <c r="I1080" i="11" l="1"/>
  <c r="G1081" i="11"/>
  <c r="H1081" i="11" s="1"/>
  <c r="F1081" i="11"/>
  <c r="I1081" i="11" l="1"/>
  <c r="G1082" i="11"/>
  <c r="H1082" i="11" s="1"/>
  <c r="I1082" i="11" s="1"/>
  <c r="F1082" i="11"/>
  <c r="H1083" i="11" l="1"/>
  <c r="I1083" i="11" s="1"/>
  <c r="G1083" i="11"/>
  <c r="F1083" i="11"/>
  <c r="G1084" i="11" l="1"/>
  <c r="H1084" i="11" s="1"/>
  <c r="F1084" i="11"/>
  <c r="I1084" i="11" l="1"/>
  <c r="G1085" i="11"/>
  <c r="H1085" i="11" s="1"/>
  <c r="I1085" i="11" s="1"/>
  <c r="F1085" i="11"/>
  <c r="G1086" i="11" l="1"/>
  <c r="H1086" i="11" s="1"/>
  <c r="F1086" i="11"/>
  <c r="I1086" i="11" l="1"/>
  <c r="G1087" i="11"/>
  <c r="H1087" i="11" s="1"/>
  <c r="F1087" i="11"/>
  <c r="I1087" i="11" l="1"/>
  <c r="G1088" i="11"/>
  <c r="H1088" i="11" s="1"/>
  <c r="F1088" i="11"/>
  <c r="I1088" i="11" l="1"/>
  <c r="G1089" i="11"/>
  <c r="H1089" i="11" s="1"/>
  <c r="F1089" i="11"/>
  <c r="I1089" i="11" l="1"/>
  <c r="G1090" i="11"/>
  <c r="H1090" i="11" s="1"/>
  <c r="F1090" i="11"/>
  <c r="I1090" i="11" l="1"/>
  <c r="G1091" i="11"/>
  <c r="F1091" i="11"/>
  <c r="H1091" i="11" s="1"/>
  <c r="I1091" i="11" s="1"/>
  <c r="G1092" i="11" l="1"/>
  <c r="H1092" i="11" s="1"/>
  <c r="F1092" i="11"/>
  <c r="I1092" i="11" l="1"/>
  <c r="G1093" i="11"/>
  <c r="H1093" i="11" s="1"/>
  <c r="I1093" i="11" s="1"/>
  <c r="F1093" i="11"/>
  <c r="G1094" i="11" l="1"/>
  <c r="H1094" i="11" s="1"/>
  <c r="F1094" i="11"/>
  <c r="I1094" i="11" l="1"/>
  <c r="G1095" i="11"/>
  <c r="H1095" i="11" s="1"/>
  <c r="F1095" i="11"/>
  <c r="I1095" i="11" l="1"/>
  <c r="G1096" i="11"/>
  <c r="H1096" i="11" s="1"/>
  <c r="F1096" i="11"/>
  <c r="I1096" i="11" l="1"/>
  <c r="G1097" i="11" s="1"/>
  <c r="H1097" i="11" s="1"/>
  <c r="I1097" i="11" s="1"/>
  <c r="F1097" i="11"/>
  <c r="G1098" i="11" l="1"/>
  <c r="H1098" i="11" s="1"/>
  <c r="I1098" i="11" s="1"/>
  <c r="F1098" i="11"/>
  <c r="G1099" i="11" l="1"/>
  <c r="H1099" i="11" s="1"/>
  <c r="I1099" i="11" s="1"/>
  <c r="F1099" i="11"/>
  <c r="G1100" i="11" l="1"/>
  <c r="H1100" i="11" s="1"/>
  <c r="F1100" i="11"/>
  <c r="I1100" i="11" l="1"/>
  <c r="G1101" i="11" s="1"/>
  <c r="H1101" i="11" s="1"/>
  <c r="I1101" i="11" s="1"/>
  <c r="F1101" i="11"/>
  <c r="G1102" i="11" l="1"/>
  <c r="H1102" i="11" s="1"/>
  <c r="F1102" i="11"/>
  <c r="I1102" i="11" l="1"/>
  <c r="G1103" i="11" s="1"/>
  <c r="H1103" i="11" s="1"/>
  <c r="I1103" i="11" s="1"/>
  <c r="F1103" i="11"/>
  <c r="G1104" i="11" l="1"/>
  <c r="H1104" i="11" s="1"/>
  <c r="F1104" i="11"/>
  <c r="I1104" i="11" l="1"/>
  <c r="G1105" i="11"/>
  <c r="H1105" i="11" s="1"/>
  <c r="F1105" i="11"/>
  <c r="I1105" i="11" l="1"/>
  <c r="G1106" i="11"/>
  <c r="H1106" i="11" s="1"/>
  <c r="I1106" i="11" s="1"/>
  <c r="F1106" i="11"/>
  <c r="G1107" i="11" l="1"/>
  <c r="H1107" i="11" s="1"/>
  <c r="F1107" i="11"/>
  <c r="I1107" i="11" l="1"/>
  <c r="G1108" i="11"/>
  <c r="H1108" i="11" s="1"/>
  <c r="F1108" i="11"/>
  <c r="I1108" i="11" l="1"/>
  <c r="G1109" i="11"/>
  <c r="H1109" i="11" s="1"/>
  <c r="F1109" i="11"/>
  <c r="I1109" i="11" l="1"/>
  <c r="G1110" i="11" s="1"/>
  <c r="H1110" i="11" s="1"/>
  <c r="I1110" i="11" s="1"/>
  <c r="F1110" i="11"/>
  <c r="G1111" i="11" l="1"/>
  <c r="H1111" i="11" s="1"/>
  <c r="F1111" i="11"/>
  <c r="I1111" i="11" l="1"/>
  <c r="G1112" i="11"/>
  <c r="H1112" i="11" s="1"/>
  <c r="I1112" i="11" s="1"/>
  <c r="F1112" i="11"/>
  <c r="G1113" i="11" l="1"/>
  <c r="F1113" i="11"/>
  <c r="H1113" i="11" l="1"/>
  <c r="I1113" i="11" s="1"/>
  <c r="G1114" i="11"/>
  <c r="H1114" i="11" s="1"/>
  <c r="F1114" i="11"/>
  <c r="I1114" i="11" l="1"/>
  <c r="G1115" i="11"/>
  <c r="H1115" i="11" s="1"/>
  <c r="F1115" i="11"/>
  <c r="I1115" i="11" l="1"/>
  <c r="G1116" i="11" s="1"/>
  <c r="H1116" i="11" s="1"/>
  <c r="I1116" i="11" s="1"/>
  <c r="F1116" i="11"/>
  <c r="G1117" i="11" l="1"/>
  <c r="H1117" i="11" s="1"/>
  <c r="F1117" i="11"/>
  <c r="I1117" i="11" l="1"/>
  <c r="G1118" i="11" s="1"/>
  <c r="H1118" i="11" s="1"/>
  <c r="I1118" i="11" s="1"/>
  <c r="F1118" i="11"/>
  <c r="G1119" i="11" l="1"/>
  <c r="H1119" i="11" s="1"/>
  <c r="I1119" i="11" s="1"/>
  <c r="F1119" i="11"/>
  <c r="G1120" i="11" l="1"/>
  <c r="H1120" i="11" s="1"/>
  <c r="F1120" i="11"/>
  <c r="I1120" i="11" l="1"/>
  <c r="G1121" i="11"/>
  <c r="H1121" i="11" s="1"/>
  <c r="F1121" i="11"/>
  <c r="I1121" i="11" l="1"/>
  <c r="G1122" i="11"/>
  <c r="H1122" i="11" s="1"/>
  <c r="I1122" i="11" s="1"/>
  <c r="F1122" i="11"/>
  <c r="G1123" i="11" l="1"/>
  <c r="H1123" i="11" s="1"/>
  <c r="F1123" i="11"/>
  <c r="I1123" i="11" l="1"/>
  <c r="G1124" i="11"/>
  <c r="H1124" i="11" s="1"/>
  <c r="F1124" i="11"/>
  <c r="I1124" i="11" l="1"/>
  <c r="G1125" i="11"/>
  <c r="H1125" i="11" s="1"/>
  <c r="F1125" i="11"/>
  <c r="I1125" i="11" l="1"/>
  <c r="G1126" i="11"/>
  <c r="H1126" i="11" s="1"/>
  <c r="F1126" i="11"/>
  <c r="I1126" i="11" l="1"/>
  <c r="G1127" i="11"/>
  <c r="H1127" i="11" s="1"/>
  <c r="F1127" i="11"/>
  <c r="I1127" i="11" l="1"/>
  <c r="G1128" i="11"/>
  <c r="H1128" i="11" s="1"/>
  <c r="F1128" i="11"/>
  <c r="I1128" i="11" l="1"/>
  <c r="G1129" i="11"/>
  <c r="H1129" i="11" s="1"/>
  <c r="I1129" i="11" s="1"/>
  <c r="F1129" i="11"/>
  <c r="G1130" i="11" l="1"/>
  <c r="H1130" i="11" s="1"/>
  <c r="I1130" i="11" s="1"/>
  <c r="F1130" i="11"/>
  <c r="G1131" i="11" l="1"/>
  <c r="H1131" i="11" s="1"/>
  <c r="I1131" i="11" s="1"/>
  <c r="F1131" i="11"/>
  <c r="G1132" i="11" l="1"/>
  <c r="H1132" i="11" s="1"/>
  <c r="F1132" i="11"/>
  <c r="I1132" i="11" l="1"/>
  <c r="G1133" i="11"/>
  <c r="H1133" i="11" s="1"/>
  <c r="F1133" i="11"/>
  <c r="I1133" i="11" l="1"/>
  <c r="G1134" i="11"/>
  <c r="H1134" i="11" s="1"/>
  <c r="I1134" i="11" s="1"/>
  <c r="F1134" i="11"/>
  <c r="G1135" i="11" l="1"/>
  <c r="H1135" i="11" s="1"/>
  <c r="F1135" i="11"/>
  <c r="I1135" i="11" l="1"/>
  <c r="G1136" i="11"/>
  <c r="H1136" i="11" s="1"/>
  <c r="F1136" i="11"/>
  <c r="I1136" i="11" l="1"/>
  <c r="G1137" i="11"/>
  <c r="H1137" i="11" s="1"/>
  <c r="F1137" i="11"/>
  <c r="I1137" i="11" l="1"/>
  <c r="G1138" i="11"/>
  <c r="H1138" i="11" s="1"/>
  <c r="F1138" i="11"/>
  <c r="I1138" i="11" l="1"/>
  <c r="G1139" i="11"/>
  <c r="H1139" i="11" s="1"/>
  <c r="F1139" i="11"/>
  <c r="I1139" i="11" l="1"/>
  <c r="G1140" i="11"/>
  <c r="H1140" i="11" s="1"/>
  <c r="F1140" i="11"/>
  <c r="I1140" i="11" l="1"/>
  <c r="G1141" i="11"/>
  <c r="H1141" i="11" s="1"/>
  <c r="I1141" i="11" s="1"/>
  <c r="F1141" i="11"/>
  <c r="H1142" i="11" l="1"/>
  <c r="I1142" i="11" s="1"/>
  <c r="G1142" i="11"/>
  <c r="F1142" i="11"/>
  <c r="G1143" i="11" l="1"/>
  <c r="H1143" i="11" s="1"/>
  <c r="F1143" i="11"/>
  <c r="I1143" i="11" l="1"/>
  <c r="G1144" i="11"/>
  <c r="H1144" i="11" s="1"/>
  <c r="I1144" i="11" s="1"/>
  <c r="F1144" i="11"/>
  <c r="G1145" i="11" l="1"/>
  <c r="H1145" i="11" s="1"/>
  <c r="I1145" i="11" s="1"/>
  <c r="F1145" i="11"/>
  <c r="G1146" i="11" l="1"/>
  <c r="H1146" i="11" s="1"/>
  <c r="F1146" i="11"/>
  <c r="I1146" i="11" l="1"/>
  <c r="G1147" i="11"/>
  <c r="H1147" i="11" s="1"/>
  <c r="I1147" i="11" s="1"/>
  <c r="F1147" i="11"/>
  <c r="G1148" i="11" l="1"/>
  <c r="H1148" i="11" s="1"/>
  <c r="F1148" i="11"/>
  <c r="I1148" i="11" l="1"/>
  <c r="G1149" i="11"/>
  <c r="H1149" i="11" s="1"/>
  <c r="F1149" i="11"/>
  <c r="I1149" i="11" l="1"/>
  <c r="G1150" i="11"/>
  <c r="H1150" i="11" s="1"/>
  <c r="I1150" i="11" s="1"/>
  <c r="F1150" i="11"/>
  <c r="G1151" i="11" l="1"/>
  <c r="H1151" i="11" s="1"/>
  <c r="F1151" i="11"/>
  <c r="I1151" i="11" l="1"/>
  <c r="G1152" i="11" s="1"/>
  <c r="H1152" i="11" s="1"/>
  <c r="I1152" i="11" s="1"/>
  <c r="F1152" i="11"/>
  <c r="G1153" i="11" l="1"/>
  <c r="H1153" i="11" s="1"/>
  <c r="I1153" i="11" s="1"/>
  <c r="F1153" i="11"/>
  <c r="G1154" i="11" l="1"/>
  <c r="H1154" i="11" s="1"/>
  <c r="F1154" i="11"/>
  <c r="I1154" i="11" l="1"/>
  <c r="G1155" i="11"/>
  <c r="H1155" i="11" s="1"/>
  <c r="I1155" i="11" s="1"/>
  <c r="F1155" i="11"/>
  <c r="G1156" i="11" l="1"/>
  <c r="F1156" i="11"/>
  <c r="H1156" i="11" l="1"/>
  <c r="I1156" i="11" s="1"/>
  <c r="G1157" i="11" s="1"/>
  <c r="H1157" i="11" s="1"/>
  <c r="I1157" i="11" s="1"/>
  <c r="F1157" i="11"/>
  <c r="G1158" i="11" l="1"/>
  <c r="H1158" i="11" s="1"/>
  <c r="I1158" i="11" s="1"/>
  <c r="F1158" i="11"/>
  <c r="G1159" i="11" l="1"/>
  <c r="H1159" i="11" s="1"/>
  <c r="I1159" i="11" s="1"/>
  <c r="F1159" i="11"/>
  <c r="G1160" i="11" l="1"/>
  <c r="H1160" i="11" s="1"/>
  <c r="I1160" i="11" s="1"/>
  <c r="F1160" i="11"/>
  <c r="G1161" i="11" l="1"/>
  <c r="H1161" i="11" s="1"/>
  <c r="F1161" i="11"/>
  <c r="I1161" i="11" l="1"/>
  <c r="G1162" i="11"/>
  <c r="H1162" i="11" s="1"/>
  <c r="F1162" i="11"/>
  <c r="I1162" i="11" l="1"/>
  <c r="G1163" i="11"/>
  <c r="H1163" i="11" s="1"/>
  <c r="F1163" i="11"/>
  <c r="I1163" i="11" l="1"/>
  <c r="G1164" i="11" s="1"/>
  <c r="H1164" i="11" s="1"/>
  <c r="I1164" i="11" s="1"/>
  <c r="F1164" i="11"/>
  <c r="G1165" i="11" l="1"/>
  <c r="H1165" i="11" s="1"/>
  <c r="F1165" i="11"/>
  <c r="I1165" i="11" l="1"/>
  <c r="G1166" i="11" s="1"/>
  <c r="H1166" i="11" s="1"/>
  <c r="I1166" i="11" s="1"/>
  <c r="F1166" i="11"/>
  <c r="G1167" i="11" l="1"/>
  <c r="H1167" i="11" s="1"/>
  <c r="F1167" i="11"/>
  <c r="I1167" i="11" l="1"/>
  <c r="G1168" i="11"/>
  <c r="H1168" i="11" s="1"/>
  <c r="F1168" i="11"/>
  <c r="I1168" i="11" l="1"/>
  <c r="G1169" i="11"/>
  <c r="H1169" i="11" s="1"/>
  <c r="F1169" i="11"/>
  <c r="I1169" i="11" l="1"/>
  <c r="G1170" i="11" s="1"/>
  <c r="H1170" i="11" s="1"/>
  <c r="I1170" i="11" s="1"/>
  <c r="F1170" i="11"/>
  <c r="G1171" i="11" l="1"/>
  <c r="H1171" i="11" s="1"/>
  <c r="F1171" i="11"/>
  <c r="I1171" i="11" l="1"/>
  <c r="G1172" i="11"/>
  <c r="H1172" i="11" s="1"/>
  <c r="I1172" i="11" s="1"/>
  <c r="F1172" i="11"/>
  <c r="H1173" i="11" l="1"/>
  <c r="I1173" i="11" s="1"/>
  <c r="G1173" i="11"/>
  <c r="F1173" i="11"/>
  <c r="G1174" i="11" l="1"/>
  <c r="H1174" i="11" s="1"/>
  <c r="F1174" i="11"/>
  <c r="I1174" i="11" l="1"/>
  <c r="G1175" i="11"/>
  <c r="H1175" i="11" s="1"/>
  <c r="I1175" i="11" s="1"/>
  <c r="F1175" i="11"/>
  <c r="G1176" i="11" l="1"/>
  <c r="H1176" i="11" s="1"/>
  <c r="F1176" i="11"/>
  <c r="I1176" i="11" l="1"/>
  <c r="G1177" i="11" s="1"/>
  <c r="H1177" i="11" s="1"/>
  <c r="I1177" i="11" s="1"/>
  <c r="F1177" i="11"/>
  <c r="G1178" i="11" l="1"/>
  <c r="H1178" i="11" s="1"/>
  <c r="F1178" i="11"/>
  <c r="I1178" i="11" l="1"/>
  <c r="G1179" i="11" s="1"/>
  <c r="H1179" i="11" s="1"/>
  <c r="I1179" i="11" s="1"/>
  <c r="F1179" i="11"/>
  <c r="G1180" i="11" l="1"/>
  <c r="F1180" i="11"/>
  <c r="H1180" i="11" s="1"/>
  <c r="I1180" i="11" s="1"/>
  <c r="G1181" i="11" l="1"/>
  <c r="H1181" i="11" s="1"/>
  <c r="F1181" i="11"/>
  <c r="I1181" i="11" l="1"/>
  <c r="G1182" i="11"/>
  <c r="H1182" i="11" s="1"/>
  <c r="I1182" i="11" s="1"/>
  <c r="F1182" i="11"/>
  <c r="G1183" i="11" l="1"/>
  <c r="H1183" i="11" s="1"/>
  <c r="I1183" i="11" s="1"/>
  <c r="F1183" i="11"/>
  <c r="G1184" i="11" l="1"/>
  <c r="H1184" i="11" s="1"/>
  <c r="F1184" i="11"/>
  <c r="I1184" i="11" l="1"/>
  <c r="G1185" i="11" s="1"/>
  <c r="H1185" i="11" s="1"/>
  <c r="I1185" i="11" s="1"/>
  <c r="F1185" i="11"/>
  <c r="G1186" i="11" l="1"/>
  <c r="H1186" i="11" s="1"/>
  <c r="F1186" i="11"/>
  <c r="I1186" i="11" l="1"/>
  <c r="G1187" i="11"/>
  <c r="H1187" i="11" s="1"/>
  <c r="F1187" i="11"/>
  <c r="I1187" i="11" l="1"/>
  <c r="G1188" i="11"/>
  <c r="H1188" i="11" s="1"/>
  <c r="I1188" i="11" s="1"/>
  <c r="F1188" i="11"/>
  <c r="G1189" i="11" l="1"/>
  <c r="H1189" i="11" s="1"/>
  <c r="F1189" i="11"/>
  <c r="I1189" i="11" l="1"/>
  <c r="G1190" i="11"/>
  <c r="H1190" i="11" s="1"/>
  <c r="I1190" i="11" s="1"/>
  <c r="F1190" i="11"/>
  <c r="G1191" i="11" l="1"/>
  <c r="H1191" i="11" s="1"/>
  <c r="F1191" i="11"/>
  <c r="I1191" i="11" l="1"/>
  <c r="G1192" i="11"/>
  <c r="H1192" i="11" s="1"/>
  <c r="I1192" i="11" s="1"/>
  <c r="F1192" i="11"/>
  <c r="G1193" i="11" l="1"/>
  <c r="H1193" i="11" s="1"/>
  <c r="I1193" i="11" s="1"/>
  <c r="F1193" i="11"/>
  <c r="G1194" i="11" l="1"/>
  <c r="H1194" i="11" s="1"/>
  <c r="I1194" i="11" s="1"/>
  <c r="F1194" i="11"/>
  <c r="G1195" i="11" l="1"/>
  <c r="H1195" i="11" s="1"/>
  <c r="F1195" i="11"/>
  <c r="I1195" i="11" l="1"/>
  <c r="G1196" i="11" s="1"/>
  <c r="F1196" i="11"/>
  <c r="H1196" i="11" l="1"/>
  <c r="I1196" i="11" s="1"/>
  <c r="G1197" i="11" l="1"/>
  <c r="H1197" i="11" s="1"/>
  <c r="F1197" i="11"/>
  <c r="I1197" i="11" l="1"/>
  <c r="G1198" i="11"/>
  <c r="H1198" i="11" s="1"/>
  <c r="F1198" i="11"/>
  <c r="I1198" i="11" l="1"/>
  <c r="G1199" i="11"/>
  <c r="H1199" i="11" s="1"/>
  <c r="I1199" i="11" s="1"/>
  <c r="F1199" i="11"/>
  <c r="G1200" i="11" l="1"/>
  <c r="H1200" i="11" s="1"/>
  <c r="I1200" i="11" s="1"/>
  <c r="F1200" i="11"/>
  <c r="G1201" i="11" l="1"/>
  <c r="H1201" i="11" s="1"/>
  <c r="F1201" i="11"/>
  <c r="I1201" i="11" l="1"/>
  <c r="G1202" i="11"/>
  <c r="H1202" i="11" s="1"/>
  <c r="F1202" i="11"/>
  <c r="I1202" i="11" l="1"/>
  <c r="G1203" i="11"/>
  <c r="H1203" i="11" s="1"/>
  <c r="F1203" i="11"/>
  <c r="I1203" i="11" l="1"/>
  <c r="G1204" i="11"/>
  <c r="H1204" i="11" s="1"/>
  <c r="I1204" i="11" s="1"/>
  <c r="F1204" i="11"/>
  <c r="G1205" i="11" l="1"/>
  <c r="H1205" i="11" s="1"/>
  <c r="I1205" i="11" s="1"/>
  <c r="F1205" i="11"/>
  <c r="G1206" i="11" l="1"/>
  <c r="H1206" i="11" s="1"/>
  <c r="F1206" i="11"/>
  <c r="I1206" i="11" l="1"/>
  <c r="G1207" i="11"/>
  <c r="H1207" i="11" s="1"/>
  <c r="F1207" i="11"/>
  <c r="I1207" i="11" l="1"/>
  <c r="G1208" i="11"/>
  <c r="H1208" i="11" s="1"/>
  <c r="F1208" i="11"/>
  <c r="I1208" i="11" l="1"/>
  <c r="G1209" i="11" s="1"/>
  <c r="H1209" i="11" s="1"/>
  <c r="I1209" i="11" s="1"/>
  <c r="F1209" i="11"/>
  <c r="G1210" i="11" l="1"/>
  <c r="H1210" i="11" s="1"/>
  <c r="F1210" i="11"/>
  <c r="I1210" i="11" l="1"/>
  <c r="G1211" i="11"/>
  <c r="H1211" i="11" s="1"/>
  <c r="F1211" i="11"/>
  <c r="I1211" i="11" l="1"/>
  <c r="G1212" i="11" s="1"/>
  <c r="H1212" i="11" s="1"/>
  <c r="I1212" i="11" s="1"/>
  <c r="F1212" i="11"/>
  <c r="G1213" i="11" l="1"/>
  <c r="H1213" i="11" s="1"/>
  <c r="F1213" i="11"/>
  <c r="I1213" i="11" l="1"/>
  <c r="G1214" i="11"/>
  <c r="H1214" i="11" s="1"/>
  <c r="F1214" i="11"/>
  <c r="I1214" i="11" l="1"/>
  <c r="G1215" i="11"/>
  <c r="H1215" i="11" s="1"/>
  <c r="F1215" i="11"/>
  <c r="I1215" i="11" l="1"/>
  <c r="G1216" i="11" s="1"/>
  <c r="H1216" i="11" s="1"/>
  <c r="I1216" i="11" s="1"/>
  <c r="F1216" i="11"/>
  <c r="G1217" i="11" l="1"/>
  <c r="H1217" i="11" s="1"/>
  <c r="F1217" i="11"/>
  <c r="I1217" i="11" l="1"/>
  <c r="G1218" i="11"/>
  <c r="H1218" i="11" s="1"/>
  <c r="F1218" i="11"/>
  <c r="I1218" i="11" l="1"/>
  <c r="G1219" i="11"/>
  <c r="H1219" i="11" s="1"/>
  <c r="F1219" i="11"/>
  <c r="I1219" i="11" l="1"/>
  <c r="G1220" i="11"/>
  <c r="H1220" i="11" s="1"/>
  <c r="F1220" i="11"/>
  <c r="I1220" i="11" l="1"/>
  <c r="G1221" i="11" s="1"/>
  <c r="H1221" i="11" s="1"/>
  <c r="I1221" i="11" s="1"/>
  <c r="F1221" i="11"/>
  <c r="G1222" i="11" l="1"/>
  <c r="H1222" i="11" s="1"/>
  <c r="F1222" i="11"/>
  <c r="I1222" i="11" l="1"/>
  <c r="G1223" i="11"/>
  <c r="H1223" i="11" s="1"/>
  <c r="F1223" i="11"/>
  <c r="I1223" i="11" l="1"/>
  <c r="G1224" i="11"/>
  <c r="H1224" i="11" s="1"/>
  <c r="F1224" i="11"/>
  <c r="I1224" i="11" l="1"/>
  <c r="G1225" i="11"/>
  <c r="H1225" i="11" s="1"/>
  <c r="F1225" i="11"/>
  <c r="I1225" i="11" l="1"/>
  <c r="G1226" i="11"/>
  <c r="H1226" i="11" s="1"/>
  <c r="F1226" i="11"/>
  <c r="I1226" i="11" l="1"/>
  <c r="G1227" i="11" s="1"/>
  <c r="H1227" i="11" s="1"/>
  <c r="I1227" i="11" s="1"/>
  <c r="F1227" i="11"/>
  <c r="G1228" i="11" l="1"/>
  <c r="H1228" i="11" s="1"/>
  <c r="F1228" i="11"/>
  <c r="I1228" i="11" l="1"/>
  <c r="G1229" i="11"/>
  <c r="H1229" i="11" s="1"/>
  <c r="F1229" i="11"/>
  <c r="I1229" i="11" l="1"/>
  <c r="G1230" i="11"/>
  <c r="H1230" i="11" s="1"/>
  <c r="F1230" i="11"/>
  <c r="I1230" i="11" l="1"/>
  <c r="G1231" i="11"/>
  <c r="H1231" i="11" s="1"/>
  <c r="F1231" i="11"/>
  <c r="I1231" i="11" l="1"/>
  <c r="G1232" i="11"/>
  <c r="H1232" i="11" s="1"/>
  <c r="I1232" i="11" s="1"/>
  <c r="F1232" i="11"/>
  <c r="G1233" i="11" l="1"/>
  <c r="H1233" i="11" s="1"/>
  <c r="F1233" i="11"/>
  <c r="I1233" i="11" l="1"/>
  <c r="G1234" i="11" s="1"/>
  <c r="F1234" i="11"/>
  <c r="H1234" i="11" l="1"/>
  <c r="I1234" i="11" s="1"/>
  <c r="G1235" i="11"/>
  <c r="H1235" i="11" s="1"/>
  <c r="F1235" i="11"/>
  <c r="I1235" i="11" l="1"/>
  <c r="G1236" i="11"/>
  <c r="H1236" i="11" s="1"/>
  <c r="F1236" i="11"/>
  <c r="I1236" i="11" l="1"/>
  <c r="G1237" i="11"/>
  <c r="H1237" i="11" s="1"/>
  <c r="F1237" i="11"/>
  <c r="I1237" i="11" l="1"/>
  <c r="G1238" i="11"/>
  <c r="H1238" i="11" s="1"/>
  <c r="I1238" i="11" s="1"/>
  <c r="F1238" i="11"/>
  <c r="G1239" i="11" l="1"/>
  <c r="H1239" i="11" s="1"/>
  <c r="I1239" i="11" s="1"/>
  <c r="F1239" i="11"/>
  <c r="G1240" i="11" l="1"/>
  <c r="H1240" i="11" s="1"/>
  <c r="I1240" i="11" s="1"/>
  <c r="F1240" i="11"/>
  <c r="G1241" i="11" l="1"/>
  <c r="H1241" i="11" s="1"/>
  <c r="F1241" i="11"/>
  <c r="I1241" i="11" l="1"/>
  <c r="G1242" i="11"/>
  <c r="H1242" i="11" s="1"/>
  <c r="I1242" i="11" s="1"/>
  <c r="F1242" i="11"/>
  <c r="G1243" i="11" l="1"/>
  <c r="H1243" i="11" s="1"/>
  <c r="I1243" i="11" s="1"/>
  <c r="F1243" i="11"/>
  <c r="G1244" i="11" l="1"/>
  <c r="H1244" i="11" s="1"/>
  <c r="F1244" i="11"/>
  <c r="I1244" i="11" l="1"/>
  <c r="G1245" i="11"/>
  <c r="H1245" i="11" s="1"/>
  <c r="F1245" i="11"/>
  <c r="I1245" i="11" l="1"/>
  <c r="G1246" i="11"/>
  <c r="H1246" i="11" s="1"/>
  <c r="F1246" i="11"/>
  <c r="I1246" i="11" l="1"/>
  <c r="G1247" i="11"/>
  <c r="H1247" i="11" s="1"/>
  <c r="F1247" i="11"/>
  <c r="I1247" i="11" l="1"/>
  <c r="G1248" i="11"/>
  <c r="H1248" i="11" s="1"/>
  <c r="F1248" i="11"/>
  <c r="I1248" i="11" l="1"/>
  <c r="G1249" i="11"/>
  <c r="H1249" i="11" s="1"/>
  <c r="F1249" i="11"/>
  <c r="I1249" i="11" l="1"/>
  <c r="G1250" i="11"/>
  <c r="H1250" i="11" s="1"/>
  <c r="F1250" i="11"/>
  <c r="I1250" i="11" l="1"/>
  <c r="G1251" i="11"/>
  <c r="H1251" i="11" s="1"/>
  <c r="F1251" i="11"/>
  <c r="I1251" i="11" l="1"/>
  <c r="G1252" i="11"/>
  <c r="H1252" i="11" s="1"/>
  <c r="F1252" i="11"/>
  <c r="I1252" i="11" l="1"/>
  <c r="G1253" i="11"/>
  <c r="H1253" i="11" s="1"/>
  <c r="F1253" i="11"/>
  <c r="I1253" i="11" l="1"/>
  <c r="G1254" i="11"/>
  <c r="H1254" i="11" s="1"/>
  <c r="F1254" i="11"/>
  <c r="I1254" i="11" l="1"/>
  <c r="G1255" i="11"/>
  <c r="H1255" i="11" s="1"/>
  <c r="F1255" i="11"/>
  <c r="I1255" i="11" l="1"/>
  <c r="G1256" i="11"/>
  <c r="H1256" i="11" s="1"/>
  <c r="F1256" i="11"/>
  <c r="I1256" i="11" l="1"/>
  <c r="G1257" i="11"/>
  <c r="H1257" i="11" s="1"/>
  <c r="F1257" i="11"/>
  <c r="I1257" i="11" l="1"/>
  <c r="G1258" i="11" s="1"/>
  <c r="H1258" i="11" s="1"/>
  <c r="I1258" i="11" s="1"/>
  <c r="F1258" i="11"/>
  <c r="G1259" i="11" l="1"/>
  <c r="H1259" i="11" s="1"/>
  <c r="F1259" i="11"/>
  <c r="I1259" i="11" l="1"/>
  <c r="G1260" i="11"/>
  <c r="H1260" i="11" s="1"/>
  <c r="F1260" i="11"/>
  <c r="I1260" i="11" l="1"/>
  <c r="G1261" i="11" s="1"/>
  <c r="H1261" i="11" s="1"/>
  <c r="I1261" i="11" s="1"/>
  <c r="F1261" i="11"/>
  <c r="G1262" i="11" l="1"/>
  <c r="H1262" i="11" s="1"/>
  <c r="I1262" i="11" s="1"/>
  <c r="F1262" i="11"/>
  <c r="G1263" i="11" l="1"/>
  <c r="H1263" i="11" s="1"/>
  <c r="F1263" i="11"/>
  <c r="I1263" i="11" l="1"/>
  <c r="G1264" i="11"/>
  <c r="F1264" i="11"/>
  <c r="H1264" i="11" s="1"/>
  <c r="I1264" i="11" s="1"/>
  <c r="G1265" i="11" l="1"/>
  <c r="F1265" i="11"/>
  <c r="H1265" i="11" s="1"/>
  <c r="I1265" i="11" s="1"/>
  <c r="G1266" i="11" l="1"/>
  <c r="H1266" i="11" s="1"/>
  <c r="F1266" i="11"/>
  <c r="I1266" i="11" l="1"/>
  <c r="G1267" i="11"/>
  <c r="H1267" i="11" s="1"/>
  <c r="F1267" i="11"/>
  <c r="I1267" i="11" l="1"/>
  <c r="G1268" i="11" s="1"/>
  <c r="H1268" i="11" s="1"/>
  <c r="I1268" i="11" s="1"/>
  <c r="F1268" i="11"/>
  <c r="G1269" i="11" l="1"/>
  <c r="H1269" i="11" s="1"/>
  <c r="F1269" i="11"/>
  <c r="I1269" i="11" l="1"/>
  <c r="G1270" i="11"/>
  <c r="H1270" i="11" s="1"/>
  <c r="F1270" i="11"/>
  <c r="I1270" i="11" l="1"/>
  <c r="G1271" i="11"/>
  <c r="H1271" i="11" s="1"/>
  <c r="F1271" i="11"/>
  <c r="I1271" i="11" l="1"/>
  <c r="G1272" i="11"/>
  <c r="H1272" i="11" s="1"/>
  <c r="F1272" i="11"/>
  <c r="I1272" i="11" l="1"/>
  <c r="G1273" i="11"/>
  <c r="H1273" i="11" s="1"/>
  <c r="F1273" i="11"/>
  <c r="I1273" i="11" l="1"/>
  <c r="G1274" i="11"/>
  <c r="H1274" i="11" s="1"/>
  <c r="F1274" i="11"/>
  <c r="I1274" i="11" l="1"/>
  <c r="G1275" i="11"/>
  <c r="H1275" i="11" s="1"/>
  <c r="F1275" i="11"/>
  <c r="I1275" i="11" l="1"/>
  <c r="G1276" i="11"/>
  <c r="H1276" i="11" s="1"/>
  <c r="F1276" i="11"/>
  <c r="I1276" i="11" l="1"/>
  <c r="G1277" i="11" s="1"/>
  <c r="H1277" i="11" s="1"/>
  <c r="I1277" i="11" s="1"/>
  <c r="F1277" i="11"/>
  <c r="G1278" i="11" l="1"/>
  <c r="H1278" i="11" s="1"/>
  <c r="F1278" i="11"/>
  <c r="I1278" i="11" l="1"/>
  <c r="G1279" i="11" s="1"/>
  <c r="H1279" i="11" s="1"/>
  <c r="I1279" i="11" s="1"/>
  <c r="F1279" i="11"/>
  <c r="G1280" i="11" l="1"/>
  <c r="H1280" i="11" s="1"/>
  <c r="F1280" i="11"/>
  <c r="I1280" i="11" l="1"/>
  <c r="G1281" i="11" s="1"/>
  <c r="H1281" i="11" s="1"/>
  <c r="I1281" i="11" s="1"/>
  <c r="F1281" i="11"/>
  <c r="G1282" i="11" l="1"/>
  <c r="H1282" i="11" s="1"/>
  <c r="I1282" i="11" s="1"/>
  <c r="F1282" i="11"/>
  <c r="G1283" i="11" l="1"/>
  <c r="H1283" i="11" s="1"/>
  <c r="I1283" i="11" s="1"/>
  <c r="F1283" i="11"/>
  <c r="G1284" i="11" l="1"/>
  <c r="H1284" i="11" s="1"/>
  <c r="F1284" i="11"/>
  <c r="I1284" i="11" l="1"/>
  <c r="G1285" i="11" s="1"/>
  <c r="H1285" i="11" s="1"/>
  <c r="I1285" i="11" s="1"/>
  <c r="F1285" i="11"/>
  <c r="G1286" i="11" l="1"/>
  <c r="H1286" i="11" s="1"/>
  <c r="F1286" i="11"/>
  <c r="I1286" i="11" l="1"/>
  <c r="G1287" i="11"/>
  <c r="H1287" i="11" s="1"/>
  <c r="F1287" i="11"/>
  <c r="I1287" i="11" l="1"/>
  <c r="G1288" i="11" s="1"/>
  <c r="H1288" i="11" s="1"/>
  <c r="I1288" i="11" s="1"/>
  <c r="F1288" i="11"/>
  <c r="G1289" i="11" l="1"/>
  <c r="H1289" i="11" s="1"/>
  <c r="F1289" i="11"/>
  <c r="I1289" i="11" l="1"/>
  <c r="G1290" i="11"/>
  <c r="H1290" i="11" s="1"/>
  <c r="F1290" i="11"/>
  <c r="I1290" i="11" l="1"/>
  <c r="G1291" i="11" s="1"/>
  <c r="H1291" i="11" s="1"/>
  <c r="I1291" i="11" s="1"/>
  <c r="F1291" i="11"/>
  <c r="G1292" i="11" l="1"/>
  <c r="H1292" i="11" s="1"/>
  <c r="I1292" i="11" s="1"/>
  <c r="F1292" i="11"/>
  <c r="G1293" i="11" l="1"/>
  <c r="H1293" i="11" s="1"/>
  <c r="I1293" i="11" s="1"/>
  <c r="F1293" i="11"/>
  <c r="G1294" i="11" l="1"/>
  <c r="H1294" i="11" s="1"/>
  <c r="F1294" i="11"/>
  <c r="I1294" i="11" l="1"/>
  <c r="G1295" i="11" s="1"/>
  <c r="H1295" i="11" s="1"/>
  <c r="I1295" i="11" s="1"/>
  <c r="F1295" i="11"/>
  <c r="G1296" i="11" l="1"/>
  <c r="H1296" i="11" s="1"/>
  <c r="F1296" i="11"/>
  <c r="I1296" i="11" l="1"/>
  <c r="G1297" i="11" s="1"/>
  <c r="H1297" i="11" s="1"/>
  <c r="I1297" i="11" s="1"/>
  <c r="F1297" i="11"/>
  <c r="G1298" i="11" l="1"/>
  <c r="H1298" i="11" s="1"/>
  <c r="F1298" i="11"/>
  <c r="I1298" i="11" l="1"/>
  <c r="G1299" i="11" s="1"/>
  <c r="H1299" i="11" s="1"/>
  <c r="I1299" i="11" s="1"/>
  <c r="F1299" i="11"/>
  <c r="G1300" i="11" l="1"/>
  <c r="H1300" i="11" s="1"/>
  <c r="F1300" i="11"/>
  <c r="I1300" i="11" l="1"/>
  <c r="G1301" i="11"/>
  <c r="H1301" i="11" s="1"/>
  <c r="F1301" i="11"/>
  <c r="I1301" i="11" l="1"/>
  <c r="G1302" i="11"/>
  <c r="H1302" i="11" s="1"/>
  <c r="I1302" i="11" s="1"/>
  <c r="F1302" i="11"/>
  <c r="G1303" i="11" l="1"/>
  <c r="F1303" i="11"/>
  <c r="H1303" i="11" s="1"/>
  <c r="I1303" i="11" s="1"/>
  <c r="G1304" i="11" l="1"/>
  <c r="F1304" i="11"/>
  <c r="H1304" i="11" s="1"/>
  <c r="I1304" i="11" s="1"/>
  <c r="G1305" i="11" l="1"/>
  <c r="H1305" i="11" s="1"/>
  <c r="I1305" i="11" s="1"/>
  <c r="F1305" i="11"/>
  <c r="G1306" i="11" l="1"/>
  <c r="H1306" i="11" s="1"/>
  <c r="F1306" i="11"/>
  <c r="I1306" i="11" l="1"/>
  <c r="G1307" i="11" s="1"/>
  <c r="H1307" i="11" s="1"/>
  <c r="I1307" i="11" s="1"/>
  <c r="F1307" i="11"/>
  <c r="G1308" i="11" l="1"/>
  <c r="H1308" i="11" s="1"/>
  <c r="F1308" i="11"/>
  <c r="I1308" i="11" l="1"/>
  <c r="G1309" i="11"/>
  <c r="H1309" i="11" s="1"/>
  <c r="F1309" i="11"/>
  <c r="I1309" i="11" l="1"/>
  <c r="G1310" i="11"/>
  <c r="H1310" i="11" s="1"/>
  <c r="F1310" i="11"/>
  <c r="I1310" i="11" l="1"/>
  <c r="G1311" i="11"/>
  <c r="H1311" i="11" s="1"/>
  <c r="F1311" i="11"/>
  <c r="I1311" i="11" l="1"/>
  <c r="G1312" i="11" s="1"/>
  <c r="H1312" i="11" s="1"/>
  <c r="I1312" i="11" s="1"/>
  <c r="F1312" i="11"/>
  <c r="G1313" i="11" l="1"/>
  <c r="H1313" i="11" s="1"/>
  <c r="F1313" i="11"/>
  <c r="I1313" i="11" l="1"/>
  <c r="G1314" i="11"/>
  <c r="H1314" i="11" s="1"/>
  <c r="F1314" i="11"/>
  <c r="I1314" i="11" l="1"/>
  <c r="G1315" i="11"/>
  <c r="H1315" i="11" s="1"/>
  <c r="F1315" i="11"/>
  <c r="I1315" i="11" l="1"/>
  <c r="G1316" i="11"/>
  <c r="F1316" i="11"/>
  <c r="H1316" i="11" s="1"/>
  <c r="I1316" i="11" s="1"/>
  <c r="G1317" i="11" l="1"/>
  <c r="F1317" i="11"/>
  <c r="H1317" i="11" s="1"/>
  <c r="I1317" i="11" s="1"/>
  <c r="G1318" i="11" l="1"/>
  <c r="H1318" i="11" s="1"/>
  <c r="F1318" i="11"/>
  <c r="I1318" i="11" l="1"/>
  <c r="G1319" i="11"/>
  <c r="H1319" i="11" s="1"/>
  <c r="F1319" i="11"/>
  <c r="I1319" i="11" l="1"/>
  <c r="G1320" i="11"/>
  <c r="H1320" i="11" s="1"/>
  <c r="I1320" i="11" s="1"/>
  <c r="F1320" i="11"/>
  <c r="G1321" i="11" l="1"/>
  <c r="H1321" i="11" s="1"/>
  <c r="F1321" i="11"/>
  <c r="I1321" i="11" l="1"/>
  <c r="G1322" i="11"/>
  <c r="H1322" i="11" s="1"/>
  <c r="I1322" i="11" s="1"/>
  <c r="F1322" i="11"/>
  <c r="G1323" i="11" l="1"/>
  <c r="H1323" i="11" s="1"/>
  <c r="F1323" i="11"/>
  <c r="I1323" i="11" l="1"/>
  <c r="G1324" i="11"/>
  <c r="H1324" i="11" s="1"/>
  <c r="F1324" i="11"/>
  <c r="I1324" i="11" l="1"/>
  <c r="G1325" i="11"/>
  <c r="H1325" i="11" s="1"/>
  <c r="F1325" i="11"/>
  <c r="I1325" i="11" l="1"/>
  <c r="G1326" i="11" s="1"/>
  <c r="H1326" i="11" s="1"/>
  <c r="I1326" i="11" s="1"/>
  <c r="F1326" i="11"/>
  <c r="G1327" i="11" l="1"/>
  <c r="H1327" i="11" s="1"/>
  <c r="F1327" i="11"/>
  <c r="I1327" i="11" l="1"/>
  <c r="G1328" i="11" s="1"/>
  <c r="H1328" i="11" s="1"/>
  <c r="I1328" i="11" s="1"/>
  <c r="F1328" i="11"/>
  <c r="G1329" i="11" l="1"/>
  <c r="H1329" i="11" s="1"/>
  <c r="F1329" i="11"/>
  <c r="I1329" i="11" l="1"/>
  <c r="G1330" i="11"/>
  <c r="H1330" i="11" s="1"/>
  <c r="F1330" i="11"/>
  <c r="I1330" i="11" l="1"/>
  <c r="G1331" i="11" s="1"/>
  <c r="H1331" i="11" s="1"/>
  <c r="I1331" i="11" s="1"/>
  <c r="F1331" i="11"/>
  <c r="G1332" i="11" l="1"/>
  <c r="H1332" i="11" s="1"/>
  <c r="I1332" i="11" s="1"/>
  <c r="F1332" i="11"/>
  <c r="G1333" i="11" l="1"/>
  <c r="F1333" i="11"/>
  <c r="H1333" i="11" s="1"/>
  <c r="I1333" i="11" s="1"/>
  <c r="G1334" i="11" l="1"/>
  <c r="H1334" i="11" s="1"/>
  <c r="I1334" i="11" s="1"/>
  <c r="F1334" i="11"/>
  <c r="H1335" i="11" l="1"/>
  <c r="I1335" i="11" s="1"/>
  <c r="G1335" i="11"/>
  <c r="F1335" i="11"/>
  <c r="G1336" i="11" l="1"/>
  <c r="H1336" i="11" s="1"/>
  <c r="F1336" i="11"/>
  <c r="I1336" i="11" l="1"/>
  <c r="G1337" i="11"/>
  <c r="H1337" i="11" s="1"/>
  <c r="I1337" i="11" s="1"/>
  <c r="F1337" i="11"/>
  <c r="G1338" i="11" l="1"/>
  <c r="H1338" i="11" s="1"/>
  <c r="F1338" i="11"/>
  <c r="I1338" i="11" l="1"/>
  <c r="G1339" i="11"/>
  <c r="H1339" i="11" s="1"/>
  <c r="F1339" i="11"/>
  <c r="I1339" i="11" l="1"/>
  <c r="G1340" i="11" s="1"/>
  <c r="H1340" i="11" s="1"/>
  <c r="I1340" i="11" s="1"/>
  <c r="F1340" i="11"/>
  <c r="G1341" i="11" l="1"/>
  <c r="H1341" i="11" s="1"/>
  <c r="F1341" i="11"/>
  <c r="I1341" i="11" l="1"/>
  <c r="G1342" i="11" s="1"/>
  <c r="F1342" i="11"/>
  <c r="H1342" i="11" l="1"/>
  <c r="I1342" i="11" s="1"/>
  <c r="G1343" i="11" s="1"/>
  <c r="H1343" i="11" s="1"/>
  <c r="I1343" i="11" s="1"/>
  <c r="F1343" i="11"/>
  <c r="G1344" i="11" l="1"/>
  <c r="H1344" i="11" s="1"/>
  <c r="F1344" i="11"/>
  <c r="I1344" i="11" l="1"/>
  <c r="G1345" i="11" s="1"/>
  <c r="H1345" i="11" s="1"/>
  <c r="I1345" i="11" s="1"/>
  <c r="F1345" i="11"/>
  <c r="G1346" i="11" l="1"/>
  <c r="H1346" i="11" s="1"/>
  <c r="F1346" i="11"/>
  <c r="I1346" i="11" l="1"/>
  <c r="G1347" i="11"/>
  <c r="H1347" i="11" s="1"/>
  <c r="I1347" i="11" s="1"/>
  <c r="F1347" i="11"/>
  <c r="G1348" i="11" l="1"/>
  <c r="H1348" i="11" s="1"/>
  <c r="F1348" i="11"/>
  <c r="I1348" i="11" l="1"/>
  <c r="G1349" i="11"/>
  <c r="H1349" i="11" s="1"/>
  <c r="F1349" i="11"/>
  <c r="I1349" i="11" l="1"/>
  <c r="G1350" i="11"/>
  <c r="H1350" i="11" s="1"/>
  <c r="F1350" i="11"/>
  <c r="I1350" i="11" l="1"/>
  <c r="G1351" i="11"/>
  <c r="H1351" i="11" s="1"/>
  <c r="I1351" i="11" s="1"/>
  <c r="F1351" i="11"/>
  <c r="G1352" i="11" l="1"/>
  <c r="H1352" i="11" s="1"/>
  <c r="F1352" i="11"/>
  <c r="I1352" i="11" l="1"/>
  <c r="G1353" i="11" s="1"/>
  <c r="H1353" i="11" s="1"/>
  <c r="I1353" i="11" s="1"/>
  <c r="F1353" i="11"/>
  <c r="G1354" i="11" l="1"/>
  <c r="H1354" i="11" s="1"/>
  <c r="I1354" i="11" s="1"/>
  <c r="F1354" i="11"/>
  <c r="G1355" i="11" l="1"/>
  <c r="H1355" i="11" s="1"/>
  <c r="F1355" i="11"/>
  <c r="I1355" i="11" l="1"/>
  <c r="G1356" i="11"/>
  <c r="H1356" i="11" s="1"/>
  <c r="F1356" i="11"/>
  <c r="I1356" i="11" l="1"/>
  <c r="G1357" i="11" s="1"/>
  <c r="H1357" i="11" s="1"/>
  <c r="I1357" i="11" s="1"/>
  <c r="F1357" i="11"/>
  <c r="G1358" i="11" l="1"/>
  <c r="H1358" i="11" s="1"/>
  <c r="I1358" i="11" s="1"/>
  <c r="F1358" i="11"/>
  <c r="G1359" i="11" l="1"/>
  <c r="H1359" i="11" s="1"/>
  <c r="F1359" i="11"/>
  <c r="I1359" i="11" l="1"/>
  <c r="G1360" i="11"/>
  <c r="H1360" i="11" s="1"/>
  <c r="F1360" i="11"/>
  <c r="I1360" i="11" l="1"/>
  <c r="G1361" i="11"/>
  <c r="H1361" i="11" s="1"/>
  <c r="F1361" i="11"/>
  <c r="I1361" i="11" l="1"/>
  <c r="G1362" i="11"/>
  <c r="H1362" i="11" s="1"/>
  <c r="F1362" i="11"/>
  <c r="I1362" i="11" l="1"/>
  <c r="G1363" i="11"/>
  <c r="H1363" i="11" s="1"/>
  <c r="F1363" i="11"/>
  <c r="I1363" i="11" l="1"/>
  <c r="G1364" i="11" s="1"/>
  <c r="H1364" i="11" s="1"/>
  <c r="I1364" i="11" s="1"/>
  <c r="F1364" i="11"/>
  <c r="G1365" i="11" l="1"/>
  <c r="H1365" i="11" s="1"/>
  <c r="I1365" i="11" s="1"/>
  <c r="F1365" i="11"/>
  <c r="G1366" i="11" l="1"/>
  <c r="H1366" i="11" s="1"/>
  <c r="F1366" i="11"/>
  <c r="I1366" i="11" l="1"/>
  <c r="G1367" i="11"/>
  <c r="H1367" i="11" s="1"/>
  <c r="F1367" i="11"/>
  <c r="I1367" i="11" l="1"/>
  <c r="G1368" i="11"/>
  <c r="H1368" i="11" s="1"/>
  <c r="F1368" i="11"/>
  <c r="I1368" i="11" l="1"/>
  <c r="G1369" i="11"/>
  <c r="H1369" i="11" s="1"/>
  <c r="I1369" i="11" s="1"/>
  <c r="F1369" i="11"/>
  <c r="G1370" i="11" l="1"/>
  <c r="H1370" i="11" s="1"/>
  <c r="F1370" i="11"/>
  <c r="I1370" i="11" l="1"/>
  <c r="G1371" i="11" s="1"/>
  <c r="H1371" i="11" s="1"/>
  <c r="I1371" i="11" s="1"/>
  <c r="F1371" i="11"/>
  <c r="G1372" i="11" l="1"/>
  <c r="H1372" i="11" s="1"/>
  <c r="F1372" i="11"/>
  <c r="I1372" i="11" l="1"/>
  <c r="G1373" i="11"/>
  <c r="H1373" i="11" s="1"/>
  <c r="F1373" i="11"/>
  <c r="I1373" i="11" l="1"/>
  <c r="G1374" i="11"/>
  <c r="H1374" i="11" s="1"/>
  <c r="F1374" i="11"/>
  <c r="I1374" i="11" l="1"/>
  <c r="G1375" i="11"/>
  <c r="F1375" i="11"/>
  <c r="H1375" i="11" s="1"/>
  <c r="I1375" i="11" s="1"/>
  <c r="G1376" i="11" l="1"/>
  <c r="H1376" i="11" s="1"/>
  <c r="F1376" i="11"/>
  <c r="I1376" i="11" l="1"/>
  <c r="G1377" i="11" s="1"/>
  <c r="H1377" i="11" s="1"/>
  <c r="I1377" i="11" s="1"/>
  <c r="F1377" i="11"/>
  <c r="G1378" i="11" l="1"/>
  <c r="H1378" i="11" s="1"/>
  <c r="F1378" i="11"/>
  <c r="I1378" i="11" l="1"/>
  <c r="G1379" i="11"/>
  <c r="H1379" i="11" s="1"/>
  <c r="F1379" i="11"/>
  <c r="I1379" i="11" l="1"/>
  <c r="G1380" i="11"/>
  <c r="H1380" i="11" s="1"/>
  <c r="F1380" i="11"/>
  <c r="I1380" i="11" l="1"/>
  <c r="G1381" i="11" s="1"/>
  <c r="H1381" i="11" s="1"/>
  <c r="I1381" i="11" s="1"/>
  <c r="F1381" i="11"/>
  <c r="G1382" i="11" l="1"/>
  <c r="H1382" i="11" s="1"/>
  <c r="F1382" i="11"/>
  <c r="I1382" i="11" l="1"/>
  <c r="G1383" i="11"/>
  <c r="H1383" i="11" s="1"/>
  <c r="F1383" i="11"/>
  <c r="I1383" i="11" l="1"/>
  <c r="G1384" i="11" s="1"/>
  <c r="H1384" i="11" s="1"/>
  <c r="I1384" i="11" s="1"/>
  <c r="F1384" i="11"/>
  <c r="G1385" i="11" l="1"/>
  <c r="H1385" i="11" s="1"/>
  <c r="I1385" i="11" s="1"/>
  <c r="F1385" i="11"/>
  <c r="G1386" i="11" l="1"/>
  <c r="H1386" i="11" s="1"/>
  <c r="I1386" i="11" s="1"/>
  <c r="F1386" i="11"/>
  <c r="G1387" i="11" l="1"/>
  <c r="H1387" i="11" s="1"/>
  <c r="I1387" i="11" s="1"/>
  <c r="F1387" i="11"/>
  <c r="G1388" i="11" l="1"/>
  <c r="H1388" i="11" s="1"/>
  <c r="I1388" i="11" s="1"/>
  <c r="F1388" i="11"/>
  <c r="G1389" i="11" l="1"/>
  <c r="H1389" i="11" s="1"/>
  <c r="F1389" i="11"/>
  <c r="I1389" i="11" l="1"/>
  <c r="G1390" i="11"/>
  <c r="F1390" i="11"/>
  <c r="H1390" i="11" l="1"/>
  <c r="I1390" i="11" s="1"/>
  <c r="G1391" i="11" l="1"/>
  <c r="F1391" i="11"/>
  <c r="H1391" i="11" l="1"/>
  <c r="I1391" i="11" s="1"/>
  <c r="G1392" i="11"/>
  <c r="H1392" i="11" s="1"/>
  <c r="F1392" i="11"/>
  <c r="I1392" i="11" l="1"/>
  <c r="G1393" i="11" s="1"/>
  <c r="H1393" i="11" s="1"/>
  <c r="I1393" i="11" s="1"/>
  <c r="F1393" i="11"/>
  <c r="G1394" i="11" l="1"/>
  <c r="H1394" i="11" s="1"/>
  <c r="I1394" i="11" s="1"/>
  <c r="F1394" i="11"/>
  <c r="G1395" i="11" l="1"/>
  <c r="H1395" i="11" s="1"/>
  <c r="I1395" i="11" s="1"/>
  <c r="F1395" i="11"/>
  <c r="G1396" i="11" l="1"/>
  <c r="H1396" i="11" s="1"/>
  <c r="F1396" i="11"/>
  <c r="I1396" i="11" l="1"/>
  <c r="G1397" i="11"/>
  <c r="H1397" i="11" s="1"/>
  <c r="F1397" i="11"/>
  <c r="I1397" i="11" l="1"/>
  <c r="G1398" i="11"/>
  <c r="H1398" i="11" s="1"/>
  <c r="F1398" i="11"/>
  <c r="I1398" i="11" l="1"/>
  <c r="G1399" i="11"/>
  <c r="H1399" i="11" s="1"/>
  <c r="F1399" i="11"/>
  <c r="I1399" i="11" l="1"/>
  <c r="G1400" i="11"/>
  <c r="H1400" i="11" s="1"/>
  <c r="F1400" i="11"/>
  <c r="I1400" i="11" l="1"/>
  <c r="G1401" i="11"/>
  <c r="H1401" i="11" s="1"/>
  <c r="F1401" i="11"/>
  <c r="I1401" i="11" l="1"/>
  <c r="G1402" i="11"/>
  <c r="H1402" i="11" s="1"/>
  <c r="F1402" i="11"/>
  <c r="I1402" i="11" l="1"/>
  <c r="G1403" i="11"/>
  <c r="H1403" i="11" s="1"/>
  <c r="I1403" i="11" s="1"/>
  <c r="F1403" i="11"/>
  <c r="G1404" i="11" l="1"/>
  <c r="H1404" i="11" s="1"/>
  <c r="F1404" i="11"/>
  <c r="I1404" i="11" l="1"/>
  <c r="G1405" i="11"/>
  <c r="H1405" i="11" s="1"/>
  <c r="F1405" i="11"/>
  <c r="I1405" i="11" l="1"/>
  <c r="G1406" i="11"/>
  <c r="H1406" i="11" s="1"/>
  <c r="I1406" i="11" s="1"/>
  <c r="F1406" i="11"/>
  <c r="G1407" i="11" l="1"/>
  <c r="H1407" i="11" s="1"/>
  <c r="F1407" i="11"/>
  <c r="I1407" i="11" l="1"/>
  <c r="G1408" i="11"/>
  <c r="H1408" i="11" s="1"/>
  <c r="F1408" i="11"/>
  <c r="I1408" i="11" l="1"/>
  <c r="G1409" i="11"/>
  <c r="H1409" i="11" s="1"/>
  <c r="F1409" i="11"/>
  <c r="I1409" i="11" l="1"/>
  <c r="G1410" i="11"/>
  <c r="F1410" i="11"/>
  <c r="H1410" i="11" s="1"/>
  <c r="I1410" i="11" s="1"/>
  <c r="G1411" i="11" l="1"/>
  <c r="H1411" i="11" s="1"/>
  <c r="I1411" i="11" s="1"/>
  <c r="F1411" i="11"/>
  <c r="G1412" i="11" l="1"/>
  <c r="H1412" i="11" s="1"/>
  <c r="F1412" i="11"/>
  <c r="I1412" i="11" l="1"/>
  <c r="G1413" i="11" s="1"/>
  <c r="H1413" i="11" s="1"/>
  <c r="I1413" i="11" s="1"/>
  <c r="F1413" i="11"/>
  <c r="G1414" i="11" l="1"/>
  <c r="H1414" i="11" s="1"/>
  <c r="F1414" i="11"/>
  <c r="I1414" i="11" l="1"/>
  <c r="G1415" i="11"/>
  <c r="H1415" i="11" s="1"/>
  <c r="I1415" i="11" s="1"/>
  <c r="F1415" i="11"/>
  <c r="G1416" i="11" l="1"/>
  <c r="H1416" i="11" s="1"/>
  <c r="I1416" i="11" s="1"/>
  <c r="F1416" i="11"/>
  <c r="G1417" i="11" l="1"/>
  <c r="H1417" i="11" s="1"/>
  <c r="F1417" i="11"/>
  <c r="I1417" i="11" l="1"/>
  <c r="G1418" i="11"/>
  <c r="H1418" i="11" s="1"/>
  <c r="F1418" i="11"/>
  <c r="I1418" i="11" l="1"/>
  <c r="G1419" i="11"/>
  <c r="H1419" i="11" s="1"/>
  <c r="F1419" i="11"/>
  <c r="I1419" i="11" l="1"/>
  <c r="G1420" i="11"/>
  <c r="H1420" i="11" s="1"/>
  <c r="F1420" i="11"/>
  <c r="I1420" i="11" l="1"/>
  <c r="G1421" i="11"/>
  <c r="H1421" i="11" s="1"/>
  <c r="I1421" i="11" s="1"/>
  <c r="F1421" i="11"/>
  <c r="G1422" i="11" l="1"/>
  <c r="H1422" i="11" s="1"/>
  <c r="F1422" i="11"/>
  <c r="I1422" i="11" l="1"/>
  <c r="G1423" i="11"/>
  <c r="H1423" i="11" s="1"/>
  <c r="F1423" i="11"/>
  <c r="I1423" i="11" l="1"/>
  <c r="G1424" i="11"/>
  <c r="H1424" i="11" s="1"/>
  <c r="I1424" i="11" s="1"/>
  <c r="F1424" i="11"/>
  <c r="G1425" i="11" l="1"/>
  <c r="H1425" i="11" s="1"/>
  <c r="F1425" i="11"/>
  <c r="I1425" i="11" l="1"/>
  <c r="G1426" i="11"/>
  <c r="H1426" i="11" s="1"/>
  <c r="I1426" i="11" s="1"/>
  <c r="F1426" i="11"/>
  <c r="G1427" i="11" l="1"/>
  <c r="H1427" i="11" s="1"/>
  <c r="F1427" i="11"/>
  <c r="I1427" i="11" l="1"/>
  <c r="G1428" i="11"/>
  <c r="H1428" i="11" s="1"/>
  <c r="F1428" i="11"/>
  <c r="I1428" i="11" l="1"/>
  <c r="G1429" i="11"/>
  <c r="H1429" i="11" s="1"/>
  <c r="F1429" i="11"/>
  <c r="I1429" i="11" l="1"/>
  <c r="G1430" i="11"/>
  <c r="H1430" i="11" s="1"/>
  <c r="F1430" i="11"/>
  <c r="I1430" i="11" l="1"/>
  <c r="G1431" i="11"/>
  <c r="H1431" i="11" s="1"/>
  <c r="F1431" i="11"/>
  <c r="I1431" i="11" l="1"/>
  <c r="G1432" i="11" s="1"/>
  <c r="H1432" i="11" s="1"/>
  <c r="I1432" i="11" s="1"/>
  <c r="F1432" i="11"/>
  <c r="G1433" i="11" l="1"/>
  <c r="F1433" i="11"/>
  <c r="H1433" i="11" l="1"/>
  <c r="I1433" i="11" l="1"/>
  <c r="G1434" i="11" s="1"/>
  <c r="H1434" i="11" s="1"/>
  <c r="F1434" i="11"/>
  <c r="I1434" i="11" l="1"/>
  <c r="F1435" i="11"/>
  <c r="G1435" i="11"/>
  <c r="H1435" i="11" s="1"/>
  <c r="I1435" i="11" s="1"/>
  <c r="G1436" i="11" s="1"/>
  <c r="H1436" i="11" s="1"/>
  <c r="I1436" i="11" s="1"/>
  <c r="F1436" i="11"/>
  <c r="G1437" i="11" l="1"/>
  <c r="H1437" i="11" s="1"/>
  <c r="F1437" i="11"/>
  <c r="I1437" i="11" l="1"/>
  <c r="G1438" i="11"/>
  <c r="H1438" i="11" s="1"/>
  <c r="F1438" i="11"/>
  <c r="I1438" i="11" l="1"/>
  <c r="G1439" i="11"/>
  <c r="H1439" i="11" s="1"/>
  <c r="I1439" i="11" s="1"/>
  <c r="F1439" i="11"/>
  <c r="G1440" i="11" l="1"/>
  <c r="H1440" i="11" s="1"/>
  <c r="I1440" i="11" s="1"/>
  <c r="F1440" i="11"/>
  <c r="G1441" i="11" l="1"/>
  <c r="H1441" i="11" s="1"/>
  <c r="I1441" i="11" s="1"/>
  <c r="F1441" i="11"/>
  <c r="G1442" i="11" l="1"/>
  <c r="H1442" i="11" s="1"/>
  <c r="F1442" i="11"/>
  <c r="I1442" i="11" l="1"/>
  <c r="G1443" i="11"/>
  <c r="H1443" i="11" s="1"/>
  <c r="I1443" i="11" s="1"/>
  <c r="F1443" i="11"/>
  <c r="G1444" i="11" l="1"/>
  <c r="H1444" i="11" s="1"/>
  <c r="I1444" i="11" s="1"/>
  <c r="F1444" i="11"/>
  <c r="G1445" i="11" l="1"/>
  <c r="H1445" i="11" s="1"/>
  <c r="F1445" i="11"/>
  <c r="I1445" i="11" l="1"/>
  <c r="G1446" i="11"/>
  <c r="H1446" i="11" s="1"/>
  <c r="F1446" i="11"/>
  <c r="I1446" i="11" l="1"/>
  <c r="G1447" i="11"/>
  <c r="H1447" i="11" s="1"/>
  <c r="F1447" i="11"/>
  <c r="I1447" i="11" l="1"/>
  <c r="G1448" i="11" s="1"/>
  <c r="H1448" i="11" s="1"/>
  <c r="I1448" i="11" s="1"/>
  <c r="F1448" i="11"/>
  <c r="G1449" i="11" l="1"/>
  <c r="H1449" i="11" s="1"/>
  <c r="I1449" i="11" s="1"/>
  <c r="F1449" i="11"/>
  <c r="G1450" i="11" l="1"/>
  <c r="F1450" i="11"/>
  <c r="H1450" i="11" s="1"/>
  <c r="I1450" i="11" s="1"/>
  <c r="G1451" i="11" l="1"/>
  <c r="H1451" i="11" s="1"/>
  <c r="I1451" i="11" s="1"/>
  <c r="F1451" i="11"/>
  <c r="G1452" i="11" l="1"/>
  <c r="H1452" i="11" s="1"/>
  <c r="F1452" i="11"/>
  <c r="I1452" i="11" l="1"/>
  <c r="G1453" i="11" s="1"/>
  <c r="H1453" i="11" s="1"/>
  <c r="I1453" i="11" s="1"/>
  <c r="F1453" i="11"/>
  <c r="G1454" i="11" l="1"/>
  <c r="H1454" i="11" s="1"/>
  <c r="I1454" i="11" s="1"/>
  <c r="F1454" i="11"/>
  <c r="G1455" i="11" l="1"/>
  <c r="H1455" i="11" s="1"/>
  <c r="F1455" i="11"/>
  <c r="I1455" i="11" l="1"/>
  <c r="G1456" i="11" s="1"/>
  <c r="H1456" i="11" s="1"/>
  <c r="I1456" i="11" s="1"/>
  <c r="F1456" i="11"/>
  <c r="G1457" i="11" l="1"/>
  <c r="H1457" i="11" s="1"/>
  <c r="I1457" i="11" s="1"/>
  <c r="F1457" i="11"/>
  <c r="G1458" i="11" l="1"/>
  <c r="H1458" i="11" s="1"/>
  <c r="F1458" i="11"/>
  <c r="I1458" i="11" l="1"/>
  <c r="G1459" i="11"/>
  <c r="H1459" i="11" s="1"/>
  <c r="F1459" i="11"/>
  <c r="I1459" i="11" l="1"/>
  <c r="G1460" i="11"/>
  <c r="H1460" i="11" s="1"/>
  <c r="F1460" i="11"/>
  <c r="I1460" i="11" l="1"/>
  <c r="G1461" i="11"/>
  <c r="H1461" i="11" s="1"/>
  <c r="F1461" i="11"/>
  <c r="I1461" i="11" l="1"/>
  <c r="G1462" i="11"/>
  <c r="H1462" i="11" s="1"/>
  <c r="I1462" i="11" s="1"/>
  <c r="F1462" i="11"/>
  <c r="G1463" i="11" l="1"/>
  <c r="H1463" i="11" s="1"/>
  <c r="F1463" i="11"/>
  <c r="I1463" i="11" l="1"/>
  <c r="G1464" i="11"/>
  <c r="H1464" i="11" s="1"/>
  <c r="F1464" i="11"/>
  <c r="I1464" i="11" l="1"/>
  <c r="G1465" i="11"/>
  <c r="F1465" i="11"/>
  <c r="H1465" i="11" l="1"/>
  <c r="I1465" i="11" s="1"/>
  <c r="G1466" i="11" l="1"/>
  <c r="F1466" i="11"/>
  <c r="H1466" i="11" l="1"/>
  <c r="I1466" i="11" l="1"/>
  <c r="G1467" i="11" s="1"/>
  <c r="H1467" i="11" s="1"/>
  <c r="F1467" i="11"/>
  <c r="I1467" i="11" l="1"/>
  <c r="G1468" i="11" s="1"/>
  <c r="H1468" i="11" s="1"/>
  <c r="F1468" i="11"/>
  <c r="F1469" i="11"/>
  <c r="I1468" i="11" l="1"/>
  <c r="G1469" i="11" s="1"/>
  <c r="H1469" i="11" s="1"/>
  <c r="I1469" i="11" s="1"/>
  <c r="G1470" i="11"/>
  <c r="H1470" i="11" s="1"/>
  <c r="F1470" i="11"/>
  <c r="I1470" i="11" l="1"/>
  <c r="G1471" i="11"/>
  <c r="H1471" i="11" s="1"/>
  <c r="F1471" i="11"/>
  <c r="I1471" i="11" l="1"/>
  <c r="G1472" i="11"/>
  <c r="H1472" i="11" s="1"/>
  <c r="F1472" i="11"/>
  <c r="I1472" i="11" l="1"/>
  <c r="G1473" i="11"/>
  <c r="H1473" i="11" s="1"/>
  <c r="I1473" i="11" s="1"/>
  <c r="F1473" i="11"/>
  <c r="G1474" i="11" l="1"/>
  <c r="H1474" i="11" s="1"/>
  <c r="F1474" i="11"/>
  <c r="I1474" i="11" l="1"/>
  <c r="G1475" i="11" s="1"/>
  <c r="H1475" i="11" s="1"/>
  <c r="I1475" i="11" s="1"/>
  <c r="F1475" i="11"/>
  <c r="H1476" i="11" l="1"/>
  <c r="I1476" i="11" s="1"/>
  <c r="G1476" i="11"/>
  <c r="F1476" i="11"/>
  <c r="G1477" i="11" l="1"/>
  <c r="H1477" i="11" s="1"/>
  <c r="I1477" i="11" s="1"/>
  <c r="F1477" i="11"/>
  <c r="G1478" i="11" l="1"/>
  <c r="H1478" i="11" s="1"/>
  <c r="F1478" i="11"/>
  <c r="I1478" i="11" l="1"/>
  <c r="G1479" i="11"/>
  <c r="F1479" i="11"/>
  <c r="H1479" i="11" l="1"/>
  <c r="G1480" i="11" l="1"/>
  <c r="H1480" i="11" s="1"/>
  <c r="I1480" i="11" s="1"/>
  <c r="G1481" i="11" s="1"/>
  <c r="H1481" i="11" s="1"/>
  <c r="I1479" i="11"/>
  <c r="F1480" i="11"/>
  <c r="F1481" i="11" l="1"/>
  <c r="I1481" i="11" s="1"/>
  <c r="G1482" i="11" s="1"/>
  <c r="H1482" i="11" s="1"/>
  <c r="I1482" i="11" s="1"/>
  <c r="F1482" i="11"/>
  <c r="G1483" i="11" l="1"/>
  <c r="H1483" i="11" s="1"/>
  <c r="I1483" i="11" s="1"/>
  <c r="F1483" i="11"/>
  <c r="G1484" i="11" l="1"/>
  <c r="H1484" i="11" s="1"/>
  <c r="F1484" i="11"/>
  <c r="I1484" i="11" l="1"/>
  <c r="G1485" i="11"/>
  <c r="H1485" i="11" s="1"/>
  <c r="F1485" i="11"/>
  <c r="I1485" i="11" l="1"/>
  <c r="G1486" i="11"/>
  <c r="H1486" i="11" s="1"/>
  <c r="F1486" i="11"/>
  <c r="I1486" i="11" l="1"/>
  <c r="G1487" i="11"/>
  <c r="H1487" i="11" s="1"/>
  <c r="F1487" i="11"/>
  <c r="I1487" i="11" l="1"/>
  <c r="G1488" i="11"/>
  <c r="H1488" i="11" s="1"/>
  <c r="F1488" i="11"/>
  <c r="I1488" i="11" l="1"/>
  <c r="G1489" i="11" s="1"/>
  <c r="H1489" i="11" s="1"/>
  <c r="I1489" i="11" s="1"/>
  <c r="F1489" i="11"/>
  <c r="G1490" i="11" l="1"/>
  <c r="H1490" i="11" s="1"/>
  <c r="I1490" i="11" s="1"/>
  <c r="F1490" i="11"/>
  <c r="H1491" i="11" l="1"/>
  <c r="G1491" i="11"/>
  <c r="F1491" i="11"/>
  <c r="I1491" i="11" l="1"/>
  <c r="G1492" i="11"/>
  <c r="F1492" i="11"/>
  <c r="H1492" i="11" l="1"/>
  <c r="I1492" i="11" s="1"/>
  <c r="G1493" i="11" l="1"/>
  <c r="H1493" i="11" s="1"/>
  <c r="F1493" i="11"/>
  <c r="I1493" i="11" l="1"/>
  <c r="G1494" i="11"/>
  <c r="H1494" i="11" s="1"/>
  <c r="F1494" i="11"/>
  <c r="I1494" i="11" l="1"/>
  <c r="G1495" i="11"/>
  <c r="H1495" i="11" s="1"/>
  <c r="I1495" i="11" s="1"/>
  <c r="F1495" i="11"/>
  <c r="G1496" i="11" l="1"/>
  <c r="H1496" i="11" s="1"/>
  <c r="F1496" i="11"/>
  <c r="I1496" i="11" l="1"/>
  <c r="G1497" i="11"/>
  <c r="H1497" i="11" s="1"/>
  <c r="I1497" i="11" s="1"/>
  <c r="F1497" i="11"/>
  <c r="G1498" i="11" l="1"/>
  <c r="H1498" i="11" s="1"/>
  <c r="F1498" i="11"/>
  <c r="I1498" i="11" l="1"/>
  <c r="G1499" i="11" s="1"/>
  <c r="H1499" i="11" s="1"/>
  <c r="I1499" i="11" s="1"/>
  <c r="F1499" i="11"/>
  <c r="G1500" i="11" l="1"/>
  <c r="H1500" i="11" s="1"/>
  <c r="F1500" i="11"/>
  <c r="I1500" i="11" l="1"/>
  <c r="G1501" i="11"/>
  <c r="H1501" i="11" s="1"/>
  <c r="F1501" i="11"/>
  <c r="I1501" i="11" l="1"/>
  <c r="G1502" i="11"/>
  <c r="H1502" i="11" s="1"/>
  <c r="F1502" i="11"/>
  <c r="I1502" i="11" l="1"/>
  <c r="G1503" i="11"/>
  <c r="H1503" i="11" s="1"/>
  <c r="F1503" i="11"/>
  <c r="I1503" i="11" l="1"/>
  <c r="G1504" i="11"/>
  <c r="H1504" i="11" s="1"/>
  <c r="F1504" i="11"/>
  <c r="I1504" i="11" l="1"/>
  <c r="G1505" i="11"/>
  <c r="H1505" i="11" s="1"/>
  <c r="I1505" i="11" s="1"/>
  <c r="F1505" i="11"/>
  <c r="G1506" i="11" l="1"/>
  <c r="H1506" i="11" s="1"/>
  <c r="I1506" i="11" s="1"/>
  <c r="F1506" i="11"/>
  <c r="H1507" i="11" l="1"/>
  <c r="I1507" i="11" s="1"/>
  <c r="G1507" i="11"/>
  <c r="F1507" i="11"/>
  <c r="H1508" i="11" l="1"/>
  <c r="I1508" i="11" s="1"/>
  <c r="G1508" i="11"/>
  <c r="F1508" i="11"/>
  <c r="G1509" i="11" l="1"/>
  <c r="H1509" i="11" s="1"/>
  <c r="I1509" i="11" s="1"/>
  <c r="F1509" i="11"/>
  <c r="G1510" i="11" l="1"/>
  <c r="H1510" i="11" s="1"/>
  <c r="F1510" i="11"/>
  <c r="I1510" i="11" l="1"/>
  <c r="G1511" i="11"/>
  <c r="F1511" i="11"/>
  <c r="H1511" i="11" l="1"/>
  <c r="I1511" i="11" s="1"/>
  <c r="G1512" i="11" l="1"/>
  <c r="H1512" i="11" s="1"/>
  <c r="F1512" i="11"/>
  <c r="I1512" i="11" l="1"/>
  <c r="G1513" i="11"/>
  <c r="H1513" i="11" s="1"/>
  <c r="F1513" i="11"/>
  <c r="I1513" i="11" l="1"/>
  <c r="G1514" i="11"/>
  <c r="H1514" i="11" s="1"/>
  <c r="F1514" i="11"/>
  <c r="I1514" i="11" l="1"/>
  <c r="G1515" i="11" s="1"/>
  <c r="H1515" i="11" s="1"/>
  <c r="I1515" i="11" s="1"/>
  <c r="F1515" i="11"/>
  <c r="G1516" i="11" l="1"/>
  <c r="H1516" i="11" s="1"/>
  <c r="F1516" i="11"/>
  <c r="I1516" i="11" l="1"/>
  <c r="G1517" i="11"/>
  <c r="H1517" i="11" s="1"/>
  <c r="F1517" i="11"/>
  <c r="I1517" i="11" l="1"/>
  <c r="G1518" i="11"/>
  <c r="H1518" i="11" s="1"/>
  <c r="F1518" i="11"/>
  <c r="I1518" i="11" l="1"/>
  <c r="G1519" i="11"/>
  <c r="H1519" i="11" s="1"/>
  <c r="I1519" i="11" s="1"/>
  <c r="F1519" i="11"/>
  <c r="H1520" i="11" l="1"/>
  <c r="I1520" i="11" s="1"/>
  <c r="G1520" i="11"/>
  <c r="F1520" i="11"/>
  <c r="G1521" i="11" l="1"/>
  <c r="H1521" i="11" s="1"/>
  <c r="F1521" i="11"/>
  <c r="I1521" i="11" l="1"/>
  <c r="G1522" i="11"/>
  <c r="H1522" i="11" s="1"/>
  <c r="I1522" i="11" s="1"/>
  <c r="F1522" i="11"/>
  <c r="G1523" i="11" l="1"/>
  <c r="H1523" i="11" s="1"/>
  <c r="F1523" i="11"/>
  <c r="I1523" i="11" l="1"/>
  <c r="G1524" i="11"/>
  <c r="H1524" i="11" s="1"/>
  <c r="F1524" i="11"/>
  <c r="I1524" i="11" l="1"/>
  <c r="G1525" i="11"/>
  <c r="F1525" i="11"/>
  <c r="H1525" i="11" s="1"/>
  <c r="I1525" i="11" s="1"/>
  <c r="G1526" i="11" l="1"/>
  <c r="H1526" i="11" s="1"/>
  <c r="I1526" i="11" s="1"/>
  <c r="F1526" i="11"/>
  <c r="G1527" i="11" l="1"/>
  <c r="H1527" i="11" s="1"/>
  <c r="F1527" i="11"/>
  <c r="I1527" i="11" l="1"/>
  <c r="G1528" i="11" s="1"/>
  <c r="H1528" i="11" s="1"/>
  <c r="I1528" i="11" s="1"/>
  <c r="F1528" i="11"/>
  <c r="G1529" i="11" l="1"/>
  <c r="H1529" i="11" s="1"/>
  <c r="F1529" i="11"/>
  <c r="I1529" i="11" l="1"/>
  <c r="G1530" i="11"/>
  <c r="H1530" i="11" s="1"/>
  <c r="I1530" i="11" s="1"/>
  <c r="F1530" i="11"/>
  <c r="G1531" i="11" l="1"/>
  <c r="H1531" i="11" s="1"/>
  <c r="I1531" i="11" s="1"/>
  <c r="F1531" i="11"/>
  <c r="G1532" i="11" l="1"/>
  <c r="H1532" i="11" s="1"/>
  <c r="F1532" i="11"/>
  <c r="I1532" i="11" l="1"/>
  <c r="G1533" i="11" s="1"/>
  <c r="H1533" i="11" s="1"/>
  <c r="I1533" i="11" s="1"/>
  <c r="F1533" i="11"/>
  <c r="G1534" i="11" l="1"/>
  <c r="H1534" i="11" s="1"/>
  <c r="I1534" i="11" s="1"/>
  <c r="F1534" i="11"/>
  <c r="G1535" i="11" l="1"/>
  <c r="H1535" i="11" s="1"/>
  <c r="I1535" i="11" s="1"/>
  <c r="F1535" i="11"/>
  <c r="G1536" i="11" l="1"/>
  <c r="H1536" i="11" s="1"/>
  <c r="F1536" i="11"/>
  <c r="I1536" i="11" l="1"/>
  <c r="G1537" i="11"/>
  <c r="H1537" i="11" s="1"/>
  <c r="I1537" i="11" s="1"/>
  <c r="F1537" i="11"/>
  <c r="G1538" i="11" l="1"/>
  <c r="H1538" i="11" s="1"/>
  <c r="F1538" i="11"/>
  <c r="I1538" i="11" l="1"/>
  <c r="G1539" i="11"/>
  <c r="H1539" i="11" s="1"/>
  <c r="F1539" i="11"/>
  <c r="I1539" i="11" l="1"/>
  <c r="G1540" i="11"/>
  <c r="H1540" i="11" s="1"/>
  <c r="F1540" i="11"/>
  <c r="I1540" i="11" l="1"/>
  <c r="G1541" i="11"/>
  <c r="H1541" i="11" s="1"/>
  <c r="I1541" i="11" s="1"/>
  <c r="F1541" i="11"/>
  <c r="G1542" i="11" l="1"/>
  <c r="H1542" i="11" s="1"/>
  <c r="I1542" i="11" s="1"/>
  <c r="F1542" i="11"/>
  <c r="G1543" i="11" l="1"/>
  <c r="H1543" i="11" s="1"/>
  <c r="I1543" i="11" s="1"/>
  <c r="F1543" i="11"/>
  <c r="G1544" i="11" l="1"/>
  <c r="F1544" i="11"/>
  <c r="H1544" i="11" s="1"/>
  <c r="I1544" i="11" s="1"/>
  <c r="G1545" i="11" l="1"/>
  <c r="H1545" i="11" s="1"/>
  <c r="F1545" i="11"/>
  <c r="I1545" i="11" l="1"/>
  <c r="G1546" i="11" s="1"/>
  <c r="H1546" i="11" s="1"/>
  <c r="I1546" i="11" s="1"/>
  <c r="F1546" i="11"/>
  <c r="G1547" i="11" l="1"/>
  <c r="H1547" i="11" s="1"/>
  <c r="F1547" i="11"/>
  <c r="I1547" i="11" l="1"/>
  <c r="G1548" i="11"/>
  <c r="H1548" i="11" s="1"/>
  <c r="I1548" i="11" s="1"/>
  <c r="F1548" i="11"/>
  <c r="G1549" i="11" l="1"/>
  <c r="H1549" i="11" s="1"/>
  <c r="F1549" i="11"/>
  <c r="I1549" i="11" l="1"/>
  <c r="G1550" i="11"/>
  <c r="H1550" i="11" s="1"/>
  <c r="I1550" i="11" s="1"/>
  <c r="F1550" i="11"/>
  <c r="G1551" i="11" l="1"/>
  <c r="H1551" i="11" s="1"/>
  <c r="F1551" i="11"/>
  <c r="I1551" i="11" l="1"/>
  <c r="G1552" i="11"/>
  <c r="H1552" i="11" s="1"/>
  <c r="F1552" i="11"/>
  <c r="I1552" i="11" l="1"/>
  <c r="G1553" i="11"/>
  <c r="H1553" i="11" s="1"/>
  <c r="F1553" i="11"/>
  <c r="I1553" i="11" l="1"/>
  <c r="G1554" i="11"/>
  <c r="H1554" i="11" s="1"/>
  <c r="F1554" i="11"/>
  <c r="I1554" i="11" l="1"/>
  <c r="G1555" i="11"/>
  <c r="H1555" i="11" s="1"/>
  <c r="F1555" i="11"/>
  <c r="I1555" i="11" l="1"/>
  <c r="G1556" i="11"/>
  <c r="H1556" i="11" s="1"/>
  <c r="I1556" i="11" s="1"/>
  <c r="F1556" i="11"/>
  <c r="G1557" i="11" l="1"/>
  <c r="H1557" i="11" s="1"/>
  <c r="F1557" i="11"/>
  <c r="I1557" i="11" l="1"/>
  <c r="G1558" i="11"/>
  <c r="H1558" i="11" s="1"/>
  <c r="F1558" i="11"/>
  <c r="I1558" i="11" l="1"/>
  <c r="G1559" i="11"/>
  <c r="H1559" i="11" s="1"/>
  <c r="I1559" i="11" s="1"/>
  <c r="F1559" i="11"/>
  <c r="G1560" i="11" l="1"/>
  <c r="H1560" i="11" s="1"/>
  <c r="F1560" i="11"/>
  <c r="I1560" i="11" l="1"/>
  <c r="G1561" i="11" s="1"/>
  <c r="H1561" i="11" s="1"/>
  <c r="I1561" i="11" s="1"/>
  <c r="F1561" i="11"/>
  <c r="G1562" i="11" l="1"/>
  <c r="H1562" i="11" s="1"/>
  <c r="F1562" i="11"/>
  <c r="I1562" i="11" l="1"/>
  <c r="G1563" i="11"/>
  <c r="H1563" i="11" s="1"/>
  <c r="F1563" i="11"/>
  <c r="I1563" i="11" l="1"/>
  <c r="G1564" i="11"/>
  <c r="F1564" i="11"/>
  <c r="H1564" i="11" l="1"/>
  <c r="I1564" i="11" s="1"/>
  <c r="G1565" i="11" l="1"/>
  <c r="H1565" i="11" s="1"/>
  <c r="F1565" i="11"/>
  <c r="I1565" i="11" l="1"/>
  <c r="G1566" i="11" s="1"/>
  <c r="H1566" i="11" s="1"/>
  <c r="I1566" i="11" s="1"/>
  <c r="F1566" i="11"/>
  <c r="G1567" i="11" l="1"/>
  <c r="H1567" i="11" s="1"/>
  <c r="I1567" i="11" s="1"/>
  <c r="F1567" i="11"/>
  <c r="H1568" i="11" l="1"/>
  <c r="I1568" i="11" s="1"/>
  <c r="G1568" i="11"/>
  <c r="F1568" i="11"/>
  <c r="H1569" i="11" l="1"/>
  <c r="G1569" i="11"/>
  <c r="F1569" i="11"/>
  <c r="I1569" i="11" l="1"/>
  <c r="G1570" i="11" s="1"/>
  <c r="H1570" i="11" s="1"/>
  <c r="I1570" i="11" s="1"/>
  <c r="F1570" i="11"/>
  <c r="G1571" i="11" l="1"/>
  <c r="H1571" i="11" s="1"/>
  <c r="F1571" i="11"/>
  <c r="I1571" i="11" l="1"/>
  <c r="G1572" i="11"/>
  <c r="H1572" i="11" s="1"/>
  <c r="F1572" i="11"/>
  <c r="I1572" i="11" l="1"/>
  <c r="G1573" i="11" s="1"/>
  <c r="H1573" i="11" s="1"/>
  <c r="I1573" i="11" s="1"/>
  <c r="F1573" i="11"/>
  <c r="G1574" i="11" l="1"/>
  <c r="H1574" i="11" s="1"/>
  <c r="F1574" i="11"/>
  <c r="I1574" i="11" l="1"/>
  <c r="G1575" i="11"/>
  <c r="H1575" i="11" s="1"/>
  <c r="I1575" i="11" s="1"/>
  <c r="F1575" i="11"/>
  <c r="G1576" i="11" l="1"/>
  <c r="H1576" i="11" s="1"/>
  <c r="F1576" i="11"/>
  <c r="I1576" i="11" l="1"/>
  <c r="G1577" i="11"/>
  <c r="H1577" i="11" s="1"/>
  <c r="F1577" i="11"/>
  <c r="I1577" i="11" l="1"/>
  <c r="G1578" i="11"/>
  <c r="H1578" i="11" s="1"/>
  <c r="F1578" i="11"/>
  <c r="I1578" i="11" l="1"/>
  <c r="G1579" i="11"/>
  <c r="H1579" i="11" s="1"/>
  <c r="F1579" i="11"/>
  <c r="I1579" i="11" l="1"/>
  <c r="G1580" i="11" s="1"/>
  <c r="F1580" i="11"/>
  <c r="H1580" i="11" l="1"/>
  <c r="I1580" i="11" s="1"/>
  <c r="G1581" i="11" s="1"/>
  <c r="H1581" i="11" s="1"/>
  <c r="I1581" i="11" l="1"/>
  <c r="G1582" i="11" s="1"/>
  <c r="H1582" i="11" s="1"/>
  <c r="I1582" i="11" s="1"/>
  <c r="F1581" i="11"/>
  <c r="F1582" i="11"/>
  <c r="G1583" i="11" l="1"/>
  <c r="H1583" i="11" s="1"/>
  <c r="I1583" i="11" s="1"/>
  <c r="F1583" i="11"/>
  <c r="G1584" i="11" l="1"/>
  <c r="H1584" i="11" s="1"/>
  <c r="I1584" i="11" s="1"/>
  <c r="F1584" i="11"/>
  <c r="G1585" i="11" l="1"/>
  <c r="H1585" i="11" s="1"/>
  <c r="F1585" i="11"/>
  <c r="I1585" i="11" l="1"/>
  <c r="G1586" i="11"/>
  <c r="H1586" i="11" s="1"/>
  <c r="I1586" i="11" s="1"/>
  <c r="F1586" i="11"/>
  <c r="G1587" i="11" l="1"/>
  <c r="H1587" i="11" s="1"/>
  <c r="F1587" i="11"/>
  <c r="I1587" i="11" l="1"/>
  <c r="G1588" i="11"/>
  <c r="H1588" i="11" s="1"/>
  <c r="I1588" i="11" s="1"/>
  <c r="F1588" i="11"/>
  <c r="G1589" i="11" l="1"/>
  <c r="H1589" i="11" s="1"/>
  <c r="F1589" i="11"/>
  <c r="I1589" i="11" l="1"/>
  <c r="G1590" i="11"/>
  <c r="H1590" i="11" s="1"/>
  <c r="F1590" i="11"/>
  <c r="I1590" i="11" l="1"/>
  <c r="G1591" i="11"/>
  <c r="H1591" i="11" s="1"/>
  <c r="I1591" i="11" s="1"/>
  <c r="F1591" i="11"/>
  <c r="G1592" i="11" l="1"/>
  <c r="H1592" i="11" s="1"/>
  <c r="F1592" i="11"/>
  <c r="I1592" i="11" l="1"/>
  <c r="G1593" i="11"/>
  <c r="H1593" i="11" s="1"/>
  <c r="F1593" i="11"/>
  <c r="I1593" i="11" l="1"/>
  <c r="G1594" i="11"/>
  <c r="H1594" i="11" s="1"/>
  <c r="I1594" i="11" s="1"/>
  <c r="F1594" i="11"/>
  <c r="H1595" i="11" l="1"/>
  <c r="I1595" i="11" s="1"/>
  <c r="G1595" i="11"/>
  <c r="F1595" i="11"/>
  <c r="G1596" i="11" l="1"/>
  <c r="H1596" i="11" s="1"/>
  <c r="I1596" i="11" s="1"/>
  <c r="F1596" i="11"/>
  <c r="G1597" i="11" l="1"/>
  <c r="H1597" i="11" s="1"/>
  <c r="F1597" i="11"/>
  <c r="I1597" i="11" l="1"/>
  <c r="G1598" i="11"/>
  <c r="H1598" i="11" s="1"/>
  <c r="F1598" i="11"/>
  <c r="I1598" i="11" l="1"/>
  <c r="G1599" i="11"/>
  <c r="H1599" i="11" s="1"/>
  <c r="F1599" i="11"/>
  <c r="I1599" i="11" l="1"/>
  <c r="G1600" i="11"/>
  <c r="H1600" i="11" s="1"/>
  <c r="I1600" i="11" s="1"/>
  <c r="F1600" i="11"/>
  <c r="G1601" i="11" l="1"/>
  <c r="H1601" i="11" s="1"/>
  <c r="F1601" i="11"/>
  <c r="I1601" i="11" l="1"/>
  <c r="G1602" i="11"/>
  <c r="H1602" i="11" s="1"/>
  <c r="F1602" i="11"/>
  <c r="I1602" i="11" l="1"/>
  <c r="G1603" i="11"/>
  <c r="H1603" i="11" s="1"/>
  <c r="F1603" i="11"/>
  <c r="I1603" i="11" l="1"/>
  <c r="G1604" i="11" s="1"/>
  <c r="H1604" i="11" s="1"/>
  <c r="I1604" i="11" s="1"/>
  <c r="F1604" i="11"/>
  <c r="G1605" i="11" l="1"/>
  <c r="H1605" i="11" s="1"/>
  <c r="F1605" i="11"/>
  <c r="I1605" i="11" l="1"/>
  <c r="G1606" i="11" s="1"/>
  <c r="H1606" i="11" s="1"/>
  <c r="I1606" i="11" s="1"/>
  <c r="F1606" i="11"/>
  <c r="G1607" i="11" l="1"/>
  <c r="H1607" i="11" s="1"/>
  <c r="F1607" i="11"/>
  <c r="I1607" i="11" l="1"/>
  <c r="G1608" i="11" s="1"/>
  <c r="H1608" i="11" s="1"/>
  <c r="I1608" i="11" s="1"/>
  <c r="F1608" i="11"/>
  <c r="G1609" i="11" l="1"/>
  <c r="H1609" i="11" s="1"/>
  <c r="F1609" i="11"/>
  <c r="I1609" i="11" l="1"/>
  <c r="G1610" i="11" s="1"/>
  <c r="H1610" i="11" s="1"/>
  <c r="I1610" i="11" s="1"/>
  <c r="F1610" i="11"/>
  <c r="G1611" i="11" l="1"/>
  <c r="H1611" i="11" s="1"/>
  <c r="F1611" i="11"/>
  <c r="I1611" i="11" l="1"/>
  <c r="G1612" i="11" s="1"/>
  <c r="H1612" i="11" s="1"/>
  <c r="I1612" i="11" s="1"/>
  <c r="F1612" i="11"/>
  <c r="G1613" i="11" l="1"/>
  <c r="H1613" i="11" s="1"/>
  <c r="F1613" i="11"/>
  <c r="I1613" i="11" l="1"/>
  <c r="G1614" i="11"/>
  <c r="H1614" i="11" s="1"/>
  <c r="F1614" i="11"/>
  <c r="I1614" i="11" l="1"/>
  <c r="G1615" i="11"/>
  <c r="H1615" i="11" s="1"/>
  <c r="I1615" i="11" s="1"/>
  <c r="F1615" i="11"/>
  <c r="G1616" i="11" l="1"/>
  <c r="F1616" i="11"/>
  <c r="H1616" i="11" l="1"/>
  <c r="I1616" i="11" s="1"/>
  <c r="G1617" i="11" l="1"/>
  <c r="H1617" i="11" s="1"/>
  <c r="F1617" i="11"/>
  <c r="I1617" i="11" l="1"/>
  <c r="G1618" i="11"/>
  <c r="H1618" i="11" s="1"/>
  <c r="F1618" i="11"/>
  <c r="I1618" i="11" l="1"/>
  <c r="G1619" i="11" s="1"/>
  <c r="H1619" i="11" s="1"/>
  <c r="I1619" i="11" s="1"/>
  <c r="F1619" i="11"/>
  <c r="G1620" i="11" l="1"/>
  <c r="H1620" i="11" s="1"/>
  <c r="F1620" i="11"/>
  <c r="I1620" i="11" l="1"/>
  <c r="G1621" i="11"/>
  <c r="H1621" i="11" s="1"/>
  <c r="F1621" i="11"/>
  <c r="I1621" i="11" l="1"/>
  <c r="G1622" i="11"/>
  <c r="H1622" i="11" s="1"/>
  <c r="F1622" i="11"/>
  <c r="I1622" i="11" l="1"/>
  <c r="G1623" i="11"/>
  <c r="H1623" i="11" s="1"/>
  <c r="F1623" i="11"/>
  <c r="I1623" i="11" l="1"/>
  <c r="G1624" i="11" s="1"/>
  <c r="H1624" i="11" s="1"/>
  <c r="I1624" i="11" s="1"/>
  <c r="F1624" i="11"/>
  <c r="G1625" i="11" l="1"/>
  <c r="H1625" i="11" s="1"/>
  <c r="F1625" i="11"/>
  <c r="I1625" i="11" l="1"/>
  <c r="G1626" i="11"/>
  <c r="H1626" i="11" s="1"/>
  <c r="I1626" i="11" s="1"/>
  <c r="F1626" i="11"/>
  <c r="G1627" i="11" l="1"/>
  <c r="H1627" i="11" s="1"/>
  <c r="F1627" i="11"/>
  <c r="I1627" i="11" l="1"/>
  <c r="G1628" i="11"/>
  <c r="H1628" i="11" s="1"/>
  <c r="I1628" i="11" s="1"/>
  <c r="F1628" i="11"/>
  <c r="G1629" i="11" l="1"/>
  <c r="H1629" i="11" s="1"/>
  <c r="F1629" i="11"/>
  <c r="I1629" i="11" l="1"/>
  <c r="G1630" i="11"/>
  <c r="H1630" i="11" s="1"/>
  <c r="F1630" i="11"/>
  <c r="I1630" i="11" l="1"/>
  <c r="G1631" i="11" s="1"/>
  <c r="H1631" i="11" s="1"/>
  <c r="I1631" i="11" s="1"/>
  <c r="F1631" i="11"/>
  <c r="G1632" i="11" l="1"/>
  <c r="H1632" i="11" s="1"/>
  <c r="F1632" i="11"/>
  <c r="I1632" i="11" l="1"/>
  <c r="G1633" i="11"/>
  <c r="H1633" i="11" s="1"/>
  <c r="F1633" i="11"/>
  <c r="I1633" i="11" l="1"/>
  <c r="G1634" i="11" s="1"/>
  <c r="H1634" i="11" s="1"/>
  <c r="I1634" i="11" s="1"/>
  <c r="F1634" i="11"/>
  <c r="G1635" i="11" l="1"/>
  <c r="H1635" i="11" s="1"/>
  <c r="F1635" i="11"/>
  <c r="I1635" i="11" l="1"/>
  <c r="G1636" i="11" s="1"/>
  <c r="F1636" i="11"/>
  <c r="H1636" i="11" l="1"/>
  <c r="I1636" i="11" s="1"/>
  <c r="G1637" i="11"/>
  <c r="H1637" i="11" s="1"/>
  <c r="F1637" i="11"/>
  <c r="I1637" i="11" l="1"/>
  <c r="G1638" i="11"/>
  <c r="H1638" i="11" s="1"/>
  <c r="I1638" i="11" s="1"/>
  <c r="F1638" i="11"/>
  <c r="G1639" i="11" l="1"/>
  <c r="H1639" i="11" s="1"/>
  <c r="F1639" i="11"/>
  <c r="I1639" i="11" l="1"/>
  <c r="G1640" i="11"/>
  <c r="H1640" i="11" s="1"/>
  <c r="I1640" i="11" s="1"/>
  <c r="F1640" i="11"/>
  <c r="G1641" i="11" l="1"/>
  <c r="H1641" i="11" s="1"/>
  <c r="F1641" i="11"/>
  <c r="I1641" i="11" l="1"/>
  <c r="G1642" i="11" s="1"/>
  <c r="H1642" i="11" s="1"/>
  <c r="I1642" i="11" s="1"/>
  <c r="F1642" i="11"/>
  <c r="G1643" i="11" l="1"/>
  <c r="H1643" i="11" s="1"/>
  <c r="F1643" i="11"/>
  <c r="I1643" i="11" l="1"/>
  <c r="G1644" i="11"/>
  <c r="H1644" i="11" s="1"/>
  <c r="F1644" i="11"/>
  <c r="I1644" i="11" l="1"/>
  <c r="G1645" i="11"/>
  <c r="H1645" i="11" s="1"/>
  <c r="F1645" i="11"/>
  <c r="I1645" i="11" l="1"/>
  <c r="G1646" i="11"/>
  <c r="H1646" i="11" s="1"/>
  <c r="I1646" i="11" s="1"/>
  <c r="F1646" i="11"/>
  <c r="G1647" i="11" l="1"/>
  <c r="H1647" i="11" s="1"/>
  <c r="F1647" i="11"/>
  <c r="I1647" i="11" l="1"/>
  <c r="G1648" i="11"/>
  <c r="H1648" i="11" s="1"/>
  <c r="F1648" i="11"/>
  <c r="I1648" i="11" l="1"/>
  <c r="G1649" i="11"/>
  <c r="H1649" i="11" s="1"/>
  <c r="I1649" i="11" s="1"/>
  <c r="F1649" i="11"/>
  <c r="G1650" i="11" l="1"/>
  <c r="H1650" i="11" s="1"/>
  <c r="I1650" i="11" s="1"/>
  <c r="F1650" i="11"/>
  <c r="G1651" i="11" l="1"/>
  <c r="H1651" i="11" s="1"/>
  <c r="I1651" i="11" s="1"/>
  <c r="F1651" i="11"/>
  <c r="G1652" i="11" l="1"/>
  <c r="H1652" i="11" s="1"/>
  <c r="F1652" i="11"/>
  <c r="I1652" i="11" l="1"/>
  <c r="G1653" i="11"/>
  <c r="H1653" i="11" s="1"/>
  <c r="F1653" i="11"/>
  <c r="I1653" i="11" l="1"/>
  <c r="G1654" i="11" s="1"/>
  <c r="H1654" i="11" s="1"/>
  <c r="I1654" i="11" s="1"/>
  <c r="F1654" i="11"/>
  <c r="G1655" i="11" l="1"/>
  <c r="H1655" i="11" s="1"/>
  <c r="F1655" i="11"/>
  <c r="I1655" i="11" l="1"/>
  <c r="G1656" i="11"/>
  <c r="H1656" i="11" s="1"/>
  <c r="F1656" i="11"/>
  <c r="I1656" i="11" l="1"/>
  <c r="G1657" i="11"/>
  <c r="H1657" i="11" s="1"/>
  <c r="F1657" i="11"/>
  <c r="I1657" i="11" l="1"/>
  <c r="G1658" i="11"/>
  <c r="H1658" i="11" s="1"/>
  <c r="F1658" i="11"/>
  <c r="I1658" i="11" l="1"/>
  <c r="G1659" i="11"/>
  <c r="F1659" i="11"/>
  <c r="H1659" i="11" s="1"/>
  <c r="I1659" i="11" s="1"/>
  <c r="G1660" i="11" l="1"/>
  <c r="F1660" i="11"/>
  <c r="H1660" i="11" l="1"/>
  <c r="I1660" i="11" s="1"/>
  <c r="G1661" i="11" l="1"/>
  <c r="H1661" i="11" s="1"/>
  <c r="F1661" i="11"/>
  <c r="I1661" i="11" l="1"/>
  <c r="G1662" i="11"/>
  <c r="H1662" i="11" s="1"/>
  <c r="F1662" i="11"/>
  <c r="I1662" i="11" l="1"/>
  <c r="G1663" i="11"/>
  <c r="H1663" i="11" s="1"/>
  <c r="I1663" i="11" s="1"/>
  <c r="F1663" i="11"/>
  <c r="G1664" i="11" l="1"/>
  <c r="H1664" i="11" s="1"/>
  <c r="F1664" i="11"/>
  <c r="I1664" i="11" l="1"/>
  <c r="G1665" i="11"/>
  <c r="H1665" i="11" s="1"/>
  <c r="F1665" i="11"/>
  <c r="I1665" i="11" l="1"/>
  <c r="H1666" i="11"/>
  <c r="I1666" i="11" s="1"/>
  <c r="G1666" i="11"/>
  <c r="F1666" i="11"/>
  <c r="G1667" i="11" l="1"/>
  <c r="H1667" i="11" s="1"/>
  <c r="I1667" i="11" s="1"/>
  <c r="F1667" i="11"/>
  <c r="G1668" i="11" l="1"/>
  <c r="H1668" i="11" s="1"/>
  <c r="I1668" i="11" s="1"/>
  <c r="F1668" i="11"/>
  <c r="G1669" i="11" l="1"/>
  <c r="H1669" i="11" s="1"/>
  <c r="F1669" i="11"/>
  <c r="I1669" i="11" l="1"/>
  <c r="G1670" i="11"/>
  <c r="H1670" i="11" s="1"/>
  <c r="F1670" i="11"/>
  <c r="I1670" i="11" l="1"/>
  <c r="G1671" i="11"/>
  <c r="H1671" i="11" s="1"/>
  <c r="F1671" i="11"/>
  <c r="I1671" i="11" l="1"/>
  <c r="G1672" i="11"/>
  <c r="H1672" i="11" s="1"/>
  <c r="F1672" i="11"/>
  <c r="I1672" i="11" l="1"/>
  <c r="G1673" i="11" s="1"/>
  <c r="H1673" i="11" s="1"/>
  <c r="I1673" i="11" s="1"/>
  <c r="F1673" i="11"/>
  <c r="G1674" i="11" l="1"/>
  <c r="H1674" i="11" s="1"/>
  <c r="I1674" i="11" s="1"/>
  <c r="F1674" i="11"/>
  <c r="G1675" i="11" l="1"/>
  <c r="H1675" i="11" s="1"/>
  <c r="F1675" i="11"/>
  <c r="I1675" i="11" l="1"/>
  <c r="G1676" i="11"/>
  <c r="H1676" i="11" s="1"/>
  <c r="F1676" i="11"/>
  <c r="I1676" i="11" l="1"/>
  <c r="G1677" i="11" s="1"/>
  <c r="F1677" i="11"/>
  <c r="H1677" i="11" l="1"/>
  <c r="I1677" i="11" s="1"/>
  <c r="G1678" i="11"/>
  <c r="H1678" i="11" s="1"/>
  <c r="F1678" i="11"/>
  <c r="I1678" i="11" l="1"/>
  <c r="G1679" i="11"/>
  <c r="H1679" i="11" s="1"/>
  <c r="I1679" i="11" s="1"/>
  <c r="F1679" i="11"/>
  <c r="G1680" i="11" l="1"/>
  <c r="H1680" i="11" s="1"/>
  <c r="I1680" i="11" s="1"/>
  <c r="F1680" i="11"/>
  <c r="G1681" i="11" l="1"/>
  <c r="H1681" i="11" s="1"/>
  <c r="F1681" i="11"/>
  <c r="I1681" i="11" l="1"/>
  <c r="G1682" i="11" s="1"/>
  <c r="H1682" i="11" s="1"/>
  <c r="I1682" i="11" s="1"/>
  <c r="F1682" i="11"/>
  <c r="G1683" i="11" l="1"/>
  <c r="H1683" i="11" s="1"/>
  <c r="I1683" i="11" s="1"/>
  <c r="F1683" i="11"/>
  <c r="G1684" i="11" l="1"/>
  <c r="H1684" i="11" s="1"/>
  <c r="I1684" i="11" s="1"/>
  <c r="F1684" i="11"/>
  <c r="G1685" i="11" l="1"/>
  <c r="H1685" i="11" s="1"/>
  <c r="I1685" i="11" s="1"/>
  <c r="F1685" i="11"/>
  <c r="G1686" i="11" l="1"/>
  <c r="H1686" i="11" s="1"/>
  <c r="F1686" i="11"/>
  <c r="I1686" i="11" l="1"/>
  <c r="G1687" i="11"/>
  <c r="H1687" i="11" s="1"/>
  <c r="I1687" i="11" s="1"/>
  <c r="F1687" i="11"/>
  <c r="G1688" i="11" l="1"/>
  <c r="F1688" i="11"/>
  <c r="H1688" i="11" s="1"/>
  <c r="I1688" i="11" s="1"/>
  <c r="G1689" i="11" l="1"/>
  <c r="F1689" i="11"/>
  <c r="H1689" i="11" s="1"/>
  <c r="I1689" i="11" s="1"/>
  <c r="G1690" i="11" l="1"/>
  <c r="H1690" i="11" s="1"/>
  <c r="F1690" i="11"/>
  <c r="I1690" i="11" l="1"/>
  <c r="G1691" i="11"/>
  <c r="H1691" i="11" s="1"/>
  <c r="F1691" i="11"/>
  <c r="I1691" i="11" l="1"/>
  <c r="G1692" i="11"/>
  <c r="H1692" i="11" s="1"/>
  <c r="I1692" i="11" s="1"/>
  <c r="F1692" i="11"/>
  <c r="G1693" i="11" l="1"/>
  <c r="H1693" i="11" s="1"/>
  <c r="F1693" i="11"/>
  <c r="I1693" i="11" l="1"/>
  <c r="G1694" i="11"/>
  <c r="H1694" i="11" s="1"/>
  <c r="F1694" i="11"/>
  <c r="I1694" i="11" l="1"/>
  <c r="G1695" i="11"/>
  <c r="H1695" i="11" s="1"/>
  <c r="F1695" i="11"/>
  <c r="I1695" i="11" l="1"/>
  <c r="G1696" i="11"/>
  <c r="H1696" i="11" s="1"/>
  <c r="F1696" i="11"/>
  <c r="I1696" i="11" l="1"/>
  <c r="G1697" i="11" s="1"/>
  <c r="H1697" i="11" s="1"/>
  <c r="I1697" i="11" s="1"/>
  <c r="F1697" i="11"/>
  <c r="G1698" i="11" l="1"/>
  <c r="H1698" i="11" s="1"/>
  <c r="I1698" i="11" s="1"/>
  <c r="F1698" i="11"/>
  <c r="G1699" i="11" l="1"/>
  <c r="H1699" i="11" s="1"/>
  <c r="F1699" i="11"/>
  <c r="I1699" i="11" l="1"/>
  <c r="G1700" i="11"/>
  <c r="H1700" i="11" s="1"/>
  <c r="F1700" i="11"/>
  <c r="I1700" i="11" l="1"/>
  <c r="G1701" i="11"/>
  <c r="H1701" i="11" s="1"/>
  <c r="F1701" i="11"/>
  <c r="I1701" i="11" l="1"/>
  <c r="G1702" i="11"/>
  <c r="H1702" i="11" s="1"/>
  <c r="F1702" i="11"/>
  <c r="I1702" i="11" l="1"/>
  <c r="G1703" i="11"/>
  <c r="H1703" i="11" s="1"/>
  <c r="F1703" i="11"/>
  <c r="I1703" i="11" l="1"/>
  <c r="G1704" i="11"/>
  <c r="H1704" i="11" s="1"/>
  <c r="F1704" i="11"/>
  <c r="I1704" i="11" l="1"/>
  <c r="G1705" i="11"/>
  <c r="F1705" i="11"/>
  <c r="H1705" i="11" l="1"/>
  <c r="I1705" i="11" s="1"/>
  <c r="G1706" i="11" l="1"/>
  <c r="H1706" i="11" s="1"/>
  <c r="F1706" i="11"/>
  <c r="I1706" i="11" l="1"/>
  <c r="G1707" i="11"/>
  <c r="H1707" i="11" s="1"/>
  <c r="F1707" i="11"/>
  <c r="I1707" i="11" l="1"/>
  <c r="G1708" i="11"/>
  <c r="H1708" i="11" s="1"/>
  <c r="F1708" i="11"/>
  <c r="I1708" i="11" l="1"/>
  <c r="G1709" i="11"/>
  <c r="H1709" i="11" s="1"/>
  <c r="I1709" i="11" s="1"/>
  <c r="F1709" i="11"/>
  <c r="G1710" i="11" l="1"/>
  <c r="H1710" i="11" s="1"/>
  <c r="F1710" i="11"/>
  <c r="I1710" i="11" l="1"/>
  <c r="G1711" i="11"/>
  <c r="H1711" i="11" s="1"/>
  <c r="F1711" i="11"/>
  <c r="I1711" i="11" l="1"/>
  <c r="G1712" i="11"/>
  <c r="H1712" i="11" s="1"/>
  <c r="I1712" i="11" s="1"/>
  <c r="F1712" i="11"/>
  <c r="G1713" i="11" l="1"/>
  <c r="H1713" i="11" s="1"/>
  <c r="F1713" i="11"/>
  <c r="I1713" i="11" l="1"/>
  <c r="G1714" i="11"/>
  <c r="H1714" i="11" s="1"/>
  <c r="F1714" i="11"/>
  <c r="I1714" i="11" l="1"/>
  <c r="G1715" i="11"/>
  <c r="H1715" i="11" s="1"/>
  <c r="I1715" i="11" s="1"/>
  <c r="F1715" i="11"/>
  <c r="G1716" i="11" l="1"/>
  <c r="H1716" i="11" s="1"/>
  <c r="F1716" i="11"/>
  <c r="I1716" i="11" l="1"/>
  <c r="G1717" i="11" s="1"/>
  <c r="H1717" i="11" s="1"/>
  <c r="I1717" i="11" s="1"/>
  <c r="F1717" i="11"/>
  <c r="G1718" i="11" l="1"/>
  <c r="F1718" i="11"/>
  <c r="H1718" i="11" l="1"/>
  <c r="I1718" i="11" s="1"/>
  <c r="G1719" i="11"/>
  <c r="H1719" i="11" s="1"/>
  <c r="F1719" i="11"/>
  <c r="I1719" i="11" l="1"/>
  <c r="G1720" i="11" s="1"/>
  <c r="H1720" i="11" s="1"/>
  <c r="I1720" i="11" s="1"/>
  <c r="F1720" i="11"/>
  <c r="G1721" i="11" l="1"/>
  <c r="H1721" i="11" s="1"/>
  <c r="F1721" i="11"/>
  <c r="I1721" i="11" l="1"/>
  <c r="G1722" i="11"/>
  <c r="H1722" i="11" s="1"/>
  <c r="F1722" i="11"/>
  <c r="I1722" i="11" l="1"/>
  <c r="G1723" i="11"/>
  <c r="H1723" i="11" s="1"/>
  <c r="I1723" i="11" s="1"/>
  <c r="F1723" i="11"/>
  <c r="G1724" i="11" l="1"/>
  <c r="H1724" i="11" s="1"/>
  <c r="I1724" i="11" s="1"/>
  <c r="F1724" i="11"/>
  <c r="G1725" i="11" l="1"/>
  <c r="H1725" i="11" s="1"/>
  <c r="F1725" i="11"/>
  <c r="I1725" i="11" l="1"/>
  <c r="G1726" i="11" s="1"/>
  <c r="H1726" i="11" s="1"/>
  <c r="I1726" i="11" s="1"/>
  <c r="F1726" i="11"/>
  <c r="G1727" i="11" l="1"/>
  <c r="H1727" i="11" s="1"/>
  <c r="F1727" i="11"/>
  <c r="I1727" i="11" l="1"/>
  <c r="G1728" i="11"/>
  <c r="H1728" i="11" s="1"/>
  <c r="I1728" i="11" s="1"/>
  <c r="F1728" i="11"/>
  <c r="G1729" i="11" l="1"/>
  <c r="H1729" i="11" s="1"/>
  <c r="F1729" i="11"/>
  <c r="I1729" i="11" l="1"/>
  <c r="G1730" i="11"/>
  <c r="H1730" i="11" s="1"/>
  <c r="F1730" i="11"/>
  <c r="I1730" i="11" l="1"/>
  <c r="G1731" i="11"/>
  <c r="H1731" i="11" s="1"/>
  <c r="F1731" i="11"/>
  <c r="I1731" i="11" l="1"/>
  <c r="G1732" i="11"/>
  <c r="H1732" i="11" s="1"/>
  <c r="F1732" i="11"/>
  <c r="I1732" i="11" l="1"/>
  <c r="G1733" i="11" s="1"/>
  <c r="H1733" i="11" s="1"/>
  <c r="I1733" i="11" s="1"/>
  <c r="F1733" i="11"/>
  <c r="G1734" i="11" l="1"/>
  <c r="H1734" i="11" s="1"/>
  <c r="F1734" i="11"/>
  <c r="I1734" i="11" l="1"/>
  <c r="G1735" i="11" s="1"/>
  <c r="H1735" i="11" s="1"/>
  <c r="I1735" i="11" s="1"/>
  <c r="F1735" i="11"/>
  <c r="G1736" i="11" l="1"/>
  <c r="H1736" i="11" s="1"/>
  <c r="F1736" i="11"/>
  <c r="I1736" i="11" l="1"/>
  <c r="G1737" i="11"/>
  <c r="H1737" i="11" s="1"/>
  <c r="I1737" i="11" s="1"/>
  <c r="F1737" i="11"/>
  <c r="G1738" i="11" l="1"/>
  <c r="H1738" i="11" s="1"/>
  <c r="F1738" i="11"/>
  <c r="I1738" i="11" l="1"/>
  <c r="G1739" i="11"/>
  <c r="H1739" i="11" s="1"/>
  <c r="F1739" i="11"/>
  <c r="I1739" i="11" l="1"/>
  <c r="G1740" i="11" s="1"/>
  <c r="H1740" i="11" s="1"/>
  <c r="I1740" i="11" s="1"/>
  <c r="F1740" i="11"/>
  <c r="H1741" i="11" l="1"/>
  <c r="I1741" i="11" s="1"/>
  <c r="G1741" i="11"/>
  <c r="F1741" i="11"/>
  <c r="G1742" i="11" l="1"/>
  <c r="H1742" i="11" s="1"/>
  <c r="F1742" i="11"/>
  <c r="I1742" i="11" l="1"/>
  <c r="G1743" i="11"/>
  <c r="H1743" i="11" s="1"/>
  <c r="I1743" i="11" s="1"/>
  <c r="F1743" i="11"/>
  <c r="G1744" i="11" l="1"/>
  <c r="H1744" i="11" s="1"/>
  <c r="I1744" i="11" s="1"/>
  <c r="F1744" i="11"/>
  <c r="G1745" i="11" l="1"/>
  <c r="H1745" i="11" s="1"/>
  <c r="I1745" i="11" s="1"/>
  <c r="F1745" i="11"/>
  <c r="G1746" i="11" l="1"/>
  <c r="H1746" i="11" s="1"/>
  <c r="I1746" i="11" s="1"/>
  <c r="F1746" i="11"/>
  <c r="G1747" i="11" l="1"/>
  <c r="H1747" i="11" s="1"/>
  <c r="I1747" i="11" s="1"/>
  <c r="F1747" i="11"/>
  <c r="G1748" i="11" l="1"/>
  <c r="H1748" i="11" s="1"/>
  <c r="I1748" i="11" s="1"/>
  <c r="F1748" i="11"/>
  <c r="H1749" i="11" l="1"/>
  <c r="I1749" i="11" s="1"/>
  <c r="G1749" i="11"/>
  <c r="F1749" i="11"/>
  <c r="G1750" i="11" l="1"/>
  <c r="H1750" i="11" s="1"/>
  <c r="I1750" i="11" s="1"/>
  <c r="F1750" i="11"/>
  <c r="G1751" i="11" l="1"/>
  <c r="H1751" i="11" s="1"/>
  <c r="F1751" i="11"/>
  <c r="I1751" i="11" l="1"/>
  <c r="G1752" i="11"/>
  <c r="H1752" i="11" s="1"/>
  <c r="F1752" i="11"/>
  <c r="I1752" i="11" l="1"/>
  <c r="G1753" i="11"/>
  <c r="F1753" i="11"/>
  <c r="H1753" i="11" s="1"/>
  <c r="I1753" i="11" s="1"/>
  <c r="H1754" i="11" l="1"/>
  <c r="G1754" i="11"/>
  <c r="F1754" i="11"/>
  <c r="I1754" i="11" l="1"/>
  <c r="G1755" i="11"/>
  <c r="H1755" i="11" s="1"/>
  <c r="I1755" i="11" s="1"/>
  <c r="F1755" i="11"/>
  <c r="G1756" i="11" l="1"/>
  <c r="H1756" i="11" s="1"/>
  <c r="F1756" i="11"/>
  <c r="I1756" i="11" l="1"/>
  <c r="G1757" i="11"/>
  <c r="H1757" i="11" s="1"/>
  <c r="I1757" i="11" s="1"/>
  <c r="F1757" i="11"/>
  <c r="G1758" i="11" l="1"/>
  <c r="H1758" i="11" s="1"/>
  <c r="I1758" i="11" s="1"/>
  <c r="F1758" i="11"/>
  <c r="G1759" i="11" l="1"/>
  <c r="H1759" i="11" s="1"/>
  <c r="F1759" i="11"/>
  <c r="I1759" i="11" l="1"/>
  <c r="G1760" i="11"/>
  <c r="H1760" i="11" s="1"/>
  <c r="I1760" i="11" s="1"/>
  <c r="F1760" i="11"/>
  <c r="H1761" i="11" l="1"/>
  <c r="I1761" i="11" s="1"/>
  <c r="G1761" i="11"/>
  <c r="F1761" i="11"/>
  <c r="G1762" i="11" l="1"/>
  <c r="H1762" i="11" s="1"/>
  <c r="I1762" i="11" s="1"/>
  <c r="F1762" i="11"/>
  <c r="G1763" i="11" l="1"/>
  <c r="H1763" i="11" s="1"/>
  <c r="F1763" i="11"/>
  <c r="I1763" i="11" l="1"/>
  <c r="G1764" i="11"/>
  <c r="F1764" i="11"/>
  <c r="H1764" i="11" l="1"/>
  <c r="I1764" i="11" s="1"/>
  <c r="G1765" i="11"/>
  <c r="H1765" i="11" s="1"/>
  <c r="F1765" i="11" l="1"/>
  <c r="I1765" i="11" s="1"/>
  <c r="G1766" i="11" s="1"/>
  <c r="H1766" i="11" s="1"/>
  <c r="I1766" i="11" s="1"/>
  <c r="F1766" i="11"/>
  <c r="G1767" i="11" l="1"/>
  <c r="H1767" i="11" s="1"/>
  <c r="I1767" i="11" s="1"/>
  <c r="F1767" i="11"/>
  <c r="G1768" i="11" l="1"/>
  <c r="H1768" i="11" s="1"/>
  <c r="F1768" i="11"/>
  <c r="I1768" i="11" l="1"/>
  <c r="G1769" i="11"/>
  <c r="H1769" i="11" s="1"/>
  <c r="F1769" i="11"/>
  <c r="I1769" i="11" l="1"/>
  <c r="G1770" i="11" s="1"/>
  <c r="H1770" i="11" s="1"/>
  <c r="I1770" i="11" s="1"/>
  <c r="F1770" i="11"/>
  <c r="G1771" i="11" l="1"/>
  <c r="H1771" i="11" s="1"/>
  <c r="F1771" i="11"/>
  <c r="I1771" i="11" l="1"/>
  <c r="G1772" i="11"/>
  <c r="H1772" i="11" s="1"/>
  <c r="F1772" i="11"/>
  <c r="I1772" i="11" l="1"/>
  <c r="G1773" i="11"/>
  <c r="H1773" i="11" s="1"/>
  <c r="F1773" i="11"/>
  <c r="I1773" i="11" l="1"/>
  <c r="G1774" i="11" s="1"/>
  <c r="H1774" i="11" s="1"/>
  <c r="I1774" i="11" s="1"/>
  <c r="F1774" i="11"/>
  <c r="G1775" i="11" l="1"/>
  <c r="H1775" i="11" s="1"/>
  <c r="F1775" i="11"/>
  <c r="I1775" i="11" l="1"/>
  <c r="G1776" i="11"/>
  <c r="H1776" i="11" s="1"/>
  <c r="I1776" i="11" s="1"/>
  <c r="F1776" i="11"/>
  <c r="H1777" i="11" l="1"/>
  <c r="I1777" i="11" s="1"/>
  <c r="G1777" i="11"/>
  <c r="F1777" i="11"/>
  <c r="G1778" i="11" l="1"/>
  <c r="H1778" i="11" s="1"/>
  <c r="F1778" i="11"/>
  <c r="I1778" i="11" l="1"/>
  <c r="G1779" i="11"/>
  <c r="H1779" i="11" s="1"/>
  <c r="F1779" i="11"/>
  <c r="I1779" i="11" l="1"/>
  <c r="G1780" i="11"/>
  <c r="H1780" i="11" s="1"/>
  <c r="F1780" i="11"/>
  <c r="I1780" i="11" l="1"/>
  <c r="G1781" i="11"/>
  <c r="H1781" i="11" s="1"/>
  <c r="F1781" i="11"/>
  <c r="I1781" i="11" l="1"/>
  <c r="G1782" i="11"/>
  <c r="H1782" i="11" s="1"/>
  <c r="F1782" i="11"/>
  <c r="I1782" i="11" l="1"/>
  <c r="G1783" i="11"/>
  <c r="H1783" i="11" s="1"/>
  <c r="F1783" i="11"/>
  <c r="I1783" i="11" l="1"/>
  <c r="G1784" i="11"/>
  <c r="H1784" i="11" s="1"/>
  <c r="I1784" i="11" s="1"/>
  <c r="F1784" i="11"/>
  <c r="G1785" i="11" l="1"/>
  <c r="H1785" i="11" s="1"/>
  <c r="F1785" i="11"/>
  <c r="I1785" i="11" l="1"/>
  <c r="G1786" i="11" s="1"/>
  <c r="H1786" i="11" s="1"/>
  <c r="I1786" i="11" s="1"/>
  <c r="F1786" i="11"/>
  <c r="G1787" i="11" l="1"/>
  <c r="H1787" i="11" s="1"/>
  <c r="F1787" i="11"/>
  <c r="I1787" i="11" l="1"/>
  <c r="G1788" i="11"/>
  <c r="H1788" i="11" s="1"/>
  <c r="F1788" i="11"/>
  <c r="I1788" i="11" l="1"/>
  <c r="G1789" i="11"/>
  <c r="H1789" i="11" s="1"/>
  <c r="F1789" i="11"/>
  <c r="I1789" i="11" l="1"/>
  <c r="G1790" i="11"/>
  <c r="H1790" i="11" s="1"/>
  <c r="F1790" i="11"/>
  <c r="I1790" i="11" l="1"/>
  <c r="G1791" i="11" s="1"/>
  <c r="H1791" i="11" s="1"/>
  <c r="I1791" i="11" s="1"/>
  <c r="F1791" i="11"/>
  <c r="H1792" i="11" l="1"/>
  <c r="I1792" i="11" s="1"/>
  <c r="G1792" i="11"/>
  <c r="F1792" i="11"/>
  <c r="G1793" i="11" l="1"/>
  <c r="H1793" i="11" s="1"/>
  <c r="F1793" i="11"/>
  <c r="I1793" i="11" l="1"/>
  <c r="G1794" i="11" s="1"/>
  <c r="H1794" i="11" s="1"/>
  <c r="I1794" i="11" s="1"/>
  <c r="F1794" i="11"/>
  <c r="G1795" i="11" l="1"/>
  <c r="H1795" i="11" s="1"/>
  <c r="F1795" i="11"/>
  <c r="I1795" i="11" l="1"/>
  <c r="G1796" i="11"/>
  <c r="H1796" i="11" s="1"/>
  <c r="I1796" i="11" s="1"/>
  <c r="F1796" i="11"/>
  <c r="G1797" i="11" l="1"/>
  <c r="H1797" i="11" s="1"/>
  <c r="F1797" i="11"/>
  <c r="I1797" i="11" l="1"/>
  <c r="G1798" i="11"/>
  <c r="H1798" i="11" s="1"/>
  <c r="I1798" i="11" s="1"/>
  <c r="F1798" i="11"/>
  <c r="G1799" i="11" l="1"/>
  <c r="H1799" i="11" s="1"/>
  <c r="F1799" i="11"/>
  <c r="I1799" i="11" l="1"/>
  <c r="G1800" i="11"/>
  <c r="H1800" i="11" s="1"/>
  <c r="I1800" i="11" s="1"/>
  <c r="F1800" i="11"/>
  <c r="G1801" i="11" l="1"/>
  <c r="H1801" i="11" s="1"/>
  <c r="F1801" i="11"/>
  <c r="I1801" i="11" l="1"/>
  <c r="G1802" i="11"/>
  <c r="H1802" i="11" s="1"/>
  <c r="I1802" i="11" s="1"/>
  <c r="F1802" i="11"/>
  <c r="G1803" i="11" l="1"/>
  <c r="H1803" i="11" s="1"/>
  <c r="I1803" i="11" s="1"/>
  <c r="F1803" i="11"/>
  <c r="G1804" i="11" l="1"/>
  <c r="F1804" i="11"/>
  <c r="H1804" i="11" s="1"/>
  <c r="I1804" i="11" s="1"/>
  <c r="G1805" i="11" l="1"/>
  <c r="H1805" i="11" s="1"/>
  <c r="I1805" i="11" s="1"/>
  <c r="F1805" i="11"/>
  <c r="G1806" i="11" l="1"/>
  <c r="H1806" i="11" s="1"/>
  <c r="F1806" i="11"/>
  <c r="I1806" i="11" l="1"/>
  <c r="G1807" i="11" s="1"/>
  <c r="H1807" i="11" s="1"/>
  <c r="I1807" i="11" s="1"/>
  <c r="F1807" i="11"/>
  <c r="G1808" i="11" l="1"/>
  <c r="H1808" i="11" s="1"/>
  <c r="F1808" i="11"/>
  <c r="I1808" i="11" l="1"/>
  <c r="G1809" i="11" s="1"/>
  <c r="H1809" i="11" s="1"/>
  <c r="I1809" i="11" s="1"/>
  <c r="F1809" i="11"/>
  <c r="G1810" i="11" l="1"/>
  <c r="H1810" i="11" s="1"/>
  <c r="F1810" i="11"/>
  <c r="I1810" i="11" l="1"/>
  <c r="G1811" i="11"/>
  <c r="H1811" i="11" s="1"/>
  <c r="I1811" i="11" s="1"/>
  <c r="F1811" i="11"/>
  <c r="G1812" i="11" l="1"/>
  <c r="H1812" i="11" s="1"/>
  <c r="F1812" i="11"/>
  <c r="I1812" i="11" l="1"/>
  <c r="G1813" i="11"/>
  <c r="H1813" i="11" s="1"/>
  <c r="I1813" i="11" s="1"/>
  <c r="F1813" i="11"/>
  <c r="G1814" i="11" l="1"/>
  <c r="H1814" i="11" s="1"/>
  <c r="I1814" i="11" s="1"/>
  <c r="F1814" i="11"/>
  <c r="G1815" i="11" l="1"/>
  <c r="H1815" i="11" s="1"/>
  <c r="F1815" i="11"/>
  <c r="I1815" i="11" l="1"/>
  <c r="G1816" i="11"/>
  <c r="H1816" i="11" s="1"/>
  <c r="F1816" i="11"/>
  <c r="I1816" i="11" l="1"/>
  <c r="G1817" i="11"/>
  <c r="H1817" i="11" s="1"/>
  <c r="I1817" i="11" s="1"/>
  <c r="F1817" i="11"/>
  <c r="G1818" i="11" l="1"/>
  <c r="H1818" i="11" s="1"/>
  <c r="F1818" i="11"/>
  <c r="I1818" i="11" l="1"/>
  <c r="G1819" i="11"/>
  <c r="F1819" i="11"/>
  <c r="H1819" i="11" s="1"/>
  <c r="I1819" i="11" s="1"/>
  <c r="G1820" i="11" l="1"/>
  <c r="F1820" i="11"/>
  <c r="H1820" i="11" l="1"/>
  <c r="I1820" i="11" s="1"/>
  <c r="G1821" i="11"/>
  <c r="H1821" i="11" s="1"/>
  <c r="I1821" i="11" s="1"/>
  <c r="F1821" i="11"/>
  <c r="G1822" i="11" l="1"/>
  <c r="H1822" i="11" s="1"/>
  <c r="I1822" i="11" s="1"/>
  <c r="F1822" i="11"/>
  <c r="G1823" i="11" l="1"/>
  <c r="H1823" i="11" s="1"/>
  <c r="I1823" i="11" s="1"/>
  <c r="F1823" i="11"/>
  <c r="G1824" i="11" l="1"/>
  <c r="H1824" i="11" s="1"/>
  <c r="F1824" i="11"/>
  <c r="I1824" i="11" l="1"/>
  <c r="G1825" i="11"/>
  <c r="H1825" i="11" s="1"/>
  <c r="I1825" i="11" s="1"/>
  <c r="F1825" i="11"/>
  <c r="G1826" i="11" l="1"/>
  <c r="H1826" i="11" s="1"/>
  <c r="F1826" i="11"/>
  <c r="I1826" i="11" l="1"/>
  <c r="G1827" i="11"/>
  <c r="H1827" i="11" s="1"/>
  <c r="F1827" i="11"/>
  <c r="I1827" i="11" l="1"/>
  <c r="G1828" i="11"/>
  <c r="H1828" i="11" s="1"/>
  <c r="F1828" i="11"/>
  <c r="I1828" i="11" l="1"/>
  <c r="H1829" i="11"/>
  <c r="I1829" i="11" s="1"/>
  <c r="G1829" i="11"/>
  <c r="F1829" i="11"/>
  <c r="G1830" i="11" l="1"/>
  <c r="H1830" i="11" s="1"/>
  <c r="I1830" i="11" s="1"/>
  <c r="F1830" i="11"/>
  <c r="G1831" i="11" l="1"/>
  <c r="H1831" i="11" s="1"/>
  <c r="F1831" i="11"/>
  <c r="I1831" i="11" l="1"/>
  <c r="G1832" i="11"/>
  <c r="H1832" i="11" s="1"/>
  <c r="F1832" i="11"/>
  <c r="I1832" i="11" l="1"/>
  <c r="G1833" i="11"/>
  <c r="H1833" i="11" s="1"/>
  <c r="F1833" i="11"/>
  <c r="I1833" i="11" l="1"/>
  <c r="G1834" i="11"/>
  <c r="H1834" i="11" s="1"/>
  <c r="F1834" i="11"/>
  <c r="I1834" i="11" l="1"/>
  <c r="G1835" i="11"/>
  <c r="H1835" i="11" s="1"/>
  <c r="F1835" i="11"/>
  <c r="I1835" i="11" l="1"/>
  <c r="G1836" i="11"/>
  <c r="H1836" i="11" s="1"/>
  <c r="F1836" i="11"/>
  <c r="I1836" i="11" l="1"/>
  <c r="G1837" i="11"/>
  <c r="H1837" i="11" s="1"/>
  <c r="I1837" i="11" s="1"/>
  <c r="F1837" i="11"/>
  <c r="G1838" i="11" l="1"/>
  <c r="H1838" i="11" s="1"/>
  <c r="F1838" i="11"/>
  <c r="I1838" i="11" l="1"/>
  <c r="G1839" i="11"/>
  <c r="H1839" i="11" s="1"/>
  <c r="I1839" i="11" s="1"/>
  <c r="F1839" i="11"/>
  <c r="G1840" i="11" l="1"/>
  <c r="F1840" i="11"/>
  <c r="H1840" i="11" l="1"/>
  <c r="I1840" i="11" l="1"/>
  <c r="G1841" i="11" s="1"/>
  <c r="H1841" i="11" s="1"/>
  <c r="F1841" i="11"/>
  <c r="I1841" i="11" l="1"/>
  <c r="F1842" i="11"/>
  <c r="G1842" i="11"/>
  <c r="H1842" i="11" s="1"/>
  <c r="I1842" i="11" s="1"/>
  <c r="G1843" i="11"/>
  <c r="H1843" i="11" s="1"/>
  <c r="F1843" i="11"/>
  <c r="I1843" i="11" l="1"/>
  <c r="G1844" i="11"/>
  <c r="H1844" i="11" s="1"/>
  <c r="F1844" i="11"/>
  <c r="I1844" i="11" l="1"/>
  <c r="G1845" i="11" s="1"/>
  <c r="H1845" i="11" s="1"/>
  <c r="I1845" i="11" s="1"/>
  <c r="F1845" i="11"/>
  <c r="G1846" i="11" l="1"/>
  <c r="H1846" i="11" s="1"/>
  <c r="F1846" i="11"/>
  <c r="I1846" i="11" l="1"/>
  <c r="G1847" i="11"/>
  <c r="H1847" i="11" s="1"/>
  <c r="I1847" i="11" s="1"/>
  <c r="F1847" i="11"/>
  <c r="G1848" i="11" l="1"/>
  <c r="H1848" i="11" s="1"/>
  <c r="F1848" i="11"/>
  <c r="I1848" i="11" l="1"/>
  <c r="G1849" i="11" s="1"/>
  <c r="H1849" i="11" s="1"/>
  <c r="I1849" i="11" s="1"/>
  <c r="F1849" i="11"/>
  <c r="G1850" i="11" l="1"/>
  <c r="H1850" i="11" s="1"/>
  <c r="F1850" i="11"/>
  <c r="I1850" i="11" l="1"/>
  <c r="G1851" i="11"/>
  <c r="H1851" i="11" s="1"/>
  <c r="F1851" i="11"/>
  <c r="I1851" i="11" l="1"/>
  <c r="G1852" i="11" s="1"/>
  <c r="H1852" i="11" s="1"/>
  <c r="I1852" i="11" s="1"/>
  <c r="F1852" i="11"/>
  <c r="G1853" i="11" l="1"/>
  <c r="H1853" i="11" s="1"/>
  <c r="F1853" i="11"/>
  <c r="I1853" i="11" l="1"/>
  <c r="G1854" i="11"/>
  <c r="H1854" i="11" s="1"/>
  <c r="I1854" i="11" s="1"/>
  <c r="F1854" i="11"/>
  <c r="G1855" i="11" l="1"/>
  <c r="H1855" i="11" s="1"/>
  <c r="F1855" i="11"/>
  <c r="I1855" i="11" l="1"/>
  <c r="G1856" i="11" s="1"/>
  <c r="H1856" i="11" s="1"/>
  <c r="I1856" i="11" s="1"/>
  <c r="F1856" i="11"/>
  <c r="G1857" i="11" l="1"/>
  <c r="H1857" i="11" s="1"/>
  <c r="F1857" i="11"/>
  <c r="I1857" i="11" l="1"/>
  <c r="G1858" i="11"/>
  <c r="H1858" i="11" s="1"/>
  <c r="F1858" i="11"/>
  <c r="I1858" i="11" l="1"/>
  <c r="G1859" i="11" s="1"/>
  <c r="H1859" i="11" s="1"/>
  <c r="I1859" i="11" s="1"/>
  <c r="F1859" i="11"/>
  <c r="G1860" i="11" l="1"/>
  <c r="H1860" i="11" s="1"/>
  <c r="F1860" i="11"/>
  <c r="I1860" i="11" l="1"/>
  <c r="G1861" i="11"/>
  <c r="F1861" i="11"/>
  <c r="H1861" i="11" s="1"/>
  <c r="I1861" i="11" s="1"/>
  <c r="G1862" i="11" l="1"/>
  <c r="H1862" i="11" s="1"/>
  <c r="F1862" i="11"/>
  <c r="I1862" i="11" l="1"/>
  <c r="G1863" i="11" s="1"/>
  <c r="H1863" i="11" s="1"/>
  <c r="I1863" i="11" s="1"/>
  <c r="F1863" i="11"/>
  <c r="G1864" i="11" l="1"/>
  <c r="H1864" i="11" s="1"/>
  <c r="I1864" i="11" s="1"/>
  <c r="F1864" i="11"/>
  <c r="G1865" i="11" l="1"/>
  <c r="H1865" i="11" s="1"/>
  <c r="F1865" i="11"/>
  <c r="I1865" i="11" l="1"/>
  <c r="G1866" i="11"/>
  <c r="H1866" i="11" s="1"/>
  <c r="F1866" i="11"/>
  <c r="I1866" i="11" l="1"/>
  <c r="G1867" i="11"/>
  <c r="H1867" i="11" s="1"/>
  <c r="F1867" i="11"/>
  <c r="I1867" i="11" l="1"/>
  <c r="G1868" i="11"/>
  <c r="H1868" i="11" s="1"/>
  <c r="I1868" i="11" s="1"/>
  <c r="F1868" i="11"/>
  <c r="G1869" i="11" l="1"/>
  <c r="H1869" i="11" s="1"/>
  <c r="I1869" i="11" s="1"/>
  <c r="F1869" i="11"/>
  <c r="G1870" i="11" l="1"/>
  <c r="H1870" i="11" s="1"/>
  <c r="F1870" i="11"/>
  <c r="I1870" i="11" l="1"/>
  <c r="G1871" i="11"/>
  <c r="H1871" i="11" s="1"/>
  <c r="F1871" i="11"/>
  <c r="I1871" i="11" l="1"/>
  <c r="G1872" i="11"/>
  <c r="H1872" i="11" s="1"/>
  <c r="I1872" i="11" s="1"/>
  <c r="F1872" i="11"/>
  <c r="G1873" i="11" l="1"/>
  <c r="H1873" i="11" s="1"/>
  <c r="F1873" i="11"/>
  <c r="I1873" i="11" l="1"/>
  <c r="G1874" i="11"/>
  <c r="H1874" i="11" s="1"/>
  <c r="F1874" i="11"/>
  <c r="I1874" i="11" l="1"/>
  <c r="G1875" i="11" s="1"/>
  <c r="H1875" i="11" s="1"/>
  <c r="I1875" i="11" s="1"/>
  <c r="F1875" i="11"/>
  <c r="G1876" i="11" l="1"/>
  <c r="H1876" i="11" s="1"/>
  <c r="F1876" i="11"/>
  <c r="I1876" i="11" l="1"/>
  <c r="G1877" i="11" s="1"/>
  <c r="H1877" i="11" s="1"/>
  <c r="I1877" i="11" s="1"/>
  <c r="F1877" i="11"/>
  <c r="G1878" i="11" l="1"/>
  <c r="H1878" i="11" s="1"/>
  <c r="F1878" i="11"/>
  <c r="I1878" i="11" l="1"/>
  <c r="G1879" i="11" s="1"/>
  <c r="H1879" i="11" s="1"/>
  <c r="I1879" i="11" s="1"/>
  <c r="F1879" i="11"/>
  <c r="H1880" i="11" l="1"/>
  <c r="G1880" i="11"/>
  <c r="F1880" i="11"/>
  <c r="I1880" i="11" l="1"/>
  <c r="G1881" i="11"/>
  <c r="H1881" i="11" s="1"/>
  <c r="F1881" i="11"/>
  <c r="I1881" i="11" l="1"/>
  <c r="G1882" i="11"/>
  <c r="H1882" i="11" s="1"/>
  <c r="F1882" i="11"/>
  <c r="I1882" i="11" l="1"/>
  <c r="G1883" i="11" s="1"/>
  <c r="H1883" i="11" s="1"/>
  <c r="I1883" i="11" s="1"/>
  <c r="F1883" i="11"/>
  <c r="G1884" i="11" l="1"/>
  <c r="H1884" i="11" s="1"/>
  <c r="F1884" i="11"/>
  <c r="I1884" i="11" l="1"/>
  <c r="G1885" i="11"/>
  <c r="H1885" i="11" s="1"/>
  <c r="I1885" i="11" s="1"/>
  <c r="F1885" i="11"/>
  <c r="G1886" i="11" l="1"/>
  <c r="H1886" i="11" s="1"/>
  <c r="I1886" i="11" s="1"/>
  <c r="F1886" i="11"/>
  <c r="G1887" i="11" l="1"/>
  <c r="H1887" i="11" s="1"/>
  <c r="F1887" i="11"/>
  <c r="I1887" i="11" l="1"/>
  <c r="G1888" i="11"/>
  <c r="H1888" i="11" s="1"/>
  <c r="F1888" i="11"/>
  <c r="I1888" i="11" l="1"/>
  <c r="G1889" i="11"/>
  <c r="H1889" i="11" s="1"/>
  <c r="F1889" i="11"/>
  <c r="I1889" i="11" l="1"/>
  <c r="G1890" i="11"/>
  <c r="H1890" i="11" s="1"/>
  <c r="F1890" i="11"/>
  <c r="I1890" i="11" l="1"/>
  <c r="G1891" i="11"/>
  <c r="H1891" i="11" s="1"/>
  <c r="I1891" i="11" s="1"/>
  <c r="F1891" i="11"/>
  <c r="G1892" i="11" l="1"/>
  <c r="H1892" i="11" s="1"/>
  <c r="I1892" i="11" s="1"/>
  <c r="F1892" i="11"/>
  <c r="G1893" i="11" l="1"/>
  <c r="H1893" i="11" s="1"/>
  <c r="F1893" i="11"/>
  <c r="I1893" i="11" l="1"/>
  <c r="G1894" i="11"/>
  <c r="H1894" i="11" s="1"/>
  <c r="F1894" i="11"/>
  <c r="I1894" i="11" l="1"/>
  <c r="G1895" i="11"/>
  <c r="H1895" i="11" s="1"/>
  <c r="I1895" i="11" s="1"/>
  <c r="F1895" i="11"/>
  <c r="G1896" i="11" l="1"/>
  <c r="H1896" i="11" s="1"/>
  <c r="F1896" i="11"/>
  <c r="I1896" i="11" l="1"/>
  <c r="G1897" i="11"/>
  <c r="H1897" i="11" s="1"/>
  <c r="F1897" i="11"/>
  <c r="I1897" i="11" l="1"/>
  <c r="G1898" i="11" s="1"/>
  <c r="H1898" i="11" s="1"/>
  <c r="I1898" i="11" s="1"/>
  <c r="F1898" i="11"/>
  <c r="G1899" i="11" l="1"/>
  <c r="F1899" i="11"/>
  <c r="H1899" i="11" l="1"/>
  <c r="I1899" i="11" s="1"/>
  <c r="G1900" i="11"/>
  <c r="H1900" i="11" s="1"/>
  <c r="I1900" i="11" s="1"/>
  <c r="F1900" i="11"/>
  <c r="G1901" i="11" l="1"/>
  <c r="H1901" i="11" s="1"/>
  <c r="F1901" i="11"/>
  <c r="I1901" i="11" l="1"/>
  <c r="G1902" i="11"/>
  <c r="H1902" i="11" s="1"/>
  <c r="F1902" i="11"/>
  <c r="I1902" i="11" l="1"/>
  <c r="G1903" i="11"/>
  <c r="H1903" i="11" s="1"/>
  <c r="F1903" i="11"/>
  <c r="I1903" i="11" l="1"/>
  <c r="G1904" i="11"/>
  <c r="H1904" i="11" s="1"/>
  <c r="I1904" i="11" s="1"/>
  <c r="F1904" i="11"/>
  <c r="G1905" i="11" l="1"/>
  <c r="H1905" i="11" s="1"/>
  <c r="F1905" i="11"/>
  <c r="I1905" i="11" l="1"/>
  <c r="G1906" i="11" s="1"/>
  <c r="H1906" i="11" s="1"/>
  <c r="I1906" i="11" s="1"/>
  <c r="F1906" i="11"/>
  <c r="G1907" i="11" l="1"/>
  <c r="H1907" i="11" s="1"/>
  <c r="F1907" i="11"/>
  <c r="I1907" i="11" l="1"/>
  <c r="G1908" i="11"/>
  <c r="H1908" i="11" s="1"/>
  <c r="I1908" i="11" s="1"/>
  <c r="F1908" i="11"/>
  <c r="G1909" i="11" l="1"/>
  <c r="H1909" i="11" s="1"/>
  <c r="F1909" i="11"/>
  <c r="I1909" i="11" l="1"/>
  <c r="G1910" i="11"/>
  <c r="H1910" i="11" s="1"/>
  <c r="F1910" i="11"/>
  <c r="I1910" i="11" l="1"/>
  <c r="G1911" i="11"/>
  <c r="H1911" i="11" s="1"/>
  <c r="I1911" i="11" s="1"/>
  <c r="F1911" i="11"/>
  <c r="G1912" i="11" l="1"/>
  <c r="H1912" i="11" s="1"/>
  <c r="F1912" i="11"/>
  <c r="I1912" i="11" l="1"/>
  <c r="G1913" i="11"/>
  <c r="H1913" i="11" s="1"/>
  <c r="F1913" i="11"/>
  <c r="I1913" i="11" l="1"/>
  <c r="G1914" i="11"/>
  <c r="H1914" i="11" s="1"/>
  <c r="F1914" i="11"/>
  <c r="I1914" i="11" l="1"/>
  <c r="G1915" i="11"/>
  <c r="H1915" i="11" s="1"/>
  <c r="F1915" i="11"/>
  <c r="I1915" i="11" l="1"/>
  <c r="G1916" i="11"/>
  <c r="H1916" i="11" s="1"/>
  <c r="I1916" i="11" s="1"/>
  <c r="F1916" i="11"/>
  <c r="G1917" i="11" l="1"/>
  <c r="H1917" i="11" s="1"/>
  <c r="F1917" i="11"/>
  <c r="I1917" i="11" l="1"/>
  <c r="G1918" i="11"/>
  <c r="H1918" i="11" s="1"/>
  <c r="F1918" i="11"/>
  <c r="I1918" i="11" l="1"/>
  <c r="G1919" i="11" s="1"/>
  <c r="H1919" i="11" s="1"/>
  <c r="I1919" i="11" s="1"/>
  <c r="F1919" i="11"/>
  <c r="G1920" i="11" l="1"/>
  <c r="H1920" i="11" s="1"/>
  <c r="I1920" i="11" s="1"/>
  <c r="F1920" i="11"/>
  <c r="G1921" i="11" l="1"/>
  <c r="H1921" i="11" s="1"/>
  <c r="F1921" i="11"/>
  <c r="I1921" i="11" l="1"/>
  <c r="G1922" i="11"/>
  <c r="H1922" i="11" s="1"/>
  <c r="F1922" i="11"/>
  <c r="I1922" i="11" l="1"/>
  <c r="G1923" i="11" s="1"/>
  <c r="H1923" i="11" s="1"/>
  <c r="I1923" i="11" s="1"/>
  <c r="F1923" i="11"/>
  <c r="G1924" i="11" l="1"/>
  <c r="H1924" i="11" s="1"/>
  <c r="F1924" i="11"/>
  <c r="I1924" i="11" l="1"/>
  <c r="G1925" i="11" s="1"/>
  <c r="H1925" i="11" s="1"/>
  <c r="I1925" i="11" s="1"/>
  <c r="F1925" i="11"/>
  <c r="G1926" i="11" l="1"/>
  <c r="H1926" i="11" s="1"/>
  <c r="F1926" i="11"/>
  <c r="I1926" i="11" l="1"/>
  <c r="G1927" i="11"/>
  <c r="H1927" i="11" s="1"/>
  <c r="I1927" i="11" s="1"/>
  <c r="F1927" i="11"/>
  <c r="G1928" i="11" l="1"/>
  <c r="H1928" i="11" s="1"/>
  <c r="I1928" i="11" s="1"/>
  <c r="F1928" i="11"/>
  <c r="G1929" i="11" l="1"/>
  <c r="H1929" i="11" s="1"/>
  <c r="F1929" i="11"/>
  <c r="I1929" i="11" l="1"/>
  <c r="G1930" i="11"/>
  <c r="H1930" i="11" s="1"/>
  <c r="F1930" i="11"/>
  <c r="I1930" i="11" l="1"/>
  <c r="G1931" i="11"/>
  <c r="H1931" i="11" s="1"/>
  <c r="F1931" i="11"/>
  <c r="I1931" i="11" l="1"/>
  <c r="G1932" i="11"/>
  <c r="H1932" i="11" s="1"/>
  <c r="F1932" i="11"/>
  <c r="I1932" i="11" l="1"/>
  <c r="G1933" i="11" s="1"/>
  <c r="H1933" i="11" s="1"/>
  <c r="I1933" i="11" s="1"/>
  <c r="F1933" i="11"/>
  <c r="G1934" i="11" l="1"/>
  <c r="H1934" i="11" s="1"/>
  <c r="I1934" i="11" s="1"/>
  <c r="F1934" i="11"/>
  <c r="G1935" i="11" l="1"/>
  <c r="H1935" i="11" s="1"/>
  <c r="F1935" i="11"/>
  <c r="I1935" i="11" l="1"/>
  <c r="G1936" i="11"/>
  <c r="F1936" i="11"/>
  <c r="H1936" i="11" s="1"/>
  <c r="I1936" i="11" s="1"/>
  <c r="G1937" i="11" l="1"/>
  <c r="F1937" i="11"/>
  <c r="H1937" i="11" s="1"/>
  <c r="I1937" i="11" s="1"/>
  <c r="G1938" i="11" l="1"/>
  <c r="H1938" i="11" s="1"/>
  <c r="I1938" i="11" s="1"/>
  <c r="F1938" i="11"/>
  <c r="G1939" i="11" l="1"/>
  <c r="H1939" i="11" s="1"/>
  <c r="F1939" i="11"/>
  <c r="I1939" i="11" l="1"/>
  <c r="G1940" i="11"/>
  <c r="H1940" i="11" s="1"/>
  <c r="F1940" i="11"/>
  <c r="I1940" i="11" l="1"/>
  <c r="G1941" i="11"/>
  <c r="H1941" i="11" s="1"/>
  <c r="I1941" i="11" s="1"/>
  <c r="F1941" i="11"/>
  <c r="G1942" i="11" l="1"/>
  <c r="H1942" i="11" s="1"/>
  <c r="F1942" i="11"/>
  <c r="I1942" i="11" l="1"/>
  <c r="G1943" i="11"/>
  <c r="H1943" i="11" s="1"/>
  <c r="F1943" i="11"/>
  <c r="I1943" i="11" l="1"/>
  <c r="G1944" i="11"/>
  <c r="H1944" i="11" s="1"/>
  <c r="F1944" i="11"/>
  <c r="I1944" i="11" l="1"/>
  <c r="G1945" i="11"/>
  <c r="H1945" i="11" s="1"/>
  <c r="F1945" i="11"/>
  <c r="I1945" i="11" l="1"/>
  <c r="G1946" i="11"/>
  <c r="H1946" i="11" s="1"/>
  <c r="F1946" i="11"/>
  <c r="I1946" i="11" l="1"/>
  <c r="G1947" i="11"/>
  <c r="H1947" i="11" s="1"/>
  <c r="F1947" i="11"/>
  <c r="I1947" i="11" l="1"/>
  <c r="G1948" i="11" s="1"/>
  <c r="H1948" i="11" s="1"/>
  <c r="I1948" i="11" s="1"/>
  <c r="F1948" i="11"/>
  <c r="G1949" i="11" l="1"/>
  <c r="H1949" i="11" s="1"/>
  <c r="I1949" i="11" s="1"/>
  <c r="F1949" i="11"/>
  <c r="G1950" i="11" l="1"/>
  <c r="H1950" i="11" s="1"/>
  <c r="F1950" i="11"/>
  <c r="I1950" i="11" l="1"/>
  <c r="G1951" i="11" s="1"/>
  <c r="H1951" i="11" s="1"/>
  <c r="I1951" i="11" s="1"/>
  <c r="F1951" i="11"/>
  <c r="G1952" i="11" l="1"/>
  <c r="H1952" i="11" s="1"/>
  <c r="F1952" i="11"/>
  <c r="I1952" i="11" l="1"/>
  <c r="G1953" i="11"/>
  <c r="H1953" i="11" s="1"/>
  <c r="F1953" i="11"/>
  <c r="I1953" i="11" l="1"/>
  <c r="G1954" i="11" s="1"/>
  <c r="H1954" i="11" s="1"/>
  <c r="I1954" i="11" s="1"/>
  <c r="F1954" i="11"/>
  <c r="G1955" i="11" l="1"/>
  <c r="H1955" i="11" s="1"/>
  <c r="I1955" i="11" s="1"/>
  <c r="F1955" i="11"/>
  <c r="G1956" i="11" l="1"/>
  <c r="F1956" i="11"/>
  <c r="H1956" i="11" s="1"/>
  <c r="I1956" i="11" s="1"/>
  <c r="G1957" i="11" l="1"/>
  <c r="H1957" i="11" s="1"/>
  <c r="I1957" i="11" s="1"/>
  <c r="F1957" i="11"/>
  <c r="G1958" i="11" l="1"/>
  <c r="H1958" i="11" s="1"/>
  <c r="I1958" i="11" s="1"/>
  <c r="F1958" i="11"/>
  <c r="G1959" i="11" l="1"/>
  <c r="H1959" i="11" s="1"/>
  <c r="F1959" i="11"/>
  <c r="I1959" i="11" l="1"/>
  <c r="G1960" i="11"/>
  <c r="H1960" i="11" s="1"/>
  <c r="I1960" i="11" s="1"/>
  <c r="F1960" i="11"/>
  <c r="G1961" i="11" l="1"/>
  <c r="H1961" i="11" s="1"/>
  <c r="F1961" i="11"/>
  <c r="I1961" i="11" l="1"/>
  <c r="G1962" i="11"/>
  <c r="H1962" i="11" s="1"/>
  <c r="F1962" i="11"/>
  <c r="I1962" i="11" l="1"/>
  <c r="G1963" i="11" s="1"/>
  <c r="H1963" i="11" s="1"/>
  <c r="I1963" i="11" s="1"/>
  <c r="F1963" i="11"/>
  <c r="G1964" i="11" l="1"/>
  <c r="H1964" i="11" s="1"/>
  <c r="F1964" i="11"/>
  <c r="I1964" i="11" l="1"/>
  <c r="G1965" i="11" s="1"/>
  <c r="H1965" i="11" s="1"/>
  <c r="I1965" i="11" s="1"/>
  <c r="F1965" i="11"/>
  <c r="G1966" i="11" l="1"/>
  <c r="H1966" i="11" s="1"/>
  <c r="I1966" i="11" s="1"/>
  <c r="F1966" i="11"/>
  <c r="G1967" i="11" l="1"/>
  <c r="H1967" i="11" s="1"/>
  <c r="I1967" i="11" s="1"/>
  <c r="F1967" i="11"/>
  <c r="G1968" i="11" l="1"/>
  <c r="H1968" i="11" s="1"/>
  <c r="F1968" i="11"/>
  <c r="I1968" i="11" l="1"/>
  <c r="G1969" i="11"/>
  <c r="H1969" i="11" s="1"/>
  <c r="I1969" i="11" s="1"/>
  <c r="F1969" i="11"/>
  <c r="G1970" i="11" l="1"/>
  <c r="H1970" i="11" s="1"/>
  <c r="F1970" i="11"/>
  <c r="I1970" i="11" l="1"/>
  <c r="G1971" i="11" s="1"/>
  <c r="H1971" i="11" s="1"/>
  <c r="I1971" i="11" s="1"/>
  <c r="F1971" i="11"/>
  <c r="G1972" i="11" l="1"/>
  <c r="H1972" i="11" s="1"/>
  <c r="I1972" i="11" s="1"/>
  <c r="F1972" i="11"/>
  <c r="G1973" i="11" l="1"/>
  <c r="F1973" i="11"/>
  <c r="H1973" i="11" l="1"/>
  <c r="I1973" i="11" s="1"/>
  <c r="G1974" i="11"/>
  <c r="H1974" i="11" s="1"/>
  <c r="F1974" i="11" l="1"/>
  <c r="I1974" i="11" s="1"/>
  <c r="G1975" i="11" s="1"/>
  <c r="H1975" i="11" s="1"/>
  <c r="I1975" i="11" s="1"/>
  <c r="F1975" i="11"/>
  <c r="G1976" i="11" l="1"/>
  <c r="H1976" i="11" s="1"/>
  <c r="F1976" i="11"/>
  <c r="I1976" i="11" l="1"/>
  <c r="G1977" i="11"/>
  <c r="H1977" i="11" s="1"/>
  <c r="I1977" i="11" s="1"/>
  <c r="F1977" i="11"/>
  <c r="G1978" i="11" l="1"/>
  <c r="H1978" i="11" s="1"/>
  <c r="F1978" i="11"/>
  <c r="I1978" i="11" l="1"/>
  <c r="G1979" i="11"/>
  <c r="H1979" i="11" s="1"/>
  <c r="F1979" i="11"/>
  <c r="I1979" i="11" l="1"/>
  <c r="G1980" i="11"/>
  <c r="H1980" i="11" s="1"/>
  <c r="F1980" i="11"/>
  <c r="I1980" i="11" l="1"/>
  <c r="G1981" i="11"/>
  <c r="H1981" i="11" s="1"/>
  <c r="F1981" i="11"/>
  <c r="I1981" i="11" l="1"/>
  <c r="G1982" i="11"/>
  <c r="H1982" i="11" s="1"/>
  <c r="F1982" i="11"/>
  <c r="I1982" i="11" l="1"/>
  <c r="G1983" i="11"/>
  <c r="H1983" i="11" s="1"/>
  <c r="I1983" i="11" s="1"/>
  <c r="F1983" i="11"/>
  <c r="G1984" i="11" l="1"/>
  <c r="H1984" i="11" s="1"/>
  <c r="F1984" i="11"/>
  <c r="I1984" i="11" l="1"/>
  <c r="G1985" i="11"/>
  <c r="H1985" i="11" s="1"/>
  <c r="F1985" i="11"/>
  <c r="I1985" i="11" l="1"/>
  <c r="G1986" i="11"/>
  <c r="H1986" i="11" s="1"/>
  <c r="F1986" i="11"/>
  <c r="I1986" i="11" l="1"/>
  <c r="G1987" i="11"/>
  <c r="H1987" i="11" s="1"/>
  <c r="F1987" i="11"/>
  <c r="I1987" i="11" l="1"/>
  <c r="G1988" i="11" s="1"/>
  <c r="H1988" i="11" s="1"/>
  <c r="I1988" i="11" s="1"/>
  <c r="F1988" i="11"/>
  <c r="G1989" i="11" l="1"/>
  <c r="H1989" i="11" s="1"/>
  <c r="I1989" i="11" s="1"/>
  <c r="F1989" i="11"/>
  <c r="G1990" i="11" l="1"/>
  <c r="H1990" i="11" s="1"/>
  <c r="F1990" i="11"/>
  <c r="I1990" i="11" l="1"/>
  <c r="G1991" i="11"/>
  <c r="H1991" i="11" s="1"/>
  <c r="F1991" i="11"/>
  <c r="I1991" i="11" l="1"/>
  <c r="G1992" i="11" s="1"/>
  <c r="H1992" i="11" s="1"/>
  <c r="I1992" i="11" s="1"/>
  <c r="F1992" i="11"/>
  <c r="G1993" i="11" l="1"/>
  <c r="H1993" i="11" s="1"/>
  <c r="F1993" i="11"/>
  <c r="I1993" i="11" l="1"/>
  <c r="G1994" i="11"/>
  <c r="H1994" i="11" s="1"/>
  <c r="I1994" i="11" s="1"/>
  <c r="F1994" i="11"/>
  <c r="G1995" i="11" l="1"/>
  <c r="H1995" i="11" s="1"/>
  <c r="F1995" i="11"/>
  <c r="I1995" i="11" l="1"/>
  <c r="G1996" i="11"/>
  <c r="H1996" i="11" s="1"/>
  <c r="I1996" i="11" s="1"/>
  <c r="F1996" i="11"/>
  <c r="G1997" i="11" l="1"/>
  <c r="H1997" i="11" s="1"/>
  <c r="F1997" i="11"/>
  <c r="I1997" i="11" l="1"/>
  <c r="G1998" i="11"/>
  <c r="H1998" i="11" s="1"/>
  <c r="F1998" i="11"/>
  <c r="I1998" i="11" l="1"/>
  <c r="G1999" i="11"/>
  <c r="F1999" i="11"/>
  <c r="H1999" i="11" l="1"/>
  <c r="I1999" i="11" s="1"/>
  <c r="G2000" i="11" s="1"/>
  <c r="F2000" i="11" l="1"/>
  <c r="H2000" i="11" s="1"/>
  <c r="I2000" i="11" s="1"/>
  <c r="G2001" i="11"/>
  <c r="H2001" i="11" s="1"/>
  <c r="I2001" i="11" s="1"/>
  <c r="F2001" i="11"/>
  <c r="G2002" i="11" l="1"/>
  <c r="H2002" i="11" s="1"/>
  <c r="F2002" i="11"/>
  <c r="I2002" i="11" l="1"/>
  <c r="G2003" i="11"/>
  <c r="H2003" i="11" s="1"/>
  <c r="F2003" i="11"/>
  <c r="I2003" i="11" l="1"/>
  <c r="G2004" i="11"/>
  <c r="H2004" i="11" s="1"/>
  <c r="F2004" i="11"/>
  <c r="I2004" i="11" l="1"/>
  <c r="G2005" i="11"/>
  <c r="H2005" i="11" s="1"/>
  <c r="F2005" i="11"/>
  <c r="I2005" i="11" l="1"/>
  <c r="G2006" i="11"/>
  <c r="H2006" i="11" s="1"/>
  <c r="F2006" i="11"/>
  <c r="I2006" i="11" l="1"/>
  <c r="G2007" i="11"/>
  <c r="H2007" i="11" s="1"/>
  <c r="F2007" i="11"/>
  <c r="I2007" i="11" l="1"/>
  <c r="G2008" i="11"/>
  <c r="H2008" i="11" s="1"/>
  <c r="F2008" i="11"/>
  <c r="I2008" i="11" l="1"/>
  <c r="G2009" i="11"/>
  <c r="H2009" i="11" s="1"/>
  <c r="F2009" i="11"/>
  <c r="I2009" i="11" l="1"/>
  <c r="G2010" i="11"/>
  <c r="H2010" i="11" s="1"/>
  <c r="F2010" i="11"/>
  <c r="I2010" i="11" l="1"/>
  <c r="G2011" i="11"/>
  <c r="H2011" i="11" s="1"/>
  <c r="F2011" i="11"/>
  <c r="I2011" i="11" l="1"/>
  <c r="G2012" i="11"/>
  <c r="H2012" i="11" s="1"/>
  <c r="I2012" i="11" s="1"/>
  <c r="F2012" i="11"/>
  <c r="G2013" i="11" l="1"/>
  <c r="H2013" i="11" s="1"/>
  <c r="F2013" i="11"/>
  <c r="I2013" i="11" l="1"/>
  <c r="G2014" i="11" s="1"/>
  <c r="H2014" i="11" s="1"/>
  <c r="I2014" i="11" s="1"/>
  <c r="F2014" i="11"/>
  <c r="G2015" i="11" l="1"/>
  <c r="H2015" i="11" s="1"/>
  <c r="F2015" i="11"/>
  <c r="I2015" i="11" l="1"/>
  <c r="G2016" i="11" s="1"/>
  <c r="H2016" i="11" s="1"/>
  <c r="I2016" i="11" s="1"/>
  <c r="F2016" i="11"/>
  <c r="G2017" i="11" l="1"/>
  <c r="H2017" i="11" s="1"/>
  <c r="F2017" i="11"/>
  <c r="I2017" i="11" l="1"/>
  <c r="G2018" i="11" s="1"/>
  <c r="H2018" i="11" s="1"/>
  <c r="I2018" i="11" s="1"/>
  <c r="F2018" i="11"/>
  <c r="G2019" i="11" l="1"/>
  <c r="H2019" i="11" s="1"/>
  <c r="F2019" i="11"/>
  <c r="I2019" i="11" l="1"/>
  <c r="G2020" i="11"/>
  <c r="H2020" i="11" s="1"/>
  <c r="F2020" i="11"/>
  <c r="I2020" i="11" l="1"/>
  <c r="G2021" i="11"/>
  <c r="H2021" i="11" s="1"/>
  <c r="I2021" i="11" s="1"/>
  <c r="F2021" i="11"/>
  <c r="G2022" i="11" l="1"/>
  <c r="H2022" i="11" s="1"/>
  <c r="F2022" i="11"/>
  <c r="I2022" i="11" l="1"/>
  <c r="G2023" i="11"/>
  <c r="H2023" i="11" s="1"/>
  <c r="I2023" i="11" s="1"/>
  <c r="F2023" i="11"/>
  <c r="G2024" i="11" l="1"/>
  <c r="H2024" i="11" s="1"/>
  <c r="I2024" i="11" s="1"/>
  <c r="F2024" i="11"/>
  <c r="G2025" i="11" l="1"/>
  <c r="H2025" i="11" s="1"/>
  <c r="I2025" i="11" s="1"/>
  <c r="F2025" i="11"/>
  <c r="G2026" i="11" l="1"/>
  <c r="H2026" i="11" s="1"/>
  <c r="I2026" i="11" s="1"/>
  <c r="F2026" i="11"/>
  <c r="G2027" i="11" l="1"/>
  <c r="H2027" i="11" s="1"/>
  <c r="I2027" i="11" s="1"/>
  <c r="F2027" i="11"/>
  <c r="G2028" i="11" l="1"/>
  <c r="H2028" i="11" s="1"/>
  <c r="F2028" i="11"/>
  <c r="I2028" i="11" l="1"/>
  <c r="G2029" i="11"/>
  <c r="H2029" i="11" s="1"/>
  <c r="F2029" i="11"/>
  <c r="I2029" i="11" l="1"/>
  <c r="G2030" i="11"/>
  <c r="H2030" i="11" s="1"/>
  <c r="F2030" i="11"/>
  <c r="I2030" i="11" l="1"/>
  <c r="G2031" i="11" s="1"/>
  <c r="H2031" i="11" s="1"/>
  <c r="I2031" i="11" s="1"/>
  <c r="F2031" i="11"/>
  <c r="G2032" i="11" l="1"/>
  <c r="H2032" i="11" s="1"/>
  <c r="F2032" i="11"/>
  <c r="I2032" i="11" l="1"/>
  <c r="G2033" i="11"/>
  <c r="H2033" i="11" s="1"/>
  <c r="F2033" i="11"/>
  <c r="I2033" i="11" l="1"/>
  <c r="G2034" i="11"/>
  <c r="H2034" i="11" s="1"/>
  <c r="F2034" i="11"/>
  <c r="I2034" i="11" l="1"/>
  <c r="G2035" i="11" s="1"/>
  <c r="H2035" i="11" s="1"/>
  <c r="I2035" i="11" s="1"/>
  <c r="F2035" i="11"/>
  <c r="G2036" i="11" l="1"/>
  <c r="H2036" i="11" s="1"/>
  <c r="F2036" i="11"/>
  <c r="I2036" i="11" l="1"/>
  <c r="G2037" i="11"/>
  <c r="H2037" i="11" s="1"/>
  <c r="I2037" i="11" s="1"/>
  <c r="F2037" i="11"/>
  <c r="G2038" i="11" l="1"/>
  <c r="F2038" i="11"/>
  <c r="H2038" i="11" s="1"/>
  <c r="I2038" i="11" s="1"/>
  <c r="G2039" i="11" l="1"/>
  <c r="H2039" i="11" s="1"/>
  <c r="F2039" i="11"/>
  <c r="I2039" i="11" l="1"/>
  <c r="G2040" i="11"/>
  <c r="H2040" i="11" s="1"/>
  <c r="F2040" i="11"/>
  <c r="I2040" i="11" l="1"/>
  <c r="G2041" i="11" s="1"/>
  <c r="H2041" i="11" s="1"/>
  <c r="I2041" i="11" s="1"/>
  <c r="F2041" i="11"/>
  <c r="G2042" i="11" l="1"/>
  <c r="H2042" i="11" s="1"/>
  <c r="F2042" i="11"/>
  <c r="I2042" i="11" l="1"/>
  <c r="G2043" i="11" s="1"/>
  <c r="H2043" i="11" s="1"/>
  <c r="I2043" i="11" s="1"/>
  <c r="F2043" i="11"/>
  <c r="G2044" i="11" l="1"/>
  <c r="H2044" i="11" s="1"/>
  <c r="F2044" i="11"/>
  <c r="I2044" i="11" l="1"/>
  <c r="G2045" i="11"/>
  <c r="H2045" i="11" s="1"/>
  <c r="F2045" i="11"/>
  <c r="I2045" i="11" l="1"/>
  <c r="G2046" i="11"/>
  <c r="H2046" i="11" s="1"/>
  <c r="F2046" i="11"/>
  <c r="I2046" i="11" l="1"/>
  <c r="G2047" i="11"/>
  <c r="H2047" i="11" s="1"/>
  <c r="F2047" i="11"/>
  <c r="I2047" i="11" l="1"/>
  <c r="G2048" i="11"/>
  <c r="H2048" i="11" s="1"/>
  <c r="I2048" i="11" s="1"/>
  <c r="F2048" i="11"/>
  <c r="H2049" i="11" l="1"/>
  <c r="I2049" i="11" s="1"/>
  <c r="G2049" i="11"/>
  <c r="F2049" i="11"/>
  <c r="H2050" i="11" l="1"/>
  <c r="I2050" i="11" s="1"/>
  <c r="G2050" i="11"/>
  <c r="F2050" i="11"/>
  <c r="G2051" i="11" l="1"/>
  <c r="H2051" i="11" s="1"/>
  <c r="F2051" i="11"/>
  <c r="I2051" i="11" l="1"/>
  <c r="G2052" i="11"/>
  <c r="H2052" i="11" s="1"/>
  <c r="F2052" i="11"/>
  <c r="I2052" i="11" l="1"/>
  <c r="G2053" i="11" s="1"/>
  <c r="H2053" i="11" s="1"/>
  <c r="I2053" i="11" s="1"/>
  <c r="F2053" i="11"/>
  <c r="G2054" i="11" l="1"/>
  <c r="H2054" i="11" s="1"/>
  <c r="F2054" i="11"/>
  <c r="I2054" i="11" l="1"/>
  <c r="G2055" i="11"/>
  <c r="H2055" i="11" s="1"/>
  <c r="F2055" i="11"/>
  <c r="I2055" i="11" l="1"/>
  <c r="G2056" i="11"/>
  <c r="F2056" i="11"/>
  <c r="H2056" i="11" l="1"/>
  <c r="I2056" i="11" s="1"/>
  <c r="G2057" i="11" s="1"/>
  <c r="H2057" i="11" s="1"/>
  <c r="I2057" i="11" s="1"/>
  <c r="F2057" i="11"/>
  <c r="G2058" i="11" l="1"/>
  <c r="H2058" i="11" s="1"/>
  <c r="F2058" i="11"/>
  <c r="I2058" i="11" l="1"/>
  <c r="G2059" i="11"/>
  <c r="H2059" i="11" s="1"/>
  <c r="F2059" i="11"/>
  <c r="I2059" i="11" l="1"/>
  <c r="G2060" i="11"/>
  <c r="H2060" i="11" s="1"/>
  <c r="F2060" i="11"/>
  <c r="I2060" i="11" l="1"/>
  <c r="G2061" i="11"/>
  <c r="H2061" i="11" s="1"/>
  <c r="F2061" i="11"/>
  <c r="I2061" i="11" l="1"/>
  <c r="G2062" i="11"/>
  <c r="H2062" i="11" s="1"/>
  <c r="F2062" i="11"/>
  <c r="I2062" i="11" l="1"/>
  <c r="G2063" i="11"/>
  <c r="H2063" i="11" s="1"/>
  <c r="F2063" i="11"/>
  <c r="I2063" i="11" l="1"/>
  <c r="G2064" i="11"/>
  <c r="H2064" i="11" s="1"/>
  <c r="F2064" i="11"/>
  <c r="I2064" i="11" l="1"/>
  <c r="G2065" i="11"/>
  <c r="H2065" i="11" s="1"/>
  <c r="F2065" i="11"/>
  <c r="I2065" i="11" l="1"/>
  <c r="G2066" i="11" s="1"/>
  <c r="H2066" i="11" s="1"/>
  <c r="I2066" i="11" s="1"/>
  <c r="F2066" i="11"/>
  <c r="G2067" i="11" l="1"/>
  <c r="H2067" i="11" s="1"/>
  <c r="F2067" i="11"/>
  <c r="I2067" i="11" l="1"/>
  <c r="G2068" i="11"/>
  <c r="H2068" i="11" s="1"/>
  <c r="F2068" i="11"/>
  <c r="I2068" i="11" l="1"/>
  <c r="G2069" i="11"/>
  <c r="H2069" i="11" s="1"/>
  <c r="I2069" i="11" s="1"/>
  <c r="F2069" i="11"/>
  <c r="G2070" i="11" l="1"/>
  <c r="H2070" i="11" s="1"/>
  <c r="F2070" i="11"/>
  <c r="I2070" i="11" l="1"/>
  <c r="G2071" i="11" s="1"/>
  <c r="H2071" i="11" s="1"/>
  <c r="I2071" i="11" s="1"/>
  <c r="F2071" i="11"/>
  <c r="G2072" i="11" l="1"/>
  <c r="H2072" i="11" s="1"/>
  <c r="F2072" i="11"/>
  <c r="I2072" i="11" l="1"/>
  <c r="G2073" i="11" s="1"/>
  <c r="F2073" i="11"/>
  <c r="H2073" i="11" l="1"/>
  <c r="I2073" i="11" s="1"/>
  <c r="G2074" i="11"/>
  <c r="F2074" i="11"/>
  <c r="H2074" i="11" s="1"/>
  <c r="I2074" i="11" s="1"/>
  <c r="G2075" i="11" l="1"/>
  <c r="H2075" i="11" s="1"/>
  <c r="F2075" i="11"/>
  <c r="I2075" i="11" l="1"/>
  <c r="G2076" i="11"/>
  <c r="H2076" i="11" s="1"/>
  <c r="F2076" i="11"/>
  <c r="I2076" i="11" l="1"/>
  <c r="G2077" i="11"/>
  <c r="H2077" i="11" s="1"/>
  <c r="F2077" i="11"/>
  <c r="I2077" i="11" l="1"/>
  <c r="G2078" i="11"/>
  <c r="H2078" i="11" s="1"/>
  <c r="F2078" i="11"/>
  <c r="I2078" i="11" l="1"/>
  <c r="G2079" i="11" s="1"/>
  <c r="H2079" i="11" s="1"/>
  <c r="I2079" i="11" s="1"/>
  <c r="F2079" i="11"/>
  <c r="G2080" i="11" l="1"/>
  <c r="H2080" i="11" s="1"/>
  <c r="F2080" i="11"/>
  <c r="I2080" i="11" l="1"/>
  <c r="G2081" i="11"/>
  <c r="H2081" i="11" s="1"/>
  <c r="F2081" i="11"/>
  <c r="I2081" i="11" l="1"/>
  <c r="G2082" i="11"/>
  <c r="H2082" i="11" s="1"/>
  <c r="F2082" i="11"/>
  <c r="I2082" i="11" l="1"/>
  <c r="G2083" i="11"/>
  <c r="H2083" i="11" s="1"/>
  <c r="I2083" i="11" s="1"/>
  <c r="F2083" i="11"/>
  <c r="G2084" i="11" l="1"/>
  <c r="H2084" i="11" s="1"/>
  <c r="I2084" i="11" s="1"/>
  <c r="F2084" i="11"/>
  <c r="G2085" i="11" l="1"/>
  <c r="H2085" i="11" s="1"/>
  <c r="I2085" i="11" s="1"/>
  <c r="F2085" i="11"/>
  <c r="G2086" i="11" l="1"/>
  <c r="H2086" i="11" s="1"/>
  <c r="F2086" i="11"/>
  <c r="I2086" i="11" l="1"/>
  <c r="G2087" i="11"/>
  <c r="H2087" i="11" s="1"/>
  <c r="F2087" i="11"/>
  <c r="I2087" i="11" l="1"/>
  <c r="G2088" i="11"/>
  <c r="H2088" i="11" s="1"/>
  <c r="F2088" i="11"/>
  <c r="I2088" i="11" l="1"/>
  <c r="G2089" i="11"/>
  <c r="H2089" i="11" s="1"/>
  <c r="I2089" i="11" s="1"/>
  <c r="F2089" i="11"/>
  <c r="G2090" i="11" l="1"/>
  <c r="H2090" i="11" s="1"/>
  <c r="F2090" i="11"/>
  <c r="I2090" i="11" l="1"/>
  <c r="G2091" i="11"/>
  <c r="H2091" i="11" s="1"/>
  <c r="F2091" i="11"/>
  <c r="I2091" i="11" l="1"/>
  <c r="G2092" i="11"/>
  <c r="H2092" i="11" s="1"/>
  <c r="I2092" i="11" s="1"/>
  <c r="F2092" i="11"/>
  <c r="G2093" i="11" l="1"/>
  <c r="F2093" i="11"/>
  <c r="H2093" i="11" s="1"/>
  <c r="I2093" i="11" s="1"/>
  <c r="G2094" i="11" l="1"/>
  <c r="F2094" i="11"/>
  <c r="H2094" i="11" s="1"/>
  <c r="I2094" i="11" s="1"/>
  <c r="G2095" i="11" l="1"/>
  <c r="H2095" i="11" s="1"/>
  <c r="I2095" i="11" s="1"/>
  <c r="F2095" i="11"/>
  <c r="G2096" i="11" l="1"/>
  <c r="H2096" i="11" s="1"/>
  <c r="I2096" i="11" s="1"/>
  <c r="F2096" i="11"/>
  <c r="G2097" i="11" l="1"/>
  <c r="H2097" i="11" s="1"/>
  <c r="F2097" i="11"/>
  <c r="I2097" i="11" l="1"/>
  <c r="G2098" i="11"/>
  <c r="H2098" i="11" s="1"/>
  <c r="F2098" i="11"/>
  <c r="I2098" i="11" l="1"/>
  <c r="G2099" i="11"/>
  <c r="H2099" i="11" s="1"/>
  <c r="F2099" i="11"/>
  <c r="I2099" i="11" l="1"/>
  <c r="G2100" i="11"/>
  <c r="H2100" i="11" s="1"/>
  <c r="F2100" i="11"/>
  <c r="I2100" i="11" l="1"/>
  <c r="G2101" i="11"/>
  <c r="H2101" i="11" s="1"/>
  <c r="F2101" i="11"/>
  <c r="I2101" i="11" l="1"/>
  <c r="G2102" i="11"/>
  <c r="H2102" i="11" s="1"/>
  <c r="F2102" i="11"/>
  <c r="I2102" i="11" l="1"/>
  <c r="G2103" i="11"/>
  <c r="H2103" i="11" s="1"/>
  <c r="I2103" i="11" s="1"/>
  <c r="F2103" i="11"/>
  <c r="G2104" i="11" l="1"/>
  <c r="H2104" i="11" s="1"/>
  <c r="I2104" i="11" s="1"/>
  <c r="F2104" i="11"/>
  <c r="G2105" i="11" l="1"/>
  <c r="H2105" i="11" s="1"/>
  <c r="F2105" i="11"/>
  <c r="I2105" i="11" l="1"/>
  <c r="G2106" i="11"/>
  <c r="H2106" i="11" s="1"/>
  <c r="I2106" i="11" s="1"/>
  <c r="F2106" i="11"/>
  <c r="G2107" i="11" l="1"/>
  <c r="H2107" i="11" s="1"/>
  <c r="F2107" i="11"/>
  <c r="I2107" i="11" l="1"/>
  <c r="G2108" i="11"/>
  <c r="H2108" i="11" s="1"/>
  <c r="F2108" i="11"/>
  <c r="I2108" i="11" l="1"/>
  <c r="G2109" i="11"/>
  <c r="H2109" i="11" s="1"/>
  <c r="F2109" i="11"/>
  <c r="I2109" i="11" l="1"/>
  <c r="G2110" i="11"/>
  <c r="H2110" i="11" s="1"/>
  <c r="F2110" i="11"/>
  <c r="I2110" i="11" l="1"/>
  <c r="G2111" i="11"/>
  <c r="H2111" i="11" s="1"/>
  <c r="F2111" i="11"/>
  <c r="I2111" i="11" l="1"/>
  <c r="G2112" i="11" s="1"/>
  <c r="H2112" i="11" s="1"/>
  <c r="I2112" i="11" s="1"/>
  <c r="F2112" i="11"/>
  <c r="G2113" i="11" l="1"/>
  <c r="F2113" i="11"/>
  <c r="H2113" i="11" s="1"/>
  <c r="I2113" i="11" s="1"/>
  <c r="G2114" i="11" l="1"/>
  <c r="H2114" i="11" s="1"/>
  <c r="I2114" i="11" s="1"/>
  <c r="F2114" i="11"/>
  <c r="G2115" i="11" l="1"/>
  <c r="H2115" i="11" s="1"/>
  <c r="F2115" i="11"/>
  <c r="I2115" i="11" l="1"/>
  <c r="G2116" i="11" s="1"/>
  <c r="H2116" i="11" s="1"/>
  <c r="I2116" i="11" s="1"/>
  <c r="F2116" i="11"/>
  <c r="G2117" i="11" l="1"/>
  <c r="H2117" i="11" s="1"/>
  <c r="F2117" i="11"/>
  <c r="I2117" i="11" l="1"/>
  <c r="G2118" i="11"/>
  <c r="H2118" i="11" s="1"/>
  <c r="F2118" i="11"/>
  <c r="I2118" i="11" l="1"/>
  <c r="G2119" i="11"/>
  <c r="H2119" i="11" s="1"/>
  <c r="I2119" i="11" s="1"/>
  <c r="F2119" i="11"/>
  <c r="G2120" i="11" l="1"/>
  <c r="H2120" i="11" s="1"/>
  <c r="I2120" i="11" s="1"/>
  <c r="F2120" i="11"/>
  <c r="G2121" i="11" l="1"/>
  <c r="H2121" i="11" s="1"/>
  <c r="F2121" i="11"/>
  <c r="I2121" i="11" l="1"/>
  <c r="G2122" i="11"/>
  <c r="H2122" i="11" s="1"/>
  <c r="F2122" i="11"/>
  <c r="I2122" i="11" l="1"/>
  <c r="G2123" i="11"/>
  <c r="H2123" i="11" s="1"/>
  <c r="F2123" i="11"/>
  <c r="I2123" i="11" l="1"/>
  <c r="G2124" i="11"/>
  <c r="H2124" i="11" s="1"/>
  <c r="F2124" i="11"/>
  <c r="I2124" i="11" l="1"/>
  <c r="G2125" i="11"/>
  <c r="H2125" i="11" s="1"/>
  <c r="F2125" i="11"/>
  <c r="I2125" i="11" l="1"/>
  <c r="G2126" i="11" s="1"/>
  <c r="H2126" i="11" s="1"/>
  <c r="I2126" i="11" s="1"/>
  <c r="F2126" i="11"/>
  <c r="G2127" i="11" l="1"/>
  <c r="H2127" i="11" s="1"/>
  <c r="I2127" i="11" s="1"/>
  <c r="F2127" i="11"/>
  <c r="G2128" i="11" l="1"/>
  <c r="H2128" i="11" s="1"/>
  <c r="I2128" i="11" s="1"/>
  <c r="F2128" i="11"/>
  <c r="G2129" i="11" l="1"/>
  <c r="H2129" i="11" s="1"/>
  <c r="F2129" i="11"/>
  <c r="I2129" i="11" l="1"/>
  <c r="G2130" i="11"/>
  <c r="H2130" i="11" s="1"/>
  <c r="F2130" i="11"/>
  <c r="I2130" i="11" l="1"/>
  <c r="G2131" i="11"/>
  <c r="H2131" i="11" s="1"/>
  <c r="F2131" i="11"/>
  <c r="I2131" i="11" l="1"/>
  <c r="G2132" i="11"/>
  <c r="H2132" i="11" s="1"/>
  <c r="F2132" i="11"/>
  <c r="I2132" i="11" l="1"/>
  <c r="G2133" i="11"/>
  <c r="H2133" i="11" s="1"/>
  <c r="F2133" i="11"/>
  <c r="I2133" i="11" l="1"/>
  <c r="G2134" i="11"/>
  <c r="H2134" i="11" s="1"/>
  <c r="I2134" i="11" s="1"/>
  <c r="F2134" i="11"/>
  <c r="G2135" i="11" l="1"/>
  <c r="H2135" i="11" s="1"/>
  <c r="F2135" i="11"/>
  <c r="I2135" i="11" l="1"/>
  <c r="G2136" i="11"/>
  <c r="H2136" i="11" s="1"/>
  <c r="I2136" i="11" s="1"/>
  <c r="F2136" i="11"/>
  <c r="G2137" i="11" l="1"/>
  <c r="H2137" i="11" s="1"/>
  <c r="F2137" i="11"/>
  <c r="I2137" i="11" l="1"/>
  <c r="G2138" i="11"/>
  <c r="F2138" i="11"/>
  <c r="H2138" i="11" l="1"/>
  <c r="I2138" i="11" s="1"/>
  <c r="G2139" i="11"/>
  <c r="H2139" i="11" s="1"/>
  <c r="F2139" i="11"/>
  <c r="I2139" i="11" l="1"/>
  <c r="G2140" i="11"/>
  <c r="H2140" i="11" s="1"/>
  <c r="F2140" i="11"/>
  <c r="I2140" i="11" l="1"/>
  <c r="G2141" i="11"/>
  <c r="H2141" i="11" s="1"/>
  <c r="F2141" i="11"/>
  <c r="I2141" i="11" l="1"/>
  <c r="G2142" i="11"/>
  <c r="H2142" i="11" s="1"/>
  <c r="I2142" i="11" s="1"/>
  <c r="F2142" i="11"/>
  <c r="G2143" i="11" l="1"/>
  <c r="H2143" i="11" s="1"/>
  <c r="F2143" i="11"/>
  <c r="I2143" i="11" l="1"/>
  <c r="G2144" i="11"/>
  <c r="H2144" i="11" s="1"/>
  <c r="F2144" i="11"/>
  <c r="I2144" i="11" l="1"/>
  <c r="G2145" i="11"/>
  <c r="H2145" i="11" s="1"/>
  <c r="F2145" i="11"/>
  <c r="I2145" i="11" l="1"/>
  <c r="G2146" i="11"/>
  <c r="H2146" i="11" s="1"/>
  <c r="F2146" i="11"/>
  <c r="I2146" i="11" l="1"/>
  <c r="G2147" i="11"/>
  <c r="H2147" i="11" s="1"/>
  <c r="F2147" i="11"/>
  <c r="I2147" i="11" l="1"/>
  <c r="G2148" i="11"/>
  <c r="H2148" i="11" s="1"/>
  <c r="F2148" i="11"/>
  <c r="I2148" i="11" l="1"/>
  <c r="G2149" i="11" s="1"/>
  <c r="H2149" i="11" s="1"/>
  <c r="I2149" i="11" s="1"/>
  <c r="F2149" i="11"/>
  <c r="G2150" i="11" l="1"/>
  <c r="H2150" i="11" s="1"/>
  <c r="F2150" i="11"/>
  <c r="I2150" i="11" l="1"/>
  <c r="G2151" i="11"/>
  <c r="H2151" i="11" s="1"/>
  <c r="I2151" i="11" s="1"/>
  <c r="F2151" i="11"/>
  <c r="G2152" i="11" l="1"/>
  <c r="H2152" i="11" s="1"/>
  <c r="F2152" i="11"/>
  <c r="I2152" i="11" l="1"/>
  <c r="G2153" i="11"/>
  <c r="H2153" i="11" s="1"/>
  <c r="I2153" i="11" s="1"/>
  <c r="F2153" i="11"/>
  <c r="G2154" i="11" l="1"/>
  <c r="H2154" i="11" s="1"/>
  <c r="F2154" i="11"/>
  <c r="I2154" i="11" l="1"/>
  <c r="G2155" i="11"/>
  <c r="H2155" i="11" s="1"/>
  <c r="F2155" i="11"/>
  <c r="I2155" i="11" l="1"/>
  <c r="G2156" i="11"/>
  <c r="H2156" i="11" s="1"/>
  <c r="I2156" i="11" s="1"/>
  <c r="F2156" i="11"/>
  <c r="G2157" i="11" l="1"/>
  <c r="H2157" i="11" s="1"/>
  <c r="F2157" i="11"/>
  <c r="I2157" i="11" l="1"/>
  <c r="G2158" i="11" s="1"/>
  <c r="H2158" i="11" s="1"/>
  <c r="I2158" i="11" s="1"/>
  <c r="F2158" i="11"/>
  <c r="G2159" i="11" l="1"/>
  <c r="H2159" i="11" s="1"/>
  <c r="F2159" i="11"/>
  <c r="I2159" i="11" l="1"/>
  <c r="G2160" i="11"/>
  <c r="H2160" i="11" s="1"/>
  <c r="I2160" i="11" s="1"/>
  <c r="F2160" i="11"/>
  <c r="G2161" i="11" l="1"/>
  <c r="H2161" i="11" s="1"/>
  <c r="F2161" i="11"/>
  <c r="I2161" i="11" l="1"/>
  <c r="G2162" i="11" s="1"/>
  <c r="H2162" i="11" s="1"/>
  <c r="I2162" i="11" s="1"/>
  <c r="F2162" i="11"/>
  <c r="G2163" i="11" l="1"/>
  <c r="H2163" i="11" s="1"/>
  <c r="F2163" i="11"/>
  <c r="K14" i="11" s="1"/>
  <c r="I2163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C570B2-2A58-4C7B-AC36-E6C1E5293CE6}" keepAlive="1" name="Zapytanie — cennik" description="Połączenie z zapytaniem „cennik” w skoroszycie." type="5" refreshedVersion="0" background="1">
    <dbPr connection="Provider=Microsoft.Mashup.OleDb.1;Data Source=$Workbook$;Location=cennik;Extended Properties=&quot;&quot;" command="SELECT * FROM [cennik]"/>
  </connection>
  <connection id="2" xr16:uid="{C32D8942-790A-43C1-80CB-644FE260C1E1}" keepAlive="1" name="Zapytanie — cennik (2)" description="Połączenie z zapytaniem „cennik (2)” w skoroszycie." type="5" refreshedVersion="0" background="1">
    <dbPr connection="Provider=Microsoft.Mashup.OleDb.1;Data Source=$Workbook$;Location=&quot;cennik (2)&quot;;Extended Properties=&quot;&quot;" command="SELECT * FROM [cennik (2)]"/>
  </connection>
  <connection id="3" xr16:uid="{BDEF17EA-3684-41BB-AAFF-B3B4F87D5F16}" keepAlive="1" name="Zapytanie — cennik (3)" description="Połączenie z zapytaniem „cennik (3)” w skoroszycie." type="5" refreshedVersion="0" background="1">
    <dbPr connection="Provider=Microsoft.Mashup.OleDb.1;Data Source=$Workbook$;Location=&quot;cennik (3)&quot;;Extended Properties=&quot;&quot;" command="SELECT * FROM [cennik (3)]"/>
  </connection>
  <connection id="4" xr16:uid="{BCCDF988-AE86-4B74-990E-F4E0DF71494F}" keepAlive="1" name="Zapytanie — cukier" description="Połączenie z zapytaniem „cukier” w skoroszycie." type="5" refreshedVersion="8" background="1" saveData="1">
    <dbPr connection="Provider=Microsoft.Mashup.OleDb.1;Data Source=$Workbook$;Location=cukier;Extended Properties=&quot;&quot;" command="SELECT * FROM [cukier]"/>
  </connection>
  <connection id="5" xr16:uid="{13D69733-F46E-4327-BEBF-FA0D3D5B2523}" keepAlive="1" name="Zapytanie — cukier (2)" description="Połączenie z zapytaniem „cukier (2)” w skoroszycie." type="5" refreshedVersion="8" background="1" saveData="1">
    <dbPr connection="Provider=Microsoft.Mashup.OleDb.1;Data Source=$Workbook$;Location=&quot;cukier (2)&quot;;Extended Properties=&quot;&quot;" command="SELECT * FROM [cukier (2)]"/>
  </connection>
  <connection id="6" xr16:uid="{ACE5241B-7E34-4B50-85FB-84B7CCB092B9}" keepAlive="1" name="Zapytanie — cukier (3)" description="Połączenie z zapytaniem „cukier (3)” w skoroszycie." type="5" refreshedVersion="8" background="1" saveData="1">
    <dbPr connection="Provider=Microsoft.Mashup.OleDb.1;Data Source=$Workbook$;Location=&quot;cukier (3)&quot;;Extended Properties=&quot;&quot;" command="SELECT * FROM [cukier (3)]"/>
  </connection>
  <connection id="7" xr16:uid="{D3D6252E-24B6-494E-917B-2D632F6BD537}" keepAlive="1" name="Zapytanie — cukier (4)" description="Połączenie z zapytaniem „cukier (4)” w skoroszycie." type="5" refreshedVersion="8" background="1" saveData="1">
    <dbPr connection="Provider=Microsoft.Mashup.OleDb.1;Data Source=$Workbook$;Location=&quot;cukier (4)&quot;;Extended Properties=&quot;&quot;" command="SELECT * FROM [cukier (4)]"/>
  </connection>
  <connection id="8" xr16:uid="{352229C3-B602-497A-9A60-2C92E2C2C988}" keepAlive="1" name="Zapytanie — cukier (5)" description="Połączenie z zapytaniem „cukier (5)” w skoroszycie." type="5" refreshedVersion="8" background="1" saveData="1">
    <dbPr connection="Provider=Microsoft.Mashup.OleDb.1;Data Source=$Workbook$;Location=&quot;cukier (5)&quot;;Extended Properties=&quot;&quot;" command="SELECT * FROM [cukier (5)]"/>
  </connection>
  <connection id="9" xr16:uid="{ADF8366B-AEA1-4026-8B68-E871C92EE7F1}" keepAlive="1" name="Zapytanie — cukier (6)" description="Połączenie z zapytaniem „cukier (6)” w skoroszycie." type="5" refreshedVersion="8" background="1" saveData="1">
    <dbPr connection="Provider=Microsoft.Mashup.OleDb.1;Data Source=$Workbook$;Location=&quot;cukier (6)&quot;;Extended Properties=&quot;&quot;" command="SELECT * FROM [cukier (6)]"/>
  </connection>
  <connection id="10" xr16:uid="{74EF9D2A-C3C7-4AE7-B324-E98101D13BFE}" keepAlive="1" name="Zapytanie — cukier (7)" description="Połączenie z zapytaniem „cukier (7)” w skoroszycie." type="5" refreshedVersion="8" background="1" saveData="1">
    <dbPr connection="Provider=Microsoft.Mashup.OleDb.1;Data Source=$Workbook$;Location=&quot;cukier (7)&quot;;Extended Properties=&quot;&quot;" command="SELECT * FROM [cukier (7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<sst xmlns="http://schemas.openxmlformats.org/spreadsheetml/2006/main" count="13023" uniqueCount="258">
  <si>
    <t>872-13-44-365</t>
  </si>
  <si>
    <t>369-43-03-176</t>
  </si>
  <si>
    <t>408-24-90-350</t>
  </si>
  <si>
    <t>944-16-93-033</t>
  </si>
  <si>
    <t>645-32-78-780</t>
  </si>
  <si>
    <t>594-18-15-403</t>
  </si>
  <si>
    <t>043-34-53-278</t>
  </si>
  <si>
    <t>254-14-00-156</t>
  </si>
  <si>
    <t>885-74-10-856</t>
  </si>
  <si>
    <t>847-48-41-699</t>
  </si>
  <si>
    <t>749-02-70-623</t>
  </si>
  <si>
    <t>128-69-77-900</t>
  </si>
  <si>
    <t>904-16-42-385</t>
  </si>
  <si>
    <t>775-48-66-885</t>
  </si>
  <si>
    <t>799-94-72-837</t>
  </si>
  <si>
    <t>045-63-27-114</t>
  </si>
  <si>
    <t>351-06-97-406</t>
  </si>
  <si>
    <t>413-93-89-926</t>
  </si>
  <si>
    <t>269-65-16-447</t>
  </si>
  <si>
    <t>080-51-85-809</t>
  </si>
  <si>
    <t>910-38-33-489</t>
  </si>
  <si>
    <t>396-32-41-555</t>
  </si>
  <si>
    <t>178-24-36-171</t>
  </si>
  <si>
    <t>033-49-11-774</t>
  </si>
  <si>
    <t>337-27-67-378</t>
  </si>
  <si>
    <t>410-52-79-946</t>
  </si>
  <si>
    <t>294-48-56-993</t>
  </si>
  <si>
    <t>961-86-77-989</t>
  </si>
  <si>
    <t>378-70-08-798</t>
  </si>
  <si>
    <t>665-06-94-730</t>
  </si>
  <si>
    <t>534-94-49-182</t>
  </si>
  <si>
    <t>935-78-99-209</t>
  </si>
  <si>
    <t>996-09-76-697</t>
  </si>
  <si>
    <t>019-98-81-222</t>
  </si>
  <si>
    <t>962-06-61-806</t>
  </si>
  <si>
    <t>968-49-97-804</t>
  </si>
  <si>
    <t>205-96-13-336</t>
  </si>
  <si>
    <t>916-94-78-836</t>
  </si>
  <si>
    <t>242-04-13-206</t>
  </si>
  <si>
    <t>761-06-34-233</t>
  </si>
  <si>
    <t>377-37-44-068</t>
  </si>
  <si>
    <t>176-54-34-364</t>
  </si>
  <si>
    <t>159-34-45-151</t>
  </si>
  <si>
    <t>715-03-63-213</t>
  </si>
  <si>
    <t>599-00-55-316</t>
  </si>
  <si>
    <t>392-78-93-552</t>
  </si>
  <si>
    <t>089-90-67-935</t>
  </si>
  <si>
    <t>596-37-06-465</t>
  </si>
  <si>
    <t>528-09-83-923</t>
  </si>
  <si>
    <t>590-28-48-646</t>
  </si>
  <si>
    <t>941-01-60-075</t>
  </si>
  <si>
    <t>843-22-41-173</t>
  </si>
  <si>
    <t>495-93-92-849</t>
  </si>
  <si>
    <t>662-14-22-719</t>
  </si>
  <si>
    <t>753-35-55-536</t>
  </si>
  <si>
    <t>322-66-15-999</t>
  </si>
  <si>
    <t>800-16-32-869</t>
  </si>
  <si>
    <t>126-55-91-375</t>
  </si>
  <si>
    <t>507-22-76-992</t>
  </si>
  <si>
    <t>531-65-00-714</t>
  </si>
  <si>
    <t>767-55-58-288</t>
  </si>
  <si>
    <t>692-61-16-906</t>
  </si>
  <si>
    <t>851-69-49-933</t>
  </si>
  <si>
    <t>620-15-33-614</t>
  </si>
  <si>
    <t>368-99-22-310</t>
  </si>
  <si>
    <t>153-24-82-022</t>
  </si>
  <si>
    <t>527-15-00-673</t>
  </si>
  <si>
    <t>178-41-36-927</t>
  </si>
  <si>
    <t>284-59-84-568</t>
  </si>
  <si>
    <t>513-33-14-553</t>
  </si>
  <si>
    <t>982-09-19-706</t>
  </si>
  <si>
    <t>884-31-58-627</t>
  </si>
  <si>
    <t>047-70-78-199</t>
  </si>
  <si>
    <t>300-07-32-070</t>
  </si>
  <si>
    <t>340-11-17-090</t>
  </si>
  <si>
    <t>970-73-69-415</t>
  </si>
  <si>
    <t>740-87-37-389</t>
  </si>
  <si>
    <t>053-79-35-388</t>
  </si>
  <si>
    <t>773-39-15-273</t>
  </si>
  <si>
    <t>314-76-34-892</t>
  </si>
  <si>
    <t>936-67-95-170</t>
  </si>
  <si>
    <t>530-86-39-445</t>
  </si>
  <si>
    <t>054-09-46-315</t>
  </si>
  <si>
    <t>014-02-05-290</t>
  </si>
  <si>
    <t>900-85-70-552</t>
  </si>
  <si>
    <t>954-85-72-732</t>
  </si>
  <si>
    <t>804-82-65-826</t>
  </si>
  <si>
    <t>277-10-19-546</t>
  </si>
  <si>
    <t>140-36-11-559</t>
  </si>
  <si>
    <t>403-50-07-403</t>
  </si>
  <si>
    <t>182-72-86-381</t>
  </si>
  <si>
    <t>296-66-33-717</t>
  </si>
  <si>
    <t>550-69-18-758</t>
  </si>
  <si>
    <t>015-89-55-248</t>
  </si>
  <si>
    <t>824-54-79-834</t>
  </si>
  <si>
    <t>029-43-78-009</t>
  </si>
  <si>
    <t>172-30-09-104</t>
  </si>
  <si>
    <t>325-70-30-985</t>
  </si>
  <si>
    <t>374-01-18-051</t>
  </si>
  <si>
    <t>985-21-38-706</t>
  </si>
  <si>
    <t>967-21-71-491</t>
  </si>
  <si>
    <t>430-67-31-549</t>
  </si>
  <si>
    <t>995-59-41-476</t>
  </si>
  <si>
    <t>162-82-16-285</t>
  </si>
  <si>
    <t>963-43-52-686</t>
  </si>
  <si>
    <t>194-54-73-711</t>
  </si>
  <si>
    <t>781-80-31-583</t>
  </si>
  <si>
    <t>347-48-90-739</t>
  </si>
  <si>
    <t>050-38-86-889</t>
  </si>
  <si>
    <t>164-61-25-530</t>
  </si>
  <si>
    <t>561-00-46-873</t>
  </si>
  <si>
    <t>531-41-11-525</t>
  </si>
  <si>
    <t>423-71-31-448</t>
  </si>
  <si>
    <t>192-09-72-275</t>
  </si>
  <si>
    <t>994-52-74-352</t>
  </si>
  <si>
    <t>940-29-78-846</t>
  </si>
  <si>
    <t>244-64-83-142</t>
  </si>
  <si>
    <t>316-37-00-316</t>
  </si>
  <si>
    <t>211-13-01-286</t>
  </si>
  <si>
    <t>982-37-73-633</t>
  </si>
  <si>
    <t>950-40-82-698</t>
  </si>
  <si>
    <t>430-90-28-407</t>
  </si>
  <si>
    <t>035-32-41-072</t>
  </si>
  <si>
    <t>115-65-39-258</t>
  </si>
  <si>
    <t>609-57-46-753</t>
  </si>
  <si>
    <t>373-76-82-865</t>
  </si>
  <si>
    <t>080-77-49-649</t>
  </si>
  <si>
    <t>903-82-46-998</t>
  </si>
  <si>
    <t>970-87-50-317</t>
  </si>
  <si>
    <t>562-39-79-929</t>
  </si>
  <si>
    <t>473-30-19-947</t>
  </si>
  <si>
    <t>179-23-02-772</t>
  </si>
  <si>
    <t>958-71-87-898</t>
  </si>
  <si>
    <t>281-47-91-148</t>
  </si>
  <si>
    <t>554-09-13-964</t>
  </si>
  <si>
    <t>424-70-61-569</t>
  </si>
  <si>
    <t>170-89-76-803</t>
  </si>
  <si>
    <t>447-16-72-588</t>
  </si>
  <si>
    <t>434-21-90-566</t>
  </si>
  <si>
    <t>865-19-31-951</t>
  </si>
  <si>
    <t>822-52-42-474</t>
  </si>
  <si>
    <t>385-84-45-941</t>
  </si>
  <si>
    <t>773-41-40-060</t>
  </si>
  <si>
    <t>429-16-50-754</t>
  </si>
  <si>
    <t>275-38-81-341</t>
  </si>
  <si>
    <t>295-31-73-319</t>
  </si>
  <si>
    <t>240-56-56-791</t>
  </si>
  <si>
    <t>964-69-89-011</t>
  </si>
  <si>
    <t>163-92-64-010</t>
  </si>
  <si>
    <t>585-26-73-628</t>
  </si>
  <si>
    <t>736-91-47-235</t>
  </si>
  <si>
    <t>288-84-37-922</t>
  </si>
  <si>
    <t>193-47-03-638</t>
  </si>
  <si>
    <t>214-54-56-360</t>
  </si>
  <si>
    <t>302-11-03-254</t>
  </si>
  <si>
    <t>208-84-31-216</t>
  </si>
  <si>
    <t>299-98-16-259</t>
  </si>
  <si>
    <t>371-70-96-597</t>
  </si>
  <si>
    <t>777-06-33-444</t>
  </si>
  <si>
    <t>270-90-07-560</t>
  </si>
  <si>
    <t>811-91-92-867</t>
  </si>
  <si>
    <t>131-80-62-556</t>
  </si>
  <si>
    <t>138-66-38-929</t>
  </si>
  <si>
    <t>240-21-54-730</t>
  </si>
  <si>
    <t>299-72-00-838</t>
  </si>
  <si>
    <t>105-89-55-029</t>
  </si>
  <si>
    <t>766-05-70-009</t>
  </si>
  <si>
    <t>319-54-24-686</t>
  </si>
  <si>
    <t>780-78-31-328</t>
  </si>
  <si>
    <t>930-33-80-614</t>
  </si>
  <si>
    <t>549-21-69-479</t>
  </si>
  <si>
    <t>170-26-38-135</t>
  </si>
  <si>
    <t>093-96-93-428</t>
  </si>
  <si>
    <t>268-62-97-556</t>
  </si>
  <si>
    <t>639-61-50-913</t>
  </si>
  <si>
    <t>180-17-78-339</t>
  </si>
  <si>
    <t>547-03-32-866</t>
  </si>
  <si>
    <t>857-68-68-600</t>
  </si>
  <si>
    <t>534-38-74-959</t>
  </si>
  <si>
    <t>337-81-35-067</t>
  </si>
  <si>
    <t>801-63-85-001</t>
  </si>
  <si>
    <t>272-67-67-068</t>
  </si>
  <si>
    <t>534-50-90-387</t>
  </si>
  <si>
    <t>204-35-99-685</t>
  </si>
  <si>
    <t>789-52-61-433</t>
  </si>
  <si>
    <t>653-45-64-141</t>
  </si>
  <si>
    <t>058-15-94-554</t>
  </si>
  <si>
    <t>307-98-17-187</t>
  </si>
  <si>
    <t>711-39-55-294</t>
  </si>
  <si>
    <t>128-91-02-348</t>
  </si>
  <si>
    <t>395-19-63-367</t>
  </si>
  <si>
    <t>737-62-05-770</t>
  </si>
  <si>
    <t>277-20-90-210</t>
  </si>
  <si>
    <t>405-18-48-099</t>
  </si>
  <si>
    <t>270-87-86-398</t>
  </si>
  <si>
    <t>547-99-88-807</t>
  </si>
  <si>
    <t>531-81-72-734</t>
  </si>
  <si>
    <t>817-44-45-607</t>
  </si>
  <si>
    <t>735-37-27-393</t>
  </si>
  <si>
    <t>788-39-15-311</t>
  </si>
  <si>
    <t>047-26-54-835</t>
  </si>
  <si>
    <t>687-31-19-697</t>
  </si>
  <si>
    <t>236-48-82-153</t>
  </si>
  <si>
    <t>561-51-98-882</t>
  </si>
  <si>
    <t>951-02-59-808</t>
  </si>
  <si>
    <t>874-03-53-609</t>
  </si>
  <si>
    <t>523-09-63-706</t>
  </si>
  <si>
    <t>346-83-33-264</t>
  </si>
  <si>
    <t>325-16-71-125</t>
  </si>
  <si>
    <t>179-22-38-195</t>
  </si>
  <si>
    <t>211-35-92-831</t>
  </si>
  <si>
    <t>614-36-31-012</t>
  </si>
  <si>
    <t>394-54-09-851</t>
  </si>
  <si>
    <t>326-69-35-401</t>
  </si>
  <si>
    <t>203-43-58-855</t>
  </si>
  <si>
    <t>941-27-28-381</t>
  </si>
  <si>
    <t>971-44-58-661</t>
  </si>
  <si>
    <t>257-35-01-611</t>
  </si>
  <si>
    <t>102-48-01-310</t>
  </si>
  <si>
    <t>351-83-41-145</t>
  </si>
  <si>
    <t>392-77-27-084</t>
  </si>
  <si>
    <t>678-73-95-302</t>
  </si>
  <si>
    <t>091-99-74-175</t>
  </si>
  <si>
    <t>039-15-21-087</t>
  </si>
  <si>
    <t>444-71-75-271</t>
  </si>
  <si>
    <t>253-12-16-366</t>
  </si>
  <si>
    <t>865-06-94-559</t>
  </si>
  <si>
    <t>965-57-87-003</t>
  </si>
  <si>
    <t>806-09-59-839</t>
  </si>
  <si>
    <t>072-92-42-932</t>
  </si>
  <si>
    <t>336-81-47-193</t>
  </si>
  <si>
    <t>062-58-80-597</t>
  </si>
  <si>
    <t>881-78-83-232</t>
  </si>
  <si>
    <t>817-14-97-331</t>
  </si>
  <si>
    <t>929-74-62-713</t>
  </si>
  <si>
    <t>128-29-15-591</t>
  </si>
  <si>
    <t>264-98-29-926</t>
  </si>
  <si>
    <t>177-95-05-373</t>
  </si>
  <si>
    <t>647-41-13-432</t>
  </si>
  <si>
    <t>648-00-20-115</t>
  </si>
  <si>
    <t>data</t>
  </si>
  <si>
    <t>nip_klienta</t>
  </si>
  <si>
    <t>sprzedany_cukier</t>
  </si>
  <si>
    <t>cena</t>
  </si>
  <si>
    <t>rok</t>
  </si>
  <si>
    <t>Suma końcowa</t>
  </si>
  <si>
    <t>sprzedany cukier</t>
  </si>
  <si>
    <t>nip</t>
  </si>
  <si>
    <t>przychod</t>
  </si>
  <si>
    <t>sprzedany_lacznie_cukier</t>
  </si>
  <si>
    <t>rabat</t>
  </si>
  <si>
    <t>wartość_rabatu</t>
  </si>
  <si>
    <t>miesiac</t>
  </si>
  <si>
    <t>czy_nastapiła_zmiana_mies</t>
  </si>
  <si>
    <t>stan_magazynu</t>
  </si>
  <si>
    <t>stan_po_sprzedazy</t>
  </si>
  <si>
    <t>ile_dokupic</t>
  </si>
  <si>
    <t>stan_po_dostawie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</si>
</sst>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2" xfId="0" applyFill="1" applyBorder="1"/>
    <xf numFmtId="0" fontId="0" fillId="0" borderId="2" xfId="0" applyBorder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31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[4.xlsx]4.3!Tabela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 kilogramów</a:t>
            </a:r>
            <a:r>
              <a:rPr lang="pl-PL" baseline="0"/>
              <a:t> sprzedanego cukru w kolejnych latach od 2005 do 2014 roku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'4.3'!$G$1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'4.3'!$F$2:$F$12</c:f>
              <c:strCach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strCache>
            </c:strRef>
          </c:cat>
          <c:val>
            <c:numRef>
              <c:f>'4.3'!$G$2:$G$12</c:f>
              <c:numCache>
                <c:formatCode>General</c:formatCode>
                <c:ptCount val="10"/>
                <c:pt idx="0">
                  <c:v>27016</c:v>
                </c:pt>
                <c:pt idx="1">
                  <c:v>27226</c:v>
                </c:pt>
                <c:pt idx="2">
                  <c:v>31720</c:v>
                </c:pt>
                <c:pt idx="3">
                  <c:v>36523</c:v>
                </c:pt>
                <c:pt idx="4">
                  <c:v>30764</c:v>
                </c:pt>
                <c:pt idx="5">
                  <c:v>32521</c:v>
                </c:pt>
                <c:pt idx="6">
                  <c:v>23778</c:v>
                </c:pt>
                <c:pt idx="7">
                  <c:v>26976</c:v>
                </c:pt>
                <c:pt idx="8">
                  <c:v>28419</c:v>
                </c:pt>
                <c:pt idx="9">
                  <c:v>35284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25-43F7-BBAD-B86FEABA9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571056"/>
        <c:axId val="2036574416"/>
      </c:lineChart>
      <c:catAx>
        <c:axId val="2036571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574416"/>
        <c:crosses val="autoZero"/>
        <c:auto val="1"/>
        <c:lblAlgn val="ctr"/>
        <c:lblOffset val="100"/>
        <c:noMultiLvlLbl val="0"/>
      </c:catAx>
      <c:valAx>
        <c:axId val="20365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kilogramów sprzedanego cukru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57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13</xdr:row>
      <xdr:rowOff>176211</xdr:rowOff>
    </xdr:from>
    <xdr:to>
      <xdr:col>15</xdr:col>
      <xdr:colOff>371474</xdr:colOff>
      <xdr:row>40</xdr:row>
      <xdr:rowOff>9524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672F6DF-731F-6E85-57C9-F6EC2569C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6.890768634257" createdVersion="8" refreshedVersion="8" minRefreshableVersion="3" recordCount="2162" xr:uid="{D91AE85A-0DB8-4D9A-8974-81240BFC1EB5}">
  <cacheSource type="worksheet">
    <worksheetSource name="cukier7"/>
  </cacheSource>
  <cacheFields count="3">
    <cacheField name="data" numFmtId="14">
      <sharedItems containsSemiMixedTypes="0" containsNonDate="0" containsDate="1" containsString="0" minDate="2005-01-01T00:00:00" maxDate="2014-12-30T00:00:00"/>
    </cacheField>
    <cacheField name="nip_klienta" numFmtId="0">
      <sharedItems count="240">
        <s v="872-13-44-365"/>
        <s v="369-43-03-176"/>
        <s v="408-24-90-350"/>
        <s v="944-16-93-033"/>
        <s v="645-32-78-780"/>
        <s v="594-18-15-403"/>
        <s v="043-34-53-278"/>
        <s v="254-14-00-156"/>
        <s v="885-74-10-856"/>
        <s v="847-48-41-699"/>
        <s v="749-02-70-623"/>
        <s v="128-69-77-900"/>
        <s v="904-16-42-385"/>
        <s v="775-48-66-885"/>
        <s v="799-94-72-837"/>
        <s v="045-63-27-114"/>
        <s v="351-06-97-406"/>
        <s v="413-93-89-926"/>
        <s v="269-65-16-447"/>
        <s v="080-51-85-809"/>
        <s v="910-38-33-489"/>
        <s v="396-32-41-555"/>
        <s v="178-24-36-171"/>
        <s v="033-49-11-774"/>
        <s v="337-27-67-378"/>
        <s v="410-52-79-946"/>
        <s v="294-48-56-993"/>
        <s v="961-86-77-989"/>
        <s v="378-70-08-798"/>
        <s v="665-06-94-730"/>
        <s v="534-94-49-182"/>
        <s v="935-78-99-209"/>
        <s v="996-09-76-697"/>
        <s v="019-98-81-222"/>
        <s v="962-06-61-806"/>
        <s v="968-49-97-804"/>
        <s v="205-96-13-336"/>
        <s v="916-94-78-836"/>
        <s v="242-04-13-206"/>
        <s v="761-06-34-233"/>
        <s v="377-37-44-068"/>
        <s v="176-54-34-364"/>
        <s v="159-34-45-151"/>
        <s v="715-03-63-213"/>
        <s v="599-00-55-316"/>
        <s v="392-78-93-552"/>
        <s v="089-90-67-935"/>
        <s v="596-37-06-465"/>
        <s v="528-09-83-923"/>
        <s v="590-28-48-646"/>
        <s v="941-01-60-075"/>
        <s v="843-22-41-173"/>
        <s v="495-93-92-849"/>
        <s v="662-14-22-719"/>
        <s v="753-35-55-536"/>
        <s v="322-66-15-999"/>
        <s v="800-16-32-869"/>
        <s v="126-55-91-375"/>
        <s v="507-22-76-992"/>
        <s v="531-65-00-714"/>
        <s v="767-55-58-288"/>
        <s v="692-61-16-906"/>
        <s v="851-69-49-933"/>
        <s v="620-15-33-614"/>
        <s v="368-99-22-310"/>
        <s v="153-24-82-022"/>
        <s v="527-15-00-673"/>
        <s v="178-41-36-927"/>
        <s v="284-59-84-568"/>
        <s v="513-33-14-553"/>
        <s v="982-09-19-706"/>
        <s v="884-31-58-627"/>
        <s v="047-70-78-199"/>
        <s v="300-07-32-070"/>
        <s v="340-11-17-090"/>
        <s v="970-73-69-415"/>
        <s v="740-87-37-389"/>
        <s v="053-79-35-388"/>
        <s v="773-39-15-273"/>
        <s v="314-76-34-892"/>
        <s v="936-67-95-170"/>
        <s v="530-86-39-445"/>
        <s v="054-09-46-315"/>
        <s v="014-02-05-290"/>
        <s v="900-85-70-552"/>
        <s v="954-85-72-732"/>
        <s v="804-82-65-826"/>
        <s v="277-10-19-546"/>
        <s v="140-36-11-559"/>
        <s v="403-50-07-403"/>
        <s v="182-72-86-381"/>
        <s v="296-66-33-717"/>
        <s v="550-69-18-758"/>
        <s v="015-89-55-248"/>
        <s v="824-54-79-834"/>
        <s v="029-43-78-009"/>
        <s v="172-30-09-104"/>
        <s v="325-70-30-985"/>
        <s v="374-01-18-051"/>
        <s v="985-21-38-706"/>
        <s v="967-21-71-491"/>
        <s v="430-67-31-549"/>
        <s v="995-59-41-476"/>
        <s v="162-82-16-285"/>
        <s v="963-43-52-686"/>
        <s v="194-54-73-711"/>
        <s v="781-80-31-583"/>
        <s v="347-48-90-739"/>
        <s v="050-38-86-889"/>
        <s v="164-61-25-530"/>
        <s v="561-00-46-873"/>
        <s v="531-41-11-525"/>
        <s v="423-71-31-448"/>
        <s v="192-09-72-275"/>
        <s v="994-52-74-352"/>
        <s v="940-29-78-846"/>
        <s v="244-64-83-142"/>
        <s v="316-37-00-316"/>
        <s v="211-13-01-286"/>
        <s v="982-37-73-633"/>
        <s v="950-40-82-698"/>
        <s v="430-90-28-407"/>
        <s v="035-32-41-072"/>
        <s v="115-65-39-258"/>
        <s v="609-57-46-753"/>
        <s v="373-76-82-865"/>
        <s v="080-77-49-649"/>
        <s v="903-82-46-998"/>
        <s v="970-87-50-317"/>
        <s v="562-39-79-929"/>
        <s v="473-30-19-947"/>
        <s v="179-23-02-772"/>
        <s v="958-71-87-898"/>
        <s v="281-47-91-148"/>
        <s v="554-09-13-964"/>
        <s v="424-70-61-569"/>
        <s v="170-89-76-803"/>
        <s v="447-16-72-588"/>
        <s v="434-21-90-566"/>
        <s v="865-19-31-951"/>
        <s v="822-52-42-474"/>
        <s v="385-84-45-941"/>
        <s v="773-41-40-060"/>
        <s v="429-16-50-754"/>
        <s v="275-38-81-341"/>
        <s v="295-31-73-319"/>
        <s v="240-56-56-791"/>
        <s v="964-69-89-011"/>
        <s v="163-92-64-010"/>
        <s v="585-26-73-628"/>
        <s v="736-91-47-235"/>
        <s v="288-84-37-922"/>
        <s v="193-47-03-638"/>
        <s v="214-54-56-360"/>
        <s v="302-11-03-254"/>
        <s v="208-84-31-216"/>
        <s v="299-98-16-259"/>
        <s v="371-70-96-597"/>
        <s v="777-06-33-444"/>
        <s v="270-90-07-560"/>
        <s v="811-91-92-867"/>
        <s v="131-80-62-556"/>
        <s v="138-66-38-929"/>
        <s v="240-21-54-730"/>
        <s v="299-72-00-838"/>
        <s v="105-89-55-029"/>
        <s v="766-05-70-009"/>
        <s v="319-54-24-686"/>
        <s v="780-78-31-328"/>
        <s v="930-33-80-614"/>
        <s v="549-21-69-479"/>
        <s v="170-26-38-135"/>
        <s v="093-96-93-428"/>
        <s v="268-62-97-556"/>
        <s v="639-61-50-913"/>
        <s v="180-17-78-339"/>
        <s v="547-03-32-866"/>
        <s v="857-68-68-600"/>
        <s v="534-38-74-959"/>
        <s v="337-81-35-067"/>
        <s v="801-63-85-001"/>
        <s v="272-67-67-068"/>
        <s v="534-50-90-387"/>
        <s v="204-35-99-685"/>
        <s v="789-52-61-433"/>
        <s v="653-45-64-141"/>
        <s v="058-15-94-554"/>
        <s v="307-98-17-187"/>
        <s v="711-39-55-294"/>
        <s v="128-91-02-348"/>
        <s v="395-19-63-367"/>
        <s v="737-62-05-770"/>
        <s v="277-20-90-210"/>
        <s v="405-18-48-099"/>
        <s v="270-87-86-398"/>
        <s v="547-99-88-807"/>
        <s v="531-81-72-734"/>
        <s v="817-44-45-607"/>
        <s v="735-37-27-393"/>
        <s v="788-39-15-311"/>
        <s v="047-26-54-835"/>
        <s v="687-31-19-697"/>
        <s v="236-48-82-153"/>
        <s v="561-51-98-882"/>
        <s v="951-02-59-808"/>
        <s v="874-03-53-609"/>
        <s v="523-09-63-706"/>
        <s v="346-83-33-264"/>
        <s v="325-16-71-125"/>
        <s v="179-22-38-195"/>
        <s v="211-35-92-831"/>
        <s v="614-36-31-012"/>
        <s v="394-54-09-851"/>
        <s v="326-69-35-401"/>
        <s v="203-43-58-855"/>
        <s v="941-27-28-381"/>
        <s v="971-44-58-661"/>
        <s v="257-35-01-611"/>
        <s v="102-48-01-310"/>
        <s v="351-83-41-145"/>
        <s v="392-77-27-084"/>
        <s v="678-73-95-302"/>
        <s v="091-99-74-175"/>
        <s v="039-15-21-087"/>
        <s v="444-71-75-271"/>
        <s v="253-12-16-366"/>
        <s v="865-06-94-559"/>
        <s v="965-57-87-003"/>
        <s v="806-09-59-839"/>
        <s v="072-92-42-932"/>
        <s v="336-81-47-193"/>
        <s v="062-58-80-597"/>
        <s v="881-78-83-232"/>
        <s v="817-14-97-331"/>
        <s v="929-74-62-713"/>
        <s v="128-29-15-591"/>
        <s v="264-98-29-926"/>
        <s v="177-95-05-373"/>
        <s v="647-41-13-432"/>
        <s v="648-00-20-115"/>
      </sharedItems>
    </cacheField>
    <cacheField name="sprzedany_cukier" numFmtId="0">
      <sharedItems containsSemiMixedTypes="0" containsString="0" containsNumber="1" containsInteger="1" minValue="1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6.893269560183" createdVersion="8" refreshedVersion="8" minRefreshableVersion="3" recordCount="2162" xr:uid="{4837761E-0E15-4802-BC00-AB132709B490}">
  <cacheSource type="worksheet">
    <worksheetSource name="cukier9"/>
  </cacheSource>
  <cacheFields count="4">
    <cacheField name="data" numFmtId="14">
      <sharedItems containsSemiMixedTypes="0" containsNonDate="0" containsDate="1" containsString="0" minDate="2005-01-01T00:00:00" maxDate="2014-12-30T00:00:00"/>
    </cacheField>
    <cacheField name="nip_klienta" numFmtId="0">
      <sharedItems/>
    </cacheField>
    <cacheField name="sprzedany_cukier" numFmtId="0">
      <sharedItems containsSemiMixedTypes="0" containsString="0" containsNumber="1" containsInteger="1" minValue="1" maxValue="500"/>
    </cacheField>
    <cacheField name="rok" numFmtId="0">
      <sharedItems containsSemiMixedTypes="0" containsString="0" containsNumber="1" containsInteger="1" minValue="2005" maxValue="2014" count="10">
        <n v="2005"/>
        <n v="2006"/>
        <n v="2007"/>
        <n v="2008"/>
        <n v="2009"/>
        <n v="2010"/>
        <n v="2011"/>
        <n v="2012"/>
        <n v="2013"/>
        <n v="20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2">
  <r>
    <d v="2005-01-01T00:00:00"/>
    <x v="0"/>
    <n v="10"/>
  </r>
  <r>
    <d v="2005-01-04T00:00:00"/>
    <x v="1"/>
    <n v="2"/>
  </r>
  <r>
    <d v="2005-01-05T00:00:00"/>
    <x v="2"/>
    <n v="2"/>
  </r>
  <r>
    <d v="2005-01-10T00:00:00"/>
    <x v="3"/>
    <n v="5"/>
  </r>
  <r>
    <d v="2005-01-11T00:00:00"/>
    <x v="4"/>
    <n v="14"/>
  </r>
  <r>
    <d v="2005-01-13T00:00:00"/>
    <x v="5"/>
    <n v="436"/>
  </r>
  <r>
    <d v="2005-01-14T00:00:00"/>
    <x v="6"/>
    <n v="95"/>
  </r>
  <r>
    <d v="2005-01-18T00:00:00"/>
    <x v="7"/>
    <n v="350"/>
  </r>
  <r>
    <d v="2005-01-19T00:00:00"/>
    <x v="7"/>
    <n v="231"/>
  </r>
  <r>
    <d v="2005-01-20T00:00:00"/>
    <x v="8"/>
    <n v="38"/>
  </r>
  <r>
    <d v="2005-01-22T00:00:00"/>
    <x v="9"/>
    <n v="440"/>
  </r>
  <r>
    <d v="2005-01-24T00:00:00"/>
    <x v="10"/>
    <n v="120"/>
  </r>
  <r>
    <d v="2005-01-25T00:00:00"/>
    <x v="11"/>
    <n v="11"/>
  </r>
  <r>
    <d v="2005-01-26T00:00:00"/>
    <x v="12"/>
    <n v="36"/>
  </r>
  <r>
    <d v="2005-01-27T00:00:00"/>
    <x v="10"/>
    <n v="51"/>
  </r>
  <r>
    <d v="2005-02-02T00:00:00"/>
    <x v="7"/>
    <n v="465"/>
  </r>
  <r>
    <d v="2005-02-03T00:00:00"/>
    <x v="13"/>
    <n v="8"/>
  </r>
  <r>
    <d v="2005-02-05T00:00:00"/>
    <x v="14"/>
    <n v="287"/>
  </r>
  <r>
    <d v="2005-02-05T00:00:00"/>
    <x v="15"/>
    <n v="12"/>
  </r>
  <r>
    <d v="2005-02-10T00:00:00"/>
    <x v="16"/>
    <n v="6"/>
  </r>
  <r>
    <d v="2005-02-14T00:00:00"/>
    <x v="17"/>
    <n v="321"/>
  </r>
  <r>
    <d v="2005-02-18T00:00:00"/>
    <x v="18"/>
    <n v="99"/>
  </r>
  <r>
    <d v="2005-02-18T00:00:00"/>
    <x v="19"/>
    <n v="91"/>
  </r>
  <r>
    <d v="2005-02-24T00:00:00"/>
    <x v="14"/>
    <n v="118"/>
  </r>
  <r>
    <d v="2005-02-25T00:00:00"/>
    <x v="20"/>
    <n v="58"/>
  </r>
  <r>
    <d v="2005-02-26T00:00:00"/>
    <x v="21"/>
    <n v="16"/>
  </r>
  <r>
    <d v="2005-02-26T00:00:00"/>
    <x v="22"/>
    <n v="348"/>
  </r>
  <r>
    <d v="2005-02-27T00:00:00"/>
    <x v="5"/>
    <n v="336"/>
  </r>
  <r>
    <d v="2005-02-27T00:00:00"/>
    <x v="22"/>
    <n v="435"/>
  </r>
  <r>
    <d v="2005-02-27T00:00:00"/>
    <x v="23"/>
    <n v="110"/>
  </r>
  <r>
    <d v="2005-03-01T00:00:00"/>
    <x v="24"/>
    <n v="204"/>
  </r>
  <r>
    <d v="2005-03-01T00:00:00"/>
    <x v="18"/>
    <n v="20"/>
  </r>
  <r>
    <d v="2005-03-03T00:00:00"/>
    <x v="25"/>
    <n v="102"/>
  </r>
  <r>
    <d v="2005-03-05T00:00:00"/>
    <x v="26"/>
    <n v="48"/>
  </r>
  <r>
    <d v="2005-03-07T00:00:00"/>
    <x v="22"/>
    <n v="329"/>
  </r>
  <r>
    <d v="2005-03-09T00:00:00"/>
    <x v="27"/>
    <n v="16"/>
  </r>
  <r>
    <d v="2005-03-10T00:00:00"/>
    <x v="28"/>
    <n v="102"/>
  </r>
  <r>
    <d v="2005-03-10T00:00:00"/>
    <x v="14"/>
    <n v="309"/>
  </r>
  <r>
    <d v="2005-03-12T00:00:00"/>
    <x v="5"/>
    <n v="331"/>
  </r>
  <r>
    <d v="2005-03-17T00:00:00"/>
    <x v="29"/>
    <n v="3"/>
  </r>
  <r>
    <d v="2005-03-18T00:00:00"/>
    <x v="30"/>
    <n v="76"/>
  </r>
  <r>
    <d v="2005-03-18T00:00:00"/>
    <x v="31"/>
    <n v="196"/>
  </r>
  <r>
    <d v="2005-03-20T00:00:00"/>
    <x v="18"/>
    <n v="54"/>
  </r>
  <r>
    <d v="2005-03-24T00:00:00"/>
    <x v="9"/>
    <n v="277"/>
  </r>
  <r>
    <d v="2005-03-26T00:00:00"/>
    <x v="32"/>
    <n v="7"/>
  </r>
  <r>
    <d v="2005-03-28T00:00:00"/>
    <x v="33"/>
    <n v="12"/>
  </r>
  <r>
    <d v="2005-03-29T00:00:00"/>
    <x v="34"/>
    <n v="7"/>
  </r>
  <r>
    <d v="2005-03-31T00:00:00"/>
    <x v="7"/>
    <n v="416"/>
  </r>
  <r>
    <d v="2005-04-03T00:00:00"/>
    <x v="7"/>
    <n v="263"/>
  </r>
  <r>
    <d v="2005-04-06T00:00:00"/>
    <x v="1"/>
    <n v="15"/>
  </r>
  <r>
    <d v="2005-04-10T00:00:00"/>
    <x v="25"/>
    <n v="194"/>
  </r>
  <r>
    <d v="2005-04-11T00:00:00"/>
    <x v="35"/>
    <n v="120"/>
  </r>
  <r>
    <d v="2005-04-12T00:00:00"/>
    <x v="7"/>
    <n v="175"/>
  </r>
  <r>
    <d v="2005-04-14T00:00:00"/>
    <x v="36"/>
    <n v="12"/>
  </r>
  <r>
    <d v="2005-04-15T00:00:00"/>
    <x v="37"/>
    <n v="174"/>
  </r>
  <r>
    <d v="2005-04-16T00:00:00"/>
    <x v="38"/>
    <n v="3"/>
  </r>
  <r>
    <d v="2005-04-17T00:00:00"/>
    <x v="39"/>
    <n v="149"/>
  </r>
  <r>
    <d v="2005-04-18T00:00:00"/>
    <x v="17"/>
    <n v="492"/>
  </r>
  <r>
    <d v="2005-04-18T00:00:00"/>
    <x v="40"/>
    <n v="2"/>
  </r>
  <r>
    <d v="2005-04-19T00:00:00"/>
    <x v="14"/>
    <n v="298"/>
  </r>
  <r>
    <d v="2005-04-30T00:00:00"/>
    <x v="17"/>
    <n v="201"/>
  </r>
  <r>
    <d v="2005-05-01T00:00:00"/>
    <x v="41"/>
    <n v="15"/>
  </r>
  <r>
    <d v="2005-05-01T00:00:00"/>
    <x v="14"/>
    <n v="319"/>
  </r>
  <r>
    <d v="2005-05-02T00:00:00"/>
    <x v="42"/>
    <n v="9"/>
  </r>
  <r>
    <d v="2005-05-04T00:00:00"/>
    <x v="43"/>
    <n v="15"/>
  </r>
  <r>
    <d v="2005-05-07T00:00:00"/>
    <x v="22"/>
    <n v="444"/>
  </r>
  <r>
    <d v="2005-05-07T00:00:00"/>
    <x v="44"/>
    <n v="13"/>
  </r>
  <r>
    <d v="2005-05-09T00:00:00"/>
    <x v="45"/>
    <n v="366"/>
  </r>
  <r>
    <d v="2005-05-20T00:00:00"/>
    <x v="9"/>
    <n v="259"/>
  </r>
  <r>
    <d v="2005-05-21T00:00:00"/>
    <x v="46"/>
    <n v="16"/>
  </r>
  <r>
    <d v="2005-05-24T00:00:00"/>
    <x v="28"/>
    <n v="49"/>
  </r>
  <r>
    <d v="2005-05-25T00:00:00"/>
    <x v="47"/>
    <n v="3"/>
  </r>
  <r>
    <d v="2005-05-25T00:00:00"/>
    <x v="22"/>
    <n v="251"/>
  </r>
  <r>
    <d v="2005-05-27T00:00:00"/>
    <x v="30"/>
    <n v="179"/>
  </r>
  <r>
    <d v="2005-05-29T00:00:00"/>
    <x v="10"/>
    <n v="116"/>
  </r>
  <r>
    <d v="2005-05-29T00:00:00"/>
    <x v="48"/>
    <n v="13"/>
  </r>
  <r>
    <d v="2005-05-31T00:00:00"/>
    <x v="49"/>
    <n v="3"/>
  </r>
  <r>
    <d v="2005-05-31T00:00:00"/>
    <x v="50"/>
    <n v="253"/>
  </r>
  <r>
    <d v="2005-06-07T00:00:00"/>
    <x v="23"/>
    <n v="83"/>
  </r>
  <r>
    <d v="2005-06-09T00:00:00"/>
    <x v="18"/>
    <n v="177"/>
  </r>
  <r>
    <d v="2005-06-09T00:00:00"/>
    <x v="51"/>
    <n v="7"/>
  </r>
  <r>
    <d v="2005-06-10T00:00:00"/>
    <x v="52"/>
    <n v="46"/>
  </r>
  <r>
    <d v="2005-06-11T00:00:00"/>
    <x v="53"/>
    <n v="2"/>
  </r>
  <r>
    <d v="2005-06-12T00:00:00"/>
    <x v="3"/>
    <n v="9"/>
  </r>
  <r>
    <d v="2005-06-14T00:00:00"/>
    <x v="54"/>
    <n v="3"/>
  </r>
  <r>
    <d v="2005-06-14T00:00:00"/>
    <x v="55"/>
    <n v="67"/>
  </r>
  <r>
    <d v="2005-06-14T00:00:00"/>
    <x v="45"/>
    <n v="425"/>
  </r>
  <r>
    <d v="2005-06-15T00:00:00"/>
    <x v="5"/>
    <n v="453"/>
  </r>
  <r>
    <d v="2005-06-20T00:00:00"/>
    <x v="22"/>
    <n v="212"/>
  </r>
  <r>
    <d v="2005-06-22T00:00:00"/>
    <x v="56"/>
    <n v="19"/>
  </r>
  <r>
    <d v="2005-06-23T00:00:00"/>
    <x v="6"/>
    <n v="81"/>
  </r>
  <r>
    <d v="2005-06-25T00:00:00"/>
    <x v="57"/>
    <n v="7"/>
  </r>
  <r>
    <d v="2005-06-26T00:00:00"/>
    <x v="58"/>
    <n v="179"/>
  </r>
  <r>
    <d v="2005-06-28T00:00:00"/>
    <x v="14"/>
    <n v="222"/>
  </r>
  <r>
    <d v="2005-06-29T00:00:00"/>
    <x v="59"/>
    <n v="14"/>
  </r>
  <r>
    <d v="2005-07-01T00:00:00"/>
    <x v="60"/>
    <n v="15"/>
  </r>
  <r>
    <d v="2005-07-03T00:00:00"/>
    <x v="61"/>
    <n v="97"/>
  </r>
  <r>
    <d v="2005-07-09T00:00:00"/>
    <x v="20"/>
    <n v="142"/>
  </r>
  <r>
    <d v="2005-07-13T00:00:00"/>
    <x v="45"/>
    <n v="214"/>
  </r>
  <r>
    <d v="2005-07-13T00:00:00"/>
    <x v="14"/>
    <n v="408"/>
  </r>
  <r>
    <d v="2005-07-14T00:00:00"/>
    <x v="12"/>
    <n v="144"/>
  </r>
  <r>
    <d v="2005-07-14T00:00:00"/>
    <x v="6"/>
    <n v="173"/>
  </r>
  <r>
    <d v="2005-07-16T00:00:00"/>
    <x v="62"/>
    <n v="15"/>
  </r>
  <r>
    <d v="2005-07-18T00:00:00"/>
    <x v="50"/>
    <n v="433"/>
  </r>
  <r>
    <d v="2005-07-22T00:00:00"/>
    <x v="63"/>
    <n v="137"/>
  </r>
  <r>
    <d v="2005-07-25T00:00:00"/>
    <x v="50"/>
    <n v="118"/>
  </r>
  <r>
    <d v="2005-07-25T00:00:00"/>
    <x v="9"/>
    <n v="158"/>
  </r>
  <r>
    <d v="2005-07-26T00:00:00"/>
    <x v="44"/>
    <n v="13"/>
  </r>
  <r>
    <d v="2005-07-27T00:00:00"/>
    <x v="64"/>
    <n v="2"/>
  </r>
  <r>
    <d v="2005-07-29T00:00:00"/>
    <x v="50"/>
    <n v="467"/>
  </r>
  <r>
    <d v="2005-07-30T00:00:00"/>
    <x v="65"/>
    <n v="9"/>
  </r>
  <r>
    <d v="2005-08-03T00:00:00"/>
    <x v="66"/>
    <n v="189"/>
  </r>
  <r>
    <d v="2005-08-04T00:00:00"/>
    <x v="67"/>
    <n v="19"/>
  </r>
  <r>
    <d v="2005-08-05T00:00:00"/>
    <x v="9"/>
    <n v="172"/>
  </r>
  <r>
    <d v="2005-08-06T00:00:00"/>
    <x v="55"/>
    <n v="84"/>
  </r>
  <r>
    <d v="2005-08-06T00:00:00"/>
    <x v="68"/>
    <n v="8"/>
  </r>
  <r>
    <d v="2005-08-06T00:00:00"/>
    <x v="69"/>
    <n v="66"/>
  </r>
  <r>
    <d v="2005-08-07T00:00:00"/>
    <x v="37"/>
    <n v="35"/>
  </r>
  <r>
    <d v="2005-08-08T00:00:00"/>
    <x v="30"/>
    <n v="91"/>
  </r>
  <r>
    <d v="2005-08-13T00:00:00"/>
    <x v="7"/>
    <n v="396"/>
  </r>
  <r>
    <d v="2005-08-13T00:00:00"/>
    <x v="70"/>
    <n v="6"/>
  </r>
  <r>
    <d v="2005-08-15T00:00:00"/>
    <x v="28"/>
    <n v="47"/>
  </r>
  <r>
    <d v="2005-08-17T00:00:00"/>
    <x v="19"/>
    <n v="41"/>
  </r>
  <r>
    <d v="2005-08-18T00:00:00"/>
    <x v="71"/>
    <n v="136"/>
  </r>
  <r>
    <d v="2005-08-19T00:00:00"/>
    <x v="72"/>
    <n v="16"/>
  </r>
  <r>
    <d v="2005-08-21T00:00:00"/>
    <x v="73"/>
    <n v="18"/>
  </r>
  <r>
    <d v="2005-08-25T00:00:00"/>
    <x v="74"/>
    <n v="11"/>
  </r>
  <r>
    <d v="2005-08-25T00:00:00"/>
    <x v="75"/>
    <n v="8"/>
  </r>
  <r>
    <d v="2005-08-25T00:00:00"/>
    <x v="76"/>
    <n v="16"/>
  </r>
  <r>
    <d v="2005-08-25T00:00:00"/>
    <x v="28"/>
    <n v="54"/>
  </r>
  <r>
    <d v="2005-08-26T00:00:00"/>
    <x v="50"/>
    <n v="299"/>
  </r>
  <r>
    <d v="2005-08-28T00:00:00"/>
    <x v="69"/>
    <n v="168"/>
  </r>
  <r>
    <d v="2005-08-29T00:00:00"/>
    <x v="9"/>
    <n v="106"/>
  </r>
  <r>
    <d v="2005-08-30T00:00:00"/>
    <x v="12"/>
    <n v="41"/>
  </r>
  <r>
    <d v="2005-08-30T00:00:00"/>
    <x v="39"/>
    <n v="31"/>
  </r>
  <r>
    <d v="2005-09-01T00:00:00"/>
    <x v="77"/>
    <n v="8"/>
  </r>
  <r>
    <d v="2005-09-04T00:00:00"/>
    <x v="19"/>
    <n v="63"/>
  </r>
  <r>
    <d v="2005-09-07T00:00:00"/>
    <x v="5"/>
    <n v="368"/>
  </r>
  <r>
    <d v="2005-09-08T00:00:00"/>
    <x v="78"/>
    <n v="106"/>
  </r>
  <r>
    <d v="2005-09-09T00:00:00"/>
    <x v="8"/>
    <n v="47"/>
  </r>
  <r>
    <d v="2005-09-09T00:00:00"/>
    <x v="50"/>
    <n v="447"/>
  </r>
  <r>
    <d v="2005-09-10T00:00:00"/>
    <x v="69"/>
    <n v="106"/>
  </r>
  <r>
    <d v="2005-09-11T00:00:00"/>
    <x v="79"/>
    <n v="13"/>
  </r>
  <r>
    <d v="2005-09-11T00:00:00"/>
    <x v="52"/>
    <n v="89"/>
  </r>
  <r>
    <d v="2005-09-11T00:00:00"/>
    <x v="31"/>
    <n v="105"/>
  </r>
  <r>
    <d v="2005-09-11T00:00:00"/>
    <x v="7"/>
    <n v="147"/>
  </r>
  <r>
    <d v="2005-09-13T00:00:00"/>
    <x v="9"/>
    <n v="309"/>
  </r>
  <r>
    <d v="2005-09-15T00:00:00"/>
    <x v="28"/>
    <n v="47"/>
  </r>
  <r>
    <d v="2005-09-17T00:00:00"/>
    <x v="50"/>
    <n v="404"/>
  </r>
  <r>
    <d v="2005-09-17T00:00:00"/>
    <x v="80"/>
    <n v="39"/>
  </r>
  <r>
    <d v="2005-09-17T00:00:00"/>
    <x v="12"/>
    <n v="61"/>
  </r>
  <r>
    <d v="2005-09-20T00:00:00"/>
    <x v="66"/>
    <n v="89"/>
  </r>
  <r>
    <d v="2005-09-22T00:00:00"/>
    <x v="23"/>
    <n v="127"/>
  </r>
  <r>
    <d v="2005-09-25T00:00:00"/>
    <x v="18"/>
    <n v="81"/>
  </r>
  <r>
    <d v="2005-09-28T00:00:00"/>
    <x v="45"/>
    <n v="433"/>
  </r>
  <r>
    <d v="2005-09-28T00:00:00"/>
    <x v="9"/>
    <n v="284"/>
  </r>
  <r>
    <d v="2005-09-29T00:00:00"/>
    <x v="6"/>
    <n v="122"/>
  </r>
  <r>
    <d v="2005-10-01T00:00:00"/>
    <x v="80"/>
    <n v="193"/>
  </r>
  <r>
    <d v="2005-10-03T00:00:00"/>
    <x v="28"/>
    <n v="118"/>
  </r>
  <r>
    <d v="2005-10-04T00:00:00"/>
    <x v="5"/>
    <n v="173"/>
  </r>
  <r>
    <d v="2005-10-07T00:00:00"/>
    <x v="22"/>
    <n v="392"/>
  </r>
  <r>
    <d v="2005-10-08T00:00:00"/>
    <x v="16"/>
    <n v="8"/>
  </r>
  <r>
    <d v="2005-10-13T00:00:00"/>
    <x v="28"/>
    <n v="132"/>
  </r>
  <r>
    <d v="2005-10-13T00:00:00"/>
    <x v="8"/>
    <n v="76"/>
  </r>
  <r>
    <d v="2005-10-14T00:00:00"/>
    <x v="81"/>
    <n v="17"/>
  </r>
  <r>
    <d v="2005-10-15T00:00:00"/>
    <x v="82"/>
    <n v="17"/>
  </r>
  <r>
    <d v="2005-10-18T00:00:00"/>
    <x v="83"/>
    <n v="2"/>
  </r>
  <r>
    <d v="2005-10-20T00:00:00"/>
    <x v="19"/>
    <n v="125"/>
  </r>
  <r>
    <d v="2005-10-21T00:00:00"/>
    <x v="50"/>
    <n v="234"/>
  </r>
  <r>
    <d v="2005-10-27T00:00:00"/>
    <x v="69"/>
    <n v="53"/>
  </r>
  <r>
    <d v="2005-10-28T00:00:00"/>
    <x v="37"/>
    <n v="165"/>
  </r>
  <r>
    <d v="2005-10-28T00:00:00"/>
    <x v="10"/>
    <n v="177"/>
  </r>
  <r>
    <d v="2005-10-30T00:00:00"/>
    <x v="18"/>
    <n v="103"/>
  </r>
  <r>
    <d v="2005-11-01T00:00:00"/>
    <x v="84"/>
    <n v="2"/>
  </r>
  <r>
    <d v="2005-11-01T00:00:00"/>
    <x v="9"/>
    <n v="279"/>
  </r>
  <r>
    <d v="2005-11-06T00:00:00"/>
    <x v="30"/>
    <n v="185"/>
  </r>
  <r>
    <d v="2005-11-07T00:00:00"/>
    <x v="7"/>
    <n v="434"/>
  </r>
  <r>
    <d v="2005-11-11T00:00:00"/>
    <x v="85"/>
    <n v="10"/>
  </r>
  <r>
    <d v="2005-11-13T00:00:00"/>
    <x v="86"/>
    <n v="9"/>
  </r>
  <r>
    <d v="2005-11-14T00:00:00"/>
    <x v="24"/>
    <n v="383"/>
  </r>
  <r>
    <d v="2005-11-14T00:00:00"/>
    <x v="30"/>
    <n v="189"/>
  </r>
  <r>
    <d v="2005-11-16T00:00:00"/>
    <x v="12"/>
    <n v="161"/>
  </r>
  <r>
    <d v="2005-11-16T00:00:00"/>
    <x v="63"/>
    <n v="115"/>
  </r>
  <r>
    <d v="2005-11-18T00:00:00"/>
    <x v="69"/>
    <n v="58"/>
  </r>
  <r>
    <d v="2005-11-18T00:00:00"/>
    <x v="87"/>
    <n v="16"/>
  </r>
  <r>
    <d v="2005-11-19T00:00:00"/>
    <x v="53"/>
    <n v="17"/>
  </r>
  <r>
    <d v="2005-11-20T00:00:00"/>
    <x v="5"/>
    <n v="177"/>
  </r>
  <r>
    <d v="2005-11-21T00:00:00"/>
    <x v="78"/>
    <n v="33"/>
  </r>
  <r>
    <d v="2005-11-24T00:00:00"/>
    <x v="18"/>
    <n v="60"/>
  </r>
  <r>
    <d v="2005-11-26T00:00:00"/>
    <x v="88"/>
    <n v="8"/>
  </r>
  <r>
    <d v="2005-12-01T00:00:00"/>
    <x v="9"/>
    <n v="317"/>
  </r>
  <r>
    <d v="2005-12-03T00:00:00"/>
    <x v="89"/>
    <n v="3"/>
  </r>
  <r>
    <d v="2005-12-05T00:00:00"/>
    <x v="90"/>
    <n v="16"/>
  </r>
  <r>
    <d v="2005-12-14T00:00:00"/>
    <x v="65"/>
    <n v="2"/>
  </r>
  <r>
    <d v="2005-12-19T00:00:00"/>
    <x v="10"/>
    <n v="161"/>
  </r>
  <r>
    <d v="2005-12-22T00:00:00"/>
    <x v="37"/>
    <n v="187"/>
  </r>
  <r>
    <d v="2005-12-22T00:00:00"/>
    <x v="91"/>
    <n v="17"/>
  </r>
  <r>
    <d v="2005-12-23T00:00:00"/>
    <x v="92"/>
    <n v="5"/>
  </r>
  <r>
    <d v="2005-12-25T00:00:00"/>
    <x v="53"/>
    <n v="10"/>
  </r>
  <r>
    <d v="2005-12-25T00:00:00"/>
    <x v="14"/>
    <n v="225"/>
  </r>
  <r>
    <d v="2005-12-30T00:00:00"/>
    <x v="17"/>
    <n v="367"/>
  </r>
  <r>
    <d v="2006-01-04T00:00:00"/>
    <x v="14"/>
    <n v="295"/>
  </r>
  <r>
    <d v="2006-01-08T00:00:00"/>
    <x v="55"/>
    <n v="26"/>
  </r>
  <r>
    <d v="2006-01-08T00:00:00"/>
    <x v="93"/>
    <n v="16"/>
  </r>
  <r>
    <d v="2006-01-12T00:00:00"/>
    <x v="9"/>
    <n v="165"/>
  </r>
  <r>
    <d v="2006-01-12T00:00:00"/>
    <x v="94"/>
    <n v="20"/>
  </r>
  <r>
    <d v="2006-01-17T00:00:00"/>
    <x v="95"/>
    <n v="2"/>
  </r>
  <r>
    <d v="2006-01-17T00:00:00"/>
    <x v="96"/>
    <n v="7"/>
  </r>
  <r>
    <d v="2006-01-17T00:00:00"/>
    <x v="29"/>
    <n v="7"/>
  </r>
  <r>
    <d v="2006-01-17T00:00:00"/>
    <x v="78"/>
    <n v="72"/>
  </r>
  <r>
    <d v="2006-01-18T00:00:00"/>
    <x v="71"/>
    <n v="59"/>
  </r>
  <r>
    <d v="2006-01-19T00:00:00"/>
    <x v="45"/>
    <n v="212"/>
  </r>
  <r>
    <d v="2006-01-24T00:00:00"/>
    <x v="17"/>
    <n v="195"/>
  </r>
  <r>
    <d v="2006-01-24T00:00:00"/>
    <x v="57"/>
    <n v="16"/>
  </r>
  <r>
    <d v="2006-01-28T00:00:00"/>
    <x v="12"/>
    <n v="187"/>
  </r>
  <r>
    <d v="2006-02-03T00:00:00"/>
    <x v="17"/>
    <n v="369"/>
  </r>
  <r>
    <d v="2006-02-06T00:00:00"/>
    <x v="35"/>
    <n v="190"/>
  </r>
  <r>
    <d v="2006-02-06T00:00:00"/>
    <x v="14"/>
    <n v="453"/>
  </r>
  <r>
    <d v="2006-02-06T00:00:00"/>
    <x v="22"/>
    <n v="223"/>
  </r>
  <r>
    <d v="2006-02-07T00:00:00"/>
    <x v="64"/>
    <n v="1"/>
  </r>
  <r>
    <d v="2006-02-09T00:00:00"/>
    <x v="55"/>
    <n v="170"/>
  </r>
  <r>
    <d v="2006-02-09T00:00:00"/>
    <x v="86"/>
    <n v="19"/>
  </r>
  <r>
    <d v="2006-02-09T00:00:00"/>
    <x v="17"/>
    <n v="464"/>
  </r>
  <r>
    <d v="2006-02-13T00:00:00"/>
    <x v="7"/>
    <n v="230"/>
  </r>
  <r>
    <d v="2006-02-17T00:00:00"/>
    <x v="9"/>
    <n v="387"/>
  </r>
  <r>
    <d v="2006-02-18T00:00:00"/>
    <x v="45"/>
    <n v="264"/>
  </r>
  <r>
    <d v="2006-02-19T00:00:00"/>
    <x v="18"/>
    <n v="163"/>
  </r>
  <r>
    <d v="2006-02-20T00:00:00"/>
    <x v="36"/>
    <n v="14"/>
  </r>
  <r>
    <d v="2006-02-21T00:00:00"/>
    <x v="71"/>
    <n v="98"/>
  </r>
  <r>
    <d v="2006-03-04T00:00:00"/>
    <x v="97"/>
    <n v="16"/>
  </r>
  <r>
    <d v="2006-03-04T00:00:00"/>
    <x v="26"/>
    <n v="80"/>
  </r>
  <r>
    <d v="2006-03-08T00:00:00"/>
    <x v="39"/>
    <n v="127"/>
  </r>
  <r>
    <d v="2006-03-10T00:00:00"/>
    <x v="19"/>
    <n v="170"/>
  </r>
  <r>
    <d v="2006-03-11T00:00:00"/>
    <x v="61"/>
    <n v="28"/>
  </r>
  <r>
    <d v="2006-03-12T00:00:00"/>
    <x v="98"/>
    <n v="12"/>
  </r>
  <r>
    <d v="2006-03-14T00:00:00"/>
    <x v="99"/>
    <n v="10"/>
  </r>
  <r>
    <d v="2006-03-15T00:00:00"/>
    <x v="30"/>
    <n v="65"/>
  </r>
  <r>
    <d v="2006-03-16T00:00:00"/>
    <x v="100"/>
    <n v="17"/>
  </r>
  <r>
    <d v="2006-03-16T00:00:00"/>
    <x v="9"/>
    <n v="262"/>
  </r>
  <r>
    <d v="2006-03-16T00:00:00"/>
    <x v="101"/>
    <n v="20"/>
  </r>
  <r>
    <d v="2006-03-25T00:00:00"/>
    <x v="7"/>
    <n v="224"/>
  </r>
  <r>
    <d v="2006-04-01T00:00:00"/>
    <x v="52"/>
    <n v="199"/>
  </r>
  <r>
    <d v="2006-04-06T00:00:00"/>
    <x v="30"/>
    <n v="70"/>
  </r>
  <r>
    <d v="2006-04-08T00:00:00"/>
    <x v="102"/>
    <n v="171"/>
  </r>
  <r>
    <d v="2006-04-08T00:00:00"/>
    <x v="103"/>
    <n v="1"/>
  </r>
  <r>
    <d v="2006-04-10T00:00:00"/>
    <x v="94"/>
    <n v="13"/>
  </r>
  <r>
    <d v="2006-04-11T00:00:00"/>
    <x v="9"/>
    <n v="293"/>
  </r>
  <r>
    <d v="2006-04-11T00:00:00"/>
    <x v="87"/>
    <n v="11"/>
  </r>
  <r>
    <d v="2006-04-13T00:00:00"/>
    <x v="50"/>
    <n v="162"/>
  </r>
  <r>
    <d v="2006-04-14T00:00:00"/>
    <x v="58"/>
    <n v="187"/>
  </r>
  <r>
    <d v="2006-04-15T00:00:00"/>
    <x v="18"/>
    <n v="192"/>
  </r>
  <r>
    <d v="2006-04-17T00:00:00"/>
    <x v="24"/>
    <n v="127"/>
  </r>
  <r>
    <d v="2006-04-19T00:00:00"/>
    <x v="9"/>
    <n v="198"/>
  </r>
  <r>
    <d v="2006-04-19T00:00:00"/>
    <x v="104"/>
    <n v="4"/>
  </r>
  <r>
    <d v="2006-04-19T00:00:00"/>
    <x v="17"/>
    <n v="110"/>
  </r>
  <r>
    <d v="2006-04-19T00:00:00"/>
    <x v="18"/>
    <n v="123"/>
  </r>
  <r>
    <d v="2006-04-20T00:00:00"/>
    <x v="66"/>
    <n v="159"/>
  </r>
  <r>
    <d v="2006-04-21T00:00:00"/>
    <x v="105"/>
    <n v="19"/>
  </r>
  <r>
    <d v="2006-04-27T00:00:00"/>
    <x v="22"/>
    <n v="289"/>
  </r>
  <r>
    <d v="2006-04-27T00:00:00"/>
    <x v="23"/>
    <n v="136"/>
  </r>
  <r>
    <d v="2006-05-08T00:00:00"/>
    <x v="25"/>
    <n v="41"/>
  </r>
  <r>
    <d v="2006-05-09T00:00:00"/>
    <x v="45"/>
    <n v="385"/>
  </r>
  <r>
    <d v="2006-05-10T00:00:00"/>
    <x v="106"/>
    <n v="17"/>
  </r>
  <r>
    <d v="2006-05-10T00:00:00"/>
    <x v="107"/>
    <n v="20"/>
  </r>
  <r>
    <d v="2006-05-14T00:00:00"/>
    <x v="108"/>
    <n v="19"/>
  </r>
  <r>
    <d v="2006-05-15T00:00:00"/>
    <x v="43"/>
    <n v="13"/>
  </r>
  <r>
    <d v="2006-05-16T00:00:00"/>
    <x v="97"/>
    <n v="13"/>
  </r>
  <r>
    <d v="2006-05-18T00:00:00"/>
    <x v="80"/>
    <n v="168"/>
  </r>
  <r>
    <d v="2006-05-18T00:00:00"/>
    <x v="109"/>
    <n v="18"/>
  </r>
  <r>
    <d v="2006-05-18T00:00:00"/>
    <x v="14"/>
    <n v="131"/>
  </r>
  <r>
    <d v="2006-05-19T00:00:00"/>
    <x v="22"/>
    <n v="187"/>
  </r>
  <r>
    <d v="2006-05-20T00:00:00"/>
    <x v="24"/>
    <n v="412"/>
  </r>
  <r>
    <d v="2006-05-22T00:00:00"/>
    <x v="6"/>
    <n v="40"/>
  </r>
  <r>
    <d v="2006-05-23T00:00:00"/>
    <x v="37"/>
    <n v="166"/>
  </r>
  <r>
    <d v="2006-05-24T00:00:00"/>
    <x v="66"/>
    <n v="173"/>
  </r>
  <r>
    <d v="2006-05-25T00:00:00"/>
    <x v="110"/>
    <n v="2"/>
  </r>
  <r>
    <d v="2006-05-25T00:00:00"/>
    <x v="111"/>
    <n v="18"/>
  </r>
  <r>
    <d v="2006-05-26T00:00:00"/>
    <x v="112"/>
    <n v="15"/>
  </r>
  <r>
    <d v="2006-05-27T00:00:00"/>
    <x v="102"/>
    <n v="243"/>
  </r>
  <r>
    <d v="2006-05-28T00:00:00"/>
    <x v="17"/>
    <n v="460"/>
  </r>
  <r>
    <d v="2006-05-28T00:00:00"/>
    <x v="113"/>
    <n v="8"/>
  </r>
  <r>
    <d v="2006-05-29T00:00:00"/>
    <x v="8"/>
    <n v="150"/>
  </r>
  <r>
    <d v="2006-05-30T00:00:00"/>
    <x v="52"/>
    <n v="72"/>
  </r>
  <r>
    <d v="2006-05-30T00:00:00"/>
    <x v="9"/>
    <n v="217"/>
  </r>
  <r>
    <d v="2006-06-02T00:00:00"/>
    <x v="39"/>
    <n v="164"/>
  </r>
  <r>
    <d v="2006-06-02T00:00:00"/>
    <x v="45"/>
    <n v="429"/>
  </r>
  <r>
    <d v="2006-06-07T00:00:00"/>
    <x v="8"/>
    <n v="63"/>
  </r>
  <r>
    <d v="2006-06-10T00:00:00"/>
    <x v="30"/>
    <n v="106"/>
  </r>
  <r>
    <d v="2006-06-18T00:00:00"/>
    <x v="22"/>
    <n v="136"/>
  </r>
  <r>
    <d v="2006-06-19T00:00:00"/>
    <x v="114"/>
    <n v="7"/>
  </r>
  <r>
    <d v="2006-06-28T00:00:00"/>
    <x v="12"/>
    <n v="114"/>
  </r>
  <r>
    <d v="2006-06-28T00:00:00"/>
    <x v="115"/>
    <n v="12"/>
  </r>
  <r>
    <d v="2006-07-04T00:00:00"/>
    <x v="9"/>
    <n v="443"/>
  </r>
  <r>
    <d v="2006-07-06T00:00:00"/>
    <x v="52"/>
    <n v="73"/>
  </r>
  <r>
    <d v="2006-07-09T00:00:00"/>
    <x v="116"/>
    <n v="15"/>
  </r>
  <r>
    <d v="2006-07-09T00:00:00"/>
    <x v="117"/>
    <n v="9"/>
  </r>
  <r>
    <d v="2006-07-10T00:00:00"/>
    <x v="118"/>
    <n v="20"/>
  </r>
  <r>
    <d v="2006-07-12T00:00:00"/>
    <x v="119"/>
    <n v="9"/>
  </r>
  <r>
    <d v="2006-07-13T00:00:00"/>
    <x v="120"/>
    <n v="88"/>
  </r>
  <r>
    <d v="2006-07-13T00:00:00"/>
    <x v="7"/>
    <n v="139"/>
  </r>
  <r>
    <d v="2006-07-14T00:00:00"/>
    <x v="22"/>
    <n v="346"/>
  </r>
  <r>
    <d v="2006-07-20T00:00:00"/>
    <x v="121"/>
    <n v="3"/>
  </r>
  <r>
    <d v="2006-07-20T00:00:00"/>
    <x v="122"/>
    <n v="9"/>
  </r>
  <r>
    <d v="2006-07-20T00:00:00"/>
    <x v="9"/>
    <n v="323"/>
  </r>
  <r>
    <d v="2006-07-21T00:00:00"/>
    <x v="102"/>
    <n v="382"/>
  </r>
  <r>
    <d v="2006-07-25T00:00:00"/>
    <x v="17"/>
    <n v="296"/>
  </r>
  <r>
    <d v="2006-07-26T00:00:00"/>
    <x v="5"/>
    <n v="121"/>
  </r>
  <r>
    <d v="2006-07-26T00:00:00"/>
    <x v="25"/>
    <n v="157"/>
  </r>
  <r>
    <d v="2006-07-28T00:00:00"/>
    <x v="9"/>
    <n v="497"/>
  </r>
  <r>
    <d v="2006-07-29T00:00:00"/>
    <x v="9"/>
    <n v="103"/>
  </r>
  <r>
    <d v="2006-07-30T00:00:00"/>
    <x v="30"/>
    <n v="142"/>
  </r>
  <r>
    <d v="2006-07-31T00:00:00"/>
    <x v="23"/>
    <n v="144"/>
  </r>
  <r>
    <d v="2006-08-02T00:00:00"/>
    <x v="100"/>
    <n v="8"/>
  </r>
  <r>
    <d v="2006-08-07T00:00:00"/>
    <x v="55"/>
    <n v="172"/>
  </r>
  <r>
    <d v="2006-08-11T00:00:00"/>
    <x v="7"/>
    <n v="290"/>
  </r>
  <r>
    <d v="2006-08-13T00:00:00"/>
    <x v="14"/>
    <n v="422"/>
  </r>
  <r>
    <d v="2006-08-16T00:00:00"/>
    <x v="109"/>
    <n v="12"/>
  </r>
  <r>
    <d v="2006-08-19T00:00:00"/>
    <x v="55"/>
    <n v="104"/>
  </r>
  <r>
    <d v="2006-08-20T00:00:00"/>
    <x v="35"/>
    <n v="97"/>
  </r>
  <r>
    <d v="2006-08-21T00:00:00"/>
    <x v="26"/>
    <n v="179"/>
  </r>
  <r>
    <d v="2006-08-24T00:00:00"/>
    <x v="50"/>
    <n v="256"/>
  </r>
  <r>
    <d v="2006-08-25T00:00:00"/>
    <x v="113"/>
    <n v="20"/>
  </r>
  <r>
    <d v="2006-08-25T00:00:00"/>
    <x v="105"/>
    <n v="10"/>
  </r>
  <r>
    <d v="2006-08-26T00:00:00"/>
    <x v="7"/>
    <n v="407"/>
  </r>
  <r>
    <d v="2006-08-27T00:00:00"/>
    <x v="22"/>
    <n v="297"/>
  </r>
  <r>
    <d v="2006-08-27T00:00:00"/>
    <x v="71"/>
    <n v="133"/>
  </r>
  <r>
    <d v="2006-08-27T00:00:00"/>
    <x v="35"/>
    <n v="33"/>
  </r>
  <r>
    <d v="2006-08-30T00:00:00"/>
    <x v="14"/>
    <n v="220"/>
  </r>
  <r>
    <d v="2006-08-30T00:00:00"/>
    <x v="28"/>
    <n v="114"/>
  </r>
  <r>
    <d v="2006-09-02T00:00:00"/>
    <x v="8"/>
    <n v="130"/>
  </r>
  <r>
    <d v="2006-09-02T00:00:00"/>
    <x v="30"/>
    <n v="52"/>
  </r>
  <r>
    <d v="2006-09-02T00:00:00"/>
    <x v="28"/>
    <n v="33"/>
  </r>
  <r>
    <d v="2006-09-03T00:00:00"/>
    <x v="61"/>
    <n v="57"/>
  </r>
  <r>
    <d v="2006-09-05T00:00:00"/>
    <x v="123"/>
    <n v="190"/>
  </r>
  <r>
    <d v="2006-09-05T00:00:00"/>
    <x v="84"/>
    <n v="8"/>
  </r>
  <r>
    <d v="2006-09-05T00:00:00"/>
    <x v="7"/>
    <n v="255"/>
  </r>
  <r>
    <d v="2006-09-07T00:00:00"/>
    <x v="71"/>
    <n v="108"/>
  </r>
  <r>
    <d v="2006-09-11T00:00:00"/>
    <x v="18"/>
    <n v="78"/>
  </r>
  <r>
    <d v="2006-09-12T00:00:00"/>
    <x v="7"/>
    <n v="364"/>
  </r>
  <r>
    <d v="2006-09-13T00:00:00"/>
    <x v="66"/>
    <n v="52"/>
  </r>
  <r>
    <d v="2006-09-14T00:00:00"/>
    <x v="102"/>
    <n v="343"/>
  </r>
  <r>
    <d v="2006-09-16T00:00:00"/>
    <x v="52"/>
    <n v="197"/>
  </r>
  <r>
    <d v="2006-09-17T00:00:00"/>
    <x v="124"/>
    <n v="4"/>
  </r>
  <r>
    <d v="2006-09-18T00:00:00"/>
    <x v="125"/>
    <n v="8"/>
  </r>
  <r>
    <d v="2006-09-18T00:00:00"/>
    <x v="56"/>
    <n v="11"/>
  </r>
  <r>
    <d v="2006-09-18T00:00:00"/>
    <x v="72"/>
    <n v="10"/>
  </r>
  <r>
    <d v="2006-09-21T00:00:00"/>
    <x v="61"/>
    <n v="96"/>
  </r>
  <r>
    <d v="2006-09-21T00:00:00"/>
    <x v="55"/>
    <n v="30"/>
  </r>
  <r>
    <d v="2006-09-22T00:00:00"/>
    <x v="126"/>
    <n v="17"/>
  </r>
  <r>
    <d v="2006-09-25T00:00:00"/>
    <x v="122"/>
    <n v="17"/>
  </r>
  <r>
    <d v="2006-09-25T00:00:00"/>
    <x v="12"/>
    <n v="180"/>
  </r>
  <r>
    <d v="2006-09-25T00:00:00"/>
    <x v="31"/>
    <n v="94"/>
  </r>
  <r>
    <d v="2006-09-26T00:00:00"/>
    <x v="39"/>
    <n v="45"/>
  </r>
  <r>
    <d v="2006-09-27T00:00:00"/>
    <x v="7"/>
    <n v="380"/>
  </r>
  <r>
    <d v="2006-09-27T00:00:00"/>
    <x v="43"/>
    <n v="5"/>
  </r>
  <r>
    <d v="2006-10-01T00:00:00"/>
    <x v="37"/>
    <n v="170"/>
  </r>
  <r>
    <d v="2006-10-05T00:00:00"/>
    <x v="45"/>
    <n v="198"/>
  </r>
  <r>
    <d v="2006-10-08T00:00:00"/>
    <x v="17"/>
    <n v="283"/>
  </r>
  <r>
    <d v="2006-10-11T00:00:00"/>
    <x v="123"/>
    <n v="42"/>
  </r>
  <r>
    <d v="2006-10-13T00:00:00"/>
    <x v="6"/>
    <n v="163"/>
  </r>
  <r>
    <d v="2006-10-19T00:00:00"/>
    <x v="17"/>
    <n v="115"/>
  </r>
  <r>
    <d v="2006-10-24T00:00:00"/>
    <x v="71"/>
    <n v="75"/>
  </r>
  <r>
    <d v="2006-10-25T00:00:00"/>
    <x v="45"/>
    <n v="403"/>
  </r>
  <r>
    <d v="2006-10-29T00:00:00"/>
    <x v="17"/>
    <n v="465"/>
  </r>
  <r>
    <d v="2006-10-31T00:00:00"/>
    <x v="6"/>
    <n v="194"/>
  </r>
  <r>
    <d v="2006-10-31T00:00:00"/>
    <x v="69"/>
    <n v="122"/>
  </r>
  <r>
    <d v="2006-10-31T00:00:00"/>
    <x v="19"/>
    <n v="186"/>
  </r>
  <r>
    <d v="2006-11-05T00:00:00"/>
    <x v="12"/>
    <n v="137"/>
  </r>
  <r>
    <d v="2006-11-08T00:00:00"/>
    <x v="79"/>
    <n v="10"/>
  </r>
  <r>
    <d v="2006-11-11T00:00:00"/>
    <x v="50"/>
    <n v="437"/>
  </r>
  <r>
    <d v="2006-11-13T00:00:00"/>
    <x v="127"/>
    <n v="20"/>
  </r>
  <r>
    <d v="2006-11-14T00:00:00"/>
    <x v="14"/>
    <n v="108"/>
  </r>
  <r>
    <d v="2006-11-19T00:00:00"/>
    <x v="37"/>
    <n v="62"/>
  </r>
  <r>
    <d v="2006-11-19T00:00:00"/>
    <x v="7"/>
    <n v="426"/>
  </r>
  <r>
    <d v="2006-11-22T00:00:00"/>
    <x v="45"/>
    <n v="303"/>
  </r>
  <r>
    <d v="2006-11-23T00:00:00"/>
    <x v="0"/>
    <n v="20"/>
  </r>
  <r>
    <d v="2006-11-26T00:00:00"/>
    <x v="9"/>
    <n v="237"/>
  </r>
  <r>
    <d v="2006-11-27T00:00:00"/>
    <x v="23"/>
    <n v="151"/>
  </r>
  <r>
    <d v="2006-11-28T00:00:00"/>
    <x v="128"/>
    <n v="6"/>
  </r>
  <r>
    <d v="2006-12-01T00:00:00"/>
    <x v="6"/>
    <n v="124"/>
  </r>
  <r>
    <d v="2006-12-03T00:00:00"/>
    <x v="129"/>
    <n v="7"/>
  </r>
  <r>
    <d v="2006-12-04T00:00:00"/>
    <x v="130"/>
    <n v="7"/>
  </r>
  <r>
    <d v="2006-12-06T00:00:00"/>
    <x v="45"/>
    <n v="105"/>
  </r>
  <r>
    <d v="2006-12-07T00:00:00"/>
    <x v="69"/>
    <n v="58"/>
  </r>
  <r>
    <d v="2006-12-07T00:00:00"/>
    <x v="131"/>
    <n v="182"/>
  </r>
  <r>
    <d v="2006-12-09T00:00:00"/>
    <x v="50"/>
    <n v="163"/>
  </r>
  <r>
    <d v="2006-12-09T00:00:00"/>
    <x v="132"/>
    <n v="14"/>
  </r>
  <r>
    <d v="2006-12-10T00:00:00"/>
    <x v="133"/>
    <n v="4"/>
  </r>
  <r>
    <d v="2006-12-11T00:00:00"/>
    <x v="134"/>
    <n v="13"/>
  </r>
  <r>
    <d v="2006-12-12T00:00:00"/>
    <x v="7"/>
    <n v="422"/>
  </r>
  <r>
    <d v="2006-12-13T00:00:00"/>
    <x v="82"/>
    <n v="6"/>
  </r>
  <r>
    <d v="2006-12-18T00:00:00"/>
    <x v="135"/>
    <n v="15"/>
  </r>
  <r>
    <d v="2006-12-19T00:00:00"/>
    <x v="30"/>
    <n v="168"/>
  </r>
  <r>
    <d v="2006-12-21T00:00:00"/>
    <x v="50"/>
    <n v="193"/>
  </r>
  <r>
    <d v="2006-12-27T00:00:00"/>
    <x v="105"/>
    <n v="15"/>
  </r>
  <r>
    <d v="2006-12-28T00:00:00"/>
    <x v="23"/>
    <n v="27"/>
  </r>
  <r>
    <d v="2006-12-29T00:00:00"/>
    <x v="23"/>
    <n v="116"/>
  </r>
  <r>
    <d v="2006-12-30T00:00:00"/>
    <x v="61"/>
    <n v="21"/>
  </r>
  <r>
    <d v="2006-12-30T00:00:00"/>
    <x v="23"/>
    <n v="61"/>
  </r>
  <r>
    <d v="2006-12-30T00:00:00"/>
    <x v="17"/>
    <n v="458"/>
  </r>
  <r>
    <d v="2006-12-31T00:00:00"/>
    <x v="136"/>
    <n v="19"/>
  </r>
  <r>
    <d v="2007-01-02T00:00:00"/>
    <x v="55"/>
    <n v="81"/>
  </r>
  <r>
    <d v="2007-01-03T00:00:00"/>
    <x v="18"/>
    <n v="86"/>
  </r>
  <r>
    <d v="2007-01-04T00:00:00"/>
    <x v="7"/>
    <n v="142"/>
  </r>
  <r>
    <d v="2007-01-10T00:00:00"/>
    <x v="17"/>
    <n v="459"/>
  </r>
  <r>
    <d v="2007-01-11T00:00:00"/>
    <x v="40"/>
    <n v="20"/>
  </r>
  <r>
    <d v="2007-01-13T00:00:00"/>
    <x v="45"/>
    <n v="245"/>
  </r>
  <r>
    <d v="2007-01-13T00:00:00"/>
    <x v="100"/>
    <n v="19"/>
  </r>
  <r>
    <d v="2007-01-14T00:00:00"/>
    <x v="10"/>
    <n v="159"/>
  </r>
  <r>
    <d v="2007-01-15T00:00:00"/>
    <x v="23"/>
    <n v="99"/>
  </r>
  <r>
    <d v="2007-01-17T00:00:00"/>
    <x v="22"/>
    <n v="213"/>
  </r>
  <r>
    <d v="2007-01-24T00:00:00"/>
    <x v="14"/>
    <n v="349"/>
  </r>
  <r>
    <d v="2007-01-27T00:00:00"/>
    <x v="17"/>
    <n v="114"/>
  </r>
  <r>
    <d v="2007-01-27T00:00:00"/>
    <x v="27"/>
    <n v="12"/>
  </r>
  <r>
    <d v="2007-01-29T00:00:00"/>
    <x v="99"/>
    <n v="12"/>
  </r>
  <r>
    <d v="2007-02-04T00:00:00"/>
    <x v="12"/>
    <n v="132"/>
  </r>
  <r>
    <d v="2007-02-07T00:00:00"/>
    <x v="23"/>
    <n v="197"/>
  </r>
  <r>
    <d v="2007-02-07T00:00:00"/>
    <x v="15"/>
    <n v="5"/>
  </r>
  <r>
    <d v="2007-02-07T00:00:00"/>
    <x v="50"/>
    <n v="403"/>
  </r>
  <r>
    <d v="2007-02-08T00:00:00"/>
    <x v="10"/>
    <n v="200"/>
  </r>
  <r>
    <d v="2007-02-11T00:00:00"/>
    <x v="69"/>
    <n v="23"/>
  </r>
  <r>
    <d v="2007-02-18T00:00:00"/>
    <x v="45"/>
    <n v="337"/>
  </r>
  <r>
    <d v="2007-02-19T00:00:00"/>
    <x v="5"/>
    <n v="500"/>
  </r>
  <r>
    <d v="2007-02-19T00:00:00"/>
    <x v="90"/>
    <n v="9"/>
  </r>
  <r>
    <d v="2007-02-21T00:00:00"/>
    <x v="131"/>
    <n v="39"/>
  </r>
  <r>
    <d v="2007-02-26T00:00:00"/>
    <x v="78"/>
    <n v="156"/>
  </r>
  <r>
    <d v="2007-02-27T00:00:00"/>
    <x v="17"/>
    <n v="258"/>
  </r>
  <r>
    <d v="2007-02-27T00:00:00"/>
    <x v="94"/>
    <n v="14"/>
  </r>
  <r>
    <d v="2007-03-01T00:00:00"/>
    <x v="12"/>
    <n v="91"/>
  </r>
  <r>
    <d v="2007-03-08T00:00:00"/>
    <x v="12"/>
    <n v="68"/>
  </r>
  <r>
    <d v="2007-03-09T00:00:00"/>
    <x v="137"/>
    <n v="13"/>
  </r>
  <r>
    <d v="2007-03-11T00:00:00"/>
    <x v="28"/>
    <n v="118"/>
  </r>
  <r>
    <d v="2007-03-13T00:00:00"/>
    <x v="25"/>
    <n v="54"/>
  </r>
  <r>
    <d v="2007-03-17T00:00:00"/>
    <x v="138"/>
    <n v="10"/>
  </r>
  <r>
    <d v="2007-03-21T00:00:00"/>
    <x v="50"/>
    <n v="339"/>
  </r>
  <r>
    <d v="2007-03-22T00:00:00"/>
    <x v="30"/>
    <n v="80"/>
  </r>
  <r>
    <d v="2007-03-24T00:00:00"/>
    <x v="22"/>
    <n v="431"/>
  </r>
  <r>
    <d v="2007-03-26T00:00:00"/>
    <x v="50"/>
    <n v="268"/>
  </r>
  <r>
    <d v="2007-03-26T00:00:00"/>
    <x v="22"/>
    <n v="440"/>
  </r>
  <r>
    <d v="2007-03-26T00:00:00"/>
    <x v="5"/>
    <n v="396"/>
  </r>
  <r>
    <d v="2007-03-26T00:00:00"/>
    <x v="18"/>
    <n v="157"/>
  </r>
  <r>
    <d v="2007-03-30T00:00:00"/>
    <x v="12"/>
    <n v="194"/>
  </r>
  <r>
    <d v="2007-03-31T00:00:00"/>
    <x v="39"/>
    <n v="156"/>
  </r>
  <r>
    <d v="2007-04-01T00:00:00"/>
    <x v="112"/>
    <n v="11"/>
  </r>
  <r>
    <d v="2007-04-02T00:00:00"/>
    <x v="35"/>
    <n v="110"/>
  </r>
  <r>
    <d v="2007-04-04T00:00:00"/>
    <x v="139"/>
    <n v="12"/>
  </r>
  <r>
    <d v="2007-04-05T00:00:00"/>
    <x v="5"/>
    <n v="464"/>
  </r>
  <r>
    <d v="2007-04-06T00:00:00"/>
    <x v="66"/>
    <n v="40"/>
  </r>
  <r>
    <d v="2007-04-07T00:00:00"/>
    <x v="39"/>
    <n v="52"/>
  </r>
  <r>
    <d v="2007-04-12T00:00:00"/>
    <x v="75"/>
    <n v="12"/>
  </r>
  <r>
    <d v="2007-04-14T00:00:00"/>
    <x v="7"/>
    <n v="412"/>
  </r>
  <r>
    <d v="2007-04-16T00:00:00"/>
    <x v="17"/>
    <n v="268"/>
  </r>
  <r>
    <d v="2007-04-16T00:00:00"/>
    <x v="7"/>
    <n v="495"/>
  </r>
  <r>
    <d v="2007-04-16T00:00:00"/>
    <x v="35"/>
    <n v="30"/>
  </r>
  <r>
    <d v="2007-04-19T00:00:00"/>
    <x v="6"/>
    <n v="67"/>
  </r>
  <r>
    <d v="2007-04-25T00:00:00"/>
    <x v="14"/>
    <n v="497"/>
  </r>
  <r>
    <d v="2007-04-28T00:00:00"/>
    <x v="22"/>
    <n v="102"/>
  </r>
  <r>
    <d v="2007-05-01T00:00:00"/>
    <x v="7"/>
    <n v="322"/>
  </r>
  <r>
    <d v="2007-05-02T00:00:00"/>
    <x v="9"/>
    <n v="297"/>
  </r>
  <r>
    <d v="2007-05-04T00:00:00"/>
    <x v="12"/>
    <n v="179"/>
  </r>
  <r>
    <d v="2007-05-06T00:00:00"/>
    <x v="140"/>
    <n v="15"/>
  </r>
  <r>
    <d v="2007-05-08T00:00:00"/>
    <x v="61"/>
    <n v="65"/>
  </r>
  <r>
    <d v="2007-05-10T00:00:00"/>
    <x v="7"/>
    <n v="297"/>
  </r>
  <r>
    <d v="2007-05-12T00:00:00"/>
    <x v="8"/>
    <n v="131"/>
  </r>
  <r>
    <d v="2007-05-13T00:00:00"/>
    <x v="141"/>
    <n v="12"/>
  </r>
  <r>
    <d v="2007-05-13T00:00:00"/>
    <x v="18"/>
    <n v="114"/>
  </r>
  <r>
    <d v="2007-05-16T00:00:00"/>
    <x v="14"/>
    <n v="293"/>
  </r>
  <r>
    <d v="2007-05-18T00:00:00"/>
    <x v="142"/>
    <n v="18"/>
  </r>
  <r>
    <d v="2007-05-18T00:00:00"/>
    <x v="19"/>
    <n v="186"/>
  </r>
  <r>
    <d v="2007-05-21T00:00:00"/>
    <x v="28"/>
    <n v="119"/>
  </r>
  <r>
    <d v="2007-05-25T00:00:00"/>
    <x v="130"/>
    <n v="4"/>
  </r>
  <r>
    <d v="2007-05-28T00:00:00"/>
    <x v="14"/>
    <n v="415"/>
  </r>
  <r>
    <d v="2007-05-28T00:00:00"/>
    <x v="13"/>
    <n v="10"/>
  </r>
  <r>
    <d v="2007-05-28T00:00:00"/>
    <x v="18"/>
    <n v="159"/>
  </r>
  <r>
    <d v="2007-05-29T00:00:00"/>
    <x v="17"/>
    <n v="140"/>
  </r>
  <r>
    <d v="2007-06-06T00:00:00"/>
    <x v="19"/>
    <n v="128"/>
  </r>
  <r>
    <d v="2007-06-14T00:00:00"/>
    <x v="143"/>
    <n v="9"/>
  </r>
  <r>
    <d v="2007-06-14T00:00:00"/>
    <x v="17"/>
    <n v="121"/>
  </r>
  <r>
    <d v="2007-06-15T00:00:00"/>
    <x v="14"/>
    <n v="169"/>
  </r>
  <r>
    <d v="2007-06-17T00:00:00"/>
    <x v="55"/>
    <n v="118"/>
  </r>
  <r>
    <d v="2007-06-17T00:00:00"/>
    <x v="78"/>
    <n v="37"/>
  </r>
  <r>
    <d v="2007-06-20T00:00:00"/>
    <x v="35"/>
    <n v="198"/>
  </r>
  <r>
    <d v="2007-06-21T00:00:00"/>
    <x v="28"/>
    <n v="74"/>
  </r>
  <r>
    <d v="2007-06-26T00:00:00"/>
    <x v="144"/>
    <n v="18"/>
  </r>
  <r>
    <d v="2007-06-30T00:00:00"/>
    <x v="24"/>
    <n v="291"/>
  </r>
  <r>
    <d v="2007-07-07T00:00:00"/>
    <x v="9"/>
    <n v="208"/>
  </r>
  <r>
    <d v="2007-07-07T00:00:00"/>
    <x v="5"/>
    <n v="354"/>
  </r>
  <r>
    <d v="2007-07-14T00:00:00"/>
    <x v="25"/>
    <n v="113"/>
  </r>
  <r>
    <d v="2007-07-15T00:00:00"/>
    <x v="145"/>
    <n v="3"/>
  </r>
  <r>
    <d v="2007-07-15T00:00:00"/>
    <x v="45"/>
    <n v="446"/>
  </r>
  <r>
    <d v="2007-07-15T00:00:00"/>
    <x v="121"/>
    <n v="9"/>
  </r>
  <r>
    <d v="2007-07-19T00:00:00"/>
    <x v="50"/>
    <n v="445"/>
  </r>
  <r>
    <d v="2007-07-20T00:00:00"/>
    <x v="69"/>
    <n v="47"/>
  </r>
  <r>
    <d v="2007-07-21T00:00:00"/>
    <x v="146"/>
    <n v="14"/>
  </r>
  <r>
    <d v="2007-07-26T00:00:00"/>
    <x v="37"/>
    <n v="187"/>
  </r>
  <r>
    <d v="2007-07-27T00:00:00"/>
    <x v="45"/>
    <n v="355"/>
  </r>
  <r>
    <d v="2007-07-28T00:00:00"/>
    <x v="115"/>
    <n v="6"/>
  </r>
  <r>
    <d v="2007-07-29T00:00:00"/>
    <x v="68"/>
    <n v="18"/>
  </r>
  <r>
    <d v="2007-07-31T00:00:00"/>
    <x v="71"/>
    <n v="111"/>
  </r>
  <r>
    <d v="2007-07-31T00:00:00"/>
    <x v="8"/>
    <n v="156"/>
  </r>
  <r>
    <d v="2007-08-01T00:00:00"/>
    <x v="45"/>
    <n v="396"/>
  </r>
  <r>
    <d v="2007-08-05T00:00:00"/>
    <x v="60"/>
    <n v="7"/>
  </r>
  <r>
    <d v="2007-08-07T00:00:00"/>
    <x v="55"/>
    <n v="98"/>
  </r>
  <r>
    <d v="2007-08-09T00:00:00"/>
    <x v="45"/>
    <n v="405"/>
  </r>
  <r>
    <d v="2007-08-11T00:00:00"/>
    <x v="7"/>
    <n v="220"/>
  </r>
  <r>
    <d v="2007-08-12T00:00:00"/>
    <x v="30"/>
    <n v="141"/>
  </r>
  <r>
    <d v="2007-08-13T00:00:00"/>
    <x v="90"/>
    <n v="17"/>
  </r>
  <r>
    <d v="2007-08-13T00:00:00"/>
    <x v="9"/>
    <n v="260"/>
  </r>
  <r>
    <d v="2007-08-14T00:00:00"/>
    <x v="119"/>
    <n v="11"/>
  </r>
  <r>
    <d v="2007-08-18T00:00:00"/>
    <x v="52"/>
    <n v="182"/>
  </r>
  <r>
    <d v="2007-08-20T00:00:00"/>
    <x v="37"/>
    <n v="59"/>
  </r>
  <r>
    <d v="2007-08-21T00:00:00"/>
    <x v="66"/>
    <n v="45"/>
  </r>
  <r>
    <d v="2007-08-21T00:00:00"/>
    <x v="76"/>
    <n v="3"/>
  </r>
  <r>
    <d v="2007-08-23T00:00:00"/>
    <x v="61"/>
    <n v="52"/>
  </r>
  <r>
    <d v="2007-08-23T00:00:00"/>
    <x v="22"/>
    <n v="373"/>
  </r>
  <r>
    <d v="2007-08-24T00:00:00"/>
    <x v="34"/>
    <n v="2"/>
  </r>
  <r>
    <d v="2007-08-24T00:00:00"/>
    <x v="24"/>
    <n v="445"/>
  </r>
  <r>
    <d v="2007-08-25T00:00:00"/>
    <x v="52"/>
    <n v="93"/>
  </r>
  <r>
    <d v="2007-08-30T00:00:00"/>
    <x v="22"/>
    <n v="329"/>
  </r>
  <r>
    <d v="2007-09-01T00:00:00"/>
    <x v="22"/>
    <n v="217"/>
  </r>
  <r>
    <d v="2007-09-01T00:00:00"/>
    <x v="18"/>
    <n v="165"/>
  </r>
  <r>
    <d v="2007-09-02T00:00:00"/>
    <x v="41"/>
    <n v="20"/>
  </r>
  <r>
    <d v="2007-09-03T00:00:00"/>
    <x v="33"/>
    <n v="11"/>
  </r>
  <r>
    <d v="2007-09-04T00:00:00"/>
    <x v="14"/>
    <n v="294"/>
  </r>
  <r>
    <d v="2007-09-06T00:00:00"/>
    <x v="12"/>
    <n v="82"/>
  </r>
  <r>
    <d v="2007-09-06T00:00:00"/>
    <x v="23"/>
    <n v="186"/>
  </r>
  <r>
    <d v="2007-09-08T00:00:00"/>
    <x v="10"/>
    <n v="163"/>
  </r>
  <r>
    <d v="2007-09-08T00:00:00"/>
    <x v="30"/>
    <n v="148"/>
  </r>
  <r>
    <d v="2007-09-09T00:00:00"/>
    <x v="40"/>
    <n v="2"/>
  </r>
  <r>
    <d v="2007-09-11T00:00:00"/>
    <x v="22"/>
    <n v="343"/>
  </r>
  <r>
    <d v="2007-09-11T00:00:00"/>
    <x v="71"/>
    <n v="51"/>
  </r>
  <r>
    <d v="2007-09-14T00:00:00"/>
    <x v="10"/>
    <n v="164"/>
  </r>
  <r>
    <d v="2007-09-14T00:00:00"/>
    <x v="4"/>
    <n v="5"/>
  </r>
  <r>
    <d v="2007-09-15T00:00:00"/>
    <x v="7"/>
    <n v="260"/>
  </r>
  <r>
    <d v="2007-09-15T00:00:00"/>
    <x v="9"/>
    <n v="415"/>
  </r>
  <r>
    <d v="2007-09-16T00:00:00"/>
    <x v="9"/>
    <n v="467"/>
  </r>
  <r>
    <d v="2007-09-16T00:00:00"/>
    <x v="61"/>
    <n v="43"/>
  </r>
  <r>
    <d v="2007-09-17T00:00:00"/>
    <x v="8"/>
    <n v="40"/>
  </r>
  <r>
    <d v="2007-09-19T00:00:00"/>
    <x v="147"/>
    <n v="10"/>
  </r>
  <r>
    <d v="2007-09-20T00:00:00"/>
    <x v="9"/>
    <n v="197"/>
  </r>
  <r>
    <d v="2007-09-23T00:00:00"/>
    <x v="78"/>
    <n v="145"/>
  </r>
  <r>
    <d v="2007-09-24T00:00:00"/>
    <x v="55"/>
    <n v="105"/>
  </r>
  <r>
    <d v="2007-09-25T00:00:00"/>
    <x v="37"/>
    <n v="33"/>
  </r>
  <r>
    <d v="2007-09-25T00:00:00"/>
    <x v="120"/>
    <n v="78"/>
  </r>
  <r>
    <d v="2007-09-26T00:00:00"/>
    <x v="9"/>
    <n v="466"/>
  </r>
  <r>
    <d v="2007-09-29T00:00:00"/>
    <x v="45"/>
    <n v="476"/>
  </r>
  <r>
    <d v="2007-10-02T00:00:00"/>
    <x v="19"/>
    <n v="151"/>
  </r>
  <r>
    <d v="2007-10-02T00:00:00"/>
    <x v="148"/>
    <n v="17"/>
  </r>
  <r>
    <d v="2007-10-06T00:00:00"/>
    <x v="149"/>
    <n v="4"/>
  </r>
  <r>
    <d v="2007-10-16T00:00:00"/>
    <x v="5"/>
    <n v="131"/>
  </r>
  <r>
    <d v="2007-10-16T00:00:00"/>
    <x v="24"/>
    <n v="369"/>
  </r>
  <r>
    <d v="2007-10-16T00:00:00"/>
    <x v="131"/>
    <n v="60"/>
  </r>
  <r>
    <d v="2007-10-20T00:00:00"/>
    <x v="17"/>
    <n v="405"/>
  </r>
  <r>
    <d v="2007-10-21T00:00:00"/>
    <x v="21"/>
    <n v="3"/>
  </r>
  <r>
    <d v="2007-10-25T00:00:00"/>
    <x v="78"/>
    <n v="35"/>
  </r>
  <r>
    <d v="2007-10-27T00:00:00"/>
    <x v="50"/>
    <n v="444"/>
  </r>
  <r>
    <d v="2007-10-27T00:00:00"/>
    <x v="45"/>
    <n v="424"/>
  </r>
  <r>
    <d v="2007-10-27T00:00:00"/>
    <x v="150"/>
    <n v="2"/>
  </r>
  <r>
    <d v="2007-10-30T00:00:00"/>
    <x v="17"/>
    <n v="480"/>
  </r>
  <r>
    <d v="2007-10-31T00:00:00"/>
    <x v="37"/>
    <n v="65"/>
  </r>
  <r>
    <d v="2007-11-02T00:00:00"/>
    <x v="89"/>
    <n v="8"/>
  </r>
  <r>
    <d v="2007-11-03T00:00:00"/>
    <x v="52"/>
    <n v="52"/>
  </r>
  <r>
    <d v="2007-11-06T00:00:00"/>
    <x v="40"/>
    <n v="8"/>
  </r>
  <r>
    <d v="2007-11-07T00:00:00"/>
    <x v="7"/>
    <n v="143"/>
  </r>
  <r>
    <d v="2007-11-08T00:00:00"/>
    <x v="18"/>
    <n v="20"/>
  </r>
  <r>
    <d v="2007-11-11T00:00:00"/>
    <x v="14"/>
    <n v="396"/>
  </r>
  <r>
    <d v="2007-11-12T00:00:00"/>
    <x v="69"/>
    <n v="168"/>
  </r>
  <r>
    <d v="2007-11-13T00:00:00"/>
    <x v="69"/>
    <n v="69"/>
  </r>
  <r>
    <d v="2007-11-21T00:00:00"/>
    <x v="30"/>
    <n v="99"/>
  </r>
  <r>
    <d v="2007-11-21T00:00:00"/>
    <x v="123"/>
    <n v="57"/>
  </r>
  <r>
    <d v="2007-11-22T00:00:00"/>
    <x v="6"/>
    <n v="103"/>
  </r>
  <r>
    <d v="2007-11-23T00:00:00"/>
    <x v="124"/>
    <n v="2"/>
  </r>
  <r>
    <d v="2007-11-26T00:00:00"/>
    <x v="52"/>
    <n v="88"/>
  </r>
  <r>
    <d v="2007-11-28T00:00:00"/>
    <x v="37"/>
    <n v="85"/>
  </r>
  <r>
    <d v="2007-11-28T00:00:00"/>
    <x v="7"/>
    <n v="216"/>
  </r>
  <r>
    <d v="2007-11-30T00:00:00"/>
    <x v="7"/>
    <n v="140"/>
  </r>
  <r>
    <d v="2007-12-05T00:00:00"/>
    <x v="50"/>
    <n v="377"/>
  </r>
  <r>
    <d v="2007-12-07T00:00:00"/>
    <x v="35"/>
    <n v="89"/>
  </r>
  <r>
    <d v="2007-12-09T00:00:00"/>
    <x v="12"/>
    <n v="181"/>
  </r>
  <r>
    <d v="2007-12-11T00:00:00"/>
    <x v="69"/>
    <n v="131"/>
  </r>
  <r>
    <d v="2007-12-11T00:00:00"/>
    <x v="80"/>
    <n v="43"/>
  </r>
  <r>
    <d v="2007-12-12T00:00:00"/>
    <x v="30"/>
    <n v="166"/>
  </r>
  <r>
    <d v="2007-12-12T00:00:00"/>
    <x v="78"/>
    <n v="192"/>
  </r>
  <r>
    <d v="2007-12-14T00:00:00"/>
    <x v="16"/>
    <n v="7"/>
  </r>
  <r>
    <d v="2007-12-16T00:00:00"/>
    <x v="53"/>
    <n v="11"/>
  </r>
  <r>
    <d v="2007-12-16T00:00:00"/>
    <x v="19"/>
    <n v="146"/>
  </r>
  <r>
    <d v="2007-12-17T00:00:00"/>
    <x v="45"/>
    <n v="138"/>
  </r>
  <r>
    <d v="2007-12-18T00:00:00"/>
    <x v="23"/>
    <n v="138"/>
  </r>
  <r>
    <d v="2007-12-18T00:00:00"/>
    <x v="50"/>
    <n v="482"/>
  </r>
  <r>
    <d v="2007-12-20T00:00:00"/>
    <x v="50"/>
    <n v="481"/>
  </r>
  <r>
    <d v="2007-12-22T00:00:00"/>
    <x v="45"/>
    <n v="258"/>
  </r>
  <r>
    <d v="2007-12-24T00:00:00"/>
    <x v="19"/>
    <n v="100"/>
  </r>
  <r>
    <d v="2007-12-24T00:00:00"/>
    <x v="69"/>
    <n v="86"/>
  </r>
  <r>
    <d v="2007-12-27T00:00:00"/>
    <x v="28"/>
    <n v="165"/>
  </r>
  <r>
    <d v="2007-12-28T00:00:00"/>
    <x v="100"/>
    <n v="4"/>
  </r>
  <r>
    <d v="2007-12-29T00:00:00"/>
    <x v="23"/>
    <n v="156"/>
  </r>
  <r>
    <d v="2007-12-30T00:00:00"/>
    <x v="45"/>
    <n v="320"/>
  </r>
  <r>
    <d v="2008-01-01T00:00:00"/>
    <x v="15"/>
    <n v="1"/>
  </r>
  <r>
    <d v="2008-01-01T00:00:00"/>
    <x v="8"/>
    <n v="81"/>
  </r>
  <r>
    <d v="2008-01-01T00:00:00"/>
    <x v="50"/>
    <n v="438"/>
  </r>
  <r>
    <d v="2008-01-02T00:00:00"/>
    <x v="38"/>
    <n v="1"/>
  </r>
  <r>
    <d v="2008-01-06T00:00:00"/>
    <x v="78"/>
    <n v="173"/>
  </r>
  <r>
    <d v="2008-01-09T00:00:00"/>
    <x v="24"/>
    <n v="412"/>
  </r>
  <r>
    <d v="2008-01-09T00:00:00"/>
    <x v="151"/>
    <n v="13"/>
  </r>
  <r>
    <d v="2008-01-10T00:00:00"/>
    <x v="55"/>
    <n v="130"/>
  </r>
  <r>
    <d v="2008-01-12T00:00:00"/>
    <x v="152"/>
    <n v="4"/>
  </r>
  <r>
    <d v="2008-01-15T00:00:00"/>
    <x v="55"/>
    <n v="176"/>
  </r>
  <r>
    <d v="2008-01-17T00:00:00"/>
    <x v="89"/>
    <n v="14"/>
  </r>
  <r>
    <d v="2008-01-18T00:00:00"/>
    <x v="55"/>
    <n v="97"/>
  </r>
  <r>
    <d v="2008-01-21T00:00:00"/>
    <x v="61"/>
    <n v="81"/>
  </r>
  <r>
    <d v="2008-01-22T00:00:00"/>
    <x v="23"/>
    <n v="179"/>
  </r>
  <r>
    <d v="2008-01-23T00:00:00"/>
    <x v="37"/>
    <n v="132"/>
  </r>
  <r>
    <d v="2008-01-23T00:00:00"/>
    <x v="153"/>
    <n v="5"/>
  </r>
  <r>
    <d v="2008-01-23T00:00:00"/>
    <x v="18"/>
    <n v="100"/>
  </r>
  <r>
    <d v="2008-01-27T00:00:00"/>
    <x v="154"/>
    <n v="6"/>
  </r>
  <r>
    <d v="2008-02-03T00:00:00"/>
    <x v="24"/>
    <n v="171"/>
  </r>
  <r>
    <d v="2008-02-05T00:00:00"/>
    <x v="14"/>
    <n v="333"/>
  </r>
  <r>
    <d v="2008-02-06T00:00:00"/>
    <x v="24"/>
    <n v="365"/>
  </r>
  <r>
    <d v="2008-02-06T00:00:00"/>
    <x v="112"/>
    <n v="16"/>
  </r>
  <r>
    <d v="2008-02-07T00:00:00"/>
    <x v="5"/>
    <n v="211"/>
  </r>
  <r>
    <d v="2008-02-11T00:00:00"/>
    <x v="45"/>
    <n v="196"/>
  </r>
  <r>
    <d v="2008-02-12T00:00:00"/>
    <x v="155"/>
    <n v="11"/>
  </r>
  <r>
    <d v="2008-02-13T00:00:00"/>
    <x v="112"/>
    <n v="17"/>
  </r>
  <r>
    <d v="2008-02-16T00:00:00"/>
    <x v="66"/>
    <n v="62"/>
  </r>
  <r>
    <d v="2008-02-16T00:00:00"/>
    <x v="9"/>
    <n v="103"/>
  </r>
  <r>
    <d v="2008-02-16T00:00:00"/>
    <x v="32"/>
    <n v="9"/>
  </r>
  <r>
    <d v="2008-02-17T00:00:00"/>
    <x v="156"/>
    <n v="5"/>
  </r>
  <r>
    <d v="2008-02-17T00:00:00"/>
    <x v="45"/>
    <n v="452"/>
  </r>
  <r>
    <d v="2008-02-18T00:00:00"/>
    <x v="157"/>
    <n v="2"/>
  </r>
  <r>
    <d v="2008-02-19T00:00:00"/>
    <x v="50"/>
    <n v="335"/>
  </r>
  <r>
    <d v="2008-02-20T00:00:00"/>
    <x v="158"/>
    <n v="12"/>
  </r>
  <r>
    <d v="2008-02-21T00:00:00"/>
    <x v="79"/>
    <n v="12"/>
  </r>
  <r>
    <d v="2008-02-22T00:00:00"/>
    <x v="159"/>
    <n v="5"/>
  </r>
  <r>
    <d v="2008-02-22T00:00:00"/>
    <x v="160"/>
    <n v="2"/>
  </r>
  <r>
    <d v="2008-02-23T00:00:00"/>
    <x v="161"/>
    <n v="10"/>
  </r>
  <r>
    <d v="2008-02-25T00:00:00"/>
    <x v="45"/>
    <n v="308"/>
  </r>
  <r>
    <d v="2008-02-27T00:00:00"/>
    <x v="119"/>
    <n v="5"/>
  </r>
  <r>
    <d v="2008-02-27T00:00:00"/>
    <x v="14"/>
    <n v="446"/>
  </r>
  <r>
    <d v="2008-02-28T00:00:00"/>
    <x v="7"/>
    <n v="281"/>
  </r>
  <r>
    <d v="2008-03-03T00:00:00"/>
    <x v="11"/>
    <n v="6"/>
  </r>
  <r>
    <d v="2008-03-04T00:00:00"/>
    <x v="7"/>
    <n v="409"/>
  </r>
  <r>
    <d v="2008-03-04T00:00:00"/>
    <x v="66"/>
    <n v="191"/>
  </r>
  <r>
    <d v="2008-03-05T00:00:00"/>
    <x v="50"/>
    <n v="404"/>
  </r>
  <r>
    <d v="2008-03-05T00:00:00"/>
    <x v="28"/>
    <n v="135"/>
  </r>
  <r>
    <d v="2008-03-05T00:00:00"/>
    <x v="27"/>
    <n v="20"/>
  </r>
  <r>
    <d v="2008-03-07T00:00:00"/>
    <x v="58"/>
    <n v="54"/>
  </r>
  <r>
    <d v="2008-03-07T00:00:00"/>
    <x v="52"/>
    <n v="129"/>
  </r>
  <r>
    <d v="2008-03-10T00:00:00"/>
    <x v="162"/>
    <n v="11"/>
  </r>
  <r>
    <d v="2008-03-11T00:00:00"/>
    <x v="22"/>
    <n v="383"/>
  </r>
  <r>
    <d v="2008-03-12T00:00:00"/>
    <x v="10"/>
    <n v="46"/>
  </r>
  <r>
    <d v="2008-03-13T00:00:00"/>
    <x v="131"/>
    <n v="61"/>
  </r>
  <r>
    <d v="2008-03-15T00:00:00"/>
    <x v="28"/>
    <n v="166"/>
  </r>
  <r>
    <d v="2008-03-16T00:00:00"/>
    <x v="69"/>
    <n v="91"/>
  </r>
  <r>
    <d v="2008-03-17T00:00:00"/>
    <x v="163"/>
    <n v="10"/>
  </r>
  <r>
    <d v="2008-03-19T00:00:00"/>
    <x v="164"/>
    <n v="19"/>
  </r>
  <r>
    <d v="2008-03-19T00:00:00"/>
    <x v="165"/>
    <n v="2"/>
  </r>
  <r>
    <d v="2008-03-20T00:00:00"/>
    <x v="35"/>
    <n v="125"/>
  </r>
  <r>
    <d v="2008-03-20T00:00:00"/>
    <x v="22"/>
    <n v="248"/>
  </r>
  <r>
    <d v="2008-03-20T00:00:00"/>
    <x v="102"/>
    <n v="298"/>
  </r>
  <r>
    <d v="2008-03-21T00:00:00"/>
    <x v="22"/>
    <n v="406"/>
  </r>
  <r>
    <d v="2008-03-22T00:00:00"/>
    <x v="19"/>
    <n v="46"/>
  </r>
  <r>
    <d v="2008-03-23T00:00:00"/>
    <x v="69"/>
    <n v="106"/>
  </r>
  <r>
    <d v="2008-03-25T00:00:00"/>
    <x v="9"/>
    <n v="121"/>
  </r>
  <r>
    <d v="2008-03-29T00:00:00"/>
    <x v="45"/>
    <n v="170"/>
  </r>
  <r>
    <d v="2008-03-29T00:00:00"/>
    <x v="14"/>
    <n v="431"/>
  </r>
  <r>
    <d v="2008-03-30T00:00:00"/>
    <x v="50"/>
    <n v="483"/>
  </r>
  <r>
    <d v="2008-04-01T00:00:00"/>
    <x v="7"/>
    <n v="354"/>
  </r>
  <r>
    <d v="2008-04-03T00:00:00"/>
    <x v="69"/>
    <n v="65"/>
  </r>
  <r>
    <d v="2008-04-06T00:00:00"/>
    <x v="24"/>
    <n v="176"/>
  </r>
  <r>
    <d v="2008-04-07T00:00:00"/>
    <x v="51"/>
    <n v="2"/>
  </r>
  <r>
    <d v="2008-04-08T00:00:00"/>
    <x v="66"/>
    <n v="46"/>
  </r>
  <r>
    <d v="2008-04-11T00:00:00"/>
    <x v="102"/>
    <n v="477"/>
  </r>
  <r>
    <d v="2008-04-12T00:00:00"/>
    <x v="57"/>
    <n v="6"/>
  </r>
  <r>
    <d v="2008-04-14T00:00:00"/>
    <x v="48"/>
    <n v="11"/>
  </r>
  <r>
    <d v="2008-04-14T00:00:00"/>
    <x v="66"/>
    <n v="126"/>
  </r>
  <r>
    <d v="2008-04-14T00:00:00"/>
    <x v="18"/>
    <n v="190"/>
  </r>
  <r>
    <d v="2008-04-15T00:00:00"/>
    <x v="50"/>
    <n v="358"/>
  </r>
  <r>
    <d v="2008-04-15T00:00:00"/>
    <x v="39"/>
    <n v="78"/>
  </r>
  <r>
    <d v="2008-04-15T00:00:00"/>
    <x v="71"/>
    <n v="129"/>
  </r>
  <r>
    <d v="2008-04-16T00:00:00"/>
    <x v="14"/>
    <n v="433"/>
  </r>
  <r>
    <d v="2008-04-17T00:00:00"/>
    <x v="90"/>
    <n v="18"/>
  </r>
  <r>
    <d v="2008-04-18T00:00:00"/>
    <x v="80"/>
    <n v="30"/>
  </r>
  <r>
    <d v="2008-04-19T00:00:00"/>
    <x v="42"/>
    <n v="18"/>
  </r>
  <r>
    <d v="2008-04-20T00:00:00"/>
    <x v="66"/>
    <n v="146"/>
  </r>
  <r>
    <d v="2008-04-20T00:00:00"/>
    <x v="162"/>
    <n v="19"/>
  </r>
  <r>
    <d v="2008-04-21T00:00:00"/>
    <x v="23"/>
    <n v="170"/>
  </r>
  <r>
    <d v="2008-04-23T00:00:00"/>
    <x v="5"/>
    <n v="428"/>
  </r>
  <r>
    <d v="2008-04-25T00:00:00"/>
    <x v="50"/>
    <n v="129"/>
  </r>
  <r>
    <d v="2008-04-26T00:00:00"/>
    <x v="17"/>
    <n v="304"/>
  </r>
  <r>
    <d v="2008-04-30T00:00:00"/>
    <x v="151"/>
    <n v="15"/>
  </r>
  <r>
    <d v="2008-05-01T00:00:00"/>
    <x v="166"/>
    <n v="14"/>
  </r>
  <r>
    <d v="2008-05-03T00:00:00"/>
    <x v="14"/>
    <n v="320"/>
  </r>
  <r>
    <d v="2008-05-04T00:00:00"/>
    <x v="55"/>
    <n v="44"/>
  </r>
  <r>
    <d v="2008-05-05T00:00:00"/>
    <x v="10"/>
    <n v="71"/>
  </r>
  <r>
    <d v="2008-05-05T00:00:00"/>
    <x v="72"/>
    <n v="8"/>
  </r>
  <r>
    <d v="2008-05-09T00:00:00"/>
    <x v="9"/>
    <n v="444"/>
  </r>
  <r>
    <d v="2008-05-09T00:00:00"/>
    <x v="83"/>
    <n v="1"/>
  </r>
  <r>
    <d v="2008-05-11T00:00:00"/>
    <x v="66"/>
    <n v="102"/>
  </r>
  <r>
    <d v="2008-05-11T00:00:00"/>
    <x v="26"/>
    <n v="181"/>
  </r>
  <r>
    <d v="2008-05-11T00:00:00"/>
    <x v="52"/>
    <n v="82"/>
  </r>
  <r>
    <d v="2008-05-14T00:00:00"/>
    <x v="167"/>
    <n v="19"/>
  </r>
  <r>
    <d v="2008-05-14T00:00:00"/>
    <x v="17"/>
    <n v="245"/>
  </r>
  <r>
    <d v="2008-05-16T00:00:00"/>
    <x v="102"/>
    <n v="431"/>
  </r>
  <r>
    <d v="2008-05-16T00:00:00"/>
    <x v="7"/>
    <n v="252"/>
  </r>
  <r>
    <d v="2008-05-17T00:00:00"/>
    <x v="62"/>
    <n v="2"/>
  </r>
  <r>
    <d v="2008-05-18T00:00:00"/>
    <x v="6"/>
    <n v="52"/>
  </r>
  <r>
    <d v="2008-05-19T00:00:00"/>
    <x v="23"/>
    <n v="54"/>
  </r>
  <r>
    <d v="2008-05-19T00:00:00"/>
    <x v="59"/>
    <n v="4"/>
  </r>
  <r>
    <d v="2008-05-19T00:00:00"/>
    <x v="61"/>
    <n v="88"/>
  </r>
  <r>
    <d v="2008-05-22T00:00:00"/>
    <x v="18"/>
    <n v="152"/>
  </r>
  <r>
    <d v="2008-05-23T00:00:00"/>
    <x v="55"/>
    <n v="121"/>
  </r>
  <r>
    <d v="2008-05-24T00:00:00"/>
    <x v="18"/>
    <n v="77"/>
  </r>
  <r>
    <d v="2008-05-27T00:00:00"/>
    <x v="131"/>
    <n v="21"/>
  </r>
  <r>
    <d v="2008-05-28T00:00:00"/>
    <x v="61"/>
    <n v="48"/>
  </r>
  <r>
    <d v="2008-05-29T00:00:00"/>
    <x v="45"/>
    <n v="420"/>
  </r>
  <r>
    <d v="2008-05-30T00:00:00"/>
    <x v="7"/>
    <n v="443"/>
  </r>
  <r>
    <d v="2008-06-03T00:00:00"/>
    <x v="55"/>
    <n v="46"/>
  </r>
  <r>
    <d v="2008-06-04T00:00:00"/>
    <x v="134"/>
    <n v="3"/>
  </r>
  <r>
    <d v="2008-06-06T00:00:00"/>
    <x v="55"/>
    <n v="98"/>
  </r>
  <r>
    <d v="2008-06-06T00:00:00"/>
    <x v="168"/>
    <n v="18"/>
  </r>
  <r>
    <d v="2008-06-06T00:00:00"/>
    <x v="50"/>
    <n v="237"/>
  </r>
  <r>
    <d v="2008-06-06T00:00:00"/>
    <x v="31"/>
    <n v="64"/>
  </r>
  <r>
    <d v="2008-06-10T00:00:00"/>
    <x v="37"/>
    <n v="32"/>
  </r>
  <r>
    <d v="2008-06-15T00:00:00"/>
    <x v="10"/>
    <n v="30"/>
  </r>
  <r>
    <d v="2008-06-15T00:00:00"/>
    <x v="137"/>
    <n v="12"/>
  </r>
  <r>
    <d v="2008-06-16T00:00:00"/>
    <x v="71"/>
    <n v="138"/>
  </r>
  <r>
    <d v="2008-06-20T00:00:00"/>
    <x v="22"/>
    <n v="411"/>
  </r>
  <r>
    <d v="2008-06-23T00:00:00"/>
    <x v="23"/>
    <n v="152"/>
  </r>
  <r>
    <d v="2008-06-24T00:00:00"/>
    <x v="169"/>
    <n v="10"/>
  </r>
  <r>
    <d v="2008-06-25T00:00:00"/>
    <x v="18"/>
    <n v="75"/>
  </r>
  <r>
    <d v="2008-06-25T00:00:00"/>
    <x v="170"/>
    <n v="4"/>
  </r>
  <r>
    <d v="2008-06-27T00:00:00"/>
    <x v="171"/>
    <n v="2"/>
  </r>
  <r>
    <d v="2008-06-28T00:00:00"/>
    <x v="61"/>
    <n v="110"/>
  </r>
  <r>
    <d v="2008-06-29T00:00:00"/>
    <x v="35"/>
    <n v="161"/>
  </r>
  <r>
    <d v="2008-06-30T00:00:00"/>
    <x v="30"/>
    <n v="68"/>
  </r>
  <r>
    <d v="2008-07-02T00:00:00"/>
    <x v="55"/>
    <n v="30"/>
  </r>
  <r>
    <d v="2008-07-03T00:00:00"/>
    <x v="64"/>
    <n v="3"/>
  </r>
  <r>
    <d v="2008-07-08T00:00:00"/>
    <x v="50"/>
    <n v="117"/>
  </r>
  <r>
    <d v="2008-07-10T00:00:00"/>
    <x v="8"/>
    <n v="105"/>
  </r>
  <r>
    <d v="2008-07-10T00:00:00"/>
    <x v="46"/>
    <n v="6"/>
  </r>
  <r>
    <d v="2008-07-11T00:00:00"/>
    <x v="17"/>
    <n v="378"/>
  </r>
  <r>
    <d v="2008-07-14T00:00:00"/>
    <x v="69"/>
    <n v="76"/>
  </r>
  <r>
    <d v="2008-07-15T00:00:00"/>
    <x v="22"/>
    <n v="386"/>
  </r>
  <r>
    <d v="2008-07-16T00:00:00"/>
    <x v="50"/>
    <n v="132"/>
  </r>
  <r>
    <d v="2008-07-16T00:00:00"/>
    <x v="22"/>
    <n v="104"/>
  </r>
  <r>
    <d v="2008-07-17T00:00:00"/>
    <x v="45"/>
    <n v="380"/>
  </r>
  <r>
    <d v="2008-07-18T00:00:00"/>
    <x v="78"/>
    <n v="76"/>
  </r>
  <r>
    <d v="2008-07-18T00:00:00"/>
    <x v="25"/>
    <n v="194"/>
  </r>
  <r>
    <d v="2008-07-24T00:00:00"/>
    <x v="61"/>
    <n v="147"/>
  </r>
  <r>
    <d v="2008-07-27T00:00:00"/>
    <x v="22"/>
    <n v="319"/>
  </r>
  <r>
    <d v="2008-07-28T00:00:00"/>
    <x v="39"/>
    <n v="38"/>
  </r>
  <r>
    <d v="2008-08-02T00:00:00"/>
    <x v="28"/>
    <n v="31"/>
  </r>
  <r>
    <d v="2008-08-04T00:00:00"/>
    <x v="6"/>
    <n v="28"/>
  </r>
  <r>
    <d v="2008-08-04T00:00:00"/>
    <x v="105"/>
    <n v="15"/>
  </r>
  <r>
    <d v="2008-08-07T00:00:00"/>
    <x v="62"/>
    <n v="2"/>
  </r>
  <r>
    <d v="2008-08-07T00:00:00"/>
    <x v="101"/>
    <n v="16"/>
  </r>
  <r>
    <d v="2008-08-09T00:00:00"/>
    <x v="78"/>
    <n v="83"/>
  </r>
  <r>
    <d v="2008-08-10T00:00:00"/>
    <x v="172"/>
    <n v="16"/>
  </r>
  <r>
    <d v="2008-08-11T00:00:00"/>
    <x v="9"/>
    <n v="397"/>
  </r>
  <r>
    <d v="2008-08-11T00:00:00"/>
    <x v="78"/>
    <n v="184"/>
  </r>
  <r>
    <d v="2008-08-13T00:00:00"/>
    <x v="78"/>
    <n v="55"/>
  </r>
  <r>
    <d v="2008-08-14T00:00:00"/>
    <x v="69"/>
    <n v="107"/>
  </r>
  <r>
    <d v="2008-08-16T00:00:00"/>
    <x v="69"/>
    <n v="127"/>
  </r>
  <r>
    <d v="2008-08-19T00:00:00"/>
    <x v="173"/>
    <n v="122"/>
  </r>
  <r>
    <d v="2008-08-19T00:00:00"/>
    <x v="18"/>
    <n v="107"/>
  </r>
  <r>
    <d v="2008-08-21T00:00:00"/>
    <x v="22"/>
    <n v="113"/>
  </r>
  <r>
    <d v="2008-08-21T00:00:00"/>
    <x v="7"/>
    <n v="297"/>
  </r>
  <r>
    <d v="2008-08-22T00:00:00"/>
    <x v="44"/>
    <n v="14"/>
  </r>
  <r>
    <d v="2008-08-24T00:00:00"/>
    <x v="52"/>
    <n v="188"/>
  </r>
  <r>
    <d v="2008-08-26T00:00:00"/>
    <x v="151"/>
    <n v="11"/>
  </r>
  <r>
    <d v="2008-08-29T00:00:00"/>
    <x v="28"/>
    <n v="105"/>
  </r>
  <r>
    <d v="2008-08-30T00:00:00"/>
    <x v="160"/>
    <n v="18"/>
  </r>
  <r>
    <d v="2008-08-30T00:00:00"/>
    <x v="7"/>
    <n v="418"/>
  </r>
  <r>
    <d v="2008-08-31T00:00:00"/>
    <x v="174"/>
    <n v="4"/>
  </r>
  <r>
    <d v="2008-08-31T00:00:00"/>
    <x v="124"/>
    <n v="5"/>
  </r>
  <r>
    <d v="2008-09-01T00:00:00"/>
    <x v="102"/>
    <n v="346"/>
  </r>
  <r>
    <d v="2008-09-03T00:00:00"/>
    <x v="9"/>
    <n v="417"/>
  </r>
  <r>
    <d v="2008-09-05T00:00:00"/>
    <x v="123"/>
    <n v="35"/>
  </r>
  <r>
    <d v="2008-09-05T00:00:00"/>
    <x v="3"/>
    <n v="6"/>
  </r>
  <r>
    <d v="2008-09-06T00:00:00"/>
    <x v="50"/>
    <n v="322"/>
  </r>
  <r>
    <d v="2008-09-06T00:00:00"/>
    <x v="37"/>
    <n v="150"/>
  </r>
  <r>
    <d v="2008-09-07T00:00:00"/>
    <x v="14"/>
    <n v="492"/>
  </r>
  <r>
    <d v="2008-09-11T00:00:00"/>
    <x v="18"/>
    <n v="93"/>
  </r>
  <r>
    <d v="2008-09-14T00:00:00"/>
    <x v="61"/>
    <n v="64"/>
  </r>
  <r>
    <d v="2008-09-14T00:00:00"/>
    <x v="89"/>
    <n v="7"/>
  </r>
  <r>
    <d v="2008-09-14T00:00:00"/>
    <x v="18"/>
    <n v="90"/>
  </r>
  <r>
    <d v="2008-09-21T00:00:00"/>
    <x v="50"/>
    <n v="136"/>
  </r>
  <r>
    <d v="2008-09-22T00:00:00"/>
    <x v="19"/>
    <n v="104"/>
  </r>
  <r>
    <d v="2008-09-22T00:00:00"/>
    <x v="150"/>
    <n v="1"/>
  </r>
  <r>
    <d v="2008-09-23T00:00:00"/>
    <x v="31"/>
    <n v="52"/>
  </r>
  <r>
    <d v="2008-09-23T00:00:00"/>
    <x v="45"/>
    <n v="203"/>
  </r>
  <r>
    <d v="2008-09-25T00:00:00"/>
    <x v="30"/>
    <n v="183"/>
  </r>
  <r>
    <d v="2008-09-26T00:00:00"/>
    <x v="61"/>
    <n v="182"/>
  </r>
  <r>
    <d v="2008-09-28T00:00:00"/>
    <x v="45"/>
    <n v="383"/>
  </r>
  <r>
    <d v="2008-10-01T00:00:00"/>
    <x v="22"/>
    <n v="113"/>
  </r>
  <r>
    <d v="2008-10-01T00:00:00"/>
    <x v="63"/>
    <n v="154"/>
  </r>
  <r>
    <d v="2008-10-01T00:00:00"/>
    <x v="36"/>
    <n v="8"/>
  </r>
  <r>
    <d v="2008-10-04T00:00:00"/>
    <x v="116"/>
    <n v="5"/>
  </r>
  <r>
    <d v="2008-10-04T00:00:00"/>
    <x v="42"/>
    <n v="14"/>
  </r>
  <r>
    <d v="2008-10-06T00:00:00"/>
    <x v="71"/>
    <n v="27"/>
  </r>
  <r>
    <d v="2008-10-06T00:00:00"/>
    <x v="8"/>
    <n v="141"/>
  </r>
  <r>
    <d v="2008-10-08T00:00:00"/>
    <x v="175"/>
    <n v="14"/>
  </r>
  <r>
    <d v="2008-10-08T00:00:00"/>
    <x v="31"/>
    <n v="136"/>
  </r>
  <r>
    <d v="2008-10-08T00:00:00"/>
    <x v="5"/>
    <n v="378"/>
  </r>
  <r>
    <d v="2008-10-08T00:00:00"/>
    <x v="159"/>
    <n v="12"/>
  </r>
  <r>
    <d v="2008-10-11T00:00:00"/>
    <x v="45"/>
    <n v="284"/>
  </r>
  <r>
    <d v="2008-10-12T00:00:00"/>
    <x v="19"/>
    <n v="54"/>
  </r>
  <r>
    <d v="2008-10-12T00:00:00"/>
    <x v="31"/>
    <n v="51"/>
  </r>
  <r>
    <d v="2008-10-12T00:00:00"/>
    <x v="55"/>
    <n v="159"/>
  </r>
  <r>
    <d v="2008-10-17T00:00:00"/>
    <x v="9"/>
    <n v="351"/>
  </r>
  <r>
    <d v="2008-10-17T00:00:00"/>
    <x v="22"/>
    <n v="390"/>
  </r>
  <r>
    <d v="2008-10-17T00:00:00"/>
    <x v="33"/>
    <n v="4"/>
  </r>
  <r>
    <d v="2008-10-18T00:00:00"/>
    <x v="35"/>
    <n v="140"/>
  </r>
  <r>
    <d v="2008-10-19T00:00:00"/>
    <x v="50"/>
    <n v="125"/>
  </r>
  <r>
    <d v="2008-10-19T00:00:00"/>
    <x v="66"/>
    <n v="97"/>
  </r>
  <r>
    <d v="2008-10-22T00:00:00"/>
    <x v="66"/>
    <n v="190"/>
  </r>
  <r>
    <d v="2008-10-24T00:00:00"/>
    <x v="14"/>
    <n v="415"/>
  </r>
  <r>
    <d v="2008-10-26T00:00:00"/>
    <x v="9"/>
    <n v="269"/>
  </r>
  <r>
    <d v="2008-10-26T00:00:00"/>
    <x v="140"/>
    <n v="11"/>
  </r>
  <r>
    <d v="2008-10-26T00:00:00"/>
    <x v="45"/>
    <n v="162"/>
  </r>
  <r>
    <d v="2008-11-05T00:00:00"/>
    <x v="18"/>
    <n v="75"/>
  </r>
  <r>
    <d v="2008-11-07T00:00:00"/>
    <x v="22"/>
    <n v="358"/>
  </r>
  <r>
    <d v="2008-11-08T00:00:00"/>
    <x v="8"/>
    <n v="198"/>
  </r>
  <r>
    <d v="2008-11-11T00:00:00"/>
    <x v="22"/>
    <n v="189"/>
  </r>
  <r>
    <d v="2008-11-12T00:00:00"/>
    <x v="24"/>
    <n v="226"/>
  </r>
  <r>
    <d v="2008-11-13T00:00:00"/>
    <x v="55"/>
    <n v="94"/>
  </r>
  <r>
    <d v="2008-11-18T00:00:00"/>
    <x v="50"/>
    <n v="401"/>
  </r>
  <r>
    <d v="2008-11-19T00:00:00"/>
    <x v="69"/>
    <n v="52"/>
  </r>
  <r>
    <d v="2008-11-20T00:00:00"/>
    <x v="12"/>
    <n v="189"/>
  </r>
  <r>
    <d v="2008-11-22T00:00:00"/>
    <x v="17"/>
    <n v="201"/>
  </r>
  <r>
    <d v="2008-11-23T00:00:00"/>
    <x v="22"/>
    <n v="235"/>
  </r>
  <r>
    <d v="2008-11-24T00:00:00"/>
    <x v="55"/>
    <n v="78"/>
  </r>
  <r>
    <d v="2008-11-24T00:00:00"/>
    <x v="126"/>
    <n v="13"/>
  </r>
  <r>
    <d v="2008-11-24T00:00:00"/>
    <x v="20"/>
    <n v="196"/>
  </r>
  <r>
    <d v="2008-11-28T00:00:00"/>
    <x v="70"/>
    <n v="11"/>
  </r>
  <r>
    <d v="2008-11-28T00:00:00"/>
    <x v="176"/>
    <n v="17"/>
  </r>
  <r>
    <d v="2008-11-29T00:00:00"/>
    <x v="47"/>
    <n v="4"/>
  </r>
  <r>
    <d v="2008-12-03T00:00:00"/>
    <x v="54"/>
    <n v="17"/>
  </r>
  <r>
    <d v="2008-12-03T00:00:00"/>
    <x v="177"/>
    <n v="1"/>
  </r>
  <r>
    <d v="2008-12-08T00:00:00"/>
    <x v="13"/>
    <n v="6"/>
  </r>
  <r>
    <d v="2008-12-08T00:00:00"/>
    <x v="7"/>
    <n v="496"/>
  </r>
  <r>
    <d v="2008-12-12T00:00:00"/>
    <x v="5"/>
    <n v="363"/>
  </r>
  <r>
    <d v="2008-12-15T00:00:00"/>
    <x v="5"/>
    <n v="491"/>
  </r>
  <r>
    <d v="2008-12-15T00:00:00"/>
    <x v="17"/>
    <n v="369"/>
  </r>
  <r>
    <d v="2008-12-17T00:00:00"/>
    <x v="66"/>
    <n v="60"/>
  </r>
  <r>
    <d v="2008-12-18T00:00:00"/>
    <x v="20"/>
    <n v="35"/>
  </r>
  <r>
    <d v="2008-12-21T00:00:00"/>
    <x v="7"/>
    <n v="121"/>
  </r>
  <r>
    <d v="2008-12-21T00:00:00"/>
    <x v="50"/>
    <n v="442"/>
  </r>
  <r>
    <d v="2008-12-22T00:00:00"/>
    <x v="7"/>
    <n v="338"/>
  </r>
  <r>
    <d v="2008-12-23T00:00:00"/>
    <x v="31"/>
    <n v="94"/>
  </r>
  <r>
    <d v="2008-12-26T00:00:00"/>
    <x v="1"/>
    <n v="14"/>
  </r>
  <r>
    <d v="2008-12-27T00:00:00"/>
    <x v="94"/>
    <n v="2"/>
  </r>
  <r>
    <d v="2008-12-29T00:00:00"/>
    <x v="14"/>
    <n v="110"/>
  </r>
  <r>
    <d v="2008-12-30T00:00:00"/>
    <x v="87"/>
    <n v="18"/>
  </r>
  <r>
    <d v="2008-12-30T00:00:00"/>
    <x v="147"/>
    <n v="7"/>
  </r>
  <r>
    <d v="2009-01-01T00:00:00"/>
    <x v="178"/>
    <n v="2"/>
  </r>
  <r>
    <d v="2009-01-02T00:00:00"/>
    <x v="37"/>
    <n v="188"/>
  </r>
  <r>
    <d v="2009-01-06T00:00:00"/>
    <x v="92"/>
    <n v="11"/>
  </r>
  <r>
    <d v="2009-01-06T00:00:00"/>
    <x v="14"/>
    <n v="129"/>
  </r>
  <r>
    <d v="2009-01-06T00:00:00"/>
    <x v="61"/>
    <n v="117"/>
  </r>
  <r>
    <d v="2009-01-08T00:00:00"/>
    <x v="82"/>
    <n v="11"/>
  </r>
  <r>
    <d v="2009-01-10T00:00:00"/>
    <x v="61"/>
    <n v="186"/>
  </r>
  <r>
    <d v="2009-01-11T00:00:00"/>
    <x v="18"/>
    <n v="40"/>
  </r>
  <r>
    <d v="2009-01-16T00:00:00"/>
    <x v="47"/>
    <n v="6"/>
  </r>
  <r>
    <d v="2009-01-18T00:00:00"/>
    <x v="55"/>
    <n v="153"/>
  </r>
  <r>
    <d v="2009-01-19T00:00:00"/>
    <x v="45"/>
    <n v="163"/>
  </r>
  <r>
    <d v="2009-01-21T00:00:00"/>
    <x v="179"/>
    <n v="16"/>
  </r>
  <r>
    <d v="2009-01-22T00:00:00"/>
    <x v="25"/>
    <n v="161"/>
  </r>
  <r>
    <d v="2009-01-23T00:00:00"/>
    <x v="180"/>
    <n v="5"/>
  </r>
  <r>
    <d v="2009-01-26T00:00:00"/>
    <x v="30"/>
    <n v="200"/>
  </r>
  <r>
    <d v="2009-01-30T00:00:00"/>
    <x v="181"/>
    <n v="11"/>
  </r>
  <r>
    <d v="2009-02-03T00:00:00"/>
    <x v="96"/>
    <n v="14"/>
  </r>
  <r>
    <d v="2009-02-05T00:00:00"/>
    <x v="7"/>
    <n v="469"/>
  </r>
  <r>
    <d v="2009-02-09T00:00:00"/>
    <x v="166"/>
    <n v="11"/>
  </r>
  <r>
    <d v="2009-02-09T00:00:00"/>
    <x v="14"/>
    <n v="423"/>
  </r>
  <r>
    <d v="2009-02-09T00:00:00"/>
    <x v="172"/>
    <n v="9"/>
  </r>
  <r>
    <d v="2009-02-09T00:00:00"/>
    <x v="68"/>
    <n v="3"/>
  </r>
  <r>
    <d v="2009-02-10T00:00:00"/>
    <x v="22"/>
    <n v="186"/>
  </r>
  <r>
    <d v="2009-02-10T00:00:00"/>
    <x v="7"/>
    <n v="390"/>
  </r>
  <r>
    <d v="2009-02-11T00:00:00"/>
    <x v="5"/>
    <n v="445"/>
  </r>
  <r>
    <d v="2009-02-12T00:00:00"/>
    <x v="50"/>
    <n v="241"/>
  </r>
  <r>
    <d v="2009-02-12T00:00:00"/>
    <x v="29"/>
    <n v="3"/>
  </r>
  <r>
    <d v="2009-02-14T00:00:00"/>
    <x v="23"/>
    <n v="50"/>
  </r>
  <r>
    <d v="2009-02-15T00:00:00"/>
    <x v="24"/>
    <n v="284"/>
  </r>
  <r>
    <d v="2009-02-16T00:00:00"/>
    <x v="9"/>
    <n v="395"/>
  </r>
  <r>
    <d v="2009-02-18T00:00:00"/>
    <x v="5"/>
    <n v="290"/>
  </r>
  <r>
    <d v="2009-02-19T00:00:00"/>
    <x v="22"/>
    <n v="361"/>
  </r>
  <r>
    <d v="2009-02-21T00:00:00"/>
    <x v="17"/>
    <n v="355"/>
  </r>
  <r>
    <d v="2009-02-22T00:00:00"/>
    <x v="182"/>
    <n v="19"/>
  </r>
  <r>
    <d v="2009-02-24T00:00:00"/>
    <x v="52"/>
    <n v="32"/>
  </r>
  <r>
    <d v="2009-02-27T00:00:00"/>
    <x v="146"/>
    <n v="13"/>
  </r>
  <r>
    <d v="2009-02-27T00:00:00"/>
    <x v="45"/>
    <n v="156"/>
  </r>
  <r>
    <d v="2009-03-01T00:00:00"/>
    <x v="183"/>
    <n v="20"/>
  </r>
  <r>
    <d v="2009-03-02T00:00:00"/>
    <x v="12"/>
    <n v="112"/>
  </r>
  <r>
    <d v="2009-03-05T00:00:00"/>
    <x v="7"/>
    <n v="110"/>
  </r>
  <r>
    <d v="2009-03-06T00:00:00"/>
    <x v="184"/>
    <n v="4"/>
  </r>
  <r>
    <d v="2009-03-13T00:00:00"/>
    <x v="133"/>
    <n v="18"/>
  </r>
  <r>
    <d v="2009-03-17T00:00:00"/>
    <x v="20"/>
    <n v="60"/>
  </r>
  <r>
    <d v="2009-03-17T00:00:00"/>
    <x v="88"/>
    <n v="14"/>
  </r>
  <r>
    <d v="2009-03-17T00:00:00"/>
    <x v="28"/>
    <n v="24"/>
  </r>
  <r>
    <d v="2009-03-19T00:00:00"/>
    <x v="22"/>
    <n v="145"/>
  </r>
  <r>
    <d v="2009-03-19T00:00:00"/>
    <x v="50"/>
    <n v="393"/>
  </r>
  <r>
    <d v="2009-03-21T00:00:00"/>
    <x v="28"/>
    <n v="73"/>
  </r>
  <r>
    <d v="2009-03-21T00:00:00"/>
    <x v="8"/>
    <n v="136"/>
  </r>
  <r>
    <d v="2009-03-22T00:00:00"/>
    <x v="45"/>
    <n v="422"/>
  </r>
  <r>
    <d v="2009-03-23T00:00:00"/>
    <x v="9"/>
    <n v="187"/>
  </r>
  <r>
    <d v="2009-03-25T00:00:00"/>
    <x v="18"/>
    <n v="58"/>
  </r>
  <r>
    <d v="2009-03-26T00:00:00"/>
    <x v="45"/>
    <n v="436"/>
  </r>
  <r>
    <d v="2009-03-30T00:00:00"/>
    <x v="14"/>
    <n v="406"/>
  </r>
  <r>
    <d v="2009-04-01T00:00:00"/>
    <x v="14"/>
    <n v="108"/>
  </r>
  <r>
    <d v="2009-04-02T00:00:00"/>
    <x v="142"/>
    <n v="10"/>
  </r>
  <r>
    <d v="2009-04-03T00:00:00"/>
    <x v="37"/>
    <n v="153"/>
  </r>
  <r>
    <d v="2009-04-05T00:00:00"/>
    <x v="185"/>
    <n v="3"/>
  </r>
  <r>
    <d v="2009-04-06T00:00:00"/>
    <x v="31"/>
    <n v="109"/>
  </r>
  <r>
    <d v="2009-04-08T00:00:00"/>
    <x v="86"/>
    <n v="9"/>
  </r>
  <r>
    <d v="2009-04-08T00:00:00"/>
    <x v="52"/>
    <n v="112"/>
  </r>
  <r>
    <d v="2009-04-13T00:00:00"/>
    <x v="19"/>
    <n v="29"/>
  </r>
  <r>
    <d v="2009-04-13T00:00:00"/>
    <x v="50"/>
    <n v="310"/>
  </r>
  <r>
    <d v="2009-04-15T00:00:00"/>
    <x v="55"/>
    <n v="107"/>
  </r>
  <r>
    <d v="2009-04-18T00:00:00"/>
    <x v="8"/>
    <n v="26"/>
  </r>
  <r>
    <d v="2009-04-20T00:00:00"/>
    <x v="31"/>
    <n v="114"/>
  </r>
  <r>
    <d v="2009-04-21T00:00:00"/>
    <x v="169"/>
    <n v="4"/>
  </r>
  <r>
    <d v="2009-04-22T00:00:00"/>
    <x v="186"/>
    <n v="15"/>
  </r>
  <r>
    <d v="2009-04-26T00:00:00"/>
    <x v="66"/>
    <n v="144"/>
  </r>
  <r>
    <d v="2009-04-30T00:00:00"/>
    <x v="5"/>
    <n v="110"/>
  </r>
  <r>
    <d v="2009-04-30T00:00:00"/>
    <x v="37"/>
    <n v="105"/>
  </r>
  <r>
    <d v="2009-05-02T00:00:00"/>
    <x v="52"/>
    <n v="51"/>
  </r>
  <r>
    <d v="2009-05-04T00:00:00"/>
    <x v="145"/>
    <n v="1"/>
  </r>
  <r>
    <d v="2009-05-04T00:00:00"/>
    <x v="152"/>
    <n v="8"/>
  </r>
  <r>
    <d v="2009-05-06T00:00:00"/>
    <x v="9"/>
    <n v="128"/>
  </r>
  <r>
    <d v="2009-05-09T00:00:00"/>
    <x v="87"/>
    <n v="9"/>
  </r>
  <r>
    <d v="2009-05-15T00:00:00"/>
    <x v="9"/>
    <n v="291"/>
  </r>
  <r>
    <d v="2009-05-16T00:00:00"/>
    <x v="14"/>
    <n v="261"/>
  </r>
  <r>
    <d v="2009-05-18T00:00:00"/>
    <x v="52"/>
    <n v="192"/>
  </r>
  <r>
    <d v="2009-05-18T00:00:00"/>
    <x v="7"/>
    <n v="319"/>
  </r>
  <r>
    <d v="2009-05-20T00:00:00"/>
    <x v="45"/>
    <n v="393"/>
  </r>
  <r>
    <d v="2009-05-24T00:00:00"/>
    <x v="187"/>
    <n v="13"/>
  </r>
  <r>
    <d v="2009-05-25T00:00:00"/>
    <x v="50"/>
    <n v="380"/>
  </r>
  <r>
    <d v="2009-05-26T00:00:00"/>
    <x v="37"/>
    <n v="36"/>
  </r>
  <r>
    <d v="2009-05-29T00:00:00"/>
    <x v="173"/>
    <n v="179"/>
  </r>
  <r>
    <d v="2009-05-31T00:00:00"/>
    <x v="28"/>
    <n v="111"/>
  </r>
  <r>
    <d v="2009-06-01T00:00:00"/>
    <x v="8"/>
    <n v="36"/>
  </r>
  <r>
    <d v="2009-06-01T00:00:00"/>
    <x v="10"/>
    <n v="120"/>
  </r>
  <r>
    <d v="2009-06-05T00:00:00"/>
    <x v="188"/>
    <n v="11"/>
  </r>
  <r>
    <d v="2009-06-07T00:00:00"/>
    <x v="126"/>
    <n v="15"/>
  </r>
  <r>
    <d v="2009-06-07T00:00:00"/>
    <x v="43"/>
    <n v="4"/>
  </r>
  <r>
    <d v="2009-06-10T00:00:00"/>
    <x v="115"/>
    <n v="11"/>
  </r>
  <r>
    <d v="2009-06-13T00:00:00"/>
    <x v="189"/>
    <n v="9"/>
  </r>
  <r>
    <d v="2009-06-14T00:00:00"/>
    <x v="50"/>
    <n v="498"/>
  </r>
  <r>
    <d v="2009-06-16T00:00:00"/>
    <x v="45"/>
    <n v="350"/>
  </r>
  <r>
    <d v="2009-06-16T00:00:00"/>
    <x v="8"/>
    <n v="191"/>
  </r>
  <r>
    <d v="2009-06-16T00:00:00"/>
    <x v="9"/>
    <n v="402"/>
  </r>
  <r>
    <d v="2009-06-20T00:00:00"/>
    <x v="69"/>
    <n v="140"/>
  </r>
  <r>
    <d v="2009-06-21T00:00:00"/>
    <x v="190"/>
    <n v="3"/>
  </r>
  <r>
    <d v="2009-06-23T00:00:00"/>
    <x v="52"/>
    <n v="25"/>
  </r>
  <r>
    <d v="2009-06-28T00:00:00"/>
    <x v="191"/>
    <n v="7"/>
  </r>
  <r>
    <d v="2009-06-30T00:00:00"/>
    <x v="192"/>
    <n v="17"/>
  </r>
  <r>
    <d v="2009-06-30T00:00:00"/>
    <x v="9"/>
    <n v="479"/>
  </r>
  <r>
    <d v="2009-06-30T00:00:00"/>
    <x v="193"/>
    <n v="6"/>
  </r>
  <r>
    <d v="2009-06-30T00:00:00"/>
    <x v="16"/>
    <n v="10"/>
  </r>
  <r>
    <d v="2009-07-01T00:00:00"/>
    <x v="29"/>
    <n v="2"/>
  </r>
  <r>
    <d v="2009-07-03T00:00:00"/>
    <x v="194"/>
    <n v="13"/>
  </r>
  <r>
    <d v="2009-07-06T00:00:00"/>
    <x v="183"/>
    <n v="12"/>
  </r>
  <r>
    <d v="2009-07-06T00:00:00"/>
    <x v="5"/>
    <n v="191"/>
  </r>
  <r>
    <d v="2009-07-06T00:00:00"/>
    <x v="10"/>
    <n v="123"/>
  </r>
  <r>
    <d v="2009-07-07T00:00:00"/>
    <x v="18"/>
    <n v="66"/>
  </r>
  <r>
    <d v="2009-07-08T00:00:00"/>
    <x v="61"/>
    <n v="132"/>
  </r>
  <r>
    <d v="2009-07-12T00:00:00"/>
    <x v="195"/>
    <n v="9"/>
  </r>
  <r>
    <d v="2009-07-12T00:00:00"/>
    <x v="78"/>
    <n v="111"/>
  </r>
  <r>
    <d v="2009-07-13T00:00:00"/>
    <x v="19"/>
    <n v="163"/>
  </r>
  <r>
    <d v="2009-07-13T00:00:00"/>
    <x v="155"/>
    <n v="4"/>
  </r>
  <r>
    <d v="2009-07-15T00:00:00"/>
    <x v="145"/>
    <n v="10"/>
  </r>
  <r>
    <d v="2009-07-16T00:00:00"/>
    <x v="9"/>
    <n v="457"/>
  </r>
  <r>
    <d v="2009-07-18T00:00:00"/>
    <x v="50"/>
    <n v="260"/>
  </r>
  <r>
    <d v="2009-07-19T00:00:00"/>
    <x v="120"/>
    <n v="181"/>
  </r>
  <r>
    <d v="2009-07-20T00:00:00"/>
    <x v="50"/>
    <n v="144"/>
  </r>
  <r>
    <d v="2009-07-21T00:00:00"/>
    <x v="22"/>
    <n v="246"/>
  </r>
  <r>
    <d v="2009-07-23T00:00:00"/>
    <x v="196"/>
    <n v="10"/>
  </r>
  <r>
    <d v="2009-07-25T00:00:00"/>
    <x v="26"/>
    <n v="148"/>
  </r>
  <r>
    <d v="2009-07-27T00:00:00"/>
    <x v="35"/>
    <n v="24"/>
  </r>
  <r>
    <d v="2009-07-30T00:00:00"/>
    <x v="25"/>
    <n v="66"/>
  </r>
  <r>
    <d v="2009-08-02T00:00:00"/>
    <x v="45"/>
    <n v="333"/>
  </r>
  <r>
    <d v="2009-08-02T00:00:00"/>
    <x v="37"/>
    <n v="194"/>
  </r>
  <r>
    <d v="2009-08-06T00:00:00"/>
    <x v="18"/>
    <n v="154"/>
  </r>
  <r>
    <d v="2009-08-06T00:00:00"/>
    <x v="55"/>
    <n v="100"/>
  </r>
  <r>
    <d v="2009-08-06T00:00:00"/>
    <x v="1"/>
    <n v="18"/>
  </r>
  <r>
    <d v="2009-08-06T00:00:00"/>
    <x v="170"/>
    <n v="20"/>
  </r>
  <r>
    <d v="2009-08-08T00:00:00"/>
    <x v="55"/>
    <n v="200"/>
  </r>
  <r>
    <d v="2009-08-09T00:00:00"/>
    <x v="18"/>
    <n v="48"/>
  </r>
  <r>
    <d v="2009-08-09T00:00:00"/>
    <x v="61"/>
    <n v="68"/>
  </r>
  <r>
    <d v="2009-08-10T00:00:00"/>
    <x v="174"/>
    <n v="9"/>
  </r>
  <r>
    <d v="2009-08-14T00:00:00"/>
    <x v="50"/>
    <n v="493"/>
  </r>
  <r>
    <d v="2009-08-14T00:00:00"/>
    <x v="14"/>
    <n v="340"/>
  </r>
  <r>
    <d v="2009-08-16T00:00:00"/>
    <x v="174"/>
    <n v="2"/>
  </r>
  <r>
    <d v="2009-08-19T00:00:00"/>
    <x v="28"/>
    <n v="62"/>
  </r>
  <r>
    <d v="2009-08-19T00:00:00"/>
    <x v="22"/>
    <n v="164"/>
  </r>
  <r>
    <d v="2009-08-20T00:00:00"/>
    <x v="28"/>
    <n v="170"/>
  </r>
  <r>
    <d v="2009-08-22T00:00:00"/>
    <x v="71"/>
    <n v="164"/>
  </r>
  <r>
    <d v="2009-08-24T00:00:00"/>
    <x v="6"/>
    <n v="70"/>
  </r>
  <r>
    <d v="2009-08-31T00:00:00"/>
    <x v="50"/>
    <n v="133"/>
  </r>
  <r>
    <d v="2009-09-01T00:00:00"/>
    <x v="197"/>
    <n v="20"/>
  </r>
  <r>
    <d v="2009-09-03T00:00:00"/>
    <x v="198"/>
    <n v="15"/>
  </r>
  <r>
    <d v="2009-09-04T00:00:00"/>
    <x v="199"/>
    <n v="15"/>
  </r>
  <r>
    <d v="2009-09-05T00:00:00"/>
    <x v="58"/>
    <n v="105"/>
  </r>
  <r>
    <d v="2009-09-09T00:00:00"/>
    <x v="31"/>
    <n v="192"/>
  </r>
  <r>
    <d v="2009-09-09T00:00:00"/>
    <x v="80"/>
    <n v="142"/>
  </r>
  <r>
    <d v="2009-09-10T00:00:00"/>
    <x v="106"/>
    <n v="3"/>
  </r>
  <r>
    <d v="2009-09-10T00:00:00"/>
    <x v="17"/>
    <n v="219"/>
  </r>
  <r>
    <d v="2009-09-14T00:00:00"/>
    <x v="30"/>
    <n v="137"/>
  </r>
  <r>
    <d v="2009-09-15T00:00:00"/>
    <x v="20"/>
    <n v="108"/>
  </r>
  <r>
    <d v="2009-09-16T00:00:00"/>
    <x v="102"/>
    <n v="395"/>
  </r>
  <r>
    <d v="2009-09-17T00:00:00"/>
    <x v="200"/>
    <n v="3"/>
  </r>
  <r>
    <d v="2009-09-19T00:00:00"/>
    <x v="6"/>
    <n v="73"/>
  </r>
  <r>
    <d v="2009-09-19T00:00:00"/>
    <x v="45"/>
    <n v="209"/>
  </r>
  <r>
    <d v="2009-09-21T00:00:00"/>
    <x v="37"/>
    <n v="41"/>
  </r>
  <r>
    <d v="2009-09-27T00:00:00"/>
    <x v="17"/>
    <n v="488"/>
  </r>
  <r>
    <d v="2009-09-28T00:00:00"/>
    <x v="97"/>
    <n v="5"/>
  </r>
  <r>
    <d v="2009-09-28T00:00:00"/>
    <x v="69"/>
    <n v="97"/>
  </r>
  <r>
    <d v="2009-09-29T00:00:00"/>
    <x v="8"/>
    <n v="58"/>
  </r>
  <r>
    <d v="2009-09-29T00:00:00"/>
    <x v="55"/>
    <n v="179"/>
  </r>
  <r>
    <d v="2009-10-01T00:00:00"/>
    <x v="38"/>
    <n v="18"/>
  </r>
  <r>
    <d v="2009-10-02T00:00:00"/>
    <x v="51"/>
    <n v="4"/>
  </r>
  <r>
    <d v="2009-10-02T00:00:00"/>
    <x v="33"/>
    <n v="1"/>
  </r>
  <r>
    <d v="2009-10-03T00:00:00"/>
    <x v="31"/>
    <n v="86"/>
  </r>
  <r>
    <d v="2009-10-04T00:00:00"/>
    <x v="14"/>
    <n v="290"/>
  </r>
  <r>
    <d v="2009-10-06T00:00:00"/>
    <x v="184"/>
    <n v="14"/>
  </r>
  <r>
    <d v="2009-10-08T00:00:00"/>
    <x v="39"/>
    <n v="120"/>
  </r>
  <r>
    <d v="2009-10-08T00:00:00"/>
    <x v="123"/>
    <n v="28"/>
  </r>
  <r>
    <d v="2009-10-09T00:00:00"/>
    <x v="9"/>
    <n v="213"/>
  </r>
  <r>
    <d v="2009-10-15T00:00:00"/>
    <x v="108"/>
    <n v="10"/>
  </r>
  <r>
    <d v="2009-10-16T00:00:00"/>
    <x v="69"/>
    <n v="53"/>
  </r>
  <r>
    <d v="2009-10-17T00:00:00"/>
    <x v="30"/>
    <n v="178"/>
  </r>
  <r>
    <d v="2009-10-17T00:00:00"/>
    <x v="74"/>
    <n v="6"/>
  </r>
  <r>
    <d v="2009-10-21T00:00:00"/>
    <x v="9"/>
    <n v="118"/>
  </r>
  <r>
    <d v="2009-10-21T00:00:00"/>
    <x v="70"/>
    <n v="5"/>
  </r>
  <r>
    <d v="2009-10-22T00:00:00"/>
    <x v="18"/>
    <n v="89"/>
  </r>
  <r>
    <d v="2009-10-27T00:00:00"/>
    <x v="35"/>
    <n v="22"/>
  </r>
  <r>
    <d v="2009-10-28T00:00:00"/>
    <x v="18"/>
    <n v="199"/>
  </r>
  <r>
    <d v="2009-11-03T00:00:00"/>
    <x v="109"/>
    <n v="8"/>
  </r>
  <r>
    <d v="2009-11-03T00:00:00"/>
    <x v="18"/>
    <n v="198"/>
  </r>
  <r>
    <d v="2009-11-04T00:00:00"/>
    <x v="95"/>
    <n v="6"/>
  </r>
  <r>
    <d v="2009-11-04T00:00:00"/>
    <x v="23"/>
    <n v="68"/>
  </r>
  <r>
    <d v="2009-11-04T00:00:00"/>
    <x v="102"/>
    <n v="200"/>
  </r>
  <r>
    <d v="2009-11-05T00:00:00"/>
    <x v="5"/>
    <n v="426"/>
  </r>
  <r>
    <d v="2009-11-05T00:00:00"/>
    <x v="78"/>
    <n v="142"/>
  </r>
  <r>
    <d v="2009-11-05T00:00:00"/>
    <x v="7"/>
    <n v="298"/>
  </r>
  <r>
    <d v="2009-11-07T00:00:00"/>
    <x v="17"/>
    <n v="224"/>
  </r>
  <r>
    <d v="2009-11-09T00:00:00"/>
    <x v="5"/>
    <n v="133"/>
  </r>
  <r>
    <d v="2009-11-11T00:00:00"/>
    <x v="45"/>
    <n v="326"/>
  </r>
  <r>
    <d v="2009-11-11T00:00:00"/>
    <x v="120"/>
    <n v="102"/>
  </r>
  <r>
    <d v="2009-11-12T00:00:00"/>
    <x v="7"/>
    <n v="332"/>
  </r>
  <r>
    <d v="2009-11-13T00:00:00"/>
    <x v="19"/>
    <n v="95"/>
  </r>
  <r>
    <d v="2009-11-17T00:00:00"/>
    <x v="136"/>
    <n v="7"/>
  </r>
  <r>
    <d v="2009-11-17T00:00:00"/>
    <x v="14"/>
    <n v="276"/>
  </r>
  <r>
    <d v="2009-11-17T00:00:00"/>
    <x v="139"/>
    <n v="6"/>
  </r>
  <r>
    <d v="2009-11-19T00:00:00"/>
    <x v="45"/>
    <n v="232"/>
  </r>
  <r>
    <d v="2009-11-19T00:00:00"/>
    <x v="66"/>
    <n v="162"/>
  </r>
  <r>
    <d v="2009-11-22T00:00:00"/>
    <x v="10"/>
    <n v="66"/>
  </r>
  <r>
    <d v="2009-11-22T00:00:00"/>
    <x v="157"/>
    <n v="2"/>
  </r>
  <r>
    <d v="2009-11-22T00:00:00"/>
    <x v="12"/>
    <n v="152"/>
  </r>
  <r>
    <d v="2009-11-22T00:00:00"/>
    <x v="201"/>
    <n v="2"/>
  </r>
  <r>
    <d v="2009-11-25T00:00:00"/>
    <x v="20"/>
    <n v="115"/>
  </r>
  <r>
    <d v="2009-11-25T00:00:00"/>
    <x v="37"/>
    <n v="29"/>
  </r>
  <r>
    <d v="2009-11-25T00:00:00"/>
    <x v="35"/>
    <n v="91"/>
  </r>
  <r>
    <d v="2009-11-27T00:00:00"/>
    <x v="19"/>
    <n v="125"/>
  </r>
  <r>
    <d v="2009-11-29T00:00:00"/>
    <x v="61"/>
    <n v="40"/>
  </r>
  <r>
    <d v="2009-11-29T00:00:00"/>
    <x v="9"/>
    <n v="279"/>
  </r>
  <r>
    <d v="2009-11-30T00:00:00"/>
    <x v="11"/>
    <n v="8"/>
  </r>
  <r>
    <d v="2009-12-04T00:00:00"/>
    <x v="71"/>
    <n v="194"/>
  </r>
  <r>
    <d v="2009-12-05T00:00:00"/>
    <x v="6"/>
    <n v="168"/>
  </r>
  <r>
    <d v="2009-12-06T00:00:00"/>
    <x v="14"/>
    <n v="211"/>
  </r>
  <r>
    <d v="2009-12-06T00:00:00"/>
    <x v="155"/>
    <n v="19"/>
  </r>
  <r>
    <d v="2009-12-08T00:00:00"/>
    <x v="153"/>
    <n v="16"/>
  </r>
  <r>
    <d v="2009-12-11T00:00:00"/>
    <x v="27"/>
    <n v="18"/>
  </r>
  <r>
    <d v="2009-12-11T00:00:00"/>
    <x v="7"/>
    <n v="399"/>
  </r>
  <r>
    <d v="2009-12-13T00:00:00"/>
    <x v="202"/>
    <n v="11"/>
  </r>
  <r>
    <d v="2009-12-17T00:00:00"/>
    <x v="23"/>
    <n v="131"/>
  </r>
  <r>
    <d v="2009-12-18T00:00:00"/>
    <x v="39"/>
    <n v="67"/>
  </r>
  <r>
    <d v="2009-12-19T00:00:00"/>
    <x v="10"/>
    <n v="151"/>
  </r>
  <r>
    <d v="2009-12-24T00:00:00"/>
    <x v="23"/>
    <n v="105"/>
  </r>
  <r>
    <d v="2009-12-25T00:00:00"/>
    <x v="71"/>
    <n v="132"/>
  </r>
  <r>
    <d v="2009-12-25T00:00:00"/>
    <x v="17"/>
    <n v="142"/>
  </r>
  <r>
    <d v="2009-12-25T00:00:00"/>
    <x v="203"/>
    <n v="17"/>
  </r>
  <r>
    <d v="2009-12-26T00:00:00"/>
    <x v="7"/>
    <n v="444"/>
  </r>
  <r>
    <d v="2009-12-26T00:00:00"/>
    <x v="50"/>
    <n v="294"/>
  </r>
  <r>
    <d v="2009-12-27T00:00:00"/>
    <x v="7"/>
    <n v="274"/>
  </r>
  <r>
    <d v="2009-12-29T00:00:00"/>
    <x v="35"/>
    <n v="168"/>
  </r>
  <r>
    <d v="2009-12-30T00:00:00"/>
    <x v="8"/>
    <n v="115"/>
  </r>
  <r>
    <d v="2009-12-30T00:00:00"/>
    <x v="30"/>
    <n v="126"/>
  </r>
  <r>
    <d v="2010-01-02T00:00:00"/>
    <x v="28"/>
    <n v="73"/>
  </r>
  <r>
    <d v="2010-01-02T00:00:00"/>
    <x v="22"/>
    <n v="413"/>
  </r>
  <r>
    <d v="2010-01-03T00:00:00"/>
    <x v="7"/>
    <n v="393"/>
  </r>
  <r>
    <d v="2010-01-06T00:00:00"/>
    <x v="143"/>
    <n v="13"/>
  </r>
  <r>
    <d v="2010-01-07T00:00:00"/>
    <x v="22"/>
    <n v="211"/>
  </r>
  <r>
    <d v="2010-01-11T00:00:00"/>
    <x v="61"/>
    <n v="116"/>
  </r>
  <r>
    <d v="2010-01-11T00:00:00"/>
    <x v="0"/>
    <n v="9"/>
  </r>
  <r>
    <d v="2010-01-15T00:00:00"/>
    <x v="45"/>
    <n v="117"/>
  </r>
  <r>
    <d v="2010-01-16T00:00:00"/>
    <x v="50"/>
    <n v="221"/>
  </r>
  <r>
    <d v="2010-01-20T00:00:00"/>
    <x v="152"/>
    <n v="9"/>
  </r>
  <r>
    <d v="2010-01-21T00:00:00"/>
    <x v="17"/>
    <n v="214"/>
  </r>
  <r>
    <d v="2010-01-22T00:00:00"/>
    <x v="37"/>
    <n v="138"/>
  </r>
  <r>
    <d v="2010-01-23T00:00:00"/>
    <x v="81"/>
    <n v="11"/>
  </r>
  <r>
    <d v="2010-01-23T00:00:00"/>
    <x v="52"/>
    <n v="128"/>
  </r>
  <r>
    <d v="2010-01-24T00:00:00"/>
    <x v="17"/>
    <n v="376"/>
  </r>
  <r>
    <d v="2010-01-25T00:00:00"/>
    <x v="17"/>
    <n v="121"/>
  </r>
  <r>
    <d v="2010-01-25T00:00:00"/>
    <x v="14"/>
    <n v="200"/>
  </r>
  <r>
    <d v="2010-01-26T00:00:00"/>
    <x v="17"/>
    <n v="500"/>
  </r>
  <r>
    <d v="2010-01-28T00:00:00"/>
    <x v="71"/>
    <n v="108"/>
  </r>
  <r>
    <d v="2010-01-29T00:00:00"/>
    <x v="25"/>
    <n v="59"/>
  </r>
  <r>
    <d v="2010-01-30T00:00:00"/>
    <x v="10"/>
    <n v="191"/>
  </r>
  <r>
    <d v="2010-01-31T00:00:00"/>
    <x v="19"/>
    <n v="189"/>
  </r>
  <r>
    <d v="2010-02-02T00:00:00"/>
    <x v="45"/>
    <n v="247"/>
  </r>
  <r>
    <d v="2010-02-02T00:00:00"/>
    <x v="35"/>
    <n v="195"/>
  </r>
  <r>
    <d v="2010-02-03T00:00:00"/>
    <x v="204"/>
    <n v="6"/>
  </r>
  <r>
    <d v="2010-02-04T00:00:00"/>
    <x v="205"/>
    <n v="1"/>
  </r>
  <r>
    <d v="2010-02-05T00:00:00"/>
    <x v="50"/>
    <n v="347"/>
  </r>
  <r>
    <d v="2010-02-08T00:00:00"/>
    <x v="14"/>
    <n v="317"/>
  </r>
  <r>
    <d v="2010-02-09T00:00:00"/>
    <x v="45"/>
    <n v="271"/>
  </r>
  <r>
    <d v="2010-02-09T00:00:00"/>
    <x v="85"/>
    <n v="4"/>
  </r>
  <r>
    <d v="2010-02-11T00:00:00"/>
    <x v="28"/>
    <n v="121"/>
  </r>
  <r>
    <d v="2010-02-12T00:00:00"/>
    <x v="6"/>
    <n v="81"/>
  </r>
  <r>
    <d v="2010-02-12T00:00:00"/>
    <x v="84"/>
    <n v="1"/>
  </r>
  <r>
    <d v="2010-02-14T00:00:00"/>
    <x v="30"/>
    <n v="142"/>
  </r>
  <r>
    <d v="2010-02-15T00:00:00"/>
    <x v="22"/>
    <n v="265"/>
  </r>
  <r>
    <d v="2010-02-16T00:00:00"/>
    <x v="6"/>
    <n v="194"/>
  </r>
  <r>
    <d v="2010-02-16T00:00:00"/>
    <x v="161"/>
    <n v="15"/>
  </r>
  <r>
    <d v="2010-02-18T00:00:00"/>
    <x v="10"/>
    <n v="23"/>
  </r>
  <r>
    <d v="2010-02-18T00:00:00"/>
    <x v="22"/>
    <n v="279"/>
  </r>
  <r>
    <d v="2010-02-20T00:00:00"/>
    <x v="206"/>
    <n v="1"/>
  </r>
  <r>
    <d v="2010-02-25T00:00:00"/>
    <x v="22"/>
    <n v="487"/>
  </r>
  <r>
    <d v="2010-02-25T00:00:00"/>
    <x v="7"/>
    <n v="395"/>
  </r>
  <r>
    <d v="2010-02-27T00:00:00"/>
    <x v="71"/>
    <n v="91"/>
  </r>
  <r>
    <d v="2010-02-27T00:00:00"/>
    <x v="25"/>
    <n v="39"/>
  </r>
  <r>
    <d v="2010-02-27T00:00:00"/>
    <x v="22"/>
    <n v="312"/>
  </r>
  <r>
    <d v="2010-02-28T00:00:00"/>
    <x v="207"/>
    <n v="20"/>
  </r>
  <r>
    <d v="2010-03-03T00:00:00"/>
    <x v="28"/>
    <n v="35"/>
  </r>
  <r>
    <d v="2010-03-05T00:00:00"/>
    <x v="203"/>
    <n v="20"/>
  </r>
  <r>
    <d v="2010-03-08T00:00:00"/>
    <x v="30"/>
    <n v="125"/>
  </r>
  <r>
    <d v="2010-03-08T00:00:00"/>
    <x v="45"/>
    <n v="396"/>
  </r>
  <r>
    <d v="2010-03-09T00:00:00"/>
    <x v="208"/>
    <n v="7"/>
  </r>
  <r>
    <d v="2010-03-10T00:00:00"/>
    <x v="78"/>
    <n v="59"/>
  </r>
  <r>
    <d v="2010-03-13T00:00:00"/>
    <x v="14"/>
    <n v="417"/>
  </r>
  <r>
    <d v="2010-03-13T00:00:00"/>
    <x v="45"/>
    <n v="115"/>
  </r>
  <r>
    <d v="2010-03-16T00:00:00"/>
    <x v="54"/>
    <n v="6"/>
  </r>
  <r>
    <d v="2010-03-17T00:00:00"/>
    <x v="19"/>
    <n v="69"/>
  </r>
  <r>
    <d v="2010-03-19T00:00:00"/>
    <x v="12"/>
    <n v="58"/>
  </r>
  <r>
    <d v="2010-03-19T00:00:00"/>
    <x v="25"/>
    <n v="159"/>
  </r>
  <r>
    <d v="2010-03-21T00:00:00"/>
    <x v="209"/>
    <n v="6"/>
  </r>
  <r>
    <d v="2010-03-22T00:00:00"/>
    <x v="12"/>
    <n v="103"/>
  </r>
  <r>
    <d v="2010-03-26T00:00:00"/>
    <x v="7"/>
    <n v="155"/>
  </r>
  <r>
    <d v="2010-03-26T00:00:00"/>
    <x v="81"/>
    <n v="10"/>
  </r>
  <r>
    <d v="2010-03-28T00:00:00"/>
    <x v="28"/>
    <n v="158"/>
  </r>
  <r>
    <d v="2010-03-30T00:00:00"/>
    <x v="55"/>
    <n v="146"/>
  </r>
  <r>
    <d v="2010-03-31T00:00:00"/>
    <x v="22"/>
    <n v="230"/>
  </r>
  <r>
    <d v="2010-04-02T00:00:00"/>
    <x v="39"/>
    <n v="143"/>
  </r>
  <r>
    <d v="2010-04-02T00:00:00"/>
    <x v="61"/>
    <n v="167"/>
  </r>
  <r>
    <d v="2010-04-02T00:00:00"/>
    <x v="52"/>
    <n v="119"/>
  </r>
  <r>
    <d v="2010-04-04T00:00:00"/>
    <x v="14"/>
    <n v="400"/>
  </r>
  <r>
    <d v="2010-04-06T00:00:00"/>
    <x v="37"/>
    <n v="172"/>
  </r>
  <r>
    <d v="2010-04-07T00:00:00"/>
    <x v="98"/>
    <n v="19"/>
  </r>
  <r>
    <d v="2010-04-09T00:00:00"/>
    <x v="7"/>
    <n v="116"/>
  </r>
  <r>
    <d v="2010-04-11T00:00:00"/>
    <x v="22"/>
    <n v="143"/>
  </r>
  <r>
    <d v="2010-04-12T00:00:00"/>
    <x v="9"/>
    <n v="222"/>
  </r>
  <r>
    <d v="2010-04-14T00:00:00"/>
    <x v="9"/>
    <n v="352"/>
  </r>
  <r>
    <d v="2010-04-14T00:00:00"/>
    <x v="52"/>
    <n v="69"/>
  </r>
  <r>
    <d v="2010-04-15T00:00:00"/>
    <x v="45"/>
    <n v="182"/>
  </r>
  <r>
    <d v="2010-04-17T00:00:00"/>
    <x v="9"/>
    <n v="182"/>
  </r>
  <r>
    <d v="2010-04-17T00:00:00"/>
    <x v="52"/>
    <n v="165"/>
  </r>
  <r>
    <d v="2010-04-18T00:00:00"/>
    <x v="40"/>
    <n v="18"/>
  </r>
  <r>
    <d v="2010-04-18T00:00:00"/>
    <x v="210"/>
    <n v="2"/>
  </r>
  <r>
    <d v="2010-04-19T00:00:00"/>
    <x v="184"/>
    <n v="15"/>
  </r>
  <r>
    <d v="2010-04-20T00:00:00"/>
    <x v="211"/>
    <n v="19"/>
  </r>
  <r>
    <d v="2010-04-21T00:00:00"/>
    <x v="37"/>
    <n v="66"/>
  </r>
  <r>
    <d v="2010-04-21T00:00:00"/>
    <x v="170"/>
    <n v="12"/>
  </r>
  <r>
    <d v="2010-04-22T00:00:00"/>
    <x v="118"/>
    <n v="19"/>
  </r>
  <r>
    <d v="2010-04-22T00:00:00"/>
    <x v="23"/>
    <n v="96"/>
  </r>
  <r>
    <d v="2010-04-25T00:00:00"/>
    <x v="9"/>
    <n v="240"/>
  </r>
  <r>
    <d v="2010-04-27T00:00:00"/>
    <x v="28"/>
    <n v="57"/>
  </r>
  <r>
    <d v="2010-05-01T00:00:00"/>
    <x v="14"/>
    <n v="475"/>
  </r>
  <r>
    <d v="2010-05-02T00:00:00"/>
    <x v="7"/>
    <n v="162"/>
  </r>
  <r>
    <d v="2010-05-04T00:00:00"/>
    <x v="7"/>
    <n v="150"/>
  </r>
  <r>
    <d v="2010-05-05T00:00:00"/>
    <x v="50"/>
    <n v="139"/>
  </r>
  <r>
    <d v="2010-05-07T00:00:00"/>
    <x v="19"/>
    <n v="183"/>
  </r>
  <r>
    <d v="2010-05-17T00:00:00"/>
    <x v="7"/>
    <n v="214"/>
  </r>
  <r>
    <d v="2010-05-20T00:00:00"/>
    <x v="175"/>
    <n v="14"/>
  </r>
  <r>
    <d v="2010-05-21T00:00:00"/>
    <x v="195"/>
    <n v="2"/>
  </r>
  <r>
    <d v="2010-05-22T00:00:00"/>
    <x v="22"/>
    <n v="383"/>
  </r>
  <r>
    <d v="2010-05-23T00:00:00"/>
    <x v="0"/>
    <n v="14"/>
  </r>
  <r>
    <d v="2010-05-23T00:00:00"/>
    <x v="52"/>
    <n v="127"/>
  </r>
  <r>
    <d v="2010-05-24T00:00:00"/>
    <x v="30"/>
    <n v="179"/>
  </r>
  <r>
    <d v="2010-05-25T00:00:00"/>
    <x v="23"/>
    <n v="74"/>
  </r>
  <r>
    <d v="2010-05-25T00:00:00"/>
    <x v="50"/>
    <n v="311"/>
  </r>
  <r>
    <d v="2010-05-29T00:00:00"/>
    <x v="66"/>
    <n v="190"/>
  </r>
  <r>
    <d v="2010-05-31T00:00:00"/>
    <x v="31"/>
    <n v="67"/>
  </r>
  <r>
    <d v="2010-06-02T00:00:00"/>
    <x v="7"/>
    <n v="331"/>
  </r>
  <r>
    <d v="2010-06-02T00:00:00"/>
    <x v="39"/>
    <n v="114"/>
  </r>
  <r>
    <d v="2010-06-03T00:00:00"/>
    <x v="52"/>
    <n v="79"/>
  </r>
  <r>
    <d v="2010-06-04T00:00:00"/>
    <x v="71"/>
    <n v="22"/>
  </r>
  <r>
    <d v="2010-06-04T00:00:00"/>
    <x v="92"/>
    <n v="5"/>
  </r>
  <r>
    <d v="2010-06-07T00:00:00"/>
    <x v="72"/>
    <n v="17"/>
  </r>
  <r>
    <d v="2010-06-08T00:00:00"/>
    <x v="45"/>
    <n v="344"/>
  </r>
  <r>
    <d v="2010-06-08T00:00:00"/>
    <x v="14"/>
    <n v="329"/>
  </r>
  <r>
    <d v="2010-06-08T00:00:00"/>
    <x v="112"/>
    <n v="10"/>
  </r>
  <r>
    <d v="2010-06-12T00:00:00"/>
    <x v="30"/>
    <n v="105"/>
  </r>
  <r>
    <d v="2010-06-13T00:00:00"/>
    <x v="69"/>
    <n v="26"/>
  </r>
  <r>
    <d v="2010-06-14T00:00:00"/>
    <x v="39"/>
    <n v="121"/>
  </r>
  <r>
    <d v="2010-06-16T00:00:00"/>
    <x v="8"/>
    <n v="174"/>
  </r>
  <r>
    <d v="2010-06-17T00:00:00"/>
    <x v="14"/>
    <n v="233"/>
  </r>
  <r>
    <d v="2010-06-18T00:00:00"/>
    <x v="10"/>
    <n v="117"/>
  </r>
  <r>
    <d v="2010-06-19T00:00:00"/>
    <x v="72"/>
    <n v="11"/>
  </r>
  <r>
    <d v="2010-06-19T00:00:00"/>
    <x v="212"/>
    <n v="18"/>
  </r>
  <r>
    <d v="2010-06-19T00:00:00"/>
    <x v="45"/>
    <n v="332"/>
  </r>
  <r>
    <d v="2010-06-20T00:00:00"/>
    <x v="156"/>
    <n v="6"/>
  </r>
  <r>
    <d v="2010-06-21T00:00:00"/>
    <x v="102"/>
    <n v="260"/>
  </r>
  <r>
    <d v="2010-06-21T00:00:00"/>
    <x v="80"/>
    <n v="22"/>
  </r>
  <r>
    <d v="2010-06-23T00:00:00"/>
    <x v="129"/>
    <n v="9"/>
  </r>
  <r>
    <d v="2010-06-24T00:00:00"/>
    <x v="66"/>
    <n v="79"/>
  </r>
  <r>
    <d v="2010-06-26T00:00:00"/>
    <x v="45"/>
    <n v="480"/>
  </r>
  <r>
    <d v="2010-07-01T00:00:00"/>
    <x v="9"/>
    <n v="154"/>
  </r>
  <r>
    <d v="2010-07-01T00:00:00"/>
    <x v="35"/>
    <n v="170"/>
  </r>
  <r>
    <d v="2010-07-02T00:00:00"/>
    <x v="213"/>
    <n v="13"/>
  </r>
  <r>
    <d v="2010-07-05T00:00:00"/>
    <x v="18"/>
    <n v="29"/>
  </r>
  <r>
    <d v="2010-07-07T00:00:00"/>
    <x v="19"/>
    <n v="80"/>
  </r>
  <r>
    <d v="2010-07-11T00:00:00"/>
    <x v="176"/>
    <n v="20"/>
  </r>
  <r>
    <d v="2010-07-11T00:00:00"/>
    <x v="9"/>
    <n v="401"/>
  </r>
  <r>
    <d v="2010-07-13T00:00:00"/>
    <x v="39"/>
    <n v="134"/>
  </r>
  <r>
    <d v="2010-07-15T00:00:00"/>
    <x v="37"/>
    <n v="107"/>
  </r>
  <r>
    <d v="2010-07-20T00:00:00"/>
    <x v="10"/>
    <n v="30"/>
  </r>
  <r>
    <d v="2010-07-22T00:00:00"/>
    <x v="24"/>
    <n v="138"/>
  </r>
  <r>
    <d v="2010-07-23T00:00:00"/>
    <x v="22"/>
    <n v="404"/>
  </r>
  <r>
    <d v="2010-07-27T00:00:00"/>
    <x v="37"/>
    <n v="117"/>
  </r>
  <r>
    <d v="2010-07-30T00:00:00"/>
    <x v="9"/>
    <n v="124"/>
  </r>
  <r>
    <d v="2010-07-31T00:00:00"/>
    <x v="52"/>
    <n v="155"/>
  </r>
  <r>
    <d v="2010-08-01T00:00:00"/>
    <x v="28"/>
    <n v="161"/>
  </r>
  <r>
    <d v="2010-08-05T00:00:00"/>
    <x v="12"/>
    <n v="80"/>
  </r>
  <r>
    <d v="2010-08-05T00:00:00"/>
    <x v="172"/>
    <n v="9"/>
  </r>
  <r>
    <d v="2010-08-06T00:00:00"/>
    <x v="12"/>
    <n v="160"/>
  </r>
  <r>
    <d v="2010-08-09T00:00:00"/>
    <x v="113"/>
    <n v="18"/>
  </r>
  <r>
    <d v="2010-08-11T00:00:00"/>
    <x v="10"/>
    <n v="150"/>
  </r>
  <r>
    <d v="2010-08-15T00:00:00"/>
    <x v="214"/>
    <n v="16"/>
  </r>
  <r>
    <d v="2010-08-22T00:00:00"/>
    <x v="69"/>
    <n v="158"/>
  </r>
  <r>
    <d v="2010-08-24T00:00:00"/>
    <x v="61"/>
    <n v="29"/>
  </r>
  <r>
    <d v="2010-09-02T00:00:00"/>
    <x v="106"/>
    <n v="6"/>
  </r>
  <r>
    <d v="2010-09-02T00:00:00"/>
    <x v="9"/>
    <n v="489"/>
  </r>
  <r>
    <d v="2010-09-04T00:00:00"/>
    <x v="35"/>
    <n v="200"/>
  </r>
  <r>
    <d v="2010-09-06T00:00:00"/>
    <x v="10"/>
    <n v="28"/>
  </r>
  <r>
    <d v="2010-09-10T00:00:00"/>
    <x v="10"/>
    <n v="28"/>
  </r>
  <r>
    <d v="2010-09-11T00:00:00"/>
    <x v="9"/>
    <n v="297"/>
  </r>
  <r>
    <d v="2010-09-13T00:00:00"/>
    <x v="17"/>
    <n v="227"/>
  </r>
  <r>
    <d v="2010-09-13T00:00:00"/>
    <x v="140"/>
    <n v="14"/>
  </r>
  <r>
    <d v="2010-09-16T00:00:00"/>
    <x v="98"/>
    <n v="20"/>
  </r>
  <r>
    <d v="2010-09-18T00:00:00"/>
    <x v="63"/>
    <n v="194"/>
  </r>
  <r>
    <d v="2010-09-18T00:00:00"/>
    <x v="35"/>
    <n v="58"/>
  </r>
  <r>
    <d v="2010-09-19T00:00:00"/>
    <x v="66"/>
    <n v="30"/>
  </r>
  <r>
    <d v="2010-09-19T00:00:00"/>
    <x v="17"/>
    <n v="159"/>
  </r>
  <r>
    <d v="2010-09-22T00:00:00"/>
    <x v="22"/>
    <n v="279"/>
  </r>
  <r>
    <d v="2010-09-23T00:00:00"/>
    <x v="26"/>
    <n v="38"/>
  </r>
  <r>
    <d v="2010-09-25T00:00:00"/>
    <x v="36"/>
    <n v="7"/>
  </r>
  <r>
    <d v="2010-09-26T00:00:00"/>
    <x v="22"/>
    <n v="154"/>
  </r>
  <r>
    <d v="2010-09-26T00:00:00"/>
    <x v="50"/>
    <n v="274"/>
  </r>
  <r>
    <d v="2010-09-27T00:00:00"/>
    <x v="14"/>
    <n v="219"/>
  </r>
  <r>
    <d v="2010-09-28T00:00:00"/>
    <x v="30"/>
    <n v="57"/>
  </r>
  <r>
    <d v="2010-09-28T00:00:00"/>
    <x v="12"/>
    <n v="152"/>
  </r>
  <r>
    <d v="2010-10-03T00:00:00"/>
    <x v="45"/>
    <n v="263"/>
  </r>
  <r>
    <d v="2010-10-05T00:00:00"/>
    <x v="28"/>
    <n v="61"/>
  </r>
  <r>
    <d v="2010-10-05T00:00:00"/>
    <x v="50"/>
    <n v="217"/>
  </r>
  <r>
    <d v="2010-10-06T00:00:00"/>
    <x v="61"/>
    <n v="28"/>
  </r>
  <r>
    <d v="2010-10-06T00:00:00"/>
    <x v="45"/>
    <n v="299"/>
  </r>
  <r>
    <d v="2010-10-09T00:00:00"/>
    <x v="14"/>
    <n v="429"/>
  </r>
  <r>
    <d v="2010-10-12T00:00:00"/>
    <x v="14"/>
    <n v="427"/>
  </r>
  <r>
    <d v="2010-10-12T00:00:00"/>
    <x v="12"/>
    <n v="87"/>
  </r>
  <r>
    <d v="2010-10-12T00:00:00"/>
    <x v="141"/>
    <n v="17"/>
  </r>
  <r>
    <d v="2010-10-14T00:00:00"/>
    <x v="35"/>
    <n v="124"/>
  </r>
  <r>
    <d v="2010-10-16T00:00:00"/>
    <x v="7"/>
    <n v="406"/>
  </r>
  <r>
    <d v="2010-10-16T00:00:00"/>
    <x v="52"/>
    <n v="136"/>
  </r>
  <r>
    <d v="2010-10-17T00:00:00"/>
    <x v="25"/>
    <n v="44"/>
  </r>
  <r>
    <d v="2010-10-19T00:00:00"/>
    <x v="39"/>
    <n v="76"/>
  </r>
  <r>
    <d v="2010-10-22T00:00:00"/>
    <x v="19"/>
    <n v="104"/>
  </r>
  <r>
    <d v="2010-10-23T00:00:00"/>
    <x v="12"/>
    <n v="107"/>
  </r>
  <r>
    <d v="2010-10-26T00:00:00"/>
    <x v="22"/>
    <n v="339"/>
  </r>
  <r>
    <d v="2010-10-29T00:00:00"/>
    <x v="45"/>
    <n v="313"/>
  </r>
  <r>
    <d v="2010-10-30T00:00:00"/>
    <x v="45"/>
    <n v="251"/>
  </r>
  <r>
    <d v="2010-10-30T00:00:00"/>
    <x v="14"/>
    <n v="126"/>
  </r>
  <r>
    <d v="2010-11-01T00:00:00"/>
    <x v="25"/>
    <n v="20"/>
  </r>
  <r>
    <d v="2010-11-02T00:00:00"/>
    <x v="69"/>
    <n v="80"/>
  </r>
  <r>
    <d v="2010-11-03T00:00:00"/>
    <x v="136"/>
    <n v="9"/>
  </r>
  <r>
    <d v="2010-11-05T00:00:00"/>
    <x v="19"/>
    <n v="50"/>
  </r>
  <r>
    <d v="2010-11-06T00:00:00"/>
    <x v="23"/>
    <n v="100"/>
  </r>
  <r>
    <d v="2010-11-07T00:00:00"/>
    <x v="142"/>
    <n v="2"/>
  </r>
  <r>
    <d v="2010-11-08T00:00:00"/>
    <x v="17"/>
    <n v="214"/>
  </r>
  <r>
    <d v="2010-11-09T00:00:00"/>
    <x v="70"/>
    <n v="17"/>
  </r>
  <r>
    <d v="2010-11-10T00:00:00"/>
    <x v="45"/>
    <n v="269"/>
  </r>
  <r>
    <d v="2010-11-14T00:00:00"/>
    <x v="172"/>
    <n v="2"/>
  </r>
  <r>
    <d v="2010-11-21T00:00:00"/>
    <x v="12"/>
    <n v="159"/>
  </r>
  <r>
    <d v="2010-11-22T00:00:00"/>
    <x v="28"/>
    <n v="167"/>
  </r>
  <r>
    <d v="2010-11-23T00:00:00"/>
    <x v="37"/>
    <n v="123"/>
  </r>
  <r>
    <d v="2010-11-23T00:00:00"/>
    <x v="28"/>
    <n v="32"/>
  </r>
  <r>
    <d v="2010-11-23T00:00:00"/>
    <x v="7"/>
    <n v="276"/>
  </r>
  <r>
    <d v="2010-11-26T00:00:00"/>
    <x v="14"/>
    <n v="191"/>
  </r>
  <r>
    <d v="2010-11-28T00:00:00"/>
    <x v="215"/>
    <n v="9"/>
  </r>
  <r>
    <d v="2010-11-29T00:00:00"/>
    <x v="30"/>
    <n v="174"/>
  </r>
  <r>
    <d v="2010-11-30T00:00:00"/>
    <x v="69"/>
    <n v="39"/>
  </r>
  <r>
    <d v="2010-12-01T00:00:00"/>
    <x v="7"/>
    <n v="330"/>
  </r>
  <r>
    <d v="2010-12-01T00:00:00"/>
    <x v="146"/>
    <n v="5"/>
  </r>
  <r>
    <d v="2010-12-04T00:00:00"/>
    <x v="14"/>
    <n v="175"/>
  </r>
  <r>
    <d v="2010-12-08T00:00:00"/>
    <x v="131"/>
    <n v="183"/>
  </r>
  <r>
    <d v="2010-12-08T00:00:00"/>
    <x v="45"/>
    <n v="423"/>
  </r>
  <r>
    <d v="2010-12-08T00:00:00"/>
    <x v="52"/>
    <n v="88"/>
  </r>
  <r>
    <d v="2010-12-09T00:00:00"/>
    <x v="17"/>
    <n v="241"/>
  </r>
  <r>
    <d v="2010-12-10T00:00:00"/>
    <x v="12"/>
    <n v="37"/>
  </r>
  <r>
    <d v="2010-12-16T00:00:00"/>
    <x v="78"/>
    <n v="164"/>
  </r>
  <r>
    <d v="2010-12-17T00:00:00"/>
    <x v="94"/>
    <n v="20"/>
  </r>
  <r>
    <d v="2010-12-21T00:00:00"/>
    <x v="182"/>
    <n v="8"/>
  </r>
  <r>
    <d v="2010-12-21T00:00:00"/>
    <x v="156"/>
    <n v="4"/>
  </r>
  <r>
    <d v="2010-12-26T00:00:00"/>
    <x v="22"/>
    <n v="408"/>
  </r>
  <r>
    <d v="2011-01-01T00:00:00"/>
    <x v="142"/>
    <n v="20"/>
  </r>
  <r>
    <d v="2011-01-02T00:00:00"/>
    <x v="31"/>
    <n v="102"/>
  </r>
  <r>
    <d v="2011-01-03T00:00:00"/>
    <x v="9"/>
    <n v="240"/>
  </r>
  <r>
    <d v="2011-01-05T00:00:00"/>
    <x v="10"/>
    <n v="124"/>
  </r>
  <r>
    <d v="2011-01-07T00:00:00"/>
    <x v="45"/>
    <n v="330"/>
  </r>
  <r>
    <d v="2011-01-11T00:00:00"/>
    <x v="26"/>
    <n v="187"/>
  </r>
  <r>
    <d v="2011-01-18T00:00:00"/>
    <x v="52"/>
    <n v="165"/>
  </r>
  <r>
    <d v="2011-01-19T00:00:00"/>
    <x v="5"/>
    <n v="371"/>
  </r>
  <r>
    <d v="2011-01-21T00:00:00"/>
    <x v="39"/>
    <n v="185"/>
  </r>
  <r>
    <d v="2011-01-23T00:00:00"/>
    <x v="9"/>
    <n v="401"/>
  </r>
  <r>
    <d v="2011-01-25T00:00:00"/>
    <x v="55"/>
    <n v="25"/>
  </r>
  <r>
    <d v="2011-01-25T00:00:00"/>
    <x v="93"/>
    <n v="3"/>
  </r>
  <r>
    <d v="2011-01-25T00:00:00"/>
    <x v="170"/>
    <n v="11"/>
  </r>
  <r>
    <d v="2011-01-30T00:00:00"/>
    <x v="216"/>
    <n v="18"/>
  </r>
  <r>
    <d v="2011-01-30T00:00:00"/>
    <x v="45"/>
    <n v="154"/>
  </r>
  <r>
    <d v="2011-01-31T00:00:00"/>
    <x v="50"/>
    <n v="423"/>
  </r>
  <r>
    <d v="2011-02-02T00:00:00"/>
    <x v="127"/>
    <n v="6"/>
  </r>
  <r>
    <d v="2011-02-06T00:00:00"/>
    <x v="28"/>
    <n v="62"/>
  </r>
  <r>
    <d v="2011-02-07T00:00:00"/>
    <x v="136"/>
    <n v="15"/>
  </r>
  <r>
    <d v="2011-02-09T00:00:00"/>
    <x v="9"/>
    <n v="311"/>
  </r>
  <r>
    <d v="2011-02-10T00:00:00"/>
    <x v="19"/>
    <n v="127"/>
  </r>
  <r>
    <d v="2011-02-11T00:00:00"/>
    <x v="22"/>
    <n v="483"/>
  </r>
  <r>
    <d v="2011-02-14T00:00:00"/>
    <x v="217"/>
    <n v="9"/>
  </r>
  <r>
    <d v="2011-02-19T00:00:00"/>
    <x v="20"/>
    <n v="75"/>
  </r>
  <r>
    <d v="2011-02-24T00:00:00"/>
    <x v="218"/>
    <n v="7"/>
  </r>
  <r>
    <d v="2011-02-28T00:00:00"/>
    <x v="35"/>
    <n v="114"/>
  </r>
  <r>
    <d v="2011-03-03T00:00:00"/>
    <x v="123"/>
    <n v="151"/>
  </r>
  <r>
    <d v="2011-03-06T00:00:00"/>
    <x v="10"/>
    <n v="116"/>
  </r>
  <r>
    <d v="2011-03-07T00:00:00"/>
    <x v="12"/>
    <n v="76"/>
  </r>
  <r>
    <d v="2011-03-08T00:00:00"/>
    <x v="6"/>
    <n v="25"/>
  </r>
  <r>
    <d v="2011-03-12T00:00:00"/>
    <x v="31"/>
    <n v="37"/>
  </r>
  <r>
    <d v="2011-03-14T00:00:00"/>
    <x v="80"/>
    <n v="108"/>
  </r>
  <r>
    <d v="2011-03-15T00:00:00"/>
    <x v="7"/>
    <n v="199"/>
  </r>
  <r>
    <d v="2011-03-15T00:00:00"/>
    <x v="45"/>
    <n v="128"/>
  </r>
  <r>
    <d v="2011-03-16T00:00:00"/>
    <x v="58"/>
    <n v="32"/>
  </r>
  <r>
    <d v="2011-03-23T00:00:00"/>
    <x v="30"/>
    <n v="151"/>
  </r>
  <r>
    <d v="2011-03-24T00:00:00"/>
    <x v="153"/>
    <n v="8"/>
  </r>
  <r>
    <d v="2011-03-25T00:00:00"/>
    <x v="14"/>
    <n v="411"/>
  </r>
  <r>
    <d v="2011-03-26T00:00:00"/>
    <x v="52"/>
    <n v="119"/>
  </r>
  <r>
    <d v="2011-03-28T00:00:00"/>
    <x v="17"/>
    <n v="366"/>
  </r>
  <r>
    <d v="2011-03-31T00:00:00"/>
    <x v="69"/>
    <n v="20"/>
  </r>
  <r>
    <d v="2011-04-02T00:00:00"/>
    <x v="123"/>
    <n v="124"/>
  </r>
  <r>
    <d v="2011-04-02T00:00:00"/>
    <x v="10"/>
    <n v="30"/>
  </r>
  <r>
    <d v="2011-04-03T00:00:00"/>
    <x v="14"/>
    <n v="237"/>
  </r>
  <r>
    <d v="2011-04-05T00:00:00"/>
    <x v="22"/>
    <n v="355"/>
  </r>
  <r>
    <d v="2011-04-09T00:00:00"/>
    <x v="45"/>
    <n v="162"/>
  </r>
  <r>
    <d v="2011-04-14T00:00:00"/>
    <x v="35"/>
    <n v="46"/>
  </r>
  <r>
    <d v="2011-04-14T00:00:00"/>
    <x v="219"/>
    <n v="13"/>
  </r>
  <r>
    <d v="2011-04-14T00:00:00"/>
    <x v="118"/>
    <n v="14"/>
  </r>
  <r>
    <d v="2011-04-14T00:00:00"/>
    <x v="220"/>
    <n v="4"/>
  </r>
  <r>
    <d v="2011-04-18T00:00:00"/>
    <x v="9"/>
    <n v="470"/>
  </r>
  <r>
    <d v="2011-04-18T00:00:00"/>
    <x v="221"/>
    <n v="9"/>
  </r>
  <r>
    <d v="2011-04-18T00:00:00"/>
    <x v="58"/>
    <n v="37"/>
  </r>
  <r>
    <d v="2011-04-19T00:00:00"/>
    <x v="28"/>
    <n v="55"/>
  </r>
  <r>
    <d v="2011-04-21T00:00:00"/>
    <x v="55"/>
    <n v="140"/>
  </r>
  <r>
    <d v="2011-04-23T00:00:00"/>
    <x v="222"/>
    <n v="12"/>
  </r>
  <r>
    <d v="2011-04-25T00:00:00"/>
    <x v="12"/>
    <n v="20"/>
  </r>
  <r>
    <d v="2011-04-29T00:00:00"/>
    <x v="50"/>
    <n v="478"/>
  </r>
  <r>
    <d v="2011-05-01T00:00:00"/>
    <x v="22"/>
    <n v="289"/>
  </r>
  <r>
    <d v="2011-05-02T00:00:00"/>
    <x v="57"/>
    <n v="1"/>
  </r>
  <r>
    <d v="2011-05-02T00:00:00"/>
    <x v="149"/>
    <n v="15"/>
  </r>
  <r>
    <d v="2011-05-05T00:00:00"/>
    <x v="7"/>
    <n v="400"/>
  </r>
  <r>
    <d v="2011-05-06T00:00:00"/>
    <x v="108"/>
    <n v="1"/>
  </r>
  <r>
    <d v="2011-05-07T00:00:00"/>
    <x v="8"/>
    <n v="184"/>
  </r>
  <r>
    <d v="2011-05-07T00:00:00"/>
    <x v="6"/>
    <n v="99"/>
  </r>
  <r>
    <d v="2011-05-08T00:00:00"/>
    <x v="10"/>
    <n v="143"/>
  </r>
  <r>
    <d v="2011-05-09T00:00:00"/>
    <x v="30"/>
    <n v="184"/>
  </r>
  <r>
    <d v="2011-05-13T00:00:00"/>
    <x v="163"/>
    <n v="3"/>
  </r>
  <r>
    <d v="2011-05-13T00:00:00"/>
    <x v="18"/>
    <n v="197"/>
  </r>
  <r>
    <d v="2011-05-17T00:00:00"/>
    <x v="4"/>
    <n v="18"/>
  </r>
  <r>
    <d v="2011-05-22T00:00:00"/>
    <x v="0"/>
    <n v="7"/>
  </r>
  <r>
    <d v="2011-05-23T00:00:00"/>
    <x v="9"/>
    <n v="381"/>
  </r>
  <r>
    <d v="2011-05-26T00:00:00"/>
    <x v="61"/>
    <n v="45"/>
  </r>
  <r>
    <d v="2011-05-28T00:00:00"/>
    <x v="17"/>
    <n v="499"/>
  </r>
  <r>
    <d v="2011-06-01T00:00:00"/>
    <x v="17"/>
    <n v="134"/>
  </r>
  <r>
    <d v="2011-06-01T00:00:00"/>
    <x v="52"/>
    <n v="132"/>
  </r>
  <r>
    <d v="2011-06-02T00:00:00"/>
    <x v="19"/>
    <n v="180"/>
  </r>
  <r>
    <d v="2011-06-05T00:00:00"/>
    <x v="221"/>
    <n v="5"/>
  </r>
  <r>
    <d v="2011-06-07T00:00:00"/>
    <x v="24"/>
    <n v="110"/>
  </r>
  <r>
    <d v="2011-06-08T00:00:00"/>
    <x v="52"/>
    <n v="54"/>
  </r>
  <r>
    <d v="2011-06-09T00:00:00"/>
    <x v="209"/>
    <n v="6"/>
  </r>
  <r>
    <d v="2011-06-10T00:00:00"/>
    <x v="50"/>
    <n v="476"/>
  </r>
  <r>
    <d v="2011-06-10T00:00:00"/>
    <x v="19"/>
    <n v="104"/>
  </r>
  <r>
    <d v="2011-06-10T00:00:00"/>
    <x v="31"/>
    <n v="104"/>
  </r>
  <r>
    <d v="2011-06-12T00:00:00"/>
    <x v="18"/>
    <n v="47"/>
  </r>
  <r>
    <d v="2011-06-12T00:00:00"/>
    <x v="35"/>
    <n v="127"/>
  </r>
  <r>
    <d v="2011-06-14T00:00:00"/>
    <x v="25"/>
    <n v="143"/>
  </r>
  <r>
    <d v="2011-06-17T00:00:00"/>
    <x v="58"/>
    <n v="181"/>
  </r>
  <r>
    <d v="2011-06-20T00:00:00"/>
    <x v="19"/>
    <n v="139"/>
  </r>
  <r>
    <d v="2011-06-23T00:00:00"/>
    <x v="52"/>
    <n v="187"/>
  </r>
  <r>
    <d v="2011-06-23T00:00:00"/>
    <x v="201"/>
    <n v="11"/>
  </r>
  <r>
    <d v="2011-06-24T00:00:00"/>
    <x v="55"/>
    <n v="170"/>
  </r>
  <r>
    <d v="2011-06-29T00:00:00"/>
    <x v="116"/>
    <n v="7"/>
  </r>
  <r>
    <d v="2011-07-03T00:00:00"/>
    <x v="12"/>
    <n v="168"/>
  </r>
  <r>
    <d v="2011-07-03T00:00:00"/>
    <x v="205"/>
    <n v="4"/>
  </r>
  <r>
    <d v="2011-07-03T00:00:00"/>
    <x v="9"/>
    <n v="145"/>
  </r>
  <r>
    <d v="2011-07-06T00:00:00"/>
    <x v="19"/>
    <n v="103"/>
  </r>
  <r>
    <d v="2011-07-08T00:00:00"/>
    <x v="17"/>
    <n v="101"/>
  </r>
  <r>
    <d v="2011-07-09T00:00:00"/>
    <x v="35"/>
    <n v="141"/>
  </r>
  <r>
    <d v="2011-07-09T00:00:00"/>
    <x v="194"/>
    <n v="6"/>
  </r>
  <r>
    <d v="2011-07-09T00:00:00"/>
    <x v="178"/>
    <n v="16"/>
  </r>
  <r>
    <d v="2011-07-11T00:00:00"/>
    <x v="17"/>
    <n v="276"/>
  </r>
  <r>
    <d v="2011-07-12T00:00:00"/>
    <x v="102"/>
    <n v="329"/>
  </r>
  <r>
    <d v="2011-07-13T00:00:00"/>
    <x v="52"/>
    <n v="200"/>
  </r>
  <r>
    <d v="2011-07-16T00:00:00"/>
    <x v="10"/>
    <n v="82"/>
  </r>
  <r>
    <d v="2011-07-16T00:00:00"/>
    <x v="37"/>
    <n v="66"/>
  </r>
  <r>
    <d v="2011-07-21T00:00:00"/>
    <x v="22"/>
    <n v="150"/>
  </r>
  <r>
    <d v="2011-07-21T00:00:00"/>
    <x v="69"/>
    <n v="63"/>
  </r>
  <r>
    <d v="2011-07-22T00:00:00"/>
    <x v="66"/>
    <n v="120"/>
  </r>
  <r>
    <d v="2011-07-23T00:00:00"/>
    <x v="7"/>
    <n v="155"/>
  </r>
  <r>
    <d v="2011-07-24T00:00:00"/>
    <x v="19"/>
    <n v="30"/>
  </r>
  <r>
    <d v="2011-07-24T00:00:00"/>
    <x v="71"/>
    <n v="34"/>
  </r>
  <r>
    <d v="2011-07-29T00:00:00"/>
    <x v="12"/>
    <n v="30"/>
  </r>
  <r>
    <d v="2011-07-29T00:00:00"/>
    <x v="6"/>
    <n v="162"/>
  </r>
  <r>
    <d v="2011-07-30T00:00:00"/>
    <x v="63"/>
    <n v="71"/>
  </r>
  <r>
    <d v="2011-07-31T00:00:00"/>
    <x v="155"/>
    <n v="16"/>
  </r>
  <r>
    <d v="2011-08-04T00:00:00"/>
    <x v="35"/>
    <n v="165"/>
  </r>
  <r>
    <d v="2011-08-05T00:00:00"/>
    <x v="35"/>
    <n v="180"/>
  </r>
  <r>
    <d v="2011-08-06T00:00:00"/>
    <x v="84"/>
    <n v="2"/>
  </r>
  <r>
    <d v="2011-08-11T00:00:00"/>
    <x v="37"/>
    <n v="111"/>
  </r>
  <r>
    <d v="2011-08-12T00:00:00"/>
    <x v="35"/>
    <n v="128"/>
  </r>
  <r>
    <d v="2011-08-13T00:00:00"/>
    <x v="110"/>
    <n v="7"/>
  </r>
  <r>
    <d v="2011-08-13T00:00:00"/>
    <x v="9"/>
    <n v="211"/>
  </r>
  <r>
    <d v="2011-08-13T00:00:00"/>
    <x v="6"/>
    <n v="184"/>
  </r>
  <r>
    <d v="2011-08-16T00:00:00"/>
    <x v="14"/>
    <n v="450"/>
  </r>
  <r>
    <d v="2011-08-16T00:00:00"/>
    <x v="120"/>
    <n v="140"/>
  </r>
  <r>
    <d v="2011-08-20T00:00:00"/>
    <x v="8"/>
    <n v="52"/>
  </r>
  <r>
    <d v="2011-08-22T00:00:00"/>
    <x v="181"/>
    <n v="2"/>
  </r>
  <r>
    <d v="2011-08-22T00:00:00"/>
    <x v="96"/>
    <n v="13"/>
  </r>
  <r>
    <d v="2011-08-22T00:00:00"/>
    <x v="37"/>
    <n v="73"/>
  </r>
  <r>
    <d v="2011-08-26T00:00:00"/>
    <x v="18"/>
    <n v="123"/>
  </r>
  <r>
    <d v="2011-08-28T00:00:00"/>
    <x v="68"/>
    <n v="3"/>
  </r>
  <r>
    <d v="2011-08-29T00:00:00"/>
    <x v="12"/>
    <n v="93"/>
  </r>
  <r>
    <d v="2011-09-03T00:00:00"/>
    <x v="24"/>
    <n v="310"/>
  </r>
  <r>
    <d v="2011-09-03T00:00:00"/>
    <x v="6"/>
    <n v="77"/>
  </r>
  <r>
    <d v="2011-09-07T00:00:00"/>
    <x v="10"/>
    <n v="21"/>
  </r>
  <r>
    <d v="2011-09-11T00:00:00"/>
    <x v="21"/>
    <n v="3"/>
  </r>
  <r>
    <d v="2011-09-13T00:00:00"/>
    <x v="28"/>
    <n v="176"/>
  </r>
  <r>
    <d v="2011-09-13T00:00:00"/>
    <x v="13"/>
    <n v="20"/>
  </r>
  <r>
    <d v="2011-09-14T00:00:00"/>
    <x v="24"/>
    <n v="230"/>
  </r>
  <r>
    <d v="2011-09-14T00:00:00"/>
    <x v="155"/>
    <n v="10"/>
  </r>
  <r>
    <d v="2011-09-16T00:00:00"/>
    <x v="163"/>
    <n v="12"/>
  </r>
  <r>
    <d v="2011-09-16T00:00:00"/>
    <x v="152"/>
    <n v="11"/>
  </r>
  <r>
    <d v="2011-09-17T00:00:00"/>
    <x v="9"/>
    <n v="383"/>
  </r>
  <r>
    <d v="2011-09-21T00:00:00"/>
    <x v="102"/>
    <n v="249"/>
  </r>
  <r>
    <d v="2011-09-24T00:00:00"/>
    <x v="164"/>
    <n v="8"/>
  </r>
  <r>
    <d v="2011-09-26T00:00:00"/>
    <x v="30"/>
    <n v="42"/>
  </r>
  <r>
    <d v="2011-09-29T00:00:00"/>
    <x v="223"/>
    <n v="1"/>
  </r>
  <r>
    <d v="2011-09-29T00:00:00"/>
    <x v="22"/>
    <n v="340"/>
  </r>
  <r>
    <d v="2011-10-01T00:00:00"/>
    <x v="17"/>
    <n v="394"/>
  </r>
  <r>
    <d v="2011-10-01T00:00:00"/>
    <x v="5"/>
    <n v="176"/>
  </r>
  <r>
    <d v="2011-10-02T00:00:00"/>
    <x v="28"/>
    <n v="181"/>
  </r>
  <r>
    <d v="2011-10-06T00:00:00"/>
    <x v="55"/>
    <n v="26"/>
  </r>
  <r>
    <d v="2011-10-10T00:00:00"/>
    <x v="25"/>
    <n v="73"/>
  </r>
  <r>
    <d v="2011-10-14T00:00:00"/>
    <x v="50"/>
    <n v="274"/>
  </r>
  <r>
    <d v="2011-10-17T00:00:00"/>
    <x v="212"/>
    <n v="8"/>
  </r>
  <r>
    <d v="2011-10-17T00:00:00"/>
    <x v="21"/>
    <n v="12"/>
  </r>
  <r>
    <d v="2011-10-21T00:00:00"/>
    <x v="50"/>
    <n v="496"/>
  </r>
  <r>
    <d v="2011-10-22T00:00:00"/>
    <x v="184"/>
    <n v="5"/>
  </r>
  <r>
    <d v="2011-10-23T00:00:00"/>
    <x v="75"/>
    <n v="2"/>
  </r>
  <r>
    <d v="2011-10-23T00:00:00"/>
    <x v="66"/>
    <n v="77"/>
  </r>
  <r>
    <d v="2011-10-31T00:00:00"/>
    <x v="25"/>
    <n v="134"/>
  </r>
  <r>
    <d v="2011-11-01T00:00:00"/>
    <x v="197"/>
    <n v="4"/>
  </r>
  <r>
    <d v="2011-11-03T00:00:00"/>
    <x v="55"/>
    <n v="46"/>
  </r>
  <r>
    <d v="2011-11-05T00:00:00"/>
    <x v="123"/>
    <n v="43"/>
  </r>
  <r>
    <d v="2011-11-08T00:00:00"/>
    <x v="21"/>
    <n v="2"/>
  </r>
  <r>
    <d v="2011-11-10T00:00:00"/>
    <x v="19"/>
    <n v="100"/>
  </r>
  <r>
    <d v="2011-11-10T00:00:00"/>
    <x v="22"/>
    <n v="438"/>
  </r>
  <r>
    <d v="2011-11-12T00:00:00"/>
    <x v="26"/>
    <n v="69"/>
  </r>
  <r>
    <d v="2011-11-17T00:00:00"/>
    <x v="8"/>
    <n v="22"/>
  </r>
  <r>
    <d v="2011-11-18T00:00:00"/>
    <x v="55"/>
    <n v="130"/>
  </r>
  <r>
    <d v="2011-11-22T00:00:00"/>
    <x v="177"/>
    <n v="5"/>
  </r>
  <r>
    <d v="2011-11-25T00:00:00"/>
    <x v="58"/>
    <n v="62"/>
  </r>
  <r>
    <d v="2011-11-27T00:00:00"/>
    <x v="220"/>
    <n v="8"/>
  </r>
  <r>
    <d v="2011-11-29T00:00:00"/>
    <x v="56"/>
    <n v="18"/>
  </r>
  <r>
    <d v="2011-12-04T00:00:00"/>
    <x v="25"/>
    <n v="146"/>
  </r>
  <r>
    <d v="2011-12-04T00:00:00"/>
    <x v="118"/>
    <n v="5"/>
  </r>
  <r>
    <d v="2011-12-12T00:00:00"/>
    <x v="19"/>
    <n v="20"/>
  </r>
  <r>
    <d v="2011-12-12T00:00:00"/>
    <x v="22"/>
    <n v="153"/>
  </r>
  <r>
    <d v="2011-12-13T00:00:00"/>
    <x v="45"/>
    <n v="227"/>
  </r>
  <r>
    <d v="2011-12-14T00:00:00"/>
    <x v="12"/>
    <n v="52"/>
  </r>
  <r>
    <d v="2011-12-15T00:00:00"/>
    <x v="6"/>
    <n v="108"/>
  </r>
  <r>
    <d v="2011-12-18T00:00:00"/>
    <x v="24"/>
    <n v="236"/>
  </r>
  <r>
    <d v="2011-12-20T00:00:00"/>
    <x v="30"/>
    <n v="125"/>
  </r>
  <r>
    <d v="2011-12-21T00:00:00"/>
    <x v="10"/>
    <n v="183"/>
  </r>
  <r>
    <d v="2011-12-22T00:00:00"/>
    <x v="8"/>
    <n v="130"/>
  </r>
  <r>
    <d v="2011-12-22T00:00:00"/>
    <x v="224"/>
    <n v="4"/>
  </r>
  <r>
    <d v="2011-12-23T00:00:00"/>
    <x v="225"/>
    <n v="3"/>
  </r>
  <r>
    <d v="2011-12-24T00:00:00"/>
    <x v="226"/>
    <n v="16"/>
  </r>
  <r>
    <d v="2011-12-26T00:00:00"/>
    <x v="6"/>
    <n v="197"/>
  </r>
  <r>
    <d v="2011-12-26T00:00:00"/>
    <x v="152"/>
    <n v="4"/>
  </r>
  <r>
    <d v="2011-12-27T00:00:00"/>
    <x v="52"/>
    <n v="57"/>
  </r>
  <r>
    <d v="2011-12-29T00:00:00"/>
    <x v="92"/>
    <n v="16"/>
  </r>
  <r>
    <d v="2011-12-30T00:00:00"/>
    <x v="63"/>
    <n v="89"/>
  </r>
  <r>
    <d v="2012-01-04T00:00:00"/>
    <x v="66"/>
    <n v="74"/>
  </r>
  <r>
    <d v="2012-01-05T00:00:00"/>
    <x v="9"/>
    <n v="243"/>
  </r>
  <r>
    <d v="2012-01-07T00:00:00"/>
    <x v="22"/>
    <n v="460"/>
  </r>
  <r>
    <d v="2012-01-07T00:00:00"/>
    <x v="227"/>
    <n v="20"/>
  </r>
  <r>
    <d v="2012-01-09T00:00:00"/>
    <x v="22"/>
    <n v="250"/>
  </r>
  <r>
    <d v="2012-01-15T00:00:00"/>
    <x v="10"/>
    <n v="78"/>
  </r>
  <r>
    <d v="2012-01-17T00:00:00"/>
    <x v="8"/>
    <n v="170"/>
  </r>
  <r>
    <d v="2012-01-19T00:00:00"/>
    <x v="52"/>
    <n v="128"/>
  </r>
  <r>
    <d v="2012-01-19T00:00:00"/>
    <x v="61"/>
    <n v="53"/>
  </r>
  <r>
    <d v="2012-01-20T00:00:00"/>
    <x v="14"/>
    <n v="223"/>
  </r>
  <r>
    <d v="2012-01-25T00:00:00"/>
    <x v="52"/>
    <n v="47"/>
  </r>
  <r>
    <d v="2012-01-25T00:00:00"/>
    <x v="37"/>
    <n v="112"/>
  </r>
  <r>
    <d v="2012-01-27T00:00:00"/>
    <x v="50"/>
    <n v="201"/>
  </r>
  <r>
    <d v="2012-01-28T00:00:00"/>
    <x v="25"/>
    <n v="121"/>
  </r>
  <r>
    <d v="2012-01-31T00:00:00"/>
    <x v="7"/>
    <n v="462"/>
  </r>
  <r>
    <d v="2012-02-02T00:00:00"/>
    <x v="22"/>
    <n v="333"/>
  </r>
  <r>
    <d v="2012-02-04T00:00:00"/>
    <x v="108"/>
    <n v="9"/>
  </r>
  <r>
    <d v="2012-02-06T00:00:00"/>
    <x v="25"/>
    <n v="104"/>
  </r>
  <r>
    <d v="2012-02-06T00:00:00"/>
    <x v="173"/>
    <n v="104"/>
  </r>
  <r>
    <d v="2012-02-08T00:00:00"/>
    <x v="18"/>
    <n v="78"/>
  </r>
  <r>
    <d v="2012-02-11T00:00:00"/>
    <x v="30"/>
    <n v="53"/>
  </r>
  <r>
    <d v="2012-02-12T00:00:00"/>
    <x v="45"/>
    <n v="305"/>
  </r>
  <r>
    <d v="2012-02-14T00:00:00"/>
    <x v="9"/>
    <n v="363"/>
  </r>
  <r>
    <d v="2012-02-16T00:00:00"/>
    <x v="228"/>
    <n v="19"/>
  </r>
  <r>
    <d v="2012-02-16T00:00:00"/>
    <x v="102"/>
    <n v="248"/>
  </r>
  <r>
    <d v="2012-02-16T00:00:00"/>
    <x v="19"/>
    <n v="64"/>
  </r>
  <r>
    <d v="2012-02-17T00:00:00"/>
    <x v="50"/>
    <n v="288"/>
  </r>
  <r>
    <d v="2012-02-18T00:00:00"/>
    <x v="144"/>
    <n v="18"/>
  </r>
  <r>
    <d v="2012-02-20T00:00:00"/>
    <x v="31"/>
    <n v="54"/>
  </r>
  <r>
    <d v="2012-02-20T00:00:00"/>
    <x v="201"/>
    <n v="3"/>
  </r>
  <r>
    <d v="2012-02-21T00:00:00"/>
    <x v="65"/>
    <n v="9"/>
  </r>
  <r>
    <d v="2012-02-22T00:00:00"/>
    <x v="149"/>
    <n v="19"/>
  </r>
  <r>
    <d v="2012-02-22T00:00:00"/>
    <x v="26"/>
    <n v="198"/>
  </r>
  <r>
    <d v="2012-02-27T00:00:00"/>
    <x v="5"/>
    <n v="417"/>
  </r>
  <r>
    <d v="2012-03-03T00:00:00"/>
    <x v="102"/>
    <n v="221"/>
  </r>
  <r>
    <d v="2012-03-03T00:00:00"/>
    <x v="18"/>
    <n v="53"/>
  </r>
  <r>
    <d v="2012-03-05T00:00:00"/>
    <x v="69"/>
    <n v="127"/>
  </r>
  <r>
    <d v="2012-03-06T00:00:00"/>
    <x v="14"/>
    <n v="340"/>
  </r>
  <r>
    <d v="2012-03-09T00:00:00"/>
    <x v="7"/>
    <n v="310"/>
  </r>
  <r>
    <d v="2012-03-11T00:00:00"/>
    <x v="222"/>
    <n v="8"/>
  </r>
  <r>
    <d v="2012-03-12T00:00:00"/>
    <x v="61"/>
    <n v="132"/>
  </r>
  <r>
    <d v="2012-03-12T00:00:00"/>
    <x v="26"/>
    <n v="168"/>
  </r>
  <r>
    <d v="2012-03-14T00:00:00"/>
    <x v="26"/>
    <n v="49"/>
  </r>
  <r>
    <d v="2012-03-16T00:00:00"/>
    <x v="37"/>
    <n v="140"/>
  </r>
  <r>
    <d v="2012-03-18T00:00:00"/>
    <x v="35"/>
    <n v="140"/>
  </r>
  <r>
    <d v="2012-03-18T00:00:00"/>
    <x v="23"/>
    <n v="194"/>
  </r>
  <r>
    <d v="2012-03-24T00:00:00"/>
    <x v="23"/>
    <n v="123"/>
  </r>
  <r>
    <d v="2012-03-24T00:00:00"/>
    <x v="74"/>
    <n v="11"/>
  </r>
  <r>
    <d v="2012-03-26T00:00:00"/>
    <x v="150"/>
    <n v="1"/>
  </r>
  <r>
    <d v="2012-03-27T00:00:00"/>
    <x v="9"/>
    <n v="267"/>
  </r>
  <r>
    <d v="2012-03-30T00:00:00"/>
    <x v="149"/>
    <n v="14"/>
  </r>
  <r>
    <d v="2012-03-31T00:00:00"/>
    <x v="20"/>
    <n v="160"/>
  </r>
  <r>
    <d v="2012-03-31T00:00:00"/>
    <x v="9"/>
    <n v="437"/>
  </r>
  <r>
    <d v="2012-04-04T00:00:00"/>
    <x v="123"/>
    <n v="71"/>
  </r>
  <r>
    <d v="2012-04-05T00:00:00"/>
    <x v="66"/>
    <n v="35"/>
  </r>
  <r>
    <d v="2012-04-06T00:00:00"/>
    <x v="22"/>
    <n v="116"/>
  </r>
  <r>
    <d v="2012-04-07T00:00:00"/>
    <x v="6"/>
    <n v="152"/>
  </r>
  <r>
    <d v="2012-04-12T00:00:00"/>
    <x v="7"/>
    <n v="309"/>
  </r>
  <r>
    <d v="2012-04-12T00:00:00"/>
    <x v="81"/>
    <n v="7"/>
  </r>
  <r>
    <d v="2012-04-12T00:00:00"/>
    <x v="102"/>
    <n v="353"/>
  </r>
  <r>
    <d v="2012-04-13T00:00:00"/>
    <x v="187"/>
    <n v="3"/>
  </r>
  <r>
    <d v="2012-04-14T00:00:00"/>
    <x v="14"/>
    <n v="166"/>
  </r>
  <r>
    <d v="2012-04-15T00:00:00"/>
    <x v="224"/>
    <n v="14"/>
  </r>
  <r>
    <d v="2012-04-15T00:00:00"/>
    <x v="6"/>
    <n v="141"/>
  </r>
  <r>
    <d v="2012-04-15T00:00:00"/>
    <x v="229"/>
    <n v="15"/>
  </r>
  <r>
    <d v="2012-04-21T00:00:00"/>
    <x v="22"/>
    <n v="157"/>
  </r>
  <r>
    <d v="2012-04-26T00:00:00"/>
    <x v="9"/>
    <n v="191"/>
  </r>
  <r>
    <d v="2012-04-27T00:00:00"/>
    <x v="36"/>
    <n v="7"/>
  </r>
  <r>
    <d v="2012-04-28T00:00:00"/>
    <x v="26"/>
    <n v="200"/>
  </r>
  <r>
    <d v="2012-05-04T00:00:00"/>
    <x v="149"/>
    <n v="15"/>
  </r>
  <r>
    <d v="2012-05-04T00:00:00"/>
    <x v="171"/>
    <n v="7"/>
  </r>
  <r>
    <d v="2012-05-04T00:00:00"/>
    <x v="14"/>
    <n v="235"/>
  </r>
  <r>
    <d v="2012-05-05T00:00:00"/>
    <x v="50"/>
    <n v="301"/>
  </r>
  <r>
    <d v="2012-05-07T00:00:00"/>
    <x v="5"/>
    <n v="136"/>
  </r>
  <r>
    <d v="2012-05-07T00:00:00"/>
    <x v="126"/>
    <n v="5"/>
  </r>
  <r>
    <d v="2012-05-08T00:00:00"/>
    <x v="7"/>
    <n v="280"/>
  </r>
  <r>
    <d v="2012-05-08T00:00:00"/>
    <x v="65"/>
    <n v="3"/>
  </r>
  <r>
    <d v="2012-05-11T00:00:00"/>
    <x v="206"/>
    <n v="14"/>
  </r>
  <r>
    <d v="2012-05-12T00:00:00"/>
    <x v="10"/>
    <n v="79"/>
  </r>
  <r>
    <d v="2012-05-13T00:00:00"/>
    <x v="173"/>
    <n v="86"/>
  </r>
  <r>
    <d v="2012-05-13T00:00:00"/>
    <x v="23"/>
    <n v="70"/>
  </r>
  <r>
    <d v="2012-05-14T00:00:00"/>
    <x v="20"/>
    <n v="189"/>
  </r>
  <r>
    <d v="2012-05-14T00:00:00"/>
    <x v="55"/>
    <n v="111"/>
  </r>
  <r>
    <d v="2012-05-17T00:00:00"/>
    <x v="19"/>
    <n v="158"/>
  </r>
  <r>
    <d v="2012-05-22T00:00:00"/>
    <x v="66"/>
    <n v="172"/>
  </r>
  <r>
    <d v="2012-05-23T00:00:00"/>
    <x v="50"/>
    <n v="179"/>
  </r>
  <r>
    <d v="2012-05-24T00:00:00"/>
    <x v="104"/>
    <n v="19"/>
  </r>
  <r>
    <d v="2012-05-24T00:00:00"/>
    <x v="28"/>
    <n v="57"/>
  </r>
  <r>
    <d v="2012-05-25T00:00:00"/>
    <x v="50"/>
    <n v="335"/>
  </r>
  <r>
    <d v="2012-05-31T00:00:00"/>
    <x v="164"/>
    <n v="12"/>
  </r>
  <r>
    <d v="2012-06-01T00:00:00"/>
    <x v="125"/>
    <n v="2"/>
  </r>
  <r>
    <d v="2012-06-01T00:00:00"/>
    <x v="50"/>
    <n v="237"/>
  </r>
  <r>
    <d v="2012-06-04T00:00:00"/>
    <x v="7"/>
    <n v="482"/>
  </r>
  <r>
    <d v="2012-06-04T00:00:00"/>
    <x v="125"/>
    <n v="8"/>
  </r>
  <r>
    <d v="2012-06-07T00:00:00"/>
    <x v="35"/>
    <n v="147"/>
  </r>
  <r>
    <d v="2012-06-09T00:00:00"/>
    <x v="22"/>
    <n v="224"/>
  </r>
  <r>
    <d v="2012-06-10T00:00:00"/>
    <x v="177"/>
    <n v="11"/>
  </r>
  <r>
    <d v="2012-06-14T00:00:00"/>
    <x v="37"/>
    <n v="184"/>
  </r>
  <r>
    <d v="2012-06-16T00:00:00"/>
    <x v="168"/>
    <n v="20"/>
  </r>
  <r>
    <d v="2012-06-16T00:00:00"/>
    <x v="50"/>
    <n v="221"/>
  </r>
  <r>
    <d v="2012-06-19T00:00:00"/>
    <x v="37"/>
    <n v="162"/>
  </r>
  <r>
    <d v="2012-06-23T00:00:00"/>
    <x v="91"/>
    <n v="19"/>
  </r>
  <r>
    <d v="2012-06-28T00:00:00"/>
    <x v="178"/>
    <n v="1"/>
  </r>
  <r>
    <d v="2012-06-30T00:00:00"/>
    <x v="12"/>
    <n v="122"/>
  </r>
  <r>
    <d v="2012-06-30T00:00:00"/>
    <x v="17"/>
    <n v="163"/>
  </r>
  <r>
    <d v="2012-07-01T00:00:00"/>
    <x v="66"/>
    <n v="29"/>
  </r>
  <r>
    <d v="2012-07-05T00:00:00"/>
    <x v="55"/>
    <n v="106"/>
  </r>
  <r>
    <d v="2012-07-06T00:00:00"/>
    <x v="14"/>
    <n v="112"/>
  </r>
  <r>
    <d v="2012-07-07T00:00:00"/>
    <x v="28"/>
    <n v="90"/>
  </r>
  <r>
    <d v="2012-07-09T00:00:00"/>
    <x v="16"/>
    <n v="7"/>
  </r>
  <r>
    <d v="2012-07-09T00:00:00"/>
    <x v="23"/>
    <n v="27"/>
  </r>
  <r>
    <d v="2012-07-09T00:00:00"/>
    <x v="61"/>
    <n v="185"/>
  </r>
  <r>
    <d v="2012-07-10T00:00:00"/>
    <x v="22"/>
    <n v="153"/>
  </r>
  <r>
    <d v="2012-07-12T00:00:00"/>
    <x v="61"/>
    <n v="109"/>
  </r>
  <r>
    <d v="2012-07-14T00:00:00"/>
    <x v="211"/>
    <n v="10"/>
  </r>
  <r>
    <d v="2012-07-14T00:00:00"/>
    <x v="79"/>
    <n v="10"/>
  </r>
  <r>
    <d v="2012-07-16T00:00:00"/>
    <x v="131"/>
    <n v="90"/>
  </r>
  <r>
    <d v="2012-07-16T00:00:00"/>
    <x v="58"/>
    <n v="34"/>
  </r>
  <r>
    <d v="2012-07-18T00:00:00"/>
    <x v="9"/>
    <n v="106"/>
  </r>
  <r>
    <d v="2012-07-19T00:00:00"/>
    <x v="9"/>
    <n v="229"/>
  </r>
  <r>
    <d v="2012-07-25T00:00:00"/>
    <x v="17"/>
    <n v="229"/>
  </r>
  <r>
    <d v="2012-07-25T00:00:00"/>
    <x v="47"/>
    <n v="20"/>
  </r>
  <r>
    <d v="2012-07-25T00:00:00"/>
    <x v="45"/>
    <n v="261"/>
  </r>
  <r>
    <d v="2012-07-28T00:00:00"/>
    <x v="147"/>
    <n v="10"/>
  </r>
  <r>
    <d v="2012-07-28T00:00:00"/>
    <x v="7"/>
    <n v="400"/>
  </r>
  <r>
    <d v="2012-08-01T00:00:00"/>
    <x v="14"/>
    <n v="401"/>
  </r>
  <r>
    <d v="2012-08-03T00:00:00"/>
    <x v="55"/>
    <n v="170"/>
  </r>
  <r>
    <d v="2012-08-04T00:00:00"/>
    <x v="22"/>
    <n v="124"/>
  </r>
  <r>
    <d v="2012-08-06T00:00:00"/>
    <x v="201"/>
    <n v="13"/>
  </r>
  <r>
    <d v="2012-08-09T00:00:00"/>
    <x v="19"/>
    <n v="87"/>
  </r>
  <r>
    <d v="2012-08-09T00:00:00"/>
    <x v="24"/>
    <n v="190"/>
  </r>
  <r>
    <d v="2012-08-09T00:00:00"/>
    <x v="50"/>
    <n v="349"/>
  </r>
  <r>
    <d v="2012-08-11T00:00:00"/>
    <x v="181"/>
    <n v="16"/>
  </r>
  <r>
    <d v="2012-08-12T00:00:00"/>
    <x v="71"/>
    <n v="42"/>
  </r>
  <r>
    <d v="2012-08-13T00:00:00"/>
    <x v="23"/>
    <n v="70"/>
  </r>
  <r>
    <d v="2012-08-15T00:00:00"/>
    <x v="52"/>
    <n v="189"/>
  </r>
  <r>
    <d v="2012-08-16T00:00:00"/>
    <x v="55"/>
    <n v="64"/>
  </r>
  <r>
    <d v="2012-08-20T00:00:00"/>
    <x v="35"/>
    <n v="76"/>
  </r>
  <r>
    <d v="2012-08-21T00:00:00"/>
    <x v="49"/>
    <n v="11"/>
  </r>
  <r>
    <d v="2012-08-21T00:00:00"/>
    <x v="66"/>
    <n v="96"/>
  </r>
  <r>
    <d v="2012-08-22T00:00:00"/>
    <x v="111"/>
    <n v="17"/>
  </r>
  <r>
    <d v="2012-08-22T00:00:00"/>
    <x v="18"/>
    <n v="92"/>
  </r>
  <r>
    <d v="2012-08-23T00:00:00"/>
    <x v="8"/>
    <n v="76"/>
  </r>
  <r>
    <d v="2012-08-25T00:00:00"/>
    <x v="10"/>
    <n v="77"/>
  </r>
  <r>
    <d v="2012-08-26T00:00:00"/>
    <x v="102"/>
    <n v="344"/>
  </r>
  <r>
    <d v="2012-08-26T00:00:00"/>
    <x v="7"/>
    <n v="218"/>
  </r>
  <r>
    <d v="2012-08-27T00:00:00"/>
    <x v="50"/>
    <n v="115"/>
  </r>
  <r>
    <d v="2012-08-28T00:00:00"/>
    <x v="80"/>
    <n v="143"/>
  </r>
  <r>
    <d v="2012-08-28T00:00:00"/>
    <x v="137"/>
    <n v="1"/>
  </r>
  <r>
    <d v="2012-09-02T00:00:00"/>
    <x v="69"/>
    <n v="133"/>
  </r>
  <r>
    <d v="2012-09-02T00:00:00"/>
    <x v="17"/>
    <n v="496"/>
  </r>
  <r>
    <d v="2012-09-02T00:00:00"/>
    <x v="108"/>
    <n v="5"/>
  </r>
  <r>
    <d v="2012-09-04T00:00:00"/>
    <x v="172"/>
    <n v="8"/>
  </r>
  <r>
    <d v="2012-09-05T00:00:00"/>
    <x v="52"/>
    <n v="59"/>
  </r>
  <r>
    <d v="2012-09-05T00:00:00"/>
    <x v="17"/>
    <n v="273"/>
  </r>
  <r>
    <d v="2012-09-06T00:00:00"/>
    <x v="9"/>
    <n v="165"/>
  </r>
  <r>
    <d v="2012-09-10T00:00:00"/>
    <x v="48"/>
    <n v="13"/>
  </r>
  <r>
    <d v="2012-09-11T00:00:00"/>
    <x v="69"/>
    <n v="143"/>
  </r>
  <r>
    <d v="2012-09-15T00:00:00"/>
    <x v="230"/>
    <n v="20"/>
  </r>
  <r>
    <d v="2012-09-19T00:00:00"/>
    <x v="54"/>
    <n v="4"/>
  </r>
  <r>
    <d v="2012-09-23T00:00:00"/>
    <x v="131"/>
    <n v="102"/>
  </r>
  <r>
    <d v="2012-09-25T00:00:00"/>
    <x v="6"/>
    <n v="155"/>
  </r>
  <r>
    <d v="2012-09-27T00:00:00"/>
    <x v="7"/>
    <n v="226"/>
  </r>
  <r>
    <d v="2012-09-27T00:00:00"/>
    <x v="14"/>
    <n v="346"/>
  </r>
  <r>
    <d v="2012-09-28T00:00:00"/>
    <x v="52"/>
    <n v="45"/>
  </r>
  <r>
    <d v="2012-09-30T00:00:00"/>
    <x v="151"/>
    <n v="11"/>
  </r>
  <r>
    <d v="2012-10-03T00:00:00"/>
    <x v="130"/>
    <n v="14"/>
  </r>
  <r>
    <d v="2012-10-08T00:00:00"/>
    <x v="51"/>
    <n v="12"/>
  </r>
  <r>
    <d v="2012-10-13T00:00:00"/>
    <x v="154"/>
    <n v="11"/>
  </r>
  <r>
    <d v="2012-10-13T00:00:00"/>
    <x v="26"/>
    <n v="142"/>
  </r>
  <r>
    <d v="2012-10-19T00:00:00"/>
    <x v="71"/>
    <n v="184"/>
  </r>
  <r>
    <d v="2012-10-20T00:00:00"/>
    <x v="45"/>
    <n v="390"/>
  </r>
  <r>
    <d v="2012-10-24T00:00:00"/>
    <x v="37"/>
    <n v="110"/>
  </r>
  <r>
    <d v="2012-10-25T00:00:00"/>
    <x v="19"/>
    <n v="92"/>
  </r>
  <r>
    <d v="2012-10-26T00:00:00"/>
    <x v="68"/>
    <n v="5"/>
  </r>
  <r>
    <d v="2012-10-26T00:00:00"/>
    <x v="229"/>
    <n v="2"/>
  </r>
  <r>
    <d v="2012-10-28T00:00:00"/>
    <x v="175"/>
    <n v="14"/>
  </r>
  <r>
    <d v="2012-10-31T00:00:00"/>
    <x v="84"/>
    <n v="6"/>
  </r>
  <r>
    <d v="2012-11-01T00:00:00"/>
    <x v="18"/>
    <n v="65"/>
  </r>
  <r>
    <d v="2012-11-01T00:00:00"/>
    <x v="69"/>
    <n v="45"/>
  </r>
  <r>
    <d v="2012-11-01T00:00:00"/>
    <x v="7"/>
    <n v="108"/>
  </r>
  <r>
    <d v="2012-11-02T00:00:00"/>
    <x v="37"/>
    <n v="159"/>
  </r>
  <r>
    <d v="2012-11-06T00:00:00"/>
    <x v="19"/>
    <n v="141"/>
  </r>
  <r>
    <d v="2012-11-06T00:00:00"/>
    <x v="38"/>
    <n v="14"/>
  </r>
  <r>
    <d v="2012-11-09T00:00:00"/>
    <x v="10"/>
    <n v="142"/>
  </r>
  <r>
    <d v="2012-11-10T00:00:00"/>
    <x v="9"/>
    <n v="167"/>
  </r>
  <r>
    <d v="2012-11-11T00:00:00"/>
    <x v="175"/>
    <n v="12"/>
  </r>
  <r>
    <d v="2012-11-16T00:00:00"/>
    <x v="28"/>
    <n v="187"/>
  </r>
  <r>
    <d v="2012-11-19T00:00:00"/>
    <x v="41"/>
    <n v="14"/>
  </r>
  <r>
    <d v="2012-11-22T00:00:00"/>
    <x v="165"/>
    <n v="10"/>
  </r>
  <r>
    <d v="2012-11-23T00:00:00"/>
    <x v="22"/>
    <n v="269"/>
  </r>
  <r>
    <d v="2012-11-23T00:00:00"/>
    <x v="5"/>
    <n v="328"/>
  </r>
  <r>
    <d v="2012-11-24T00:00:00"/>
    <x v="9"/>
    <n v="228"/>
  </r>
  <r>
    <d v="2012-11-26T00:00:00"/>
    <x v="2"/>
    <n v="12"/>
  </r>
  <r>
    <d v="2012-12-01T00:00:00"/>
    <x v="93"/>
    <n v="16"/>
  </r>
  <r>
    <d v="2012-12-04T00:00:00"/>
    <x v="17"/>
    <n v="233"/>
  </r>
  <r>
    <d v="2012-12-05T00:00:00"/>
    <x v="132"/>
    <n v="10"/>
  </r>
  <r>
    <d v="2012-12-08T00:00:00"/>
    <x v="10"/>
    <n v="168"/>
  </r>
  <r>
    <d v="2012-12-08T00:00:00"/>
    <x v="5"/>
    <n v="388"/>
  </r>
  <r>
    <d v="2012-12-09T00:00:00"/>
    <x v="50"/>
    <n v="319"/>
  </r>
  <r>
    <d v="2012-12-11T00:00:00"/>
    <x v="67"/>
    <n v="12"/>
  </r>
  <r>
    <d v="2012-12-13T00:00:00"/>
    <x v="173"/>
    <n v="150"/>
  </r>
  <r>
    <d v="2012-12-15T00:00:00"/>
    <x v="9"/>
    <n v="347"/>
  </r>
  <r>
    <d v="2012-12-16T00:00:00"/>
    <x v="23"/>
    <n v="177"/>
  </r>
  <r>
    <d v="2012-12-19T00:00:00"/>
    <x v="45"/>
    <n v="222"/>
  </r>
  <r>
    <d v="2012-12-30T00:00:00"/>
    <x v="49"/>
    <n v="9"/>
  </r>
  <r>
    <d v="2012-12-30T00:00:00"/>
    <x v="231"/>
    <n v="14"/>
  </r>
  <r>
    <d v="2013-01-01T00:00:00"/>
    <x v="3"/>
    <n v="7"/>
  </r>
  <r>
    <d v="2013-01-05T00:00:00"/>
    <x v="66"/>
    <n v="171"/>
  </r>
  <r>
    <d v="2013-01-09T00:00:00"/>
    <x v="208"/>
    <n v="16"/>
  </r>
  <r>
    <d v="2013-01-10T00:00:00"/>
    <x v="18"/>
    <n v="176"/>
  </r>
  <r>
    <d v="2013-01-13T00:00:00"/>
    <x v="55"/>
    <n v="37"/>
  </r>
  <r>
    <d v="2013-01-16T00:00:00"/>
    <x v="18"/>
    <n v="186"/>
  </r>
  <r>
    <d v="2013-01-16T00:00:00"/>
    <x v="61"/>
    <n v="45"/>
  </r>
  <r>
    <d v="2013-01-20T00:00:00"/>
    <x v="52"/>
    <n v="186"/>
  </r>
  <r>
    <d v="2013-01-20T00:00:00"/>
    <x v="14"/>
    <n v="211"/>
  </r>
  <r>
    <d v="2013-01-26T00:00:00"/>
    <x v="9"/>
    <n v="330"/>
  </r>
  <r>
    <d v="2013-01-27T00:00:00"/>
    <x v="14"/>
    <n v="134"/>
  </r>
  <r>
    <d v="2013-01-27T00:00:00"/>
    <x v="9"/>
    <n v="459"/>
  </r>
  <r>
    <d v="2013-01-28T00:00:00"/>
    <x v="26"/>
    <n v="185"/>
  </r>
  <r>
    <d v="2013-01-29T00:00:00"/>
    <x v="67"/>
    <n v="3"/>
  </r>
  <r>
    <d v="2013-01-31T00:00:00"/>
    <x v="30"/>
    <n v="181"/>
  </r>
  <r>
    <d v="2013-02-04T00:00:00"/>
    <x v="17"/>
    <n v="441"/>
  </r>
  <r>
    <d v="2013-02-05T00:00:00"/>
    <x v="45"/>
    <n v="487"/>
  </r>
  <r>
    <d v="2013-02-05T00:00:00"/>
    <x v="52"/>
    <n v="56"/>
  </r>
  <r>
    <d v="2013-02-09T00:00:00"/>
    <x v="12"/>
    <n v="23"/>
  </r>
  <r>
    <d v="2013-02-09T00:00:00"/>
    <x v="131"/>
    <n v="113"/>
  </r>
  <r>
    <d v="2013-02-10T00:00:00"/>
    <x v="200"/>
    <n v="19"/>
  </r>
  <r>
    <d v="2013-02-11T00:00:00"/>
    <x v="78"/>
    <n v="188"/>
  </r>
  <r>
    <d v="2013-02-11T00:00:00"/>
    <x v="7"/>
    <n v="338"/>
  </r>
  <r>
    <d v="2013-02-12T00:00:00"/>
    <x v="31"/>
    <n v="80"/>
  </r>
  <r>
    <d v="2013-02-13T00:00:00"/>
    <x v="171"/>
    <n v="20"/>
  </r>
  <r>
    <d v="2013-02-16T00:00:00"/>
    <x v="159"/>
    <n v="1"/>
  </r>
  <r>
    <d v="2013-02-17T00:00:00"/>
    <x v="52"/>
    <n v="200"/>
  </r>
  <r>
    <d v="2013-02-18T00:00:00"/>
    <x v="5"/>
    <n v="429"/>
  </r>
  <r>
    <d v="2013-02-19T00:00:00"/>
    <x v="12"/>
    <n v="183"/>
  </r>
  <r>
    <d v="2013-02-20T00:00:00"/>
    <x v="10"/>
    <n v="26"/>
  </r>
  <r>
    <d v="2013-02-21T00:00:00"/>
    <x v="180"/>
    <n v="2"/>
  </r>
  <r>
    <d v="2013-02-23T00:00:00"/>
    <x v="7"/>
    <n v="174"/>
  </r>
  <r>
    <d v="2013-02-24T00:00:00"/>
    <x v="52"/>
    <n v="98"/>
  </r>
  <r>
    <d v="2013-02-24T00:00:00"/>
    <x v="185"/>
    <n v="11"/>
  </r>
  <r>
    <d v="2013-02-27T00:00:00"/>
    <x v="28"/>
    <n v="58"/>
  </r>
  <r>
    <d v="2013-03-03T00:00:00"/>
    <x v="15"/>
    <n v="17"/>
  </r>
  <r>
    <d v="2013-03-04T00:00:00"/>
    <x v="17"/>
    <n v="143"/>
  </r>
  <r>
    <d v="2013-03-06T00:00:00"/>
    <x v="52"/>
    <n v="108"/>
  </r>
  <r>
    <d v="2013-03-13T00:00:00"/>
    <x v="102"/>
    <n v="424"/>
  </r>
  <r>
    <d v="2013-03-18T00:00:00"/>
    <x v="221"/>
    <n v="9"/>
  </r>
  <r>
    <d v="2013-03-19T00:00:00"/>
    <x v="28"/>
    <n v="135"/>
  </r>
  <r>
    <d v="2013-03-23T00:00:00"/>
    <x v="14"/>
    <n v="202"/>
  </r>
  <r>
    <d v="2013-03-24T00:00:00"/>
    <x v="45"/>
    <n v="459"/>
  </r>
  <r>
    <d v="2013-03-28T00:00:00"/>
    <x v="58"/>
    <n v="107"/>
  </r>
  <r>
    <d v="2013-03-29T00:00:00"/>
    <x v="35"/>
    <n v="37"/>
  </r>
  <r>
    <d v="2013-03-30T00:00:00"/>
    <x v="61"/>
    <n v="43"/>
  </r>
  <r>
    <d v="2013-04-01T00:00:00"/>
    <x v="9"/>
    <n v="352"/>
  </r>
  <r>
    <d v="2013-04-04T00:00:00"/>
    <x v="18"/>
    <n v="94"/>
  </r>
  <r>
    <d v="2013-04-04T00:00:00"/>
    <x v="66"/>
    <n v="112"/>
  </r>
  <r>
    <d v="2013-04-05T00:00:00"/>
    <x v="61"/>
    <n v="136"/>
  </r>
  <r>
    <d v="2013-04-06T00:00:00"/>
    <x v="78"/>
    <n v="56"/>
  </r>
  <r>
    <d v="2013-04-08T00:00:00"/>
    <x v="14"/>
    <n v="286"/>
  </r>
  <r>
    <d v="2013-04-09T00:00:00"/>
    <x v="7"/>
    <n v="296"/>
  </r>
  <r>
    <d v="2013-04-09T00:00:00"/>
    <x v="25"/>
    <n v="81"/>
  </r>
  <r>
    <d v="2013-04-10T00:00:00"/>
    <x v="14"/>
    <n v="231"/>
  </r>
  <r>
    <d v="2013-04-11T00:00:00"/>
    <x v="17"/>
    <n v="149"/>
  </r>
  <r>
    <d v="2013-04-11T00:00:00"/>
    <x v="132"/>
    <n v="3"/>
  </r>
  <r>
    <d v="2013-04-12T00:00:00"/>
    <x v="14"/>
    <n v="311"/>
  </r>
  <r>
    <d v="2013-04-15T00:00:00"/>
    <x v="66"/>
    <n v="121"/>
  </r>
  <r>
    <d v="2013-04-16T00:00:00"/>
    <x v="153"/>
    <n v="15"/>
  </r>
  <r>
    <d v="2013-04-17T00:00:00"/>
    <x v="136"/>
    <n v="14"/>
  </r>
  <r>
    <d v="2013-04-17T00:00:00"/>
    <x v="7"/>
    <n v="240"/>
  </r>
  <r>
    <d v="2013-04-19T00:00:00"/>
    <x v="56"/>
    <n v="12"/>
  </r>
  <r>
    <d v="2013-04-21T00:00:00"/>
    <x v="199"/>
    <n v="1"/>
  </r>
  <r>
    <d v="2013-04-24T00:00:00"/>
    <x v="232"/>
    <n v="12"/>
  </r>
  <r>
    <d v="2013-04-27T00:00:00"/>
    <x v="18"/>
    <n v="190"/>
  </r>
  <r>
    <d v="2013-04-28T00:00:00"/>
    <x v="63"/>
    <n v="179"/>
  </r>
  <r>
    <d v="2013-04-30T00:00:00"/>
    <x v="22"/>
    <n v="106"/>
  </r>
  <r>
    <d v="2013-05-02T00:00:00"/>
    <x v="7"/>
    <n v="267"/>
  </r>
  <r>
    <d v="2013-05-02T00:00:00"/>
    <x v="123"/>
    <n v="66"/>
  </r>
  <r>
    <d v="2013-05-04T00:00:00"/>
    <x v="14"/>
    <n v="471"/>
  </r>
  <r>
    <d v="2013-05-05T00:00:00"/>
    <x v="60"/>
    <n v="5"/>
  </r>
  <r>
    <d v="2013-05-07T00:00:00"/>
    <x v="221"/>
    <n v="11"/>
  </r>
  <r>
    <d v="2013-05-09T00:00:00"/>
    <x v="71"/>
    <n v="103"/>
  </r>
  <r>
    <d v="2013-05-09T00:00:00"/>
    <x v="19"/>
    <n v="92"/>
  </r>
  <r>
    <d v="2013-05-11T00:00:00"/>
    <x v="10"/>
    <n v="115"/>
  </r>
  <r>
    <d v="2013-05-12T00:00:00"/>
    <x v="52"/>
    <n v="62"/>
  </r>
  <r>
    <d v="2013-05-12T00:00:00"/>
    <x v="5"/>
    <n v="420"/>
  </r>
  <r>
    <d v="2013-05-12T00:00:00"/>
    <x v="30"/>
    <n v="81"/>
  </r>
  <r>
    <d v="2013-05-13T00:00:00"/>
    <x v="9"/>
    <n v="412"/>
  </r>
  <r>
    <d v="2013-05-15T00:00:00"/>
    <x v="45"/>
    <n v="377"/>
  </r>
  <r>
    <d v="2013-05-20T00:00:00"/>
    <x v="45"/>
    <n v="461"/>
  </r>
  <r>
    <d v="2013-05-20T00:00:00"/>
    <x v="71"/>
    <n v="138"/>
  </r>
  <r>
    <d v="2013-05-24T00:00:00"/>
    <x v="47"/>
    <n v="17"/>
  </r>
  <r>
    <d v="2013-05-28T00:00:00"/>
    <x v="197"/>
    <n v="8"/>
  </r>
  <r>
    <d v="2013-05-30T00:00:00"/>
    <x v="9"/>
    <n v="448"/>
  </r>
  <r>
    <d v="2013-06-01T00:00:00"/>
    <x v="9"/>
    <n v="240"/>
  </r>
  <r>
    <d v="2013-06-02T00:00:00"/>
    <x v="22"/>
    <n v="388"/>
  </r>
  <r>
    <d v="2013-06-04T00:00:00"/>
    <x v="7"/>
    <n v="455"/>
  </r>
  <r>
    <d v="2013-06-04T00:00:00"/>
    <x v="17"/>
    <n v="269"/>
  </r>
  <r>
    <d v="2013-06-07T00:00:00"/>
    <x v="6"/>
    <n v="81"/>
  </r>
  <r>
    <d v="2013-06-07T00:00:00"/>
    <x v="10"/>
    <n v="99"/>
  </r>
  <r>
    <d v="2013-06-12T00:00:00"/>
    <x v="170"/>
    <n v="12"/>
  </r>
  <r>
    <d v="2013-06-14T00:00:00"/>
    <x v="233"/>
    <n v="4"/>
  </r>
  <r>
    <d v="2013-06-15T00:00:00"/>
    <x v="30"/>
    <n v="132"/>
  </r>
  <r>
    <d v="2013-06-16T00:00:00"/>
    <x v="131"/>
    <n v="83"/>
  </r>
  <r>
    <d v="2013-06-21T00:00:00"/>
    <x v="205"/>
    <n v="7"/>
  </r>
  <r>
    <d v="2013-06-22T00:00:00"/>
    <x v="154"/>
    <n v="9"/>
  </r>
  <r>
    <d v="2013-06-23T00:00:00"/>
    <x v="159"/>
    <n v="20"/>
  </r>
  <r>
    <d v="2013-06-24T00:00:00"/>
    <x v="10"/>
    <n v="98"/>
  </r>
  <r>
    <d v="2013-06-26T00:00:00"/>
    <x v="137"/>
    <n v="9"/>
  </r>
  <r>
    <d v="2013-06-28T00:00:00"/>
    <x v="64"/>
    <n v="13"/>
  </r>
  <r>
    <d v="2013-07-01T00:00:00"/>
    <x v="50"/>
    <n v="424"/>
  </r>
  <r>
    <d v="2013-07-06T00:00:00"/>
    <x v="39"/>
    <n v="31"/>
  </r>
  <r>
    <d v="2013-07-07T00:00:00"/>
    <x v="57"/>
    <n v="18"/>
  </r>
  <r>
    <d v="2013-07-09T00:00:00"/>
    <x v="6"/>
    <n v="172"/>
  </r>
  <r>
    <d v="2013-07-09T00:00:00"/>
    <x v="45"/>
    <n v="373"/>
  </r>
  <r>
    <d v="2013-07-10T00:00:00"/>
    <x v="17"/>
    <n v="299"/>
  </r>
  <r>
    <d v="2013-07-16T00:00:00"/>
    <x v="37"/>
    <n v="20"/>
  </r>
  <r>
    <d v="2013-07-17T00:00:00"/>
    <x v="69"/>
    <n v="89"/>
  </r>
  <r>
    <d v="2013-07-17T00:00:00"/>
    <x v="35"/>
    <n v="60"/>
  </r>
  <r>
    <d v="2013-07-20T00:00:00"/>
    <x v="3"/>
    <n v="5"/>
  </r>
  <r>
    <d v="2013-07-21T00:00:00"/>
    <x v="102"/>
    <n v="125"/>
  </r>
  <r>
    <d v="2013-07-21T00:00:00"/>
    <x v="12"/>
    <n v="177"/>
  </r>
  <r>
    <d v="2013-07-22T00:00:00"/>
    <x v="20"/>
    <n v="58"/>
  </r>
  <r>
    <d v="2013-07-23T00:00:00"/>
    <x v="19"/>
    <n v="174"/>
  </r>
  <r>
    <d v="2013-07-24T00:00:00"/>
    <x v="7"/>
    <n v="485"/>
  </r>
  <r>
    <d v="2013-07-26T00:00:00"/>
    <x v="232"/>
    <n v="7"/>
  </r>
  <r>
    <d v="2013-07-27T00:00:00"/>
    <x v="9"/>
    <n v="109"/>
  </r>
  <r>
    <d v="2013-07-30T00:00:00"/>
    <x v="6"/>
    <n v="116"/>
  </r>
  <r>
    <d v="2013-07-31T00:00:00"/>
    <x v="39"/>
    <n v="125"/>
  </r>
  <r>
    <d v="2013-07-31T00:00:00"/>
    <x v="222"/>
    <n v="15"/>
  </r>
  <r>
    <d v="2013-08-02T00:00:00"/>
    <x v="177"/>
    <n v="4"/>
  </r>
  <r>
    <d v="2013-08-03T00:00:00"/>
    <x v="144"/>
    <n v="13"/>
  </r>
  <r>
    <d v="2013-08-05T00:00:00"/>
    <x v="102"/>
    <n v="338"/>
  </r>
  <r>
    <d v="2013-08-06T00:00:00"/>
    <x v="167"/>
    <n v="2"/>
  </r>
  <r>
    <d v="2013-08-07T00:00:00"/>
    <x v="37"/>
    <n v="108"/>
  </r>
  <r>
    <d v="2013-08-08T00:00:00"/>
    <x v="61"/>
    <n v="119"/>
  </r>
  <r>
    <d v="2013-08-09T00:00:00"/>
    <x v="7"/>
    <n v="385"/>
  </r>
  <r>
    <d v="2013-08-09T00:00:00"/>
    <x v="45"/>
    <n v="239"/>
  </r>
  <r>
    <d v="2013-08-12T00:00:00"/>
    <x v="229"/>
    <n v="8"/>
  </r>
  <r>
    <d v="2013-08-13T00:00:00"/>
    <x v="17"/>
    <n v="219"/>
  </r>
  <r>
    <d v="2013-08-17T00:00:00"/>
    <x v="25"/>
    <n v="40"/>
  </r>
  <r>
    <d v="2013-08-17T00:00:00"/>
    <x v="102"/>
    <n v="166"/>
  </r>
  <r>
    <d v="2013-08-18T00:00:00"/>
    <x v="66"/>
    <n v="168"/>
  </r>
  <r>
    <d v="2013-08-19T00:00:00"/>
    <x v="131"/>
    <n v="96"/>
  </r>
  <r>
    <d v="2013-08-20T00:00:00"/>
    <x v="10"/>
    <n v="23"/>
  </r>
  <r>
    <d v="2013-08-23T00:00:00"/>
    <x v="177"/>
    <n v="8"/>
  </r>
  <r>
    <d v="2013-08-23T00:00:00"/>
    <x v="106"/>
    <n v="1"/>
  </r>
  <r>
    <d v="2013-08-23T00:00:00"/>
    <x v="15"/>
    <n v="4"/>
  </r>
  <r>
    <d v="2013-08-26T00:00:00"/>
    <x v="120"/>
    <n v="170"/>
  </r>
  <r>
    <d v="2013-08-28T00:00:00"/>
    <x v="45"/>
    <n v="193"/>
  </r>
  <r>
    <d v="2013-08-31T00:00:00"/>
    <x v="234"/>
    <n v="5"/>
  </r>
  <r>
    <d v="2013-09-03T00:00:00"/>
    <x v="62"/>
    <n v="5"/>
  </r>
  <r>
    <d v="2013-09-03T00:00:00"/>
    <x v="64"/>
    <n v="15"/>
  </r>
  <r>
    <d v="2013-09-08T00:00:00"/>
    <x v="109"/>
    <n v="14"/>
  </r>
  <r>
    <d v="2013-09-08T00:00:00"/>
    <x v="37"/>
    <n v="96"/>
  </r>
  <r>
    <d v="2013-09-12T00:00:00"/>
    <x v="162"/>
    <n v="1"/>
  </r>
  <r>
    <d v="2013-09-16T00:00:00"/>
    <x v="69"/>
    <n v="164"/>
  </r>
  <r>
    <d v="2013-09-17T00:00:00"/>
    <x v="22"/>
    <n v="105"/>
  </r>
  <r>
    <d v="2013-09-19T00:00:00"/>
    <x v="210"/>
    <n v="17"/>
  </r>
  <r>
    <d v="2013-09-21T00:00:00"/>
    <x v="200"/>
    <n v="5"/>
  </r>
  <r>
    <d v="2013-09-26T00:00:00"/>
    <x v="45"/>
    <n v="212"/>
  </r>
  <r>
    <d v="2013-09-26T00:00:00"/>
    <x v="9"/>
    <n v="128"/>
  </r>
  <r>
    <d v="2013-09-26T00:00:00"/>
    <x v="28"/>
    <n v="147"/>
  </r>
  <r>
    <d v="2013-09-27T00:00:00"/>
    <x v="14"/>
    <n v="436"/>
  </r>
  <r>
    <d v="2013-09-28T00:00:00"/>
    <x v="235"/>
    <n v="4"/>
  </r>
  <r>
    <d v="2013-09-28T00:00:00"/>
    <x v="154"/>
    <n v="4"/>
  </r>
  <r>
    <d v="2013-10-04T00:00:00"/>
    <x v="131"/>
    <n v="78"/>
  </r>
  <r>
    <d v="2013-10-11T00:00:00"/>
    <x v="10"/>
    <n v="159"/>
  </r>
  <r>
    <d v="2013-10-11T00:00:00"/>
    <x v="8"/>
    <n v="103"/>
  </r>
  <r>
    <d v="2013-10-12T00:00:00"/>
    <x v="52"/>
    <n v="57"/>
  </r>
  <r>
    <d v="2013-10-12T00:00:00"/>
    <x v="20"/>
    <n v="121"/>
  </r>
  <r>
    <d v="2013-10-12T00:00:00"/>
    <x v="77"/>
    <n v="14"/>
  </r>
  <r>
    <d v="2013-10-13T00:00:00"/>
    <x v="44"/>
    <n v="2"/>
  </r>
  <r>
    <d v="2013-10-13T00:00:00"/>
    <x v="53"/>
    <n v="19"/>
  </r>
  <r>
    <d v="2013-10-14T00:00:00"/>
    <x v="236"/>
    <n v="20"/>
  </r>
  <r>
    <d v="2013-10-15T00:00:00"/>
    <x v="14"/>
    <n v="367"/>
  </r>
  <r>
    <d v="2013-10-15T00:00:00"/>
    <x v="9"/>
    <n v="458"/>
  </r>
  <r>
    <d v="2013-10-16T00:00:00"/>
    <x v="45"/>
    <n v="100"/>
  </r>
  <r>
    <d v="2013-10-16T00:00:00"/>
    <x v="6"/>
    <n v="62"/>
  </r>
  <r>
    <d v="2013-10-20T00:00:00"/>
    <x v="6"/>
    <n v="184"/>
  </r>
  <r>
    <d v="2013-10-21T00:00:00"/>
    <x v="19"/>
    <n v="156"/>
  </r>
  <r>
    <d v="2013-10-22T00:00:00"/>
    <x v="7"/>
    <n v="142"/>
  </r>
  <r>
    <d v="2013-10-23T00:00:00"/>
    <x v="6"/>
    <n v="97"/>
  </r>
  <r>
    <d v="2013-10-23T00:00:00"/>
    <x v="7"/>
    <n v="136"/>
  </r>
  <r>
    <d v="2013-10-23T00:00:00"/>
    <x v="131"/>
    <n v="108"/>
  </r>
  <r>
    <d v="2013-10-25T00:00:00"/>
    <x v="25"/>
    <n v="51"/>
  </r>
  <r>
    <d v="2013-10-27T00:00:00"/>
    <x v="130"/>
    <n v="7"/>
  </r>
  <r>
    <d v="2013-10-29T00:00:00"/>
    <x v="99"/>
    <n v="19"/>
  </r>
  <r>
    <d v="2013-10-30T00:00:00"/>
    <x v="75"/>
    <n v="4"/>
  </r>
  <r>
    <d v="2013-11-02T00:00:00"/>
    <x v="45"/>
    <n v="163"/>
  </r>
  <r>
    <d v="2013-11-02T00:00:00"/>
    <x v="30"/>
    <n v="165"/>
  </r>
  <r>
    <d v="2013-11-03T00:00:00"/>
    <x v="210"/>
    <n v="14"/>
  </r>
  <r>
    <d v="2013-11-05T00:00:00"/>
    <x v="28"/>
    <n v="177"/>
  </r>
  <r>
    <d v="2013-11-06T00:00:00"/>
    <x v="147"/>
    <n v="1"/>
  </r>
  <r>
    <d v="2013-11-07T00:00:00"/>
    <x v="131"/>
    <n v="193"/>
  </r>
  <r>
    <d v="2013-11-07T00:00:00"/>
    <x v="110"/>
    <n v="8"/>
  </r>
  <r>
    <d v="2013-11-10T00:00:00"/>
    <x v="233"/>
    <n v="11"/>
  </r>
  <r>
    <d v="2013-11-16T00:00:00"/>
    <x v="22"/>
    <n v="249"/>
  </r>
  <r>
    <d v="2013-11-20T00:00:00"/>
    <x v="5"/>
    <n v="360"/>
  </r>
  <r>
    <d v="2013-11-24T00:00:00"/>
    <x v="26"/>
    <n v="186"/>
  </r>
  <r>
    <d v="2013-11-25T00:00:00"/>
    <x v="52"/>
    <n v="29"/>
  </r>
  <r>
    <d v="2013-11-28T00:00:00"/>
    <x v="30"/>
    <n v="174"/>
  </r>
  <r>
    <d v="2013-11-29T00:00:00"/>
    <x v="7"/>
    <n v="131"/>
  </r>
  <r>
    <d v="2013-12-01T00:00:00"/>
    <x v="7"/>
    <n v="157"/>
  </r>
  <r>
    <d v="2013-12-01T00:00:00"/>
    <x v="14"/>
    <n v="284"/>
  </r>
  <r>
    <d v="2013-12-02T00:00:00"/>
    <x v="17"/>
    <n v="292"/>
  </r>
  <r>
    <d v="2013-12-04T00:00:00"/>
    <x v="81"/>
    <n v="13"/>
  </r>
  <r>
    <d v="2013-12-06T00:00:00"/>
    <x v="85"/>
    <n v="16"/>
  </r>
  <r>
    <d v="2013-12-06T00:00:00"/>
    <x v="22"/>
    <n v="364"/>
  </r>
  <r>
    <d v="2013-12-07T00:00:00"/>
    <x v="44"/>
    <n v="16"/>
  </r>
  <r>
    <d v="2013-12-07T00:00:00"/>
    <x v="49"/>
    <n v="3"/>
  </r>
  <r>
    <d v="2013-12-08T00:00:00"/>
    <x v="207"/>
    <n v="9"/>
  </r>
  <r>
    <d v="2013-12-09T00:00:00"/>
    <x v="206"/>
    <n v="6"/>
  </r>
  <r>
    <d v="2013-12-13T00:00:00"/>
    <x v="71"/>
    <n v="117"/>
  </r>
  <r>
    <d v="2013-12-14T00:00:00"/>
    <x v="42"/>
    <n v="6"/>
  </r>
  <r>
    <d v="2013-12-15T00:00:00"/>
    <x v="9"/>
    <n v="186"/>
  </r>
  <r>
    <d v="2013-12-15T00:00:00"/>
    <x v="42"/>
    <n v="16"/>
  </r>
  <r>
    <d v="2013-12-16T00:00:00"/>
    <x v="6"/>
    <n v="100"/>
  </r>
  <r>
    <d v="2013-12-21T00:00:00"/>
    <x v="1"/>
    <n v="20"/>
  </r>
  <r>
    <d v="2013-12-21T00:00:00"/>
    <x v="35"/>
    <n v="192"/>
  </r>
  <r>
    <d v="2013-12-22T00:00:00"/>
    <x v="35"/>
    <n v="92"/>
  </r>
  <r>
    <d v="2013-12-23T00:00:00"/>
    <x v="118"/>
    <n v="11"/>
  </r>
  <r>
    <d v="2013-12-25T00:00:00"/>
    <x v="237"/>
    <n v="10"/>
  </r>
  <r>
    <d v="2013-12-26T00:00:00"/>
    <x v="71"/>
    <n v="180"/>
  </r>
  <r>
    <d v="2013-12-29T00:00:00"/>
    <x v="38"/>
    <n v="12"/>
  </r>
  <r>
    <d v="2013-12-30T00:00:00"/>
    <x v="222"/>
    <n v="12"/>
  </r>
  <r>
    <d v="2013-12-31T00:00:00"/>
    <x v="97"/>
    <n v="8"/>
  </r>
  <r>
    <d v="2014-01-02T00:00:00"/>
    <x v="12"/>
    <n v="56"/>
  </r>
  <r>
    <d v="2014-01-03T00:00:00"/>
    <x v="82"/>
    <n v="18"/>
  </r>
  <r>
    <d v="2014-01-03T00:00:00"/>
    <x v="14"/>
    <n v="164"/>
  </r>
  <r>
    <d v="2014-01-06T00:00:00"/>
    <x v="30"/>
    <n v="111"/>
  </r>
  <r>
    <d v="2014-01-07T00:00:00"/>
    <x v="190"/>
    <n v="14"/>
  </r>
  <r>
    <d v="2014-01-08T00:00:00"/>
    <x v="102"/>
    <n v="143"/>
  </r>
  <r>
    <d v="2014-01-09T00:00:00"/>
    <x v="10"/>
    <n v="64"/>
  </r>
  <r>
    <d v="2014-01-12T00:00:00"/>
    <x v="234"/>
    <n v="3"/>
  </r>
  <r>
    <d v="2014-01-13T00:00:00"/>
    <x v="45"/>
    <n v="152"/>
  </r>
  <r>
    <d v="2014-01-14T00:00:00"/>
    <x v="10"/>
    <n v="152"/>
  </r>
  <r>
    <d v="2014-01-16T00:00:00"/>
    <x v="221"/>
    <n v="15"/>
  </r>
  <r>
    <d v="2014-01-17T00:00:00"/>
    <x v="71"/>
    <n v="117"/>
  </r>
  <r>
    <d v="2014-01-17T00:00:00"/>
    <x v="215"/>
    <n v="14"/>
  </r>
  <r>
    <d v="2014-01-17T00:00:00"/>
    <x v="45"/>
    <n v="431"/>
  </r>
  <r>
    <d v="2014-01-19T00:00:00"/>
    <x v="22"/>
    <n v="390"/>
  </r>
  <r>
    <d v="2014-01-24T00:00:00"/>
    <x v="222"/>
    <n v="1"/>
  </r>
  <r>
    <d v="2014-01-27T00:00:00"/>
    <x v="17"/>
    <n v="392"/>
  </r>
  <r>
    <d v="2014-01-29T00:00:00"/>
    <x v="37"/>
    <n v="175"/>
  </r>
  <r>
    <d v="2014-01-29T00:00:00"/>
    <x v="55"/>
    <n v="118"/>
  </r>
  <r>
    <d v="2014-02-02T00:00:00"/>
    <x v="9"/>
    <n v="297"/>
  </r>
  <r>
    <d v="2014-02-06T00:00:00"/>
    <x v="23"/>
    <n v="89"/>
  </r>
  <r>
    <d v="2014-02-06T00:00:00"/>
    <x v="22"/>
    <n v="182"/>
  </r>
  <r>
    <d v="2014-02-07T00:00:00"/>
    <x v="10"/>
    <n v="130"/>
  </r>
  <r>
    <d v="2014-02-10T00:00:00"/>
    <x v="26"/>
    <n v="187"/>
  </r>
  <r>
    <d v="2014-02-11T00:00:00"/>
    <x v="50"/>
    <n v="166"/>
  </r>
  <r>
    <d v="2014-02-12T00:00:00"/>
    <x v="23"/>
    <n v="58"/>
  </r>
  <r>
    <d v="2014-02-16T00:00:00"/>
    <x v="25"/>
    <n v="187"/>
  </r>
  <r>
    <d v="2014-02-17T00:00:00"/>
    <x v="23"/>
    <n v="58"/>
  </r>
  <r>
    <d v="2014-02-19T00:00:00"/>
    <x v="60"/>
    <n v="19"/>
  </r>
  <r>
    <d v="2014-02-19T00:00:00"/>
    <x v="9"/>
    <n v="388"/>
  </r>
  <r>
    <d v="2014-02-20T00:00:00"/>
    <x v="105"/>
    <n v="20"/>
  </r>
  <r>
    <d v="2014-02-20T00:00:00"/>
    <x v="6"/>
    <n v="185"/>
  </r>
  <r>
    <d v="2014-02-20T00:00:00"/>
    <x v="66"/>
    <n v="191"/>
  </r>
  <r>
    <d v="2014-02-21T00:00:00"/>
    <x v="87"/>
    <n v="1"/>
  </r>
  <r>
    <d v="2014-02-22T00:00:00"/>
    <x v="71"/>
    <n v="90"/>
  </r>
  <r>
    <d v="2014-02-26T00:00:00"/>
    <x v="9"/>
    <n v="234"/>
  </r>
  <r>
    <d v="2014-03-01T00:00:00"/>
    <x v="45"/>
    <n v="212"/>
  </r>
  <r>
    <d v="2014-03-03T00:00:00"/>
    <x v="45"/>
    <n v="372"/>
  </r>
  <r>
    <d v="2014-03-03T00:00:00"/>
    <x v="35"/>
    <n v="102"/>
  </r>
  <r>
    <d v="2014-03-03T00:00:00"/>
    <x v="10"/>
    <n v="69"/>
  </r>
  <r>
    <d v="2014-03-10T00:00:00"/>
    <x v="175"/>
    <n v="5"/>
  </r>
  <r>
    <d v="2014-03-15T00:00:00"/>
    <x v="69"/>
    <n v="146"/>
  </r>
  <r>
    <d v="2014-03-16T00:00:00"/>
    <x v="20"/>
    <n v="114"/>
  </r>
  <r>
    <d v="2014-03-18T00:00:00"/>
    <x v="14"/>
    <n v="265"/>
  </r>
  <r>
    <d v="2014-03-18T00:00:00"/>
    <x v="128"/>
    <n v="1"/>
  </r>
  <r>
    <d v="2014-03-21T00:00:00"/>
    <x v="156"/>
    <n v="16"/>
  </r>
  <r>
    <d v="2014-03-23T00:00:00"/>
    <x v="191"/>
    <n v="11"/>
  </r>
  <r>
    <d v="2014-03-23T00:00:00"/>
    <x v="22"/>
    <n v="118"/>
  </r>
  <r>
    <d v="2014-03-30T00:00:00"/>
    <x v="45"/>
    <n v="213"/>
  </r>
  <r>
    <d v="2014-04-03T00:00:00"/>
    <x v="9"/>
    <n v="146"/>
  </r>
  <r>
    <d v="2014-04-05T00:00:00"/>
    <x v="124"/>
    <n v="6"/>
  </r>
  <r>
    <d v="2014-04-07T00:00:00"/>
    <x v="45"/>
    <n v="392"/>
  </r>
  <r>
    <d v="2014-04-07T00:00:00"/>
    <x v="102"/>
    <n v="422"/>
  </r>
  <r>
    <d v="2014-04-11T00:00:00"/>
    <x v="22"/>
    <n v="474"/>
  </r>
  <r>
    <d v="2014-04-12T00:00:00"/>
    <x v="55"/>
    <n v="166"/>
  </r>
  <r>
    <d v="2014-04-14T00:00:00"/>
    <x v="55"/>
    <n v="121"/>
  </r>
  <r>
    <d v="2014-04-15T00:00:00"/>
    <x v="17"/>
    <n v="406"/>
  </r>
  <r>
    <d v="2014-04-17T00:00:00"/>
    <x v="26"/>
    <n v="41"/>
  </r>
  <r>
    <d v="2014-04-21T00:00:00"/>
    <x v="50"/>
    <n v="254"/>
  </r>
  <r>
    <d v="2014-04-21T00:00:00"/>
    <x v="9"/>
    <n v="246"/>
  </r>
  <r>
    <d v="2014-04-26T00:00:00"/>
    <x v="19"/>
    <n v="148"/>
  </r>
  <r>
    <d v="2014-04-26T00:00:00"/>
    <x v="5"/>
    <n v="365"/>
  </r>
  <r>
    <d v="2014-04-27T00:00:00"/>
    <x v="20"/>
    <n v="20"/>
  </r>
  <r>
    <d v="2014-05-02T00:00:00"/>
    <x v="137"/>
    <n v="4"/>
  </r>
  <r>
    <d v="2014-05-05T00:00:00"/>
    <x v="45"/>
    <n v="215"/>
  </r>
  <r>
    <d v="2014-05-07T00:00:00"/>
    <x v="12"/>
    <n v="138"/>
  </r>
  <r>
    <d v="2014-05-07T00:00:00"/>
    <x v="7"/>
    <n v="496"/>
  </r>
  <r>
    <d v="2014-05-08T00:00:00"/>
    <x v="37"/>
    <n v="155"/>
  </r>
  <r>
    <d v="2014-05-11T00:00:00"/>
    <x v="24"/>
    <n v="386"/>
  </r>
  <r>
    <d v="2014-05-14T00:00:00"/>
    <x v="71"/>
    <n v="124"/>
  </r>
  <r>
    <d v="2014-05-15T00:00:00"/>
    <x v="14"/>
    <n v="173"/>
  </r>
  <r>
    <d v="2014-05-17T00:00:00"/>
    <x v="35"/>
    <n v="161"/>
  </r>
  <r>
    <d v="2014-05-19T00:00:00"/>
    <x v="69"/>
    <n v="147"/>
  </r>
  <r>
    <d v="2014-05-25T00:00:00"/>
    <x v="22"/>
    <n v="401"/>
  </r>
  <r>
    <d v="2014-05-25T00:00:00"/>
    <x v="50"/>
    <n v="101"/>
  </r>
  <r>
    <d v="2014-05-26T00:00:00"/>
    <x v="22"/>
    <n v="169"/>
  </r>
  <r>
    <d v="2014-05-27T00:00:00"/>
    <x v="14"/>
    <n v="324"/>
  </r>
  <r>
    <d v="2014-05-28T00:00:00"/>
    <x v="219"/>
    <n v="16"/>
  </r>
  <r>
    <d v="2014-05-29T00:00:00"/>
    <x v="71"/>
    <n v="194"/>
  </r>
  <r>
    <d v="2014-05-30T00:00:00"/>
    <x v="102"/>
    <n v="197"/>
  </r>
  <r>
    <d v="2014-05-30T00:00:00"/>
    <x v="23"/>
    <n v="23"/>
  </r>
  <r>
    <d v="2014-05-31T00:00:00"/>
    <x v="12"/>
    <n v="138"/>
  </r>
  <r>
    <d v="2014-06-01T00:00:00"/>
    <x v="61"/>
    <n v="121"/>
  </r>
  <r>
    <d v="2014-06-03T00:00:00"/>
    <x v="204"/>
    <n v="10"/>
  </r>
  <r>
    <d v="2014-06-05T00:00:00"/>
    <x v="130"/>
    <n v="9"/>
  </r>
  <r>
    <d v="2014-06-08T00:00:00"/>
    <x v="52"/>
    <n v="35"/>
  </r>
  <r>
    <d v="2014-06-12T00:00:00"/>
    <x v="35"/>
    <n v="154"/>
  </r>
  <r>
    <d v="2014-06-16T00:00:00"/>
    <x v="113"/>
    <n v="1"/>
  </r>
  <r>
    <d v="2014-06-17T00:00:00"/>
    <x v="14"/>
    <n v="249"/>
  </r>
  <r>
    <d v="2014-06-17T00:00:00"/>
    <x v="37"/>
    <n v="27"/>
  </r>
  <r>
    <d v="2014-06-19T00:00:00"/>
    <x v="12"/>
    <n v="167"/>
  </r>
  <r>
    <d v="2014-06-20T00:00:00"/>
    <x v="12"/>
    <n v="71"/>
  </r>
  <r>
    <d v="2014-06-20T00:00:00"/>
    <x v="83"/>
    <n v="13"/>
  </r>
  <r>
    <d v="2014-06-21T00:00:00"/>
    <x v="30"/>
    <n v="90"/>
  </r>
  <r>
    <d v="2014-06-24T00:00:00"/>
    <x v="9"/>
    <n v="106"/>
  </r>
  <r>
    <d v="2014-06-25T00:00:00"/>
    <x v="66"/>
    <n v="57"/>
  </r>
  <r>
    <d v="2014-06-25T00:00:00"/>
    <x v="18"/>
    <n v="59"/>
  </r>
  <r>
    <d v="2014-06-27T00:00:00"/>
    <x v="79"/>
    <n v="11"/>
  </r>
  <r>
    <d v="2014-06-28T00:00:00"/>
    <x v="102"/>
    <n v="361"/>
  </r>
  <r>
    <d v="2014-06-29T00:00:00"/>
    <x v="8"/>
    <n v="153"/>
  </r>
  <r>
    <d v="2014-06-30T00:00:00"/>
    <x v="147"/>
    <n v="7"/>
  </r>
  <r>
    <d v="2014-07-01T00:00:00"/>
    <x v="71"/>
    <n v="65"/>
  </r>
  <r>
    <d v="2014-07-03T00:00:00"/>
    <x v="9"/>
    <n v="409"/>
  </r>
  <r>
    <d v="2014-07-05T00:00:00"/>
    <x v="63"/>
    <n v="63"/>
  </r>
  <r>
    <d v="2014-07-06T00:00:00"/>
    <x v="7"/>
    <n v="441"/>
  </r>
  <r>
    <d v="2014-07-10T00:00:00"/>
    <x v="52"/>
    <n v="91"/>
  </r>
  <r>
    <d v="2014-07-11T00:00:00"/>
    <x v="12"/>
    <n v="73"/>
  </r>
  <r>
    <d v="2014-07-12T00:00:00"/>
    <x v="6"/>
    <n v="184"/>
  </r>
  <r>
    <d v="2014-07-16T00:00:00"/>
    <x v="61"/>
    <n v="191"/>
  </r>
  <r>
    <d v="2014-07-17T00:00:00"/>
    <x v="17"/>
    <n v="371"/>
  </r>
  <r>
    <d v="2014-07-18T00:00:00"/>
    <x v="22"/>
    <n v="485"/>
  </r>
  <r>
    <d v="2014-07-18T00:00:00"/>
    <x v="37"/>
    <n v="92"/>
  </r>
  <r>
    <d v="2014-07-20T00:00:00"/>
    <x v="17"/>
    <n v="442"/>
  </r>
  <r>
    <d v="2014-07-21T00:00:00"/>
    <x v="8"/>
    <n v="44"/>
  </r>
  <r>
    <d v="2014-07-23T00:00:00"/>
    <x v="39"/>
    <n v="39"/>
  </r>
  <r>
    <d v="2014-07-28T00:00:00"/>
    <x v="17"/>
    <n v="288"/>
  </r>
  <r>
    <d v="2014-07-28T00:00:00"/>
    <x v="190"/>
    <n v="4"/>
  </r>
  <r>
    <d v="2014-07-31T00:00:00"/>
    <x v="238"/>
    <n v="6"/>
  </r>
  <r>
    <d v="2014-07-31T00:00:00"/>
    <x v="116"/>
    <n v="9"/>
  </r>
  <r>
    <d v="2014-08-01T00:00:00"/>
    <x v="37"/>
    <n v="178"/>
  </r>
  <r>
    <d v="2014-08-02T00:00:00"/>
    <x v="50"/>
    <n v="455"/>
  </r>
  <r>
    <d v="2014-08-03T00:00:00"/>
    <x v="78"/>
    <n v="56"/>
  </r>
  <r>
    <d v="2014-08-07T00:00:00"/>
    <x v="61"/>
    <n v="46"/>
  </r>
  <r>
    <d v="2014-08-08T00:00:00"/>
    <x v="124"/>
    <n v="15"/>
  </r>
  <r>
    <d v="2014-08-09T00:00:00"/>
    <x v="8"/>
    <n v="130"/>
  </r>
  <r>
    <d v="2014-08-10T00:00:00"/>
    <x v="20"/>
    <n v="154"/>
  </r>
  <r>
    <d v="2014-08-10T00:00:00"/>
    <x v="8"/>
    <n v="137"/>
  </r>
  <r>
    <d v="2014-08-12T00:00:00"/>
    <x v="58"/>
    <n v="119"/>
  </r>
  <r>
    <d v="2014-08-12T00:00:00"/>
    <x v="50"/>
    <n v="138"/>
  </r>
  <r>
    <d v="2014-08-13T00:00:00"/>
    <x v="50"/>
    <n v="303"/>
  </r>
  <r>
    <d v="2014-08-15T00:00:00"/>
    <x v="18"/>
    <n v="73"/>
  </r>
  <r>
    <d v="2014-08-17T00:00:00"/>
    <x v="55"/>
    <n v="35"/>
  </r>
  <r>
    <d v="2014-08-17T00:00:00"/>
    <x v="14"/>
    <n v="435"/>
  </r>
  <r>
    <d v="2014-08-20T00:00:00"/>
    <x v="9"/>
    <n v="476"/>
  </r>
  <r>
    <d v="2014-08-23T00:00:00"/>
    <x v="7"/>
    <n v="386"/>
  </r>
  <r>
    <d v="2014-08-26T00:00:00"/>
    <x v="10"/>
    <n v="147"/>
  </r>
  <r>
    <d v="2014-08-29T00:00:00"/>
    <x v="14"/>
    <n v="112"/>
  </r>
  <r>
    <d v="2014-09-03T00:00:00"/>
    <x v="61"/>
    <n v="156"/>
  </r>
  <r>
    <d v="2014-09-04T00:00:00"/>
    <x v="102"/>
    <n v="106"/>
  </r>
  <r>
    <d v="2014-09-06T00:00:00"/>
    <x v="139"/>
    <n v="2"/>
  </r>
  <r>
    <d v="2014-09-06T00:00:00"/>
    <x v="86"/>
    <n v="19"/>
  </r>
  <r>
    <d v="2014-09-07T00:00:00"/>
    <x v="59"/>
    <n v="18"/>
  </r>
  <r>
    <d v="2014-09-10T00:00:00"/>
    <x v="102"/>
    <n v="332"/>
  </r>
  <r>
    <d v="2014-09-11T00:00:00"/>
    <x v="110"/>
    <n v="1"/>
  </r>
  <r>
    <d v="2014-09-12T00:00:00"/>
    <x v="17"/>
    <n v="438"/>
  </r>
  <r>
    <d v="2014-09-13T00:00:00"/>
    <x v="19"/>
    <n v="25"/>
  </r>
  <r>
    <d v="2014-09-15T00:00:00"/>
    <x v="14"/>
    <n v="220"/>
  </r>
  <r>
    <d v="2014-09-15T00:00:00"/>
    <x v="39"/>
    <n v="47"/>
  </r>
  <r>
    <d v="2014-09-15T00:00:00"/>
    <x v="239"/>
    <n v="1"/>
  </r>
  <r>
    <d v="2014-09-16T00:00:00"/>
    <x v="186"/>
    <n v="14"/>
  </r>
  <r>
    <d v="2014-09-17T00:00:00"/>
    <x v="9"/>
    <n v="132"/>
  </r>
  <r>
    <d v="2014-09-22T00:00:00"/>
    <x v="146"/>
    <n v="18"/>
  </r>
  <r>
    <d v="2014-09-24T00:00:00"/>
    <x v="9"/>
    <n v="266"/>
  </r>
  <r>
    <d v="2014-09-25T00:00:00"/>
    <x v="8"/>
    <n v="30"/>
  </r>
  <r>
    <d v="2014-09-27T00:00:00"/>
    <x v="45"/>
    <n v="452"/>
  </r>
  <r>
    <d v="2014-09-29T00:00:00"/>
    <x v="5"/>
    <n v="306"/>
  </r>
  <r>
    <d v="2014-09-30T00:00:00"/>
    <x v="61"/>
    <n v="98"/>
  </r>
  <r>
    <d v="2014-10-01T00:00:00"/>
    <x v="58"/>
    <n v="110"/>
  </r>
  <r>
    <d v="2014-10-01T00:00:00"/>
    <x v="8"/>
    <n v="57"/>
  </r>
  <r>
    <d v="2014-10-01T00:00:00"/>
    <x v="157"/>
    <n v="16"/>
  </r>
  <r>
    <d v="2014-10-04T00:00:00"/>
    <x v="104"/>
    <n v="5"/>
  </r>
  <r>
    <d v="2014-10-07T00:00:00"/>
    <x v="22"/>
    <n v="433"/>
  </r>
  <r>
    <d v="2014-10-08T00:00:00"/>
    <x v="69"/>
    <n v="180"/>
  </r>
  <r>
    <d v="2014-10-08T00:00:00"/>
    <x v="22"/>
    <n v="381"/>
  </r>
  <r>
    <d v="2014-10-09T00:00:00"/>
    <x v="70"/>
    <n v="16"/>
  </r>
  <r>
    <d v="2014-10-09T00:00:00"/>
    <x v="28"/>
    <n v="85"/>
  </r>
  <r>
    <d v="2014-10-09T00:00:00"/>
    <x v="25"/>
    <n v="37"/>
  </r>
  <r>
    <d v="2014-10-12T00:00:00"/>
    <x v="20"/>
    <n v="69"/>
  </r>
  <r>
    <d v="2014-10-13T00:00:00"/>
    <x v="7"/>
    <n v="304"/>
  </r>
  <r>
    <d v="2014-10-16T00:00:00"/>
    <x v="22"/>
    <n v="491"/>
  </r>
  <r>
    <d v="2014-10-19T00:00:00"/>
    <x v="23"/>
    <n v="106"/>
  </r>
  <r>
    <d v="2014-10-23T00:00:00"/>
    <x v="52"/>
    <n v="188"/>
  </r>
  <r>
    <d v="2014-10-23T00:00:00"/>
    <x v="8"/>
    <n v="131"/>
  </r>
  <r>
    <d v="2014-10-24T00:00:00"/>
    <x v="148"/>
    <n v="9"/>
  </r>
  <r>
    <d v="2014-10-26T00:00:00"/>
    <x v="45"/>
    <n v="245"/>
  </r>
  <r>
    <d v="2014-10-31T00:00:00"/>
    <x v="22"/>
    <n v="166"/>
  </r>
  <r>
    <d v="2014-11-02T00:00:00"/>
    <x v="55"/>
    <n v="171"/>
  </r>
  <r>
    <d v="2014-11-02T00:00:00"/>
    <x v="119"/>
    <n v="11"/>
  </r>
  <r>
    <d v="2014-11-03T00:00:00"/>
    <x v="20"/>
    <n v="52"/>
  </r>
  <r>
    <d v="2014-11-06T00:00:00"/>
    <x v="120"/>
    <n v="56"/>
  </r>
  <r>
    <d v="2014-11-07T00:00:00"/>
    <x v="54"/>
    <n v="6"/>
  </r>
  <r>
    <d v="2014-11-07T00:00:00"/>
    <x v="55"/>
    <n v="179"/>
  </r>
  <r>
    <d v="2014-11-08T00:00:00"/>
    <x v="22"/>
    <n v="398"/>
  </r>
  <r>
    <d v="2014-11-09T00:00:00"/>
    <x v="69"/>
    <n v="68"/>
  </r>
  <r>
    <d v="2014-11-09T00:00:00"/>
    <x v="12"/>
    <n v="160"/>
  </r>
  <r>
    <d v="2014-11-10T00:00:00"/>
    <x v="12"/>
    <n v="183"/>
  </r>
  <r>
    <d v="2014-11-11T00:00:00"/>
    <x v="22"/>
    <n v="178"/>
  </r>
  <r>
    <d v="2014-11-12T00:00:00"/>
    <x v="7"/>
    <n v="381"/>
  </r>
  <r>
    <d v="2014-11-14T00:00:00"/>
    <x v="62"/>
    <n v="12"/>
  </r>
  <r>
    <d v="2014-11-16T00:00:00"/>
    <x v="28"/>
    <n v="116"/>
  </r>
  <r>
    <d v="2014-11-18T00:00:00"/>
    <x v="7"/>
    <n v="117"/>
  </r>
  <r>
    <d v="2014-11-18T00:00:00"/>
    <x v="69"/>
    <n v="31"/>
  </r>
  <r>
    <d v="2014-11-19T00:00:00"/>
    <x v="8"/>
    <n v="131"/>
  </r>
  <r>
    <d v="2014-11-19T00:00:00"/>
    <x v="10"/>
    <n v="21"/>
  </r>
  <r>
    <d v="2014-11-20T00:00:00"/>
    <x v="9"/>
    <n v="300"/>
  </r>
  <r>
    <d v="2014-11-20T00:00:00"/>
    <x v="18"/>
    <n v="32"/>
  </r>
  <r>
    <d v="2014-11-23T00:00:00"/>
    <x v="132"/>
    <n v="4"/>
  </r>
  <r>
    <d v="2014-11-24T00:00:00"/>
    <x v="45"/>
    <n v="230"/>
  </r>
  <r>
    <d v="2014-11-25T00:00:00"/>
    <x v="61"/>
    <n v="164"/>
  </r>
  <r>
    <d v="2014-11-26T00:00:00"/>
    <x v="98"/>
    <n v="4"/>
  </r>
  <r>
    <d v="2014-11-29T00:00:00"/>
    <x v="20"/>
    <n v="96"/>
  </r>
  <r>
    <d v="2014-12-02T00:00:00"/>
    <x v="131"/>
    <n v="94"/>
  </r>
  <r>
    <d v="2014-12-02T00:00:00"/>
    <x v="71"/>
    <n v="21"/>
  </r>
  <r>
    <d v="2014-12-04T00:00:00"/>
    <x v="7"/>
    <n v="129"/>
  </r>
  <r>
    <d v="2014-12-04T00:00:00"/>
    <x v="25"/>
    <n v="197"/>
  </r>
  <r>
    <d v="2014-12-05T00:00:00"/>
    <x v="113"/>
    <n v="16"/>
  </r>
  <r>
    <d v="2014-12-05T00:00:00"/>
    <x v="24"/>
    <n v="332"/>
  </r>
  <r>
    <d v="2014-12-07T00:00:00"/>
    <x v="69"/>
    <n v="75"/>
  </r>
  <r>
    <d v="2014-12-08T00:00:00"/>
    <x v="74"/>
    <n v="10"/>
  </r>
  <r>
    <d v="2014-12-09T00:00:00"/>
    <x v="37"/>
    <n v="93"/>
  </r>
  <r>
    <d v="2014-12-10T00:00:00"/>
    <x v="45"/>
    <n v="146"/>
  </r>
  <r>
    <d v="2014-12-11T00:00:00"/>
    <x v="58"/>
    <n v="197"/>
  </r>
  <r>
    <d v="2014-12-13T00:00:00"/>
    <x v="17"/>
    <n v="482"/>
  </r>
  <r>
    <d v="2014-12-15T00:00:00"/>
    <x v="8"/>
    <n v="43"/>
  </r>
  <r>
    <d v="2014-12-16T00:00:00"/>
    <x v="22"/>
    <n v="367"/>
  </r>
  <r>
    <d v="2014-12-16T00:00:00"/>
    <x v="14"/>
    <n v="274"/>
  </r>
  <r>
    <d v="2014-12-18T00:00:00"/>
    <x v="17"/>
    <n v="283"/>
  </r>
  <r>
    <d v="2014-12-19T00:00:00"/>
    <x v="55"/>
    <n v="98"/>
  </r>
  <r>
    <d v="2014-12-20T00:00:00"/>
    <x v="22"/>
    <n v="485"/>
  </r>
  <r>
    <d v="2014-12-21T00:00:00"/>
    <x v="167"/>
    <n v="3"/>
  </r>
  <r>
    <d v="2014-12-23T00:00:00"/>
    <x v="45"/>
    <n v="331"/>
  </r>
  <r>
    <d v="2014-12-24T00:00:00"/>
    <x v="8"/>
    <n v="150"/>
  </r>
  <r>
    <d v="2014-12-25T00:00:00"/>
    <x v="7"/>
    <n v="463"/>
  </r>
  <r>
    <d v="2014-12-26T00:00:00"/>
    <x v="159"/>
    <n v="8"/>
  </r>
  <r>
    <d v="2014-12-26T00:00:00"/>
    <x v="12"/>
    <n v="178"/>
  </r>
  <r>
    <d v="2014-12-28T00:00:00"/>
    <x v="19"/>
    <n v="166"/>
  </r>
  <r>
    <d v="2014-12-29T00:00:00"/>
    <x v="232"/>
    <n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2">
  <r>
    <d v="2005-01-01T00:00:00"/>
    <s v="872-13-44-365"/>
    <n v="10"/>
    <x v="0"/>
  </r>
  <r>
    <d v="2005-01-04T00:00:00"/>
    <s v="369-43-03-176"/>
    <n v="2"/>
    <x v="0"/>
  </r>
  <r>
    <d v="2005-01-05T00:00:00"/>
    <s v="408-24-90-350"/>
    <n v="2"/>
    <x v="0"/>
  </r>
  <r>
    <d v="2005-01-10T00:00:00"/>
    <s v="944-16-93-033"/>
    <n v="5"/>
    <x v="0"/>
  </r>
  <r>
    <d v="2005-01-11T00:00:00"/>
    <s v="645-32-78-780"/>
    <n v="14"/>
    <x v="0"/>
  </r>
  <r>
    <d v="2005-01-13T00:00:00"/>
    <s v="594-18-15-403"/>
    <n v="436"/>
    <x v="0"/>
  </r>
  <r>
    <d v="2005-01-14T00:00:00"/>
    <s v="043-34-53-278"/>
    <n v="95"/>
    <x v="0"/>
  </r>
  <r>
    <d v="2005-01-18T00:00:00"/>
    <s v="254-14-00-156"/>
    <n v="350"/>
    <x v="0"/>
  </r>
  <r>
    <d v="2005-01-19T00:00:00"/>
    <s v="254-14-00-156"/>
    <n v="231"/>
    <x v="0"/>
  </r>
  <r>
    <d v="2005-01-20T00:00:00"/>
    <s v="885-74-10-856"/>
    <n v="38"/>
    <x v="0"/>
  </r>
  <r>
    <d v="2005-01-22T00:00:00"/>
    <s v="847-48-41-699"/>
    <n v="440"/>
    <x v="0"/>
  </r>
  <r>
    <d v="2005-01-24T00:00:00"/>
    <s v="749-02-70-623"/>
    <n v="120"/>
    <x v="0"/>
  </r>
  <r>
    <d v="2005-01-25T00:00:00"/>
    <s v="128-69-77-900"/>
    <n v="11"/>
    <x v="0"/>
  </r>
  <r>
    <d v="2005-01-26T00:00:00"/>
    <s v="904-16-42-385"/>
    <n v="36"/>
    <x v="0"/>
  </r>
  <r>
    <d v="2005-01-27T00:00:00"/>
    <s v="749-02-70-623"/>
    <n v="51"/>
    <x v="0"/>
  </r>
  <r>
    <d v="2005-02-02T00:00:00"/>
    <s v="254-14-00-156"/>
    <n v="465"/>
    <x v="0"/>
  </r>
  <r>
    <d v="2005-02-03T00:00:00"/>
    <s v="775-48-66-885"/>
    <n v="8"/>
    <x v="0"/>
  </r>
  <r>
    <d v="2005-02-05T00:00:00"/>
    <s v="799-94-72-837"/>
    <n v="287"/>
    <x v="0"/>
  </r>
  <r>
    <d v="2005-02-05T00:00:00"/>
    <s v="045-63-27-114"/>
    <n v="12"/>
    <x v="0"/>
  </r>
  <r>
    <d v="2005-02-10T00:00:00"/>
    <s v="351-06-97-406"/>
    <n v="6"/>
    <x v="0"/>
  </r>
  <r>
    <d v="2005-02-14T00:00:00"/>
    <s v="413-93-89-926"/>
    <n v="321"/>
    <x v="0"/>
  </r>
  <r>
    <d v="2005-02-18T00:00:00"/>
    <s v="269-65-16-447"/>
    <n v="99"/>
    <x v="0"/>
  </r>
  <r>
    <d v="2005-02-18T00:00:00"/>
    <s v="080-51-85-809"/>
    <n v="91"/>
    <x v="0"/>
  </r>
  <r>
    <d v="2005-02-24T00:00:00"/>
    <s v="799-94-72-837"/>
    <n v="118"/>
    <x v="0"/>
  </r>
  <r>
    <d v="2005-02-25T00:00:00"/>
    <s v="910-38-33-489"/>
    <n v="58"/>
    <x v="0"/>
  </r>
  <r>
    <d v="2005-02-26T00:00:00"/>
    <s v="396-32-41-555"/>
    <n v="16"/>
    <x v="0"/>
  </r>
  <r>
    <d v="2005-02-26T00:00:00"/>
    <s v="178-24-36-171"/>
    <n v="348"/>
    <x v="0"/>
  </r>
  <r>
    <d v="2005-02-27T00:00:00"/>
    <s v="594-18-15-403"/>
    <n v="336"/>
    <x v="0"/>
  </r>
  <r>
    <d v="2005-02-27T00:00:00"/>
    <s v="178-24-36-171"/>
    <n v="435"/>
    <x v="0"/>
  </r>
  <r>
    <d v="2005-02-27T00:00:00"/>
    <s v="033-49-11-774"/>
    <n v="110"/>
    <x v="0"/>
  </r>
  <r>
    <d v="2005-03-01T00:00:00"/>
    <s v="337-27-67-378"/>
    <n v="204"/>
    <x v="0"/>
  </r>
  <r>
    <d v="2005-03-01T00:00:00"/>
    <s v="269-65-16-447"/>
    <n v="20"/>
    <x v="0"/>
  </r>
  <r>
    <d v="2005-03-03T00:00:00"/>
    <s v="410-52-79-946"/>
    <n v="102"/>
    <x v="0"/>
  </r>
  <r>
    <d v="2005-03-05T00:00:00"/>
    <s v="294-48-56-993"/>
    <n v="48"/>
    <x v="0"/>
  </r>
  <r>
    <d v="2005-03-07T00:00:00"/>
    <s v="178-24-36-171"/>
    <n v="329"/>
    <x v="0"/>
  </r>
  <r>
    <d v="2005-03-09T00:00:00"/>
    <s v="961-86-77-989"/>
    <n v="16"/>
    <x v="0"/>
  </r>
  <r>
    <d v="2005-03-10T00:00:00"/>
    <s v="378-70-08-798"/>
    <n v="102"/>
    <x v="0"/>
  </r>
  <r>
    <d v="2005-03-10T00:00:00"/>
    <s v="799-94-72-837"/>
    <n v="309"/>
    <x v="0"/>
  </r>
  <r>
    <d v="2005-03-12T00:00:00"/>
    <s v="594-18-15-403"/>
    <n v="331"/>
    <x v="0"/>
  </r>
  <r>
    <d v="2005-03-17T00:00:00"/>
    <s v="665-06-94-730"/>
    <n v="3"/>
    <x v="0"/>
  </r>
  <r>
    <d v="2005-03-18T00:00:00"/>
    <s v="534-94-49-182"/>
    <n v="76"/>
    <x v="0"/>
  </r>
  <r>
    <d v="2005-03-18T00:00:00"/>
    <s v="935-78-99-209"/>
    <n v="196"/>
    <x v="0"/>
  </r>
  <r>
    <d v="2005-03-20T00:00:00"/>
    <s v="269-65-16-447"/>
    <n v="54"/>
    <x v="0"/>
  </r>
  <r>
    <d v="2005-03-24T00:00:00"/>
    <s v="847-48-41-699"/>
    <n v="277"/>
    <x v="0"/>
  </r>
  <r>
    <d v="2005-03-26T00:00:00"/>
    <s v="996-09-76-697"/>
    <n v="7"/>
    <x v="0"/>
  </r>
  <r>
    <d v="2005-03-28T00:00:00"/>
    <s v="019-98-81-222"/>
    <n v="12"/>
    <x v="0"/>
  </r>
  <r>
    <d v="2005-03-29T00:00:00"/>
    <s v="962-06-61-806"/>
    <n v="7"/>
    <x v="0"/>
  </r>
  <r>
    <d v="2005-03-31T00:00:00"/>
    <s v="254-14-00-156"/>
    <n v="416"/>
    <x v="0"/>
  </r>
  <r>
    <d v="2005-04-03T00:00:00"/>
    <s v="254-14-00-156"/>
    <n v="263"/>
    <x v="0"/>
  </r>
  <r>
    <d v="2005-04-06T00:00:00"/>
    <s v="369-43-03-176"/>
    <n v="15"/>
    <x v="0"/>
  </r>
  <r>
    <d v="2005-04-10T00:00:00"/>
    <s v="410-52-79-946"/>
    <n v="194"/>
    <x v="0"/>
  </r>
  <r>
    <d v="2005-04-11T00:00:00"/>
    <s v="968-49-97-804"/>
    <n v="120"/>
    <x v="0"/>
  </r>
  <r>
    <d v="2005-04-12T00:00:00"/>
    <s v="254-14-00-156"/>
    <n v="175"/>
    <x v="0"/>
  </r>
  <r>
    <d v="2005-04-14T00:00:00"/>
    <s v="205-96-13-336"/>
    <n v="12"/>
    <x v="0"/>
  </r>
  <r>
    <d v="2005-04-15T00:00:00"/>
    <s v="916-94-78-836"/>
    <n v="174"/>
    <x v="0"/>
  </r>
  <r>
    <d v="2005-04-16T00:00:00"/>
    <s v="242-04-13-206"/>
    <n v="3"/>
    <x v="0"/>
  </r>
  <r>
    <d v="2005-04-17T00:00:00"/>
    <s v="761-06-34-233"/>
    <n v="149"/>
    <x v="0"/>
  </r>
  <r>
    <d v="2005-04-18T00:00:00"/>
    <s v="413-93-89-926"/>
    <n v="492"/>
    <x v="0"/>
  </r>
  <r>
    <d v="2005-04-18T00:00:00"/>
    <s v="377-37-44-068"/>
    <n v="2"/>
    <x v="0"/>
  </r>
  <r>
    <d v="2005-04-19T00:00:00"/>
    <s v="799-94-72-837"/>
    <n v="298"/>
    <x v="0"/>
  </r>
  <r>
    <d v="2005-04-30T00:00:00"/>
    <s v="413-93-89-926"/>
    <n v="201"/>
    <x v="0"/>
  </r>
  <r>
    <d v="2005-05-01T00:00:00"/>
    <s v="176-54-34-364"/>
    <n v="15"/>
    <x v="0"/>
  </r>
  <r>
    <d v="2005-05-01T00:00:00"/>
    <s v="799-94-72-837"/>
    <n v="319"/>
    <x v="0"/>
  </r>
  <r>
    <d v="2005-05-02T00:00:00"/>
    <s v="159-34-45-151"/>
    <n v="9"/>
    <x v="0"/>
  </r>
  <r>
    <d v="2005-05-04T00:00:00"/>
    <s v="715-03-63-213"/>
    <n v="15"/>
    <x v="0"/>
  </r>
  <r>
    <d v="2005-05-07T00:00:00"/>
    <s v="178-24-36-171"/>
    <n v="444"/>
    <x v="0"/>
  </r>
  <r>
    <d v="2005-05-07T00:00:00"/>
    <s v="599-00-55-316"/>
    <n v="13"/>
    <x v="0"/>
  </r>
  <r>
    <d v="2005-05-09T00:00:00"/>
    <s v="392-78-93-552"/>
    <n v="366"/>
    <x v="0"/>
  </r>
  <r>
    <d v="2005-05-20T00:00:00"/>
    <s v="847-48-41-699"/>
    <n v="259"/>
    <x v="0"/>
  </r>
  <r>
    <d v="2005-05-21T00:00:00"/>
    <s v="089-90-67-935"/>
    <n v="16"/>
    <x v="0"/>
  </r>
  <r>
    <d v="2005-05-24T00:00:00"/>
    <s v="378-70-08-798"/>
    <n v="49"/>
    <x v="0"/>
  </r>
  <r>
    <d v="2005-05-25T00:00:00"/>
    <s v="596-37-06-465"/>
    <n v="3"/>
    <x v="0"/>
  </r>
  <r>
    <d v="2005-05-25T00:00:00"/>
    <s v="178-24-36-171"/>
    <n v="251"/>
    <x v="0"/>
  </r>
  <r>
    <d v="2005-05-27T00:00:00"/>
    <s v="534-94-49-182"/>
    <n v="179"/>
    <x v="0"/>
  </r>
  <r>
    <d v="2005-05-29T00:00:00"/>
    <s v="749-02-70-623"/>
    <n v="116"/>
    <x v="0"/>
  </r>
  <r>
    <d v="2005-05-29T00:00:00"/>
    <s v="528-09-83-923"/>
    <n v="13"/>
    <x v="0"/>
  </r>
  <r>
    <d v="2005-05-31T00:00:00"/>
    <s v="590-28-48-646"/>
    <n v="3"/>
    <x v="0"/>
  </r>
  <r>
    <d v="2005-05-31T00:00:00"/>
    <s v="941-01-60-075"/>
    <n v="253"/>
    <x v="0"/>
  </r>
  <r>
    <d v="2005-06-07T00:00:00"/>
    <s v="033-49-11-774"/>
    <n v="83"/>
    <x v="0"/>
  </r>
  <r>
    <d v="2005-06-09T00:00:00"/>
    <s v="269-65-16-447"/>
    <n v="177"/>
    <x v="0"/>
  </r>
  <r>
    <d v="2005-06-09T00:00:00"/>
    <s v="843-22-41-173"/>
    <n v="7"/>
    <x v="0"/>
  </r>
  <r>
    <d v="2005-06-10T00:00:00"/>
    <s v="495-93-92-849"/>
    <n v="46"/>
    <x v="0"/>
  </r>
  <r>
    <d v="2005-06-11T00:00:00"/>
    <s v="662-14-22-719"/>
    <n v="2"/>
    <x v="0"/>
  </r>
  <r>
    <d v="2005-06-12T00:00:00"/>
    <s v="944-16-93-033"/>
    <n v="9"/>
    <x v="0"/>
  </r>
  <r>
    <d v="2005-06-14T00:00:00"/>
    <s v="753-35-55-536"/>
    <n v="3"/>
    <x v="0"/>
  </r>
  <r>
    <d v="2005-06-14T00:00:00"/>
    <s v="322-66-15-999"/>
    <n v="67"/>
    <x v="0"/>
  </r>
  <r>
    <d v="2005-06-14T00:00:00"/>
    <s v="392-78-93-552"/>
    <n v="425"/>
    <x v="0"/>
  </r>
  <r>
    <d v="2005-06-15T00:00:00"/>
    <s v="594-18-15-403"/>
    <n v="453"/>
    <x v="0"/>
  </r>
  <r>
    <d v="2005-06-20T00:00:00"/>
    <s v="178-24-36-171"/>
    <n v="212"/>
    <x v="0"/>
  </r>
  <r>
    <d v="2005-06-22T00:00:00"/>
    <s v="800-16-32-869"/>
    <n v="19"/>
    <x v="0"/>
  </r>
  <r>
    <d v="2005-06-23T00:00:00"/>
    <s v="043-34-53-278"/>
    <n v="81"/>
    <x v="0"/>
  </r>
  <r>
    <d v="2005-06-25T00:00:00"/>
    <s v="126-55-91-375"/>
    <n v="7"/>
    <x v="0"/>
  </r>
  <r>
    <d v="2005-06-26T00:00:00"/>
    <s v="507-22-76-992"/>
    <n v="179"/>
    <x v="0"/>
  </r>
  <r>
    <d v="2005-06-28T00:00:00"/>
    <s v="799-94-72-837"/>
    <n v="222"/>
    <x v="0"/>
  </r>
  <r>
    <d v="2005-06-29T00:00:00"/>
    <s v="531-65-00-714"/>
    <n v="14"/>
    <x v="0"/>
  </r>
  <r>
    <d v="2005-07-01T00:00:00"/>
    <s v="767-55-58-288"/>
    <n v="15"/>
    <x v="0"/>
  </r>
  <r>
    <d v="2005-07-03T00:00:00"/>
    <s v="692-61-16-906"/>
    <n v="97"/>
    <x v="0"/>
  </r>
  <r>
    <d v="2005-07-09T00:00:00"/>
    <s v="910-38-33-489"/>
    <n v="142"/>
    <x v="0"/>
  </r>
  <r>
    <d v="2005-07-13T00:00:00"/>
    <s v="392-78-93-552"/>
    <n v="214"/>
    <x v="0"/>
  </r>
  <r>
    <d v="2005-07-13T00:00:00"/>
    <s v="799-94-72-837"/>
    <n v="408"/>
    <x v="0"/>
  </r>
  <r>
    <d v="2005-07-14T00:00:00"/>
    <s v="904-16-42-385"/>
    <n v="144"/>
    <x v="0"/>
  </r>
  <r>
    <d v="2005-07-14T00:00:00"/>
    <s v="043-34-53-278"/>
    <n v="173"/>
    <x v="0"/>
  </r>
  <r>
    <d v="2005-07-16T00:00:00"/>
    <s v="851-69-49-933"/>
    <n v="15"/>
    <x v="0"/>
  </r>
  <r>
    <d v="2005-07-18T00:00:00"/>
    <s v="941-01-60-075"/>
    <n v="433"/>
    <x v="0"/>
  </r>
  <r>
    <d v="2005-07-22T00:00:00"/>
    <s v="620-15-33-614"/>
    <n v="137"/>
    <x v="0"/>
  </r>
  <r>
    <d v="2005-07-25T00:00:00"/>
    <s v="941-01-60-075"/>
    <n v="118"/>
    <x v="0"/>
  </r>
  <r>
    <d v="2005-07-25T00:00:00"/>
    <s v="847-48-41-699"/>
    <n v="158"/>
    <x v="0"/>
  </r>
  <r>
    <d v="2005-07-26T00:00:00"/>
    <s v="599-00-55-316"/>
    <n v="13"/>
    <x v="0"/>
  </r>
  <r>
    <d v="2005-07-27T00:00:00"/>
    <s v="368-99-22-310"/>
    <n v="2"/>
    <x v="0"/>
  </r>
  <r>
    <d v="2005-07-29T00:00:00"/>
    <s v="941-01-60-075"/>
    <n v="467"/>
    <x v="0"/>
  </r>
  <r>
    <d v="2005-07-30T00:00:00"/>
    <s v="153-24-82-022"/>
    <n v="9"/>
    <x v="0"/>
  </r>
  <r>
    <d v="2005-08-03T00:00:00"/>
    <s v="527-15-00-673"/>
    <n v="189"/>
    <x v="0"/>
  </r>
  <r>
    <d v="2005-08-04T00:00:00"/>
    <s v="178-41-36-927"/>
    <n v="19"/>
    <x v="0"/>
  </r>
  <r>
    <d v="2005-08-05T00:00:00"/>
    <s v="847-48-41-699"/>
    <n v="172"/>
    <x v="0"/>
  </r>
  <r>
    <d v="2005-08-06T00:00:00"/>
    <s v="322-66-15-999"/>
    <n v="84"/>
    <x v="0"/>
  </r>
  <r>
    <d v="2005-08-06T00:00:00"/>
    <s v="284-59-84-568"/>
    <n v="8"/>
    <x v="0"/>
  </r>
  <r>
    <d v="2005-08-06T00:00:00"/>
    <s v="513-33-14-553"/>
    <n v="66"/>
    <x v="0"/>
  </r>
  <r>
    <d v="2005-08-07T00:00:00"/>
    <s v="916-94-78-836"/>
    <n v="35"/>
    <x v="0"/>
  </r>
  <r>
    <d v="2005-08-08T00:00:00"/>
    <s v="534-94-49-182"/>
    <n v="91"/>
    <x v="0"/>
  </r>
  <r>
    <d v="2005-08-13T00:00:00"/>
    <s v="254-14-00-156"/>
    <n v="396"/>
    <x v="0"/>
  </r>
  <r>
    <d v="2005-08-13T00:00:00"/>
    <s v="982-09-19-706"/>
    <n v="6"/>
    <x v="0"/>
  </r>
  <r>
    <d v="2005-08-15T00:00:00"/>
    <s v="378-70-08-798"/>
    <n v="47"/>
    <x v="0"/>
  </r>
  <r>
    <d v="2005-08-17T00:00:00"/>
    <s v="080-51-85-809"/>
    <n v="41"/>
    <x v="0"/>
  </r>
  <r>
    <d v="2005-08-18T00:00:00"/>
    <s v="884-31-58-627"/>
    <n v="136"/>
    <x v="0"/>
  </r>
  <r>
    <d v="2005-08-19T00:00:00"/>
    <s v="047-70-78-199"/>
    <n v="16"/>
    <x v="0"/>
  </r>
  <r>
    <d v="2005-08-21T00:00:00"/>
    <s v="300-07-32-070"/>
    <n v="18"/>
    <x v="0"/>
  </r>
  <r>
    <d v="2005-08-25T00:00:00"/>
    <s v="340-11-17-090"/>
    <n v="11"/>
    <x v="0"/>
  </r>
  <r>
    <d v="2005-08-25T00:00:00"/>
    <s v="970-73-69-415"/>
    <n v="8"/>
    <x v="0"/>
  </r>
  <r>
    <d v="2005-08-25T00:00:00"/>
    <s v="740-87-37-389"/>
    <n v="16"/>
    <x v="0"/>
  </r>
  <r>
    <d v="2005-08-25T00:00:00"/>
    <s v="378-70-08-798"/>
    <n v="54"/>
    <x v="0"/>
  </r>
  <r>
    <d v="2005-08-26T00:00:00"/>
    <s v="941-01-60-075"/>
    <n v="299"/>
    <x v="0"/>
  </r>
  <r>
    <d v="2005-08-28T00:00:00"/>
    <s v="513-33-14-553"/>
    <n v="168"/>
    <x v="0"/>
  </r>
  <r>
    <d v="2005-08-29T00:00:00"/>
    <s v="847-48-41-699"/>
    <n v="106"/>
    <x v="0"/>
  </r>
  <r>
    <d v="2005-08-30T00:00:00"/>
    <s v="904-16-42-385"/>
    <n v="41"/>
    <x v="0"/>
  </r>
  <r>
    <d v="2005-08-30T00:00:00"/>
    <s v="761-06-34-233"/>
    <n v="31"/>
    <x v="0"/>
  </r>
  <r>
    <d v="2005-09-01T00:00:00"/>
    <s v="053-79-35-388"/>
    <n v="8"/>
    <x v="0"/>
  </r>
  <r>
    <d v="2005-09-04T00:00:00"/>
    <s v="080-51-85-809"/>
    <n v="63"/>
    <x v="0"/>
  </r>
  <r>
    <d v="2005-09-07T00:00:00"/>
    <s v="594-18-15-403"/>
    <n v="368"/>
    <x v="0"/>
  </r>
  <r>
    <d v="2005-09-08T00:00:00"/>
    <s v="773-39-15-273"/>
    <n v="106"/>
    <x v="0"/>
  </r>
  <r>
    <d v="2005-09-09T00:00:00"/>
    <s v="885-74-10-856"/>
    <n v="47"/>
    <x v="0"/>
  </r>
  <r>
    <d v="2005-09-09T00:00:00"/>
    <s v="941-01-60-075"/>
    <n v="447"/>
    <x v="0"/>
  </r>
  <r>
    <d v="2005-09-10T00:00:00"/>
    <s v="513-33-14-553"/>
    <n v="106"/>
    <x v="0"/>
  </r>
  <r>
    <d v="2005-09-11T00:00:00"/>
    <s v="314-76-34-892"/>
    <n v="13"/>
    <x v="0"/>
  </r>
  <r>
    <d v="2005-09-11T00:00:00"/>
    <s v="495-93-92-849"/>
    <n v="89"/>
    <x v="0"/>
  </r>
  <r>
    <d v="2005-09-11T00:00:00"/>
    <s v="935-78-99-209"/>
    <n v="105"/>
    <x v="0"/>
  </r>
  <r>
    <d v="2005-09-11T00:00:00"/>
    <s v="254-14-00-156"/>
    <n v="147"/>
    <x v="0"/>
  </r>
  <r>
    <d v="2005-09-13T00:00:00"/>
    <s v="847-48-41-699"/>
    <n v="309"/>
    <x v="0"/>
  </r>
  <r>
    <d v="2005-09-15T00:00:00"/>
    <s v="378-70-08-798"/>
    <n v="47"/>
    <x v="0"/>
  </r>
  <r>
    <d v="2005-09-17T00:00:00"/>
    <s v="941-01-60-075"/>
    <n v="404"/>
    <x v="0"/>
  </r>
  <r>
    <d v="2005-09-17T00:00:00"/>
    <s v="936-67-95-170"/>
    <n v="39"/>
    <x v="0"/>
  </r>
  <r>
    <d v="2005-09-17T00:00:00"/>
    <s v="904-16-42-385"/>
    <n v="61"/>
    <x v="0"/>
  </r>
  <r>
    <d v="2005-09-20T00:00:00"/>
    <s v="527-15-00-673"/>
    <n v="89"/>
    <x v="0"/>
  </r>
  <r>
    <d v="2005-09-22T00:00:00"/>
    <s v="033-49-11-774"/>
    <n v="127"/>
    <x v="0"/>
  </r>
  <r>
    <d v="2005-09-25T00:00:00"/>
    <s v="269-65-16-447"/>
    <n v="81"/>
    <x v="0"/>
  </r>
  <r>
    <d v="2005-09-28T00:00:00"/>
    <s v="392-78-93-552"/>
    <n v="433"/>
    <x v="0"/>
  </r>
  <r>
    <d v="2005-09-28T00:00:00"/>
    <s v="847-48-41-699"/>
    <n v="284"/>
    <x v="0"/>
  </r>
  <r>
    <d v="2005-09-29T00:00:00"/>
    <s v="043-34-53-278"/>
    <n v="122"/>
    <x v="0"/>
  </r>
  <r>
    <d v="2005-10-01T00:00:00"/>
    <s v="936-67-95-170"/>
    <n v="193"/>
    <x v="0"/>
  </r>
  <r>
    <d v="2005-10-03T00:00:00"/>
    <s v="378-70-08-798"/>
    <n v="118"/>
    <x v="0"/>
  </r>
  <r>
    <d v="2005-10-04T00:00:00"/>
    <s v="594-18-15-403"/>
    <n v="173"/>
    <x v="0"/>
  </r>
  <r>
    <d v="2005-10-07T00:00:00"/>
    <s v="178-24-36-171"/>
    <n v="392"/>
    <x v="0"/>
  </r>
  <r>
    <d v="2005-10-08T00:00:00"/>
    <s v="351-06-97-406"/>
    <n v="8"/>
    <x v="0"/>
  </r>
  <r>
    <d v="2005-10-13T00:00:00"/>
    <s v="378-70-08-798"/>
    <n v="132"/>
    <x v="0"/>
  </r>
  <r>
    <d v="2005-10-13T00:00:00"/>
    <s v="885-74-10-856"/>
    <n v="76"/>
    <x v="0"/>
  </r>
  <r>
    <d v="2005-10-14T00:00:00"/>
    <s v="530-86-39-445"/>
    <n v="17"/>
    <x v="0"/>
  </r>
  <r>
    <d v="2005-10-15T00:00:00"/>
    <s v="054-09-46-315"/>
    <n v="17"/>
    <x v="0"/>
  </r>
  <r>
    <d v="2005-10-18T00:00:00"/>
    <s v="014-02-05-290"/>
    <n v="2"/>
    <x v="0"/>
  </r>
  <r>
    <d v="2005-10-20T00:00:00"/>
    <s v="080-51-85-809"/>
    <n v="125"/>
    <x v="0"/>
  </r>
  <r>
    <d v="2005-10-21T00:00:00"/>
    <s v="941-01-60-075"/>
    <n v="234"/>
    <x v="0"/>
  </r>
  <r>
    <d v="2005-10-27T00:00:00"/>
    <s v="513-33-14-553"/>
    <n v="53"/>
    <x v="0"/>
  </r>
  <r>
    <d v="2005-10-28T00:00:00"/>
    <s v="916-94-78-836"/>
    <n v="165"/>
    <x v="0"/>
  </r>
  <r>
    <d v="2005-10-28T00:00:00"/>
    <s v="749-02-70-623"/>
    <n v="177"/>
    <x v="0"/>
  </r>
  <r>
    <d v="2005-10-30T00:00:00"/>
    <s v="269-65-16-447"/>
    <n v="103"/>
    <x v="0"/>
  </r>
  <r>
    <d v="2005-11-01T00:00:00"/>
    <s v="900-85-70-552"/>
    <n v="2"/>
    <x v="0"/>
  </r>
  <r>
    <d v="2005-11-01T00:00:00"/>
    <s v="847-48-41-699"/>
    <n v="279"/>
    <x v="0"/>
  </r>
  <r>
    <d v="2005-11-06T00:00:00"/>
    <s v="534-94-49-182"/>
    <n v="185"/>
    <x v="0"/>
  </r>
  <r>
    <d v="2005-11-07T00:00:00"/>
    <s v="254-14-00-156"/>
    <n v="434"/>
    <x v="0"/>
  </r>
  <r>
    <d v="2005-11-11T00:00:00"/>
    <s v="954-85-72-732"/>
    <n v="10"/>
    <x v="0"/>
  </r>
  <r>
    <d v="2005-11-13T00:00:00"/>
    <s v="804-82-65-826"/>
    <n v="9"/>
    <x v="0"/>
  </r>
  <r>
    <d v="2005-11-14T00:00:00"/>
    <s v="337-27-67-378"/>
    <n v="383"/>
    <x v="0"/>
  </r>
  <r>
    <d v="2005-11-14T00:00:00"/>
    <s v="534-94-49-182"/>
    <n v="189"/>
    <x v="0"/>
  </r>
  <r>
    <d v="2005-11-16T00:00:00"/>
    <s v="904-16-42-385"/>
    <n v="161"/>
    <x v="0"/>
  </r>
  <r>
    <d v="2005-11-16T00:00:00"/>
    <s v="620-15-33-614"/>
    <n v="115"/>
    <x v="0"/>
  </r>
  <r>
    <d v="2005-11-18T00:00:00"/>
    <s v="513-33-14-553"/>
    <n v="58"/>
    <x v="0"/>
  </r>
  <r>
    <d v="2005-11-18T00:00:00"/>
    <s v="277-10-19-546"/>
    <n v="16"/>
    <x v="0"/>
  </r>
  <r>
    <d v="2005-11-19T00:00:00"/>
    <s v="662-14-22-719"/>
    <n v="17"/>
    <x v="0"/>
  </r>
  <r>
    <d v="2005-11-20T00:00:00"/>
    <s v="594-18-15-403"/>
    <n v="177"/>
    <x v="0"/>
  </r>
  <r>
    <d v="2005-11-21T00:00:00"/>
    <s v="773-39-15-273"/>
    <n v="33"/>
    <x v="0"/>
  </r>
  <r>
    <d v="2005-11-24T00:00:00"/>
    <s v="269-65-16-447"/>
    <n v="60"/>
    <x v="0"/>
  </r>
  <r>
    <d v="2005-11-26T00:00:00"/>
    <s v="140-36-11-559"/>
    <n v="8"/>
    <x v="0"/>
  </r>
  <r>
    <d v="2005-12-01T00:00:00"/>
    <s v="847-48-41-699"/>
    <n v="317"/>
    <x v="0"/>
  </r>
  <r>
    <d v="2005-12-03T00:00:00"/>
    <s v="403-50-07-403"/>
    <n v="3"/>
    <x v="0"/>
  </r>
  <r>
    <d v="2005-12-05T00:00:00"/>
    <s v="182-72-86-381"/>
    <n v="16"/>
    <x v="0"/>
  </r>
  <r>
    <d v="2005-12-14T00:00:00"/>
    <s v="153-24-82-022"/>
    <n v="2"/>
    <x v="0"/>
  </r>
  <r>
    <d v="2005-12-19T00:00:00"/>
    <s v="749-02-70-623"/>
    <n v="161"/>
    <x v="0"/>
  </r>
  <r>
    <d v="2005-12-22T00:00:00"/>
    <s v="916-94-78-836"/>
    <n v="187"/>
    <x v="0"/>
  </r>
  <r>
    <d v="2005-12-22T00:00:00"/>
    <s v="296-66-33-717"/>
    <n v="17"/>
    <x v="0"/>
  </r>
  <r>
    <d v="2005-12-23T00:00:00"/>
    <s v="550-69-18-758"/>
    <n v="5"/>
    <x v="0"/>
  </r>
  <r>
    <d v="2005-12-25T00:00:00"/>
    <s v="662-14-22-719"/>
    <n v="10"/>
    <x v="0"/>
  </r>
  <r>
    <d v="2005-12-25T00:00:00"/>
    <s v="799-94-72-837"/>
    <n v="225"/>
    <x v="0"/>
  </r>
  <r>
    <d v="2005-12-30T00:00:00"/>
    <s v="413-93-89-926"/>
    <n v="367"/>
    <x v="0"/>
  </r>
  <r>
    <d v="2006-01-04T00:00:00"/>
    <s v="799-94-72-837"/>
    <n v="295"/>
    <x v="1"/>
  </r>
  <r>
    <d v="2006-01-08T00:00:00"/>
    <s v="322-66-15-999"/>
    <n v="26"/>
    <x v="1"/>
  </r>
  <r>
    <d v="2006-01-08T00:00:00"/>
    <s v="015-89-55-248"/>
    <n v="16"/>
    <x v="1"/>
  </r>
  <r>
    <d v="2006-01-12T00:00:00"/>
    <s v="847-48-41-699"/>
    <n v="165"/>
    <x v="1"/>
  </r>
  <r>
    <d v="2006-01-12T00:00:00"/>
    <s v="824-54-79-834"/>
    <n v="20"/>
    <x v="1"/>
  </r>
  <r>
    <d v="2006-01-17T00:00:00"/>
    <s v="029-43-78-009"/>
    <n v="2"/>
    <x v="1"/>
  </r>
  <r>
    <d v="2006-01-17T00:00:00"/>
    <s v="172-30-09-104"/>
    <n v="7"/>
    <x v="1"/>
  </r>
  <r>
    <d v="2006-01-17T00:00:00"/>
    <s v="665-06-94-730"/>
    <n v="7"/>
    <x v="1"/>
  </r>
  <r>
    <d v="2006-01-17T00:00:00"/>
    <s v="773-39-15-273"/>
    <n v="72"/>
    <x v="1"/>
  </r>
  <r>
    <d v="2006-01-18T00:00:00"/>
    <s v="884-31-58-627"/>
    <n v="59"/>
    <x v="1"/>
  </r>
  <r>
    <d v="2006-01-19T00:00:00"/>
    <s v="392-78-93-552"/>
    <n v="212"/>
    <x v="1"/>
  </r>
  <r>
    <d v="2006-01-24T00:00:00"/>
    <s v="413-93-89-926"/>
    <n v="195"/>
    <x v="1"/>
  </r>
  <r>
    <d v="2006-01-24T00:00:00"/>
    <s v="126-55-91-375"/>
    <n v="16"/>
    <x v="1"/>
  </r>
  <r>
    <d v="2006-01-28T00:00:00"/>
    <s v="904-16-42-385"/>
    <n v="187"/>
    <x v="1"/>
  </r>
  <r>
    <d v="2006-02-03T00:00:00"/>
    <s v="413-93-89-926"/>
    <n v="369"/>
    <x v="1"/>
  </r>
  <r>
    <d v="2006-02-06T00:00:00"/>
    <s v="968-49-97-804"/>
    <n v="190"/>
    <x v="1"/>
  </r>
  <r>
    <d v="2006-02-06T00:00:00"/>
    <s v="799-94-72-837"/>
    <n v="453"/>
    <x v="1"/>
  </r>
  <r>
    <d v="2006-02-06T00:00:00"/>
    <s v="178-24-36-171"/>
    <n v="223"/>
    <x v="1"/>
  </r>
  <r>
    <d v="2006-02-07T00:00:00"/>
    <s v="368-99-22-310"/>
    <n v="1"/>
    <x v="1"/>
  </r>
  <r>
    <d v="2006-02-09T00:00:00"/>
    <s v="322-66-15-999"/>
    <n v="170"/>
    <x v="1"/>
  </r>
  <r>
    <d v="2006-02-09T00:00:00"/>
    <s v="804-82-65-826"/>
    <n v="19"/>
    <x v="1"/>
  </r>
  <r>
    <d v="2006-02-09T00:00:00"/>
    <s v="413-93-89-926"/>
    <n v="464"/>
    <x v="1"/>
  </r>
  <r>
    <d v="2006-02-13T00:00:00"/>
    <s v="254-14-00-156"/>
    <n v="230"/>
    <x v="1"/>
  </r>
  <r>
    <d v="2006-02-17T00:00:00"/>
    <s v="847-48-41-699"/>
    <n v="387"/>
    <x v="1"/>
  </r>
  <r>
    <d v="2006-02-18T00:00:00"/>
    <s v="392-78-93-552"/>
    <n v="264"/>
    <x v="1"/>
  </r>
  <r>
    <d v="2006-02-19T00:00:00"/>
    <s v="269-65-16-447"/>
    <n v="163"/>
    <x v="1"/>
  </r>
  <r>
    <d v="2006-02-20T00:00:00"/>
    <s v="205-96-13-336"/>
    <n v="14"/>
    <x v="1"/>
  </r>
  <r>
    <d v="2006-02-21T00:00:00"/>
    <s v="884-31-58-627"/>
    <n v="98"/>
    <x v="1"/>
  </r>
  <r>
    <d v="2006-03-04T00:00:00"/>
    <s v="325-70-30-985"/>
    <n v="16"/>
    <x v="1"/>
  </r>
  <r>
    <d v="2006-03-04T00:00:00"/>
    <s v="294-48-56-993"/>
    <n v="80"/>
    <x v="1"/>
  </r>
  <r>
    <d v="2006-03-08T00:00:00"/>
    <s v="761-06-34-233"/>
    <n v="127"/>
    <x v="1"/>
  </r>
  <r>
    <d v="2006-03-10T00:00:00"/>
    <s v="080-51-85-809"/>
    <n v="170"/>
    <x v="1"/>
  </r>
  <r>
    <d v="2006-03-11T00:00:00"/>
    <s v="692-61-16-906"/>
    <n v="28"/>
    <x v="1"/>
  </r>
  <r>
    <d v="2006-03-12T00:00:00"/>
    <s v="374-01-18-051"/>
    <n v="12"/>
    <x v="1"/>
  </r>
  <r>
    <d v="2006-03-14T00:00:00"/>
    <s v="985-21-38-706"/>
    <n v="10"/>
    <x v="1"/>
  </r>
  <r>
    <d v="2006-03-15T00:00:00"/>
    <s v="534-94-49-182"/>
    <n v="65"/>
    <x v="1"/>
  </r>
  <r>
    <d v="2006-03-16T00:00:00"/>
    <s v="967-21-71-491"/>
    <n v="17"/>
    <x v="1"/>
  </r>
  <r>
    <d v="2006-03-16T00:00:00"/>
    <s v="847-48-41-699"/>
    <n v="262"/>
    <x v="1"/>
  </r>
  <r>
    <d v="2006-03-16T00:00:00"/>
    <s v="430-67-31-549"/>
    <n v="20"/>
    <x v="1"/>
  </r>
  <r>
    <d v="2006-03-25T00:00:00"/>
    <s v="254-14-00-156"/>
    <n v="224"/>
    <x v="1"/>
  </r>
  <r>
    <d v="2006-04-01T00:00:00"/>
    <s v="495-93-92-849"/>
    <n v="199"/>
    <x v="1"/>
  </r>
  <r>
    <d v="2006-04-06T00:00:00"/>
    <s v="534-94-49-182"/>
    <n v="70"/>
    <x v="1"/>
  </r>
  <r>
    <d v="2006-04-08T00:00:00"/>
    <s v="995-59-41-476"/>
    <n v="171"/>
    <x v="1"/>
  </r>
  <r>
    <d v="2006-04-08T00:00:00"/>
    <s v="162-82-16-285"/>
    <n v="1"/>
    <x v="1"/>
  </r>
  <r>
    <d v="2006-04-10T00:00:00"/>
    <s v="824-54-79-834"/>
    <n v="13"/>
    <x v="1"/>
  </r>
  <r>
    <d v="2006-04-11T00:00:00"/>
    <s v="847-48-41-699"/>
    <n v="293"/>
    <x v="1"/>
  </r>
  <r>
    <d v="2006-04-11T00:00:00"/>
    <s v="277-10-19-546"/>
    <n v="11"/>
    <x v="1"/>
  </r>
  <r>
    <d v="2006-04-13T00:00:00"/>
    <s v="941-01-60-075"/>
    <n v="162"/>
    <x v="1"/>
  </r>
  <r>
    <d v="2006-04-14T00:00:00"/>
    <s v="507-22-76-992"/>
    <n v="187"/>
    <x v="1"/>
  </r>
  <r>
    <d v="2006-04-15T00:00:00"/>
    <s v="269-65-16-447"/>
    <n v="192"/>
    <x v="1"/>
  </r>
  <r>
    <d v="2006-04-17T00:00:00"/>
    <s v="337-27-67-378"/>
    <n v="127"/>
    <x v="1"/>
  </r>
  <r>
    <d v="2006-04-19T00:00:00"/>
    <s v="847-48-41-699"/>
    <n v="198"/>
    <x v="1"/>
  </r>
  <r>
    <d v="2006-04-19T00:00:00"/>
    <s v="963-43-52-686"/>
    <n v="4"/>
    <x v="1"/>
  </r>
  <r>
    <d v="2006-04-19T00:00:00"/>
    <s v="413-93-89-926"/>
    <n v="110"/>
    <x v="1"/>
  </r>
  <r>
    <d v="2006-04-19T00:00:00"/>
    <s v="269-65-16-447"/>
    <n v="123"/>
    <x v="1"/>
  </r>
  <r>
    <d v="2006-04-20T00:00:00"/>
    <s v="527-15-00-673"/>
    <n v="159"/>
    <x v="1"/>
  </r>
  <r>
    <d v="2006-04-21T00:00:00"/>
    <s v="194-54-73-711"/>
    <n v="19"/>
    <x v="1"/>
  </r>
  <r>
    <d v="2006-04-27T00:00:00"/>
    <s v="178-24-36-171"/>
    <n v="289"/>
    <x v="1"/>
  </r>
  <r>
    <d v="2006-04-27T00:00:00"/>
    <s v="033-49-11-774"/>
    <n v="136"/>
    <x v="1"/>
  </r>
  <r>
    <d v="2006-05-08T00:00:00"/>
    <s v="410-52-79-946"/>
    <n v="41"/>
    <x v="1"/>
  </r>
  <r>
    <d v="2006-05-09T00:00:00"/>
    <s v="392-78-93-552"/>
    <n v="385"/>
    <x v="1"/>
  </r>
  <r>
    <d v="2006-05-10T00:00:00"/>
    <s v="781-80-31-583"/>
    <n v="17"/>
    <x v="1"/>
  </r>
  <r>
    <d v="2006-05-10T00:00:00"/>
    <s v="347-48-90-739"/>
    <n v="20"/>
    <x v="1"/>
  </r>
  <r>
    <d v="2006-05-14T00:00:00"/>
    <s v="050-38-86-889"/>
    <n v="19"/>
    <x v="1"/>
  </r>
  <r>
    <d v="2006-05-15T00:00:00"/>
    <s v="715-03-63-213"/>
    <n v="13"/>
    <x v="1"/>
  </r>
  <r>
    <d v="2006-05-16T00:00:00"/>
    <s v="325-70-30-985"/>
    <n v="13"/>
    <x v="1"/>
  </r>
  <r>
    <d v="2006-05-18T00:00:00"/>
    <s v="936-67-95-170"/>
    <n v="168"/>
    <x v="1"/>
  </r>
  <r>
    <d v="2006-05-18T00:00:00"/>
    <s v="164-61-25-530"/>
    <n v="18"/>
    <x v="1"/>
  </r>
  <r>
    <d v="2006-05-18T00:00:00"/>
    <s v="799-94-72-837"/>
    <n v="131"/>
    <x v="1"/>
  </r>
  <r>
    <d v="2006-05-19T00:00:00"/>
    <s v="178-24-36-171"/>
    <n v="187"/>
    <x v="1"/>
  </r>
  <r>
    <d v="2006-05-20T00:00:00"/>
    <s v="337-27-67-378"/>
    <n v="412"/>
    <x v="1"/>
  </r>
  <r>
    <d v="2006-05-22T00:00:00"/>
    <s v="043-34-53-278"/>
    <n v="40"/>
    <x v="1"/>
  </r>
  <r>
    <d v="2006-05-23T00:00:00"/>
    <s v="916-94-78-836"/>
    <n v="166"/>
    <x v="1"/>
  </r>
  <r>
    <d v="2006-05-24T00:00:00"/>
    <s v="527-15-00-673"/>
    <n v="173"/>
    <x v="1"/>
  </r>
  <r>
    <d v="2006-05-25T00:00:00"/>
    <s v="561-00-46-873"/>
    <n v="2"/>
    <x v="1"/>
  </r>
  <r>
    <d v="2006-05-25T00:00:00"/>
    <s v="531-41-11-525"/>
    <n v="18"/>
    <x v="1"/>
  </r>
  <r>
    <d v="2006-05-26T00:00:00"/>
    <s v="423-71-31-448"/>
    <n v="15"/>
    <x v="1"/>
  </r>
  <r>
    <d v="2006-05-27T00:00:00"/>
    <s v="995-59-41-476"/>
    <n v="243"/>
    <x v="1"/>
  </r>
  <r>
    <d v="2006-05-28T00:00:00"/>
    <s v="413-93-89-926"/>
    <n v="460"/>
    <x v="1"/>
  </r>
  <r>
    <d v="2006-05-28T00:00:00"/>
    <s v="192-09-72-275"/>
    <n v="8"/>
    <x v="1"/>
  </r>
  <r>
    <d v="2006-05-29T00:00:00"/>
    <s v="885-74-10-856"/>
    <n v="150"/>
    <x v="1"/>
  </r>
  <r>
    <d v="2006-05-30T00:00:00"/>
    <s v="495-93-92-849"/>
    <n v="72"/>
    <x v="1"/>
  </r>
  <r>
    <d v="2006-05-30T00:00:00"/>
    <s v="847-48-41-699"/>
    <n v="217"/>
    <x v="1"/>
  </r>
  <r>
    <d v="2006-06-02T00:00:00"/>
    <s v="761-06-34-233"/>
    <n v="164"/>
    <x v="1"/>
  </r>
  <r>
    <d v="2006-06-02T00:00:00"/>
    <s v="392-78-93-552"/>
    <n v="429"/>
    <x v="1"/>
  </r>
  <r>
    <d v="2006-06-07T00:00:00"/>
    <s v="885-74-10-856"/>
    <n v="63"/>
    <x v="1"/>
  </r>
  <r>
    <d v="2006-06-10T00:00:00"/>
    <s v="534-94-49-182"/>
    <n v="106"/>
    <x v="1"/>
  </r>
  <r>
    <d v="2006-06-18T00:00:00"/>
    <s v="178-24-36-171"/>
    <n v="136"/>
    <x v="1"/>
  </r>
  <r>
    <d v="2006-06-19T00:00:00"/>
    <s v="994-52-74-352"/>
    <n v="7"/>
    <x v="1"/>
  </r>
  <r>
    <d v="2006-06-28T00:00:00"/>
    <s v="904-16-42-385"/>
    <n v="114"/>
    <x v="1"/>
  </r>
  <r>
    <d v="2006-06-28T00:00:00"/>
    <s v="940-29-78-846"/>
    <n v="12"/>
    <x v="1"/>
  </r>
  <r>
    <d v="2006-07-04T00:00:00"/>
    <s v="847-48-41-699"/>
    <n v="443"/>
    <x v="1"/>
  </r>
  <r>
    <d v="2006-07-06T00:00:00"/>
    <s v="495-93-92-849"/>
    <n v="73"/>
    <x v="1"/>
  </r>
  <r>
    <d v="2006-07-09T00:00:00"/>
    <s v="244-64-83-142"/>
    <n v="15"/>
    <x v="1"/>
  </r>
  <r>
    <d v="2006-07-09T00:00:00"/>
    <s v="316-37-00-316"/>
    <n v="9"/>
    <x v="1"/>
  </r>
  <r>
    <d v="2006-07-10T00:00:00"/>
    <s v="211-13-01-286"/>
    <n v="20"/>
    <x v="1"/>
  </r>
  <r>
    <d v="2006-07-12T00:00:00"/>
    <s v="982-37-73-633"/>
    <n v="9"/>
    <x v="1"/>
  </r>
  <r>
    <d v="2006-07-13T00:00:00"/>
    <s v="950-40-82-698"/>
    <n v="88"/>
    <x v="1"/>
  </r>
  <r>
    <d v="2006-07-13T00:00:00"/>
    <s v="254-14-00-156"/>
    <n v="139"/>
    <x v="1"/>
  </r>
  <r>
    <d v="2006-07-14T00:00:00"/>
    <s v="178-24-36-171"/>
    <n v="346"/>
    <x v="1"/>
  </r>
  <r>
    <d v="2006-07-20T00:00:00"/>
    <s v="430-90-28-407"/>
    <n v="3"/>
    <x v="1"/>
  </r>
  <r>
    <d v="2006-07-20T00:00:00"/>
    <s v="035-32-41-072"/>
    <n v="9"/>
    <x v="1"/>
  </r>
  <r>
    <d v="2006-07-20T00:00:00"/>
    <s v="847-48-41-699"/>
    <n v="323"/>
    <x v="1"/>
  </r>
  <r>
    <d v="2006-07-21T00:00:00"/>
    <s v="995-59-41-476"/>
    <n v="382"/>
    <x v="1"/>
  </r>
  <r>
    <d v="2006-07-25T00:00:00"/>
    <s v="413-93-89-926"/>
    <n v="296"/>
    <x v="1"/>
  </r>
  <r>
    <d v="2006-07-26T00:00:00"/>
    <s v="594-18-15-403"/>
    <n v="121"/>
    <x v="1"/>
  </r>
  <r>
    <d v="2006-07-26T00:00:00"/>
    <s v="410-52-79-946"/>
    <n v="157"/>
    <x v="1"/>
  </r>
  <r>
    <d v="2006-07-28T00:00:00"/>
    <s v="847-48-41-699"/>
    <n v="497"/>
    <x v="1"/>
  </r>
  <r>
    <d v="2006-07-29T00:00:00"/>
    <s v="847-48-41-699"/>
    <n v="103"/>
    <x v="1"/>
  </r>
  <r>
    <d v="2006-07-30T00:00:00"/>
    <s v="534-94-49-182"/>
    <n v="142"/>
    <x v="1"/>
  </r>
  <r>
    <d v="2006-07-31T00:00:00"/>
    <s v="033-49-11-774"/>
    <n v="144"/>
    <x v="1"/>
  </r>
  <r>
    <d v="2006-08-02T00:00:00"/>
    <s v="967-21-71-491"/>
    <n v="8"/>
    <x v="1"/>
  </r>
  <r>
    <d v="2006-08-07T00:00:00"/>
    <s v="322-66-15-999"/>
    <n v="172"/>
    <x v="1"/>
  </r>
  <r>
    <d v="2006-08-11T00:00:00"/>
    <s v="254-14-00-156"/>
    <n v="290"/>
    <x v="1"/>
  </r>
  <r>
    <d v="2006-08-13T00:00:00"/>
    <s v="799-94-72-837"/>
    <n v="422"/>
    <x v="1"/>
  </r>
  <r>
    <d v="2006-08-16T00:00:00"/>
    <s v="164-61-25-530"/>
    <n v="12"/>
    <x v="1"/>
  </r>
  <r>
    <d v="2006-08-19T00:00:00"/>
    <s v="322-66-15-999"/>
    <n v="104"/>
    <x v="1"/>
  </r>
  <r>
    <d v="2006-08-20T00:00:00"/>
    <s v="968-49-97-804"/>
    <n v="97"/>
    <x v="1"/>
  </r>
  <r>
    <d v="2006-08-21T00:00:00"/>
    <s v="294-48-56-993"/>
    <n v="179"/>
    <x v="1"/>
  </r>
  <r>
    <d v="2006-08-24T00:00:00"/>
    <s v="941-01-60-075"/>
    <n v="256"/>
    <x v="1"/>
  </r>
  <r>
    <d v="2006-08-25T00:00:00"/>
    <s v="192-09-72-275"/>
    <n v="20"/>
    <x v="1"/>
  </r>
  <r>
    <d v="2006-08-25T00:00:00"/>
    <s v="194-54-73-711"/>
    <n v="10"/>
    <x v="1"/>
  </r>
  <r>
    <d v="2006-08-26T00:00:00"/>
    <s v="254-14-00-156"/>
    <n v="407"/>
    <x v="1"/>
  </r>
  <r>
    <d v="2006-08-27T00:00:00"/>
    <s v="178-24-36-171"/>
    <n v="297"/>
    <x v="1"/>
  </r>
  <r>
    <d v="2006-08-27T00:00:00"/>
    <s v="884-31-58-627"/>
    <n v="133"/>
    <x v="1"/>
  </r>
  <r>
    <d v="2006-08-27T00:00:00"/>
    <s v="968-49-97-804"/>
    <n v="33"/>
    <x v="1"/>
  </r>
  <r>
    <d v="2006-08-30T00:00:00"/>
    <s v="799-94-72-837"/>
    <n v="220"/>
    <x v="1"/>
  </r>
  <r>
    <d v="2006-08-30T00:00:00"/>
    <s v="378-70-08-798"/>
    <n v="114"/>
    <x v="1"/>
  </r>
  <r>
    <d v="2006-09-02T00:00:00"/>
    <s v="885-74-10-856"/>
    <n v="130"/>
    <x v="1"/>
  </r>
  <r>
    <d v="2006-09-02T00:00:00"/>
    <s v="534-94-49-182"/>
    <n v="52"/>
    <x v="1"/>
  </r>
  <r>
    <d v="2006-09-02T00:00:00"/>
    <s v="378-70-08-798"/>
    <n v="33"/>
    <x v="1"/>
  </r>
  <r>
    <d v="2006-09-03T00:00:00"/>
    <s v="692-61-16-906"/>
    <n v="57"/>
    <x v="1"/>
  </r>
  <r>
    <d v="2006-09-05T00:00:00"/>
    <s v="115-65-39-258"/>
    <n v="190"/>
    <x v="1"/>
  </r>
  <r>
    <d v="2006-09-05T00:00:00"/>
    <s v="900-85-70-552"/>
    <n v="8"/>
    <x v="1"/>
  </r>
  <r>
    <d v="2006-09-05T00:00:00"/>
    <s v="254-14-00-156"/>
    <n v="255"/>
    <x v="1"/>
  </r>
  <r>
    <d v="2006-09-07T00:00:00"/>
    <s v="884-31-58-627"/>
    <n v="108"/>
    <x v="1"/>
  </r>
  <r>
    <d v="2006-09-11T00:00:00"/>
    <s v="269-65-16-447"/>
    <n v="78"/>
    <x v="1"/>
  </r>
  <r>
    <d v="2006-09-12T00:00:00"/>
    <s v="254-14-00-156"/>
    <n v="364"/>
    <x v="1"/>
  </r>
  <r>
    <d v="2006-09-13T00:00:00"/>
    <s v="527-15-00-673"/>
    <n v="52"/>
    <x v="1"/>
  </r>
  <r>
    <d v="2006-09-14T00:00:00"/>
    <s v="995-59-41-476"/>
    <n v="343"/>
    <x v="1"/>
  </r>
  <r>
    <d v="2006-09-16T00:00:00"/>
    <s v="495-93-92-849"/>
    <n v="197"/>
    <x v="1"/>
  </r>
  <r>
    <d v="2006-09-17T00:00:00"/>
    <s v="609-57-46-753"/>
    <n v="4"/>
    <x v="1"/>
  </r>
  <r>
    <d v="2006-09-18T00:00:00"/>
    <s v="373-76-82-865"/>
    <n v="8"/>
    <x v="1"/>
  </r>
  <r>
    <d v="2006-09-18T00:00:00"/>
    <s v="800-16-32-869"/>
    <n v="11"/>
    <x v="1"/>
  </r>
  <r>
    <d v="2006-09-18T00:00:00"/>
    <s v="047-70-78-199"/>
    <n v="10"/>
    <x v="1"/>
  </r>
  <r>
    <d v="2006-09-21T00:00:00"/>
    <s v="692-61-16-906"/>
    <n v="96"/>
    <x v="1"/>
  </r>
  <r>
    <d v="2006-09-21T00:00:00"/>
    <s v="322-66-15-999"/>
    <n v="30"/>
    <x v="1"/>
  </r>
  <r>
    <d v="2006-09-22T00:00:00"/>
    <s v="080-77-49-649"/>
    <n v="17"/>
    <x v="1"/>
  </r>
  <r>
    <d v="2006-09-25T00:00:00"/>
    <s v="035-32-41-072"/>
    <n v="17"/>
    <x v="1"/>
  </r>
  <r>
    <d v="2006-09-25T00:00:00"/>
    <s v="904-16-42-385"/>
    <n v="180"/>
    <x v="1"/>
  </r>
  <r>
    <d v="2006-09-25T00:00:00"/>
    <s v="935-78-99-209"/>
    <n v="94"/>
    <x v="1"/>
  </r>
  <r>
    <d v="2006-09-26T00:00:00"/>
    <s v="761-06-34-233"/>
    <n v="45"/>
    <x v="1"/>
  </r>
  <r>
    <d v="2006-09-27T00:00:00"/>
    <s v="254-14-00-156"/>
    <n v="380"/>
    <x v="1"/>
  </r>
  <r>
    <d v="2006-09-27T00:00:00"/>
    <s v="715-03-63-213"/>
    <n v="5"/>
    <x v="1"/>
  </r>
  <r>
    <d v="2006-10-01T00:00:00"/>
    <s v="916-94-78-836"/>
    <n v="170"/>
    <x v="1"/>
  </r>
  <r>
    <d v="2006-10-05T00:00:00"/>
    <s v="392-78-93-552"/>
    <n v="198"/>
    <x v="1"/>
  </r>
  <r>
    <d v="2006-10-08T00:00:00"/>
    <s v="413-93-89-926"/>
    <n v="283"/>
    <x v="1"/>
  </r>
  <r>
    <d v="2006-10-11T00:00:00"/>
    <s v="115-65-39-258"/>
    <n v="42"/>
    <x v="1"/>
  </r>
  <r>
    <d v="2006-10-13T00:00:00"/>
    <s v="043-34-53-278"/>
    <n v="163"/>
    <x v="1"/>
  </r>
  <r>
    <d v="2006-10-19T00:00:00"/>
    <s v="413-93-89-926"/>
    <n v="115"/>
    <x v="1"/>
  </r>
  <r>
    <d v="2006-10-24T00:00:00"/>
    <s v="884-31-58-627"/>
    <n v="75"/>
    <x v="1"/>
  </r>
  <r>
    <d v="2006-10-25T00:00:00"/>
    <s v="392-78-93-552"/>
    <n v="403"/>
    <x v="1"/>
  </r>
  <r>
    <d v="2006-10-29T00:00:00"/>
    <s v="413-93-89-926"/>
    <n v="465"/>
    <x v="1"/>
  </r>
  <r>
    <d v="2006-10-31T00:00:00"/>
    <s v="043-34-53-278"/>
    <n v="194"/>
    <x v="1"/>
  </r>
  <r>
    <d v="2006-10-31T00:00:00"/>
    <s v="513-33-14-553"/>
    <n v="122"/>
    <x v="1"/>
  </r>
  <r>
    <d v="2006-10-31T00:00:00"/>
    <s v="080-51-85-809"/>
    <n v="186"/>
    <x v="1"/>
  </r>
  <r>
    <d v="2006-11-05T00:00:00"/>
    <s v="904-16-42-385"/>
    <n v="137"/>
    <x v="1"/>
  </r>
  <r>
    <d v="2006-11-08T00:00:00"/>
    <s v="314-76-34-892"/>
    <n v="10"/>
    <x v="1"/>
  </r>
  <r>
    <d v="2006-11-11T00:00:00"/>
    <s v="941-01-60-075"/>
    <n v="437"/>
    <x v="1"/>
  </r>
  <r>
    <d v="2006-11-13T00:00:00"/>
    <s v="903-82-46-998"/>
    <n v="20"/>
    <x v="1"/>
  </r>
  <r>
    <d v="2006-11-14T00:00:00"/>
    <s v="799-94-72-837"/>
    <n v="108"/>
    <x v="1"/>
  </r>
  <r>
    <d v="2006-11-19T00:00:00"/>
    <s v="916-94-78-836"/>
    <n v="62"/>
    <x v="1"/>
  </r>
  <r>
    <d v="2006-11-19T00:00:00"/>
    <s v="254-14-00-156"/>
    <n v="426"/>
    <x v="1"/>
  </r>
  <r>
    <d v="2006-11-22T00:00:00"/>
    <s v="392-78-93-552"/>
    <n v="303"/>
    <x v="1"/>
  </r>
  <r>
    <d v="2006-11-23T00:00:00"/>
    <s v="872-13-44-365"/>
    <n v="20"/>
    <x v="1"/>
  </r>
  <r>
    <d v="2006-11-26T00:00:00"/>
    <s v="847-48-41-699"/>
    <n v="237"/>
    <x v="1"/>
  </r>
  <r>
    <d v="2006-11-27T00:00:00"/>
    <s v="033-49-11-774"/>
    <n v="151"/>
    <x v="1"/>
  </r>
  <r>
    <d v="2006-11-28T00:00:00"/>
    <s v="970-87-50-317"/>
    <n v="6"/>
    <x v="1"/>
  </r>
  <r>
    <d v="2006-12-01T00:00:00"/>
    <s v="043-34-53-278"/>
    <n v="124"/>
    <x v="1"/>
  </r>
  <r>
    <d v="2006-12-03T00:00:00"/>
    <s v="562-39-79-929"/>
    <n v="7"/>
    <x v="1"/>
  </r>
  <r>
    <d v="2006-12-04T00:00:00"/>
    <s v="473-30-19-947"/>
    <n v="7"/>
    <x v="1"/>
  </r>
  <r>
    <d v="2006-12-06T00:00:00"/>
    <s v="392-78-93-552"/>
    <n v="105"/>
    <x v="1"/>
  </r>
  <r>
    <d v="2006-12-07T00:00:00"/>
    <s v="513-33-14-553"/>
    <n v="58"/>
    <x v="1"/>
  </r>
  <r>
    <d v="2006-12-07T00:00:00"/>
    <s v="179-23-02-772"/>
    <n v="182"/>
    <x v="1"/>
  </r>
  <r>
    <d v="2006-12-09T00:00:00"/>
    <s v="941-01-60-075"/>
    <n v="163"/>
    <x v="1"/>
  </r>
  <r>
    <d v="2006-12-09T00:00:00"/>
    <s v="958-71-87-898"/>
    <n v="14"/>
    <x v="1"/>
  </r>
  <r>
    <d v="2006-12-10T00:00:00"/>
    <s v="281-47-91-148"/>
    <n v="4"/>
    <x v="1"/>
  </r>
  <r>
    <d v="2006-12-11T00:00:00"/>
    <s v="554-09-13-964"/>
    <n v="13"/>
    <x v="1"/>
  </r>
  <r>
    <d v="2006-12-12T00:00:00"/>
    <s v="254-14-00-156"/>
    <n v="422"/>
    <x v="1"/>
  </r>
  <r>
    <d v="2006-12-13T00:00:00"/>
    <s v="054-09-46-315"/>
    <n v="6"/>
    <x v="1"/>
  </r>
  <r>
    <d v="2006-12-18T00:00:00"/>
    <s v="424-70-61-569"/>
    <n v="15"/>
    <x v="1"/>
  </r>
  <r>
    <d v="2006-12-19T00:00:00"/>
    <s v="534-94-49-182"/>
    <n v="168"/>
    <x v="1"/>
  </r>
  <r>
    <d v="2006-12-21T00:00:00"/>
    <s v="941-01-60-075"/>
    <n v="193"/>
    <x v="1"/>
  </r>
  <r>
    <d v="2006-12-27T00:00:00"/>
    <s v="194-54-73-711"/>
    <n v="15"/>
    <x v="1"/>
  </r>
  <r>
    <d v="2006-12-28T00:00:00"/>
    <s v="033-49-11-774"/>
    <n v="27"/>
    <x v="1"/>
  </r>
  <r>
    <d v="2006-12-29T00:00:00"/>
    <s v="033-49-11-774"/>
    <n v="116"/>
    <x v="1"/>
  </r>
  <r>
    <d v="2006-12-30T00:00:00"/>
    <s v="692-61-16-906"/>
    <n v="21"/>
    <x v="1"/>
  </r>
  <r>
    <d v="2006-12-30T00:00:00"/>
    <s v="033-49-11-774"/>
    <n v="61"/>
    <x v="1"/>
  </r>
  <r>
    <d v="2006-12-30T00:00:00"/>
    <s v="413-93-89-926"/>
    <n v="458"/>
    <x v="1"/>
  </r>
  <r>
    <d v="2006-12-31T00:00:00"/>
    <s v="170-89-76-803"/>
    <n v="19"/>
    <x v="1"/>
  </r>
  <r>
    <d v="2007-01-02T00:00:00"/>
    <s v="322-66-15-999"/>
    <n v="81"/>
    <x v="2"/>
  </r>
  <r>
    <d v="2007-01-03T00:00:00"/>
    <s v="269-65-16-447"/>
    <n v="86"/>
    <x v="2"/>
  </r>
  <r>
    <d v="2007-01-04T00:00:00"/>
    <s v="254-14-00-156"/>
    <n v="142"/>
    <x v="2"/>
  </r>
  <r>
    <d v="2007-01-10T00:00:00"/>
    <s v="413-93-89-926"/>
    <n v="459"/>
    <x v="2"/>
  </r>
  <r>
    <d v="2007-01-11T00:00:00"/>
    <s v="377-37-44-068"/>
    <n v="20"/>
    <x v="2"/>
  </r>
  <r>
    <d v="2007-01-13T00:00:00"/>
    <s v="392-78-93-552"/>
    <n v="245"/>
    <x v="2"/>
  </r>
  <r>
    <d v="2007-01-13T00:00:00"/>
    <s v="967-21-71-491"/>
    <n v="19"/>
    <x v="2"/>
  </r>
  <r>
    <d v="2007-01-14T00:00:00"/>
    <s v="749-02-70-623"/>
    <n v="159"/>
    <x v="2"/>
  </r>
  <r>
    <d v="2007-01-15T00:00:00"/>
    <s v="033-49-11-774"/>
    <n v="99"/>
    <x v="2"/>
  </r>
  <r>
    <d v="2007-01-17T00:00:00"/>
    <s v="178-24-36-171"/>
    <n v="213"/>
    <x v="2"/>
  </r>
  <r>
    <d v="2007-01-24T00:00:00"/>
    <s v="799-94-72-837"/>
    <n v="349"/>
    <x v="2"/>
  </r>
  <r>
    <d v="2007-01-27T00:00:00"/>
    <s v="413-93-89-926"/>
    <n v="114"/>
    <x v="2"/>
  </r>
  <r>
    <d v="2007-01-27T00:00:00"/>
    <s v="961-86-77-989"/>
    <n v="12"/>
    <x v="2"/>
  </r>
  <r>
    <d v="2007-01-29T00:00:00"/>
    <s v="985-21-38-706"/>
    <n v="12"/>
    <x v="2"/>
  </r>
  <r>
    <d v="2007-02-04T00:00:00"/>
    <s v="904-16-42-385"/>
    <n v="132"/>
    <x v="2"/>
  </r>
  <r>
    <d v="2007-02-07T00:00:00"/>
    <s v="033-49-11-774"/>
    <n v="197"/>
    <x v="2"/>
  </r>
  <r>
    <d v="2007-02-07T00:00:00"/>
    <s v="045-63-27-114"/>
    <n v="5"/>
    <x v="2"/>
  </r>
  <r>
    <d v="2007-02-07T00:00:00"/>
    <s v="941-01-60-075"/>
    <n v="403"/>
    <x v="2"/>
  </r>
  <r>
    <d v="2007-02-08T00:00:00"/>
    <s v="749-02-70-623"/>
    <n v="200"/>
    <x v="2"/>
  </r>
  <r>
    <d v="2007-02-11T00:00:00"/>
    <s v="513-33-14-553"/>
    <n v="23"/>
    <x v="2"/>
  </r>
  <r>
    <d v="2007-02-18T00:00:00"/>
    <s v="392-78-93-552"/>
    <n v="337"/>
    <x v="2"/>
  </r>
  <r>
    <d v="2007-02-19T00:00:00"/>
    <s v="594-18-15-403"/>
    <n v="500"/>
    <x v="2"/>
  </r>
  <r>
    <d v="2007-02-19T00:00:00"/>
    <s v="182-72-86-381"/>
    <n v="9"/>
    <x v="2"/>
  </r>
  <r>
    <d v="2007-02-21T00:00:00"/>
    <s v="179-23-02-772"/>
    <n v="39"/>
    <x v="2"/>
  </r>
  <r>
    <d v="2007-02-26T00:00:00"/>
    <s v="773-39-15-273"/>
    <n v="156"/>
    <x v="2"/>
  </r>
  <r>
    <d v="2007-02-27T00:00:00"/>
    <s v="413-93-89-926"/>
    <n v="258"/>
    <x v="2"/>
  </r>
  <r>
    <d v="2007-02-27T00:00:00"/>
    <s v="824-54-79-834"/>
    <n v="14"/>
    <x v="2"/>
  </r>
  <r>
    <d v="2007-03-01T00:00:00"/>
    <s v="904-16-42-385"/>
    <n v="91"/>
    <x v="2"/>
  </r>
  <r>
    <d v="2007-03-08T00:00:00"/>
    <s v="904-16-42-385"/>
    <n v="68"/>
    <x v="2"/>
  </r>
  <r>
    <d v="2007-03-09T00:00:00"/>
    <s v="447-16-72-588"/>
    <n v="13"/>
    <x v="2"/>
  </r>
  <r>
    <d v="2007-03-11T00:00:00"/>
    <s v="378-70-08-798"/>
    <n v="118"/>
    <x v="2"/>
  </r>
  <r>
    <d v="2007-03-13T00:00:00"/>
    <s v="410-52-79-946"/>
    <n v="54"/>
    <x v="2"/>
  </r>
  <r>
    <d v="2007-03-17T00:00:00"/>
    <s v="434-21-90-566"/>
    <n v="10"/>
    <x v="2"/>
  </r>
  <r>
    <d v="2007-03-21T00:00:00"/>
    <s v="941-01-60-075"/>
    <n v="339"/>
    <x v="2"/>
  </r>
  <r>
    <d v="2007-03-22T00:00:00"/>
    <s v="534-94-49-182"/>
    <n v="80"/>
    <x v="2"/>
  </r>
  <r>
    <d v="2007-03-24T00:00:00"/>
    <s v="178-24-36-171"/>
    <n v="431"/>
    <x v="2"/>
  </r>
  <r>
    <d v="2007-03-26T00:00:00"/>
    <s v="941-01-60-075"/>
    <n v="268"/>
    <x v="2"/>
  </r>
  <r>
    <d v="2007-03-26T00:00:00"/>
    <s v="178-24-36-171"/>
    <n v="440"/>
    <x v="2"/>
  </r>
  <r>
    <d v="2007-03-26T00:00:00"/>
    <s v="594-18-15-403"/>
    <n v="396"/>
    <x v="2"/>
  </r>
  <r>
    <d v="2007-03-26T00:00:00"/>
    <s v="269-65-16-447"/>
    <n v="157"/>
    <x v="2"/>
  </r>
  <r>
    <d v="2007-03-30T00:00:00"/>
    <s v="904-16-42-385"/>
    <n v="194"/>
    <x v="2"/>
  </r>
  <r>
    <d v="2007-03-31T00:00:00"/>
    <s v="761-06-34-233"/>
    <n v="156"/>
    <x v="2"/>
  </r>
  <r>
    <d v="2007-04-01T00:00:00"/>
    <s v="423-71-31-448"/>
    <n v="11"/>
    <x v="2"/>
  </r>
  <r>
    <d v="2007-04-02T00:00:00"/>
    <s v="968-49-97-804"/>
    <n v="110"/>
    <x v="2"/>
  </r>
  <r>
    <d v="2007-04-04T00:00:00"/>
    <s v="865-19-31-951"/>
    <n v="12"/>
    <x v="2"/>
  </r>
  <r>
    <d v="2007-04-05T00:00:00"/>
    <s v="594-18-15-403"/>
    <n v="464"/>
    <x v="2"/>
  </r>
  <r>
    <d v="2007-04-06T00:00:00"/>
    <s v="527-15-00-673"/>
    <n v="40"/>
    <x v="2"/>
  </r>
  <r>
    <d v="2007-04-07T00:00:00"/>
    <s v="761-06-34-233"/>
    <n v="52"/>
    <x v="2"/>
  </r>
  <r>
    <d v="2007-04-12T00:00:00"/>
    <s v="970-73-69-415"/>
    <n v="12"/>
    <x v="2"/>
  </r>
  <r>
    <d v="2007-04-14T00:00:00"/>
    <s v="254-14-00-156"/>
    <n v="412"/>
    <x v="2"/>
  </r>
  <r>
    <d v="2007-04-16T00:00:00"/>
    <s v="413-93-89-926"/>
    <n v="268"/>
    <x v="2"/>
  </r>
  <r>
    <d v="2007-04-16T00:00:00"/>
    <s v="254-14-00-156"/>
    <n v="495"/>
    <x v="2"/>
  </r>
  <r>
    <d v="2007-04-16T00:00:00"/>
    <s v="968-49-97-804"/>
    <n v="30"/>
    <x v="2"/>
  </r>
  <r>
    <d v="2007-04-19T00:00:00"/>
    <s v="043-34-53-278"/>
    <n v="67"/>
    <x v="2"/>
  </r>
  <r>
    <d v="2007-04-25T00:00:00"/>
    <s v="799-94-72-837"/>
    <n v="497"/>
    <x v="2"/>
  </r>
  <r>
    <d v="2007-04-28T00:00:00"/>
    <s v="178-24-36-171"/>
    <n v="102"/>
    <x v="2"/>
  </r>
  <r>
    <d v="2007-05-01T00:00:00"/>
    <s v="254-14-00-156"/>
    <n v="322"/>
    <x v="2"/>
  </r>
  <r>
    <d v="2007-05-02T00:00:00"/>
    <s v="847-48-41-699"/>
    <n v="297"/>
    <x v="2"/>
  </r>
  <r>
    <d v="2007-05-04T00:00:00"/>
    <s v="904-16-42-385"/>
    <n v="179"/>
    <x v="2"/>
  </r>
  <r>
    <d v="2007-05-06T00:00:00"/>
    <s v="822-52-42-474"/>
    <n v="15"/>
    <x v="2"/>
  </r>
  <r>
    <d v="2007-05-08T00:00:00"/>
    <s v="692-61-16-906"/>
    <n v="65"/>
    <x v="2"/>
  </r>
  <r>
    <d v="2007-05-10T00:00:00"/>
    <s v="254-14-00-156"/>
    <n v="297"/>
    <x v="2"/>
  </r>
  <r>
    <d v="2007-05-12T00:00:00"/>
    <s v="885-74-10-856"/>
    <n v="131"/>
    <x v="2"/>
  </r>
  <r>
    <d v="2007-05-13T00:00:00"/>
    <s v="385-84-45-941"/>
    <n v="12"/>
    <x v="2"/>
  </r>
  <r>
    <d v="2007-05-13T00:00:00"/>
    <s v="269-65-16-447"/>
    <n v="114"/>
    <x v="2"/>
  </r>
  <r>
    <d v="2007-05-16T00:00:00"/>
    <s v="799-94-72-837"/>
    <n v="293"/>
    <x v="2"/>
  </r>
  <r>
    <d v="2007-05-18T00:00:00"/>
    <s v="773-41-40-060"/>
    <n v="18"/>
    <x v="2"/>
  </r>
  <r>
    <d v="2007-05-18T00:00:00"/>
    <s v="080-51-85-809"/>
    <n v="186"/>
    <x v="2"/>
  </r>
  <r>
    <d v="2007-05-21T00:00:00"/>
    <s v="378-70-08-798"/>
    <n v="119"/>
    <x v="2"/>
  </r>
  <r>
    <d v="2007-05-25T00:00:00"/>
    <s v="473-30-19-947"/>
    <n v="4"/>
    <x v="2"/>
  </r>
  <r>
    <d v="2007-05-28T00:00:00"/>
    <s v="799-94-72-837"/>
    <n v="415"/>
    <x v="2"/>
  </r>
  <r>
    <d v="2007-05-28T00:00:00"/>
    <s v="775-48-66-885"/>
    <n v="10"/>
    <x v="2"/>
  </r>
  <r>
    <d v="2007-05-28T00:00:00"/>
    <s v="269-65-16-447"/>
    <n v="159"/>
    <x v="2"/>
  </r>
  <r>
    <d v="2007-05-29T00:00:00"/>
    <s v="413-93-89-926"/>
    <n v="140"/>
    <x v="2"/>
  </r>
  <r>
    <d v="2007-06-06T00:00:00"/>
    <s v="080-51-85-809"/>
    <n v="128"/>
    <x v="2"/>
  </r>
  <r>
    <d v="2007-06-14T00:00:00"/>
    <s v="429-16-50-754"/>
    <n v="9"/>
    <x v="2"/>
  </r>
  <r>
    <d v="2007-06-14T00:00:00"/>
    <s v="413-93-89-926"/>
    <n v="121"/>
    <x v="2"/>
  </r>
  <r>
    <d v="2007-06-15T00:00:00"/>
    <s v="799-94-72-837"/>
    <n v="169"/>
    <x v="2"/>
  </r>
  <r>
    <d v="2007-06-17T00:00:00"/>
    <s v="322-66-15-999"/>
    <n v="118"/>
    <x v="2"/>
  </r>
  <r>
    <d v="2007-06-17T00:00:00"/>
    <s v="773-39-15-273"/>
    <n v="37"/>
    <x v="2"/>
  </r>
  <r>
    <d v="2007-06-20T00:00:00"/>
    <s v="968-49-97-804"/>
    <n v="198"/>
    <x v="2"/>
  </r>
  <r>
    <d v="2007-06-21T00:00:00"/>
    <s v="378-70-08-798"/>
    <n v="74"/>
    <x v="2"/>
  </r>
  <r>
    <d v="2007-06-26T00:00:00"/>
    <s v="275-38-81-341"/>
    <n v="18"/>
    <x v="2"/>
  </r>
  <r>
    <d v="2007-06-30T00:00:00"/>
    <s v="337-27-67-378"/>
    <n v="291"/>
    <x v="2"/>
  </r>
  <r>
    <d v="2007-07-07T00:00:00"/>
    <s v="847-48-41-699"/>
    <n v="208"/>
    <x v="2"/>
  </r>
  <r>
    <d v="2007-07-07T00:00:00"/>
    <s v="594-18-15-403"/>
    <n v="354"/>
    <x v="2"/>
  </r>
  <r>
    <d v="2007-07-14T00:00:00"/>
    <s v="410-52-79-946"/>
    <n v="113"/>
    <x v="2"/>
  </r>
  <r>
    <d v="2007-07-15T00:00:00"/>
    <s v="295-31-73-319"/>
    <n v="3"/>
    <x v="2"/>
  </r>
  <r>
    <d v="2007-07-15T00:00:00"/>
    <s v="392-78-93-552"/>
    <n v="446"/>
    <x v="2"/>
  </r>
  <r>
    <d v="2007-07-15T00:00:00"/>
    <s v="430-90-28-407"/>
    <n v="9"/>
    <x v="2"/>
  </r>
  <r>
    <d v="2007-07-19T00:00:00"/>
    <s v="941-01-60-075"/>
    <n v="445"/>
    <x v="2"/>
  </r>
  <r>
    <d v="2007-07-20T00:00:00"/>
    <s v="513-33-14-553"/>
    <n v="47"/>
    <x v="2"/>
  </r>
  <r>
    <d v="2007-07-21T00:00:00"/>
    <s v="240-56-56-791"/>
    <n v="14"/>
    <x v="2"/>
  </r>
  <r>
    <d v="2007-07-26T00:00:00"/>
    <s v="916-94-78-836"/>
    <n v="187"/>
    <x v="2"/>
  </r>
  <r>
    <d v="2007-07-27T00:00:00"/>
    <s v="392-78-93-552"/>
    <n v="355"/>
    <x v="2"/>
  </r>
  <r>
    <d v="2007-07-28T00:00:00"/>
    <s v="940-29-78-846"/>
    <n v="6"/>
    <x v="2"/>
  </r>
  <r>
    <d v="2007-07-29T00:00:00"/>
    <s v="284-59-84-568"/>
    <n v="18"/>
    <x v="2"/>
  </r>
  <r>
    <d v="2007-07-31T00:00:00"/>
    <s v="884-31-58-627"/>
    <n v="111"/>
    <x v="2"/>
  </r>
  <r>
    <d v="2007-07-31T00:00:00"/>
    <s v="885-74-10-856"/>
    <n v="156"/>
    <x v="2"/>
  </r>
  <r>
    <d v="2007-08-01T00:00:00"/>
    <s v="392-78-93-552"/>
    <n v="396"/>
    <x v="2"/>
  </r>
  <r>
    <d v="2007-08-05T00:00:00"/>
    <s v="767-55-58-288"/>
    <n v="7"/>
    <x v="2"/>
  </r>
  <r>
    <d v="2007-08-07T00:00:00"/>
    <s v="322-66-15-999"/>
    <n v="98"/>
    <x v="2"/>
  </r>
  <r>
    <d v="2007-08-09T00:00:00"/>
    <s v="392-78-93-552"/>
    <n v="405"/>
    <x v="2"/>
  </r>
  <r>
    <d v="2007-08-11T00:00:00"/>
    <s v="254-14-00-156"/>
    <n v="220"/>
    <x v="2"/>
  </r>
  <r>
    <d v="2007-08-12T00:00:00"/>
    <s v="534-94-49-182"/>
    <n v="141"/>
    <x v="2"/>
  </r>
  <r>
    <d v="2007-08-13T00:00:00"/>
    <s v="182-72-86-381"/>
    <n v="17"/>
    <x v="2"/>
  </r>
  <r>
    <d v="2007-08-13T00:00:00"/>
    <s v="847-48-41-699"/>
    <n v="260"/>
    <x v="2"/>
  </r>
  <r>
    <d v="2007-08-14T00:00:00"/>
    <s v="982-37-73-633"/>
    <n v="11"/>
    <x v="2"/>
  </r>
  <r>
    <d v="2007-08-18T00:00:00"/>
    <s v="495-93-92-849"/>
    <n v="182"/>
    <x v="2"/>
  </r>
  <r>
    <d v="2007-08-20T00:00:00"/>
    <s v="916-94-78-836"/>
    <n v="59"/>
    <x v="2"/>
  </r>
  <r>
    <d v="2007-08-21T00:00:00"/>
    <s v="527-15-00-673"/>
    <n v="45"/>
    <x v="2"/>
  </r>
  <r>
    <d v="2007-08-21T00:00:00"/>
    <s v="740-87-37-389"/>
    <n v="3"/>
    <x v="2"/>
  </r>
  <r>
    <d v="2007-08-23T00:00:00"/>
    <s v="692-61-16-906"/>
    <n v="52"/>
    <x v="2"/>
  </r>
  <r>
    <d v="2007-08-23T00:00:00"/>
    <s v="178-24-36-171"/>
    <n v="373"/>
    <x v="2"/>
  </r>
  <r>
    <d v="2007-08-24T00:00:00"/>
    <s v="962-06-61-806"/>
    <n v="2"/>
    <x v="2"/>
  </r>
  <r>
    <d v="2007-08-24T00:00:00"/>
    <s v="337-27-67-378"/>
    <n v="445"/>
    <x v="2"/>
  </r>
  <r>
    <d v="2007-08-25T00:00:00"/>
    <s v="495-93-92-849"/>
    <n v="93"/>
    <x v="2"/>
  </r>
  <r>
    <d v="2007-08-30T00:00:00"/>
    <s v="178-24-36-171"/>
    <n v="329"/>
    <x v="2"/>
  </r>
  <r>
    <d v="2007-09-01T00:00:00"/>
    <s v="178-24-36-171"/>
    <n v="217"/>
    <x v="2"/>
  </r>
  <r>
    <d v="2007-09-01T00:00:00"/>
    <s v="269-65-16-447"/>
    <n v="165"/>
    <x v="2"/>
  </r>
  <r>
    <d v="2007-09-02T00:00:00"/>
    <s v="176-54-34-364"/>
    <n v="20"/>
    <x v="2"/>
  </r>
  <r>
    <d v="2007-09-03T00:00:00"/>
    <s v="019-98-81-222"/>
    <n v="11"/>
    <x v="2"/>
  </r>
  <r>
    <d v="2007-09-04T00:00:00"/>
    <s v="799-94-72-837"/>
    <n v="294"/>
    <x v="2"/>
  </r>
  <r>
    <d v="2007-09-06T00:00:00"/>
    <s v="904-16-42-385"/>
    <n v="82"/>
    <x v="2"/>
  </r>
  <r>
    <d v="2007-09-06T00:00:00"/>
    <s v="033-49-11-774"/>
    <n v="186"/>
    <x v="2"/>
  </r>
  <r>
    <d v="2007-09-08T00:00:00"/>
    <s v="749-02-70-623"/>
    <n v="163"/>
    <x v="2"/>
  </r>
  <r>
    <d v="2007-09-08T00:00:00"/>
    <s v="534-94-49-182"/>
    <n v="148"/>
    <x v="2"/>
  </r>
  <r>
    <d v="2007-09-09T00:00:00"/>
    <s v="377-37-44-068"/>
    <n v="2"/>
    <x v="2"/>
  </r>
  <r>
    <d v="2007-09-11T00:00:00"/>
    <s v="178-24-36-171"/>
    <n v="343"/>
    <x v="2"/>
  </r>
  <r>
    <d v="2007-09-11T00:00:00"/>
    <s v="884-31-58-627"/>
    <n v="51"/>
    <x v="2"/>
  </r>
  <r>
    <d v="2007-09-14T00:00:00"/>
    <s v="749-02-70-623"/>
    <n v="164"/>
    <x v="2"/>
  </r>
  <r>
    <d v="2007-09-14T00:00:00"/>
    <s v="645-32-78-780"/>
    <n v="5"/>
    <x v="2"/>
  </r>
  <r>
    <d v="2007-09-15T00:00:00"/>
    <s v="254-14-00-156"/>
    <n v="260"/>
    <x v="2"/>
  </r>
  <r>
    <d v="2007-09-15T00:00:00"/>
    <s v="847-48-41-699"/>
    <n v="415"/>
    <x v="2"/>
  </r>
  <r>
    <d v="2007-09-16T00:00:00"/>
    <s v="847-48-41-699"/>
    <n v="467"/>
    <x v="2"/>
  </r>
  <r>
    <d v="2007-09-16T00:00:00"/>
    <s v="692-61-16-906"/>
    <n v="43"/>
    <x v="2"/>
  </r>
  <r>
    <d v="2007-09-17T00:00:00"/>
    <s v="885-74-10-856"/>
    <n v="40"/>
    <x v="2"/>
  </r>
  <r>
    <d v="2007-09-19T00:00:00"/>
    <s v="964-69-89-011"/>
    <n v="10"/>
    <x v="2"/>
  </r>
  <r>
    <d v="2007-09-20T00:00:00"/>
    <s v="847-48-41-699"/>
    <n v="197"/>
    <x v="2"/>
  </r>
  <r>
    <d v="2007-09-23T00:00:00"/>
    <s v="773-39-15-273"/>
    <n v="145"/>
    <x v="2"/>
  </r>
  <r>
    <d v="2007-09-24T00:00:00"/>
    <s v="322-66-15-999"/>
    <n v="105"/>
    <x v="2"/>
  </r>
  <r>
    <d v="2007-09-25T00:00:00"/>
    <s v="916-94-78-836"/>
    <n v="33"/>
    <x v="2"/>
  </r>
  <r>
    <d v="2007-09-25T00:00:00"/>
    <s v="950-40-82-698"/>
    <n v="78"/>
    <x v="2"/>
  </r>
  <r>
    <d v="2007-09-26T00:00:00"/>
    <s v="847-48-41-699"/>
    <n v="466"/>
    <x v="2"/>
  </r>
  <r>
    <d v="2007-09-29T00:00:00"/>
    <s v="392-78-93-552"/>
    <n v="476"/>
    <x v="2"/>
  </r>
  <r>
    <d v="2007-10-02T00:00:00"/>
    <s v="080-51-85-809"/>
    <n v="151"/>
    <x v="2"/>
  </r>
  <r>
    <d v="2007-10-02T00:00:00"/>
    <s v="163-92-64-010"/>
    <n v="17"/>
    <x v="2"/>
  </r>
  <r>
    <d v="2007-10-06T00:00:00"/>
    <s v="585-26-73-628"/>
    <n v="4"/>
    <x v="2"/>
  </r>
  <r>
    <d v="2007-10-16T00:00:00"/>
    <s v="594-18-15-403"/>
    <n v="131"/>
    <x v="2"/>
  </r>
  <r>
    <d v="2007-10-16T00:00:00"/>
    <s v="337-27-67-378"/>
    <n v="369"/>
    <x v="2"/>
  </r>
  <r>
    <d v="2007-10-16T00:00:00"/>
    <s v="179-23-02-772"/>
    <n v="60"/>
    <x v="2"/>
  </r>
  <r>
    <d v="2007-10-20T00:00:00"/>
    <s v="413-93-89-926"/>
    <n v="405"/>
    <x v="2"/>
  </r>
  <r>
    <d v="2007-10-21T00:00:00"/>
    <s v="396-32-41-555"/>
    <n v="3"/>
    <x v="2"/>
  </r>
  <r>
    <d v="2007-10-25T00:00:00"/>
    <s v="773-39-15-273"/>
    <n v="35"/>
    <x v="2"/>
  </r>
  <r>
    <d v="2007-10-27T00:00:00"/>
    <s v="941-01-60-075"/>
    <n v="444"/>
    <x v="2"/>
  </r>
  <r>
    <d v="2007-10-27T00:00:00"/>
    <s v="392-78-93-552"/>
    <n v="424"/>
    <x v="2"/>
  </r>
  <r>
    <d v="2007-10-27T00:00:00"/>
    <s v="736-91-47-235"/>
    <n v="2"/>
    <x v="2"/>
  </r>
  <r>
    <d v="2007-10-30T00:00:00"/>
    <s v="413-93-89-926"/>
    <n v="480"/>
    <x v="2"/>
  </r>
  <r>
    <d v="2007-10-31T00:00:00"/>
    <s v="916-94-78-836"/>
    <n v="65"/>
    <x v="2"/>
  </r>
  <r>
    <d v="2007-11-02T00:00:00"/>
    <s v="403-50-07-403"/>
    <n v="8"/>
    <x v="2"/>
  </r>
  <r>
    <d v="2007-11-03T00:00:00"/>
    <s v="495-93-92-849"/>
    <n v="52"/>
    <x v="2"/>
  </r>
  <r>
    <d v="2007-11-06T00:00:00"/>
    <s v="377-37-44-068"/>
    <n v="8"/>
    <x v="2"/>
  </r>
  <r>
    <d v="2007-11-07T00:00:00"/>
    <s v="254-14-00-156"/>
    <n v="143"/>
    <x v="2"/>
  </r>
  <r>
    <d v="2007-11-08T00:00:00"/>
    <s v="269-65-16-447"/>
    <n v="20"/>
    <x v="2"/>
  </r>
  <r>
    <d v="2007-11-11T00:00:00"/>
    <s v="799-94-72-837"/>
    <n v="396"/>
    <x v="2"/>
  </r>
  <r>
    <d v="2007-11-12T00:00:00"/>
    <s v="513-33-14-553"/>
    <n v="168"/>
    <x v="2"/>
  </r>
  <r>
    <d v="2007-11-13T00:00:00"/>
    <s v="513-33-14-553"/>
    <n v="69"/>
    <x v="2"/>
  </r>
  <r>
    <d v="2007-11-21T00:00:00"/>
    <s v="534-94-49-182"/>
    <n v="99"/>
    <x v="2"/>
  </r>
  <r>
    <d v="2007-11-21T00:00:00"/>
    <s v="115-65-39-258"/>
    <n v="57"/>
    <x v="2"/>
  </r>
  <r>
    <d v="2007-11-22T00:00:00"/>
    <s v="043-34-53-278"/>
    <n v="103"/>
    <x v="2"/>
  </r>
  <r>
    <d v="2007-11-23T00:00:00"/>
    <s v="609-57-46-753"/>
    <n v="2"/>
    <x v="2"/>
  </r>
  <r>
    <d v="2007-11-26T00:00:00"/>
    <s v="495-93-92-849"/>
    <n v="88"/>
    <x v="2"/>
  </r>
  <r>
    <d v="2007-11-28T00:00:00"/>
    <s v="916-94-78-836"/>
    <n v="85"/>
    <x v="2"/>
  </r>
  <r>
    <d v="2007-11-28T00:00:00"/>
    <s v="254-14-00-156"/>
    <n v="216"/>
    <x v="2"/>
  </r>
  <r>
    <d v="2007-11-30T00:00:00"/>
    <s v="254-14-00-156"/>
    <n v="140"/>
    <x v="2"/>
  </r>
  <r>
    <d v="2007-12-05T00:00:00"/>
    <s v="941-01-60-075"/>
    <n v="377"/>
    <x v="2"/>
  </r>
  <r>
    <d v="2007-12-07T00:00:00"/>
    <s v="968-49-97-804"/>
    <n v="89"/>
    <x v="2"/>
  </r>
  <r>
    <d v="2007-12-09T00:00:00"/>
    <s v="904-16-42-385"/>
    <n v="181"/>
    <x v="2"/>
  </r>
  <r>
    <d v="2007-12-11T00:00:00"/>
    <s v="513-33-14-553"/>
    <n v="131"/>
    <x v="2"/>
  </r>
  <r>
    <d v="2007-12-11T00:00:00"/>
    <s v="936-67-95-170"/>
    <n v="43"/>
    <x v="2"/>
  </r>
  <r>
    <d v="2007-12-12T00:00:00"/>
    <s v="534-94-49-182"/>
    <n v="166"/>
    <x v="2"/>
  </r>
  <r>
    <d v="2007-12-12T00:00:00"/>
    <s v="773-39-15-273"/>
    <n v="192"/>
    <x v="2"/>
  </r>
  <r>
    <d v="2007-12-14T00:00:00"/>
    <s v="351-06-97-406"/>
    <n v="7"/>
    <x v="2"/>
  </r>
  <r>
    <d v="2007-12-16T00:00:00"/>
    <s v="662-14-22-719"/>
    <n v="11"/>
    <x v="2"/>
  </r>
  <r>
    <d v="2007-12-16T00:00:00"/>
    <s v="080-51-85-809"/>
    <n v="146"/>
    <x v="2"/>
  </r>
  <r>
    <d v="2007-12-17T00:00:00"/>
    <s v="392-78-93-552"/>
    <n v="138"/>
    <x v="2"/>
  </r>
  <r>
    <d v="2007-12-18T00:00:00"/>
    <s v="033-49-11-774"/>
    <n v="138"/>
    <x v="2"/>
  </r>
  <r>
    <d v="2007-12-18T00:00:00"/>
    <s v="941-01-60-075"/>
    <n v="482"/>
    <x v="2"/>
  </r>
  <r>
    <d v="2007-12-20T00:00:00"/>
    <s v="941-01-60-075"/>
    <n v="481"/>
    <x v="2"/>
  </r>
  <r>
    <d v="2007-12-22T00:00:00"/>
    <s v="392-78-93-552"/>
    <n v="258"/>
    <x v="2"/>
  </r>
  <r>
    <d v="2007-12-24T00:00:00"/>
    <s v="080-51-85-809"/>
    <n v="100"/>
    <x v="2"/>
  </r>
  <r>
    <d v="2007-12-24T00:00:00"/>
    <s v="513-33-14-553"/>
    <n v="86"/>
    <x v="2"/>
  </r>
  <r>
    <d v="2007-12-27T00:00:00"/>
    <s v="378-70-08-798"/>
    <n v="165"/>
    <x v="2"/>
  </r>
  <r>
    <d v="2007-12-28T00:00:00"/>
    <s v="967-21-71-491"/>
    <n v="4"/>
    <x v="2"/>
  </r>
  <r>
    <d v="2007-12-29T00:00:00"/>
    <s v="033-49-11-774"/>
    <n v="156"/>
    <x v="2"/>
  </r>
  <r>
    <d v="2007-12-30T00:00:00"/>
    <s v="392-78-93-552"/>
    <n v="320"/>
    <x v="2"/>
  </r>
  <r>
    <d v="2008-01-01T00:00:00"/>
    <s v="045-63-27-114"/>
    <n v="1"/>
    <x v="3"/>
  </r>
  <r>
    <d v="2008-01-01T00:00:00"/>
    <s v="885-74-10-856"/>
    <n v="81"/>
    <x v="3"/>
  </r>
  <r>
    <d v="2008-01-01T00:00:00"/>
    <s v="941-01-60-075"/>
    <n v="438"/>
    <x v="3"/>
  </r>
  <r>
    <d v="2008-01-02T00:00:00"/>
    <s v="242-04-13-206"/>
    <n v="1"/>
    <x v="3"/>
  </r>
  <r>
    <d v="2008-01-06T00:00:00"/>
    <s v="773-39-15-273"/>
    <n v="173"/>
    <x v="3"/>
  </r>
  <r>
    <d v="2008-01-09T00:00:00"/>
    <s v="337-27-67-378"/>
    <n v="412"/>
    <x v="3"/>
  </r>
  <r>
    <d v="2008-01-09T00:00:00"/>
    <s v="288-84-37-922"/>
    <n v="13"/>
    <x v="3"/>
  </r>
  <r>
    <d v="2008-01-10T00:00:00"/>
    <s v="322-66-15-999"/>
    <n v="130"/>
    <x v="3"/>
  </r>
  <r>
    <d v="2008-01-12T00:00:00"/>
    <s v="193-47-03-638"/>
    <n v="4"/>
    <x v="3"/>
  </r>
  <r>
    <d v="2008-01-15T00:00:00"/>
    <s v="322-66-15-999"/>
    <n v="176"/>
    <x v="3"/>
  </r>
  <r>
    <d v="2008-01-17T00:00:00"/>
    <s v="403-50-07-403"/>
    <n v="14"/>
    <x v="3"/>
  </r>
  <r>
    <d v="2008-01-18T00:00:00"/>
    <s v="322-66-15-999"/>
    <n v="97"/>
    <x v="3"/>
  </r>
  <r>
    <d v="2008-01-21T00:00:00"/>
    <s v="692-61-16-906"/>
    <n v="81"/>
    <x v="3"/>
  </r>
  <r>
    <d v="2008-01-22T00:00:00"/>
    <s v="033-49-11-774"/>
    <n v="179"/>
    <x v="3"/>
  </r>
  <r>
    <d v="2008-01-23T00:00:00"/>
    <s v="916-94-78-836"/>
    <n v="132"/>
    <x v="3"/>
  </r>
  <r>
    <d v="2008-01-23T00:00:00"/>
    <s v="214-54-56-360"/>
    <n v="5"/>
    <x v="3"/>
  </r>
  <r>
    <d v="2008-01-23T00:00:00"/>
    <s v="269-65-16-447"/>
    <n v="100"/>
    <x v="3"/>
  </r>
  <r>
    <d v="2008-01-27T00:00:00"/>
    <s v="302-11-03-254"/>
    <n v="6"/>
    <x v="3"/>
  </r>
  <r>
    <d v="2008-02-03T00:00:00"/>
    <s v="337-27-67-378"/>
    <n v="171"/>
    <x v="3"/>
  </r>
  <r>
    <d v="2008-02-05T00:00:00"/>
    <s v="799-94-72-837"/>
    <n v="333"/>
    <x v="3"/>
  </r>
  <r>
    <d v="2008-02-06T00:00:00"/>
    <s v="337-27-67-378"/>
    <n v="365"/>
    <x v="3"/>
  </r>
  <r>
    <d v="2008-02-06T00:00:00"/>
    <s v="423-71-31-448"/>
    <n v="16"/>
    <x v="3"/>
  </r>
  <r>
    <d v="2008-02-07T00:00:00"/>
    <s v="594-18-15-403"/>
    <n v="211"/>
    <x v="3"/>
  </r>
  <r>
    <d v="2008-02-11T00:00:00"/>
    <s v="392-78-93-552"/>
    <n v="196"/>
    <x v="3"/>
  </r>
  <r>
    <d v="2008-02-12T00:00:00"/>
    <s v="208-84-31-216"/>
    <n v="11"/>
    <x v="3"/>
  </r>
  <r>
    <d v="2008-02-13T00:00:00"/>
    <s v="423-71-31-448"/>
    <n v="17"/>
    <x v="3"/>
  </r>
  <r>
    <d v="2008-02-16T00:00:00"/>
    <s v="527-15-00-673"/>
    <n v="62"/>
    <x v="3"/>
  </r>
  <r>
    <d v="2008-02-16T00:00:00"/>
    <s v="847-48-41-699"/>
    <n v="103"/>
    <x v="3"/>
  </r>
  <r>
    <d v="2008-02-16T00:00:00"/>
    <s v="996-09-76-697"/>
    <n v="9"/>
    <x v="3"/>
  </r>
  <r>
    <d v="2008-02-17T00:00:00"/>
    <s v="299-98-16-259"/>
    <n v="5"/>
    <x v="3"/>
  </r>
  <r>
    <d v="2008-02-17T00:00:00"/>
    <s v="392-78-93-552"/>
    <n v="452"/>
    <x v="3"/>
  </r>
  <r>
    <d v="2008-02-18T00:00:00"/>
    <s v="371-70-96-597"/>
    <n v="2"/>
    <x v="3"/>
  </r>
  <r>
    <d v="2008-02-19T00:00:00"/>
    <s v="941-01-60-075"/>
    <n v="335"/>
    <x v="3"/>
  </r>
  <r>
    <d v="2008-02-20T00:00:00"/>
    <s v="777-06-33-444"/>
    <n v="12"/>
    <x v="3"/>
  </r>
  <r>
    <d v="2008-02-21T00:00:00"/>
    <s v="314-76-34-892"/>
    <n v="12"/>
    <x v="3"/>
  </r>
  <r>
    <d v="2008-02-22T00:00:00"/>
    <s v="270-90-07-560"/>
    <n v="5"/>
    <x v="3"/>
  </r>
  <r>
    <d v="2008-02-22T00:00:00"/>
    <s v="811-91-92-867"/>
    <n v="2"/>
    <x v="3"/>
  </r>
  <r>
    <d v="2008-02-23T00:00:00"/>
    <s v="131-80-62-556"/>
    <n v="10"/>
    <x v="3"/>
  </r>
  <r>
    <d v="2008-02-25T00:00:00"/>
    <s v="392-78-93-552"/>
    <n v="308"/>
    <x v="3"/>
  </r>
  <r>
    <d v="2008-02-27T00:00:00"/>
    <s v="982-37-73-633"/>
    <n v="5"/>
    <x v="3"/>
  </r>
  <r>
    <d v="2008-02-27T00:00:00"/>
    <s v="799-94-72-837"/>
    <n v="446"/>
    <x v="3"/>
  </r>
  <r>
    <d v="2008-02-28T00:00:00"/>
    <s v="254-14-00-156"/>
    <n v="281"/>
    <x v="3"/>
  </r>
  <r>
    <d v="2008-03-03T00:00:00"/>
    <s v="128-69-77-900"/>
    <n v="6"/>
    <x v="3"/>
  </r>
  <r>
    <d v="2008-03-04T00:00:00"/>
    <s v="254-14-00-156"/>
    <n v="409"/>
    <x v="3"/>
  </r>
  <r>
    <d v="2008-03-04T00:00:00"/>
    <s v="527-15-00-673"/>
    <n v="191"/>
    <x v="3"/>
  </r>
  <r>
    <d v="2008-03-05T00:00:00"/>
    <s v="941-01-60-075"/>
    <n v="404"/>
    <x v="3"/>
  </r>
  <r>
    <d v="2008-03-05T00:00:00"/>
    <s v="378-70-08-798"/>
    <n v="135"/>
    <x v="3"/>
  </r>
  <r>
    <d v="2008-03-05T00:00:00"/>
    <s v="961-86-77-989"/>
    <n v="20"/>
    <x v="3"/>
  </r>
  <r>
    <d v="2008-03-07T00:00:00"/>
    <s v="507-22-76-992"/>
    <n v="54"/>
    <x v="3"/>
  </r>
  <r>
    <d v="2008-03-07T00:00:00"/>
    <s v="495-93-92-849"/>
    <n v="129"/>
    <x v="3"/>
  </r>
  <r>
    <d v="2008-03-10T00:00:00"/>
    <s v="138-66-38-929"/>
    <n v="11"/>
    <x v="3"/>
  </r>
  <r>
    <d v="2008-03-11T00:00:00"/>
    <s v="178-24-36-171"/>
    <n v="383"/>
    <x v="3"/>
  </r>
  <r>
    <d v="2008-03-12T00:00:00"/>
    <s v="749-02-70-623"/>
    <n v="46"/>
    <x v="3"/>
  </r>
  <r>
    <d v="2008-03-13T00:00:00"/>
    <s v="179-23-02-772"/>
    <n v="61"/>
    <x v="3"/>
  </r>
  <r>
    <d v="2008-03-15T00:00:00"/>
    <s v="378-70-08-798"/>
    <n v="166"/>
    <x v="3"/>
  </r>
  <r>
    <d v="2008-03-16T00:00:00"/>
    <s v="513-33-14-553"/>
    <n v="91"/>
    <x v="3"/>
  </r>
  <r>
    <d v="2008-03-17T00:00:00"/>
    <s v="240-21-54-730"/>
    <n v="10"/>
    <x v="3"/>
  </r>
  <r>
    <d v="2008-03-19T00:00:00"/>
    <s v="299-72-00-838"/>
    <n v="19"/>
    <x v="3"/>
  </r>
  <r>
    <d v="2008-03-19T00:00:00"/>
    <s v="105-89-55-029"/>
    <n v="2"/>
    <x v="3"/>
  </r>
  <r>
    <d v="2008-03-20T00:00:00"/>
    <s v="968-49-97-804"/>
    <n v="125"/>
    <x v="3"/>
  </r>
  <r>
    <d v="2008-03-20T00:00:00"/>
    <s v="178-24-36-171"/>
    <n v="248"/>
    <x v="3"/>
  </r>
  <r>
    <d v="2008-03-20T00:00:00"/>
    <s v="995-59-41-476"/>
    <n v="298"/>
    <x v="3"/>
  </r>
  <r>
    <d v="2008-03-21T00:00:00"/>
    <s v="178-24-36-171"/>
    <n v="406"/>
    <x v="3"/>
  </r>
  <r>
    <d v="2008-03-22T00:00:00"/>
    <s v="080-51-85-809"/>
    <n v="46"/>
    <x v="3"/>
  </r>
  <r>
    <d v="2008-03-23T00:00:00"/>
    <s v="513-33-14-553"/>
    <n v="106"/>
    <x v="3"/>
  </r>
  <r>
    <d v="2008-03-25T00:00:00"/>
    <s v="847-48-41-699"/>
    <n v="121"/>
    <x v="3"/>
  </r>
  <r>
    <d v="2008-03-29T00:00:00"/>
    <s v="392-78-93-552"/>
    <n v="170"/>
    <x v="3"/>
  </r>
  <r>
    <d v="2008-03-29T00:00:00"/>
    <s v="799-94-72-837"/>
    <n v="431"/>
    <x v="3"/>
  </r>
  <r>
    <d v="2008-03-30T00:00:00"/>
    <s v="941-01-60-075"/>
    <n v="483"/>
    <x v="3"/>
  </r>
  <r>
    <d v="2008-04-01T00:00:00"/>
    <s v="254-14-00-156"/>
    <n v="354"/>
    <x v="3"/>
  </r>
  <r>
    <d v="2008-04-03T00:00:00"/>
    <s v="513-33-14-553"/>
    <n v="65"/>
    <x v="3"/>
  </r>
  <r>
    <d v="2008-04-06T00:00:00"/>
    <s v="337-27-67-378"/>
    <n v="176"/>
    <x v="3"/>
  </r>
  <r>
    <d v="2008-04-07T00:00:00"/>
    <s v="843-22-41-173"/>
    <n v="2"/>
    <x v="3"/>
  </r>
  <r>
    <d v="2008-04-08T00:00:00"/>
    <s v="527-15-00-673"/>
    <n v="46"/>
    <x v="3"/>
  </r>
  <r>
    <d v="2008-04-11T00:00:00"/>
    <s v="995-59-41-476"/>
    <n v="477"/>
    <x v="3"/>
  </r>
  <r>
    <d v="2008-04-12T00:00:00"/>
    <s v="126-55-91-375"/>
    <n v="6"/>
    <x v="3"/>
  </r>
  <r>
    <d v="2008-04-14T00:00:00"/>
    <s v="528-09-83-923"/>
    <n v="11"/>
    <x v="3"/>
  </r>
  <r>
    <d v="2008-04-14T00:00:00"/>
    <s v="527-15-00-673"/>
    <n v="126"/>
    <x v="3"/>
  </r>
  <r>
    <d v="2008-04-14T00:00:00"/>
    <s v="269-65-16-447"/>
    <n v="190"/>
    <x v="3"/>
  </r>
  <r>
    <d v="2008-04-15T00:00:00"/>
    <s v="941-01-60-075"/>
    <n v="358"/>
    <x v="3"/>
  </r>
  <r>
    <d v="2008-04-15T00:00:00"/>
    <s v="761-06-34-233"/>
    <n v="78"/>
    <x v="3"/>
  </r>
  <r>
    <d v="2008-04-15T00:00:00"/>
    <s v="884-31-58-627"/>
    <n v="129"/>
    <x v="3"/>
  </r>
  <r>
    <d v="2008-04-16T00:00:00"/>
    <s v="799-94-72-837"/>
    <n v="433"/>
    <x v="3"/>
  </r>
  <r>
    <d v="2008-04-17T00:00:00"/>
    <s v="182-72-86-381"/>
    <n v="18"/>
    <x v="3"/>
  </r>
  <r>
    <d v="2008-04-18T00:00:00"/>
    <s v="936-67-95-170"/>
    <n v="30"/>
    <x v="3"/>
  </r>
  <r>
    <d v="2008-04-19T00:00:00"/>
    <s v="159-34-45-151"/>
    <n v="18"/>
    <x v="3"/>
  </r>
  <r>
    <d v="2008-04-20T00:00:00"/>
    <s v="527-15-00-673"/>
    <n v="146"/>
    <x v="3"/>
  </r>
  <r>
    <d v="2008-04-20T00:00:00"/>
    <s v="138-66-38-929"/>
    <n v="19"/>
    <x v="3"/>
  </r>
  <r>
    <d v="2008-04-21T00:00:00"/>
    <s v="033-49-11-774"/>
    <n v="170"/>
    <x v="3"/>
  </r>
  <r>
    <d v="2008-04-23T00:00:00"/>
    <s v="594-18-15-403"/>
    <n v="428"/>
    <x v="3"/>
  </r>
  <r>
    <d v="2008-04-25T00:00:00"/>
    <s v="941-01-60-075"/>
    <n v="129"/>
    <x v="3"/>
  </r>
  <r>
    <d v="2008-04-26T00:00:00"/>
    <s v="413-93-89-926"/>
    <n v="304"/>
    <x v="3"/>
  </r>
  <r>
    <d v="2008-04-30T00:00:00"/>
    <s v="288-84-37-922"/>
    <n v="15"/>
    <x v="3"/>
  </r>
  <r>
    <d v="2008-05-01T00:00:00"/>
    <s v="766-05-70-009"/>
    <n v="14"/>
    <x v="3"/>
  </r>
  <r>
    <d v="2008-05-03T00:00:00"/>
    <s v="799-94-72-837"/>
    <n v="320"/>
    <x v="3"/>
  </r>
  <r>
    <d v="2008-05-04T00:00:00"/>
    <s v="322-66-15-999"/>
    <n v="44"/>
    <x v="3"/>
  </r>
  <r>
    <d v="2008-05-05T00:00:00"/>
    <s v="749-02-70-623"/>
    <n v="71"/>
    <x v="3"/>
  </r>
  <r>
    <d v="2008-05-05T00:00:00"/>
    <s v="047-70-78-199"/>
    <n v="8"/>
    <x v="3"/>
  </r>
  <r>
    <d v="2008-05-09T00:00:00"/>
    <s v="847-48-41-699"/>
    <n v="444"/>
    <x v="3"/>
  </r>
  <r>
    <d v="2008-05-09T00:00:00"/>
    <s v="014-02-05-290"/>
    <n v="1"/>
    <x v="3"/>
  </r>
  <r>
    <d v="2008-05-11T00:00:00"/>
    <s v="527-15-00-673"/>
    <n v="102"/>
    <x v="3"/>
  </r>
  <r>
    <d v="2008-05-11T00:00:00"/>
    <s v="294-48-56-993"/>
    <n v="181"/>
    <x v="3"/>
  </r>
  <r>
    <d v="2008-05-11T00:00:00"/>
    <s v="495-93-92-849"/>
    <n v="82"/>
    <x v="3"/>
  </r>
  <r>
    <d v="2008-05-14T00:00:00"/>
    <s v="319-54-24-686"/>
    <n v="19"/>
    <x v="3"/>
  </r>
  <r>
    <d v="2008-05-14T00:00:00"/>
    <s v="413-93-89-926"/>
    <n v="245"/>
    <x v="3"/>
  </r>
  <r>
    <d v="2008-05-16T00:00:00"/>
    <s v="995-59-41-476"/>
    <n v="431"/>
    <x v="3"/>
  </r>
  <r>
    <d v="2008-05-16T00:00:00"/>
    <s v="254-14-00-156"/>
    <n v="252"/>
    <x v="3"/>
  </r>
  <r>
    <d v="2008-05-17T00:00:00"/>
    <s v="851-69-49-933"/>
    <n v="2"/>
    <x v="3"/>
  </r>
  <r>
    <d v="2008-05-18T00:00:00"/>
    <s v="043-34-53-278"/>
    <n v="52"/>
    <x v="3"/>
  </r>
  <r>
    <d v="2008-05-19T00:00:00"/>
    <s v="033-49-11-774"/>
    <n v="54"/>
    <x v="3"/>
  </r>
  <r>
    <d v="2008-05-19T00:00:00"/>
    <s v="531-65-00-714"/>
    <n v="4"/>
    <x v="3"/>
  </r>
  <r>
    <d v="2008-05-19T00:00:00"/>
    <s v="692-61-16-906"/>
    <n v="88"/>
    <x v="3"/>
  </r>
  <r>
    <d v="2008-05-22T00:00:00"/>
    <s v="269-65-16-447"/>
    <n v="152"/>
    <x v="3"/>
  </r>
  <r>
    <d v="2008-05-23T00:00:00"/>
    <s v="322-66-15-999"/>
    <n v="121"/>
    <x v="3"/>
  </r>
  <r>
    <d v="2008-05-24T00:00:00"/>
    <s v="269-65-16-447"/>
    <n v="77"/>
    <x v="3"/>
  </r>
  <r>
    <d v="2008-05-27T00:00:00"/>
    <s v="179-23-02-772"/>
    <n v="21"/>
    <x v="3"/>
  </r>
  <r>
    <d v="2008-05-28T00:00:00"/>
    <s v="692-61-16-906"/>
    <n v="48"/>
    <x v="3"/>
  </r>
  <r>
    <d v="2008-05-29T00:00:00"/>
    <s v="392-78-93-552"/>
    <n v="420"/>
    <x v="3"/>
  </r>
  <r>
    <d v="2008-05-30T00:00:00"/>
    <s v="254-14-00-156"/>
    <n v="443"/>
    <x v="3"/>
  </r>
  <r>
    <d v="2008-06-03T00:00:00"/>
    <s v="322-66-15-999"/>
    <n v="46"/>
    <x v="3"/>
  </r>
  <r>
    <d v="2008-06-04T00:00:00"/>
    <s v="554-09-13-964"/>
    <n v="3"/>
    <x v="3"/>
  </r>
  <r>
    <d v="2008-06-06T00:00:00"/>
    <s v="322-66-15-999"/>
    <n v="98"/>
    <x v="3"/>
  </r>
  <r>
    <d v="2008-06-06T00:00:00"/>
    <s v="780-78-31-328"/>
    <n v="18"/>
    <x v="3"/>
  </r>
  <r>
    <d v="2008-06-06T00:00:00"/>
    <s v="941-01-60-075"/>
    <n v="237"/>
    <x v="3"/>
  </r>
  <r>
    <d v="2008-06-06T00:00:00"/>
    <s v="935-78-99-209"/>
    <n v="64"/>
    <x v="3"/>
  </r>
  <r>
    <d v="2008-06-10T00:00:00"/>
    <s v="916-94-78-836"/>
    <n v="32"/>
    <x v="3"/>
  </r>
  <r>
    <d v="2008-06-15T00:00:00"/>
    <s v="749-02-70-623"/>
    <n v="30"/>
    <x v="3"/>
  </r>
  <r>
    <d v="2008-06-15T00:00:00"/>
    <s v="447-16-72-588"/>
    <n v="12"/>
    <x v="3"/>
  </r>
  <r>
    <d v="2008-06-16T00:00:00"/>
    <s v="884-31-58-627"/>
    <n v="138"/>
    <x v="3"/>
  </r>
  <r>
    <d v="2008-06-20T00:00:00"/>
    <s v="178-24-36-171"/>
    <n v="411"/>
    <x v="3"/>
  </r>
  <r>
    <d v="2008-06-23T00:00:00"/>
    <s v="033-49-11-774"/>
    <n v="152"/>
    <x v="3"/>
  </r>
  <r>
    <d v="2008-06-24T00:00:00"/>
    <s v="930-33-80-614"/>
    <n v="10"/>
    <x v="3"/>
  </r>
  <r>
    <d v="2008-06-25T00:00:00"/>
    <s v="269-65-16-447"/>
    <n v="75"/>
    <x v="3"/>
  </r>
  <r>
    <d v="2008-06-25T00:00:00"/>
    <s v="549-21-69-479"/>
    <n v="4"/>
    <x v="3"/>
  </r>
  <r>
    <d v="2008-06-27T00:00:00"/>
    <s v="170-26-38-135"/>
    <n v="2"/>
    <x v="3"/>
  </r>
  <r>
    <d v="2008-06-28T00:00:00"/>
    <s v="692-61-16-906"/>
    <n v="110"/>
    <x v="3"/>
  </r>
  <r>
    <d v="2008-06-29T00:00:00"/>
    <s v="968-49-97-804"/>
    <n v="161"/>
    <x v="3"/>
  </r>
  <r>
    <d v="2008-06-30T00:00:00"/>
    <s v="534-94-49-182"/>
    <n v="68"/>
    <x v="3"/>
  </r>
  <r>
    <d v="2008-07-02T00:00:00"/>
    <s v="322-66-15-999"/>
    <n v="30"/>
    <x v="3"/>
  </r>
  <r>
    <d v="2008-07-03T00:00:00"/>
    <s v="368-99-22-310"/>
    <n v="3"/>
    <x v="3"/>
  </r>
  <r>
    <d v="2008-07-08T00:00:00"/>
    <s v="941-01-60-075"/>
    <n v="117"/>
    <x v="3"/>
  </r>
  <r>
    <d v="2008-07-10T00:00:00"/>
    <s v="885-74-10-856"/>
    <n v="105"/>
    <x v="3"/>
  </r>
  <r>
    <d v="2008-07-10T00:00:00"/>
    <s v="089-90-67-935"/>
    <n v="6"/>
    <x v="3"/>
  </r>
  <r>
    <d v="2008-07-11T00:00:00"/>
    <s v="413-93-89-926"/>
    <n v="378"/>
    <x v="3"/>
  </r>
  <r>
    <d v="2008-07-14T00:00:00"/>
    <s v="513-33-14-553"/>
    <n v="76"/>
    <x v="3"/>
  </r>
  <r>
    <d v="2008-07-15T00:00:00"/>
    <s v="178-24-36-171"/>
    <n v="386"/>
    <x v="3"/>
  </r>
  <r>
    <d v="2008-07-16T00:00:00"/>
    <s v="941-01-60-075"/>
    <n v="132"/>
    <x v="3"/>
  </r>
  <r>
    <d v="2008-07-16T00:00:00"/>
    <s v="178-24-36-171"/>
    <n v="104"/>
    <x v="3"/>
  </r>
  <r>
    <d v="2008-07-17T00:00:00"/>
    <s v="392-78-93-552"/>
    <n v="380"/>
    <x v="3"/>
  </r>
  <r>
    <d v="2008-07-18T00:00:00"/>
    <s v="773-39-15-273"/>
    <n v="76"/>
    <x v="3"/>
  </r>
  <r>
    <d v="2008-07-18T00:00:00"/>
    <s v="410-52-79-946"/>
    <n v="194"/>
    <x v="3"/>
  </r>
  <r>
    <d v="2008-07-24T00:00:00"/>
    <s v="692-61-16-906"/>
    <n v="147"/>
    <x v="3"/>
  </r>
  <r>
    <d v="2008-07-27T00:00:00"/>
    <s v="178-24-36-171"/>
    <n v="319"/>
    <x v="3"/>
  </r>
  <r>
    <d v="2008-07-28T00:00:00"/>
    <s v="761-06-34-233"/>
    <n v="38"/>
    <x v="3"/>
  </r>
  <r>
    <d v="2008-08-02T00:00:00"/>
    <s v="378-70-08-798"/>
    <n v="31"/>
    <x v="3"/>
  </r>
  <r>
    <d v="2008-08-04T00:00:00"/>
    <s v="043-34-53-278"/>
    <n v="28"/>
    <x v="3"/>
  </r>
  <r>
    <d v="2008-08-04T00:00:00"/>
    <s v="194-54-73-711"/>
    <n v="15"/>
    <x v="3"/>
  </r>
  <r>
    <d v="2008-08-07T00:00:00"/>
    <s v="851-69-49-933"/>
    <n v="2"/>
    <x v="3"/>
  </r>
  <r>
    <d v="2008-08-07T00:00:00"/>
    <s v="430-67-31-549"/>
    <n v="16"/>
    <x v="3"/>
  </r>
  <r>
    <d v="2008-08-09T00:00:00"/>
    <s v="773-39-15-273"/>
    <n v="83"/>
    <x v="3"/>
  </r>
  <r>
    <d v="2008-08-10T00:00:00"/>
    <s v="093-96-93-428"/>
    <n v="16"/>
    <x v="3"/>
  </r>
  <r>
    <d v="2008-08-11T00:00:00"/>
    <s v="847-48-41-699"/>
    <n v="397"/>
    <x v="3"/>
  </r>
  <r>
    <d v="2008-08-11T00:00:00"/>
    <s v="773-39-15-273"/>
    <n v="184"/>
    <x v="3"/>
  </r>
  <r>
    <d v="2008-08-13T00:00:00"/>
    <s v="773-39-15-273"/>
    <n v="55"/>
    <x v="3"/>
  </r>
  <r>
    <d v="2008-08-14T00:00:00"/>
    <s v="513-33-14-553"/>
    <n v="107"/>
    <x v="3"/>
  </r>
  <r>
    <d v="2008-08-16T00:00:00"/>
    <s v="513-33-14-553"/>
    <n v="127"/>
    <x v="3"/>
  </r>
  <r>
    <d v="2008-08-19T00:00:00"/>
    <s v="268-62-97-556"/>
    <n v="122"/>
    <x v="3"/>
  </r>
  <r>
    <d v="2008-08-19T00:00:00"/>
    <s v="269-65-16-447"/>
    <n v="107"/>
    <x v="3"/>
  </r>
  <r>
    <d v="2008-08-21T00:00:00"/>
    <s v="178-24-36-171"/>
    <n v="113"/>
    <x v="3"/>
  </r>
  <r>
    <d v="2008-08-21T00:00:00"/>
    <s v="254-14-00-156"/>
    <n v="297"/>
    <x v="3"/>
  </r>
  <r>
    <d v="2008-08-22T00:00:00"/>
    <s v="599-00-55-316"/>
    <n v="14"/>
    <x v="3"/>
  </r>
  <r>
    <d v="2008-08-24T00:00:00"/>
    <s v="495-93-92-849"/>
    <n v="188"/>
    <x v="3"/>
  </r>
  <r>
    <d v="2008-08-26T00:00:00"/>
    <s v="288-84-37-922"/>
    <n v="11"/>
    <x v="3"/>
  </r>
  <r>
    <d v="2008-08-29T00:00:00"/>
    <s v="378-70-08-798"/>
    <n v="105"/>
    <x v="3"/>
  </r>
  <r>
    <d v="2008-08-30T00:00:00"/>
    <s v="811-91-92-867"/>
    <n v="18"/>
    <x v="3"/>
  </r>
  <r>
    <d v="2008-08-30T00:00:00"/>
    <s v="254-14-00-156"/>
    <n v="418"/>
    <x v="3"/>
  </r>
  <r>
    <d v="2008-08-31T00:00:00"/>
    <s v="639-61-50-913"/>
    <n v="4"/>
    <x v="3"/>
  </r>
  <r>
    <d v="2008-08-31T00:00:00"/>
    <s v="609-57-46-753"/>
    <n v="5"/>
    <x v="3"/>
  </r>
  <r>
    <d v="2008-09-01T00:00:00"/>
    <s v="995-59-41-476"/>
    <n v="346"/>
    <x v="3"/>
  </r>
  <r>
    <d v="2008-09-03T00:00:00"/>
    <s v="847-48-41-699"/>
    <n v="417"/>
    <x v="3"/>
  </r>
  <r>
    <d v="2008-09-05T00:00:00"/>
    <s v="115-65-39-258"/>
    <n v="35"/>
    <x v="3"/>
  </r>
  <r>
    <d v="2008-09-05T00:00:00"/>
    <s v="944-16-93-033"/>
    <n v="6"/>
    <x v="3"/>
  </r>
  <r>
    <d v="2008-09-06T00:00:00"/>
    <s v="941-01-60-075"/>
    <n v="322"/>
    <x v="3"/>
  </r>
  <r>
    <d v="2008-09-06T00:00:00"/>
    <s v="916-94-78-836"/>
    <n v="150"/>
    <x v="3"/>
  </r>
  <r>
    <d v="2008-09-07T00:00:00"/>
    <s v="799-94-72-837"/>
    <n v="492"/>
    <x v="3"/>
  </r>
  <r>
    <d v="2008-09-11T00:00:00"/>
    <s v="269-65-16-447"/>
    <n v="93"/>
    <x v="3"/>
  </r>
  <r>
    <d v="2008-09-14T00:00:00"/>
    <s v="692-61-16-906"/>
    <n v="64"/>
    <x v="3"/>
  </r>
  <r>
    <d v="2008-09-14T00:00:00"/>
    <s v="403-50-07-403"/>
    <n v="7"/>
    <x v="3"/>
  </r>
  <r>
    <d v="2008-09-14T00:00:00"/>
    <s v="269-65-16-447"/>
    <n v="90"/>
    <x v="3"/>
  </r>
  <r>
    <d v="2008-09-21T00:00:00"/>
    <s v="941-01-60-075"/>
    <n v="136"/>
    <x v="3"/>
  </r>
  <r>
    <d v="2008-09-22T00:00:00"/>
    <s v="080-51-85-809"/>
    <n v="104"/>
    <x v="3"/>
  </r>
  <r>
    <d v="2008-09-22T00:00:00"/>
    <s v="736-91-47-235"/>
    <n v="1"/>
    <x v="3"/>
  </r>
  <r>
    <d v="2008-09-23T00:00:00"/>
    <s v="935-78-99-209"/>
    <n v="52"/>
    <x v="3"/>
  </r>
  <r>
    <d v="2008-09-23T00:00:00"/>
    <s v="392-78-93-552"/>
    <n v="203"/>
    <x v="3"/>
  </r>
  <r>
    <d v="2008-09-25T00:00:00"/>
    <s v="534-94-49-182"/>
    <n v="183"/>
    <x v="3"/>
  </r>
  <r>
    <d v="2008-09-26T00:00:00"/>
    <s v="692-61-16-906"/>
    <n v="182"/>
    <x v="3"/>
  </r>
  <r>
    <d v="2008-09-28T00:00:00"/>
    <s v="392-78-93-552"/>
    <n v="383"/>
    <x v="3"/>
  </r>
  <r>
    <d v="2008-10-01T00:00:00"/>
    <s v="178-24-36-171"/>
    <n v="113"/>
    <x v="3"/>
  </r>
  <r>
    <d v="2008-10-01T00:00:00"/>
    <s v="620-15-33-614"/>
    <n v="154"/>
    <x v="3"/>
  </r>
  <r>
    <d v="2008-10-01T00:00:00"/>
    <s v="205-96-13-336"/>
    <n v="8"/>
    <x v="3"/>
  </r>
  <r>
    <d v="2008-10-04T00:00:00"/>
    <s v="244-64-83-142"/>
    <n v="5"/>
    <x v="3"/>
  </r>
  <r>
    <d v="2008-10-04T00:00:00"/>
    <s v="159-34-45-151"/>
    <n v="14"/>
    <x v="3"/>
  </r>
  <r>
    <d v="2008-10-06T00:00:00"/>
    <s v="884-31-58-627"/>
    <n v="27"/>
    <x v="3"/>
  </r>
  <r>
    <d v="2008-10-06T00:00:00"/>
    <s v="885-74-10-856"/>
    <n v="141"/>
    <x v="3"/>
  </r>
  <r>
    <d v="2008-10-08T00:00:00"/>
    <s v="180-17-78-339"/>
    <n v="14"/>
    <x v="3"/>
  </r>
  <r>
    <d v="2008-10-08T00:00:00"/>
    <s v="935-78-99-209"/>
    <n v="136"/>
    <x v="3"/>
  </r>
  <r>
    <d v="2008-10-08T00:00:00"/>
    <s v="594-18-15-403"/>
    <n v="378"/>
    <x v="3"/>
  </r>
  <r>
    <d v="2008-10-08T00:00:00"/>
    <s v="270-90-07-560"/>
    <n v="12"/>
    <x v="3"/>
  </r>
  <r>
    <d v="2008-10-11T00:00:00"/>
    <s v="392-78-93-552"/>
    <n v="284"/>
    <x v="3"/>
  </r>
  <r>
    <d v="2008-10-12T00:00:00"/>
    <s v="080-51-85-809"/>
    <n v="54"/>
    <x v="3"/>
  </r>
  <r>
    <d v="2008-10-12T00:00:00"/>
    <s v="935-78-99-209"/>
    <n v="51"/>
    <x v="3"/>
  </r>
  <r>
    <d v="2008-10-12T00:00:00"/>
    <s v="322-66-15-999"/>
    <n v="159"/>
    <x v="3"/>
  </r>
  <r>
    <d v="2008-10-17T00:00:00"/>
    <s v="847-48-41-699"/>
    <n v="351"/>
    <x v="3"/>
  </r>
  <r>
    <d v="2008-10-17T00:00:00"/>
    <s v="178-24-36-171"/>
    <n v="390"/>
    <x v="3"/>
  </r>
  <r>
    <d v="2008-10-17T00:00:00"/>
    <s v="019-98-81-222"/>
    <n v="4"/>
    <x v="3"/>
  </r>
  <r>
    <d v="2008-10-18T00:00:00"/>
    <s v="968-49-97-804"/>
    <n v="140"/>
    <x v="3"/>
  </r>
  <r>
    <d v="2008-10-19T00:00:00"/>
    <s v="941-01-60-075"/>
    <n v="125"/>
    <x v="3"/>
  </r>
  <r>
    <d v="2008-10-19T00:00:00"/>
    <s v="527-15-00-673"/>
    <n v="97"/>
    <x v="3"/>
  </r>
  <r>
    <d v="2008-10-22T00:00:00"/>
    <s v="527-15-00-673"/>
    <n v="190"/>
    <x v="3"/>
  </r>
  <r>
    <d v="2008-10-24T00:00:00"/>
    <s v="799-94-72-837"/>
    <n v="415"/>
    <x v="3"/>
  </r>
  <r>
    <d v="2008-10-26T00:00:00"/>
    <s v="847-48-41-699"/>
    <n v="269"/>
    <x v="3"/>
  </r>
  <r>
    <d v="2008-10-26T00:00:00"/>
    <s v="822-52-42-474"/>
    <n v="11"/>
    <x v="3"/>
  </r>
  <r>
    <d v="2008-10-26T00:00:00"/>
    <s v="392-78-93-552"/>
    <n v="162"/>
    <x v="3"/>
  </r>
  <r>
    <d v="2008-11-05T00:00:00"/>
    <s v="269-65-16-447"/>
    <n v="75"/>
    <x v="3"/>
  </r>
  <r>
    <d v="2008-11-07T00:00:00"/>
    <s v="178-24-36-171"/>
    <n v="358"/>
    <x v="3"/>
  </r>
  <r>
    <d v="2008-11-08T00:00:00"/>
    <s v="885-74-10-856"/>
    <n v="198"/>
    <x v="3"/>
  </r>
  <r>
    <d v="2008-11-11T00:00:00"/>
    <s v="178-24-36-171"/>
    <n v="189"/>
    <x v="3"/>
  </r>
  <r>
    <d v="2008-11-12T00:00:00"/>
    <s v="337-27-67-378"/>
    <n v="226"/>
    <x v="3"/>
  </r>
  <r>
    <d v="2008-11-13T00:00:00"/>
    <s v="322-66-15-999"/>
    <n v="94"/>
    <x v="3"/>
  </r>
  <r>
    <d v="2008-11-18T00:00:00"/>
    <s v="941-01-60-075"/>
    <n v="401"/>
    <x v="3"/>
  </r>
  <r>
    <d v="2008-11-19T00:00:00"/>
    <s v="513-33-14-553"/>
    <n v="52"/>
    <x v="3"/>
  </r>
  <r>
    <d v="2008-11-20T00:00:00"/>
    <s v="904-16-42-385"/>
    <n v="189"/>
    <x v="3"/>
  </r>
  <r>
    <d v="2008-11-22T00:00:00"/>
    <s v="413-93-89-926"/>
    <n v="201"/>
    <x v="3"/>
  </r>
  <r>
    <d v="2008-11-23T00:00:00"/>
    <s v="178-24-36-171"/>
    <n v="235"/>
    <x v="3"/>
  </r>
  <r>
    <d v="2008-11-24T00:00:00"/>
    <s v="322-66-15-999"/>
    <n v="78"/>
    <x v="3"/>
  </r>
  <r>
    <d v="2008-11-24T00:00:00"/>
    <s v="080-77-49-649"/>
    <n v="13"/>
    <x v="3"/>
  </r>
  <r>
    <d v="2008-11-24T00:00:00"/>
    <s v="910-38-33-489"/>
    <n v="196"/>
    <x v="3"/>
  </r>
  <r>
    <d v="2008-11-28T00:00:00"/>
    <s v="982-09-19-706"/>
    <n v="11"/>
    <x v="3"/>
  </r>
  <r>
    <d v="2008-11-28T00:00:00"/>
    <s v="547-03-32-866"/>
    <n v="17"/>
    <x v="3"/>
  </r>
  <r>
    <d v="2008-11-29T00:00:00"/>
    <s v="596-37-06-465"/>
    <n v="4"/>
    <x v="3"/>
  </r>
  <r>
    <d v="2008-12-03T00:00:00"/>
    <s v="753-35-55-536"/>
    <n v="17"/>
    <x v="3"/>
  </r>
  <r>
    <d v="2008-12-03T00:00:00"/>
    <s v="857-68-68-600"/>
    <n v="1"/>
    <x v="3"/>
  </r>
  <r>
    <d v="2008-12-08T00:00:00"/>
    <s v="775-48-66-885"/>
    <n v="6"/>
    <x v="3"/>
  </r>
  <r>
    <d v="2008-12-08T00:00:00"/>
    <s v="254-14-00-156"/>
    <n v="496"/>
    <x v="3"/>
  </r>
  <r>
    <d v="2008-12-12T00:00:00"/>
    <s v="594-18-15-403"/>
    <n v="363"/>
    <x v="3"/>
  </r>
  <r>
    <d v="2008-12-15T00:00:00"/>
    <s v="594-18-15-403"/>
    <n v="491"/>
    <x v="3"/>
  </r>
  <r>
    <d v="2008-12-15T00:00:00"/>
    <s v="413-93-89-926"/>
    <n v="369"/>
    <x v="3"/>
  </r>
  <r>
    <d v="2008-12-17T00:00:00"/>
    <s v="527-15-00-673"/>
    <n v="60"/>
    <x v="3"/>
  </r>
  <r>
    <d v="2008-12-18T00:00:00"/>
    <s v="910-38-33-489"/>
    <n v="35"/>
    <x v="3"/>
  </r>
  <r>
    <d v="2008-12-21T00:00:00"/>
    <s v="254-14-00-156"/>
    <n v="121"/>
    <x v="3"/>
  </r>
  <r>
    <d v="2008-12-21T00:00:00"/>
    <s v="941-01-60-075"/>
    <n v="442"/>
    <x v="3"/>
  </r>
  <r>
    <d v="2008-12-22T00:00:00"/>
    <s v="254-14-00-156"/>
    <n v="338"/>
    <x v="3"/>
  </r>
  <r>
    <d v="2008-12-23T00:00:00"/>
    <s v="935-78-99-209"/>
    <n v="94"/>
    <x v="3"/>
  </r>
  <r>
    <d v="2008-12-26T00:00:00"/>
    <s v="369-43-03-176"/>
    <n v="14"/>
    <x v="3"/>
  </r>
  <r>
    <d v="2008-12-27T00:00:00"/>
    <s v="824-54-79-834"/>
    <n v="2"/>
    <x v="3"/>
  </r>
  <r>
    <d v="2008-12-29T00:00:00"/>
    <s v="799-94-72-837"/>
    <n v="110"/>
    <x v="3"/>
  </r>
  <r>
    <d v="2008-12-30T00:00:00"/>
    <s v="277-10-19-546"/>
    <n v="18"/>
    <x v="3"/>
  </r>
  <r>
    <d v="2008-12-30T00:00:00"/>
    <s v="964-69-89-011"/>
    <n v="7"/>
    <x v="3"/>
  </r>
  <r>
    <d v="2009-01-01T00:00:00"/>
    <s v="534-38-74-959"/>
    <n v="2"/>
    <x v="4"/>
  </r>
  <r>
    <d v="2009-01-02T00:00:00"/>
    <s v="916-94-78-836"/>
    <n v="188"/>
    <x v="4"/>
  </r>
  <r>
    <d v="2009-01-06T00:00:00"/>
    <s v="550-69-18-758"/>
    <n v="11"/>
    <x v="4"/>
  </r>
  <r>
    <d v="2009-01-06T00:00:00"/>
    <s v="799-94-72-837"/>
    <n v="129"/>
    <x v="4"/>
  </r>
  <r>
    <d v="2009-01-06T00:00:00"/>
    <s v="692-61-16-906"/>
    <n v="117"/>
    <x v="4"/>
  </r>
  <r>
    <d v="2009-01-08T00:00:00"/>
    <s v="054-09-46-315"/>
    <n v="11"/>
    <x v="4"/>
  </r>
  <r>
    <d v="2009-01-10T00:00:00"/>
    <s v="692-61-16-906"/>
    <n v="186"/>
    <x v="4"/>
  </r>
  <r>
    <d v="2009-01-11T00:00:00"/>
    <s v="269-65-16-447"/>
    <n v="40"/>
    <x v="4"/>
  </r>
  <r>
    <d v="2009-01-16T00:00:00"/>
    <s v="596-37-06-465"/>
    <n v="6"/>
    <x v="4"/>
  </r>
  <r>
    <d v="2009-01-18T00:00:00"/>
    <s v="322-66-15-999"/>
    <n v="153"/>
    <x v="4"/>
  </r>
  <r>
    <d v="2009-01-19T00:00:00"/>
    <s v="392-78-93-552"/>
    <n v="163"/>
    <x v="4"/>
  </r>
  <r>
    <d v="2009-01-21T00:00:00"/>
    <s v="337-81-35-067"/>
    <n v="16"/>
    <x v="4"/>
  </r>
  <r>
    <d v="2009-01-22T00:00:00"/>
    <s v="410-52-79-946"/>
    <n v="161"/>
    <x v="4"/>
  </r>
  <r>
    <d v="2009-01-23T00:00:00"/>
    <s v="801-63-85-001"/>
    <n v="5"/>
    <x v="4"/>
  </r>
  <r>
    <d v="2009-01-26T00:00:00"/>
    <s v="534-94-49-182"/>
    <n v="200"/>
    <x v="4"/>
  </r>
  <r>
    <d v="2009-01-30T00:00:00"/>
    <s v="272-67-67-068"/>
    <n v="11"/>
    <x v="4"/>
  </r>
  <r>
    <d v="2009-02-03T00:00:00"/>
    <s v="172-30-09-104"/>
    <n v="14"/>
    <x v="4"/>
  </r>
  <r>
    <d v="2009-02-05T00:00:00"/>
    <s v="254-14-00-156"/>
    <n v="469"/>
    <x v="4"/>
  </r>
  <r>
    <d v="2009-02-09T00:00:00"/>
    <s v="766-05-70-009"/>
    <n v="11"/>
    <x v="4"/>
  </r>
  <r>
    <d v="2009-02-09T00:00:00"/>
    <s v="799-94-72-837"/>
    <n v="423"/>
    <x v="4"/>
  </r>
  <r>
    <d v="2009-02-09T00:00:00"/>
    <s v="093-96-93-428"/>
    <n v="9"/>
    <x v="4"/>
  </r>
  <r>
    <d v="2009-02-09T00:00:00"/>
    <s v="284-59-84-568"/>
    <n v="3"/>
    <x v="4"/>
  </r>
  <r>
    <d v="2009-02-10T00:00:00"/>
    <s v="178-24-36-171"/>
    <n v="186"/>
    <x v="4"/>
  </r>
  <r>
    <d v="2009-02-10T00:00:00"/>
    <s v="254-14-00-156"/>
    <n v="390"/>
    <x v="4"/>
  </r>
  <r>
    <d v="2009-02-11T00:00:00"/>
    <s v="594-18-15-403"/>
    <n v="445"/>
    <x v="4"/>
  </r>
  <r>
    <d v="2009-02-12T00:00:00"/>
    <s v="941-01-60-075"/>
    <n v="241"/>
    <x v="4"/>
  </r>
  <r>
    <d v="2009-02-12T00:00:00"/>
    <s v="665-06-94-730"/>
    <n v="3"/>
    <x v="4"/>
  </r>
  <r>
    <d v="2009-02-14T00:00:00"/>
    <s v="033-49-11-774"/>
    <n v="50"/>
    <x v="4"/>
  </r>
  <r>
    <d v="2009-02-15T00:00:00"/>
    <s v="337-27-67-378"/>
    <n v="284"/>
    <x v="4"/>
  </r>
  <r>
    <d v="2009-02-16T00:00:00"/>
    <s v="847-48-41-699"/>
    <n v="395"/>
    <x v="4"/>
  </r>
  <r>
    <d v="2009-02-18T00:00:00"/>
    <s v="594-18-15-403"/>
    <n v="290"/>
    <x v="4"/>
  </r>
  <r>
    <d v="2009-02-19T00:00:00"/>
    <s v="178-24-36-171"/>
    <n v="361"/>
    <x v="4"/>
  </r>
  <r>
    <d v="2009-02-21T00:00:00"/>
    <s v="413-93-89-926"/>
    <n v="355"/>
    <x v="4"/>
  </r>
  <r>
    <d v="2009-02-22T00:00:00"/>
    <s v="534-50-90-387"/>
    <n v="19"/>
    <x v="4"/>
  </r>
  <r>
    <d v="2009-02-24T00:00:00"/>
    <s v="495-93-92-849"/>
    <n v="32"/>
    <x v="4"/>
  </r>
  <r>
    <d v="2009-02-27T00:00:00"/>
    <s v="240-56-56-791"/>
    <n v="13"/>
    <x v="4"/>
  </r>
  <r>
    <d v="2009-02-27T00:00:00"/>
    <s v="392-78-93-552"/>
    <n v="156"/>
    <x v="4"/>
  </r>
  <r>
    <d v="2009-03-01T00:00:00"/>
    <s v="204-35-99-685"/>
    <n v="20"/>
    <x v="4"/>
  </r>
  <r>
    <d v="2009-03-02T00:00:00"/>
    <s v="904-16-42-385"/>
    <n v="112"/>
    <x v="4"/>
  </r>
  <r>
    <d v="2009-03-05T00:00:00"/>
    <s v="254-14-00-156"/>
    <n v="110"/>
    <x v="4"/>
  </r>
  <r>
    <d v="2009-03-06T00:00:00"/>
    <s v="789-52-61-433"/>
    <n v="4"/>
    <x v="4"/>
  </r>
  <r>
    <d v="2009-03-13T00:00:00"/>
    <s v="281-47-91-148"/>
    <n v="18"/>
    <x v="4"/>
  </r>
  <r>
    <d v="2009-03-17T00:00:00"/>
    <s v="910-38-33-489"/>
    <n v="60"/>
    <x v="4"/>
  </r>
  <r>
    <d v="2009-03-17T00:00:00"/>
    <s v="140-36-11-559"/>
    <n v="14"/>
    <x v="4"/>
  </r>
  <r>
    <d v="2009-03-17T00:00:00"/>
    <s v="378-70-08-798"/>
    <n v="24"/>
    <x v="4"/>
  </r>
  <r>
    <d v="2009-03-19T00:00:00"/>
    <s v="178-24-36-171"/>
    <n v="145"/>
    <x v="4"/>
  </r>
  <r>
    <d v="2009-03-19T00:00:00"/>
    <s v="941-01-60-075"/>
    <n v="393"/>
    <x v="4"/>
  </r>
  <r>
    <d v="2009-03-21T00:00:00"/>
    <s v="378-70-08-798"/>
    <n v="73"/>
    <x v="4"/>
  </r>
  <r>
    <d v="2009-03-21T00:00:00"/>
    <s v="885-74-10-856"/>
    <n v="136"/>
    <x v="4"/>
  </r>
  <r>
    <d v="2009-03-22T00:00:00"/>
    <s v="392-78-93-552"/>
    <n v="422"/>
    <x v="4"/>
  </r>
  <r>
    <d v="2009-03-23T00:00:00"/>
    <s v="847-48-41-699"/>
    <n v="187"/>
    <x v="4"/>
  </r>
  <r>
    <d v="2009-03-25T00:00:00"/>
    <s v="269-65-16-447"/>
    <n v="58"/>
    <x v="4"/>
  </r>
  <r>
    <d v="2009-03-26T00:00:00"/>
    <s v="392-78-93-552"/>
    <n v="436"/>
    <x v="4"/>
  </r>
  <r>
    <d v="2009-03-30T00:00:00"/>
    <s v="799-94-72-837"/>
    <n v="406"/>
    <x v="4"/>
  </r>
  <r>
    <d v="2009-04-01T00:00:00"/>
    <s v="799-94-72-837"/>
    <n v="108"/>
    <x v="4"/>
  </r>
  <r>
    <d v="2009-04-02T00:00:00"/>
    <s v="773-41-40-060"/>
    <n v="10"/>
    <x v="4"/>
  </r>
  <r>
    <d v="2009-04-03T00:00:00"/>
    <s v="916-94-78-836"/>
    <n v="153"/>
    <x v="4"/>
  </r>
  <r>
    <d v="2009-04-05T00:00:00"/>
    <s v="653-45-64-141"/>
    <n v="3"/>
    <x v="4"/>
  </r>
  <r>
    <d v="2009-04-06T00:00:00"/>
    <s v="935-78-99-209"/>
    <n v="109"/>
    <x v="4"/>
  </r>
  <r>
    <d v="2009-04-08T00:00:00"/>
    <s v="804-82-65-826"/>
    <n v="9"/>
    <x v="4"/>
  </r>
  <r>
    <d v="2009-04-08T00:00:00"/>
    <s v="495-93-92-849"/>
    <n v="112"/>
    <x v="4"/>
  </r>
  <r>
    <d v="2009-04-13T00:00:00"/>
    <s v="080-51-85-809"/>
    <n v="29"/>
    <x v="4"/>
  </r>
  <r>
    <d v="2009-04-13T00:00:00"/>
    <s v="941-01-60-075"/>
    <n v="310"/>
    <x v="4"/>
  </r>
  <r>
    <d v="2009-04-15T00:00:00"/>
    <s v="322-66-15-999"/>
    <n v="107"/>
    <x v="4"/>
  </r>
  <r>
    <d v="2009-04-18T00:00:00"/>
    <s v="885-74-10-856"/>
    <n v="26"/>
    <x v="4"/>
  </r>
  <r>
    <d v="2009-04-20T00:00:00"/>
    <s v="935-78-99-209"/>
    <n v="114"/>
    <x v="4"/>
  </r>
  <r>
    <d v="2009-04-21T00:00:00"/>
    <s v="930-33-80-614"/>
    <n v="4"/>
    <x v="4"/>
  </r>
  <r>
    <d v="2009-04-22T00:00:00"/>
    <s v="058-15-94-554"/>
    <n v="15"/>
    <x v="4"/>
  </r>
  <r>
    <d v="2009-04-26T00:00:00"/>
    <s v="527-15-00-673"/>
    <n v="144"/>
    <x v="4"/>
  </r>
  <r>
    <d v="2009-04-30T00:00:00"/>
    <s v="594-18-15-403"/>
    <n v="110"/>
    <x v="4"/>
  </r>
  <r>
    <d v="2009-04-30T00:00:00"/>
    <s v="916-94-78-836"/>
    <n v="105"/>
    <x v="4"/>
  </r>
  <r>
    <d v="2009-05-02T00:00:00"/>
    <s v="495-93-92-849"/>
    <n v="51"/>
    <x v="4"/>
  </r>
  <r>
    <d v="2009-05-04T00:00:00"/>
    <s v="295-31-73-319"/>
    <n v="1"/>
    <x v="4"/>
  </r>
  <r>
    <d v="2009-05-04T00:00:00"/>
    <s v="193-47-03-638"/>
    <n v="8"/>
    <x v="4"/>
  </r>
  <r>
    <d v="2009-05-06T00:00:00"/>
    <s v="847-48-41-699"/>
    <n v="128"/>
    <x v="4"/>
  </r>
  <r>
    <d v="2009-05-09T00:00:00"/>
    <s v="277-10-19-546"/>
    <n v="9"/>
    <x v="4"/>
  </r>
  <r>
    <d v="2009-05-15T00:00:00"/>
    <s v="847-48-41-699"/>
    <n v="291"/>
    <x v="4"/>
  </r>
  <r>
    <d v="2009-05-16T00:00:00"/>
    <s v="799-94-72-837"/>
    <n v="261"/>
    <x v="4"/>
  </r>
  <r>
    <d v="2009-05-18T00:00:00"/>
    <s v="495-93-92-849"/>
    <n v="192"/>
    <x v="4"/>
  </r>
  <r>
    <d v="2009-05-18T00:00:00"/>
    <s v="254-14-00-156"/>
    <n v="319"/>
    <x v="4"/>
  </r>
  <r>
    <d v="2009-05-20T00:00:00"/>
    <s v="392-78-93-552"/>
    <n v="393"/>
    <x v="4"/>
  </r>
  <r>
    <d v="2009-05-24T00:00:00"/>
    <s v="307-98-17-187"/>
    <n v="13"/>
    <x v="4"/>
  </r>
  <r>
    <d v="2009-05-25T00:00:00"/>
    <s v="941-01-60-075"/>
    <n v="380"/>
    <x v="4"/>
  </r>
  <r>
    <d v="2009-05-26T00:00:00"/>
    <s v="916-94-78-836"/>
    <n v="36"/>
    <x v="4"/>
  </r>
  <r>
    <d v="2009-05-29T00:00:00"/>
    <s v="268-62-97-556"/>
    <n v="179"/>
    <x v="4"/>
  </r>
  <r>
    <d v="2009-05-31T00:00:00"/>
    <s v="378-70-08-798"/>
    <n v="111"/>
    <x v="4"/>
  </r>
  <r>
    <d v="2009-06-01T00:00:00"/>
    <s v="885-74-10-856"/>
    <n v="36"/>
    <x v="4"/>
  </r>
  <r>
    <d v="2009-06-01T00:00:00"/>
    <s v="749-02-70-623"/>
    <n v="120"/>
    <x v="4"/>
  </r>
  <r>
    <d v="2009-06-05T00:00:00"/>
    <s v="711-39-55-294"/>
    <n v="11"/>
    <x v="4"/>
  </r>
  <r>
    <d v="2009-06-07T00:00:00"/>
    <s v="080-77-49-649"/>
    <n v="15"/>
    <x v="4"/>
  </r>
  <r>
    <d v="2009-06-07T00:00:00"/>
    <s v="715-03-63-213"/>
    <n v="4"/>
    <x v="4"/>
  </r>
  <r>
    <d v="2009-06-10T00:00:00"/>
    <s v="940-29-78-846"/>
    <n v="11"/>
    <x v="4"/>
  </r>
  <r>
    <d v="2009-06-13T00:00:00"/>
    <s v="128-91-02-348"/>
    <n v="9"/>
    <x v="4"/>
  </r>
  <r>
    <d v="2009-06-14T00:00:00"/>
    <s v="941-01-60-075"/>
    <n v="498"/>
    <x v="4"/>
  </r>
  <r>
    <d v="2009-06-16T00:00:00"/>
    <s v="392-78-93-552"/>
    <n v="350"/>
    <x v="4"/>
  </r>
  <r>
    <d v="2009-06-16T00:00:00"/>
    <s v="885-74-10-856"/>
    <n v="191"/>
    <x v="4"/>
  </r>
  <r>
    <d v="2009-06-16T00:00:00"/>
    <s v="847-48-41-699"/>
    <n v="402"/>
    <x v="4"/>
  </r>
  <r>
    <d v="2009-06-20T00:00:00"/>
    <s v="513-33-14-553"/>
    <n v="140"/>
    <x v="4"/>
  </r>
  <r>
    <d v="2009-06-21T00:00:00"/>
    <s v="395-19-63-367"/>
    <n v="3"/>
    <x v="4"/>
  </r>
  <r>
    <d v="2009-06-23T00:00:00"/>
    <s v="495-93-92-849"/>
    <n v="25"/>
    <x v="4"/>
  </r>
  <r>
    <d v="2009-06-28T00:00:00"/>
    <s v="737-62-05-770"/>
    <n v="7"/>
    <x v="4"/>
  </r>
  <r>
    <d v="2009-06-30T00:00:00"/>
    <s v="277-20-90-210"/>
    <n v="17"/>
    <x v="4"/>
  </r>
  <r>
    <d v="2009-06-30T00:00:00"/>
    <s v="847-48-41-699"/>
    <n v="479"/>
    <x v="4"/>
  </r>
  <r>
    <d v="2009-06-30T00:00:00"/>
    <s v="405-18-48-099"/>
    <n v="6"/>
    <x v="4"/>
  </r>
  <r>
    <d v="2009-06-30T00:00:00"/>
    <s v="351-06-97-406"/>
    <n v="10"/>
    <x v="4"/>
  </r>
  <r>
    <d v="2009-07-01T00:00:00"/>
    <s v="665-06-94-730"/>
    <n v="2"/>
    <x v="4"/>
  </r>
  <r>
    <d v="2009-07-03T00:00:00"/>
    <s v="270-87-86-398"/>
    <n v="13"/>
    <x v="4"/>
  </r>
  <r>
    <d v="2009-07-06T00:00:00"/>
    <s v="204-35-99-685"/>
    <n v="12"/>
    <x v="4"/>
  </r>
  <r>
    <d v="2009-07-06T00:00:00"/>
    <s v="594-18-15-403"/>
    <n v="191"/>
    <x v="4"/>
  </r>
  <r>
    <d v="2009-07-06T00:00:00"/>
    <s v="749-02-70-623"/>
    <n v="123"/>
    <x v="4"/>
  </r>
  <r>
    <d v="2009-07-07T00:00:00"/>
    <s v="269-65-16-447"/>
    <n v="66"/>
    <x v="4"/>
  </r>
  <r>
    <d v="2009-07-08T00:00:00"/>
    <s v="692-61-16-906"/>
    <n v="132"/>
    <x v="4"/>
  </r>
  <r>
    <d v="2009-07-12T00:00:00"/>
    <s v="547-99-88-807"/>
    <n v="9"/>
    <x v="4"/>
  </r>
  <r>
    <d v="2009-07-12T00:00:00"/>
    <s v="773-39-15-273"/>
    <n v="111"/>
    <x v="4"/>
  </r>
  <r>
    <d v="2009-07-13T00:00:00"/>
    <s v="080-51-85-809"/>
    <n v="163"/>
    <x v="4"/>
  </r>
  <r>
    <d v="2009-07-13T00:00:00"/>
    <s v="208-84-31-216"/>
    <n v="4"/>
    <x v="4"/>
  </r>
  <r>
    <d v="2009-07-15T00:00:00"/>
    <s v="295-31-73-319"/>
    <n v="10"/>
    <x v="4"/>
  </r>
  <r>
    <d v="2009-07-16T00:00:00"/>
    <s v="847-48-41-699"/>
    <n v="457"/>
    <x v="4"/>
  </r>
  <r>
    <d v="2009-07-18T00:00:00"/>
    <s v="941-01-60-075"/>
    <n v="260"/>
    <x v="4"/>
  </r>
  <r>
    <d v="2009-07-19T00:00:00"/>
    <s v="950-40-82-698"/>
    <n v="181"/>
    <x v="4"/>
  </r>
  <r>
    <d v="2009-07-20T00:00:00"/>
    <s v="941-01-60-075"/>
    <n v="144"/>
    <x v="4"/>
  </r>
  <r>
    <d v="2009-07-21T00:00:00"/>
    <s v="178-24-36-171"/>
    <n v="246"/>
    <x v="4"/>
  </r>
  <r>
    <d v="2009-07-23T00:00:00"/>
    <s v="531-81-72-734"/>
    <n v="10"/>
    <x v="4"/>
  </r>
  <r>
    <d v="2009-07-25T00:00:00"/>
    <s v="294-48-56-993"/>
    <n v="148"/>
    <x v="4"/>
  </r>
  <r>
    <d v="2009-07-27T00:00:00"/>
    <s v="968-49-97-804"/>
    <n v="24"/>
    <x v="4"/>
  </r>
  <r>
    <d v="2009-07-30T00:00:00"/>
    <s v="410-52-79-946"/>
    <n v="66"/>
    <x v="4"/>
  </r>
  <r>
    <d v="2009-08-02T00:00:00"/>
    <s v="392-78-93-552"/>
    <n v="333"/>
    <x v="4"/>
  </r>
  <r>
    <d v="2009-08-02T00:00:00"/>
    <s v="916-94-78-836"/>
    <n v="194"/>
    <x v="4"/>
  </r>
  <r>
    <d v="2009-08-06T00:00:00"/>
    <s v="269-65-16-447"/>
    <n v="154"/>
    <x v="4"/>
  </r>
  <r>
    <d v="2009-08-06T00:00:00"/>
    <s v="322-66-15-999"/>
    <n v="100"/>
    <x v="4"/>
  </r>
  <r>
    <d v="2009-08-06T00:00:00"/>
    <s v="369-43-03-176"/>
    <n v="18"/>
    <x v="4"/>
  </r>
  <r>
    <d v="2009-08-06T00:00:00"/>
    <s v="549-21-69-479"/>
    <n v="20"/>
    <x v="4"/>
  </r>
  <r>
    <d v="2009-08-08T00:00:00"/>
    <s v="322-66-15-999"/>
    <n v="200"/>
    <x v="4"/>
  </r>
  <r>
    <d v="2009-08-09T00:00:00"/>
    <s v="269-65-16-447"/>
    <n v="48"/>
    <x v="4"/>
  </r>
  <r>
    <d v="2009-08-09T00:00:00"/>
    <s v="692-61-16-906"/>
    <n v="68"/>
    <x v="4"/>
  </r>
  <r>
    <d v="2009-08-10T00:00:00"/>
    <s v="639-61-50-913"/>
    <n v="9"/>
    <x v="4"/>
  </r>
  <r>
    <d v="2009-08-14T00:00:00"/>
    <s v="941-01-60-075"/>
    <n v="493"/>
    <x v="4"/>
  </r>
  <r>
    <d v="2009-08-14T00:00:00"/>
    <s v="799-94-72-837"/>
    <n v="340"/>
    <x v="4"/>
  </r>
  <r>
    <d v="2009-08-16T00:00:00"/>
    <s v="639-61-50-913"/>
    <n v="2"/>
    <x v="4"/>
  </r>
  <r>
    <d v="2009-08-19T00:00:00"/>
    <s v="378-70-08-798"/>
    <n v="62"/>
    <x v="4"/>
  </r>
  <r>
    <d v="2009-08-19T00:00:00"/>
    <s v="178-24-36-171"/>
    <n v="164"/>
    <x v="4"/>
  </r>
  <r>
    <d v="2009-08-20T00:00:00"/>
    <s v="378-70-08-798"/>
    <n v="170"/>
    <x v="4"/>
  </r>
  <r>
    <d v="2009-08-22T00:00:00"/>
    <s v="884-31-58-627"/>
    <n v="164"/>
    <x v="4"/>
  </r>
  <r>
    <d v="2009-08-24T00:00:00"/>
    <s v="043-34-53-278"/>
    <n v="70"/>
    <x v="4"/>
  </r>
  <r>
    <d v="2009-08-31T00:00:00"/>
    <s v="941-01-60-075"/>
    <n v="133"/>
    <x v="4"/>
  </r>
  <r>
    <d v="2009-09-01T00:00:00"/>
    <s v="817-44-45-607"/>
    <n v="20"/>
    <x v="4"/>
  </r>
  <r>
    <d v="2009-09-03T00:00:00"/>
    <s v="735-37-27-393"/>
    <n v="15"/>
    <x v="4"/>
  </r>
  <r>
    <d v="2009-09-04T00:00:00"/>
    <s v="788-39-15-311"/>
    <n v="15"/>
    <x v="4"/>
  </r>
  <r>
    <d v="2009-09-05T00:00:00"/>
    <s v="507-22-76-992"/>
    <n v="105"/>
    <x v="4"/>
  </r>
  <r>
    <d v="2009-09-09T00:00:00"/>
    <s v="935-78-99-209"/>
    <n v="192"/>
    <x v="4"/>
  </r>
  <r>
    <d v="2009-09-09T00:00:00"/>
    <s v="936-67-95-170"/>
    <n v="142"/>
    <x v="4"/>
  </r>
  <r>
    <d v="2009-09-10T00:00:00"/>
    <s v="781-80-31-583"/>
    <n v="3"/>
    <x v="4"/>
  </r>
  <r>
    <d v="2009-09-10T00:00:00"/>
    <s v="413-93-89-926"/>
    <n v="219"/>
    <x v="4"/>
  </r>
  <r>
    <d v="2009-09-14T00:00:00"/>
    <s v="534-94-49-182"/>
    <n v="137"/>
    <x v="4"/>
  </r>
  <r>
    <d v="2009-09-15T00:00:00"/>
    <s v="910-38-33-489"/>
    <n v="108"/>
    <x v="4"/>
  </r>
  <r>
    <d v="2009-09-16T00:00:00"/>
    <s v="995-59-41-476"/>
    <n v="395"/>
    <x v="4"/>
  </r>
  <r>
    <d v="2009-09-17T00:00:00"/>
    <s v="047-26-54-835"/>
    <n v="3"/>
    <x v="4"/>
  </r>
  <r>
    <d v="2009-09-19T00:00:00"/>
    <s v="043-34-53-278"/>
    <n v="73"/>
    <x v="4"/>
  </r>
  <r>
    <d v="2009-09-19T00:00:00"/>
    <s v="392-78-93-552"/>
    <n v="209"/>
    <x v="4"/>
  </r>
  <r>
    <d v="2009-09-21T00:00:00"/>
    <s v="916-94-78-836"/>
    <n v="41"/>
    <x v="4"/>
  </r>
  <r>
    <d v="2009-09-27T00:00:00"/>
    <s v="413-93-89-926"/>
    <n v="488"/>
    <x v="4"/>
  </r>
  <r>
    <d v="2009-09-28T00:00:00"/>
    <s v="325-70-30-985"/>
    <n v="5"/>
    <x v="4"/>
  </r>
  <r>
    <d v="2009-09-28T00:00:00"/>
    <s v="513-33-14-553"/>
    <n v="97"/>
    <x v="4"/>
  </r>
  <r>
    <d v="2009-09-29T00:00:00"/>
    <s v="885-74-10-856"/>
    <n v="58"/>
    <x v="4"/>
  </r>
  <r>
    <d v="2009-09-29T00:00:00"/>
    <s v="322-66-15-999"/>
    <n v="179"/>
    <x v="4"/>
  </r>
  <r>
    <d v="2009-10-01T00:00:00"/>
    <s v="242-04-13-206"/>
    <n v="18"/>
    <x v="4"/>
  </r>
  <r>
    <d v="2009-10-02T00:00:00"/>
    <s v="843-22-41-173"/>
    <n v="4"/>
    <x v="4"/>
  </r>
  <r>
    <d v="2009-10-02T00:00:00"/>
    <s v="019-98-81-222"/>
    <n v="1"/>
    <x v="4"/>
  </r>
  <r>
    <d v="2009-10-03T00:00:00"/>
    <s v="935-78-99-209"/>
    <n v="86"/>
    <x v="4"/>
  </r>
  <r>
    <d v="2009-10-04T00:00:00"/>
    <s v="799-94-72-837"/>
    <n v="290"/>
    <x v="4"/>
  </r>
  <r>
    <d v="2009-10-06T00:00:00"/>
    <s v="789-52-61-433"/>
    <n v="14"/>
    <x v="4"/>
  </r>
  <r>
    <d v="2009-10-08T00:00:00"/>
    <s v="761-06-34-233"/>
    <n v="120"/>
    <x v="4"/>
  </r>
  <r>
    <d v="2009-10-08T00:00:00"/>
    <s v="115-65-39-258"/>
    <n v="28"/>
    <x v="4"/>
  </r>
  <r>
    <d v="2009-10-09T00:00:00"/>
    <s v="847-48-41-699"/>
    <n v="213"/>
    <x v="4"/>
  </r>
  <r>
    <d v="2009-10-15T00:00:00"/>
    <s v="050-38-86-889"/>
    <n v="10"/>
    <x v="4"/>
  </r>
  <r>
    <d v="2009-10-16T00:00:00"/>
    <s v="513-33-14-553"/>
    <n v="53"/>
    <x v="4"/>
  </r>
  <r>
    <d v="2009-10-17T00:00:00"/>
    <s v="534-94-49-182"/>
    <n v="178"/>
    <x v="4"/>
  </r>
  <r>
    <d v="2009-10-17T00:00:00"/>
    <s v="340-11-17-090"/>
    <n v="6"/>
    <x v="4"/>
  </r>
  <r>
    <d v="2009-10-21T00:00:00"/>
    <s v="847-48-41-699"/>
    <n v="118"/>
    <x v="4"/>
  </r>
  <r>
    <d v="2009-10-21T00:00:00"/>
    <s v="982-09-19-706"/>
    <n v="5"/>
    <x v="4"/>
  </r>
  <r>
    <d v="2009-10-22T00:00:00"/>
    <s v="269-65-16-447"/>
    <n v="89"/>
    <x v="4"/>
  </r>
  <r>
    <d v="2009-10-27T00:00:00"/>
    <s v="968-49-97-804"/>
    <n v="22"/>
    <x v="4"/>
  </r>
  <r>
    <d v="2009-10-28T00:00:00"/>
    <s v="269-65-16-447"/>
    <n v="199"/>
    <x v="4"/>
  </r>
  <r>
    <d v="2009-11-03T00:00:00"/>
    <s v="164-61-25-530"/>
    <n v="8"/>
    <x v="4"/>
  </r>
  <r>
    <d v="2009-11-03T00:00:00"/>
    <s v="269-65-16-447"/>
    <n v="198"/>
    <x v="4"/>
  </r>
  <r>
    <d v="2009-11-04T00:00:00"/>
    <s v="029-43-78-009"/>
    <n v="6"/>
    <x v="4"/>
  </r>
  <r>
    <d v="2009-11-04T00:00:00"/>
    <s v="033-49-11-774"/>
    <n v="68"/>
    <x v="4"/>
  </r>
  <r>
    <d v="2009-11-04T00:00:00"/>
    <s v="995-59-41-476"/>
    <n v="200"/>
    <x v="4"/>
  </r>
  <r>
    <d v="2009-11-05T00:00:00"/>
    <s v="594-18-15-403"/>
    <n v="426"/>
    <x v="4"/>
  </r>
  <r>
    <d v="2009-11-05T00:00:00"/>
    <s v="773-39-15-273"/>
    <n v="142"/>
    <x v="4"/>
  </r>
  <r>
    <d v="2009-11-05T00:00:00"/>
    <s v="254-14-00-156"/>
    <n v="298"/>
    <x v="4"/>
  </r>
  <r>
    <d v="2009-11-07T00:00:00"/>
    <s v="413-93-89-926"/>
    <n v="224"/>
    <x v="4"/>
  </r>
  <r>
    <d v="2009-11-09T00:00:00"/>
    <s v="594-18-15-403"/>
    <n v="133"/>
    <x v="4"/>
  </r>
  <r>
    <d v="2009-11-11T00:00:00"/>
    <s v="392-78-93-552"/>
    <n v="326"/>
    <x v="4"/>
  </r>
  <r>
    <d v="2009-11-11T00:00:00"/>
    <s v="950-40-82-698"/>
    <n v="102"/>
    <x v="4"/>
  </r>
  <r>
    <d v="2009-11-12T00:00:00"/>
    <s v="254-14-00-156"/>
    <n v="332"/>
    <x v="4"/>
  </r>
  <r>
    <d v="2009-11-13T00:00:00"/>
    <s v="080-51-85-809"/>
    <n v="95"/>
    <x v="4"/>
  </r>
  <r>
    <d v="2009-11-17T00:00:00"/>
    <s v="170-89-76-803"/>
    <n v="7"/>
    <x v="4"/>
  </r>
  <r>
    <d v="2009-11-17T00:00:00"/>
    <s v="799-94-72-837"/>
    <n v="276"/>
    <x v="4"/>
  </r>
  <r>
    <d v="2009-11-17T00:00:00"/>
    <s v="865-19-31-951"/>
    <n v="6"/>
    <x v="4"/>
  </r>
  <r>
    <d v="2009-11-19T00:00:00"/>
    <s v="392-78-93-552"/>
    <n v="232"/>
    <x v="4"/>
  </r>
  <r>
    <d v="2009-11-19T00:00:00"/>
    <s v="527-15-00-673"/>
    <n v="162"/>
    <x v="4"/>
  </r>
  <r>
    <d v="2009-11-22T00:00:00"/>
    <s v="749-02-70-623"/>
    <n v="66"/>
    <x v="4"/>
  </r>
  <r>
    <d v="2009-11-22T00:00:00"/>
    <s v="371-70-96-597"/>
    <n v="2"/>
    <x v="4"/>
  </r>
  <r>
    <d v="2009-11-22T00:00:00"/>
    <s v="904-16-42-385"/>
    <n v="152"/>
    <x v="4"/>
  </r>
  <r>
    <d v="2009-11-22T00:00:00"/>
    <s v="687-31-19-697"/>
    <n v="2"/>
    <x v="4"/>
  </r>
  <r>
    <d v="2009-11-25T00:00:00"/>
    <s v="910-38-33-489"/>
    <n v="115"/>
    <x v="4"/>
  </r>
  <r>
    <d v="2009-11-25T00:00:00"/>
    <s v="916-94-78-836"/>
    <n v="29"/>
    <x v="4"/>
  </r>
  <r>
    <d v="2009-11-25T00:00:00"/>
    <s v="968-49-97-804"/>
    <n v="91"/>
    <x v="4"/>
  </r>
  <r>
    <d v="2009-11-27T00:00:00"/>
    <s v="080-51-85-809"/>
    <n v="125"/>
    <x v="4"/>
  </r>
  <r>
    <d v="2009-11-29T00:00:00"/>
    <s v="692-61-16-906"/>
    <n v="40"/>
    <x v="4"/>
  </r>
  <r>
    <d v="2009-11-29T00:00:00"/>
    <s v="847-48-41-699"/>
    <n v="279"/>
    <x v="4"/>
  </r>
  <r>
    <d v="2009-11-30T00:00:00"/>
    <s v="128-69-77-900"/>
    <n v="8"/>
    <x v="4"/>
  </r>
  <r>
    <d v="2009-12-04T00:00:00"/>
    <s v="884-31-58-627"/>
    <n v="194"/>
    <x v="4"/>
  </r>
  <r>
    <d v="2009-12-05T00:00:00"/>
    <s v="043-34-53-278"/>
    <n v="168"/>
    <x v="4"/>
  </r>
  <r>
    <d v="2009-12-06T00:00:00"/>
    <s v="799-94-72-837"/>
    <n v="211"/>
    <x v="4"/>
  </r>
  <r>
    <d v="2009-12-06T00:00:00"/>
    <s v="208-84-31-216"/>
    <n v="19"/>
    <x v="4"/>
  </r>
  <r>
    <d v="2009-12-08T00:00:00"/>
    <s v="214-54-56-360"/>
    <n v="16"/>
    <x v="4"/>
  </r>
  <r>
    <d v="2009-12-11T00:00:00"/>
    <s v="961-86-77-989"/>
    <n v="18"/>
    <x v="4"/>
  </r>
  <r>
    <d v="2009-12-11T00:00:00"/>
    <s v="254-14-00-156"/>
    <n v="399"/>
    <x v="4"/>
  </r>
  <r>
    <d v="2009-12-13T00:00:00"/>
    <s v="236-48-82-153"/>
    <n v="11"/>
    <x v="4"/>
  </r>
  <r>
    <d v="2009-12-17T00:00:00"/>
    <s v="033-49-11-774"/>
    <n v="131"/>
    <x v="4"/>
  </r>
  <r>
    <d v="2009-12-18T00:00:00"/>
    <s v="761-06-34-233"/>
    <n v="67"/>
    <x v="4"/>
  </r>
  <r>
    <d v="2009-12-19T00:00:00"/>
    <s v="749-02-70-623"/>
    <n v="151"/>
    <x v="4"/>
  </r>
  <r>
    <d v="2009-12-24T00:00:00"/>
    <s v="033-49-11-774"/>
    <n v="105"/>
    <x v="4"/>
  </r>
  <r>
    <d v="2009-12-25T00:00:00"/>
    <s v="884-31-58-627"/>
    <n v="132"/>
    <x v="4"/>
  </r>
  <r>
    <d v="2009-12-25T00:00:00"/>
    <s v="413-93-89-926"/>
    <n v="142"/>
    <x v="4"/>
  </r>
  <r>
    <d v="2009-12-25T00:00:00"/>
    <s v="561-51-98-882"/>
    <n v="17"/>
    <x v="4"/>
  </r>
  <r>
    <d v="2009-12-26T00:00:00"/>
    <s v="254-14-00-156"/>
    <n v="444"/>
    <x v="4"/>
  </r>
  <r>
    <d v="2009-12-26T00:00:00"/>
    <s v="941-01-60-075"/>
    <n v="294"/>
    <x v="4"/>
  </r>
  <r>
    <d v="2009-12-27T00:00:00"/>
    <s v="254-14-00-156"/>
    <n v="274"/>
    <x v="4"/>
  </r>
  <r>
    <d v="2009-12-29T00:00:00"/>
    <s v="968-49-97-804"/>
    <n v="168"/>
    <x v="4"/>
  </r>
  <r>
    <d v="2009-12-30T00:00:00"/>
    <s v="885-74-10-856"/>
    <n v="115"/>
    <x v="4"/>
  </r>
  <r>
    <d v="2009-12-30T00:00:00"/>
    <s v="534-94-49-182"/>
    <n v="126"/>
    <x v="4"/>
  </r>
  <r>
    <d v="2010-01-02T00:00:00"/>
    <s v="378-70-08-798"/>
    <n v="73"/>
    <x v="5"/>
  </r>
  <r>
    <d v="2010-01-02T00:00:00"/>
    <s v="178-24-36-171"/>
    <n v="413"/>
    <x v="5"/>
  </r>
  <r>
    <d v="2010-01-03T00:00:00"/>
    <s v="254-14-00-156"/>
    <n v="393"/>
    <x v="5"/>
  </r>
  <r>
    <d v="2010-01-06T00:00:00"/>
    <s v="429-16-50-754"/>
    <n v="13"/>
    <x v="5"/>
  </r>
  <r>
    <d v="2010-01-07T00:00:00"/>
    <s v="178-24-36-171"/>
    <n v="211"/>
    <x v="5"/>
  </r>
  <r>
    <d v="2010-01-11T00:00:00"/>
    <s v="692-61-16-906"/>
    <n v="116"/>
    <x v="5"/>
  </r>
  <r>
    <d v="2010-01-11T00:00:00"/>
    <s v="872-13-44-365"/>
    <n v="9"/>
    <x v="5"/>
  </r>
  <r>
    <d v="2010-01-15T00:00:00"/>
    <s v="392-78-93-552"/>
    <n v="117"/>
    <x v="5"/>
  </r>
  <r>
    <d v="2010-01-16T00:00:00"/>
    <s v="941-01-60-075"/>
    <n v="221"/>
    <x v="5"/>
  </r>
  <r>
    <d v="2010-01-20T00:00:00"/>
    <s v="193-47-03-638"/>
    <n v="9"/>
    <x v="5"/>
  </r>
  <r>
    <d v="2010-01-21T00:00:00"/>
    <s v="413-93-89-926"/>
    <n v="214"/>
    <x v="5"/>
  </r>
  <r>
    <d v="2010-01-22T00:00:00"/>
    <s v="916-94-78-836"/>
    <n v="138"/>
    <x v="5"/>
  </r>
  <r>
    <d v="2010-01-23T00:00:00"/>
    <s v="530-86-39-445"/>
    <n v="11"/>
    <x v="5"/>
  </r>
  <r>
    <d v="2010-01-23T00:00:00"/>
    <s v="495-93-92-849"/>
    <n v="128"/>
    <x v="5"/>
  </r>
  <r>
    <d v="2010-01-24T00:00:00"/>
    <s v="413-93-89-926"/>
    <n v="376"/>
    <x v="5"/>
  </r>
  <r>
    <d v="2010-01-25T00:00:00"/>
    <s v="413-93-89-926"/>
    <n v="121"/>
    <x v="5"/>
  </r>
  <r>
    <d v="2010-01-25T00:00:00"/>
    <s v="799-94-72-837"/>
    <n v="200"/>
    <x v="5"/>
  </r>
  <r>
    <d v="2010-01-26T00:00:00"/>
    <s v="413-93-89-926"/>
    <n v="500"/>
    <x v="5"/>
  </r>
  <r>
    <d v="2010-01-28T00:00:00"/>
    <s v="884-31-58-627"/>
    <n v="108"/>
    <x v="5"/>
  </r>
  <r>
    <d v="2010-01-29T00:00:00"/>
    <s v="410-52-79-946"/>
    <n v="59"/>
    <x v="5"/>
  </r>
  <r>
    <d v="2010-01-30T00:00:00"/>
    <s v="749-02-70-623"/>
    <n v="191"/>
    <x v="5"/>
  </r>
  <r>
    <d v="2010-01-31T00:00:00"/>
    <s v="080-51-85-809"/>
    <n v="189"/>
    <x v="5"/>
  </r>
  <r>
    <d v="2010-02-02T00:00:00"/>
    <s v="392-78-93-552"/>
    <n v="247"/>
    <x v="5"/>
  </r>
  <r>
    <d v="2010-02-02T00:00:00"/>
    <s v="968-49-97-804"/>
    <n v="195"/>
    <x v="5"/>
  </r>
  <r>
    <d v="2010-02-03T00:00:00"/>
    <s v="951-02-59-808"/>
    <n v="6"/>
    <x v="5"/>
  </r>
  <r>
    <d v="2010-02-04T00:00:00"/>
    <s v="874-03-53-609"/>
    <n v="1"/>
    <x v="5"/>
  </r>
  <r>
    <d v="2010-02-05T00:00:00"/>
    <s v="941-01-60-075"/>
    <n v="347"/>
    <x v="5"/>
  </r>
  <r>
    <d v="2010-02-08T00:00:00"/>
    <s v="799-94-72-837"/>
    <n v="317"/>
    <x v="5"/>
  </r>
  <r>
    <d v="2010-02-09T00:00:00"/>
    <s v="392-78-93-552"/>
    <n v="271"/>
    <x v="5"/>
  </r>
  <r>
    <d v="2010-02-09T00:00:00"/>
    <s v="954-85-72-732"/>
    <n v="4"/>
    <x v="5"/>
  </r>
  <r>
    <d v="2010-02-11T00:00:00"/>
    <s v="378-70-08-798"/>
    <n v="121"/>
    <x v="5"/>
  </r>
  <r>
    <d v="2010-02-12T00:00:00"/>
    <s v="043-34-53-278"/>
    <n v="81"/>
    <x v="5"/>
  </r>
  <r>
    <d v="2010-02-12T00:00:00"/>
    <s v="900-85-70-552"/>
    <n v="1"/>
    <x v="5"/>
  </r>
  <r>
    <d v="2010-02-14T00:00:00"/>
    <s v="534-94-49-182"/>
    <n v="142"/>
    <x v="5"/>
  </r>
  <r>
    <d v="2010-02-15T00:00:00"/>
    <s v="178-24-36-171"/>
    <n v="265"/>
    <x v="5"/>
  </r>
  <r>
    <d v="2010-02-16T00:00:00"/>
    <s v="043-34-53-278"/>
    <n v="194"/>
    <x v="5"/>
  </r>
  <r>
    <d v="2010-02-16T00:00:00"/>
    <s v="131-80-62-556"/>
    <n v="15"/>
    <x v="5"/>
  </r>
  <r>
    <d v="2010-02-18T00:00:00"/>
    <s v="749-02-70-623"/>
    <n v="23"/>
    <x v="5"/>
  </r>
  <r>
    <d v="2010-02-18T00:00:00"/>
    <s v="178-24-36-171"/>
    <n v="279"/>
    <x v="5"/>
  </r>
  <r>
    <d v="2010-02-20T00:00:00"/>
    <s v="523-09-63-706"/>
    <n v="1"/>
    <x v="5"/>
  </r>
  <r>
    <d v="2010-02-25T00:00:00"/>
    <s v="178-24-36-171"/>
    <n v="487"/>
    <x v="5"/>
  </r>
  <r>
    <d v="2010-02-25T00:00:00"/>
    <s v="254-14-00-156"/>
    <n v="395"/>
    <x v="5"/>
  </r>
  <r>
    <d v="2010-02-27T00:00:00"/>
    <s v="884-31-58-627"/>
    <n v="91"/>
    <x v="5"/>
  </r>
  <r>
    <d v="2010-02-27T00:00:00"/>
    <s v="410-52-79-946"/>
    <n v="39"/>
    <x v="5"/>
  </r>
  <r>
    <d v="2010-02-27T00:00:00"/>
    <s v="178-24-36-171"/>
    <n v="312"/>
    <x v="5"/>
  </r>
  <r>
    <d v="2010-02-28T00:00:00"/>
    <s v="346-83-33-264"/>
    <n v="20"/>
    <x v="5"/>
  </r>
  <r>
    <d v="2010-03-03T00:00:00"/>
    <s v="378-70-08-798"/>
    <n v="35"/>
    <x v="5"/>
  </r>
  <r>
    <d v="2010-03-05T00:00:00"/>
    <s v="561-51-98-882"/>
    <n v="20"/>
    <x v="5"/>
  </r>
  <r>
    <d v="2010-03-08T00:00:00"/>
    <s v="534-94-49-182"/>
    <n v="125"/>
    <x v="5"/>
  </r>
  <r>
    <d v="2010-03-08T00:00:00"/>
    <s v="392-78-93-552"/>
    <n v="396"/>
    <x v="5"/>
  </r>
  <r>
    <d v="2010-03-09T00:00:00"/>
    <s v="325-16-71-125"/>
    <n v="7"/>
    <x v="5"/>
  </r>
  <r>
    <d v="2010-03-10T00:00:00"/>
    <s v="773-39-15-273"/>
    <n v="59"/>
    <x v="5"/>
  </r>
  <r>
    <d v="2010-03-13T00:00:00"/>
    <s v="799-94-72-837"/>
    <n v="417"/>
    <x v="5"/>
  </r>
  <r>
    <d v="2010-03-13T00:00:00"/>
    <s v="392-78-93-552"/>
    <n v="115"/>
    <x v="5"/>
  </r>
  <r>
    <d v="2010-03-16T00:00:00"/>
    <s v="753-35-55-536"/>
    <n v="6"/>
    <x v="5"/>
  </r>
  <r>
    <d v="2010-03-17T00:00:00"/>
    <s v="080-51-85-809"/>
    <n v="69"/>
    <x v="5"/>
  </r>
  <r>
    <d v="2010-03-19T00:00:00"/>
    <s v="904-16-42-385"/>
    <n v="58"/>
    <x v="5"/>
  </r>
  <r>
    <d v="2010-03-19T00:00:00"/>
    <s v="410-52-79-946"/>
    <n v="159"/>
    <x v="5"/>
  </r>
  <r>
    <d v="2010-03-21T00:00:00"/>
    <s v="179-22-38-195"/>
    <n v="6"/>
    <x v="5"/>
  </r>
  <r>
    <d v="2010-03-22T00:00:00"/>
    <s v="904-16-42-385"/>
    <n v="103"/>
    <x v="5"/>
  </r>
  <r>
    <d v="2010-03-26T00:00:00"/>
    <s v="254-14-00-156"/>
    <n v="155"/>
    <x v="5"/>
  </r>
  <r>
    <d v="2010-03-26T00:00:00"/>
    <s v="530-86-39-445"/>
    <n v="10"/>
    <x v="5"/>
  </r>
  <r>
    <d v="2010-03-28T00:00:00"/>
    <s v="378-70-08-798"/>
    <n v="158"/>
    <x v="5"/>
  </r>
  <r>
    <d v="2010-03-30T00:00:00"/>
    <s v="322-66-15-999"/>
    <n v="146"/>
    <x v="5"/>
  </r>
  <r>
    <d v="2010-03-31T00:00:00"/>
    <s v="178-24-36-171"/>
    <n v="230"/>
    <x v="5"/>
  </r>
  <r>
    <d v="2010-04-02T00:00:00"/>
    <s v="761-06-34-233"/>
    <n v="143"/>
    <x v="5"/>
  </r>
  <r>
    <d v="2010-04-02T00:00:00"/>
    <s v="692-61-16-906"/>
    <n v="167"/>
    <x v="5"/>
  </r>
  <r>
    <d v="2010-04-02T00:00:00"/>
    <s v="495-93-92-849"/>
    <n v="119"/>
    <x v="5"/>
  </r>
  <r>
    <d v="2010-04-04T00:00:00"/>
    <s v="799-94-72-837"/>
    <n v="400"/>
    <x v="5"/>
  </r>
  <r>
    <d v="2010-04-06T00:00:00"/>
    <s v="916-94-78-836"/>
    <n v="172"/>
    <x v="5"/>
  </r>
  <r>
    <d v="2010-04-07T00:00:00"/>
    <s v="374-01-18-051"/>
    <n v="19"/>
    <x v="5"/>
  </r>
  <r>
    <d v="2010-04-09T00:00:00"/>
    <s v="254-14-00-156"/>
    <n v="116"/>
    <x v="5"/>
  </r>
  <r>
    <d v="2010-04-11T00:00:00"/>
    <s v="178-24-36-171"/>
    <n v="143"/>
    <x v="5"/>
  </r>
  <r>
    <d v="2010-04-12T00:00:00"/>
    <s v="847-48-41-699"/>
    <n v="222"/>
    <x v="5"/>
  </r>
  <r>
    <d v="2010-04-14T00:00:00"/>
    <s v="847-48-41-699"/>
    <n v="352"/>
    <x v="5"/>
  </r>
  <r>
    <d v="2010-04-14T00:00:00"/>
    <s v="495-93-92-849"/>
    <n v="69"/>
    <x v="5"/>
  </r>
  <r>
    <d v="2010-04-15T00:00:00"/>
    <s v="392-78-93-552"/>
    <n v="182"/>
    <x v="5"/>
  </r>
  <r>
    <d v="2010-04-17T00:00:00"/>
    <s v="847-48-41-699"/>
    <n v="182"/>
    <x v="5"/>
  </r>
  <r>
    <d v="2010-04-17T00:00:00"/>
    <s v="495-93-92-849"/>
    <n v="165"/>
    <x v="5"/>
  </r>
  <r>
    <d v="2010-04-18T00:00:00"/>
    <s v="377-37-44-068"/>
    <n v="18"/>
    <x v="5"/>
  </r>
  <r>
    <d v="2010-04-18T00:00:00"/>
    <s v="211-35-92-831"/>
    <n v="2"/>
    <x v="5"/>
  </r>
  <r>
    <d v="2010-04-19T00:00:00"/>
    <s v="789-52-61-433"/>
    <n v="15"/>
    <x v="5"/>
  </r>
  <r>
    <d v="2010-04-20T00:00:00"/>
    <s v="614-36-31-012"/>
    <n v="19"/>
    <x v="5"/>
  </r>
  <r>
    <d v="2010-04-21T00:00:00"/>
    <s v="916-94-78-836"/>
    <n v="66"/>
    <x v="5"/>
  </r>
  <r>
    <d v="2010-04-21T00:00:00"/>
    <s v="549-21-69-479"/>
    <n v="12"/>
    <x v="5"/>
  </r>
  <r>
    <d v="2010-04-22T00:00:00"/>
    <s v="211-13-01-286"/>
    <n v="19"/>
    <x v="5"/>
  </r>
  <r>
    <d v="2010-04-22T00:00:00"/>
    <s v="033-49-11-774"/>
    <n v="96"/>
    <x v="5"/>
  </r>
  <r>
    <d v="2010-04-25T00:00:00"/>
    <s v="847-48-41-699"/>
    <n v="240"/>
    <x v="5"/>
  </r>
  <r>
    <d v="2010-04-27T00:00:00"/>
    <s v="378-70-08-798"/>
    <n v="57"/>
    <x v="5"/>
  </r>
  <r>
    <d v="2010-05-01T00:00:00"/>
    <s v="799-94-72-837"/>
    <n v="475"/>
    <x v="5"/>
  </r>
  <r>
    <d v="2010-05-02T00:00:00"/>
    <s v="254-14-00-156"/>
    <n v="162"/>
    <x v="5"/>
  </r>
  <r>
    <d v="2010-05-04T00:00:00"/>
    <s v="254-14-00-156"/>
    <n v="150"/>
    <x v="5"/>
  </r>
  <r>
    <d v="2010-05-05T00:00:00"/>
    <s v="941-01-60-075"/>
    <n v="139"/>
    <x v="5"/>
  </r>
  <r>
    <d v="2010-05-07T00:00:00"/>
    <s v="080-51-85-809"/>
    <n v="183"/>
    <x v="5"/>
  </r>
  <r>
    <d v="2010-05-17T00:00:00"/>
    <s v="254-14-00-156"/>
    <n v="214"/>
    <x v="5"/>
  </r>
  <r>
    <d v="2010-05-20T00:00:00"/>
    <s v="180-17-78-339"/>
    <n v="14"/>
    <x v="5"/>
  </r>
  <r>
    <d v="2010-05-21T00:00:00"/>
    <s v="547-99-88-807"/>
    <n v="2"/>
    <x v="5"/>
  </r>
  <r>
    <d v="2010-05-22T00:00:00"/>
    <s v="178-24-36-171"/>
    <n v="383"/>
    <x v="5"/>
  </r>
  <r>
    <d v="2010-05-23T00:00:00"/>
    <s v="872-13-44-365"/>
    <n v="14"/>
    <x v="5"/>
  </r>
  <r>
    <d v="2010-05-23T00:00:00"/>
    <s v="495-93-92-849"/>
    <n v="127"/>
    <x v="5"/>
  </r>
  <r>
    <d v="2010-05-24T00:00:00"/>
    <s v="534-94-49-182"/>
    <n v="179"/>
    <x v="5"/>
  </r>
  <r>
    <d v="2010-05-25T00:00:00"/>
    <s v="033-49-11-774"/>
    <n v="74"/>
    <x v="5"/>
  </r>
  <r>
    <d v="2010-05-25T00:00:00"/>
    <s v="941-01-60-075"/>
    <n v="311"/>
    <x v="5"/>
  </r>
  <r>
    <d v="2010-05-29T00:00:00"/>
    <s v="527-15-00-673"/>
    <n v="190"/>
    <x v="5"/>
  </r>
  <r>
    <d v="2010-05-31T00:00:00"/>
    <s v="935-78-99-209"/>
    <n v="67"/>
    <x v="5"/>
  </r>
  <r>
    <d v="2010-06-02T00:00:00"/>
    <s v="254-14-00-156"/>
    <n v="331"/>
    <x v="5"/>
  </r>
  <r>
    <d v="2010-06-02T00:00:00"/>
    <s v="761-06-34-233"/>
    <n v="114"/>
    <x v="5"/>
  </r>
  <r>
    <d v="2010-06-03T00:00:00"/>
    <s v="495-93-92-849"/>
    <n v="79"/>
    <x v="5"/>
  </r>
  <r>
    <d v="2010-06-04T00:00:00"/>
    <s v="884-31-58-627"/>
    <n v="22"/>
    <x v="5"/>
  </r>
  <r>
    <d v="2010-06-04T00:00:00"/>
    <s v="550-69-18-758"/>
    <n v="5"/>
    <x v="5"/>
  </r>
  <r>
    <d v="2010-06-07T00:00:00"/>
    <s v="047-70-78-199"/>
    <n v="17"/>
    <x v="5"/>
  </r>
  <r>
    <d v="2010-06-08T00:00:00"/>
    <s v="392-78-93-552"/>
    <n v="344"/>
    <x v="5"/>
  </r>
  <r>
    <d v="2010-06-08T00:00:00"/>
    <s v="799-94-72-837"/>
    <n v="329"/>
    <x v="5"/>
  </r>
  <r>
    <d v="2010-06-08T00:00:00"/>
    <s v="423-71-31-448"/>
    <n v="10"/>
    <x v="5"/>
  </r>
  <r>
    <d v="2010-06-12T00:00:00"/>
    <s v="534-94-49-182"/>
    <n v="105"/>
    <x v="5"/>
  </r>
  <r>
    <d v="2010-06-13T00:00:00"/>
    <s v="513-33-14-553"/>
    <n v="26"/>
    <x v="5"/>
  </r>
  <r>
    <d v="2010-06-14T00:00:00"/>
    <s v="761-06-34-233"/>
    <n v="121"/>
    <x v="5"/>
  </r>
  <r>
    <d v="2010-06-16T00:00:00"/>
    <s v="885-74-10-856"/>
    <n v="174"/>
    <x v="5"/>
  </r>
  <r>
    <d v="2010-06-17T00:00:00"/>
    <s v="799-94-72-837"/>
    <n v="233"/>
    <x v="5"/>
  </r>
  <r>
    <d v="2010-06-18T00:00:00"/>
    <s v="749-02-70-623"/>
    <n v="117"/>
    <x v="5"/>
  </r>
  <r>
    <d v="2010-06-19T00:00:00"/>
    <s v="047-70-78-199"/>
    <n v="11"/>
    <x v="5"/>
  </r>
  <r>
    <d v="2010-06-19T00:00:00"/>
    <s v="394-54-09-851"/>
    <n v="18"/>
    <x v="5"/>
  </r>
  <r>
    <d v="2010-06-19T00:00:00"/>
    <s v="392-78-93-552"/>
    <n v="332"/>
    <x v="5"/>
  </r>
  <r>
    <d v="2010-06-20T00:00:00"/>
    <s v="299-98-16-259"/>
    <n v="6"/>
    <x v="5"/>
  </r>
  <r>
    <d v="2010-06-21T00:00:00"/>
    <s v="995-59-41-476"/>
    <n v="260"/>
    <x v="5"/>
  </r>
  <r>
    <d v="2010-06-21T00:00:00"/>
    <s v="936-67-95-170"/>
    <n v="22"/>
    <x v="5"/>
  </r>
  <r>
    <d v="2010-06-23T00:00:00"/>
    <s v="562-39-79-929"/>
    <n v="9"/>
    <x v="5"/>
  </r>
  <r>
    <d v="2010-06-24T00:00:00"/>
    <s v="527-15-00-673"/>
    <n v="79"/>
    <x v="5"/>
  </r>
  <r>
    <d v="2010-06-26T00:00:00"/>
    <s v="392-78-93-552"/>
    <n v="480"/>
    <x v="5"/>
  </r>
  <r>
    <d v="2010-07-01T00:00:00"/>
    <s v="847-48-41-699"/>
    <n v="154"/>
    <x v="5"/>
  </r>
  <r>
    <d v="2010-07-01T00:00:00"/>
    <s v="968-49-97-804"/>
    <n v="170"/>
    <x v="5"/>
  </r>
  <r>
    <d v="2010-07-02T00:00:00"/>
    <s v="326-69-35-401"/>
    <n v="13"/>
    <x v="5"/>
  </r>
  <r>
    <d v="2010-07-05T00:00:00"/>
    <s v="269-65-16-447"/>
    <n v="29"/>
    <x v="5"/>
  </r>
  <r>
    <d v="2010-07-07T00:00:00"/>
    <s v="080-51-85-809"/>
    <n v="80"/>
    <x v="5"/>
  </r>
  <r>
    <d v="2010-07-11T00:00:00"/>
    <s v="547-03-32-866"/>
    <n v="20"/>
    <x v="5"/>
  </r>
  <r>
    <d v="2010-07-11T00:00:00"/>
    <s v="847-48-41-699"/>
    <n v="401"/>
    <x v="5"/>
  </r>
  <r>
    <d v="2010-07-13T00:00:00"/>
    <s v="761-06-34-233"/>
    <n v="134"/>
    <x v="5"/>
  </r>
  <r>
    <d v="2010-07-15T00:00:00"/>
    <s v="916-94-78-836"/>
    <n v="107"/>
    <x v="5"/>
  </r>
  <r>
    <d v="2010-07-20T00:00:00"/>
    <s v="749-02-70-623"/>
    <n v="30"/>
    <x v="5"/>
  </r>
  <r>
    <d v="2010-07-22T00:00:00"/>
    <s v="337-27-67-378"/>
    <n v="138"/>
    <x v="5"/>
  </r>
  <r>
    <d v="2010-07-23T00:00:00"/>
    <s v="178-24-36-171"/>
    <n v="404"/>
    <x v="5"/>
  </r>
  <r>
    <d v="2010-07-27T00:00:00"/>
    <s v="916-94-78-836"/>
    <n v="117"/>
    <x v="5"/>
  </r>
  <r>
    <d v="2010-07-30T00:00:00"/>
    <s v="847-48-41-699"/>
    <n v="124"/>
    <x v="5"/>
  </r>
  <r>
    <d v="2010-07-31T00:00:00"/>
    <s v="495-93-92-849"/>
    <n v="155"/>
    <x v="5"/>
  </r>
  <r>
    <d v="2010-08-01T00:00:00"/>
    <s v="378-70-08-798"/>
    <n v="161"/>
    <x v="5"/>
  </r>
  <r>
    <d v="2010-08-05T00:00:00"/>
    <s v="904-16-42-385"/>
    <n v="80"/>
    <x v="5"/>
  </r>
  <r>
    <d v="2010-08-05T00:00:00"/>
    <s v="093-96-93-428"/>
    <n v="9"/>
    <x v="5"/>
  </r>
  <r>
    <d v="2010-08-06T00:00:00"/>
    <s v="904-16-42-385"/>
    <n v="160"/>
    <x v="5"/>
  </r>
  <r>
    <d v="2010-08-09T00:00:00"/>
    <s v="192-09-72-275"/>
    <n v="18"/>
    <x v="5"/>
  </r>
  <r>
    <d v="2010-08-11T00:00:00"/>
    <s v="749-02-70-623"/>
    <n v="150"/>
    <x v="5"/>
  </r>
  <r>
    <d v="2010-08-15T00:00:00"/>
    <s v="203-43-58-855"/>
    <n v="16"/>
    <x v="5"/>
  </r>
  <r>
    <d v="2010-08-22T00:00:00"/>
    <s v="513-33-14-553"/>
    <n v="158"/>
    <x v="5"/>
  </r>
  <r>
    <d v="2010-08-24T00:00:00"/>
    <s v="692-61-16-906"/>
    <n v="29"/>
    <x v="5"/>
  </r>
  <r>
    <d v="2010-09-02T00:00:00"/>
    <s v="781-80-31-583"/>
    <n v="6"/>
    <x v="5"/>
  </r>
  <r>
    <d v="2010-09-02T00:00:00"/>
    <s v="847-48-41-699"/>
    <n v="489"/>
    <x v="5"/>
  </r>
  <r>
    <d v="2010-09-04T00:00:00"/>
    <s v="968-49-97-804"/>
    <n v="200"/>
    <x v="5"/>
  </r>
  <r>
    <d v="2010-09-06T00:00:00"/>
    <s v="749-02-70-623"/>
    <n v="28"/>
    <x v="5"/>
  </r>
  <r>
    <d v="2010-09-10T00:00:00"/>
    <s v="749-02-70-623"/>
    <n v="28"/>
    <x v="5"/>
  </r>
  <r>
    <d v="2010-09-11T00:00:00"/>
    <s v="847-48-41-699"/>
    <n v="297"/>
    <x v="5"/>
  </r>
  <r>
    <d v="2010-09-13T00:00:00"/>
    <s v="413-93-89-926"/>
    <n v="227"/>
    <x v="5"/>
  </r>
  <r>
    <d v="2010-09-13T00:00:00"/>
    <s v="822-52-42-474"/>
    <n v="14"/>
    <x v="5"/>
  </r>
  <r>
    <d v="2010-09-16T00:00:00"/>
    <s v="374-01-18-051"/>
    <n v="20"/>
    <x v="5"/>
  </r>
  <r>
    <d v="2010-09-18T00:00:00"/>
    <s v="620-15-33-614"/>
    <n v="194"/>
    <x v="5"/>
  </r>
  <r>
    <d v="2010-09-18T00:00:00"/>
    <s v="968-49-97-804"/>
    <n v="58"/>
    <x v="5"/>
  </r>
  <r>
    <d v="2010-09-19T00:00:00"/>
    <s v="527-15-00-673"/>
    <n v="30"/>
    <x v="5"/>
  </r>
  <r>
    <d v="2010-09-19T00:00:00"/>
    <s v="413-93-89-926"/>
    <n v="159"/>
    <x v="5"/>
  </r>
  <r>
    <d v="2010-09-22T00:00:00"/>
    <s v="178-24-36-171"/>
    <n v="279"/>
    <x v="5"/>
  </r>
  <r>
    <d v="2010-09-23T00:00:00"/>
    <s v="294-48-56-993"/>
    <n v="38"/>
    <x v="5"/>
  </r>
  <r>
    <d v="2010-09-25T00:00:00"/>
    <s v="205-96-13-336"/>
    <n v="7"/>
    <x v="5"/>
  </r>
  <r>
    <d v="2010-09-26T00:00:00"/>
    <s v="178-24-36-171"/>
    <n v="154"/>
    <x v="5"/>
  </r>
  <r>
    <d v="2010-09-26T00:00:00"/>
    <s v="941-01-60-075"/>
    <n v="274"/>
    <x v="5"/>
  </r>
  <r>
    <d v="2010-09-27T00:00:00"/>
    <s v="799-94-72-837"/>
    <n v="219"/>
    <x v="5"/>
  </r>
  <r>
    <d v="2010-09-28T00:00:00"/>
    <s v="534-94-49-182"/>
    <n v="57"/>
    <x v="5"/>
  </r>
  <r>
    <d v="2010-09-28T00:00:00"/>
    <s v="904-16-42-385"/>
    <n v="152"/>
    <x v="5"/>
  </r>
  <r>
    <d v="2010-10-03T00:00:00"/>
    <s v="392-78-93-552"/>
    <n v="263"/>
    <x v="5"/>
  </r>
  <r>
    <d v="2010-10-05T00:00:00"/>
    <s v="378-70-08-798"/>
    <n v="61"/>
    <x v="5"/>
  </r>
  <r>
    <d v="2010-10-05T00:00:00"/>
    <s v="941-01-60-075"/>
    <n v="217"/>
    <x v="5"/>
  </r>
  <r>
    <d v="2010-10-06T00:00:00"/>
    <s v="692-61-16-906"/>
    <n v="28"/>
    <x v="5"/>
  </r>
  <r>
    <d v="2010-10-06T00:00:00"/>
    <s v="392-78-93-552"/>
    <n v="299"/>
    <x v="5"/>
  </r>
  <r>
    <d v="2010-10-09T00:00:00"/>
    <s v="799-94-72-837"/>
    <n v="429"/>
    <x v="5"/>
  </r>
  <r>
    <d v="2010-10-12T00:00:00"/>
    <s v="799-94-72-837"/>
    <n v="427"/>
    <x v="5"/>
  </r>
  <r>
    <d v="2010-10-12T00:00:00"/>
    <s v="904-16-42-385"/>
    <n v="87"/>
    <x v="5"/>
  </r>
  <r>
    <d v="2010-10-12T00:00:00"/>
    <s v="385-84-45-941"/>
    <n v="17"/>
    <x v="5"/>
  </r>
  <r>
    <d v="2010-10-14T00:00:00"/>
    <s v="968-49-97-804"/>
    <n v="124"/>
    <x v="5"/>
  </r>
  <r>
    <d v="2010-10-16T00:00:00"/>
    <s v="254-14-00-156"/>
    <n v="406"/>
    <x v="5"/>
  </r>
  <r>
    <d v="2010-10-16T00:00:00"/>
    <s v="495-93-92-849"/>
    <n v="136"/>
    <x v="5"/>
  </r>
  <r>
    <d v="2010-10-17T00:00:00"/>
    <s v="410-52-79-946"/>
    <n v="44"/>
    <x v="5"/>
  </r>
  <r>
    <d v="2010-10-19T00:00:00"/>
    <s v="761-06-34-233"/>
    <n v="76"/>
    <x v="5"/>
  </r>
  <r>
    <d v="2010-10-22T00:00:00"/>
    <s v="080-51-85-809"/>
    <n v="104"/>
    <x v="5"/>
  </r>
  <r>
    <d v="2010-10-23T00:00:00"/>
    <s v="904-16-42-385"/>
    <n v="107"/>
    <x v="5"/>
  </r>
  <r>
    <d v="2010-10-26T00:00:00"/>
    <s v="178-24-36-171"/>
    <n v="339"/>
    <x v="5"/>
  </r>
  <r>
    <d v="2010-10-29T00:00:00"/>
    <s v="392-78-93-552"/>
    <n v="313"/>
    <x v="5"/>
  </r>
  <r>
    <d v="2010-10-30T00:00:00"/>
    <s v="392-78-93-552"/>
    <n v="251"/>
    <x v="5"/>
  </r>
  <r>
    <d v="2010-10-30T00:00:00"/>
    <s v="799-94-72-837"/>
    <n v="126"/>
    <x v="5"/>
  </r>
  <r>
    <d v="2010-11-01T00:00:00"/>
    <s v="410-52-79-946"/>
    <n v="20"/>
    <x v="5"/>
  </r>
  <r>
    <d v="2010-11-02T00:00:00"/>
    <s v="513-33-14-553"/>
    <n v="80"/>
    <x v="5"/>
  </r>
  <r>
    <d v="2010-11-03T00:00:00"/>
    <s v="170-89-76-803"/>
    <n v="9"/>
    <x v="5"/>
  </r>
  <r>
    <d v="2010-11-05T00:00:00"/>
    <s v="080-51-85-809"/>
    <n v="50"/>
    <x v="5"/>
  </r>
  <r>
    <d v="2010-11-06T00:00:00"/>
    <s v="033-49-11-774"/>
    <n v="100"/>
    <x v="5"/>
  </r>
  <r>
    <d v="2010-11-07T00:00:00"/>
    <s v="773-41-40-060"/>
    <n v="2"/>
    <x v="5"/>
  </r>
  <r>
    <d v="2010-11-08T00:00:00"/>
    <s v="413-93-89-926"/>
    <n v="214"/>
    <x v="5"/>
  </r>
  <r>
    <d v="2010-11-09T00:00:00"/>
    <s v="982-09-19-706"/>
    <n v="17"/>
    <x v="5"/>
  </r>
  <r>
    <d v="2010-11-10T00:00:00"/>
    <s v="392-78-93-552"/>
    <n v="269"/>
    <x v="5"/>
  </r>
  <r>
    <d v="2010-11-14T00:00:00"/>
    <s v="093-96-93-428"/>
    <n v="2"/>
    <x v="5"/>
  </r>
  <r>
    <d v="2010-11-21T00:00:00"/>
    <s v="904-16-42-385"/>
    <n v="159"/>
    <x v="5"/>
  </r>
  <r>
    <d v="2010-11-22T00:00:00"/>
    <s v="378-70-08-798"/>
    <n v="167"/>
    <x v="5"/>
  </r>
  <r>
    <d v="2010-11-23T00:00:00"/>
    <s v="916-94-78-836"/>
    <n v="123"/>
    <x v="5"/>
  </r>
  <r>
    <d v="2010-11-23T00:00:00"/>
    <s v="378-70-08-798"/>
    <n v="32"/>
    <x v="5"/>
  </r>
  <r>
    <d v="2010-11-23T00:00:00"/>
    <s v="254-14-00-156"/>
    <n v="276"/>
    <x v="5"/>
  </r>
  <r>
    <d v="2010-11-26T00:00:00"/>
    <s v="799-94-72-837"/>
    <n v="191"/>
    <x v="5"/>
  </r>
  <r>
    <d v="2010-11-28T00:00:00"/>
    <s v="941-27-28-381"/>
    <n v="9"/>
    <x v="5"/>
  </r>
  <r>
    <d v="2010-11-29T00:00:00"/>
    <s v="534-94-49-182"/>
    <n v="174"/>
    <x v="5"/>
  </r>
  <r>
    <d v="2010-11-30T00:00:00"/>
    <s v="513-33-14-553"/>
    <n v="39"/>
    <x v="5"/>
  </r>
  <r>
    <d v="2010-12-01T00:00:00"/>
    <s v="254-14-00-156"/>
    <n v="330"/>
    <x v="5"/>
  </r>
  <r>
    <d v="2010-12-01T00:00:00"/>
    <s v="240-56-56-791"/>
    <n v="5"/>
    <x v="5"/>
  </r>
  <r>
    <d v="2010-12-04T00:00:00"/>
    <s v="799-94-72-837"/>
    <n v="175"/>
    <x v="5"/>
  </r>
  <r>
    <d v="2010-12-08T00:00:00"/>
    <s v="179-23-02-772"/>
    <n v="183"/>
    <x v="5"/>
  </r>
  <r>
    <d v="2010-12-08T00:00:00"/>
    <s v="392-78-93-552"/>
    <n v="423"/>
    <x v="5"/>
  </r>
  <r>
    <d v="2010-12-08T00:00:00"/>
    <s v="495-93-92-849"/>
    <n v="88"/>
    <x v="5"/>
  </r>
  <r>
    <d v="2010-12-09T00:00:00"/>
    <s v="413-93-89-926"/>
    <n v="241"/>
    <x v="5"/>
  </r>
  <r>
    <d v="2010-12-10T00:00:00"/>
    <s v="904-16-42-385"/>
    <n v="37"/>
    <x v="5"/>
  </r>
  <r>
    <d v="2010-12-16T00:00:00"/>
    <s v="773-39-15-273"/>
    <n v="164"/>
    <x v="5"/>
  </r>
  <r>
    <d v="2010-12-17T00:00:00"/>
    <s v="824-54-79-834"/>
    <n v="20"/>
    <x v="5"/>
  </r>
  <r>
    <d v="2010-12-21T00:00:00"/>
    <s v="534-50-90-387"/>
    <n v="8"/>
    <x v="5"/>
  </r>
  <r>
    <d v="2010-12-21T00:00:00"/>
    <s v="299-98-16-259"/>
    <n v="4"/>
    <x v="5"/>
  </r>
  <r>
    <d v="2010-12-26T00:00:00"/>
    <s v="178-24-36-171"/>
    <n v="408"/>
    <x v="5"/>
  </r>
  <r>
    <d v="2011-01-01T00:00:00"/>
    <s v="773-41-40-060"/>
    <n v="20"/>
    <x v="6"/>
  </r>
  <r>
    <d v="2011-01-02T00:00:00"/>
    <s v="935-78-99-209"/>
    <n v="102"/>
    <x v="6"/>
  </r>
  <r>
    <d v="2011-01-03T00:00:00"/>
    <s v="847-48-41-699"/>
    <n v="240"/>
    <x v="6"/>
  </r>
  <r>
    <d v="2011-01-05T00:00:00"/>
    <s v="749-02-70-623"/>
    <n v="124"/>
    <x v="6"/>
  </r>
  <r>
    <d v="2011-01-07T00:00:00"/>
    <s v="392-78-93-552"/>
    <n v="330"/>
    <x v="6"/>
  </r>
  <r>
    <d v="2011-01-11T00:00:00"/>
    <s v="294-48-56-993"/>
    <n v="187"/>
    <x v="6"/>
  </r>
  <r>
    <d v="2011-01-18T00:00:00"/>
    <s v="495-93-92-849"/>
    <n v="165"/>
    <x v="6"/>
  </r>
  <r>
    <d v="2011-01-19T00:00:00"/>
    <s v="594-18-15-403"/>
    <n v="371"/>
    <x v="6"/>
  </r>
  <r>
    <d v="2011-01-21T00:00:00"/>
    <s v="761-06-34-233"/>
    <n v="185"/>
    <x v="6"/>
  </r>
  <r>
    <d v="2011-01-23T00:00:00"/>
    <s v="847-48-41-699"/>
    <n v="401"/>
    <x v="6"/>
  </r>
  <r>
    <d v="2011-01-25T00:00:00"/>
    <s v="322-66-15-999"/>
    <n v="25"/>
    <x v="6"/>
  </r>
  <r>
    <d v="2011-01-25T00:00:00"/>
    <s v="015-89-55-248"/>
    <n v="3"/>
    <x v="6"/>
  </r>
  <r>
    <d v="2011-01-25T00:00:00"/>
    <s v="549-21-69-479"/>
    <n v="11"/>
    <x v="6"/>
  </r>
  <r>
    <d v="2011-01-30T00:00:00"/>
    <s v="971-44-58-661"/>
    <n v="18"/>
    <x v="6"/>
  </r>
  <r>
    <d v="2011-01-30T00:00:00"/>
    <s v="392-78-93-552"/>
    <n v="154"/>
    <x v="6"/>
  </r>
  <r>
    <d v="2011-01-31T00:00:00"/>
    <s v="941-01-60-075"/>
    <n v="423"/>
    <x v="6"/>
  </r>
  <r>
    <d v="2011-02-02T00:00:00"/>
    <s v="903-82-46-998"/>
    <n v="6"/>
    <x v="6"/>
  </r>
  <r>
    <d v="2011-02-06T00:00:00"/>
    <s v="378-70-08-798"/>
    <n v="62"/>
    <x v="6"/>
  </r>
  <r>
    <d v="2011-02-07T00:00:00"/>
    <s v="170-89-76-803"/>
    <n v="15"/>
    <x v="6"/>
  </r>
  <r>
    <d v="2011-02-09T00:00:00"/>
    <s v="847-48-41-699"/>
    <n v="311"/>
    <x v="6"/>
  </r>
  <r>
    <d v="2011-02-10T00:00:00"/>
    <s v="080-51-85-809"/>
    <n v="127"/>
    <x v="6"/>
  </r>
  <r>
    <d v="2011-02-11T00:00:00"/>
    <s v="178-24-36-171"/>
    <n v="483"/>
    <x v="6"/>
  </r>
  <r>
    <d v="2011-02-14T00:00:00"/>
    <s v="257-35-01-611"/>
    <n v="9"/>
    <x v="6"/>
  </r>
  <r>
    <d v="2011-02-19T00:00:00"/>
    <s v="910-38-33-489"/>
    <n v="75"/>
    <x v="6"/>
  </r>
  <r>
    <d v="2011-02-24T00:00:00"/>
    <s v="102-48-01-310"/>
    <n v="7"/>
    <x v="6"/>
  </r>
  <r>
    <d v="2011-02-28T00:00:00"/>
    <s v="968-49-97-804"/>
    <n v="114"/>
    <x v="6"/>
  </r>
  <r>
    <d v="2011-03-03T00:00:00"/>
    <s v="115-65-39-258"/>
    <n v="151"/>
    <x v="6"/>
  </r>
  <r>
    <d v="2011-03-06T00:00:00"/>
    <s v="749-02-70-623"/>
    <n v="116"/>
    <x v="6"/>
  </r>
  <r>
    <d v="2011-03-07T00:00:00"/>
    <s v="904-16-42-385"/>
    <n v="76"/>
    <x v="6"/>
  </r>
  <r>
    <d v="2011-03-08T00:00:00"/>
    <s v="043-34-53-278"/>
    <n v="25"/>
    <x v="6"/>
  </r>
  <r>
    <d v="2011-03-12T00:00:00"/>
    <s v="935-78-99-209"/>
    <n v="37"/>
    <x v="6"/>
  </r>
  <r>
    <d v="2011-03-14T00:00:00"/>
    <s v="936-67-95-170"/>
    <n v="108"/>
    <x v="6"/>
  </r>
  <r>
    <d v="2011-03-15T00:00:00"/>
    <s v="254-14-00-156"/>
    <n v="199"/>
    <x v="6"/>
  </r>
  <r>
    <d v="2011-03-15T00:00:00"/>
    <s v="392-78-93-552"/>
    <n v="128"/>
    <x v="6"/>
  </r>
  <r>
    <d v="2011-03-16T00:00:00"/>
    <s v="507-22-76-992"/>
    <n v="32"/>
    <x v="6"/>
  </r>
  <r>
    <d v="2011-03-23T00:00:00"/>
    <s v="534-94-49-182"/>
    <n v="151"/>
    <x v="6"/>
  </r>
  <r>
    <d v="2011-03-24T00:00:00"/>
    <s v="214-54-56-360"/>
    <n v="8"/>
    <x v="6"/>
  </r>
  <r>
    <d v="2011-03-25T00:00:00"/>
    <s v="799-94-72-837"/>
    <n v="411"/>
    <x v="6"/>
  </r>
  <r>
    <d v="2011-03-26T00:00:00"/>
    <s v="495-93-92-849"/>
    <n v="119"/>
    <x v="6"/>
  </r>
  <r>
    <d v="2011-03-28T00:00:00"/>
    <s v="413-93-89-926"/>
    <n v="366"/>
    <x v="6"/>
  </r>
  <r>
    <d v="2011-03-31T00:00:00"/>
    <s v="513-33-14-553"/>
    <n v="20"/>
    <x v="6"/>
  </r>
  <r>
    <d v="2011-04-02T00:00:00"/>
    <s v="115-65-39-258"/>
    <n v="124"/>
    <x v="6"/>
  </r>
  <r>
    <d v="2011-04-02T00:00:00"/>
    <s v="749-02-70-623"/>
    <n v="30"/>
    <x v="6"/>
  </r>
  <r>
    <d v="2011-04-03T00:00:00"/>
    <s v="799-94-72-837"/>
    <n v="237"/>
    <x v="6"/>
  </r>
  <r>
    <d v="2011-04-05T00:00:00"/>
    <s v="178-24-36-171"/>
    <n v="355"/>
    <x v="6"/>
  </r>
  <r>
    <d v="2011-04-09T00:00:00"/>
    <s v="392-78-93-552"/>
    <n v="162"/>
    <x v="6"/>
  </r>
  <r>
    <d v="2011-04-14T00:00:00"/>
    <s v="968-49-97-804"/>
    <n v="46"/>
    <x v="6"/>
  </r>
  <r>
    <d v="2011-04-14T00:00:00"/>
    <s v="351-83-41-145"/>
    <n v="13"/>
    <x v="6"/>
  </r>
  <r>
    <d v="2011-04-14T00:00:00"/>
    <s v="211-13-01-286"/>
    <n v="14"/>
    <x v="6"/>
  </r>
  <r>
    <d v="2011-04-14T00:00:00"/>
    <s v="392-77-27-084"/>
    <n v="4"/>
    <x v="6"/>
  </r>
  <r>
    <d v="2011-04-18T00:00:00"/>
    <s v="847-48-41-699"/>
    <n v="470"/>
    <x v="6"/>
  </r>
  <r>
    <d v="2011-04-18T00:00:00"/>
    <s v="678-73-95-302"/>
    <n v="9"/>
    <x v="6"/>
  </r>
  <r>
    <d v="2011-04-18T00:00:00"/>
    <s v="507-22-76-992"/>
    <n v="37"/>
    <x v="6"/>
  </r>
  <r>
    <d v="2011-04-19T00:00:00"/>
    <s v="378-70-08-798"/>
    <n v="55"/>
    <x v="6"/>
  </r>
  <r>
    <d v="2011-04-21T00:00:00"/>
    <s v="322-66-15-999"/>
    <n v="140"/>
    <x v="6"/>
  </r>
  <r>
    <d v="2011-04-23T00:00:00"/>
    <s v="091-99-74-175"/>
    <n v="12"/>
    <x v="6"/>
  </r>
  <r>
    <d v="2011-04-25T00:00:00"/>
    <s v="904-16-42-385"/>
    <n v="20"/>
    <x v="6"/>
  </r>
  <r>
    <d v="2011-04-29T00:00:00"/>
    <s v="941-01-60-075"/>
    <n v="478"/>
    <x v="6"/>
  </r>
  <r>
    <d v="2011-05-01T00:00:00"/>
    <s v="178-24-36-171"/>
    <n v="289"/>
    <x v="6"/>
  </r>
  <r>
    <d v="2011-05-02T00:00:00"/>
    <s v="126-55-91-375"/>
    <n v="1"/>
    <x v="6"/>
  </r>
  <r>
    <d v="2011-05-02T00:00:00"/>
    <s v="585-26-73-628"/>
    <n v="15"/>
    <x v="6"/>
  </r>
  <r>
    <d v="2011-05-05T00:00:00"/>
    <s v="254-14-00-156"/>
    <n v="400"/>
    <x v="6"/>
  </r>
  <r>
    <d v="2011-05-06T00:00:00"/>
    <s v="050-38-86-889"/>
    <n v="1"/>
    <x v="6"/>
  </r>
  <r>
    <d v="2011-05-07T00:00:00"/>
    <s v="885-74-10-856"/>
    <n v="184"/>
    <x v="6"/>
  </r>
  <r>
    <d v="2011-05-07T00:00:00"/>
    <s v="043-34-53-278"/>
    <n v="99"/>
    <x v="6"/>
  </r>
  <r>
    <d v="2011-05-08T00:00:00"/>
    <s v="749-02-70-623"/>
    <n v="143"/>
    <x v="6"/>
  </r>
  <r>
    <d v="2011-05-09T00:00:00"/>
    <s v="534-94-49-182"/>
    <n v="184"/>
    <x v="6"/>
  </r>
  <r>
    <d v="2011-05-13T00:00:00"/>
    <s v="240-21-54-730"/>
    <n v="3"/>
    <x v="6"/>
  </r>
  <r>
    <d v="2011-05-13T00:00:00"/>
    <s v="269-65-16-447"/>
    <n v="197"/>
    <x v="6"/>
  </r>
  <r>
    <d v="2011-05-17T00:00:00"/>
    <s v="645-32-78-780"/>
    <n v="18"/>
    <x v="6"/>
  </r>
  <r>
    <d v="2011-05-22T00:00:00"/>
    <s v="872-13-44-365"/>
    <n v="7"/>
    <x v="6"/>
  </r>
  <r>
    <d v="2011-05-23T00:00:00"/>
    <s v="847-48-41-699"/>
    <n v="381"/>
    <x v="6"/>
  </r>
  <r>
    <d v="2011-05-26T00:00:00"/>
    <s v="692-61-16-906"/>
    <n v="45"/>
    <x v="6"/>
  </r>
  <r>
    <d v="2011-05-28T00:00:00"/>
    <s v="413-93-89-926"/>
    <n v="499"/>
    <x v="6"/>
  </r>
  <r>
    <d v="2011-06-01T00:00:00"/>
    <s v="413-93-89-926"/>
    <n v="134"/>
    <x v="6"/>
  </r>
  <r>
    <d v="2011-06-01T00:00:00"/>
    <s v="495-93-92-849"/>
    <n v="132"/>
    <x v="6"/>
  </r>
  <r>
    <d v="2011-06-02T00:00:00"/>
    <s v="080-51-85-809"/>
    <n v="180"/>
    <x v="6"/>
  </r>
  <r>
    <d v="2011-06-05T00:00:00"/>
    <s v="678-73-95-302"/>
    <n v="5"/>
    <x v="6"/>
  </r>
  <r>
    <d v="2011-06-07T00:00:00"/>
    <s v="337-27-67-378"/>
    <n v="110"/>
    <x v="6"/>
  </r>
  <r>
    <d v="2011-06-08T00:00:00"/>
    <s v="495-93-92-849"/>
    <n v="54"/>
    <x v="6"/>
  </r>
  <r>
    <d v="2011-06-09T00:00:00"/>
    <s v="179-22-38-195"/>
    <n v="6"/>
    <x v="6"/>
  </r>
  <r>
    <d v="2011-06-10T00:00:00"/>
    <s v="941-01-60-075"/>
    <n v="476"/>
    <x v="6"/>
  </r>
  <r>
    <d v="2011-06-10T00:00:00"/>
    <s v="080-51-85-809"/>
    <n v="104"/>
    <x v="6"/>
  </r>
  <r>
    <d v="2011-06-10T00:00:00"/>
    <s v="935-78-99-209"/>
    <n v="104"/>
    <x v="6"/>
  </r>
  <r>
    <d v="2011-06-12T00:00:00"/>
    <s v="269-65-16-447"/>
    <n v="47"/>
    <x v="6"/>
  </r>
  <r>
    <d v="2011-06-12T00:00:00"/>
    <s v="968-49-97-804"/>
    <n v="127"/>
    <x v="6"/>
  </r>
  <r>
    <d v="2011-06-14T00:00:00"/>
    <s v="410-52-79-946"/>
    <n v="143"/>
    <x v="6"/>
  </r>
  <r>
    <d v="2011-06-17T00:00:00"/>
    <s v="507-22-76-992"/>
    <n v="181"/>
    <x v="6"/>
  </r>
  <r>
    <d v="2011-06-20T00:00:00"/>
    <s v="080-51-85-809"/>
    <n v="139"/>
    <x v="6"/>
  </r>
  <r>
    <d v="2011-06-23T00:00:00"/>
    <s v="495-93-92-849"/>
    <n v="187"/>
    <x v="6"/>
  </r>
  <r>
    <d v="2011-06-23T00:00:00"/>
    <s v="687-31-19-697"/>
    <n v="11"/>
    <x v="6"/>
  </r>
  <r>
    <d v="2011-06-24T00:00:00"/>
    <s v="322-66-15-999"/>
    <n v="170"/>
    <x v="6"/>
  </r>
  <r>
    <d v="2011-06-29T00:00:00"/>
    <s v="244-64-83-142"/>
    <n v="7"/>
    <x v="6"/>
  </r>
  <r>
    <d v="2011-07-03T00:00:00"/>
    <s v="904-16-42-385"/>
    <n v="168"/>
    <x v="6"/>
  </r>
  <r>
    <d v="2011-07-03T00:00:00"/>
    <s v="874-03-53-609"/>
    <n v="4"/>
    <x v="6"/>
  </r>
  <r>
    <d v="2011-07-03T00:00:00"/>
    <s v="847-48-41-699"/>
    <n v="145"/>
    <x v="6"/>
  </r>
  <r>
    <d v="2011-07-06T00:00:00"/>
    <s v="080-51-85-809"/>
    <n v="103"/>
    <x v="6"/>
  </r>
  <r>
    <d v="2011-07-08T00:00:00"/>
    <s v="413-93-89-926"/>
    <n v="101"/>
    <x v="6"/>
  </r>
  <r>
    <d v="2011-07-09T00:00:00"/>
    <s v="968-49-97-804"/>
    <n v="141"/>
    <x v="6"/>
  </r>
  <r>
    <d v="2011-07-09T00:00:00"/>
    <s v="270-87-86-398"/>
    <n v="6"/>
    <x v="6"/>
  </r>
  <r>
    <d v="2011-07-09T00:00:00"/>
    <s v="534-38-74-959"/>
    <n v="16"/>
    <x v="6"/>
  </r>
  <r>
    <d v="2011-07-11T00:00:00"/>
    <s v="413-93-89-926"/>
    <n v="276"/>
    <x v="6"/>
  </r>
  <r>
    <d v="2011-07-12T00:00:00"/>
    <s v="995-59-41-476"/>
    <n v="329"/>
    <x v="6"/>
  </r>
  <r>
    <d v="2011-07-13T00:00:00"/>
    <s v="495-93-92-849"/>
    <n v="200"/>
    <x v="6"/>
  </r>
  <r>
    <d v="2011-07-16T00:00:00"/>
    <s v="749-02-70-623"/>
    <n v="82"/>
    <x v="6"/>
  </r>
  <r>
    <d v="2011-07-16T00:00:00"/>
    <s v="916-94-78-836"/>
    <n v="66"/>
    <x v="6"/>
  </r>
  <r>
    <d v="2011-07-21T00:00:00"/>
    <s v="178-24-36-171"/>
    <n v="150"/>
    <x v="6"/>
  </r>
  <r>
    <d v="2011-07-21T00:00:00"/>
    <s v="513-33-14-553"/>
    <n v="63"/>
    <x v="6"/>
  </r>
  <r>
    <d v="2011-07-22T00:00:00"/>
    <s v="527-15-00-673"/>
    <n v="120"/>
    <x v="6"/>
  </r>
  <r>
    <d v="2011-07-23T00:00:00"/>
    <s v="254-14-00-156"/>
    <n v="155"/>
    <x v="6"/>
  </r>
  <r>
    <d v="2011-07-24T00:00:00"/>
    <s v="080-51-85-809"/>
    <n v="30"/>
    <x v="6"/>
  </r>
  <r>
    <d v="2011-07-24T00:00:00"/>
    <s v="884-31-58-627"/>
    <n v="34"/>
    <x v="6"/>
  </r>
  <r>
    <d v="2011-07-29T00:00:00"/>
    <s v="904-16-42-385"/>
    <n v="30"/>
    <x v="6"/>
  </r>
  <r>
    <d v="2011-07-29T00:00:00"/>
    <s v="043-34-53-278"/>
    <n v="162"/>
    <x v="6"/>
  </r>
  <r>
    <d v="2011-07-30T00:00:00"/>
    <s v="620-15-33-614"/>
    <n v="71"/>
    <x v="6"/>
  </r>
  <r>
    <d v="2011-07-31T00:00:00"/>
    <s v="208-84-31-216"/>
    <n v="16"/>
    <x v="6"/>
  </r>
  <r>
    <d v="2011-08-04T00:00:00"/>
    <s v="968-49-97-804"/>
    <n v="165"/>
    <x v="6"/>
  </r>
  <r>
    <d v="2011-08-05T00:00:00"/>
    <s v="968-49-97-804"/>
    <n v="180"/>
    <x v="6"/>
  </r>
  <r>
    <d v="2011-08-06T00:00:00"/>
    <s v="900-85-70-552"/>
    <n v="2"/>
    <x v="6"/>
  </r>
  <r>
    <d v="2011-08-11T00:00:00"/>
    <s v="916-94-78-836"/>
    <n v="111"/>
    <x v="6"/>
  </r>
  <r>
    <d v="2011-08-12T00:00:00"/>
    <s v="968-49-97-804"/>
    <n v="128"/>
    <x v="6"/>
  </r>
  <r>
    <d v="2011-08-13T00:00:00"/>
    <s v="561-00-46-873"/>
    <n v="7"/>
    <x v="6"/>
  </r>
  <r>
    <d v="2011-08-13T00:00:00"/>
    <s v="847-48-41-699"/>
    <n v="211"/>
    <x v="6"/>
  </r>
  <r>
    <d v="2011-08-13T00:00:00"/>
    <s v="043-34-53-278"/>
    <n v="184"/>
    <x v="6"/>
  </r>
  <r>
    <d v="2011-08-16T00:00:00"/>
    <s v="799-94-72-837"/>
    <n v="450"/>
    <x v="6"/>
  </r>
  <r>
    <d v="2011-08-16T00:00:00"/>
    <s v="950-40-82-698"/>
    <n v="140"/>
    <x v="6"/>
  </r>
  <r>
    <d v="2011-08-20T00:00:00"/>
    <s v="885-74-10-856"/>
    <n v="52"/>
    <x v="6"/>
  </r>
  <r>
    <d v="2011-08-22T00:00:00"/>
    <s v="272-67-67-068"/>
    <n v="2"/>
    <x v="6"/>
  </r>
  <r>
    <d v="2011-08-22T00:00:00"/>
    <s v="172-30-09-104"/>
    <n v="13"/>
    <x v="6"/>
  </r>
  <r>
    <d v="2011-08-22T00:00:00"/>
    <s v="916-94-78-836"/>
    <n v="73"/>
    <x v="6"/>
  </r>
  <r>
    <d v="2011-08-26T00:00:00"/>
    <s v="269-65-16-447"/>
    <n v="123"/>
    <x v="6"/>
  </r>
  <r>
    <d v="2011-08-28T00:00:00"/>
    <s v="284-59-84-568"/>
    <n v="3"/>
    <x v="6"/>
  </r>
  <r>
    <d v="2011-08-29T00:00:00"/>
    <s v="904-16-42-385"/>
    <n v="93"/>
    <x v="6"/>
  </r>
  <r>
    <d v="2011-09-03T00:00:00"/>
    <s v="337-27-67-378"/>
    <n v="310"/>
    <x v="6"/>
  </r>
  <r>
    <d v="2011-09-03T00:00:00"/>
    <s v="043-34-53-278"/>
    <n v="77"/>
    <x v="6"/>
  </r>
  <r>
    <d v="2011-09-07T00:00:00"/>
    <s v="749-02-70-623"/>
    <n v="21"/>
    <x v="6"/>
  </r>
  <r>
    <d v="2011-09-11T00:00:00"/>
    <s v="396-32-41-555"/>
    <n v="3"/>
    <x v="6"/>
  </r>
  <r>
    <d v="2011-09-13T00:00:00"/>
    <s v="378-70-08-798"/>
    <n v="176"/>
    <x v="6"/>
  </r>
  <r>
    <d v="2011-09-13T00:00:00"/>
    <s v="775-48-66-885"/>
    <n v="20"/>
    <x v="6"/>
  </r>
  <r>
    <d v="2011-09-14T00:00:00"/>
    <s v="337-27-67-378"/>
    <n v="230"/>
    <x v="6"/>
  </r>
  <r>
    <d v="2011-09-14T00:00:00"/>
    <s v="208-84-31-216"/>
    <n v="10"/>
    <x v="6"/>
  </r>
  <r>
    <d v="2011-09-16T00:00:00"/>
    <s v="240-21-54-730"/>
    <n v="12"/>
    <x v="6"/>
  </r>
  <r>
    <d v="2011-09-16T00:00:00"/>
    <s v="193-47-03-638"/>
    <n v="11"/>
    <x v="6"/>
  </r>
  <r>
    <d v="2011-09-17T00:00:00"/>
    <s v="847-48-41-699"/>
    <n v="383"/>
    <x v="6"/>
  </r>
  <r>
    <d v="2011-09-21T00:00:00"/>
    <s v="995-59-41-476"/>
    <n v="249"/>
    <x v="6"/>
  </r>
  <r>
    <d v="2011-09-24T00:00:00"/>
    <s v="299-72-00-838"/>
    <n v="8"/>
    <x v="6"/>
  </r>
  <r>
    <d v="2011-09-26T00:00:00"/>
    <s v="534-94-49-182"/>
    <n v="42"/>
    <x v="6"/>
  </r>
  <r>
    <d v="2011-09-29T00:00:00"/>
    <s v="039-15-21-087"/>
    <n v="1"/>
    <x v="6"/>
  </r>
  <r>
    <d v="2011-09-29T00:00:00"/>
    <s v="178-24-36-171"/>
    <n v="340"/>
    <x v="6"/>
  </r>
  <r>
    <d v="2011-10-01T00:00:00"/>
    <s v="413-93-89-926"/>
    <n v="394"/>
    <x v="6"/>
  </r>
  <r>
    <d v="2011-10-01T00:00:00"/>
    <s v="594-18-15-403"/>
    <n v="176"/>
    <x v="6"/>
  </r>
  <r>
    <d v="2011-10-02T00:00:00"/>
    <s v="378-70-08-798"/>
    <n v="181"/>
    <x v="6"/>
  </r>
  <r>
    <d v="2011-10-06T00:00:00"/>
    <s v="322-66-15-999"/>
    <n v="26"/>
    <x v="6"/>
  </r>
  <r>
    <d v="2011-10-10T00:00:00"/>
    <s v="410-52-79-946"/>
    <n v="73"/>
    <x v="6"/>
  </r>
  <r>
    <d v="2011-10-14T00:00:00"/>
    <s v="941-01-60-075"/>
    <n v="274"/>
    <x v="6"/>
  </r>
  <r>
    <d v="2011-10-17T00:00:00"/>
    <s v="394-54-09-851"/>
    <n v="8"/>
    <x v="6"/>
  </r>
  <r>
    <d v="2011-10-17T00:00:00"/>
    <s v="396-32-41-555"/>
    <n v="12"/>
    <x v="6"/>
  </r>
  <r>
    <d v="2011-10-21T00:00:00"/>
    <s v="941-01-60-075"/>
    <n v="496"/>
    <x v="6"/>
  </r>
  <r>
    <d v="2011-10-22T00:00:00"/>
    <s v="789-52-61-433"/>
    <n v="5"/>
    <x v="6"/>
  </r>
  <r>
    <d v="2011-10-23T00:00:00"/>
    <s v="970-73-69-415"/>
    <n v="2"/>
    <x v="6"/>
  </r>
  <r>
    <d v="2011-10-23T00:00:00"/>
    <s v="527-15-00-673"/>
    <n v="77"/>
    <x v="6"/>
  </r>
  <r>
    <d v="2011-10-31T00:00:00"/>
    <s v="410-52-79-946"/>
    <n v="134"/>
    <x v="6"/>
  </r>
  <r>
    <d v="2011-11-01T00:00:00"/>
    <s v="817-44-45-607"/>
    <n v="4"/>
    <x v="6"/>
  </r>
  <r>
    <d v="2011-11-03T00:00:00"/>
    <s v="322-66-15-999"/>
    <n v="46"/>
    <x v="6"/>
  </r>
  <r>
    <d v="2011-11-05T00:00:00"/>
    <s v="115-65-39-258"/>
    <n v="43"/>
    <x v="6"/>
  </r>
  <r>
    <d v="2011-11-08T00:00:00"/>
    <s v="396-32-41-555"/>
    <n v="2"/>
    <x v="6"/>
  </r>
  <r>
    <d v="2011-11-10T00:00:00"/>
    <s v="080-51-85-809"/>
    <n v="100"/>
    <x v="6"/>
  </r>
  <r>
    <d v="2011-11-10T00:00:00"/>
    <s v="178-24-36-171"/>
    <n v="438"/>
    <x v="6"/>
  </r>
  <r>
    <d v="2011-11-12T00:00:00"/>
    <s v="294-48-56-993"/>
    <n v="69"/>
    <x v="6"/>
  </r>
  <r>
    <d v="2011-11-17T00:00:00"/>
    <s v="885-74-10-856"/>
    <n v="22"/>
    <x v="6"/>
  </r>
  <r>
    <d v="2011-11-18T00:00:00"/>
    <s v="322-66-15-999"/>
    <n v="130"/>
    <x v="6"/>
  </r>
  <r>
    <d v="2011-11-22T00:00:00"/>
    <s v="857-68-68-600"/>
    <n v="5"/>
    <x v="6"/>
  </r>
  <r>
    <d v="2011-11-25T00:00:00"/>
    <s v="507-22-76-992"/>
    <n v="62"/>
    <x v="6"/>
  </r>
  <r>
    <d v="2011-11-27T00:00:00"/>
    <s v="392-77-27-084"/>
    <n v="8"/>
    <x v="6"/>
  </r>
  <r>
    <d v="2011-11-29T00:00:00"/>
    <s v="800-16-32-869"/>
    <n v="18"/>
    <x v="6"/>
  </r>
  <r>
    <d v="2011-12-04T00:00:00"/>
    <s v="410-52-79-946"/>
    <n v="146"/>
    <x v="6"/>
  </r>
  <r>
    <d v="2011-12-04T00:00:00"/>
    <s v="211-13-01-286"/>
    <n v="5"/>
    <x v="6"/>
  </r>
  <r>
    <d v="2011-12-12T00:00:00"/>
    <s v="080-51-85-809"/>
    <n v="20"/>
    <x v="6"/>
  </r>
  <r>
    <d v="2011-12-12T00:00:00"/>
    <s v="178-24-36-171"/>
    <n v="153"/>
    <x v="6"/>
  </r>
  <r>
    <d v="2011-12-13T00:00:00"/>
    <s v="392-78-93-552"/>
    <n v="227"/>
    <x v="6"/>
  </r>
  <r>
    <d v="2011-12-14T00:00:00"/>
    <s v="904-16-42-385"/>
    <n v="52"/>
    <x v="6"/>
  </r>
  <r>
    <d v="2011-12-15T00:00:00"/>
    <s v="043-34-53-278"/>
    <n v="108"/>
    <x v="6"/>
  </r>
  <r>
    <d v="2011-12-18T00:00:00"/>
    <s v="337-27-67-378"/>
    <n v="236"/>
    <x v="6"/>
  </r>
  <r>
    <d v="2011-12-20T00:00:00"/>
    <s v="534-94-49-182"/>
    <n v="125"/>
    <x v="6"/>
  </r>
  <r>
    <d v="2011-12-21T00:00:00"/>
    <s v="749-02-70-623"/>
    <n v="183"/>
    <x v="6"/>
  </r>
  <r>
    <d v="2011-12-22T00:00:00"/>
    <s v="885-74-10-856"/>
    <n v="130"/>
    <x v="6"/>
  </r>
  <r>
    <d v="2011-12-22T00:00:00"/>
    <s v="444-71-75-271"/>
    <n v="4"/>
    <x v="6"/>
  </r>
  <r>
    <d v="2011-12-23T00:00:00"/>
    <s v="253-12-16-366"/>
    <n v="3"/>
    <x v="6"/>
  </r>
  <r>
    <d v="2011-12-24T00:00:00"/>
    <s v="865-06-94-559"/>
    <n v="16"/>
    <x v="6"/>
  </r>
  <r>
    <d v="2011-12-26T00:00:00"/>
    <s v="043-34-53-278"/>
    <n v="197"/>
    <x v="6"/>
  </r>
  <r>
    <d v="2011-12-26T00:00:00"/>
    <s v="193-47-03-638"/>
    <n v="4"/>
    <x v="6"/>
  </r>
  <r>
    <d v="2011-12-27T00:00:00"/>
    <s v="495-93-92-849"/>
    <n v="57"/>
    <x v="6"/>
  </r>
  <r>
    <d v="2011-12-29T00:00:00"/>
    <s v="550-69-18-758"/>
    <n v="16"/>
    <x v="6"/>
  </r>
  <r>
    <d v="2011-12-30T00:00:00"/>
    <s v="620-15-33-614"/>
    <n v="89"/>
    <x v="6"/>
  </r>
  <r>
    <d v="2012-01-04T00:00:00"/>
    <s v="527-15-00-673"/>
    <n v="74"/>
    <x v="7"/>
  </r>
  <r>
    <d v="2012-01-05T00:00:00"/>
    <s v="847-48-41-699"/>
    <n v="243"/>
    <x v="7"/>
  </r>
  <r>
    <d v="2012-01-07T00:00:00"/>
    <s v="178-24-36-171"/>
    <n v="460"/>
    <x v="7"/>
  </r>
  <r>
    <d v="2012-01-07T00:00:00"/>
    <s v="965-57-87-003"/>
    <n v="20"/>
    <x v="7"/>
  </r>
  <r>
    <d v="2012-01-09T00:00:00"/>
    <s v="178-24-36-171"/>
    <n v="250"/>
    <x v="7"/>
  </r>
  <r>
    <d v="2012-01-15T00:00:00"/>
    <s v="749-02-70-623"/>
    <n v="78"/>
    <x v="7"/>
  </r>
  <r>
    <d v="2012-01-17T00:00:00"/>
    <s v="885-74-10-856"/>
    <n v="170"/>
    <x v="7"/>
  </r>
  <r>
    <d v="2012-01-19T00:00:00"/>
    <s v="495-93-92-849"/>
    <n v="128"/>
    <x v="7"/>
  </r>
  <r>
    <d v="2012-01-19T00:00:00"/>
    <s v="692-61-16-906"/>
    <n v="53"/>
    <x v="7"/>
  </r>
  <r>
    <d v="2012-01-20T00:00:00"/>
    <s v="799-94-72-837"/>
    <n v="223"/>
    <x v="7"/>
  </r>
  <r>
    <d v="2012-01-25T00:00:00"/>
    <s v="495-93-92-849"/>
    <n v="47"/>
    <x v="7"/>
  </r>
  <r>
    <d v="2012-01-25T00:00:00"/>
    <s v="916-94-78-836"/>
    <n v="112"/>
    <x v="7"/>
  </r>
  <r>
    <d v="2012-01-27T00:00:00"/>
    <s v="941-01-60-075"/>
    <n v="201"/>
    <x v="7"/>
  </r>
  <r>
    <d v="2012-01-28T00:00:00"/>
    <s v="410-52-79-946"/>
    <n v="121"/>
    <x v="7"/>
  </r>
  <r>
    <d v="2012-01-31T00:00:00"/>
    <s v="254-14-00-156"/>
    <n v="462"/>
    <x v="7"/>
  </r>
  <r>
    <d v="2012-02-02T00:00:00"/>
    <s v="178-24-36-171"/>
    <n v="333"/>
    <x v="7"/>
  </r>
  <r>
    <d v="2012-02-04T00:00:00"/>
    <s v="050-38-86-889"/>
    <n v="9"/>
    <x v="7"/>
  </r>
  <r>
    <d v="2012-02-06T00:00:00"/>
    <s v="410-52-79-946"/>
    <n v="104"/>
    <x v="7"/>
  </r>
  <r>
    <d v="2012-02-06T00:00:00"/>
    <s v="268-62-97-556"/>
    <n v="104"/>
    <x v="7"/>
  </r>
  <r>
    <d v="2012-02-08T00:00:00"/>
    <s v="269-65-16-447"/>
    <n v="78"/>
    <x v="7"/>
  </r>
  <r>
    <d v="2012-02-11T00:00:00"/>
    <s v="534-94-49-182"/>
    <n v="53"/>
    <x v="7"/>
  </r>
  <r>
    <d v="2012-02-12T00:00:00"/>
    <s v="392-78-93-552"/>
    <n v="305"/>
    <x v="7"/>
  </r>
  <r>
    <d v="2012-02-14T00:00:00"/>
    <s v="847-48-41-699"/>
    <n v="363"/>
    <x v="7"/>
  </r>
  <r>
    <d v="2012-02-16T00:00:00"/>
    <s v="806-09-59-839"/>
    <n v="19"/>
    <x v="7"/>
  </r>
  <r>
    <d v="2012-02-16T00:00:00"/>
    <s v="995-59-41-476"/>
    <n v="248"/>
    <x v="7"/>
  </r>
  <r>
    <d v="2012-02-16T00:00:00"/>
    <s v="080-51-85-809"/>
    <n v="64"/>
    <x v="7"/>
  </r>
  <r>
    <d v="2012-02-17T00:00:00"/>
    <s v="941-01-60-075"/>
    <n v="288"/>
    <x v="7"/>
  </r>
  <r>
    <d v="2012-02-18T00:00:00"/>
    <s v="275-38-81-341"/>
    <n v="18"/>
    <x v="7"/>
  </r>
  <r>
    <d v="2012-02-20T00:00:00"/>
    <s v="935-78-99-209"/>
    <n v="54"/>
    <x v="7"/>
  </r>
  <r>
    <d v="2012-02-20T00:00:00"/>
    <s v="687-31-19-697"/>
    <n v="3"/>
    <x v="7"/>
  </r>
  <r>
    <d v="2012-02-21T00:00:00"/>
    <s v="153-24-82-022"/>
    <n v="9"/>
    <x v="7"/>
  </r>
  <r>
    <d v="2012-02-22T00:00:00"/>
    <s v="585-26-73-628"/>
    <n v="19"/>
    <x v="7"/>
  </r>
  <r>
    <d v="2012-02-22T00:00:00"/>
    <s v="294-48-56-993"/>
    <n v="198"/>
    <x v="7"/>
  </r>
  <r>
    <d v="2012-02-27T00:00:00"/>
    <s v="594-18-15-403"/>
    <n v="417"/>
    <x v="7"/>
  </r>
  <r>
    <d v="2012-03-03T00:00:00"/>
    <s v="995-59-41-476"/>
    <n v="221"/>
    <x v="7"/>
  </r>
  <r>
    <d v="2012-03-03T00:00:00"/>
    <s v="269-65-16-447"/>
    <n v="53"/>
    <x v="7"/>
  </r>
  <r>
    <d v="2012-03-05T00:00:00"/>
    <s v="513-33-14-553"/>
    <n v="127"/>
    <x v="7"/>
  </r>
  <r>
    <d v="2012-03-06T00:00:00"/>
    <s v="799-94-72-837"/>
    <n v="340"/>
    <x v="7"/>
  </r>
  <r>
    <d v="2012-03-09T00:00:00"/>
    <s v="254-14-00-156"/>
    <n v="310"/>
    <x v="7"/>
  </r>
  <r>
    <d v="2012-03-11T00:00:00"/>
    <s v="091-99-74-175"/>
    <n v="8"/>
    <x v="7"/>
  </r>
  <r>
    <d v="2012-03-12T00:00:00"/>
    <s v="692-61-16-906"/>
    <n v="132"/>
    <x v="7"/>
  </r>
  <r>
    <d v="2012-03-12T00:00:00"/>
    <s v="294-48-56-993"/>
    <n v="168"/>
    <x v="7"/>
  </r>
  <r>
    <d v="2012-03-14T00:00:00"/>
    <s v="294-48-56-993"/>
    <n v="49"/>
    <x v="7"/>
  </r>
  <r>
    <d v="2012-03-16T00:00:00"/>
    <s v="916-94-78-836"/>
    <n v="140"/>
    <x v="7"/>
  </r>
  <r>
    <d v="2012-03-18T00:00:00"/>
    <s v="968-49-97-804"/>
    <n v="140"/>
    <x v="7"/>
  </r>
  <r>
    <d v="2012-03-18T00:00:00"/>
    <s v="033-49-11-774"/>
    <n v="194"/>
    <x v="7"/>
  </r>
  <r>
    <d v="2012-03-24T00:00:00"/>
    <s v="033-49-11-774"/>
    <n v="123"/>
    <x v="7"/>
  </r>
  <r>
    <d v="2012-03-24T00:00:00"/>
    <s v="340-11-17-090"/>
    <n v="11"/>
    <x v="7"/>
  </r>
  <r>
    <d v="2012-03-26T00:00:00"/>
    <s v="736-91-47-235"/>
    <n v="1"/>
    <x v="7"/>
  </r>
  <r>
    <d v="2012-03-27T00:00:00"/>
    <s v="847-48-41-699"/>
    <n v="267"/>
    <x v="7"/>
  </r>
  <r>
    <d v="2012-03-30T00:00:00"/>
    <s v="585-26-73-628"/>
    <n v="14"/>
    <x v="7"/>
  </r>
  <r>
    <d v="2012-03-31T00:00:00"/>
    <s v="910-38-33-489"/>
    <n v="160"/>
    <x v="7"/>
  </r>
  <r>
    <d v="2012-03-31T00:00:00"/>
    <s v="847-48-41-699"/>
    <n v="437"/>
    <x v="7"/>
  </r>
  <r>
    <d v="2012-04-04T00:00:00"/>
    <s v="115-65-39-258"/>
    <n v="71"/>
    <x v="7"/>
  </r>
  <r>
    <d v="2012-04-05T00:00:00"/>
    <s v="527-15-00-673"/>
    <n v="35"/>
    <x v="7"/>
  </r>
  <r>
    <d v="2012-04-06T00:00:00"/>
    <s v="178-24-36-171"/>
    <n v="116"/>
    <x v="7"/>
  </r>
  <r>
    <d v="2012-04-07T00:00:00"/>
    <s v="043-34-53-278"/>
    <n v="152"/>
    <x v="7"/>
  </r>
  <r>
    <d v="2012-04-12T00:00:00"/>
    <s v="254-14-00-156"/>
    <n v="309"/>
    <x v="7"/>
  </r>
  <r>
    <d v="2012-04-12T00:00:00"/>
    <s v="530-86-39-445"/>
    <n v="7"/>
    <x v="7"/>
  </r>
  <r>
    <d v="2012-04-12T00:00:00"/>
    <s v="995-59-41-476"/>
    <n v="353"/>
    <x v="7"/>
  </r>
  <r>
    <d v="2012-04-13T00:00:00"/>
    <s v="307-98-17-187"/>
    <n v="3"/>
    <x v="7"/>
  </r>
  <r>
    <d v="2012-04-14T00:00:00"/>
    <s v="799-94-72-837"/>
    <n v="166"/>
    <x v="7"/>
  </r>
  <r>
    <d v="2012-04-15T00:00:00"/>
    <s v="444-71-75-271"/>
    <n v="14"/>
    <x v="7"/>
  </r>
  <r>
    <d v="2012-04-15T00:00:00"/>
    <s v="043-34-53-278"/>
    <n v="141"/>
    <x v="7"/>
  </r>
  <r>
    <d v="2012-04-15T00:00:00"/>
    <s v="072-92-42-932"/>
    <n v="15"/>
    <x v="7"/>
  </r>
  <r>
    <d v="2012-04-21T00:00:00"/>
    <s v="178-24-36-171"/>
    <n v="157"/>
    <x v="7"/>
  </r>
  <r>
    <d v="2012-04-26T00:00:00"/>
    <s v="847-48-41-699"/>
    <n v="191"/>
    <x v="7"/>
  </r>
  <r>
    <d v="2012-04-27T00:00:00"/>
    <s v="205-96-13-336"/>
    <n v="7"/>
    <x v="7"/>
  </r>
  <r>
    <d v="2012-04-28T00:00:00"/>
    <s v="294-48-56-993"/>
    <n v="200"/>
    <x v="7"/>
  </r>
  <r>
    <d v="2012-05-04T00:00:00"/>
    <s v="585-26-73-628"/>
    <n v="15"/>
    <x v="7"/>
  </r>
  <r>
    <d v="2012-05-04T00:00:00"/>
    <s v="170-26-38-135"/>
    <n v="7"/>
    <x v="7"/>
  </r>
  <r>
    <d v="2012-05-04T00:00:00"/>
    <s v="799-94-72-837"/>
    <n v="235"/>
    <x v="7"/>
  </r>
  <r>
    <d v="2012-05-05T00:00:00"/>
    <s v="941-01-60-075"/>
    <n v="301"/>
    <x v="7"/>
  </r>
  <r>
    <d v="2012-05-07T00:00:00"/>
    <s v="594-18-15-403"/>
    <n v="136"/>
    <x v="7"/>
  </r>
  <r>
    <d v="2012-05-07T00:00:00"/>
    <s v="080-77-49-649"/>
    <n v="5"/>
    <x v="7"/>
  </r>
  <r>
    <d v="2012-05-08T00:00:00"/>
    <s v="254-14-00-156"/>
    <n v="280"/>
    <x v="7"/>
  </r>
  <r>
    <d v="2012-05-08T00:00:00"/>
    <s v="153-24-82-022"/>
    <n v="3"/>
    <x v="7"/>
  </r>
  <r>
    <d v="2012-05-11T00:00:00"/>
    <s v="523-09-63-706"/>
    <n v="14"/>
    <x v="7"/>
  </r>
  <r>
    <d v="2012-05-12T00:00:00"/>
    <s v="749-02-70-623"/>
    <n v="79"/>
    <x v="7"/>
  </r>
  <r>
    <d v="2012-05-13T00:00:00"/>
    <s v="268-62-97-556"/>
    <n v="86"/>
    <x v="7"/>
  </r>
  <r>
    <d v="2012-05-13T00:00:00"/>
    <s v="033-49-11-774"/>
    <n v="70"/>
    <x v="7"/>
  </r>
  <r>
    <d v="2012-05-14T00:00:00"/>
    <s v="910-38-33-489"/>
    <n v="189"/>
    <x v="7"/>
  </r>
  <r>
    <d v="2012-05-14T00:00:00"/>
    <s v="322-66-15-999"/>
    <n v="111"/>
    <x v="7"/>
  </r>
  <r>
    <d v="2012-05-17T00:00:00"/>
    <s v="080-51-85-809"/>
    <n v="158"/>
    <x v="7"/>
  </r>
  <r>
    <d v="2012-05-22T00:00:00"/>
    <s v="527-15-00-673"/>
    <n v="172"/>
    <x v="7"/>
  </r>
  <r>
    <d v="2012-05-23T00:00:00"/>
    <s v="941-01-60-075"/>
    <n v="179"/>
    <x v="7"/>
  </r>
  <r>
    <d v="2012-05-24T00:00:00"/>
    <s v="963-43-52-686"/>
    <n v="19"/>
    <x v="7"/>
  </r>
  <r>
    <d v="2012-05-24T00:00:00"/>
    <s v="378-70-08-798"/>
    <n v="57"/>
    <x v="7"/>
  </r>
  <r>
    <d v="2012-05-25T00:00:00"/>
    <s v="941-01-60-075"/>
    <n v="335"/>
    <x v="7"/>
  </r>
  <r>
    <d v="2012-05-31T00:00:00"/>
    <s v="299-72-00-838"/>
    <n v="12"/>
    <x v="7"/>
  </r>
  <r>
    <d v="2012-06-01T00:00:00"/>
    <s v="373-76-82-865"/>
    <n v="2"/>
    <x v="7"/>
  </r>
  <r>
    <d v="2012-06-01T00:00:00"/>
    <s v="941-01-60-075"/>
    <n v="237"/>
    <x v="7"/>
  </r>
  <r>
    <d v="2012-06-04T00:00:00"/>
    <s v="254-14-00-156"/>
    <n v="482"/>
    <x v="7"/>
  </r>
  <r>
    <d v="2012-06-04T00:00:00"/>
    <s v="373-76-82-865"/>
    <n v="8"/>
    <x v="7"/>
  </r>
  <r>
    <d v="2012-06-07T00:00:00"/>
    <s v="968-49-97-804"/>
    <n v="147"/>
    <x v="7"/>
  </r>
  <r>
    <d v="2012-06-09T00:00:00"/>
    <s v="178-24-36-171"/>
    <n v="224"/>
    <x v="7"/>
  </r>
  <r>
    <d v="2012-06-10T00:00:00"/>
    <s v="857-68-68-600"/>
    <n v="11"/>
    <x v="7"/>
  </r>
  <r>
    <d v="2012-06-14T00:00:00"/>
    <s v="916-94-78-836"/>
    <n v="184"/>
    <x v="7"/>
  </r>
  <r>
    <d v="2012-06-16T00:00:00"/>
    <s v="780-78-31-328"/>
    <n v="20"/>
    <x v="7"/>
  </r>
  <r>
    <d v="2012-06-16T00:00:00"/>
    <s v="941-01-60-075"/>
    <n v="221"/>
    <x v="7"/>
  </r>
  <r>
    <d v="2012-06-19T00:00:00"/>
    <s v="916-94-78-836"/>
    <n v="162"/>
    <x v="7"/>
  </r>
  <r>
    <d v="2012-06-23T00:00:00"/>
    <s v="296-66-33-717"/>
    <n v="19"/>
    <x v="7"/>
  </r>
  <r>
    <d v="2012-06-28T00:00:00"/>
    <s v="534-38-74-959"/>
    <n v="1"/>
    <x v="7"/>
  </r>
  <r>
    <d v="2012-06-30T00:00:00"/>
    <s v="904-16-42-385"/>
    <n v="122"/>
    <x v="7"/>
  </r>
  <r>
    <d v="2012-06-30T00:00:00"/>
    <s v="413-93-89-926"/>
    <n v="163"/>
    <x v="7"/>
  </r>
  <r>
    <d v="2012-07-01T00:00:00"/>
    <s v="527-15-00-673"/>
    <n v="29"/>
    <x v="7"/>
  </r>
  <r>
    <d v="2012-07-05T00:00:00"/>
    <s v="322-66-15-999"/>
    <n v="106"/>
    <x v="7"/>
  </r>
  <r>
    <d v="2012-07-06T00:00:00"/>
    <s v="799-94-72-837"/>
    <n v="112"/>
    <x v="7"/>
  </r>
  <r>
    <d v="2012-07-07T00:00:00"/>
    <s v="378-70-08-798"/>
    <n v="90"/>
    <x v="7"/>
  </r>
  <r>
    <d v="2012-07-09T00:00:00"/>
    <s v="351-06-97-406"/>
    <n v="7"/>
    <x v="7"/>
  </r>
  <r>
    <d v="2012-07-09T00:00:00"/>
    <s v="033-49-11-774"/>
    <n v="27"/>
    <x v="7"/>
  </r>
  <r>
    <d v="2012-07-09T00:00:00"/>
    <s v="692-61-16-906"/>
    <n v="185"/>
    <x v="7"/>
  </r>
  <r>
    <d v="2012-07-10T00:00:00"/>
    <s v="178-24-36-171"/>
    <n v="153"/>
    <x v="7"/>
  </r>
  <r>
    <d v="2012-07-12T00:00:00"/>
    <s v="692-61-16-906"/>
    <n v="109"/>
    <x v="7"/>
  </r>
  <r>
    <d v="2012-07-14T00:00:00"/>
    <s v="614-36-31-012"/>
    <n v="10"/>
    <x v="7"/>
  </r>
  <r>
    <d v="2012-07-14T00:00:00"/>
    <s v="314-76-34-892"/>
    <n v="10"/>
    <x v="7"/>
  </r>
  <r>
    <d v="2012-07-16T00:00:00"/>
    <s v="179-23-02-772"/>
    <n v="90"/>
    <x v="7"/>
  </r>
  <r>
    <d v="2012-07-16T00:00:00"/>
    <s v="507-22-76-992"/>
    <n v="34"/>
    <x v="7"/>
  </r>
  <r>
    <d v="2012-07-18T00:00:00"/>
    <s v="847-48-41-699"/>
    <n v="106"/>
    <x v="7"/>
  </r>
  <r>
    <d v="2012-07-19T00:00:00"/>
    <s v="847-48-41-699"/>
    <n v="229"/>
    <x v="7"/>
  </r>
  <r>
    <d v="2012-07-25T00:00:00"/>
    <s v="413-93-89-926"/>
    <n v="229"/>
    <x v="7"/>
  </r>
  <r>
    <d v="2012-07-25T00:00:00"/>
    <s v="596-37-06-465"/>
    <n v="20"/>
    <x v="7"/>
  </r>
  <r>
    <d v="2012-07-25T00:00:00"/>
    <s v="392-78-93-552"/>
    <n v="261"/>
    <x v="7"/>
  </r>
  <r>
    <d v="2012-07-28T00:00:00"/>
    <s v="964-69-89-011"/>
    <n v="10"/>
    <x v="7"/>
  </r>
  <r>
    <d v="2012-07-28T00:00:00"/>
    <s v="254-14-00-156"/>
    <n v="400"/>
    <x v="7"/>
  </r>
  <r>
    <d v="2012-08-01T00:00:00"/>
    <s v="799-94-72-837"/>
    <n v="401"/>
    <x v="7"/>
  </r>
  <r>
    <d v="2012-08-03T00:00:00"/>
    <s v="322-66-15-999"/>
    <n v="170"/>
    <x v="7"/>
  </r>
  <r>
    <d v="2012-08-04T00:00:00"/>
    <s v="178-24-36-171"/>
    <n v="124"/>
    <x v="7"/>
  </r>
  <r>
    <d v="2012-08-06T00:00:00"/>
    <s v="687-31-19-697"/>
    <n v="13"/>
    <x v="7"/>
  </r>
  <r>
    <d v="2012-08-09T00:00:00"/>
    <s v="080-51-85-809"/>
    <n v="87"/>
    <x v="7"/>
  </r>
  <r>
    <d v="2012-08-09T00:00:00"/>
    <s v="337-27-67-378"/>
    <n v="190"/>
    <x v="7"/>
  </r>
  <r>
    <d v="2012-08-09T00:00:00"/>
    <s v="941-01-60-075"/>
    <n v="349"/>
    <x v="7"/>
  </r>
  <r>
    <d v="2012-08-11T00:00:00"/>
    <s v="272-67-67-068"/>
    <n v="16"/>
    <x v="7"/>
  </r>
  <r>
    <d v="2012-08-12T00:00:00"/>
    <s v="884-31-58-627"/>
    <n v="42"/>
    <x v="7"/>
  </r>
  <r>
    <d v="2012-08-13T00:00:00"/>
    <s v="033-49-11-774"/>
    <n v="70"/>
    <x v="7"/>
  </r>
  <r>
    <d v="2012-08-15T00:00:00"/>
    <s v="495-93-92-849"/>
    <n v="189"/>
    <x v="7"/>
  </r>
  <r>
    <d v="2012-08-16T00:00:00"/>
    <s v="322-66-15-999"/>
    <n v="64"/>
    <x v="7"/>
  </r>
  <r>
    <d v="2012-08-20T00:00:00"/>
    <s v="968-49-97-804"/>
    <n v="76"/>
    <x v="7"/>
  </r>
  <r>
    <d v="2012-08-21T00:00:00"/>
    <s v="590-28-48-646"/>
    <n v="11"/>
    <x v="7"/>
  </r>
  <r>
    <d v="2012-08-21T00:00:00"/>
    <s v="527-15-00-673"/>
    <n v="96"/>
    <x v="7"/>
  </r>
  <r>
    <d v="2012-08-22T00:00:00"/>
    <s v="531-41-11-525"/>
    <n v="17"/>
    <x v="7"/>
  </r>
  <r>
    <d v="2012-08-22T00:00:00"/>
    <s v="269-65-16-447"/>
    <n v="92"/>
    <x v="7"/>
  </r>
  <r>
    <d v="2012-08-23T00:00:00"/>
    <s v="885-74-10-856"/>
    <n v="76"/>
    <x v="7"/>
  </r>
  <r>
    <d v="2012-08-25T00:00:00"/>
    <s v="749-02-70-623"/>
    <n v="77"/>
    <x v="7"/>
  </r>
  <r>
    <d v="2012-08-26T00:00:00"/>
    <s v="995-59-41-476"/>
    <n v="344"/>
    <x v="7"/>
  </r>
  <r>
    <d v="2012-08-26T00:00:00"/>
    <s v="254-14-00-156"/>
    <n v="218"/>
    <x v="7"/>
  </r>
  <r>
    <d v="2012-08-27T00:00:00"/>
    <s v="941-01-60-075"/>
    <n v="115"/>
    <x v="7"/>
  </r>
  <r>
    <d v="2012-08-28T00:00:00"/>
    <s v="936-67-95-170"/>
    <n v="143"/>
    <x v="7"/>
  </r>
  <r>
    <d v="2012-08-28T00:00:00"/>
    <s v="447-16-72-588"/>
    <n v="1"/>
    <x v="7"/>
  </r>
  <r>
    <d v="2012-09-02T00:00:00"/>
    <s v="513-33-14-553"/>
    <n v="133"/>
    <x v="7"/>
  </r>
  <r>
    <d v="2012-09-02T00:00:00"/>
    <s v="413-93-89-926"/>
    <n v="496"/>
    <x v="7"/>
  </r>
  <r>
    <d v="2012-09-02T00:00:00"/>
    <s v="050-38-86-889"/>
    <n v="5"/>
    <x v="7"/>
  </r>
  <r>
    <d v="2012-09-04T00:00:00"/>
    <s v="093-96-93-428"/>
    <n v="8"/>
    <x v="7"/>
  </r>
  <r>
    <d v="2012-09-05T00:00:00"/>
    <s v="495-93-92-849"/>
    <n v="59"/>
    <x v="7"/>
  </r>
  <r>
    <d v="2012-09-05T00:00:00"/>
    <s v="413-93-89-926"/>
    <n v="273"/>
    <x v="7"/>
  </r>
  <r>
    <d v="2012-09-06T00:00:00"/>
    <s v="847-48-41-699"/>
    <n v="165"/>
    <x v="7"/>
  </r>
  <r>
    <d v="2012-09-10T00:00:00"/>
    <s v="528-09-83-923"/>
    <n v="13"/>
    <x v="7"/>
  </r>
  <r>
    <d v="2012-09-11T00:00:00"/>
    <s v="513-33-14-553"/>
    <n v="143"/>
    <x v="7"/>
  </r>
  <r>
    <d v="2012-09-15T00:00:00"/>
    <s v="336-81-47-193"/>
    <n v="20"/>
    <x v="7"/>
  </r>
  <r>
    <d v="2012-09-19T00:00:00"/>
    <s v="753-35-55-536"/>
    <n v="4"/>
    <x v="7"/>
  </r>
  <r>
    <d v="2012-09-23T00:00:00"/>
    <s v="179-23-02-772"/>
    <n v="102"/>
    <x v="7"/>
  </r>
  <r>
    <d v="2012-09-25T00:00:00"/>
    <s v="043-34-53-278"/>
    <n v="155"/>
    <x v="7"/>
  </r>
  <r>
    <d v="2012-09-27T00:00:00"/>
    <s v="254-14-00-156"/>
    <n v="226"/>
    <x v="7"/>
  </r>
  <r>
    <d v="2012-09-27T00:00:00"/>
    <s v="799-94-72-837"/>
    <n v="346"/>
    <x v="7"/>
  </r>
  <r>
    <d v="2012-09-28T00:00:00"/>
    <s v="495-93-92-849"/>
    <n v="45"/>
    <x v="7"/>
  </r>
  <r>
    <d v="2012-09-30T00:00:00"/>
    <s v="288-84-37-922"/>
    <n v="11"/>
    <x v="7"/>
  </r>
  <r>
    <d v="2012-10-03T00:00:00"/>
    <s v="473-30-19-947"/>
    <n v="14"/>
    <x v="7"/>
  </r>
  <r>
    <d v="2012-10-08T00:00:00"/>
    <s v="843-22-41-173"/>
    <n v="12"/>
    <x v="7"/>
  </r>
  <r>
    <d v="2012-10-13T00:00:00"/>
    <s v="302-11-03-254"/>
    <n v="11"/>
    <x v="7"/>
  </r>
  <r>
    <d v="2012-10-13T00:00:00"/>
    <s v="294-48-56-993"/>
    <n v="142"/>
    <x v="7"/>
  </r>
  <r>
    <d v="2012-10-19T00:00:00"/>
    <s v="884-31-58-627"/>
    <n v="184"/>
    <x v="7"/>
  </r>
  <r>
    <d v="2012-10-20T00:00:00"/>
    <s v="392-78-93-552"/>
    <n v="390"/>
    <x v="7"/>
  </r>
  <r>
    <d v="2012-10-24T00:00:00"/>
    <s v="916-94-78-836"/>
    <n v="110"/>
    <x v="7"/>
  </r>
  <r>
    <d v="2012-10-25T00:00:00"/>
    <s v="080-51-85-809"/>
    <n v="92"/>
    <x v="7"/>
  </r>
  <r>
    <d v="2012-10-26T00:00:00"/>
    <s v="284-59-84-568"/>
    <n v="5"/>
    <x v="7"/>
  </r>
  <r>
    <d v="2012-10-26T00:00:00"/>
    <s v="072-92-42-932"/>
    <n v="2"/>
    <x v="7"/>
  </r>
  <r>
    <d v="2012-10-28T00:00:00"/>
    <s v="180-17-78-339"/>
    <n v="14"/>
    <x v="7"/>
  </r>
  <r>
    <d v="2012-10-31T00:00:00"/>
    <s v="900-85-70-552"/>
    <n v="6"/>
    <x v="7"/>
  </r>
  <r>
    <d v="2012-11-01T00:00:00"/>
    <s v="269-65-16-447"/>
    <n v="65"/>
    <x v="7"/>
  </r>
  <r>
    <d v="2012-11-01T00:00:00"/>
    <s v="513-33-14-553"/>
    <n v="45"/>
    <x v="7"/>
  </r>
  <r>
    <d v="2012-11-01T00:00:00"/>
    <s v="254-14-00-156"/>
    <n v="108"/>
    <x v="7"/>
  </r>
  <r>
    <d v="2012-11-02T00:00:00"/>
    <s v="916-94-78-836"/>
    <n v="159"/>
    <x v="7"/>
  </r>
  <r>
    <d v="2012-11-06T00:00:00"/>
    <s v="080-51-85-809"/>
    <n v="141"/>
    <x v="7"/>
  </r>
  <r>
    <d v="2012-11-06T00:00:00"/>
    <s v="242-04-13-206"/>
    <n v="14"/>
    <x v="7"/>
  </r>
  <r>
    <d v="2012-11-09T00:00:00"/>
    <s v="749-02-70-623"/>
    <n v="142"/>
    <x v="7"/>
  </r>
  <r>
    <d v="2012-11-10T00:00:00"/>
    <s v="847-48-41-699"/>
    <n v="167"/>
    <x v="7"/>
  </r>
  <r>
    <d v="2012-11-11T00:00:00"/>
    <s v="180-17-78-339"/>
    <n v="12"/>
    <x v="7"/>
  </r>
  <r>
    <d v="2012-11-16T00:00:00"/>
    <s v="378-70-08-798"/>
    <n v="187"/>
    <x v="7"/>
  </r>
  <r>
    <d v="2012-11-19T00:00:00"/>
    <s v="176-54-34-364"/>
    <n v="14"/>
    <x v="7"/>
  </r>
  <r>
    <d v="2012-11-22T00:00:00"/>
    <s v="105-89-55-029"/>
    <n v="10"/>
    <x v="7"/>
  </r>
  <r>
    <d v="2012-11-23T00:00:00"/>
    <s v="178-24-36-171"/>
    <n v="269"/>
    <x v="7"/>
  </r>
  <r>
    <d v="2012-11-23T00:00:00"/>
    <s v="594-18-15-403"/>
    <n v="328"/>
    <x v="7"/>
  </r>
  <r>
    <d v="2012-11-24T00:00:00"/>
    <s v="847-48-41-699"/>
    <n v="228"/>
    <x v="7"/>
  </r>
  <r>
    <d v="2012-11-26T00:00:00"/>
    <s v="408-24-90-350"/>
    <n v="12"/>
    <x v="7"/>
  </r>
  <r>
    <d v="2012-12-01T00:00:00"/>
    <s v="015-89-55-248"/>
    <n v="16"/>
    <x v="7"/>
  </r>
  <r>
    <d v="2012-12-04T00:00:00"/>
    <s v="413-93-89-926"/>
    <n v="233"/>
    <x v="7"/>
  </r>
  <r>
    <d v="2012-12-05T00:00:00"/>
    <s v="958-71-87-898"/>
    <n v="10"/>
    <x v="7"/>
  </r>
  <r>
    <d v="2012-12-08T00:00:00"/>
    <s v="749-02-70-623"/>
    <n v="168"/>
    <x v="7"/>
  </r>
  <r>
    <d v="2012-12-08T00:00:00"/>
    <s v="594-18-15-403"/>
    <n v="388"/>
    <x v="7"/>
  </r>
  <r>
    <d v="2012-12-09T00:00:00"/>
    <s v="941-01-60-075"/>
    <n v="319"/>
    <x v="7"/>
  </r>
  <r>
    <d v="2012-12-11T00:00:00"/>
    <s v="178-41-36-927"/>
    <n v="12"/>
    <x v="7"/>
  </r>
  <r>
    <d v="2012-12-13T00:00:00"/>
    <s v="268-62-97-556"/>
    <n v="150"/>
    <x v="7"/>
  </r>
  <r>
    <d v="2012-12-15T00:00:00"/>
    <s v="847-48-41-699"/>
    <n v="347"/>
    <x v="7"/>
  </r>
  <r>
    <d v="2012-12-16T00:00:00"/>
    <s v="033-49-11-774"/>
    <n v="177"/>
    <x v="7"/>
  </r>
  <r>
    <d v="2012-12-19T00:00:00"/>
    <s v="392-78-93-552"/>
    <n v="222"/>
    <x v="7"/>
  </r>
  <r>
    <d v="2012-12-30T00:00:00"/>
    <s v="590-28-48-646"/>
    <n v="9"/>
    <x v="7"/>
  </r>
  <r>
    <d v="2012-12-30T00:00:00"/>
    <s v="062-58-80-597"/>
    <n v="14"/>
    <x v="7"/>
  </r>
  <r>
    <d v="2013-01-01T00:00:00"/>
    <s v="944-16-93-033"/>
    <n v="7"/>
    <x v="8"/>
  </r>
  <r>
    <d v="2013-01-05T00:00:00"/>
    <s v="527-15-00-673"/>
    <n v="171"/>
    <x v="8"/>
  </r>
  <r>
    <d v="2013-01-09T00:00:00"/>
    <s v="325-16-71-125"/>
    <n v="16"/>
    <x v="8"/>
  </r>
  <r>
    <d v="2013-01-10T00:00:00"/>
    <s v="269-65-16-447"/>
    <n v="176"/>
    <x v="8"/>
  </r>
  <r>
    <d v="2013-01-13T00:00:00"/>
    <s v="322-66-15-999"/>
    <n v="37"/>
    <x v="8"/>
  </r>
  <r>
    <d v="2013-01-16T00:00:00"/>
    <s v="269-65-16-447"/>
    <n v="186"/>
    <x v="8"/>
  </r>
  <r>
    <d v="2013-01-16T00:00:00"/>
    <s v="692-61-16-906"/>
    <n v="45"/>
    <x v="8"/>
  </r>
  <r>
    <d v="2013-01-20T00:00:00"/>
    <s v="495-93-92-849"/>
    <n v="186"/>
    <x v="8"/>
  </r>
  <r>
    <d v="2013-01-20T00:00:00"/>
    <s v="799-94-72-837"/>
    <n v="211"/>
    <x v="8"/>
  </r>
  <r>
    <d v="2013-01-26T00:00:00"/>
    <s v="847-48-41-699"/>
    <n v="330"/>
    <x v="8"/>
  </r>
  <r>
    <d v="2013-01-27T00:00:00"/>
    <s v="799-94-72-837"/>
    <n v="134"/>
    <x v="8"/>
  </r>
  <r>
    <d v="2013-01-27T00:00:00"/>
    <s v="847-48-41-699"/>
    <n v="459"/>
    <x v="8"/>
  </r>
  <r>
    <d v="2013-01-28T00:00:00"/>
    <s v="294-48-56-993"/>
    <n v="185"/>
    <x v="8"/>
  </r>
  <r>
    <d v="2013-01-29T00:00:00"/>
    <s v="178-41-36-927"/>
    <n v="3"/>
    <x v="8"/>
  </r>
  <r>
    <d v="2013-01-31T00:00:00"/>
    <s v="534-94-49-182"/>
    <n v="181"/>
    <x v="8"/>
  </r>
  <r>
    <d v="2013-02-04T00:00:00"/>
    <s v="413-93-89-926"/>
    <n v="441"/>
    <x v="8"/>
  </r>
  <r>
    <d v="2013-02-05T00:00:00"/>
    <s v="392-78-93-552"/>
    <n v="487"/>
    <x v="8"/>
  </r>
  <r>
    <d v="2013-02-05T00:00:00"/>
    <s v="495-93-92-849"/>
    <n v="56"/>
    <x v="8"/>
  </r>
  <r>
    <d v="2013-02-09T00:00:00"/>
    <s v="904-16-42-385"/>
    <n v="23"/>
    <x v="8"/>
  </r>
  <r>
    <d v="2013-02-09T00:00:00"/>
    <s v="179-23-02-772"/>
    <n v="113"/>
    <x v="8"/>
  </r>
  <r>
    <d v="2013-02-10T00:00:00"/>
    <s v="047-26-54-835"/>
    <n v="19"/>
    <x v="8"/>
  </r>
  <r>
    <d v="2013-02-11T00:00:00"/>
    <s v="773-39-15-273"/>
    <n v="188"/>
    <x v="8"/>
  </r>
  <r>
    <d v="2013-02-11T00:00:00"/>
    <s v="254-14-00-156"/>
    <n v="338"/>
    <x v="8"/>
  </r>
  <r>
    <d v="2013-02-12T00:00:00"/>
    <s v="935-78-99-209"/>
    <n v="80"/>
    <x v="8"/>
  </r>
  <r>
    <d v="2013-02-13T00:00:00"/>
    <s v="170-26-38-135"/>
    <n v="20"/>
    <x v="8"/>
  </r>
  <r>
    <d v="2013-02-16T00:00:00"/>
    <s v="270-90-07-560"/>
    <n v="1"/>
    <x v="8"/>
  </r>
  <r>
    <d v="2013-02-17T00:00:00"/>
    <s v="495-93-92-849"/>
    <n v="200"/>
    <x v="8"/>
  </r>
  <r>
    <d v="2013-02-18T00:00:00"/>
    <s v="594-18-15-403"/>
    <n v="429"/>
    <x v="8"/>
  </r>
  <r>
    <d v="2013-02-19T00:00:00"/>
    <s v="904-16-42-385"/>
    <n v="183"/>
    <x v="8"/>
  </r>
  <r>
    <d v="2013-02-20T00:00:00"/>
    <s v="749-02-70-623"/>
    <n v="26"/>
    <x v="8"/>
  </r>
  <r>
    <d v="2013-02-21T00:00:00"/>
    <s v="801-63-85-001"/>
    <n v="2"/>
    <x v="8"/>
  </r>
  <r>
    <d v="2013-02-23T00:00:00"/>
    <s v="254-14-00-156"/>
    <n v="174"/>
    <x v="8"/>
  </r>
  <r>
    <d v="2013-02-24T00:00:00"/>
    <s v="495-93-92-849"/>
    <n v="98"/>
    <x v="8"/>
  </r>
  <r>
    <d v="2013-02-24T00:00:00"/>
    <s v="653-45-64-141"/>
    <n v="11"/>
    <x v="8"/>
  </r>
  <r>
    <d v="2013-02-27T00:00:00"/>
    <s v="378-70-08-798"/>
    <n v="58"/>
    <x v="8"/>
  </r>
  <r>
    <d v="2013-03-03T00:00:00"/>
    <s v="045-63-27-114"/>
    <n v="17"/>
    <x v="8"/>
  </r>
  <r>
    <d v="2013-03-04T00:00:00"/>
    <s v="413-93-89-926"/>
    <n v="143"/>
    <x v="8"/>
  </r>
  <r>
    <d v="2013-03-06T00:00:00"/>
    <s v="495-93-92-849"/>
    <n v="108"/>
    <x v="8"/>
  </r>
  <r>
    <d v="2013-03-13T00:00:00"/>
    <s v="995-59-41-476"/>
    <n v="424"/>
    <x v="8"/>
  </r>
  <r>
    <d v="2013-03-18T00:00:00"/>
    <s v="678-73-95-302"/>
    <n v="9"/>
    <x v="8"/>
  </r>
  <r>
    <d v="2013-03-19T00:00:00"/>
    <s v="378-70-08-798"/>
    <n v="135"/>
    <x v="8"/>
  </r>
  <r>
    <d v="2013-03-23T00:00:00"/>
    <s v="799-94-72-837"/>
    <n v="202"/>
    <x v="8"/>
  </r>
  <r>
    <d v="2013-03-24T00:00:00"/>
    <s v="392-78-93-552"/>
    <n v="459"/>
    <x v="8"/>
  </r>
  <r>
    <d v="2013-03-28T00:00:00"/>
    <s v="507-22-76-992"/>
    <n v="107"/>
    <x v="8"/>
  </r>
  <r>
    <d v="2013-03-29T00:00:00"/>
    <s v="968-49-97-804"/>
    <n v="37"/>
    <x v="8"/>
  </r>
  <r>
    <d v="2013-03-30T00:00:00"/>
    <s v="692-61-16-906"/>
    <n v="43"/>
    <x v="8"/>
  </r>
  <r>
    <d v="2013-04-01T00:00:00"/>
    <s v="847-48-41-699"/>
    <n v="352"/>
    <x v="8"/>
  </r>
  <r>
    <d v="2013-04-04T00:00:00"/>
    <s v="269-65-16-447"/>
    <n v="94"/>
    <x v="8"/>
  </r>
  <r>
    <d v="2013-04-04T00:00:00"/>
    <s v="527-15-00-673"/>
    <n v="112"/>
    <x v="8"/>
  </r>
  <r>
    <d v="2013-04-05T00:00:00"/>
    <s v="692-61-16-906"/>
    <n v="136"/>
    <x v="8"/>
  </r>
  <r>
    <d v="2013-04-06T00:00:00"/>
    <s v="773-39-15-273"/>
    <n v="56"/>
    <x v="8"/>
  </r>
  <r>
    <d v="2013-04-08T00:00:00"/>
    <s v="799-94-72-837"/>
    <n v="286"/>
    <x v="8"/>
  </r>
  <r>
    <d v="2013-04-09T00:00:00"/>
    <s v="254-14-00-156"/>
    <n v="296"/>
    <x v="8"/>
  </r>
  <r>
    <d v="2013-04-09T00:00:00"/>
    <s v="410-52-79-946"/>
    <n v="81"/>
    <x v="8"/>
  </r>
  <r>
    <d v="2013-04-10T00:00:00"/>
    <s v="799-94-72-837"/>
    <n v="231"/>
    <x v="8"/>
  </r>
  <r>
    <d v="2013-04-11T00:00:00"/>
    <s v="413-93-89-926"/>
    <n v="149"/>
    <x v="8"/>
  </r>
  <r>
    <d v="2013-04-11T00:00:00"/>
    <s v="958-71-87-898"/>
    <n v="3"/>
    <x v="8"/>
  </r>
  <r>
    <d v="2013-04-12T00:00:00"/>
    <s v="799-94-72-837"/>
    <n v="311"/>
    <x v="8"/>
  </r>
  <r>
    <d v="2013-04-15T00:00:00"/>
    <s v="527-15-00-673"/>
    <n v="121"/>
    <x v="8"/>
  </r>
  <r>
    <d v="2013-04-16T00:00:00"/>
    <s v="214-54-56-360"/>
    <n v="15"/>
    <x v="8"/>
  </r>
  <r>
    <d v="2013-04-17T00:00:00"/>
    <s v="170-89-76-803"/>
    <n v="14"/>
    <x v="8"/>
  </r>
  <r>
    <d v="2013-04-17T00:00:00"/>
    <s v="254-14-00-156"/>
    <n v="240"/>
    <x v="8"/>
  </r>
  <r>
    <d v="2013-04-19T00:00:00"/>
    <s v="800-16-32-869"/>
    <n v="12"/>
    <x v="8"/>
  </r>
  <r>
    <d v="2013-04-21T00:00:00"/>
    <s v="788-39-15-311"/>
    <n v="1"/>
    <x v="8"/>
  </r>
  <r>
    <d v="2013-04-24T00:00:00"/>
    <s v="881-78-83-232"/>
    <n v="12"/>
    <x v="8"/>
  </r>
  <r>
    <d v="2013-04-27T00:00:00"/>
    <s v="269-65-16-447"/>
    <n v="190"/>
    <x v="8"/>
  </r>
  <r>
    <d v="2013-04-28T00:00:00"/>
    <s v="620-15-33-614"/>
    <n v="179"/>
    <x v="8"/>
  </r>
  <r>
    <d v="2013-04-30T00:00:00"/>
    <s v="178-24-36-171"/>
    <n v="106"/>
    <x v="8"/>
  </r>
  <r>
    <d v="2013-05-02T00:00:00"/>
    <s v="254-14-00-156"/>
    <n v="267"/>
    <x v="8"/>
  </r>
  <r>
    <d v="2013-05-02T00:00:00"/>
    <s v="115-65-39-258"/>
    <n v="66"/>
    <x v="8"/>
  </r>
  <r>
    <d v="2013-05-04T00:00:00"/>
    <s v="799-94-72-837"/>
    <n v="471"/>
    <x v="8"/>
  </r>
  <r>
    <d v="2013-05-05T00:00:00"/>
    <s v="767-55-58-288"/>
    <n v="5"/>
    <x v="8"/>
  </r>
  <r>
    <d v="2013-05-07T00:00:00"/>
    <s v="678-73-95-302"/>
    <n v="11"/>
    <x v="8"/>
  </r>
  <r>
    <d v="2013-05-09T00:00:00"/>
    <s v="884-31-58-627"/>
    <n v="103"/>
    <x v="8"/>
  </r>
  <r>
    <d v="2013-05-09T00:00:00"/>
    <s v="080-51-85-809"/>
    <n v="92"/>
    <x v="8"/>
  </r>
  <r>
    <d v="2013-05-11T00:00:00"/>
    <s v="749-02-70-623"/>
    <n v="115"/>
    <x v="8"/>
  </r>
  <r>
    <d v="2013-05-12T00:00:00"/>
    <s v="495-93-92-849"/>
    <n v="62"/>
    <x v="8"/>
  </r>
  <r>
    <d v="2013-05-12T00:00:00"/>
    <s v="594-18-15-403"/>
    <n v="420"/>
    <x v="8"/>
  </r>
  <r>
    <d v="2013-05-12T00:00:00"/>
    <s v="534-94-49-182"/>
    <n v="81"/>
    <x v="8"/>
  </r>
  <r>
    <d v="2013-05-13T00:00:00"/>
    <s v="847-48-41-699"/>
    <n v="412"/>
    <x v="8"/>
  </r>
  <r>
    <d v="2013-05-15T00:00:00"/>
    <s v="392-78-93-552"/>
    <n v="377"/>
    <x v="8"/>
  </r>
  <r>
    <d v="2013-05-20T00:00:00"/>
    <s v="392-78-93-552"/>
    <n v="461"/>
    <x v="8"/>
  </r>
  <r>
    <d v="2013-05-20T00:00:00"/>
    <s v="884-31-58-627"/>
    <n v="138"/>
    <x v="8"/>
  </r>
  <r>
    <d v="2013-05-24T00:00:00"/>
    <s v="596-37-06-465"/>
    <n v="17"/>
    <x v="8"/>
  </r>
  <r>
    <d v="2013-05-28T00:00:00"/>
    <s v="817-44-45-607"/>
    <n v="8"/>
    <x v="8"/>
  </r>
  <r>
    <d v="2013-05-30T00:00:00"/>
    <s v="847-48-41-699"/>
    <n v="448"/>
    <x v="8"/>
  </r>
  <r>
    <d v="2013-06-01T00:00:00"/>
    <s v="847-48-41-699"/>
    <n v="240"/>
    <x v="8"/>
  </r>
  <r>
    <d v="2013-06-02T00:00:00"/>
    <s v="178-24-36-171"/>
    <n v="388"/>
    <x v="8"/>
  </r>
  <r>
    <d v="2013-06-04T00:00:00"/>
    <s v="254-14-00-156"/>
    <n v="455"/>
    <x v="8"/>
  </r>
  <r>
    <d v="2013-06-04T00:00:00"/>
    <s v="413-93-89-926"/>
    <n v="269"/>
    <x v="8"/>
  </r>
  <r>
    <d v="2013-06-07T00:00:00"/>
    <s v="043-34-53-278"/>
    <n v="81"/>
    <x v="8"/>
  </r>
  <r>
    <d v="2013-06-07T00:00:00"/>
    <s v="749-02-70-623"/>
    <n v="99"/>
    <x v="8"/>
  </r>
  <r>
    <d v="2013-06-12T00:00:00"/>
    <s v="549-21-69-479"/>
    <n v="12"/>
    <x v="8"/>
  </r>
  <r>
    <d v="2013-06-14T00:00:00"/>
    <s v="817-14-97-331"/>
    <n v="4"/>
    <x v="8"/>
  </r>
  <r>
    <d v="2013-06-15T00:00:00"/>
    <s v="534-94-49-182"/>
    <n v="132"/>
    <x v="8"/>
  </r>
  <r>
    <d v="2013-06-16T00:00:00"/>
    <s v="179-23-02-772"/>
    <n v="83"/>
    <x v="8"/>
  </r>
  <r>
    <d v="2013-06-21T00:00:00"/>
    <s v="874-03-53-609"/>
    <n v="7"/>
    <x v="8"/>
  </r>
  <r>
    <d v="2013-06-22T00:00:00"/>
    <s v="302-11-03-254"/>
    <n v="9"/>
    <x v="8"/>
  </r>
  <r>
    <d v="2013-06-23T00:00:00"/>
    <s v="270-90-07-560"/>
    <n v="20"/>
    <x v="8"/>
  </r>
  <r>
    <d v="2013-06-24T00:00:00"/>
    <s v="749-02-70-623"/>
    <n v="98"/>
    <x v="8"/>
  </r>
  <r>
    <d v="2013-06-26T00:00:00"/>
    <s v="447-16-72-588"/>
    <n v="9"/>
    <x v="8"/>
  </r>
  <r>
    <d v="2013-06-28T00:00:00"/>
    <s v="368-99-22-310"/>
    <n v="13"/>
    <x v="8"/>
  </r>
  <r>
    <d v="2013-07-01T00:00:00"/>
    <s v="941-01-60-075"/>
    <n v="424"/>
    <x v="8"/>
  </r>
  <r>
    <d v="2013-07-06T00:00:00"/>
    <s v="761-06-34-233"/>
    <n v="31"/>
    <x v="8"/>
  </r>
  <r>
    <d v="2013-07-07T00:00:00"/>
    <s v="126-55-91-375"/>
    <n v="18"/>
    <x v="8"/>
  </r>
  <r>
    <d v="2013-07-09T00:00:00"/>
    <s v="043-34-53-278"/>
    <n v="172"/>
    <x v="8"/>
  </r>
  <r>
    <d v="2013-07-09T00:00:00"/>
    <s v="392-78-93-552"/>
    <n v="373"/>
    <x v="8"/>
  </r>
  <r>
    <d v="2013-07-10T00:00:00"/>
    <s v="413-93-89-926"/>
    <n v="299"/>
    <x v="8"/>
  </r>
  <r>
    <d v="2013-07-16T00:00:00"/>
    <s v="916-94-78-836"/>
    <n v="20"/>
    <x v="8"/>
  </r>
  <r>
    <d v="2013-07-17T00:00:00"/>
    <s v="513-33-14-553"/>
    <n v="89"/>
    <x v="8"/>
  </r>
  <r>
    <d v="2013-07-17T00:00:00"/>
    <s v="968-49-97-804"/>
    <n v="60"/>
    <x v="8"/>
  </r>
  <r>
    <d v="2013-07-20T00:00:00"/>
    <s v="944-16-93-033"/>
    <n v="5"/>
    <x v="8"/>
  </r>
  <r>
    <d v="2013-07-21T00:00:00"/>
    <s v="995-59-41-476"/>
    <n v="125"/>
    <x v="8"/>
  </r>
  <r>
    <d v="2013-07-21T00:00:00"/>
    <s v="904-16-42-385"/>
    <n v="177"/>
    <x v="8"/>
  </r>
  <r>
    <d v="2013-07-22T00:00:00"/>
    <s v="910-38-33-489"/>
    <n v="58"/>
    <x v="8"/>
  </r>
  <r>
    <d v="2013-07-23T00:00:00"/>
    <s v="080-51-85-809"/>
    <n v="174"/>
    <x v="8"/>
  </r>
  <r>
    <d v="2013-07-24T00:00:00"/>
    <s v="254-14-00-156"/>
    <n v="485"/>
    <x v="8"/>
  </r>
  <r>
    <d v="2013-07-26T00:00:00"/>
    <s v="881-78-83-232"/>
    <n v="7"/>
    <x v="8"/>
  </r>
  <r>
    <d v="2013-07-27T00:00:00"/>
    <s v="847-48-41-699"/>
    <n v="109"/>
    <x v="8"/>
  </r>
  <r>
    <d v="2013-07-30T00:00:00"/>
    <s v="043-34-53-278"/>
    <n v="116"/>
    <x v="8"/>
  </r>
  <r>
    <d v="2013-07-31T00:00:00"/>
    <s v="761-06-34-233"/>
    <n v="125"/>
    <x v="8"/>
  </r>
  <r>
    <d v="2013-07-31T00:00:00"/>
    <s v="091-99-74-175"/>
    <n v="15"/>
    <x v="8"/>
  </r>
  <r>
    <d v="2013-08-02T00:00:00"/>
    <s v="857-68-68-600"/>
    <n v="4"/>
    <x v="8"/>
  </r>
  <r>
    <d v="2013-08-03T00:00:00"/>
    <s v="275-38-81-341"/>
    <n v="13"/>
    <x v="8"/>
  </r>
  <r>
    <d v="2013-08-05T00:00:00"/>
    <s v="995-59-41-476"/>
    <n v="338"/>
    <x v="8"/>
  </r>
  <r>
    <d v="2013-08-06T00:00:00"/>
    <s v="319-54-24-686"/>
    <n v="2"/>
    <x v="8"/>
  </r>
  <r>
    <d v="2013-08-07T00:00:00"/>
    <s v="916-94-78-836"/>
    <n v="108"/>
    <x v="8"/>
  </r>
  <r>
    <d v="2013-08-08T00:00:00"/>
    <s v="692-61-16-906"/>
    <n v="119"/>
    <x v="8"/>
  </r>
  <r>
    <d v="2013-08-09T00:00:00"/>
    <s v="254-14-00-156"/>
    <n v="385"/>
    <x v="8"/>
  </r>
  <r>
    <d v="2013-08-09T00:00:00"/>
    <s v="392-78-93-552"/>
    <n v="239"/>
    <x v="8"/>
  </r>
  <r>
    <d v="2013-08-12T00:00:00"/>
    <s v="072-92-42-932"/>
    <n v="8"/>
    <x v="8"/>
  </r>
  <r>
    <d v="2013-08-13T00:00:00"/>
    <s v="413-93-89-926"/>
    <n v="219"/>
    <x v="8"/>
  </r>
  <r>
    <d v="2013-08-17T00:00:00"/>
    <s v="410-52-79-946"/>
    <n v="40"/>
    <x v="8"/>
  </r>
  <r>
    <d v="2013-08-17T00:00:00"/>
    <s v="995-59-41-476"/>
    <n v="166"/>
    <x v="8"/>
  </r>
  <r>
    <d v="2013-08-18T00:00:00"/>
    <s v="527-15-00-673"/>
    <n v="168"/>
    <x v="8"/>
  </r>
  <r>
    <d v="2013-08-19T00:00:00"/>
    <s v="179-23-02-772"/>
    <n v="96"/>
    <x v="8"/>
  </r>
  <r>
    <d v="2013-08-20T00:00:00"/>
    <s v="749-02-70-623"/>
    <n v="23"/>
    <x v="8"/>
  </r>
  <r>
    <d v="2013-08-23T00:00:00"/>
    <s v="857-68-68-600"/>
    <n v="8"/>
    <x v="8"/>
  </r>
  <r>
    <d v="2013-08-23T00:00:00"/>
    <s v="781-80-31-583"/>
    <n v="1"/>
    <x v="8"/>
  </r>
  <r>
    <d v="2013-08-23T00:00:00"/>
    <s v="045-63-27-114"/>
    <n v="4"/>
    <x v="8"/>
  </r>
  <r>
    <d v="2013-08-26T00:00:00"/>
    <s v="950-40-82-698"/>
    <n v="170"/>
    <x v="8"/>
  </r>
  <r>
    <d v="2013-08-28T00:00:00"/>
    <s v="392-78-93-552"/>
    <n v="193"/>
    <x v="8"/>
  </r>
  <r>
    <d v="2013-08-31T00:00:00"/>
    <s v="929-74-62-713"/>
    <n v="5"/>
    <x v="8"/>
  </r>
  <r>
    <d v="2013-09-03T00:00:00"/>
    <s v="851-69-49-933"/>
    <n v="5"/>
    <x v="8"/>
  </r>
  <r>
    <d v="2013-09-03T00:00:00"/>
    <s v="368-99-22-310"/>
    <n v="15"/>
    <x v="8"/>
  </r>
  <r>
    <d v="2013-09-08T00:00:00"/>
    <s v="164-61-25-530"/>
    <n v="14"/>
    <x v="8"/>
  </r>
  <r>
    <d v="2013-09-08T00:00:00"/>
    <s v="916-94-78-836"/>
    <n v="96"/>
    <x v="8"/>
  </r>
  <r>
    <d v="2013-09-12T00:00:00"/>
    <s v="138-66-38-929"/>
    <n v="1"/>
    <x v="8"/>
  </r>
  <r>
    <d v="2013-09-16T00:00:00"/>
    <s v="513-33-14-553"/>
    <n v="164"/>
    <x v="8"/>
  </r>
  <r>
    <d v="2013-09-17T00:00:00"/>
    <s v="178-24-36-171"/>
    <n v="105"/>
    <x v="8"/>
  </r>
  <r>
    <d v="2013-09-19T00:00:00"/>
    <s v="211-35-92-831"/>
    <n v="17"/>
    <x v="8"/>
  </r>
  <r>
    <d v="2013-09-21T00:00:00"/>
    <s v="047-26-54-835"/>
    <n v="5"/>
    <x v="8"/>
  </r>
  <r>
    <d v="2013-09-26T00:00:00"/>
    <s v="392-78-93-552"/>
    <n v="212"/>
    <x v="8"/>
  </r>
  <r>
    <d v="2013-09-26T00:00:00"/>
    <s v="847-48-41-699"/>
    <n v="128"/>
    <x v="8"/>
  </r>
  <r>
    <d v="2013-09-26T00:00:00"/>
    <s v="378-70-08-798"/>
    <n v="147"/>
    <x v="8"/>
  </r>
  <r>
    <d v="2013-09-27T00:00:00"/>
    <s v="799-94-72-837"/>
    <n v="436"/>
    <x v="8"/>
  </r>
  <r>
    <d v="2013-09-28T00:00:00"/>
    <s v="128-29-15-591"/>
    <n v="4"/>
    <x v="8"/>
  </r>
  <r>
    <d v="2013-09-28T00:00:00"/>
    <s v="302-11-03-254"/>
    <n v="4"/>
    <x v="8"/>
  </r>
  <r>
    <d v="2013-10-04T00:00:00"/>
    <s v="179-23-02-772"/>
    <n v="78"/>
    <x v="8"/>
  </r>
  <r>
    <d v="2013-10-11T00:00:00"/>
    <s v="749-02-70-623"/>
    <n v="159"/>
    <x v="8"/>
  </r>
  <r>
    <d v="2013-10-11T00:00:00"/>
    <s v="885-74-10-856"/>
    <n v="103"/>
    <x v="8"/>
  </r>
  <r>
    <d v="2013-10-12T00:00:00"/>
    <s v="495-93-92-849"/>
    <n v="57"/>
    <x v="8"/>
  </r>
  <r>
    <d v="2013-10-12T00:00:00"/>
    <s v="910-38-33-489"/>
    <n v="121"/>
    <x v="8"/>
  </r>
  <r>
    <d v="2013-10-12T00:00:00"/>
    <s v="053-79-35-388"/>
    <n v="14"/>
    <x v="8"/>
  </r>
  <r>
    <d v="2013-10-13T00:00:00"/>
    <s v="599-00-55-316"/>
    <n v="2"/>
    <x v="8"/>
  </r>
  <r>
    <d v="2013-10-13T00:00:00"/>
    <s v="662-14-22-719"/>
    <n v="19"/>
    <x v="8"/>
  </r>
  <r>
    <d v="2013-10-14T00:00:00"/>
    <s v="264-98-29-926"/>
    <n v="20"/>
    <x v="8"/>
  </r>
  <r>
    <d v="2013-10-15T00:00:00"/>
    <s v="799-94-72-837"/>
    <n v="367"/>
    <x v="8"/>
  </r>
  <r>
    <d v="2013-10-15T00:00:00"/>
    <s v="847-48-41-699"/>
    <n v="458"/>
    <x v="8"/>
  </r>
  <r>
    <d v="2013-10-16T00:00:00"/>
    <s v="392-78-93-552"/>
    <n v="100"/>
    <x v="8"/>
  </r>
  <r>
    <d v="2013-10-16T00:00:00"/>
    <s v="043-34-53-278"/>
    <n v="62"/>
    <x v="8"/>
  </r>
  <r>
    <d v="2013-10-20T00:00:00"/>
    <s v="043-34-53-278"/>
    <n v="184"/>
    <x v="8"/>
  </r>
  <r>
    <d v="2013-10-21T00:00:00"/>
    <s v="080-51-85-809"/>
    <n v="156"/>
    <x v="8"/>
  </r>
  <r>
    <d v="2013-10-22T00:00:00"/>
    <s v="254-14-00-156"/>
    <n v="142"/>
    <x v="8"/>
  </r>
  <r>
    <d v="2013-10-23T00:00:00"/>
    <s v="043-34-53-278"/>
    <n v="97"/>
    <x v="8"/>
  </r>
  <r>
    <d v="2013-10-23T00:00:00"/>
    <s v="254-14-00-156"/>
    <n v="136"/>
    <x v="8"/>
  </r>
  <r>
    <d v="2013-10-23T00:00:00"/>
    <s v="179-23-02-772"/>
    <n v="108"/>
    <x v="8"/>
  </r>
  <r>
    <d v="2013-10-25T00:00:00"/>
    <s v="410-52-79-946"/>
    <n v="51"/>
    <x v="8"/>
  </r>
  <r>
    <d v="2013-10-27T00:00:00"/>
    <s v="473-30-19-947"/>
    <n v="7"/>
    <x v="8"/>
  </r>
  <r>
    <d v="2013-10-29T00:00:00"/>
    <s v="985-21-38-706"/>
    <n v="19"/>
    <x v="8"/>
  </r>
  <r>
    <d v="2013-10-30T00:00:00"/>
    <s v="970-73-69-415"/>
    <n v="4"/>
    <x v="8"/>
  </r>
  <r>
    <d v="2013-11-02T00:00:00"/>
    <s v="392-78-93-552"/>
    <n v="163"/>
    <x v="8"/>
  </r>
  <r>
    <d v="2013-11-02T00:00:00"/>
    <s v="534-94-49-182"/>
    <n v="165"/>
    <x v="8"/>
  </r>
  <r>
    <d v="2013-11-03T00:00:00"/>
    <s v="211-35-92-831"/>
    <n v="14"/>
    <x v="8"/>
  </r>
  <r>
    <d v="2013-11-05T00:00:00"/>
    <s v="378-70-08-798"/>
    <n v="177"/>
    <x v="8"/>
  </r>
  <r>
    <d v="2013-11-06T00:00:00"/>
    <s v="964-69-89-011"/>
    <n v="1"/>
    <x v="8"/>
  </r>
  <r>
    <d v="2013-11-07T00:00:00"/>
    <s v="179-23-02-772"/>
    <n v="193"/>
    <x v="8"/>
  </r>
  <r>
    <d v="2013-11-07T00:00:00"/>
    <s v="561-00-46-873"/>
    <n v="8"/>
    <x v="8"/>
  </r>
  <r>
    <d v="2013-11-10T00:00:00"/>
    <s v="817-14-97-331"/>
    <n v="11"/>
    <x v="8"/>
  </r>
  <r>
    <d v="2013-11-16T00:00:00"/>
    <s v="178-24-36-171"/>
    <n v="249"/>
    <x v="8"/>
  </r>
  <r>
    <d v="2013-11-20T00:00:00"/>
    <s v="594-18-15-403"/>
    <n v="360"/>
    <x v="8"/>
  </r>
  <r>
    <d v="2013-11-24T00:00:00"/>
    <s v="294-48-56-993"/>
    <n v="186"/>
    <x v="8"/>
  </r>
  <r>
    <d v="2013-11-25T00:00:00"/>
    <s v="495-93-92-849"/>
    <n v="29"/>
    <x v="8"/>
  </r>
  <r>
    <d v="2013-11-28T00:00:00"/>
    <s v="534-94-49-182"/>
    <n v="174"/>
    <x v="8"/>
  </r>
  <r>
    <d v="2013-11-29T00:00:00"/>
    <s v="254-14-00-156"/>
    <n v="131"/>
    <x v="8"/>
  </r>
  <r>
    <d v="2013-12-01T00:00:00"/>
    <s v="254-14-00-156"/>
    <n v="157"/>
    <x v="8"/>
  </r>
  <r>
    <d v="2013-12-01T00:00:00"/>
    <s v="799-94-72-837"/>
    <n v="284"/>
    <x v="8"/>
  </r>
  <r>
    <d v="2013-12-02T00:00:00"/>
    <s v="413-93-89-926"/>
    <n v="292"/>
    <x v="8"/>
  </r>
  <r>
    <d v="2013-12-04T00:00:00"/>
    <s v="530-86-39-445"/>
    <n v="13"/>
    <x v="8"/>
  </r>
  <r>
    <d v="2013-12-06T00:00:00"/>
    <s v="954-85-72-732"/>
    <n v="16"/>
    <x v="8"/>
  </r>
  <r>
    <d v="2013-12-06T00:00:00"/>
    <s v="178-24-36-171"/>
    <n v="364"/>
    <x v="8"/>
  </r>
  <r>
    <d v="2013-12-07T00:00:00"/>
    <s v="599-00-55-316"/>
    <n v="16"/>
    <x v="8"/>
  </r>
  <r>
    <d v="2013-12-07T00:00:00"/>
    <s v="590-28-48-646"/>
    <n v="3"/>
    <x v="8"/>
  </r>
  <r>
    <d v="2013-12-08T00:00:00"/>
    <s v="346-83-33-264"/>
    <n v="9"/>
    <x v="8"/>
  </r>
  <r>
    <d v="2013-12-09T00:00:00"/>
    <s v="523-09-63-706"/>
    <n v="6"/>
    <x v="8"/>
  </r>
  <r>
    <d v="2013-12-13T00:00:00"/>
    <s v="884-31-58-627"/>
    <n v="117"/>
    <x v="8"/>
  </r>
  <r>
    <d v="2013-12-14T00:00:00"/>
    <s v="159-34-45-151"/>
    <n v="6"/>
    <x v="8"/>
  </r>
  <r>
    <d v="2013-12-15T00:00:00"/>
    <s v="847-48-41-699"/>
    <n v="186"/>
    <x v="8"/>
  </r>
  <r>
    <d v="2013-12-15T00:00:00"/>
    <s v="159-34-45-151"/>
    <n v="16"/>
    <x v="8"/>
  </r>
  <r>
    <d v="2013-12-16T00:00:00"/>
    <s v="043-34-53-278"/>
    <n v="100"/>
    <x v="8"/>
  </r>
  <r>
    <d v="2013-12-21T00:00:00"/>
    <s v="369-43-03-176"/>
    <n v="20"/>
    <x v="8"/>
  </r>
  <r>
    <d v="2013-12-21T00:00:00"/>
    <s v="968-49-97-804"/>
    <n v="192"/>
    <x v="8"/>
  </r>
  <r>
    <d v="2013-12-22T00:00:00"/>
    <s v="968-49-97-804"/>
    <n v="92"/>
    <x v="8"/>
  </r>
  <r>
    <d v="2013-12-23T00:00:00"/>
    <s v="211-13-01-286"/>
    <n v="11"/>
    <x v="8"/>
  </r>
  <r>
    <d v="2013-12-25T00:00:00"/>
    <s v="177-95-05-373"/>
    <n v="10"/>
    <x v="8"/>
  </r>
  <r>
    <d v="2013-12-26T00:00:00"/>
    <s v="884-31-58-627"/>
    <n v="180"/>
    <x v="8"/>
  </r>
  <r>
    <d v="2013-12-29T00:00:00"/>
    <s v="242-04-13-206"/>
    <n v="12"/>
    <x v="8"/>
  </r>
  <r>
    <d v="2013-12-30T00:00:00"/>
    <s v="091-99-74-175"/>
    <n v="12"/>
    <x v="8"/>
  </r>
  <r>
    <d v="2013-12-31T00:00:00"/>
    <s v="325-70-30-985"/>
    <n v="8"/>
    <x v="8"/>
  </r>
  <r>
    <d v="2014-01-02T00:00:00"/>
    <s v="904-16-42-385"/>
    <n v="56"/>
    <x v="9"/>
  </r>
  <r>
    <d v="2014-01-03T00:00:00"/>
    <s v="054-09-46-315"/>
    <n v="18"/>
    <x v="9"/>
  </r>
  <r>
    <d v="2014-01-03T00:00:00"/>
    <s v="799-94-72-837"/>
    <n v="164"/>
    <x v="9"/>
  </r>
  <r>
    <d v="2014-01-06T00:00:00"/>
    <s v="534-94-49-182"/>
    <n v="111"/>
    <x v="9"/>
  </r>
  <r>
    <d v="2014-01-07T00:00:00"/>
    <s v="395-19-63-367"/>
    <n v="14"/>
    <x v="9"/>
  </r>
  <r>
    <d v="2014-01-08T00:00:00"/>
    <s v="995-59-41-476"/>
    <n v="143"/>
    <x v="9"/>
  </r>
  <r>
    <d v="2014-01-09T00:00:00"/>
    <s v="749-02-70-623"/>
    <n v="64"/>
    <x v="9"/>
  </r>
  <r>
    <d v="2014-01-12T00:00:00"/>
    <s v="929-74-62-713"/>
    <n v="3"/>
    <x v="9"/>
  </r>
  <r>
    <d v="2014-01-13T00:00:00"/>
    <s v="392-78-93-552"/>
    <n v="152"/>
    <x v="9"/>
  </r>
  <r>
    <d v="2014-01-14T00:00:00"/>
    <s v="749-02-70-623"/>
    <n v="152"/>
    <x v="9"/>
  </r>
  <r>
    <d v="2014-01-16T00:00:00"/>
    <s v="678-73-95-302"/>
    <n v="15"/>
    <x v="9"/>
  </r>
  <r>
    <d v="2014-01-17T00:00:00"/>
    <s v="884-31-58-627"/>
    <n v="117"/>
    <x v="9"/>
  </r>
  <r>
    <d v="2014-01-17T00:00:00"/>
    <s v="941-27-28-381"/>
    <n v="14"/>
    <x v="9"/>
  </r>
  <r>
    <d v="2014-01-17T00:00:00"/>
    <s v="392-78-93-552"/>
    <n v="431"/>
    <x v="9"/>
  </r>
  <r>
    <d v="2014-01-19T00:00:00"/>
    <s v="178-24-36-171"/>
    <n v="390"/>
    <x v="9"/>
  </r>
  <r>
    <d v="2014-01-24T00:00:00"/>
    <s v="091-99-74-175"/>
    <n v="1"/>
    <x v="9"/>
  </r>
  <r>
    <d v="2014-01-27T00:00:00"/>
    <s v="413-93-89-926"/>
    <n v="392"/>
    <x v="9"/>
  </r>
  <r>
    <d v="2014-01-29T00:00:00"/>
    <s v="916-94-78-836"/>
    <n v="175"/>
    <x v="9"/>
  </r>
  <r>
    <d v="2014-01-29T00:00:00"/>
    <s v="322-66-15-999"/>
    <n v="118"/>
    <x v="9"/>
  </r>
  <r>
    <d v="2014-02-02T00:00:00"/>
    <s v="847-48-41-699"/>
    <n v="297"/>
    <x v="9"/>
  </r>
  <r>
    <d v="2014-02-06T00:00:00"/>
    <s v="033-49-11-774"/>
    <n v="89"/>
    <x v="9"/>
  </r>
  <r>
    <d v="2014-02-06T00:00:00"/>
    <s v="178-24-36-171"/>
    <n v="182"/>
    <x v="9"/>
  </r>
  <r>
    <d v="2014-02-07T00:00:00"/>
    <s v="749-02-70-623"/>
    <n v="130"/>
    <x v="9"/>
  </r>
  <r>
    <d v="2014-02-10T00:00:00"/>
    <s v="294-48-56-993"/>
    <n v="187"/>
    <x v="9"/>
  </r>
  <r>
    <d v="2014-02-11T00:00:00"/>
    <s v="941-01-60-075"/>
    <n v="166"/>
    <x v="9"/>
  </r>
  <r>
    <d v="2014-02-12T00:00:00"/>
    <s v="033-49-11-774"/>
    <n v="58"/>
    <x v="9"/>
  </r>
  <r>
    <d v="2014-02-16T00:00:00"/>
    <s v="410-52-79-946"/>
    <n v="187"/>
    <x v="9"/>
  </r>
  <r>
    <d v="2014-02-17T00:00:00"/>
    <s v="033-49-11-774"/>
    <n v="58"/>
    <x v="9"/>
  </r>
  <r>
    <d v="2014-02-19T00:00:00"/>
    <s v="767-55-58-288"/>
    <n v="19"/>
    <x v="9"/>
  </r>
  <r>
    <d v="2014-02-19T00:00:00"/>
    <s v="847-48-41-699"/>
    <n v="388"/>
    <x v="9"/>
  </r>
  <r>
    <d v="2014-02-20T00:00:00"/>
    <s v="194-54-73-711"/>
    <n v="20"/>
    <x v="9"/>
  </r>
  <r>
    <d v="2014-02-20T00:00:00"/>
    <s v="043-34-53-278"/>
    <n v="185"/>
    <x v="9"/>
  </r>
  <r>
    <d v="2014-02-20T00:00:00"/>
    <s v="527-15-00-673"/>
    <n v="191"/>
    <x v="9"/>
  </r>
  <r>
    <d v="2014-02-21T00:00:00"/>
    <s v="277-10-19-546"/>
    <n v="1"/>
    <x v="9"/>
  </r>
  <r>
    <d v="2014-02-22T00:00:00"/>
    <s v="884-31-58-627"/>
    <n v="90"/>
    <x v="9"/>
  </r>
  <r>
    <d v="2014-02-26T00:00:00"/>
    <s v="847-48-41-699"/>
    <n v="234"/>
    <x v="9"/>
  </r>
  <r>
    <d v="2014-03-01T00:00:00"/>
    <s v="392-78-93-552"/>
    <n v="212"/>
    <x v="9"/>
  </r>
  <r>
    <d v="2014-03-03T00:00:00"/>
    <s v="392-78-93-552"/>
    <n v="372"/>
    <x v="9"/>
  </r>
  <r>
    <d v="2014-03-03T00:00:00"/>
    <s v="968-49-97-804"/>
    <n v="102"/>
    <x v="9"/>
  </r>
  <r>
    <d v="2014-03-03T00:00:00"/>
    <s v="749-02-70-623"/>
    <n v="69"/>
    <x v="9"/>
  </r>
  <r>
    <d v="2014-03-10T00:00:00"/>
    <s v="180-17-78-339"/>
    <n v="5"/>
    <x v="9"/>
  </r>
  <r>
    <d v="2014-03-15T00:00:00"/>
    <s v="513-33-14-553"/>
    <n v="146"/>
    <x v="9"/>
  </r>
  <r>
    <d v="2014-03-16T00:00:00"/>
    <s v="910-38-33-489"/>
    <n v="114"/>
    <x v="9"/>
  </r>
  <r>
    <d v="2014-03-18T00:00:00"/>
    <s v="799-94-72-837"/>
    <n v="265"/>
    <x v="9"/>
  </r>
  <r>
    <d v="2014-03-18T00:00:00"/>
    <s v="970-87-50-317"/>
    <n v="1"/>
    <x v="9"/>
  </r>
  <r>
    <d v="2014-03-21T00:00:00"/>
    <s v="299-98-16-259"/>
    <n v="16"/>
    <x v="9"/>
  </r>
  <r>
    <d v="2014-03-23T00:00:00"/>
    <s v="737-62-05-770"/>
    <n v="11"/>
    <x v="9"/>
  </r>
  <r>
    <d v="2014-03-23T00:00:00"/>
    <s v="178-24-36-171"/>
    <n v="118"/>
    <x v="9"/>
  </r>
  <r>
    <d v="2014-03-30T00:00:00"/>
    <s v="392-78-93-552"/>
    <n v="213"/>
    <x v="9"/>
  </r>
  <r>
    <d v="2014-04-03T00:00:00"/>
    <s v="847-48-41-699"/>
    <n v="146"/>
    <x v="9"/>
  </r>
  <r>
    <d v="2014-04-05T00:00:00"/>
    <s v="609-57-46-753"/>
    <n v="6"/>
    <x v="9"/>
  </r>
  <r>
    <d v="2014-04-07T00:00:00"/>
    <s v="392-78-93-552"/>
    <n v="392"/>
    <x v="9"/>
  </r>
  <r>
    <d v="2014-04-07T00:00:00"/>
    <s v="995-59-41-476"/>
    <n v="422"/>
    <x v="9"/>
  </r>
  <r>
    <d v="2014-04-11T00:00:00"/>
    <s v="178-24-36-171"/>
    <n v="474"/>
    <x v="9"/>
  </r>
  <r>
    <d v="2014-04-12T00:00:00"/>
    <s v="322-66-15-999"/>
    <n v="166"/>
    <x v="9"/>
  </r>
  <r>
    <d v="2014-04-14T00:00:00"/>
    <s v="322-66-15-999"/>
    <n v="121"/>
    <x v="9"/>
  </r>
  <r>
    <d v="2014-04-15T00:00:00"/>
    <s v="413-93-89-926"/>
    <n v="406"/>
    <x v="9"/>
  </r>
  <r>
    <d v="2014-04-17T00:00:00"/>
    <s v="294-48-56-993"/>
    <n v="41"/>
    <x v="9"/>
  </r>
  <r>
    <d v="2014-04-21T00:00:00"/>
    <s v="941-01-60-075"/>
    <n v="254"/>
    <x v="9"/>
  </r>
  <r>
    <d v="2014-04-21T00:00:00"/>
    <s v="847-48-41-699"/>
    <n v="246"/>
    <x v="9"/>
  </r>
  <r>
    <d v="2014-04-26T00:00:00"/>
    <s v="080-51-85-809"/>
    <n v="148"/>
    <x v="9"/>
  </r>
  <r>
    <d v="2014-04-26T00:00:00"/>
    <s v="594-18-15-403"/>
    <n v="365"/>
    <x v="9"/>
  </r>
  <r>
    <d v="2014-04-27T00:00:00"/>
    <s v="910-38-33-489"/>
    <n v="20"/>
    <x v="9"/>
  </r>
  <r>
    <d v="2014-05-02T00:00:00"/>
    <s v="447-16-72-588"/>
    <n v="4"/>
    <x v="9"/>
  </r>
  <r>
    <d v="2014-05-05T00:00:00"/>
    <s v="392-78-93-552"/>
    <n v="215"/>
    <x v="9"/>
  </r>
  <r>
    <d v="2014-05-07T00:00:00"/>
    <s v="904-16-42-385"/>
    <n v="138"/>
    <x v="9"/>
  </r>
  <r>
    <d v="2014-05-07T00:00:00"/>
    <s v="254-14-00-156"/>
    <n v="496"/>
    <x v="9"/>
  </r>
  <r>
    <d v="2014-05-08T00:00:00"/>
    <s v="916-94-78-836"/>
    <n v="155"/>
    <x v="9"/>
  </r>
  <r>
    <d v="2014-05-11T00:00:00"/>
    <s v="337-27-67-378"/>
    <n v="386"/>
    <x v="9"/>
  </r>
  <r>
    <d v="2014-05-14T00:00:00"/>
    <s v="884-31-58-627"/>
    <n v="124"/>
    <x v="9"/>
  </r>
  <r>
    <d v="2014-05-15T00:00:00"/>
    <s v="799-94-72-837"/>
    <n v="173"/>
    <x v="9"/>
  </r>
  <r>
    <d v="2014-05-17T00:00:00"/>
    <s v="968-49-97-804"/>
    <n v="161"/>
    <x v="9"/>
  </r>
  <r>
    <d v="2014-05-19T00:00:00"/>
    <s v="513-33-14-553"/>
    <n v="147"/>
    <x v="9"/>
  </r>
  <r>
    <d v="2014-05-25T00:00:00"/>
    <s v="178-24-36-171"/>
    <n v="401"/>
    <x v="9"/>
  </r>
  <r>
    <d v="2014-05-25T00:00:00"/>
    <s v="941-01-60-075"/>
    <n v="101"/>
    <x v="9"/>
  </r>
  <r>
    <d v="2014-05-26T00:00:00"/>
    <s v="178-24-36-171"/>
    <n v="169"/>
    <x v="9"/>
  </r>
  <r>
    <d v="2014-05-27T00:00:00"/>
    <s v="799-94-72-837"/>
    <n v="324"/>
    <x v="9"/>
  </r>
  <r>
    <d v="2014-05-28T00:00:00"/>
    <s v="351-83-41-145"/>
    <n v="16"/>
    <x v="9"/>
  </r>
  <r>
    <d v="2014-05-29T00:00:00"/>
    <s v="884-31-58-627"/>
    <n v="194"/>
    <x v="9"/>
  </r>
  <r>
    <d v="2014-05-30T00:00:00"/>
    <s v="995-59-41-476"/>
    <n v="197"/>
    <x v="9"/>
  </r>
  <r>
    <d v="2014-05-30T00:00:00"/>
    <s v="033-49-11-774"/>
    <n v="23"/>
    <x v="9"/>
  </r>
  <r>
    <d v="2014-05-31T00:00:00"/>
    <s v="904-16-42-385"/>
    <n v="138"/>
    <x v="9"/>
  </r>
  <r>
    <d v="2014-06-01T00:00:00"/>
    <s v="692-61-16-906"/>
    <n v="121"/>
    <x v="9"/>
  </r>
  <r>
    <d v="2014-06-03T00:00:00"/>
    <s v="951-02-59-808"/>
    <n v="10"/>
    <x v="9"/>
  </r>
  <r>
    <d v="2014-06-05T00:00:00"/>
    <s v="473-30-19-947"/>
    <n v="9"/>
    <x v="9"/>
  </r>
  <r>
    <d v="2014-06-08T00:00:00"/>
    <s v="495-93-92-849"/>
    <n v="35"/>
    <x v="9"/>
  </r>
  <r>
    <d v="2014-06-12T00:00:00"/>
    <s v="968-49-97-804"/>
    <n v="154"/>
    <x v="9"/>
  </r>
  <r>
    <d v="2014-06-16T00:00:00"/>
    <s v="192-09-72-275"/>
    <n v="1"/>
    <x v="9"/>
  </r>
  <r>
    <d v="2014-06-17T00:00:00"/>
    <s v="799-94-72-837"/>
    <n v="249"/>
    <x v="9"/>
  </r>
  <r>
    <d v="2014-06-17T00:00:00"/>
    <s v="916-94-78-836"/>
    <n v="27"/>
    <x v="9"/>
  </r>
  <r>
    <d v="2014-06-19T00:00:00"/>
    <s v="904-16-42-385"/>
    <n v="167"/>
    <x v="9"/>
  </r>
  <r>
    <d v="2014-06-20T00:00:00"/>
    <s v="904-16-42-385"/>
    <n v="71"/>
    <x v="9"/>
  </r>
  <r>
    <d v="2014-06-20T00:00:00"/>
    <s v="014-02-05-290"/>
    <n v="13"/>
    <x v="9"/>
  </r>
  <r>
    <d v="2014-06-21T00:00:00"/>
    <s v="534-94-49-182"/>
    <n v="90"/>
    <x v="9"/>
  </r>
  <r>
    <d v="2014-06-24T00:00:00"/>
    <s v="847-48-41-699"/>
    <n v="106"/>
    <x v="9"/>
  </r>
  <r>
    <d v="2014-06-25T00:00:00"/>
    <s v="527-15-00-673"/>
    <n v="57"/>
    <x v="9"/>
  </r>
  <r>
    <d v="2014-06-25T00:00:00"/>
    <s v="269-65-16-447"/>
    <n v="59"/>
    <x v="9"/>
  </r>
  <r>
    <d v="2014-06-27T00:00:00"/>
    <s v="314-76-34-892"/>
    <n v="11"/>
    <x v="9"/>
  </r>
  <r>
    <d v="2014-06-28T00:00:00"/>
    <s v="995-59-41-476"/>
    <n v="361"/>
    <x v="9"/>
  </r>
  <r>
    <d v="2014-06-29T00:00:00"/>
    <s v="885-74-10-856"/>
    <n v="153"/>
    <x v="9"/>
  </r>
  <r>
    <d v="2014-06-30T00:00:00"/>
    <s v="964-69-89-011"/>
    <n v="7"/>
    <x v="9"/>
  </r>
  <r>
    <d v="2014-07-01T00:00:00"/>
    <s v="884-31-58-627"/>
    <n v="65"/>
    <x v="9"/>
  </r>
  <r>
    <d v="2014-07-03T00:00:00"/>
    <s v="847-48-41-699"/>
    <n v="409"/>
    <x v="9"/>
  </r>
  <r>
    <d v="2014-07-05T00:00:00"/>
    <s v="620-15-33-614"/>
    <n v="63"/>
    <x v="9"/>
  </r>
  <r>
    <d v="2014-07-06T00:00:00"/>
    <s v="254-14-00-156"/>
    <n v="441"/>
    <x v="9"/>
  </r>
  <r>
    <d v="2014-07-10T00:00:00"/>
    <s v="495-93-92-849"/>
    <n v="91"/>
    <x v="9"/>
  </r>
  <r>
    <d v="2014-07-11T00:00:00"/>
    <s v="904-16-42-385"/>
    <n v="73"/>
    <x v="9"/>
  </r>
  <r>
    <d v="2014-07-12T00:00:00"/>
    <s v="043-34-53-278"/>
    <n v="184"/>
    <x v="9"/>
  </r>
  <r>
    <d v="2014-07-16T00:00:00"/>
    <s v="692-61-16-906"/>
    <n v="191"/>
    <x v="9"/>
  </r>
  <r>
    <d v="2014-07-17T00:00:00"/>
    <s v="413-93-89-926"/>
    <n v="371"/>
    <x v="9"/>
  </r>
  <r>
    <d v="2014-07-18T00:00:00"/>
    <s v="178-24-36-171"/>
    <n v="485"/>
    <x v="9"/>
  </r>
  <r>
    <d v="2014-07-18T00:00:00"/>
    <s v="916-94-78-836"/>
    <n v="92"/>
    <x v="9"/>
  </r>
  <r>
    <d v="2014-07-20T00:00:00"/>
    <s v="413-93-89-926"/>
    <n v="442"/>
    <x v="9"/>
  </r>
  <r>
    <d v="2014-07-21T00:00:00"/>
    <s v="885-74-10-856"/>
    <n v="44"/>
    <x v="9"/>
  </r>
  <r>
    <d v="2014-07-23T00:00:00"/>
    <s v="761-06-34-233"/>
    <n v="39"/>
    <x v="9"/>
  </r>
  <r>
    <d v="2014-07-28T00:00:00"/>
    <s v="413-93-89-926"/>
    <n v="288"/>
    <x v="9"/>
  </r>
  <r>
    <d v="2014-07-28T00:00:00"/>
    <s v="395-19-63-367"/>
    <n v="4"/>
    <x v="9"/>
  </r>
  <r>
    <d v="2014-07-31T00:00:00"/>
    <s v="647-41-13-432"/>
    <n v="6"/>
    <x v="9"/>
  </r>
  <r>
    <d v="2014-07-31T00:00:00"/>
    <s v="244-64-83-142"/>
    <n v="9"/>
    <x v="9"/>
  </r>
  <r>
    <d v="2014-08-01T00:00:00"/>
    <s v="916-94-78-836"/>
    <n v="178"/>
    <x v="9"/>
  </r>
  <r>
    <d v="2014-08-02T00:00:00"/>
    <s v="941-01-60-075"/>
    <n v="455"/>
    <x v="9"/>
  </r>
  <r>
    <d v="2014-08-03T00:00:00"/>
    <s v="773-39-15-273"/>
    <n v="56"/>
    <x v="9"/>
  </r>
  <r>
    <d v="2014-08-07T00:00:00"/>
    <s v="692-61-16-906"/>
    <n v="46"/>
    <x v="9"/>
  </r>
  <r>
    <d v="2014-08-08T00:00:00"/>
    <s v="609-57-46-753"/>
    <n v="15"/>
    <x v="9"/>
  </r>
  <r>
    <d v="2014-08-09T00:00:00"/>
    <s v="885-74-10-856"/>
    <n v="130"/>
    <x v="9"/>
  </r>
  <r>
    <d v="2014-08-10T00:00:00"/>
    <s v="910-38-33-489"/>
    <n v="154"/>
    <x v="9"/>
  </r>
  <r>
    <d v="2014-08-10T00:00:00"/>
    <s v="885-74-10-856"/>
    <n v="137"/>
    <x v="9"/>
  </r>
  <r>
    <d v="2014-08-12T00:00:00"/>
    <s v="507-22-76-992"/>
    <n v="119"/>
    <x v="9"/>
  </r>
  <r>
    <d v="2014-08-12T00:00:00"/>
    <s v="941-01-60-075"/>
    <n v="138"/>
    <x v="9"/>
  </r>
  <r>
    <d v="2014-08-13T00:00:00"/>
    <s v="941-01-60-075"/>
    <n v="303"/>
    <x v="9"/>
  </r>
  <r>
    <d v="2014-08-15T00:00:00"/>
    <s v="269-65-16-447"/>
    <n v="73"/>
    <x v="9"/>
  </r>
  <r>
    <d v="2014-08-17T00:00:00"/>
    <s v="322-66-15-999"/>
    <n v="35"/>
    <x v="9"/>
  </r>
  <r>
    <d v="2014-08-17T00:00:00"/>
    <s v="799-94-72-837"/>
    <n v="435"/>
    <x v="9"/>
  </r>
  <r>
    <d v="2014-08-20T00:00:00"/>
    <s v="847-48-41-699"/>
    <n v="476"/>
    <x v="9"/>
  </r>
  <r>
    <d v="2014-08-23T00:00:00"/>
    <s v="254-14-00-156"/>
    <n v="386"/>
    <x v="9"/>
  </r>
  <r>
    <d v="2014-08-26T00:00:00"/>
    <s v="749-02-70-623"/>
    <n v="147"/>
    <x v="9"/>
  </r>
  <r>
    <d v="2014-08-29T00:00:00"/>
    <s v="799-94-72-837"/>
    <n v="112"/>
    <x v="9"/>
  </r>
  <r>
    <d v="2014-09-03T00:00:00"/>
    <s v="692-61-16-906"/>
    <n v="156"/>
    <x v="9"/>
  </r>
  <r>
    <d v="2014-09-04T00:00:00"/>
    <s v="995-59-41-476"/>
    <n v="106"/>
    <x v="9"/>
  </r>
  <r>
    <d v="2014-09-06T00:00:00"/>
    <s v="865-19-31-951"/>
    <n v="2"/>
    <x v="9"/>
  </r>
  <r>
    <d v="2014-09-06T00:00:00"/>
    <s v="804-82-65-826"/>
    <n v="19"/>
    <x v="9"/>
  </r>
  <r>
    <d v="2014-09-07T00:00:00"/>
    <s v="531-65-00-714"/>
    <n v="18"/>
    <x v="9"/>
  </r>
  <r>
    <d v="2014-09-10T00:00:00"/>
    <s v="995-59-41-476"/>
    <n v="332"/>
    <x v="9"/>
  </r>
  <r>
    <d v="2014-09-11T00:00:00"/>
    <s v="561-00-46-873"/>
    <n v="1"/>
    <x v="9"/>
  </r>
  <r>
    <d v="2014-09-12T00:00:00"/>
    <s v="413-93-89-926"/>
    <n v="438"/>
    <x v="9"/>
  </r>
  <r>
    <d v="2014-09-13T00:00:00"/>
    <s v="080-51-85-809"/>
    <n v="25"/>
    <x v="9"/>
  </r>
  <r>
    <d v="2014-09-15T00:00:00"/>
    <s v="799-94-72-837"/>
    <n v="220"/>
    <x v="9"/>
  </r>
  <r>
    <d v="2014-09-15T00:00:00"/>
    <s v="761-06-34-233"/>
    <n v="47"/>
    <x v="9"/>
  </r>
  <r>
    <d v="2014-09-15T00:00:00"/>
    <s v="648-00-20-115"/>
    <n v="1"/>
    <x v="9"/>
  </r>
  <r>
    <d v="2014-09-16T00:00:00"/>
    <s v="058-15-94-554"/>
    <n v="14"/>
    <x v="9"/>
  </r>
  <r>
    <d v="2014-09-17T00:00:00"/>
    <s v="847-48-41-699"/>
    <n v="132"/>
    <x v="9"/>
  </r>
  <r>
    <d v="2014-09-22T00:00:00"/>
    <s v="240-56-56-791"/>
    <n v="18"/>
    <x v="9"/>
  </r>
  <r>
    <d v="2014-09-24T00:00:00"/>
    <s v="847-48-41-699"/>
    <n v="266"/>
    <x v="9"/>
  </r>
  <r>
    <d v="2014-09-25T00:00:00"/>
    <s v="885-74-10-856"/>
    <n v="30"/>
    <x v="9"/>
  </r>
  <r>
    <d v="2014-09-27T00:00:00"/>
    <s v="392-78-93-552"/>
    <n v="452"/>
    <x v="9"/>
  </r>
  <r>
    <d v="2014-09-29T00:00:00"/>
    <s v="594-18-15-403"/>
    <n v="306"/>
    <x v="9"/>
  </r>
  <r>
    <d v="2014-09-30T00:00:00"/>
    <s v="692-61-16-906"/>
    <n v="98"/>
    <x v="9"/>
  </r>
  <r>
    <d v="2014-10-01T00:00:00"/>
    <s v="507-22-76-992"/>
    <n v="110"/>
    <x v="9"/>
  </r>
  <r>
    <d v="2014-10-01T00:00:00"/>
    <s v="885-74-10-856"/>
    <n v="57"/>
    <x v="9"/>
  </r>
  <r>
    <d v="2014-10-01T00:00:00"/>
    <s v="371-70-96-597"/>
    <n v="16"/>
    <x v="9"/>
  </r>
  <r>
    <d v="2014-10-04T00:00:00"/>
    <s v="963-43-52-686"/>
    <n v="5"/>
    <x v="9"/>
  </r>
  <r>
    <d v="2014-10-07T00:00:00"/>
    <s v="178-24-36-171"/>
    <n v="433"/>
    <x v="9"/>
  </r>
  <r>
    <d v="2014-10-08T00:00:00"/>
    <s v="513-33-14-553"/>
    <n v="180"/>
    <x v="9"/>
  </r>
  <r>
    <d v="2014-10-08T00:00:00"/>
    <s v="178-24-36-171"/>
    <n v="381"/>
    <x v="9"/>
  </r>
  <r>
    <d v="2014-10-09T00:00:00"/>
    <s v="982-09-19-706"/>
    <n v="16"/>
    <x v="9"/>
  </r>
  <r>
    <d v="2014-10-09T00:00:00"/>
    <s v="378-70-08-798"/>
    <n v="85"/>
    <x v="9"/>
  </r>
  <r>
    <d v="2014-10-09T00:00:00"/>
    <s v="410-52-79-946"/>
    <n v="37"/>
    <x v="9"/>
  </r>
  <r>
    <d v="2014-10-12T00:00:00"/>
    <s v="910-38-33-489"/>
    <n v="69"/>
    <x v="9"/>
  </r>
  <r>
    <d v="2014-10-13T00:00:00"/>
    <s v="254-14-00-156"/>
    <n v="304"/>
    <x v="9"/>
  </r>
  <r>
    <d v="2014-10-16T00:00:00"/>
    <s v="178-24-36-171"/>
    <n v="491"/>
    <x v="9"/>
  </r>
  <r>
    <d v="2014-10-19T00:00:00"/>
    <s v="033-49-11-774"/>
    <n v="106"/>
    <x v="9"/>
  </r>
  <r>
    <d v="2014-10-23T00:00:00"/>
    <s v="495-93-92-849"/>
    <n v="188"/>
    <x v="9"/>
  </r>
  <r>
    <d v="2014-10-23T00:00:00"/>
    <s v="885-74-10-856"/>
    <n v="131"/>
    <x v="9"/>
  </r>
  <r>
    <d v="2014-10-24T00:00:00"/>
    <s v="163-92-64-010"/>
    <n v="9"/>
    <x v="9"/>
  </r>
  <r>
    <d v="2014-10-26T00:00:00"/>
    <s v="392-78-93-552"/>
    <n v="245"/>
    <x v="9"/>
  </r>
  <r>
    <d v="2014-10-31T00:00:00"/>
    <s v="178-24-36-171"/>
    <n v="166"/>
    <x v="9"/>
  </r>
  <r>
    <d v="2014-11-02T00:00:00"/>
    <s v="322-66-15-999"/>
    <n v="171"/>
    <x v="9"/>
  </r>
  <r>
    <d v="2014-11-02T00:00:00"/>
    <s v="982-37-73-633"/>
    <n v="11"/>
    <x v="9"/>
  </r>
  <r>
    <d v="2014-11-03T00:00:00"/>
    <s v="910-38-33-489"/>
    <n v="52"/>
    <x v="9"/>
  </r>
  <r>
    <d v="2014-11-06T00:00:00"/>
    <s v="950-40-82-698"/>
    <n v="56"/>
    <x v="9"/>
  </r>
  <r>
    <d v="2014-11-07T00:00:00"/>
    <s v="753-35-55-536"/>
    <n v="6"/>
    <x v="9"/>
  </r>
  <r>
    <d v="2014-11-07T00:00:00"/>
    <s v="322-66-15-999"/>
    <n v="179"/>
    <x v="9"/>
  </r>
  <r>
    <d v="2014-11-08T00:00:00"/>
    <s v="178-24-36-171"/>
    <n v="398"/>
    <x v="9"/>
  </r>
  <r>
    <d v="2014-11-09T00:00:00"/>
    <s v="513-33-14-553"/>
    <n v="68"/>
    <x v="9"/>
  </r>
  <r>
    <d v="2014-11-09T00:00:00"/>
    <s v="904-16-42-385"/>
    <n v="160"/>
    <x v="9"/>
  </r>
  <r>
    <d v="2014-11-10T00:00:00"/>
    <s v="904-16-42-385"/>
    <n v="183"/>
    <x v="9"/>
  </r>
  <r>
    <d v="2014-11-11T00:00:00"/>
    <s v="178-24-36-171"/>
    <n v="178"/>
    <x v="9"/>
  </r>
  <r>
    <d v="2014-11-12T00:00:00"/>
    <s v="254-14-00-156"/>
    <n v="381"/>
    <x v="9"/>
  </r>
  <r>
    <d v="2014-11-14T00:00:00"/>
    <s v="851-69-49-933"/>
    <n v="12"/>
    <x v="9"/>
  </r>
  <r>
    <d v="2014-11-16T00:00:00"/>
    <s v="378-70-08-798"/>
    <n v="116"/>
    <x v="9"/>
  </r>
  <r>
    <d v="2014-11-18T00:00:00"/>
    <s v="254-14-00-156"/>
    <n v="117"/>
    <x v="9"/>
  </r>
  <r>
    <d v="2014-11-18T00:00:00"/>
    <s v="513-33-14-553"/>
    <n v="31"/>
    <x v="9"/>
  </r>
  <r>
    <d v="2014-11-19T00:00:00"/>
    <s v="885-74-10-856"/>
    <n v="131"/>
    <x v="9"/>
  </r>
  <r>
    <d v="2014-11-19T00:00:00"/>
    <s v="749-02-70-623"/>
    <n v="21"/>
    <x v="9"/>
  </r>
  <r>
    <d v="2014-11-20T00:00:00"/>
    <s v="847-48-41-699"/>
    <n v="300"/>
    <x v="9"/>
  </r>
  <r>
    <d v="2014-11-20T00:00:00"/>
    <s v="269-65-16-447"/>
    <n v="32"/>
    <x v="9"/>
  </r>
  <r>
    <d v="2014-11-23T00:00:00"/>
    <s v="958-71-87-898"/>
    <n v="4"/>
    <x v="9"/>
  </r>
  <r>
    <d v="2014-11-24T00:00:00"/>
    <s v="392-78-93-552"/>
    <n v="230"/>
    <x v="9"/>
  </r>
  <r>
    <d v="2014-11-25T00:00:00"/>
    <s v="692-61-16-906"/>
    <n v="164"/>
    <x v="9"/>
  </r>
  <r>
    <d v="2014-11-26T00:00:00"/>
    <s v="374-01-18-051"/>
    <n v="4"/>
    <x v="9"/>
  </r>
  <r>
    <d v="2014-11-29T00:00:00"/>
    <s v="910-38-33-489"/>
    <n v="96"/>
    <x v="9"/>
  </r>
  <r>
    <d v="2014-12-02T00:00:00"/>
    <s v="179-23-02-772"/>
    <n v="94"/>
    <x v="9"/>
  </r>
  <r>
    <d v="2014-12-02T00:00:00"/>
    <s v="884-31-58-627"/>
    <n v="21"/>
    <x v="9"/>
  </r>
  <r>
    <d v="2014-12-04T00:00:00"/>
    <s v="254-14-00-156"/>
    <n v="129"/>
    <x v="9"/>
  </r>
  <r>
    <d v="2014-12-04T00:00:00"/>
    <s v="410-52-79-946"/>
    <n v="197"/>
    <x v="9"/>
  </r>
  <r>
    <d v="2014-12-05T00:00:00"/>
    <s v="192-09-72-275"/>
    <n v="16"/>
    <x v="9"/>
  </r>
  <r>
    <d v="2014-12-05T00:00:00"/>
    <s v="337-27-67-378"/>
    <n v="332"/>
    <x v="9"/>
  </r>
  <r>
    <d v="2014-12-07T00:00:00"/>
    <s v="513-33-14-553"/>
    <n v="75"/>
    <x v="9"/>
  </r>
  <r>
    <d v="2014-12-08T00:00:00"/>
    <s v="340-11-17-090"/>
    <n v="10"/>
    <x v="9"/>
  </r>
  <r>
    <d v="2014-12-09T00:00:00"/>
    <s v="916-94-78-836"/>
    <n v="93"/>
    <x v="9"/>
  </r>
  <r>
    <d v="2014-12-10T00:00:00"/>
    <s v="392-78-93-552"/>
    <n v="146"/>
    <x v="9"/>
  </r>
  <r>
    <d v="2014-12-11T00:00:00"/>
    <s v="507-22-76-992"/>
    <n v="197"/>
    <x v="9"/>
  </r>
  <r>
    <d v="2014-12-13T00:00:00"/>
    <s v="413-93-89-926"/>
    <n v="482"/>
    <x v="9"/>
  </r>
  <r>
    <d v="2014-12-15T00:00:00"/>
    <s v="885-74-10-856"/>
    <n v="43"/>
    <x v="9"/>
  </r>
  <r>
    <d v="2014-12-16T00:00:00"/>
    <s v="178-24-36-171"/>
    <n v="367"/>
    <x v="9"/>
  </r>
  <r>
    <d v="2014-12-16T00:00:00"/>
    <s v="799-94-72-837"/>
    <n v="274"/>
    <x v="9"/>
  </r>
  <r>
    <d v="2014-12-18T00:00:00"/>
    <s v="413-93-89-926"/>
    <n v="283"/>
    <x v="9"/>
  </r>
  <r>
    <d v="2014-12-19T00:00:00"/>
    <s v="322-66-15-999"/>
    <n v="98"/>
    <x v="9"/>
  </r>
  <r>
    <d v="2014-12-20T00:00:00"/>
    <s v="178-24-36-171"/>
    <n v="485"/>
    <x v="9"/>
  </r>
  <r>
    <d v="2014-12-21T00:00:00"/>
    <s v="319-54-24-686"/>
    <n v="3"/>
    <x v="9"/>
  </r>
  <r>
    <d v="2014-12-23T00:00:00"/>
    <s v="392-78-93-552"/>
    <n v="331"/>
    <x v="9"/>
  </r>
  <r>
    <d v="2014-12-24T00:00:00"/>
    <s v="885-74-10-856"/>
    <n v="150"/>
    <x v="9"/>
  </r>
  <r>
    <d v="2014-12-25T00:00:00"/>
    <s v="254-14-00-156"/>
    <n v="463"/>
    <x v="9"/>
  </r>
  <r>
    <d v="2014-12-26T00:00:00"/>
    <s v="270-90-07-560"/>
    <n v="8"/>
    <x v="9"/>
  </r>
  <r>
    <d v="2014-12-26T00:00:00"/>
    <s v="904-16-42-385"/>
    <n v="178"/>
    <x v="9"/>
  </r>
  <r>
    <d v="2014-12-28T00:00:00"/>
    <s v="080-51-85-809"/>
    <n v="166"/>
    <x v="9"/>
  </r>
  <r>
    <d v="2014-12-29T00:00:00"/>
    <s v="881-78-83-232"/>
    <n v="14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69517-AF66-4932-A527-D76CD6EF18B7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ip">
  <location ref="E1:F5" firstHeaderRow="1" firstDataRow="1" firstDataCol="1"/>
  <pivotFields count="3">
    <pivotField numFmtId="14" showAll="0"/>
    <pivotField axis="axisRow" showAll="0" measureFilter="1">
      <items count="241">
        <item x="83"/>
        <item x="93"/>
        <item x="33"/>
        <item x="95"/>
        <item x="23"/>
        <item x="122"/>
        <item x="223"/>
        <item x="6"/>
        <item x="15"/>
        <item x="200"/>
        <item x="72"/>
        <item x="108"/>
        <item x="77"/>
        <item x="82"/>
        <item x="186"/>
        <item x="231"/>
        <item x="229"/>
        <item x="19"/>
        <item x="126"/>
        <item x="46"/>
        <item x="222"/>
        <item x="172"/>
        <item x="218"/>
        <item x="165"/>
        <item x="123"/>
        <item x="57"/>
        <item x="235"/>
        <item x="11"/>
        <item x="189"/>
        <item x="161"/>
        <item x="162"/>
        <item x="88"/>
        <item x="65"/>
        <item x="42"/>
        <item x="103"/>
        <item x="148"/>
        <item x="109"/>
        <item x="171"/>
        <item x="136"/>
        <item x="96"/>
        <item x="41"/>
        <item x="237"/>
        <item x="22"/>
        <item x="67"/>
        <item x="209"/>
        <item x="131"/>
        <item x="175"/>
        <item x="90"/>
        <item x="113"/>
        <item x="152"/>
        <item x="105"/>
        <item x="214"/>
        <item x="183"/>
        <item x="36"/>
        <item x="155"/>
        <item x="118"/>
        <item x="210"/>
        <item x="153"/>
        <item x="202"/>
        <item x="163"/>
        <item x="146"/>
        <item x="38"/>
        <item x="116"/>
        <item x="225"/>
        <item x="7"/>
        <item x="217"/>
        <item x="236"/>
        <item x="173"/>
        <item x="18"/>
        <item x="194"/>
        <item x="159"/>
        <item x="181"/>
        <item x="144"/>
        <item x="87"/>
        <item x="192"/>
        <item x="133"/>
        <item x="68"/>
        <item x="151"/>
        <item x="26"/>
        <item x="145"/>
        <item x="91"/>
        <item x="164"/>
        <item x="156"/>
        <item x="73"/>
        <item x="154"/>
        <item x="187"/>
        <item x="79"/>
        <item x="117"/>
        <item x="167"/>
        <item x="55"/>
        <item x="208"/>
        <item x="97"/>
        <item x="213"/>
        <item x="230"/>
        <item x="24"/>
        <item x="179"/>
        <item x="74"/>
        <item x="207"/>
        <item x="107"/>
        <item x="16"/>
        <item x="219"/>
        <item x="64"/>
        <item x="1"/>
        <item x="157"/>
        <item x="125"/>
        <item x="98"/>
        <item x="40"/>
        <item x="28"/>
        <item x="141"/>
        <item x="220"/>
        <item x="45"/>
        <item x="212"/>
        <item x="190"/>
        <item x="21"/>
        <item x="89"/>
        <item x="193"/>
        <item x="2"/>
        <item x="25"/>
        <item x="17"/>
        <item x="112"/>
        <item x="135"/>
        <item x="143"/>
        <item x="101"/>
        <item x="121"/>
        <item x="138"/>
        <item x="224"/>
        <item x="137"/>
        <item x="130"/>
        <item x="52"/>
        <item x="58"/>
        <item x="69"/>
        <item x="206"/>
        <item x="66"/>
        <item x="48"/>
        <item x="81"/>
        <item x="111"/>
        <item x="59"/>
        <item x="196"/>
        <item x="178"/>
        <item x="182"/>
        <item x="30"/>
        <item x="176"/>
        <item x="195"/>
        <item x="170"/>
        <item x="92"/>
        <item x="134"/>
        <item x="110"/>
        <item x="203"/>
        <item x="129"/>
        <item x="149"/>
        <item x="49"/>
        <item x="5"/>
        <item x="47"/>
        <item x="44"/>
        <item x="124"/>
        <item x="211"/>
        <item x="63"/>
        <item x="174"/>
        <item x="4"/>
        <item x="238"/>
        <item x="239"/>
        <item x="185"/>
        <item x="53"/>
        <item x="29"/>
        <item x="221"/>
        <item x="201"/>
        <item x="61"/>
        <item x="188"/>
        <item x="43"/>
        <item x="198"/>
        <item x="150"/>
        <item x="191"/>
        <item x="76"/>
        <item x="10"/>
        <item x="54"/>
        <item x="39"/>
        <item x="166"/>
        <item x="60"/>
        <item x="78"/>
        <item x="142"/>
        <item x="13"/>
        <item x="158"/>
        <item x="168"/>
        <item x="106"/>
        <item x="199"/>
        <item x="184"/>
        <item x="14"/>
        <item x="56"/>
        <item x="180"/>
        <item x="86"/>
        <item x="228"/>
        <item x="160"/>
        <item x="233"/>
        <item x="197"/>
        <item x="140"/>
        <item x="94"/>
        <item x="51"/>
        <item x="9"/>
        <item x="62"/>
        <item x="177"/>
        <item x="226"/>
        <item x="139"/>
        <item x="0"/>
        <item x="205"/>
        <item x="232"/>
        <item x="71"/>
        <item x="8"/>
        <item x="84"/>
        <item x="127"/>
        <item x="12"/>
        <item x="20"/>
        <item x="37"/>
        <item x="234"/>
        <item x="169"/>
        <item x="31"/>
        <item x="80"/>
        <item x="115"/>
        <item x="50"/>
        <item x="215"/>
        <item x="3"/>
        <item x="120"/>
        <item x="204"/>
        <item x="85"/>
        <item x="132"/>
        <item x="27"/>
        <item x="34"/>
        <item x="104"/>
        <item x="147"/>
        <item x="227"/>
        <item x="100"/>
        <item x="35"/>
        <item x="75"/>
        <item x="128"/>
        <item x="216"/>
        <item x="70"/>
        <item x="119"/>
        <item x="99"/>
        <item x="114"/>
        <item x="102"/>
        <item x="32"/>
        <item t="default"/>
      </items>
    </pivotField>
    <pivotField dataField="1" showAll="0"/>
  </pivotFields>
  <rowFields count="1">
    <field x="1"/>
  </rowFields>
  <rowItems count="4">
    <i>
      <x v="64"/>
    </i>
    <i>
      <x v="110"/>
    </i>
    <i>
      <x v="197"/>
    </i>
    <i t="grand">
      <x/>
    </i>
  </rowItems>
  <colItems count="1">
    <i/>
  </colItems>
  <dataFields count="1">
    <dataField name="sprzedany cukier" fld="2" baseField="0" baseItem="0"/>
  </dataFields>
  <formats count="4">
    <format dxfId="30">
      <pivotArea collapsedLevelsAreSubtotals="1" fieldPosition="0">
        <references count="1">
          <reference field="1" count="3">
            <x v="64"/>
            <x v="110"/>
            <x v="197"/>
          </reference>
        </references>
      </pivotArea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3">
            <x v="64"/>
            <x v="110"/>
            <x v="197"/>
          </reference>
        </references>
      </pivotArea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21881-303C-42F2-B7CA-98A646FEC48E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 rowHeaderCaption="rok">
  <location ref="F1:G12" firstHeaderRow="1" firstDataRow="1" firstDataCol="1"/>
  <pivotFields count="4">
    <pivotField numFmtId="14" showAll="0"/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przedany cukier" fld="2" baseField="0" baseItem="0"/>
  </dataFields>
  <formats count="4">
    <format dxfId="20">
      <pivotArea collapsedLevelsAreSubtotals="1" fieldPosition="0">
        <references count="1">
          <reference field="3" count="0"/>
        </references>
      </pivotArea>
    </format>
    <format dxfId="19">
      <pivotArea field="3" type="button" dataOnly="0" labelOnly="1" outline="0" axis="axisRow" fieldPosition="0"/>
    </format>
    <format dxfId="18">
      <pivotArea dataOnly="0" labelOnly="1" fieldPosition="0">
        <references count="1">
          <reference field="3" count="0"/>
        </references>
      </pivotArea>
    </format>
    <format dxfId="1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868FB5D-D2F5-4E1F-AABC-521C70B61DA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B26B279-3FF1-420C-8249-33AA1315562D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lumn1" tableColumnId="1"/>
      <queryTableField id="2" name="Column2" tableColumnId="2"/>
      <queryTableField id="3" name="Column3" tableColumnId="3"/>
      <queryTableField id="4" dataBound="0" tableColumnId="4"/>
      <queryTableField id="5" dataBound="0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CFC19FF-CD56-4E59-B623-8EA9FB141D63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Column2" tableColumnId="2"/>
      <queryTableField id="3" name="Column3" tableColumnId="3"/>
      <queryTableField id="4" dataBound="0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A87E0418-9F61-4E0A-B970-0E017008AE81}" autoFormatId="16" applyNumberFormats="0" applyBorderFormats="0" applyFontFormats="0" applyPatternFormats="0" applyAlignmentFormats="0" applyWidthHeightFormats="0">
  <queryTableRefresh nextId="7" unboundColumnsRight="3">
    <queryTableFields count="6">
      <queryTableField id="1" name="Column1" tableColumnId="1"/>
      <queryTableField id="2" name="Column2" tableColumnId="2"/>
      <queryTableField id="3" name="Column3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8A8469C7-E77F-42C2-9EBB-BE42AF148137}" autoFormatId="16" applyNumberFormats="0" applyBorderFormats="0" applyFontFormats="0" applyPatternFormats="0" applyAlignmentFormats="0" applyWidthHeightFormats="0">
  <queryTableRefresh nextId="13" unboundColumnsRight="6">
    <queryTableFields count="9">
      <queryTableField id="1" name="Column1" tableColumnId="1"/>
      <queryTableField id="2" name="Column2" tableColumnId="2"/>
      <queryTableField id="3" name="Column3" tableColumnId="3"/>
      <queryTableField id="4" dataBound="0" tableColumnId="4"/>
      <queryTableField id="7" dataBound="0" tableColumnId="7"/>
      <queryTableField id="11" dataBound="0" tableColumnId="11"/>
      <queryTableField id="8" dataBound="0" tableColumnId="8"/>
      <queryTableField id="9" dataBound="0" tableColumnId="9"/>
      <queryTableField id="12" dataBound="0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DA07CB5-ADBC-4EA2-96E6-26853420AA0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76FB49-0C05-4ADB-BC38-20FBD9C27A7D}" name="cukier7" displayName="cukier7" ref="A1:C2163" tableType="queryTable" totalsRowShown="0">
  <autoFilter ref="A1:C2163" xr:uid="{075B8FBA-DD7F-4BB9-9242-AC2F010E4B0C}"/>
  <tableColumns count="3">
    <tableColumn id="1" xr3:uid="{C7E891A6-DB40-4A27-855A-D3003BDFEE44}" uniqueName="1" name="data" queryTableFieldId="1" dataDxfId="26"/>
    <tableColumn id="2" xr3:uid="{7256F8FE-5894-4446-BEF1-0A731A3201C6}" uniqueName="2" name="nip_klienta" queryTableFieldId="2" dataDxfId="25"/>
    <tableColumn id="3" xr3:uid="{D59BDD06-91A2-40B4-A106-5AF2EB20DF91}" uniqueName="3" name="sprzedany_cukier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EE29312-F702-4078-83C3-417B594000B8}" name="cukier8" displayName="cukier8" ref="A1:E2163" tableType="queryTable" totalsRowShown="0">
  <autoFilter ref="A1:E2163" xr:uid="{075B8FBA-DD7F-4BB9-9242-AC2F010E4B0C}"/>
  <tableColumns count="5">
    <tableColumn id="1" xr3:uid="{7884F171-8EFF-45DF-9FD7-4F1DE94C540B}" uniqueName="1" name="data" queryTableFieldId="1" dataDxfId="24"/>
    <tableColumn id="2" xr3:uid="{3583DAA6-148E-446E-A47F-DEA9B525906F}" uniqueName="2" name="nip_klienta" queryTableFieldId="2" dataDxfId="23"/>
    <tableColumn id="3" xr3:uid="{46B02470-6F69-4C84-A9C4-3D09953740C6}" uniqueName="3" name="sprzedany_cukier" queryTableFieldId="3"/>
    <tableColumn id="4" xr3:uid="{EC154F1C-B690-4853-A6BB-39FC4D005282}" uniqueName="4" name="rok" queryTableFieldId="4" dataDxfId="22">
      <calculatedColumnFormula>YEAR(cukier8[[#This Row],[data]])</calculatedColumnFormula>
    </tableColumn>
    <tableColumn id="5" xr3:uid="{44CBF8C5-3972-4B8D-B73F-CC9114BA7364}" uniqueName="5" name="przychod" queryTableFieldId="5" dataDxfId="21">
      <calculatedColumnFormula>VLOOKUP(cukier8[[#This Row],[rok]],$L$2:$M$11,2,FALSE)*cukier8[[#This Row],[sprzedany_cukier]]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4959BB4-ABEB-4908-A885-21A108EBBCFB}" name="cukier9" displayName="cukier9" ref="A1:D2163" tableType="queryTable" totalsRowShown="0">
  <autoFilter ref="A1:D2163" xr:uid="{075B8FBA-DD7F-4BB9-9242-AC2F010E4B0C}"/>
  <tableColumns count="4">
    <tableColumn id="1" xr3:uid="{A557E1B8-5561-4116-9EE1-3B80EFCE1FEC}" uniqueName="1" name="data" queryTableFieldId="1" dataDxfId="16"/>
    <tableColumn id="2" xr3:uid="{058252C7-588C-4180-B310-C5A095826C7E}" uniqueName="2" name="nip_klienta" queryTableFieldId="2" dataDxfId="15"/>
    <tableColumn id="3" xr3:uid="{D822400D-19A5-419B-B96B-E98629AFF3B9}" uniqueName="3" name="sprzedany_cukier" queryTableFieldId="3"/>
    <tableColumn id="4" xr3:uid="{211B0ADA-0857-4FC6-B2B4-06C21EFD4C67}" uniqueName="4" name="rok" queryTableFieldId="4" dataDxfId="14">
      <calculatedColumnFormula>YEAR(cukier9[[#This Row],[data]])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6162FD-C98F-453C-8FAD-01714716331B}" name="cukier10" displayName="cukier10" ref="A1:F2163" tableType="queryTable" totalsRowShown="0">
  <autoFilter ref="A1:F2163" xr:uid="{075B8FBA-DD7F-4BB9-9242-AC2F010E4B0C}"/>
  <sortState xmlns:xlrd2="http://schemas.microsoft.com/office/spreadsheetml/2017/richdata2" ref="A2:C2163">
    <sortCondition ref="B1:B2163"/>
  </sortState>
  <tableColumns count="6">
    <tableColumn id="1" xr3:uid="{9ECAEBCA-9A21-42C8-B944-08605390AE8D}" uniqueName="1" name="data" queryTableFieldId="1" dataDxfId="13"/>
    <tableColumn id="2" xr3:uid="{2F9C2054-9BBD-4C03-AFD8-1AC5A28C3117}" uniqueName="2" name="nip_klienta" queryTableFieldId="2" dataDxfId="12"/>
    <tableColumn id="3" xr3:uid="{C388F152-EB4F-4AF6-A182-D5F51AF4801D}" uniqueName="3" name="sprzedany_cukier" queryTableFieldId="3"/>
    <tableColumn id="4" xr3:uid="{2086674C-34DE-466B-AA9B-262093FE9AE1}" uniqueName="4" name="sprzedany_lacznie_cukier" queryTableFieldId="4"/>
    <tableColumn id="5" xr3:uid="{B93F652C-9967-4ABF-BBA9-BCCB7FAC1104}" uniqueName="5" name="rabat" queryTableFieldId="5" dataDxfId="11">
      <calculatedColumnFormula array="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calculatedColumnFormula>
    </tableColumn>
    <tableColumn id="6" xr3:uid="{D224F5DB-347C-4936-803A-F7DD786BA563}" uniqueName="6" name="wartość_rabatu" queryTableFieldId="6" dataDxfId="10">
      <calculatedColumnFormula>cukier10[[#This Row],[sprzedany_cukier]]*cukier10[[#This Row],[rabat]]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7177BDF-7401-4DCB-B517-DB62F0553AEE}" name="cukier11" displayName="cukier11" ref="A1:I2163" tableType="queryTable" totalsRowShown="0">
  <autoFilter ref="A1:I2163" xr:uid="{075B8FBA-DD7F-4BB9-9242-AC2F010E4B0C}"/>
  <tableColumns count="9">
    <tableColumn id="1" xr3:uid="{5D0E7F5B-B862-41A6-AC2A-8E4DB3C03800}" uniqueName="1" name="data" queryTableFieldId="1" dataDxfId="9"/>
    <tableColumn id="2" xr3:uid="{2022EA67-9FF2-460B-A254-9FD91A7188E6}" uniqueName="2" name="nip_klienta" queryTableFieldId="2" dataDxfId="8"/>
    <tableColumn id="3" xr3:uid="{0656B2A5-5F38-4B98-B117-64D7D8598B8E}" uniqueName="3" name="sprzedany_cukier" queryTableFieldId="3"/>
    <tableColumn id="4" xr3:uid="{D668F172-B340-411B-9F21-C161F2A7074A}" uniqueName="4" name="miesiac" queryTableFieldId="4" dataDxfId="7">
      <calculatedColumnFormula>MONTH(cukier11[[#This Row],[data]])</calculatedColumnFormula>
    </tableColumn>
    <tableColumn id="7" xr3:uid="{9025AC5D-A313-45AF-AD96-AB5E3EFE8DA2}" uniqueName="7" name="czy_nastapiła_zmiana_mies" queryTableFieldId="7" dataDxfId="6">
      <calculatedColumnFormula>IF(D3&lt;&gt;cukier11[[#This Row],[miesiac]],1,0)</calculatedColumnFormula>
    </tableColumn>
    <tableColumn id="11" xr3:uid="{A1D6DC79-F84F-4319-A033-B9D4C6E7192C}" uniqueName="11" name="ile_dokupic" queryTableFieldId="11" dataDxfId="5"/>
    <tableColumn id="8" xr3:uid="{E58F6B9B-772B-4ACC-8204-8BB3109F0571}" uniqueName="8" name="stan_magazynu" queryTableFieldId="8" dataDxfId="4"/>
    <tableColumn id="9" xr3:uid="{1F5C91DE-8378-4A9E-9D67-1E16510AE7AB}" uniqueName="9" name="stan_po_sprzedazy" queryTableFieldId="9" dataDxfId="3">
      <calculatedColumnFormula>cukier11[[#This Row],[stan_magazynu]]-cukier11[[#This Row],[sprzedany_cukier]]</calculatedColumnFormula>
    </tableColumn>
    <tableColumn id="5" xr3:uid="{68969B43-0EEA-47AC-94CF-174F74A411FC}" uniqueName="5" name="stan_po_dostawie" queryTableFieldId="12" dataDxfId="0">
      <calculatedColumnFormula>cukier11[[#This Row],[stan_po_sprzedazy]]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5B8FBA-DD7F-4BB9-9242-AC2F010E4B0C}" name="cukier" displayName="cukier" ref="A1:C2163" tableType="queryTable" totalsRowShown="0">
  <autoFilter ref="A1:C2163" xr:uid="{075B8FBA-DD7F-4BB9-9242-AC2F010E4B0C}"/>
  <tableColumns count="3">
    <tableColumn id="1" xr3:uid="{F369B286-BB73-4906-84A4-04445D460F1D}" uniqueName="1" name="data" queryTableFieldId="1" dataDxfId="2"/>
    <tableColumn id="2" xr3:uid="{86B57CE1-2E8C-49BD-BFB3-67E872ACDE9D}" uniqueName="2" name="nip_klienta" queryTableFieldId="2" dataDxfId="1"/>
    <tableColumn id="3" xr3:uid="{2CFEC519-AEDB-4F2A-A20C-10C86A5471F0}" uniqueName="3" name="sprzedany_cuki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85A6-15EE-4ED7-9AB8-E6E85B501D55}">
  <dimension ref="A1:M2163"/>
  <sheetViews>
    <sheetView workbookViewId="0">
      <selection activeCell="F9" sqref="F9"/>
    </sheetView>
  </sheetViews>
  <sheetFormatPr defaultRowHeight="15" x14ac:dyDescent="0.25"/>
  <cols>
    <col min="1" max="1" width="11.140625" bestFit="1" customWidth="1"/>
    <col min="2" max="2" width="13.28515625" bestFit="1" customWidth="1"/>
    <col min="3" max="3" width="18.85546875" bestFit="1" customWidth="1"/>
    <col min="5" max="5" width="14.28515625" bestFit="1" customWidth="1"/>
    <col min="6" max="6" width="16" bestFit="1" customWidth="1"/>
    <col min="15" max="15" width="10.140625" bestFit="1" customWidth="1"/>
  </cols>
  <sheetData>
    <row r="1" spans="1:13" x14ac:dyDescent="0.25">
      <c r="A1" t="s">
        <v>240</v>
      </c>
      <c r="B1" t="s">
        <v>241</v>
      </c>
      <c r="C1" t="s">
        <v>242</v>
      </c>
      <c r="E1" s="7" t="s">
        <v>247</v>
      </c>
      <c r="F1" s="7" t="s">
        <v>246</v>
      </c>
      <c r="L1" t="s">
        <v>244</v>
      </c>
      <c r="M1" t="s">
        <v>243</v>
      </c>
    </row>
    <row r="2" spans="1:13" x14ac:dyDescent="0.25">
      <c r="A2" s="1">
        <v>38353</v>
      </c>
      <c r="B2" t="s">
        <v>0</v>
      </c>
      <c r="C2">
        <v>10</v>
      </c>
      <c r="E2" s="8" t="s">
        <v>7</v>
      </c>
      <c r="F2" s="7">
        <v>27505</v>
      </c>
      <c r="L2" s="4">
        <v>2005</v>
      </c>
      <c r="M2" s="2">
        <v>2</v>
      </c>
    </row>
    <row r="3" spans="1:13" x14ac:dyDescent="0.25">
      <c r="A3" s="1">
        <v>38356</v>
      </c>
      <c r="B3" t="s">
        <v>1</v>
      </c>
      <c r="C3">
        <v>2</v>
      </c>
      <c r="E3" s="8" t="s">
        <v>45</v>
      </c>
      <c r="F3" s="7">
        <v>26451</v>
      </c>
      <c r="L3" s="5">
        <v>2006</v>
      </c>
      <c r="M3" s="3">
        <v>2.0499999999999998</v>
      </c>
    </row>
    <row r="4" spans="1:13" x14ac:dyDescent="0.25">
      <c r="A4" s="1">
        <v>38357</v>
      </c>
      <c r="B4" t="s">
        <v>2</v>
      </c>
      <c r="C4">
        <v>2</v>
      </c>
      <c r="E4" s="8" t="s">
        <v>9</v>
      </c>
      <c r="F4" s="7">
        <v>26955</v>
      </c>
      <c r="L4" s="4">
        <v>2007</v>
      </c>
      <c r="M4" s="2">
        <v>2.09</v>
      </c>
    </row>
    <row r="5" spans="1:13" x14ac:dyDescent="0.25">
      <c r="A5" s="1">
        <v>38362</v>
      </c>
      <c r="B5" t="s">
        <v>3</v>
      </c>
      <c r="C5">
        <v>5</v>
      </c>
      <c r="E5" s="6" t="s">
        <v>245</v>
      </c>
      <c r="F5">
        <v>80911</v>
      </c>
      <c r="L5" s="5">
        <v>2008</v>
      </c>
      <c r="M5" s="3">
        <v>2.15</v>
      </c>
    </row>
    <row r="6" spans="1:13" x14ac:dyDescent="0.25">
      <c r="A6" s="1">
        <v>38363</v>
      </c>
      <c r="B6" t="s">
        <v>4</v>
      </c>
      <c r="C6">
        <v>14</v>
      </c>
      <c r="L6" s="4">
        <v>2009</v>
      </c>
      <c r="M6" s="2">
        <v>2.13</v>
      </c>
    </row>
    <row r="7" spans="1:13" x14ac:dyDescent="0.25">
      <c r="A7" s="1">
        <v>38365</v>
      </c>
      <c r="B7" t="s">
        <v>5</v>
      </c>
      <c r="C7">
        <v>436</v>
      </c>
      <c r="L7" s="5">
        <v>2010</v>
      </c>
      <c r="M7" s="3">
        <v>2.1</v>
      </c>
    </row>
    <row r="8" spans="1:13" x14ac:dyDescent="0.25">
      <c r="A8" s="1">
        <v>38366</v>
      </c>
      <c r="B8" t="s">
        <v>6</v>
      </c>
      <c r="C8">
        <v>95</v>
      </c>
      <c r="L8" s="4">
        <v>2011</v>
      </c>
      <c r="M8" s="2">
        <v>2.2000000000000002</v>
      </c>
    </row>
    <row r="9" spans="1:13" x14ac:dyDescent="0.25">
      <c r="A9" s="1">
        <v>38370</v>
      </c>
      <c r="B9" t="s">
        <v>7</v>
      </c>
      <c r="C9">
        <v>350</v>
      </c>
      <c r="L9" s="5">
        <v>2012</v>
      </c>
      <c r="M9" s="3">
        <v>2.25</v>
      </c>
    </row>
    <row r="10" spans="1:13" x14ac:dyDescent="0.25">
      <c r="A10" s="1">
        <v>38371</v>
      </c>
      <c r="B10" t="s">
        <v>7</v>
      </c>
      <c r="C10">
        <v>231</v>
      </c>
      <c r="L10" s="4">
        <v>2013</v>
      </c>
      <c r="M10" s="2">
        <v>2.2200000000000002</v>
      </c>
    </row>
    <row r="11" spans="1:13" x14ac:dyDescent="0.25">
      <c r="A11" s="1">
        <v>38372</v>
      </c>
      <c r="B11" t="s">
        <v>8</v>
      </c>
      <c r="C11">
        <v>38</v>
      </c>
      <c r="L11" s="5">
        <v>2014</v>
      </c>
      <c r="M11" s="3">
        <v>2.23</v>
      </c>
    </row>
    <row r="12" spans="1:13" x14ac:dyDescent="0.25">
      <c r="A12" s="1">
        <v>38374</v>
      </c>
      <c r="B12" t="s">
        <v>9</v>
      </c>
      <c r="C12">
        <v>440</v>
      </c>
    </row>
    <row r="13" spans="1:13" x14ac:dyDescent="0.25">
      <c r="A13" s="1">
        <v>38376</v>
      </c>
      <c r="B13" t="s">
        <v>10</v>
      </c>
      <c r="C13">
        <v>120</v>
      </c>
    </row>
    <row r="14" spans="1:13" x14ac:dyDescent="0.25">
      <c r="A14" s="1">
        <v>38377</v>
      </c>
      <c r="B14" t="s">
        <v>11</v>
      </c>
      <c r="C14">
        <v>11</v>
      </c>
    </row>
    <row r="15" spans="1:13" x14ac:dyDescent="0.25">
      <c r="A15" s="1">
        <v>38378</v>
      </c>
      <c r="B15" t="s">
        <v>12</v>
      </c>
      <c r="C15">
        <v>36</v>
      </c>
    </row>
    <row r="16" spans="1:13" x14ac:dyDescent="0.25">
      <c r="A16" s="1">
        <v>38379</v>
      </c>
      <c r="B16" t="s">
        <v>10</v>
      </c>
      <c r="C16">
        <v>51</v>
      </c>
    </row>
    <row r="17" spans="1:3" x14ac:dyDescent="0.25">
      <c r="A17" s="1">
        <v>38385</v>
      </c>
      <c r="B17" t="s">
        <v>7</v>
      </c>
      <c r="C17">
        <v>465</v>
      </c>
    </row>
    <row r="18" spans="1:3" x14ac:dyDescent="0.25">
      <c r="A18" s="1">
        <v>38386</v>
      </c>
      <c r="B18" t="s">
        <v>13</v>
      </c>
      <c r="C18">
        <v>8</v>
      </c>
    </row>
    <row r="19" spans="1:3" x14ac:dyDescent="0.25">
      <c r="A19" s="1">
        <v>38388</v>
      </c>
      <c r="B19" t="s">
        <v>14</v>
      </c>
      <c r="C19">
        <v>287</v>
      </c>
    </row>
    <row r="20" spans="1:3" x14ac:dyDescent="0.25">
      <c r="A20" s="1">
        <v>38388</v>
      </c>
      <c r="B20" t="s">
        <v>15</v>
      </c>
      <c r="C20">
        <v>12</v>
      </c>
    </row>
    <row r="21" spans="1:3" x14ac:dyDescent="0.25">
      <c r="A21" s="1">
        <v>38393</v>
      </c>
      <c r="B21" t="s">
        <v>16</v>
      </c>
      <c r="C21">
        <v>6</v>
      </c>
    </row>
    <row r="22" spans="1:3" x14ac:dyDescent="0.25">
      <c r="A22" s="1">
        <v>38397</v>
      </c>
      <c r="B22" t="s">
        <v>17</v>
      </c>
      <c r="C22">
        <v>321</v>
      </c>
    </row>
    <row r="23" spans="1:3" x14ac:dyDescent="0.25">
      <c r="A23" s="1">
        <v>38401</v>
      </c>
      <c r="B23" t="s">
        <v>18</v>
      </c>
      <c r="C23">
        <v>99</v>
      </c>
    </row>
    <row r="24" spans="1:3" x14ac:dyDescent="0.25">
      <c r="A24" s="1">
        <v>38401</v>
      </c>
      <c r="B24" t="s">
        <v>19</v>
      </c>
      <c r="C24">
        <v>91</v>
      </c>
    </row>
    <row r="25" spans="1:3" x14ac:dyDescent="0.25">
      <c r="A25" s="1">
        <v>38407</v>
      </c>
      <c r="B25" t="s">
        <v>14</v>
      </c>
      <c r="C25">
        <v>118</v>
      </c>
    </row>
    <row r="26" spans="1:3" x14ac:dyDescent="0.25">
      <c r="A26" s="1">
        <v>38408</v>
      </c>
      <c r="B26" t="s">
        <v>20</v>
      </c>
      <c r="C26">
        <v>58</v>
      </c>
    </row>
    <row r="27" spans="1:3" x14ac:dyDescent="0.25">
      <c r="A27" s="1">
        <v>38409</v>
      </c>
      <c r="B27" t="s">
        <v>21</v>
      </c>
      <c r="C27">
        <v>16</v>
      </c>
    </row>
    <row r="28" spans="1:3" x14ac:dyDescent="0.25">
      <c r="A28" s="1">
        <v>38409</v>
      </c>
      <c r="B28" t="s">
        <v>22</v>
      </c>
      <c r="C28">
        <v>348</v>
      </c>
    </row>
    <row r="29" spans="1:3" x14ac:dyDescent="0.25">
      <c r="A29" s="1">
        <v>38410</v>
      </c>
      <c r="B29" t="s">
        <v>5</v>
      </c>
      <c r="C29">
        <v>336</v>
      </c>
    </row>
    <row r="30" spans="1:3" x14ac:dyDescent="0.25">
      <c r="A30" s="1">
        <v>38410</v>
      </c>
      <c r="B30" t="s">
        <v>22</v>
      </c>
      <c r="C30">
        <v>435</v>
      </c>
    </row>
    <row r="31" spans="1:3" x14ac:dyDescent="0.25">
      <c r="A31" s="1">
        <v>38410</v>
      </c>
      <c r="B31" t="s">
        <v>23</v>
      </c>
      <c r="C31">
        <v>110</v>
      </c>
    </row>
    <row r="32" spans="1:3" x14ac:dyDescent="0.25">
      <c r="A32" s="1">
        <v>38412</v>
      </c>
      <c r="B32" t="s">
        <v>24</v>
      </c>
      <c r="C32">
        <v>204</v>
      </c>
    </row>
    <row r="33" spans="1:3" x14ac:dyDescent="0.25">
      <c r="A33" s="1">
        <v>38412</v>
      </c>
      <c r="B33" t="s">
        <v>18</v>
      </c>
      <c r="C33">
        <v>20</v>
      </c>
    </row>
    <row r="34" spans="1:3" x14ac:dyDescent="0.25">
      <c r="A34" s="1">
        <v>38414</v>
      </c>
      <c r="B34" t="s">
        <v>25</v>
      </c>
      <c r="C34">
        <v>102</v>
      </c>
    </row>
    <row r="35" spans="1:3" x14ac:dyDescent="0.25">
      <c r="A35" s="1">
        <v>38416</v>
      </c>
      <c r="B35" t="s">
        <v>26</v>
      </c>
      <c r="C35">
        <v>48</v>
      </c>
    </row>
    <row r="36" spans="1:3" x14ac:dyDescent="0.25">
      <c r="A36" s="1">
        <v>38418</v>
      </c>
      <c r="B36" t="s">
        <v>22</v>
      </c>
      <c r="C36">
        <v>329</v>
      </c>
    </row>
    <row r="37" spans="1:3" x14ac:dyDescent="0.25">
      <c r="A37" s="1">
        <v>38420</v>
      </c>
      <c r="B37" t="s">
        <v>27</v>
      </c>
      <c r="C37">
        <v>16</v>
      </c>
    </row>
    <row r="38" spans="1:3" x14ac:dyDescent="0.25">
      <c r="A38" s="1">
        <v>38421</v>
      </c>
      <c r="B38" t="s">
        <v>28</v>
      </c>
      <c r="C38">
        <v>102</v>
      </c>
    </row>
    <row r="39" spans="1:3" x14ac:dyDescent="0.25">
      <c r="A39" s="1">
        <v>38421</v>
      </c>
      <c r="B39" t="s">
        <v>14</v>
      </c>
      <c r="C39">
        <v>309</v>
      </c>
    </row>
    <row r="40" spans="1:3" x14ac:dyDescent="0.25">
      <c r="A40" s="1">
        <v>38423</v>
      </c>
      <c r="B40" t="s">
        <v>5</v>
      </c>
      <c r="C40">
        <v>331</v>
      </c>
    </row>
    <row r="41" spans="1:3" x14ac:dyDescent="0.25">
      <c r="A41" s="1">
        <v>38428</v>
      </c>
      <c r="B41" t="s">
        <v>29</v>
      </c>
      <c r="C41">
        <v>3</v>
      </c>
    </row>
    <row r="42" spans="1:3" x14ac:dyDescent="0.25">
      <c r="A42" s="1">
        <v>38429</v>
      </c>
      <c r="B42" t="s">
        <v>30</v>
      </c>
      <c r="C42">
        <v>76</v>
      </c>
    </row>
    <row r="43" spans="1:3" x14ac:dyDescent="0.25">
      <c r="A43" s="1">
        <v>38429</v>
      </c>
      <c r="B43" t="s">
        <v>31</v>
      </c>
      <c r="C43">
        <v>196</v>
      </c>
    </row>
    <row r="44" spans="1:3" x14ac:dyDescent="0.25">
      <c r="A44" s="1">
        <v>38431</v>
      </c>
      <c r="B44" t="s">
        <v>18</v>
      </c>
      <c r="C44">
        <v>54</v>
      </c>
    </row>
    <row r="45" spans="1:3" x14ac:dyDescent="0.25">
      <c r="A45" s="1">
        <v>38435</v>
      </c>
      <c r="B45" t="s">
        <v>9</v>
      </c>
      <c r="C45">
        <v>277</v>
      </c>
    </row>
    <row r="46" spans="1:3" x14ac:dyDescent="0.25">
      <c r="A46" s="1">
        <v>38437</v>
      </c>
      <c r="B46" t="s">
        <v>32</v>
      </c>
      <c r="C46">
        <v>7</v>
      </c>
    </row>
    <row r="47" spans="1:3" x14ac:dyDescent="0.25">
      <c r="A47" s="1">
        <v>38439</v>
      </c>
      <c r="B47" t="s">
        <v>33</v>
      </c>
      <c r="C47">
        <v>12</v>
      </c>
    </row>
    <row r="48" spans="1:3" x14ac:dyDescent="0.25">
      <c r="A48" s="1">
        <v>38440</v>
      </c>
      <c r="B48" t="s">
        <v>34</v>
      </c>
      <c r="C48">
        <v>7</v>
      </c>
    </row>
    <row r="49" spans="1:3" x14ac:dyDescent="0.25">
      <c r="A49" s="1">
        <v>38442</v>
      </c>
      <c r="B49" t="s">
        <v>7</v>
      </c>
      <c r="C49">
        <v>416</v>
      </c>
    </row>
    <row r="50" spans="1:3" x14ac:dyDescent="0.25">
      <c r="A50" s="1">
        <v>38445</v>
      </c>
      <c r="B50" t="s">
        <v>7</v>
      </c>
      <c r="C50">
        <v>263</v>
      </c>
    </row>
    <row r="51" spans="1:3" x14ac:dyDescent="0.25">
      <c r="A51" s="1">
        <v>38448</v>
      </c>
      <c r="B51" t="s">
        <v>1</v>
      </c>
      <c r="C51">
        <v>15</v>
      </c>
    </row>
    <row r="52" spans="1:3" x14ac:dyDescent="0.25">
      <c r="A52" s="1">
        <v>38452</v>
      </c>
      <c r="B52" t="s">
        <v>25</v>
      </c>
      <c r="C52">
        <v>194</v>
      </c>
    </row>
    <row r="53" spans="1:3" x14ac:dyDescent="0.25">
      <c r="A53" s="1">
        <v>38453</v>
      </c>
      <c r="B53" t="s">
        <v>35</v>
      </c>
      <c r="C53">
        <v>120</v>
      </c>
    </row>
    <row r="54" spans="1:3" x14ac:dyDescent="0.25">
      <c r="A54" s="1">
        <v>38454</v>
      </c>
      <c r="B54" t="s">
        <v>7</v>
      </c>
      <c r="C54">
        <v>175</v>
      </c>
    </row>
    <row r="55" spans="1:3" x14ac:dyDescent="0.25">
      <c r="A55" s="1">
        <v>38456</v>
      </c>
      <c r="B55" t="s">
        <v>36</v>
      </c>
      <c r="C55">
        <v>12</v>
      </c>
    </row>
    <row r="56" spans="1:3" x14ac:dyDescent="0.25">
      <c r="A56" s="1">
        <v>38457</v>
      </c>
      <c r="B56" t="s">
        <v>37</v>
      </c>
      <c r="C56">
        <v>174</v>
      </c>
    </row>
    <row r="57" spans="1:3" x14ac:dyDescent="0.25">
      <c r="A57" s="1">
        <v>38458</v>
      </c>
      <c r="B57" t="s">
        <v>38</v>
      </c>
      <c r="C57">
        <v>3</v>
      </c>
    </row>
    <row r="58" spans="1:3" x14ac:dyDescent="0.25">
      <c r="A58" s="1">
        <v>38459</v>
      </c>
      <c r="B58" t="s">
        <v>39</v>
      </c>
      <c r="C58">
        <v>149</v>
      </c>
    </row>
    <row r="59" spans="1:3" x14ac:dyDescent="0.25">
      <c r="A59" s="1">
        <v>38460</v>
      </c>
      <c r="B59" t="s">
        <v>17</v>
      </c>
      <c r="C59">
        <v>492</v>
      </c>
    </row>
    <row r="60" spans="1:3" x14ac:dyDescent="0.25">
      <c r="A60" s="1">
        <v>38460</v>
      </c>
      <c r="B60" t="s">
        <v>40</v>
      </c>
      <c r="C60">
        <v>2</v>
      </c>
    </row>
    <row r="61" spans="1:3" x14ac:dyDescent="0.25">
      <c r="A61" s="1">
        <v>38461</v>
      </c>
      <c r="B61" t="s">
        <v>14</v>
      </c>
      <c r="C61">
        <v>298</v>
      </c>
    </row>
    <row r="62" spans="1:3" x14ac:dyDescent="0.25">
      <c r="A62" s="1">
        <v>38472</v>
      </c>
      <c r="B62" t="s">
        <v>17</v>
      </c>
      <c r="C62">
        <v>201</v>
      </c>
    </row>
    <row r="63" spans="1:3" x14ac:dyDescent="0.25">
      <c r="A63" s="1">
        <v>38473</v>
      </c>
      <c r="B63" t="s">
        <v>41</v>
      </c>
      <c r="C63">
        <v>15</v>
      </c>
    </row>
    <row r="64" spans="1:3" x14ac:dyDescent="0.25">
      <c r="A64" s="1">
        <v>38473</v>
      </c>
      <c r="B64" t="s">
        <v>14</v>
      </c>
      <c r="C64">
        <v>319</v>
      </c>
    </row>
    <row r="65" spans="1:3" x14ac:dyDescent="0.25">
      <c r="A65" s="1">
        <v>38474</v>
      </c>
      <c r="B65" t="s">
        <v>42</v>
      </c>
      <c r="C65">
        <v>9</v>
      </c>
    </row>
    <row r="66" spans="1:3" x14ac:dyDescent="0.25">
      <c r="A66" s="1">
        <v>38476</v>
      </c>
      <c r="B66" t="s">
        <v>43</v>
      </c>
      <c r="C66">
        <v>15</v>
      </c>
    </row>
    <row r="67" spans="1:3" x14ac:dyDescent="0.25">
      <c r="A67" s="1">
        <v>38479</v>
      </c>
      <c r="B67" t="s">
        <v>22</v>
      </c>
      <c r="C67">
        <v>444</v>
      </c>
    </row>
    <row r="68" spans="1:3" x14ac:dyDescent="0.25">
      <c r="A68" s="1">
        <v>38479</v>
      </c>
      <c r="B68" t="s">
        <v>44</v>
      </c>
      <c r="C68">
        <v>13</v>
      </c>
    </row>
    <row r="69" spans="1:3" x14ac:dyDescent="0.25">
      <c r="A69" s="1">
        <v>38481</v>
      </c>
      <c r="B69" t="s">
        <v>45</v>
      </c>
      <c r="C69">
        <v>366</v>
      </c>
    </row>
    <row r="70" spans="1:3" x14ac:dyDescent="0.25">
      <c r="A70" s="1">
        <v>38492</v>
      </c>
      <c r="B70" t="s">
        <v>9</v>
      </c>
      <c r="C70">
        <v>259</v>
      </c>
    </row>
    <row r="71" spans="1:3" x14ac:dyDescent="0.25">
      <c r="A71" s="1">
        <v>38493</v>
      </c>
      <c r="B71" t="s">
        <v>46</v>
      </c>
      <c r="C71">
        <v>16</v>
      </c>
    </row>
    <row r="72" spans="1:3" x14ac:dyDescent="0.25">
      <c r="A72" s="1">
        <v>38496</v>
      </c>
      <c r="B72" t="s">
        <v>28</v>
      </c>
      <c r="C72">
        <v>49</v>
      </c>
    </row>
    <row r="73" spans="1:3" x14ac:dyDescent="0.25">
      <c r="A73" s="1">
        <v>38497</v>
      </c>
      <c r="B73" t="s">
        <v>47</v>
      </c>
      <c r="C73">
        <v>3</v>
      </c>
    </row>
    <row r="74" spans="1:3" x14ac:dyDescent="0.25">
      <c r="A74" s="1">
        <v>38497</v>
      </c>
      <c r="B74" t="s">
        <v>22</v>
      </c>
      <c r="C74">
        <v>251</v>
      </c>
    </row>
    <row r="75" spans="1:3" x14ac:dyDescent="0.25">
      <c r="A75" s="1">
        <v>38499</v>
      </c>
      <c r="B75" t="s">
        <v>30</v>
      </c>
      <c r="C75">
        <v>179</v>
      </c>
    </row>
    <row r="76" spans="1:3" x14ac:dyDescent="0.25">
      <c r="A76" s="1">
        <v>38501</v>
      </c>
      <c r="B76" t="s">
        <v>10</v>
      </c>
      <c r="C76">
        <v>116</v>
      </c>
    </row>
    <row r="77" spans="1:3" x14ac:dyDescent="0.25">
      <c r="A77" s="1">
        <v>38501</v>
      </c>
      <c r="B77" t="s">
        <v>48</v>
      </c>
      <c r="C77">
        <v>13</v>
      </c>
    </row>
    <row r="78" spans="1:3" x14ac:dyDescent="0.25">
      <c r="A78" s="1">
        <v>38503</v>
      </c>
      <c r="B78" t="s">
        <v>49</v>
      </c>
      <c r="C78">
        <v>3</v>
      </c>
    </row>
    <row r="79" spans="1:3" x14ac:dyDescent="0.25">
      <c r="A79" s="1">
        <v>38503</v>
      </c>
      <c r="B79" t="s">
        <v>50</v>
      </c>
      <c r="C79">
        <v>253</v>
      </c>
    </row>
    <row r="80" spans="1:3" x14ac:dyDescent="0.25">
      <c r="A80" s="1">
        <v>38510</v>
      </c>
      <c r="B80" t="s">
        <v>23</v>
      </c>
      <c r="C80">
        <v>83</v>
      </c>
    </row>
    <row r="81" spans="1:3" x14ac:dyDescent="0.25">
      <c r="A81" s="1">
        <v>38512</v>
      </c>
      <c r="B81" t="s">
        <v>18</v>
      </c>
      <c r="C81">
        <v>177</v>
      </c>
    </row>
    <row r="82" spans="1:3" x14ac:dyDescent="0.25">
      <c r="A82" s="1">
        <v>38512</v>
      </c>
      <c r="B82" t="s">
        <v>51</v>
      </c>
      <c r="C82">
        <v>7</v>
      </c>
    </row>
    <row r="83" spans="1:3" x14ac:dyDescent="0.25">
      <c r="A83" s="1">
        <v>38513</v>
      </c>
      <c r="B83" t="s">
        <v>52</v>
      </c>
      <c r="C83">
        <v>46</v>
      </c>
    </row>
    <row r="84" spans="1:3" x14ac:dyDescent="0.25">
      <c r="A84" s="1">
        <v>38514</v>
      </c>
      <c r="B84" t="s">
        <v>53</v>
      </c>
      <c r="C84">
        <v>2</v>
      </c>
    </row>
    <row r="85" spans="1:3" x14ac:dyDescent="0.25">
      <c r="A85" s="1">
        <v>38515</v>
      </c>
      <c r="B85" t="s">
        <v>3</v>
      </c>
      <c r="C85">
        <v>9</v>
      </c>
    </row>
    <row r="86" spans="1:3" x14ac:dyDescent="0.25">
      <c r="A86" s="1">
        <v>38517</v>
      </c>
      <c r="B86" t="s">
        <v>54</v>
      </c>
      <c r="C86">
        <v>3</v>
      </c>
    </row>
    <row r="87" spans="1:3" x14ac:dyDescent="0.25">
      <c r="A87" s="1">
        <v>38517</v>
      </c>
      <c r="B87" t="s">
        <v>55</v>
      </c>
      <c r="C87">
        <v>67</v>
      </c>
    </row>
    <row r="88" spans="1:3" x14ac:dyDescent="0.25">
      <c r="A88" s="1">
        <v>38517</v>
      </c>
      <c r="B88" t="s">
        <v>45</v>
      </c>
      <c r="C88">
        <v>425</v>
      </c>
    </row>
    <row r="89" spans="1:3" x14ac:dyDescent="0.25">
      <c r="A89" s="1">
        <v>38518</v>
      </c>
      <c r="B89" t="s">
        <v>5</v>
      </c>
      <c r="C89">
        <v>453</v>
      </c>
    </row>
    <row r="90" spans="1:3" x14ac:dyDescent="0.25">
      <c r="A90" s="1">
        <v>38523</v>
      </c>
      <c r="B90" t="s">
        <v>22</v>
      </c>
      <c r="C90">
        <v>212</v>
      </c>
    </row>
    <row r="91" spans="1:3" x14ac:dyDescent="0.25">
      <c r="A91" s="1">
        <v>38525</v>
      </c>
      <c r="B91" t="s">
        <v>56</v>
      </c>
      <c r="C91">
        <v>19</v>
      </c>
    </row>
    <row r="92" spans="1:3" x14ac:dyDescent="0.25">
      <c r="A92" s="1">
        <v>38526</v>
      </c>
      <c r="B92" t="s">
        <v>6</v>
      </c>
      <c r="C92">
        <v>81</v>
      </c>
    </row>
    <row r="93" spans="1:3" x14ac:dyDescent="0.25">
      <c r="A93" s="1">
        <v>38528</v>
      </c>
      <c r="B93" t="s">
        <v>57</v>
      </c>
      <c r="C93">
        <v>7</v>
      </c>
    </row>
    <row r="94" spans="1:3" x14ac:dyDescent="0.25">
      <c r="A94" s="1">
        <v>38529</v>
      </c>
      <c r="B94" t="s">
        <v>58</v>
      </c>
      <c r="C94">
        <v>179</v>
      </c>
    </row>
    <row r="95" spans="1:3" x14ac:dyDescent="0.25">
      <c r="A95" s="1">
        <v>38531</v>
      </c>
      <c r="B95" t="s">
        <v>14</v>
      </c>
      <c r="C95">
        <v>222</v>
      </c>
    </row>
    <row r="96" spans="1:3" x14ac:dyDescent="0.25">
      <c r="A96" s="1">
        <v>38532</v>
      </c>
      <c r="B96" t="s">
        <v>59</v>
      </c>
      <c r="C96">
        <v>14</v>
      </c>
    </row>
    <row r="97" spans="1:3" x14ac:dyDescent="0.25">
      <c r="A97" s="1">
        <v>38534</v>
      </c>
      <c r="B97" t="s">
        <v>60</v>
      </c>
      <c r="C97">
        <v>15</v>
      </c>
    </row>
    <row r="98" spans="1:3" x14ac:dyDescent="0.25">
      <c r="A98" s="1">
        <v>38536</v>
      </c>
      <c r="B98" t="s">
        <v>61</v>
      </c>
      <c r="C98">
        <v>97</v>
      </c>
    </row>
    <row r="99" spans="1:3" x14ac:dyDescent="0.25">
      <c r="A99" s="1">
        <v>38542</v>
      </c>
      <c r="B99" t="s">
        <v>20</v>
      </c>
      <c r="C99">
        <v>142</v>
      </c>
    </row>
    <row r="100" spans="1:3" x14ac:dyDescent="0.25">
      <c r="A100" s="1">
        <v>38546</v>
      </c>
      <c r="B100" t="s">
        <v>45</v>
      </c>
      <c r="C100">
        <v>214</v>
      </c>
    </row>
    <row r="101" spans="1:3" x14ac:dyDescent="0.25">
      <c r="A101" s="1">
        <v>38546</v>
      </c>
      <c r="B101" t="s">
        <v>14</v>
      </c>
      <c r="C101">
        <v>408</v>
      </c>
    </row>
    <row r="102" spans="1:3" x14ac:dyDescent="0.25">
      <c r="A102" s="1">
        <v>38547</v>
      </c>
      <c r="B102" t="s">
        <v>12</v>
      </c>
      <c r="C102">
        <v>144</v>
      </c>
    </row>
    <row r="103" spans="1:3" x14ac:dyDescent="0.25">
      <c r="A103" s="1">
        <v>38547</v>
      </c>
      <c r="B103" t="s">
        <v>6</v>
      </c>
      <c r="C103">
        <v>173</v>
      </c>
    </row>
    <row r="104" spans="1:3" x14ac:dyDescent="0.25">
      <c r="A104" s="1">
        <v>38549</v>
      </c>
      <c r="B104" t="s">
        <v>62</v>
      </c>
      <c r="C104">
        <v>15</v>
      </c>
    </row>
    <row r="105" spans="1:3" x14ac:dyDescent="0.25">
      <c r="A105" s="1">
        <v>38551</v>
      </c>
      <c r="B105" t="s">
        <v>50</v>
      </c>
      <c r="C105">
        <v>433</v>
      </c>
    </row>
    <row r="106" spans="1:3" x14ac:dyDescent="0.25">
      <c r="A106" s="1">
        <v>38555</v>
      </c>
      <c r="B106" t="s">
        <v>63</v>
      </c>
      <c r="C106">
        <v>137</v>
      </c>
    </row>
    <row r="107" spans="1:3" x14ac:dyDescent="0.25">
      <c r="A107" s="1">
        <v>38558</v>
      </c>
      <c r="B107" t="s">
        <v>50</v>
      </c>
      <c r="C107">
        <v>118</v>
      </c>
    </row>
    <row r="108" spans="1:3" x14ac:dyDescent="0.25">
      <c r="A108" s="1">
        <v>38558</v>
      </c>
      <c r="B108" t="s">
        <v>9</v>
      </c>
      <c r="C108">
        <v>158</v>
      </c>
    </row>
    <row r="109" spans="1:3" x14ac:dyDescent="0.25">
      <c r="A109" s="1">
        <v>38559</v>
      </c>
      <c r="B109" t="s">
        <v>44</v>
      </c>
      <c r="C109">
        <v>13</v>
      </c>
    </row>
    <row r="110" spans="1:3" x14ac:dyDescent="0.25">
      <c r="A110" s="1">
        <v>38560</v>
      </c>
      <c r="B110" t="s">
        <v>64</v>
      </c>
      <c r="C110">
        <v>2</v>
      </c>
    </row>
    <row r="111" spans="1:3" x14ac:dyDescent="0.25">
      <c r="A111" s="1">
        <v>38562</v>
      </c>
      <c r="B111" t="s">
        <v>50</v>
      </c>
      <c r="C111">
        <v>467</v>
      </c>
    </row>
    <row r="112" spans="1:3" x14ac:dyDescent="0.25">
      <c r="A112" s="1">
        <v>38563</v>
      </c>
      <c r="B112" t="s">
        <v>65</v>
      </c>
      <c r="C112">
        <v>9</v>
      </c>
    </row>
    <row r="113" spans="1:3" x14ac:dyDescent="0.25">
      <c r="A113" s="1">
        <v>38567</v>
      </c>
      <c r="B113" t="s">
        <v>66</v>
      </c>
      <c r="C113">
        <v>189</v>
      </c>
    </row>
    <row r="114" spans="1:3" x14ac:dyDescent="0.25">
      <c r="A114" s="1">
        <v>38568</v>
      </c>
      <c r="B114" t="s">
        <v>67</v>
      </c>
      <c r="C114">
        <v>19</v>
      </c>
    </row>
    <row r="115" spans="1:3" x14ac:dyDescent="0.25">
      <c r="A115" s="1">
        <v>38569</v>
      </c>
      <c r="B115" t="s">
        <v>9</v>
      </c>
      <c r="C115">
        <v>172</v>
      </c>
    </row>
    <row r="116" spans="1:3" x14ac:dyDescent="0.25">
      <c r="A116" s="1">
        <v>38570</v>
      </c>
      <c r="B116" t="s">
        <v>55</v>
      </c>
      <c r="C116">
        <v>84</v>
      </c>
    </row>
    <row r="117" spans="1:3" x14ac:dyDescent="0.25">
      <c r="A117" s="1">
        <v>38570</v>
      </c>
      <c r="B117" t="s">
        <v>68</v>
      </c>
      <c r="C117">
        <v>8</v>
      </c>
    </row>
    <row r="118" spans="1:3" x14ac:dyDescent="0.25">
      <c r="A118" s="1">
        <v>38570</v>
      </c>
      <c r="B118" t="s">
        <v>69</v>
      </c>
      <c r="C118">
        <v>66</v>
      </c>
    </row>
    <row r="119" spans="1:3" x14ac:dyDescent="0.25">
      <c r="A119" s="1">
        <v>38571</v>
      </c>
      <c r="B119" t="s">
        <v>37</v>
      </c>
      <c r="C119">
        <v>35</v>
      </c>
    </row>
    <row r="120" spans="1:3" x14ac:dyDescent="0.25">
      <c r="A120" s="1">
        <v>38572</v>
      </c>
      <c r="B120" t="s">
        <v>30</v>
      </c>
      <c r="C120">
        <v>91</v>
      </c>
    </row>
    <row r="121" spans="1:3" x14ac:dyDescent="0.25">
      <c r="A121" s="1">
        <v>38577</v>
      </c>
      <c r="B121" t="s">
        <v>7</v>
      </c>
      <c r="C121">
        <v>396</v>
      </c>
    </row>
    <row r="122" spans="1:3" x14ac:dyDescent="0.25">
      <c r="A122" s="1">
        <v>38577</v>
      </c>
      <c r="B122" t="s">
        <v>70</v>
      </c>
      <c r="C122">
        <v>6</v>
      </c>
    </row>
    <row r="123" spans="1:3" x14ac:dyDescent="0.25">
      <c r="A123" s="1">
        <v>38579</v>
      </c>
      <c r="B123" t="s">
        <v>28</v>
      </c>
      <c r="C123">
        <v>47</v>
      </c>
    </row>
    <row r="124" spans="1:3" x14ac:dyDescent="0.25">
      <c r="A124" s="1">
        <v>38581</v>
      </c>
      <c r="B124" t="s">
        <v>19</v>
      </c>
      <c r="C124">
        <v>41</v>
      </c>
    </row>
    <row r="125" spans="1:3" x14ac:dyDescent="0.25">
      <c r="A125" s="1">
        <v>38582</v>
      </c>
      <c r="B125" t="s">
        <v>71</v>
      </c>
      <c r="C125">
        <v>136</v>
      </c>
    </row>
    <row r="126" spans="1:3" x14ac:dyDescent="0.25">
      <c r="A126" s="1">
        <v>38583</v>
      </c>
      <c r="B126" t="s">
        <v>72</v>
      </c>
      <c r="C126">
        <v>16</v>
      </c>
    </row>
    <row r="127" spans="1:3" x14ac:dyDescent="0.25">
      <c r="A127" s="1">
        <v>38585</v>
      </c>
      <c r="B127" t="s">
        <v>73</v>
      </c>
      <c r="C127">
        <v>18</v>
      </c>
    </row>
    <row r="128" spans="1:3" x14ac:dyDescent="0.25">
      <c r="A128" s="1">
        <v>38589</v>
      </c>
      <c r="B128" t="s">
        <v>74</v>
      </c>
      <c r="C128">
        <v>11</v>
      </c>
    </row>
    <row r="129" spans="1:3" x14ac:dyDescent="0.25">
      <c r="A129" s="1">
        <v>38589</v>
      </c>
      <c r="B129" t="s">
        <v>75</v>
      </c>
      <c r="C129">
        <v>8</v>
      </c>
    </row>
    <row r="130" spans="1:3" x14ac:dyDescent="0.25">
      <c r="A130" s="1">
        <v>38589</v>
      </c>
      <c r="B130" t="s">
        <v>76</v>
      </c>
      <c r="C130">
        <v>16</v>
      </c>
    </row>
    <row r="131" spans="1:3" x14ac:dyDescent="0.25">
      <c r="A131" s="1">
        <v>38589</v>
      </c>
      <c r="B131" t="s">
        <v>28</v>
      </c>
      <c r="C131">
        <v>54</v>
      </c>
    </row>
    <row r="132" spans="1:3" x14ac:dyDescent="0.25">
      <c r="A132" s="1">
        <v>38590</v>
      </c>
      <c r="B132" t="s">
        <v>50</v>
      </c>
      <c r="C132">
        <v>299</v>
      </c>
    </row>
    <row r="133" spans="1:3" x14ac:dyDescent="0.25">
      <c r="A133" s="1">
        <v>38592</v>
      </c>
      <c r="B133" t="s">
        <v>69</v>
      </c>
      <c r="C133">
        <v>168</v>
      </c>
    </row>
    <row r="134" spans="1:3" x14ac:dyDescent="0.25">
      <c r="A134" s="1">
        <v>38593</v>
      </c>
      <c r="B134" t="s">
        <v>9</v>
      </c>
      <c r="C134">
        <v>106</v>
      </c>
    </row>
    <row r="135" spans="1:3" x14ac:dyDescent="0.25">
      <c r="A135" s="1">
        <v>38594</v>
      </c>
      <c r="B135" t="s">
        <v>12</v>
      </c>
      <c r="C135">
        <v>41</v>
      </c>
    </row>
    <row r="136" spans="1:3" x14ac:dyDescent="0.25">
      <c r="A136" s="1">
        <v>38594</v>
      </c>
      <c r="B136" t="s">
        <v>39</v>
      </c>
      <c r="C136">
        <v>31</v>
      </c>
    </row>
    <row r="137" spans="1:3" x14ac:dyDescent="0.25">
      <c r="A137" s="1">
        <v>38596</v>
      </c>
      <c r="B137" t="s">
        <v>77</v>
      </c>
      <c r="C137">
        <v>8</v>
      </c>
    </row>
    <row r="138" spans="1:3" x14ac:dyDescent="0.25">
      <c r="A138" s="1">
        <v>38599</v>
      </c>
      <c r="B138" t="s">
        <v>19</v>
      </c>
      <c r="C138">
        <v>63</v>
      </c>
    </row>
    <row r="139" spans="1:3" x14ac:dyDescent="0.25">
      <c r="A139" s="1">
        <v>38602</v>
      </c>
      <c r="B139" t="s">
        <v>5</v>
      </c>
      <c r="C139">
        <v>368</v>
      </c>
    </row>
    <row r="140" spans="1:3" x14ac:dyDescent="0.25">
      <c r="A140" s="1">
        <v>38603</v>
      </c>
      <c r="B140" t="s">
        <v>78</v>
      </c>
      <c r="C140">
        <v>106</v>
      </c>
    </row>
    <row r="141" spans="1:3" x14ac:dyDescent="0.25">
      <c r="A141" s="1">
        <v>38604</v>
      </c>
      <c r="B141" t="s">
        <v>8</v>
      </c>
      <c r="C141">
        <v>47</v>
      </c>
    </row>
    <row r="142" spans="1:3" x14ac:dyDescent="0.25">
      <c r="A142" s="1">
        <v>38604</v>
      </c>
      <c r="B142" t="s">
        <v>50</v>
      </c>
      <c r="C142">
        <v>447</v>
      </c>
    </row>
    <row r="143" spans="1:3" x14ac:dyDescent="0.25">
      <c r="A143" s="1">
        <v>38605</v>
      </c>
      <c r="B143" t="s">
        <v>69</v>
      </c>
      <c r="C143">
        <v>106</v>
      </c>
    </row>
    <row r="144" spans="1:3" x14ac:dyDescent="0.25">
      <c r="A144" s="1">
        <v>38606</v>
      </c>
      <c r="B144" t="s">
        <v>79</v>
      </c>
      <c r="C144">
        <v>13</v>
      </c>
    </row>
    <row r="145" spans="1:3" x14ac:dyDescent="0.25">
      <c r="A145" s="1">
        <v>38606</v>
      </c>
      <c r="B145" t="s">
        <v>52</v>
      </c>
      <c r="C145">
        <v>89</v>
      </c>
    </row>
    <row r="146" spans="1:3" x14ac:dyDescent="0.25">
      <c r="A146" s="1">
        <v>38606</v>
      </c>
      <c r="B146" t="s">
        <v>31</v>
      </c>
      <c r="C146">
        <v>105</v>
      </c>
    </row>
    <row r="147" spans="1:3" x14ac:dyDescent="0.25">
      <c r="A147" s="1">
        <v>38606</v>
      </c>
      <c r="B147" t="s">
        <v>7</v>
      </c>
      <c r="C147">
        <v>147</v>
      </c>
    </row>
    <row r="148" spans="1:3" x14ac:dyDescent="0.25">
      <c r="A148" s="1">
        <v>38608</v>
      </c>
      <c r="B148" t="s">
        <v>9</v>
      </c>
      <c r="C148">
        <v>309</v>
      </c>
    </row>
    <row r="149" spans="1:3" x14ac:dyDescent="0.25">
      <c r="A149" s="1">
        <v>38610</v>
      </c>
      <c r="B149" t="s">
        <v>28</v>
      </c>
      <c r="C149">
        <v>47</v>
      </c>
    </row>
    <row r="150" spans="1:3" x14ac:dyDescent="0.25">
      <c r="A150" s="1">
        <v>38612</v>
      </c>
      <c r="B150" t="s">
        <v>50</v>
      </c>
      <c r="C150">
        <v>404</v>
      </c>
    </row>
    <row r="151" spans="1:3" x14ac:dyDescent="0.25">
      <c r="A151" s="1">
        <v>38612</v>
      </c>
      <c r="B151" t="s">
        <v>80</v>
      </c>
      <c r="C151">
        <v>39</v>
      </c>
    </row>
    <row r="152" spans="1:3" x14ac:dyDescent="0.25">
      <c r="A152" s="1">
        <v>38612</v>
      </c>
      <c r="B152" t="s">
        <v>12</v>
      </c>
      <c r="C152">
        <v>61</v>
      </c>
    </row>
    <row r="153" spans="1:3" x14ac:dyDescent="0.25">
      <c r="A153" s="1">
        <v>38615</v>
      </c>
      <c r="B153" t="s">
        <v>66</v>
      </c>
      <c r="C153">
        <v>89</v>
      </c>
    </row>
    <row r="154" spans="1:3" x14ac:dyDescent="0.25">
      <c r="A154" s="1">
        <v>38617</v>
      </c>
      <c r="B154" t="s">
        <v>23</v>
      </c>
      <c r="C154">
        <v>127</v>
      </c>
    </row>
    <row r="155" spans="1:3" x14ac:dyDescent="0.25">
      <c r="A155" s="1">
        <v>38620</v>
      </c>
      <c r="B155" t="s">
        <v>18</v>
      </c>
      <c r="C155">
        <v>81</v>
      </c>
    </row>
    <row r="156" spans="1:3" x14ac:dyDescent="0.25">
      <c r="A156" s="1">
        <v>38623</v>
      </c>
      <c r="B156" t="s">
        <v>45</v>
      </c>
      <c r="C156">
        <v>433</v>
      </c>
    </row>
    <row r="157" spans="1:3" x14ac:dyDescent="0.25">
      <c r="A157" s="1">
        <v>38623</v>
      </c>
      <c r="B157" t="s">
        <v>9</v>
      </c>
      <c r="C157">
        <v>284</v>
      </c>
    </row>
    <row r="158" spans="1:3" x14ac:dyDescent="0.25">
      <c r="A158" s="1">
        <v>38624</v>
      </c>
      <c r="B158" t="s">
        <v>6</v>
      </c>
      <c r="C158">
        <v>122</v>
      </c>
    </row>
    <row r="159" spans="1:3" x14ac:dyDescent="0.25">
      <c r="A159" s="1">
        <v>38626</v>
      </c>
      <c r="B159" t="s">
        <v>80</v>
      </c>
      <c r="C159">
        <v>193</v>
      </c>
    </row>
    <row r="160" spans="1:3" x14ac:dyDescent="0.25">
      <c r="A160" s="1">
        <v>38628</v>
      </c>
      <c r="B160" t="s">
        <v>28</v>
      </c>
      <c r="C160">
        <v>118</v>
      </c>
    </row>
    <row r="161" spans="1:3" x14ac:dyDescent="0.25">
      <c r="A161" s="1">
        <v>38629</v>
      </c>
      <c r="B161" t="s">
        <v>5</v>
      </c>
      <c r="C161">
        <v>173</v>
      </c>
    </row>
    <row r="162" spans="1:3" x14ac:dyDescent="0.25">
      <c r="A162" s="1">
        <v>38632</v>
      </c>
      <c r="B162" t="s">
        <v>22</v>
      </c>
      <c r="C162">
        <v>392</v>
      </c>
    </row>
    <row r="163" spans="1:3" x14ac:dyDescent="0.25">
      <c r="A163" s="1">
        <v>38633</v>
      </c>
      <c r="B163" t="s">
        <v>16</v>
      </c>
      <c r="C163">
        <v>8</v>
      </c>
    </row>
    <row r="164" spans="1:3" x14ac:dyDescent="0.25">
      <c r="A164" s="1">
        <v>38638</v>
      </c>
      <c r="B164" t="s">
        <v>28</v>
      </c>
      <c r="C164">
        <v>132</v>
      </c>
    </row>
    <row r="165" spans="1:3" x14ac:dyDescent="0.25">
      <c r="A165" s="1">
        <v>38638</v>
      </c>
      <c r="B165" t="s">
        <v>8</v>
      </c>
      <c r="C165">
        <v>76</v>
      </c>
    </row>
    <row r="166" spans="1:3" x14ac:dyDescent="0.25">
      <c r="A166" s="1">
        <v>38639</v>
      </c>
      <c r="B166" t="s">
        <v>81</v>
      </c>
      <c r="C166">
        <v>17</v>
      </c>
    </row>
    <row r="167" spans="1:3" x14ac:dyDescent="0.25">
      <c r="A167" s="1">
        <v>38640</v>
      </c>
      <c r="B167" t="s">
        <v>82</v>
      </c>
      <c r="C167">
        <v>17</v>
      </c>
    </row>
    <row r="168" spans="1:3" x14ac:dyDescent="0.25">
      <c r="A168" s="1">
        <v>38643</v>
      </c>
      <c r="B168" t="s">
        <v>83</v>
      </c>
      <c r="C168">
        <v>2</v>
      </c>
    </row>
    <row r="169" spans="1:3" x14ac:dyDescent="0.25">
      <c r="A169" s="1">
        <v>38645</v>
      </c>
      <c r="B169" t="s">
        <v>19</v>
      </c>
      <c r="C169">
        <v>125</v>
      </c>
    </row>
    <row r="170" spans="1:3" x14ac:dyDescent="0.25">
      <c r="A170" s="1">
        <v>38646</v>
      </c>
      <c r="B170" t="s">
        <v>50</v>
      </c>
      <c r="C170">
        <v>234</v>
      </c>
    </row>
    <row r="171" spans="1:3" x14ac:dyDescent="0.25">
      <c r="A171" s="1">
        <v>38652</v>
      </c>
      <c r="B171" t="s">
        <v>69</v>
      </c>
      <c r="C171">
        <v>53</v>
      </c>
    </row>
    <row r="172" spans="1:3" x14ac:dyDescent="0.25">
      <c r="A172" s="1">
        <v>38653</v>
      </c>
      <c r="B172" t="s">
        <v>37</v>
      </c>
      <c r="C172">
        <v>165</v>
      </c>
    </row>
    <row r="173" spans="1:3" x14ac:dyDescent="0.25">
      <c r="A173" s="1">
        <v>38653</v>
      </c>
      <c r="B173" t="s">
        <v>10</v>
      </c>
      <c r="C173">
        <v>177</v>
      </c>
    </row>
    <row r="174" spans="1:3" x14ac:dyDescent="0.25">
      <c r="A174" s="1">
        <v>38655</v>
      </c>
      <c r="B174" t="s">
        <v>18</v>
      </c>
      <c r="C174">
        <v>103</v>
      </c>
    </row>
    <row r="175" spans="1:3" x14ac:dyDescent="0.25">
      <c r="A175" s="1">
        <v>38657</v>
      </c>
      <c r="B175" t="s">
        <v>84</v>
      </c>
      <c r="C175">
        <v>2</v>
      </c>
    </row>
    <row r="176" spans="1:3" x14ac:dyDescent="0.25">
      <c r="A176" s="1">
        <v>38657</v>
      </c>
      <c r="B176" t="s">
        <v>9</v>
      </c>
      <c r="C176">
        <v>279</v>
      </c>
    </row>
    <row r="177" spans="1:3" x14ac:dyDescent="0.25">
      <c r="A177" s="1">
        <v>38662</v>
      </c>
      <c r="B177" t="s">
        <v>30</v>
      </c>
      <c r="C177">
        <v>185</v>
      </c>
    </row>
    <row r="178" spans="1:3" x14ac:dyDescent="0.25">
      <c r="A178" s="1">
        <v>38663</v>
      </c>
      <c r="B178" t="s">
        <v>7</v>
      </c>
      <c r="C178">
        <v>434</v>
      </c>
    </row>
    <row r="179" spans="1:3" x14ac:dyDescent="0.25">
      <c r="A179" s="1">
        <v>38667</v>
      </c>
      <c r="B179" t="s">
        <v>85</v>
      </c>
      <c r="C179">
        <v>10</v>
      </c>
    </row>
    <row r="180" spans="1:3" x14ac:dyDescent="0.25">
      <c r="A180" s="1">
        <v>38669</v>
      </c>
      <c r="B180" t="s">
        <v>86</v>
      </c>
      <c r="C180">
        <v>9</v>
      </c>
    </row>
    <row r="181" spans="1:3" x14ac:dyDescent="0.25">
      <c r="A181" s="1">
        <v>38670</v>
      </c>
      <c r="B181" t="s">
        <v>24</v>
      </c>
      <c r="C181">
        <v>383</v>
      </c>
    </row>
    <row r="182" spans="1:3" x14ac:dyDescent="0.25">
      <c r="A182" s="1">
        <v>38670</v>
      </c>
      <c r="B182" t="s">
        <v>30</v>
      </c>
      <c r="C182">
        <v>189</v>
      </c>
    </row>
    <row r="183" spans="1:3" x14ac:dyDescent="0.25">
      <c r="A183" s="1">
        <v>38672</v>
      </c>
      <c r="B183" t="s">
        <v>12</v>
      </c>
      <c r="C183">
        <v>161</v>
      </c>
    </row>
    <row r="184" spans="1:3" x14ac:dyDescent="0.25">
      <c r="A184" s="1">
        <v>38672</v>
      </c>
      <c r="B184" t="s">
        <v>63</v>
      </c>
      <c r="C184">
        <v>115</v>
      </c>
    </row>
    <row r="185" spans="1:3" x14ac:dyDescent="0.25">
      <c r="A185" s="1">
        <v>38674</v>
      </c>
      <c r="B185" t="s">
        <v>69</v>
      </c>
      <c r="C185">
        <v>58</v>
      </c>
    </row>
    <row r="186" spans="1:3" x14ac:dyDescent="0.25">
      <c r="A186" s="1">
        <v>38674</v>
      </c>
      <c r="B186" t="s">
        <v>87</v>
      </c>
      <c r="C186">
        <v>16</v>
      </c>
    </row>
    <row r="187" spans="1:3" x14ac:dyDescent="0.25">
      <c r="A187" s="1">
        <v>38675</v>
      </c>
      <c r="B187" t="s">
        <v>53</v>
      </c>
      <c r="C187">
        <v>17</v>
      </c>
    </row>
    <row r="188" spans="1:3" x14ac:dyDescent="0.25">
      <c r="A188" s="1">
        <v>38676</v>
      </c>
      <c r="B188" t="s">
        <v>5</v>
      </c>
      <c r="C188">
        <v>177</v>
      </c>
    </row>
    <row r="189" spans="1:3" x14ac:dyDescent="0.25">
      <c r="A189" s="1">
        <v>38677</v>
      </c>
      <c r="B189" t="s">
        <v>78</v>
      </c>
      <c r="C189">
        <v>33</v>
      </c>
    </row>
    <row r="190" spans="1:3" x14ac:dyDescent="0.25">
      <c r="A190" s="1">
        <v>38680</v>
      </c>
      <c r="B190" t="s">
        <v>18</v>
      </c>
      <c r="C190">
        <v>60</v>
      </c>
    </row>
    <row r="191" spans="1:3" x14ac:dyDescent="0.25">
      <c r="A191" s="1">
        <v>38682</v>
      </c>
      <c r="B191" t="s">
        <v>88</v>
      </c>
      <c r="C191">
        <v>8</v>
      </c>
    </row>
    <row r="192" spans="1:3" x14ac:dyDescent="0.25">
      <c r="A192" s="1">
        <v>38687</v>
      </c>
      <c r="B192" t="s">
        <v>9</v>
      </c>
      <c r="C192">
        <v>317</v>
      </c>
    </row>
    <row r="193" spans="1:3" x14ac:dyDescent="0.25">
      <c r="A193" s="1">
        <v>38689</v>
      </c>
      <c r="B193" t="s">
        <v>89</v>
      </c>
      <c r="C193">
        <v>3</v>
      </c>
    </row>
    <row r="194" spans="1:3" x14ac:dyDescent="0.25">
      <c r="A194" s="1">
        <v>38691</v>
      </c>
      <c r="B194" t="s">
        <v>90</v>
      </c>
      <c r="C194">
        <v>16</v>
      </c>
    </row>
    <row r="195" spans="1:3" x14ac:dyDescent="0.25">
      <c r="A195" s="1">
        <v>38700</v>
      </c>
      <c r="B195" t="s">
        <v>65</v>
      </c>
      <c r="C195">
        <v>2</v>
      </c>
    </row>
    <row r="196" spans="1:3" x14ac:dyDescent="0.25">
      <c r="A196" s="1">
        <v>38705</v>
      </c>
      <c r="B196" t="s">
        <v>10</v>
      </c>
      <c r="C196">
        <v>161</v>
      </c>
    </row>
    <row r="197" spans="1:3" x14ac:dyDescent="0.25">
      <c r="A197" s="1">
        <v>38708</v>
      </c>
      <c r="B197" t="s">
        <v>37</v>
      </c>
      <c r="C197">
        <v>187</v>
      </c>
    </row>
    <row r="198" spans="1:3" x14ac:dyDescent="0.25">
      <c r="A198" s="1">
        <v>38708</v>
      </c>
      <c r="B198" t="s">
        <v>91</v>
      </c>
      <c r="C198">
        <v>17</v>
      </c>
    </row>
    <row r="199" spans="1:3" x14ac:dyDescent="0.25">
      <c r="A199" s="1">
        <v>38709</v>
      </c>
      <c r="B199" t="s">
        <v>92</v>
      </c>
      <c r="C199">
        <v>5</v>
      </c>
    </row>
    <row r="200" spans="1:3" x14ac:dyDescent="0.25">
      <c r="A200" s="1">
        <v>38711</v>
      </c>
      <c r="B200" t="s">
        <v>53</v>
      </c>
      <c r="C200">
        <v>10</v>
      </c>
    </row>
    <row r="201" spans="1:3" x14ac:dyDescent="0.25">
      <c r="A201" s="1">
        <v>38711</v>
      </c>
      <c r="B201" t="s">
        <v>14</v>
      </c>
      <c r="C201">
        <v>225</v>
      </c>
    </row>
    <row r="202" spans="1:3" x14ac:dyDescent="0.25">
      <c r="A202" s="1">
        <v>38716</v>
      </c>
      <c r="B202" t="s">
        <v>17</v>
      </c>
      <c r="C202">
        <v>367</v>
      </c>
    </row>
    <row r="203" spans="1:3" x14ac:dyDescent="0.25">
      <c r="A203" s="1">
        <v>38721</v>
      </c>
      <c r="B203" t="s">
        <v>14</v>
      </c>
      <c r="C203">
        <v>295</v>
      </c>
    </row>
    <row r="204" spans="1:3" x14ac:dyDescent="0.25">
      <c r="A204" s="1">
        <v>38725</v>
      </c>
      <c r="B204" t="s">
        <v>55</v>
      </c>
      <c r="C204">
        <v>26</v>
      </c>
    </row>
    <row r="205" spans="1:3" x14ac:dyDescent="0.25">
      <c r="A205" s="1">
        <v>38725</v>
      </c>
      <c r="B205" t="s">
        <v>93</v>
      </c>
      <c r="C205">
        <v>16</v>
      </c>
    </row>
    <row r="206" spans="1:3" x14ac:dyDescent="0.25">
      <c r="A206" s="1">
        <v>38729</v>
      </c>
      <c r="B206" t="s">
        <v>9</v>
      </c>
      <c r="C206">
        <v>165</v>
      </c>
    </row>
    <row r="207" spans="1:3" x14ac:dyDescent="0.25">
      <c r="A207" s="1">
        <v>38729</v>
      </c>
      <c r="B207" t="s">
        <v>94</v>
      </c>
      <c r="C207">
        <v>20</v>
      </c>
    </row>
    <row r="208" spans="1:3" x14ac:dyDescent="0.25">
      <c r="A208" s="1">
        <v>38734</v>
      </c>
      <c r="B208" t="s">
        <v>95</v>
      </c>
      <c r="C208">
        <v>2</v>
      </c>
    </row>
    <row r="209" spans="1:3" x14ac:dyDescent="0.25">
      <c r="A209" s="1">
        <v>38734</v>
      </c>
      <c r="B209" t="s">
        <v>96</v>
      </c>
      <c r="C209">
        <v>7</v>
      </c>
    </row>
    <row r="210" spans="1:3" x14ac:dyDescent="0.25">
      <c r="A210" s="1">
        <v>38734</v>
      </c>
      <c r="B210" t="s">
        <v>29</v>
      </c>
      <c r="C210">
        <v>7</v>
      </c>
    </row>
    <row r="211" spans="1:3" x14ac:dyDescent="0.25">
      <c r="A211" s="1">
        <v>38734</v>
      </c>
      <c r="B211" t="s">
        <v>78</v>
      </c>
      <c r="C211">
        <v>72</v>
      </c>
    </row>
    <row r="212" spans="1:3" x14ac:dyDescent="0.25">
      <c r="A212" s="1">
        <v>38735</v>
      </c>
      <c r="B212" t="s">
        <v>71</v>
      </c>
      <c r="C212">
        <v>59</v>
      </c>
    </row>
    <row r="213" spans="1:3" x14ac:dyDescent="0.25">
      <c r="A213" s="1">
        <v>38736</v>
      </c>
      <c r="B213" t="s">
        <v>45</v>
      </c>
      <c r="C213">
        <v>212</v>
      </c>
    </row>
    <row r="214" spans="1:3" x14ac:dyDescent="0.25">
      <c r="A214" s="1">
        <v>38741</v>
      </c>
      <c r="B214" t="s">
        <v>17</v>
      </c>
      <c r="C214">
        <v>195</v>
      </c>
    </row>
    <row r="215" spans="1:3" x14ac:dyDescent="0.25">
      <c r="A215" s="1">
        <v>38741</v>
      </c>
      <c r="B215" t="s">
        <v>57</v>
      </c>
      <c r="C215">
        <v>16</v>
      </c>
    </row>
    <row r="216" spans="1:3" x14ac:dyDescent="0.25">
      <c r="A216" s="1">
        <v>38745</v>
      </c>
      <c r="B216" t="s">
        <v>12</v>
      </c>
      <c r="C216">
        <v>187</v>
      </c>
    </row>
    <row r="217" spans="1:3" x14ac:dyDescent="0.25">
      <c r="A217" s="1">
        <v>38751</v>
      </c>
      <c r="B217" t="s">
        <v>17</v>
      </c>
      <c r="C217">
        <v>369</v>
      </c>
    </row>
    <row r="218" spans="1:3" x14ac:dyDescent="0.25">
      <c r="A218" s="1">
        <v>38754</v>
      </c>
      <c r="B218" t="s">
        <v>35</v>
      </c>
      <c r="C218">
        <v>190</v>
      </c>
    </row>
    <row r="219" spans="1:3" x14ac:dyDescent="0.25">
      <c r="A219" s="1">
        <v>38754</v>
      </c>
      <c r="B219" t="s">
        <v>14</v>
      </c>
      <c r="C219">
        <v>453</v>
      </c>
    </row>
    <row r="220" spans="1:3" x14ac:dyDescent="0.25">
      <c r="A220" s="1">
        <v>38754</v>
      </c>
      <c r="B220" t="s">
        <v>22</v>
      </c>
      <c r="C220">
        <v>223</v>
      </c>
    </row>
    <row r="221" spans="1:3" x14ac:dyDescent="0.25">
      <c r="A221" s="1">
        <v>38755</v>
      </c>
      <c r="B221" t="s">
        <v>64</v>
      </c>
      <c r="C221">
        <v>1</v>
      </c>
    </row>
    <row r="222" spans="1:3" x14ac:dyDescent="0.25">
      <c r="A222" s="1">
        <v>38757</v>
      </c>
      <c r="B222" t="s">
        <v>55</v>
      </c>
      <c r="C222">
        <v>170</v>
      </c>
    </row>
    <row r="223" spans="1:3" x14ac:dyDescent="0.25">
      <c r="A223" s="1">
        <v>38757</v>
      </c>
      <c r="B223" t="s">
        <v>86</v>
      </c>
      <c r="C223">
        <v>19</v>
      </c>
    </row>
    <row r="224" spans="1:3" x14ac:dyDescent="0.25">
      <c r="A224" s="1">
        <v>38757</v>
      </c>
      <c r="B224" t="s">
        <v>17</v>
      </c>
      <c r="C224">
        <v>464</v>
      </c>
    </row>
    <row r="225" spans="1:3" x14ac:dyDescent="0.25">
      <c r="A225" s="1">
        <v>38761</v>
      </c>
      <c r="B225" t="s">
        <v>7</v>
      </c>
      <c r="C225">
        <v>230</v>
      </c>
    </row>
    <row r="226" spans="1:3" x14ac:dyDescent="0.25">
      <c r="A226" s="1">
        <v>38765</v>
      </c>
      <c r="B226" t="s">
        <v>9</v>
      </c>
      <c r="C226">
        <v>387</v>
      </c>
    </row>
    <row r="227" spans="1:3" x14ac:dyDescent="0.25">
      <c r="A227" s="1">
        <v>38766</v>
      </c>
      <c r="B227" t="s">
        <v>45</v>
      </c>
      <c r="C227">
        <v>264</v>
      </c>
    </row>
    <row r="228" spans="1:3" x14ac:dyDescent="0.25">
      <c r="A228" s="1">
        <v>38767</v>
      </c>
      <c r="B228" t="s">
        <v>18</v>
      </c>
      <c r="C228">
        <v>163</v>
      </c>
    </row>
    <row r="229" spans="1:3" x14ac:dyDescent="0.25">
      <c r="A229" s="1">
        <v>38768</v>
      </c>
      <c r="B229" t="s">
        <v>36</v>
      </c>
      <c r="C229">
        <v>14</v>
      </c>
    </row>
    <row r="230" spans="1:3" x14ac:dyDescent="0.25">
      <c r="A230" s="1">
        <v>38769</v>
      </c>
      <c r="B230" t="s">
        <v>71</v>
      </c>
      <c r="C230">
        <v>98</v>
      </c>
    </row>
    <row r="231" spans="1:3" x14ac:dyDescent="0.25">
      <c r="A231" s="1">
        <v>38780</v>
      </c>
      <c r="B231" t="s">
        <v>97</v>
      </c>
      <c r="C231">
        <v>16</v>
      </c>
    </row>
    <row r="232" spans="1:3" x14ac:dyDescent="0.25">
      <c r="A232" s="1">
        <v>38780</v>
      </c>
      <c r="B232" t="s">
        <v>26</v>
      </c>
      <c r="C232">
        <v>80</v>
      </c>
    </row>
    <row r="233" spans="1:3" x14ac:dyDescent="0.25">
      <c r="A233" s="1">
        <v>38784</v>
      </c>
      <c r="B233" t="s">
        <v>39</v>
      </c>
      <c r="C233">
        <v>127</v>
      </c>
    </row>
    <row r="234" spans="1:3" x14ac:dyDescent="0.25">
      <c r="A234" s="1">
        <v>38786</v>
      </c>
      <c r="B234" t="s">
        <v>19</v>
      </c>
      <c r="C234">
        <v>170</v>
      </c>
    </row>
    <row r="235" spans="1:3" x14ac:dyDescent="0.25">
      <c r="A235" s="1">
        <v>38787</v>
      </c>
      <c r="B235" t="s">
        <v>61</v>
      </c>
      <c r="C235">
        <v>28</v>
      </c>
    </row>
    <row r="236" spans="1:3" x14ac:dyDescent="0.25">
      <c r="A236" s="1">
        <v>38788</v>
      </c>
      <c r="B236" t="s">
        <v>98</v>
      </c>
      <c r="C236">
        <v>12</v>
      </c>
    </row>
    <row r="237" spans="1:3" x14ac:dyDescent="0.25">
      <c r="A237" s="1">
        <v>38790</v>
      </c>
      <c r="B237" t="s">
        <v>99</v>
      </c>
      <c r="C237">
        <v>10</v>
      </c>
    </row>
    <row r="238" spans="1:3" x14ac:dyDescent="0.25">
      <c r="A238" s="1">
        <v>38791</v>
      </c>
      <c r="B238" t="s">
        <v>30</v>
      </c>
      <c r="C238">
        <v>65</v>
      </c>
    </row>
    <row r="239" spans="1:3" x14ac:dyDescent="0.25">
      <c r="A239" s="1">
        <v>38792</v>
      </c>
      <c r="B239" t="s">
        <v>100</v>
      </c>
      <c r="C239">
        <v>17</v>
      </c>
    </row>
    <row r="240" spans="1:3" x14ac:dyDescent="0.25">
      <c r="A240" s="1">
        <v>38792</v>
      </c>
      <c r="B240" t="s">
        <v>9</v>
      </c>
      <c r="C240">
        <v>262</v>
      </c>
    </row>
    <row r="241" spans="1:3" x14ac:dyDescent="0.25">
      <c r="A241" s="1">
        <v>38792</v>
      </c>
      <c r="B241" t="s">
        <v>101</v>
      </c>
      <c r="C241">
        <v>20</v>
      </c>
    </row>
    <row r="242" spans="1:3" x14ac:dyDescent="0.25">
      <c r="A242" s="1">
        <v>38801</v>
      </c>
      <c r="B242" t="s">
        <v>7</v>
      </c>
      <c r="C242">
        <v>224</v>
      </c>
    </row>
    <row r="243" spans="1:3" x14ac:dyDescent="0.25">
      <c r="A243" s="1">
        <v>38808</v>
      </c>
      <c r="B243" t="s">
        <v>52</v>
      </c>
      <c r="C243">
        <v>199</v>
      </c>
    </row>
    <row r="244" spans="1:3" x14ac:dyDescent="0.25">
      <c r="A244" s="1">
        <v>38813</v>
      </c>
      <c r="B244" t="s">
        <v>30</v>
      </c>
      <c r="C244">
        <v>70</v>
      </c>
    </row>
    <row r="245" spans="1:3" x14ac:dyDescent="0.25">
      <c r="A245" s="1">
        <v>38815</v>
      </c>
      <c r="B245" t="s">
        <v>102</v>
      </c>
      <c r="C245">
        <v>171</v>
      </c>
    </row>
    <row r="246" spans="1:3" x14ac:dyDescent="0.25">
      <c r="A246" s="1">
        <v>38815</v>
      </c>
      <c r="B246" t="s">
        <v>103</v>
      </c>
      <c r="C246">
        <v>1</v>
      </c>
    </row>
    <row r="247" spans="1:3" x14ac:dyDescent="0.25">
      <c r="A247" s="1">
        <v>38817</v>
      </c>
      <c r="B247" t="s">
        <v>94</v>
      </c>
      <c r="C247">
        <v>13</v>
      </c>
    </row>
    <row r="248" spans="1:3" x14ac:dyDescent="0.25">
      <c r="A248" s="1">
        <v>38818</v>
      </c>
      <c r="B248" t="s">
        <v>9</v>
      </c>
      <c r="C248">
        <v>293</v>
      </c>
    </row>
    <row r="249" spans="1:3" x14ac:dyDescent="0.25">
      <c r="A249" s="1">
        <v>38818</v>
      </c>
      <c r="B249" t="s">
        <v>87</v>
      </c>
      <c r="C249">
        <v>11</v>
      </c>
    </row>
    <row r="250" spans="1:3" x14ac:dyDescent="0.25">
      <c r="A250" s="1">
        <v>38820</v>
      </c>
      <c r="B250" t="s">
        <v>50</v>
      </c>
      <c r="C250">
        <v>162</v>
      </c>
    </row>
    <row r="251" spans="1:3" x14ac:dyDescent="0.25">
      <c r="A251" s="1">
        <v>38821</v>
      </c>
      <c r="B251" t="s">
        <v>58</v>
      </c>
      <c r="C251">
        <v>187</v>
      </c>
    </row>
    <row r="252" spans="1:3" x14ac:dyDescent="0.25">
      <c r="A252" s="1">
        <v>38822</v>
      </c>
      <c r="B252" t="s">
        <v>18</v>
      </c>
      <c r="C252">
        <v>192</v>
      </c>
    </row>
    <row r="253" spans="1:3" x14ac:dyDescent="0.25">
      <c r="A253" s="1">
        <v>38824</v>
      </c>
      <c r="B253" t="s">
        <v>24</v>
      </c>
      <c r="C253">
        <v>127</v>
      </c>
    </row>
    <row r="254" spans="1:3" x14ac:dyDescent="0.25">
      <c r="A254" s="1">
        <v>38826</v>
      </c>
      <c r="B254" t="s">
        <v>9</v>
      </c>
      <c r="C254">
        <v>198</v>
      </c>
    </row>
    <row r="255" spans="1:3" x14ac:dyDescent="0.25">
      <c r="A255" s="1">
        <v>38826</v>
      </c>
      <c r="B255" t="s">
        <v>104</v>
      </c>
      <c r="C255">
        <v>4</v>
      </c>
    </row>
    <row r="256" spans="1:3" x14ac:dyDescent="0.25">
      <c r="A256" s="1">
        <v>38826</v>
      </c>
      <c r="B256" t="s">
        <v>17</v>
      </c>
      <c r="C256">
        <v>110</v>
      </c>
    </row>
    <row r="257" spans="1:3" x14ac:dyDescent="0.25">
      <c r="A257" s="1">
        <v>38826</v>
      </c>
      <c r="B257" t="s">
        <v>18</v>
      </c>
      <c r="C257">
        <v>123</v>
      </c>
    </row>
    <row r="258" spans="1:3" x14ac:dyDescent="0.25">
      <c r="A258" s="1">
        <v>38827</v>
      </c>
      <c r="B258" t="s">
        <v>66</v>
      </c>
      <c r="C258">
        <v>159</v>
      </c>
    </row>
    <row r="259" spans="1:3" x14ac:dyDescent="0.25">
      <c r="A259" s="1">
        <v>38828</v>
      </c>
      <c r="B259" t="s">
        <v>105</v>
      </c>
      <c r="C259">
        <v>19</v>
      </c>
    </row>
    <row r="260" spans="1:3" x14ac:dyDescent="0.25">
      <c r="A260" s="1">
        <v>38834</v>
      </c>
      <c r="B260" t="s">
        <v>22</v>
      </c>
      <c r="C260">
        <v>289</v>
      </c>
    </row>
    <row r="261" spans="1:3" x14ac:dyDescent="0.25">
      <c r="A261" s="1">
        <v>38834</v>
      </c>
      <c r="B261" t="s">
        <v>23</v>
      </c>
      <c r="C261">
        <v>136</v>
      </c>
    </row>
    <row r="262" spans="1:3" x14ac:dyDescent="0.25">
      <c r="A262" s="1">
        <v>38845</v>
      </c>
      <c r="B262" t="s">
        <v>25</v>
      </c>
      <c r="C262">
        <v>41</v>
      </c>
    </row>
    <row r="263" spans="1:3" x14ac:dyDescent="0.25">
      <c r="A263" s="1">
        <v>38846</v>
      </c>
      <c r="B263" t="s">
        <v>45</v>
      </c>
      <c r="C263">
        <v>385</v>
      </c>
    </row>
    <row r="264" spans="1:3" x14ac:dyDescent="0.25">
      <c r="A264" s="1">
        <v>38847</v>
      </c>
      <c r="B264" t="s">
        <v>106</v>
      </c>
      <c r="C264">
        <v>17</v>
      </c>
    </row>
    <row r="265" spans="1:3" x14ac:dyDescent="0.25">
      <c r="A265" s="1">
        <v>38847</v>
      </c>
      <c r="B265" t="s">
        <v>107</v>
      </c>
      <c r="C265">
        <v>20</v>
      </c>
    </row>
    <row r="266" spans="1:3" x14ac:dyDescent="0.25">
      <c r="A266" s="1">
        <v>38851</v>
      </c>
      <c r="B266" t="s">
        <v>108</v>
      </c>
      <c r="C266">
        <v>19</v>
      </c>
    </row>
    <row r="267" spans="1:3" x14ac:dyDescent="0.25">
      <c r="A267" s="1">
        <v>38852</v>
      </c>
      <c r="B267" t="s">
        <v>43</v>
      </c>
      <c r="C267">
        <v>13</v>
      </c>
    </row>
    <row r="268" spans="1:3" x14ac:dyDescent="0.25">
      <c r="A268" s="1">
        <v>38853</v>
      </c>
      <c r="B268" t="s">
        <v>97</v>
      </c>
      <c r="C268">
        <v>13</v>
      </c>
    </row>
    <row r="269" spans="1:3" x14ac:dyDescent="0.25">
      <c r="A269" s="1">
        <v>38855</v>
      </c>
      <c r="B269" t="s">
        <v>80</v>
      </c>
      <c r="C269">
        <v>168</v>
      </c>
    </row>
    <row r="270" spans="1:3" x14ac:dyDescent="0.25">
      <c r="A270" s="1">
        <v>38855</v>
      </c>
      <c r="B270" t="s">
        <v>109</v>
      </c>
      <c r="C270">
        <v>18</v>
      </c>
    </row>
    <row r="271" spans="1:3" x14ac:dyDescent="0.25">
      <c r="A271" s="1">
        <v>38855</v>
      </c>
      <c r="B271" t="s">
        <v>14</v>
      </c>
      <c r="C271">
        <v>131</v>
      </c>
    </row>
    <row r="272" spans="1:3" x14ac:dyDescent="0.25">
      <c r="A272" s="1">
        <v>38856</v>
      </c>
      <c r="B272" t="s">
        <v>22</v>
      </c>
      <c r="C272">
        <v>187</v>
      </c>
    </row>
    <row r="273" spans="1:3" x14ac:dyDescent="0.25">
      <c r="A273" s="1">
        <v>38857</v>
      </c>
      <c r="B273" t="s">
        <v>24</v>
      </c>
      <c r="C273">
        <v>412</v>
      </c>
    </row>
    <row r="274" spans="1:3" x14ac:dyDescent="0.25">
      <c r="A274" s="1">
        <v>38859</v>
      </c>
      <c r="B274" t="s">
        <v>6</v>
      </c>
      <c r="C274">
        <v>40</v>
      </c>
    </row>
    <row r="275" spans="1:3" x14ac:dyDescent="0.25">
      <c r="A275" s="1">
        <v>38860</v>
      </c>
      <c r="B275" t="s">
        <v>37</v>
      </c>
      <c r="C275">
        <v>166</v>
      </c>
    </row>
    <row r="276" spans="1:3" x14ac:dyDescent="0.25">
      <c r="A276" s="1">
        <v>38861</v>
      </c>
      <c r="B276" t="s">
        <v>66</v>
      </c>
      <c r="C276">
        <v>173</v>
      </c>
    </row>
    <row r="277" spans="1:3" x14ac:dyDescent="0.25">
      <c r="A277" s="1">
        <v>38862</v>
      </c>
      <c r="B277" t="s">
        <v>110</v>
      </c>
      <c r="C277">
        <v>2</v>
      </c>
    </row>
    <row r="278" spans="1:3" x14ac:dyDescent="0.25">
      <c r="A278" s="1">
        <v>38862</v>
      </c>
      <c r="B278" t="s">
        <v>111</v>
      </c>
      <c r="C278">
        <v>18</v>
      </c>
    </row>
    <row r="279" spans="1:3" x14ac:dyDescent="0.25">
      <c r="A279" s="1">
        <v>38863</v>
      </c>
      <c r="B279" t="s">
        <v>112</v>
      </c>
      <c r="C279">
        <v>15</v>
      </c>
    </row>
    <row r="280" spans="1:3" x14ac:dyDescent="0.25">
      <c r="A280" s="1">
        <v>38864</v>
      </c>
      <c r="B280" t="s">
        <v>102</v>
      </c>
      <c r="C280">
        <v>243</v>
      </c>
    </row>
    <row r="281" spans="1:3" x14ac:dyDescent="0.25">
      <c r="A281" s="1">
        <v>38865</v>
      </c>
      <c r="B281" t="s">
        <v>17</v>
      </c>
      <c r="C281">
        <v>460</v>
      </c>
    </row>
    <row r="282" spans="1:3" x14ac:dyDescent="0.25">
      <c r="A282" s="1">
        <v>38865</v>
      </c>
      <c r="B282" t="s">
        <v>113</v>
      </c>
      <c r="C282">
        <v>8</v>
      </c>
    </row>
    <row r="283" spans="1:3" x14ac:dyDescent="0.25">
      <c r="A283" s="1">
        <v>38866</v>
      </c>
      <c r="B283" t="s">
        <v>8</v>
      </c>
      <c r="C283">
        <v>150</v>
      </c>
    </row>
    <row r="284" spans="1:3" x14ac:dyDescent="0.25">
      <c r="A284" s="1">
        <v>38867</v>
      </c>
      <c r="B284" t="s">
        <v>52</v>
      </c>
      <c r="C284">
        <v>72</v>
      </c>
    </row>
    <row r="285" spans="1:3" x14ac:dyDescent="0.25">
      <c r="A285" s="1">
        <v>38867</v>
      </c>
      <c r="B285" t="s">
        <v>9</v>
      </c>
      <c r="C285">
        <v>217</v>
      </c>
    </row>
    <row r="286" spans="1:3" x14ac:dyDescent="0.25">
      <c r="A286" s="1">
        <v>38870</v>
      </c>
      <c r="B286" t="s">
        <v>39</v>
      </c>
      <c r="C286">
        <v>164</v>
      </c>
    </row>
    <row r="287" spans="1:3" x14ac:dyDescent="0.25">
      <c r="A287" s="1">
        <v>38870</v>
      </c>
      <c r="B287" t="s">
        <v>45</v>
      </c>
      <c r="C287">
        <v>429</v>
      </c>
    </row>
    <row r="288" spans="1:3" x14ac:dyDescent="0.25">
      <c r="A288" s="1">
        <v>38875</v>
      </c>
      <c r="B288" t="s">
        <v>8</v>
      </c>
      <c r="C288">
        <v>63</v>
      </c>
    </row>
    <row r="289" spans="1:3" x14ac:dyDescent="0.25">
      <c r="A289" s="1">
        <v>38878</v>
      </c>
      <c r="B289" t="s">
        <v>30</v>
      </c>
      <c r="C289">
        <v>106</v>
      </c>
    </row>
    <row r="290" spans="1:3" x14ac:dyDescent="0.25">
      <c r="A290" s="1">
        <v>38886</v>
      </c>
      <c r="B290" t="s">
        <v>22</v>
      </c>
      <c r="C290">
        <v>136</v>
      </c>
    </row>
    <row r="291" spans="1:3" x14ac:dyDescent="0.25">
      <c r="A291" s="1">
        <v>38887</v>
      </c>
      <c r="B291" t="s">
        <v>114</v>
      </c>
      <c r="C291">
        <v>7</v>
      </c>
    </row>
    <row r="292" spans="1:3" x14ac:dyDescent="0.25">
      <c r="A292" s="1">
        <v>38896</v>
      </c>
      <c r="B292" t="s">
        <v>12</v>
      </c>
      <c r="C292">
        <v>114</v>
      </c>
    </row>
    <row r="293" spans="1:3" x14ac:dyDescent="0.25">
      <c r="A293" s="1">
        <v>38896</v>
      </c>
      <c r="B293" t="s">
        <v>115</v>
      </c>
      <c r="C293">
        <v>12</v>
      </c>
    </row>
    <row r="294" spans="1:3" x14ac:dyDescent="0.25">
      <c r="A294" s="1">
        <v>38902</v>
      </c>
      <c r="B294" t="s">
        <v>9</v>
      </c>
      <c r="C294">
        <v>443</v>
      </c>
    </row>
    <row r="295" spans="1:3" x14ac:dyDescent="0.25">
      <c r="A295" s="1">
        <v>38904</v>
      </c>
      <c r="B295" t="s">
        <v>52</v>
      </c>
      <c r="C295">
        <v>73</v>
      </c>
    </row>
    <row r="296" spans="1:3" x14ac:dyDescent="0.25">
      <c r="A296" s="1">
        <v>38907</v>
      </c>
      <c r="B296" t="s">
        <v>116</v>
      </c>
      <c r="C296">
        <v>15</v>
      </c>
    </row>
    <row r="297" spans="1:3" x14ac:dyDescent="0.25">
      <c r="A297" s="1">
        <v>38907</v>
      </c>
      <c r="B297" t="s">
        <v>117</v>
      </c>
      <c r="C297">
        <v>9</v>
      </c>
    </row>
    <row r="298" spans="1:3" x14ac:dyDescent="0.25">
      <c r="A298" s="1">
        <v>38908</v>
      </c>
      <c r="B298" t="s">
        <v>118</v>
      </c>
      <c r="C298">
        <v>20</v>
      </c>
    </row>
    <row r="299" spans="1:3" x14ac:dyDescent="0.25">
      <c r="A299" s="1">
        <v>38910</v>
      </c>
      <c r="B299" t="s">
        <v>119</v>
      </c>
      <c r="C299">
        <v>9</v>
      </c>
    </row>
    <row r="300" spans="1:3" x14ac:dyDescent="0.25">
      <c r="A300" s="1">
        <v>38911</v>
      </c>
      <c r="B300" t="s">
        <v>120</v>
      </c>
      <c r="C300">
        <v>88</v>
      </c>
    </row>
    <row r="301" spans="1:3" x14ac:dyDescent="0.25">
      <c r="A301" s="1">
        <v>38911</v>
      </c>
      <c r="B301" t="s">
        <v>7</v>
      </c>
      <c r="C301">
        <v>139</v>
      </c>
    </row>
    <row r="302" spans="1:3" x14ac:dyDescent="0.25">
      <c r="A302" s="1">
        <v>38912</v>
      </c>
      <c r="B302" t="s">
        <v>22</v>
      </c>
      <c r="C302">
        <v>346</v>
      </c>
    </row>
    <row r="303" spans="1:3" x14ac:dyDescent="0.25">
      <c r="A303" s="1">
        <v>38918</v>
      </c>
      <c r="B303" t="s">
        <v>121</v>
      </c>
      <c r="C303">
        <v>3</v>
      </c>
    </row>
    <row r="304" spans="1:3" x14ac:dyDescent="0.25">
      <c r="A304" s="1">
        <v>38918</v>
      </c>
      <c r="B304" t="s">
        <v>122</v>
      </c>
      <c r="C304">
        <v>9</v>
      </c>
    </row>
    <row r="305" spans="1:3" x14ac:dyDescent="0.25">
      <c r="A305" s="1">
        <v>38918</v>
      </c>
      <c r="B305" t="s">
        <v>9</v>
      </c>
      <c r="C305">
        <v>323</v>
      </c>
    </row>
    <row r="306" spans="1:3" x14ac:dyDescent="0.25">
      <c r="A306" s="1">
        <v>38919</v>
      </c>
      <c r="B306" t="s">
        <v>102</v>
      </c>
      <c r="C306">
        <v>382</v>
      </c>
    </row>
    <row r="307" spans="1:3" x14ac:dyDescent="0.25">
      <c r="A307" s="1">
        <v>38923</v>
      </c>
      <c r="B307" t="s">
        <v>17</v>
      </c>
      <c r="C307">
        <v>296</v>
      </c>
    </row>
    <row r="308" spans="1:3" x14ac:dyDescent="0.25">
      <c r="A308" s="1">
        <v>38924</v>
      </c>
      <c r="B308" t="s">
        <v>5</v>
      </c>
      <c r="C308">
        <v>121</v>
      </c>
    </row>
    <row r="309" spans="1:3" x14ac:dyDescent="0.25">
      <c r="A309" s="1">
        <v>38924</v>
      </c>
      <c r="B309" t="s">
        <v>25</v>
      </c>
      <c r="C309">
        <v>157</v>
      </c>
    </row>
    <row r="310" spans="1:3" x14ac:dyDescent="0.25">
      <c r="A310" s="1">
        <v>38926</v>
      </c>
      <c r="B310" t="s">
        <v>9</v>
      </c>
      <c r="C310">
        <v>497</v>
      </c>
    </row>
    <row r="311" spans="1:3" x14ac:dyDescent="0.25">
      <c r="A311" s="1">
        <v>38927</v>
      </c>
      <c r="B311" t="s">
        <v>9</v>
      </c>
      <c r="C311">
        <v>103</v>
      </c>
    </row>
    <row r="312" spans="1:3" x14ac:dyDescent="0.25">
      <c r="A312" s="1">
        <v>38928</v>
      </c>
      <c r="B312" t="s">
        <v>30</v>
      </c>
      <c r="C312">
        <v>142</v>
      </c>
    </row>
    <row r="313" spans="1:3" x14ac:dyDescent="0.25">
      <c r="A313" s="1">
        <v>38929</v>
      </c>
      <c r="B313" t="s">
        <v>23</v>
      </c>
      <c r="C313">
        <v>144</v>
      </c>
    </row>
    <row r="314" spans="1:3" x14ac:dyDescent="0.25">
      <c r="A314" s="1">
        <v>38931</v>
      </c>
      <c r="B314" t="s">
        <v>100</v>
      </c>
      <c r="C314">
        <v>8</v>
      </c>
    </row>
    <row r="315" spans="1:3" x14ac:dyDescent="0.25">
      <c r="A315" s="1">
        <v>38936</v>
      </c>
      <c r="B315" t="s">
        <v>55</v>
      </c>
      <c r="C315">
        <v>172</v>
      </c>
    </row>
    <row r="316" spans="1:3" x14ac:dyDescent="0.25">
      <c r="A316" s="1">
        <v>38940</v>
      </c>
      <c r="B316" t="s">
        <v>7</v>
      </c>
      <c r="C316">
        <v>290</v>
      </c>
    </row>
    <row r="317" spans="1:3" x14ac:dyDescent="0.25">
      <c r="A317" s="1">
        <v>38942</v>
      </c>
      <c r="B317" t="s">
        <v>14</v>
      </c>
      <c r="C317">
        <v>422</v>
      </c>
    </row>
    <row r="318" spans="1:3" x14ac:dyDescent="0.25">
      <c r="A318" s="1">
        <v>38945</v>
      </c>
      <c r="B318" t="s">
        <v>109</v>
      </c>
      <c r="C318">
        <v>12</v>
      </c>
    </row>
    <row r="319" spans="1:3" x14ac:dyDescent="0.25">
      <c r="A319" s="1">
        <v>38948</v>
      </c>
      <c r="B319" t="s">
        <v>55</v>
      </c>
      <c r="C319">
        <v>104</v>
      </c>
    </row>
    <row r="320" spans="1:3" x14ac:dyDescent="0.25">
      <c r="A320" s="1">
        <v>38949</v>
      </c>
      <c r="B320" t="s">
        <v>35</v>
      </c>
      <c r="C320">
        <v>97</v>
      </c>
    </row>
    <row r="321" spans="1:3" x14ac:dyDescent="0.25">
      <c r="A321" s="1">
        <v>38950</v>
      </c>
      <c r="B321" t="s">
        <v>26</v>
      </c>
      <c r="C321">
        <v>179</v>
      </c>
    </row>
    <row r="322" spans="1:3" x14ac:dyDescent="0.25">
      <c r="A322" s="1">
        <v>38953</v>
      </c>
      <c r="B322" t="s">
        <v>50</v>
      </c>
      <c r="C322">
        <v>256</v>
      </c>
    </row>
    <row r="323" spans="1:3" x14ac:dyDescent="0.25">
      <c r="A323" s="1">
        <v>38954</v>
      </c>
      <c r="B323" t="s">
        <v>113</v>
      </c>
      <c r="C323">
        <v>20</v>
      </c>
    </row>
    <row r="324" spans="1:3" x14ac:dyDescent="0.25">
      <c r="A324" s="1">
        <v>38954</v>
      </c>
      <c r="B324" t="s">
        <v>105</v>
      </c>
      <c r="C324">
        <v>10</v>
      </c>
    </row>
    <row r="325" spans="1:3" x14ac:dyDescent="0.25">
      <c r="A325" s="1">
        <v>38955</v>
      </c>
      <c r="B325" t="s">
        <v>7</v>
      </c>
      <c r="C325">
        <v>407</v>
      </c>
    </row>
    <row r="326" spans="1:3" x14ac:dyDescent="0.25">
      <c r="A326" s="1">
        <v>38956</v>
      </c>
      <c r="B326" t="s">
        <v>22</v>
      </c>
      <c r="C326">
        <v>297</v>
      </c>
    </row>
    <row r="327" spans="1:3" x14ac:dyDescent="0.25">
      <c r="A327" s="1">
        <v>38956</v>
      </c>
      <c r="B327" t="s">
        <v>71</v>
      </c>
      <c r="C327">
        <v>133</v>
      </c>
    </row>
    <row r="328" spans="1:3" x14ac:dyDescent="0.25">
      <c r="A328" s="1">
        <v>38956</v>
      </c>
      <c r="B328" t="s">
        <v>35</v>
      </c>
      <c r="C328">
        <v>33</v>
      </c>
    </row>
    <row r="329" spans="1:3" x14ac:dyDescent="0.25">
      <c r="A329" s="1">
        <v>38959</v>
      </c>
      <c r="B329" t="s">
        <v>14</v>
      </c>
      <c r="C329">
        <v>220</v>
      </c>
    </row>
    <row r="330" spans="1:3" x14ac:dyDescent="0.25">
      <c r="A330" s="1">
        <v>38959</v>
      </c>
      <c r="B330" t="s">
        <v>28</v>
      </c>
      <c r="C330">
        <v>114</v>
      </c>
    </row>
    <row r="331" spans="1:3" x14ac:dyDescent="0.25">
      <c r="A331" s="1">
        <v>38962</v>
      </c>
      <c r="B331" t="s">
        <v>8</v>
      </c>
      <c r="C331">
        <v>130</v>
      </c>
    </row>
    <row r="332" spans="1:3" x14ac:dyDescent="0.25">
      <c r="A332" s="1">
        <v>38962</v>
      </c>
      <c r="B332" t="s">
        <v>30</v>
      </c>
      <c r="C332">
        <v>52</v>
      </c>
    </row>
    <row r="333" spans="1:3" x14ac:dyDescent="0.25">
      <c r="A333" s="1">
        <v>38962</v>
      </c>
      <c r="B333" t="s">
        <v>28</v>
      </c>
      <c r="C333">
        <v>33</v>
      </c>
    </row>
    <row r="334" spans="1:3" x14ac:dyDescent="0.25">
      <c r="A334" s="1">
        <v>38963</v>
      </c>
      <c r="B334" t="s">
        <v>61</v>
      </c>
      <c r="C334">
        <v>57</v>
      </c>
    </row>
    <row r="335" spans="1:3" x14ac:dyDescent="0.25">
      <c r="A335" s="1">
        <v>38965</v>
      </c>
      <c r="B335" t="s">
        <v>123</v>
      </c>
      <c r="C335">
        <v>190</v>
      </c>
    </row>
    <row r="336" spans="1:3" x14ac:dyDescent="0.25">
      <c r="A336" s="1">
        <v>38965</v>
      </c>
      <c r="B336" t="s">
        <v>84</v>
      </c>
      <c r="C336">
        <v>8</v>
      </c>
    </row>
    <row r="337" spans="1:3" x14ac:dyDescent="0.25">
      <c r="A337" s="1">
        <v>38965</v>
      </c>
      <c r="B337" t="s">
        <v>7</v>
      </c>
      <c r="C337">
        <v>255</v>
      </c>
    </row>
    <row r="338" spans="1:3" x14ac:dyDescent="0.25">
      <c r="A338" s="1">
        <v>38967</v>
      </c>
      <c r="B338" t="s">
        <v>71</v>
      </c>
      <c r="C338">
        <v>108</v>
      </c>
    </row>
    <row r="339" spans="1:3" x14ac:dyDescent="0.25">
      <c r="A339" s="1">
        <v>38971</v>
      </c>
      <c r="B339" t="s">
        <v>18</v>
      </c>
      <c r="C339">
        <v>78</v>
      </c>
    </row>
    <row r="340" spans="1:3" x14ac:dyDescent="0.25">
      <c r="A340" s="1">
        <v>38972</v>
      </c>
      <c r="B340" t="s">
        <v>7</v>
      </c>
      <c r="C340">
        <v>364</v>
      </c>
    </row>
    <row r="341" spans="1:3" x14ac:dyDescent="0.25">
      <c r="A341" s="1">
        <v>38973</v>
      </c>
      <c r="B341" t="s">
        <v>66</v>
      </c>
      <c r="C341">
        <v>52</v>
      </c>
    </row>
    <row r="342" spans="1:3" x14ac:dyDescent="0.25">
      <c r="A342" s="1">
        <v>38974</v>
      </c>
      <c r="B342" t="s">
        <v>102</v>
      </c>
      <c r="C342">
        <v>343</v>
      </c>
    </row>
    <row r="343" spans="1:3" x14ac:dyDescent="0.25">
      <c r="A343" s="1">
        <v>38976</v>
      </c>
      <c r="B343" t="s">
        <v>52</v>
      </c>
      <c r="C343">
        <v>197</v>
      </c>
    </row>
    <row r="344" spans="1:3" x14ac:dyDescent="0.25">
      <c r="A344" s="1">
        <v>38977</v>
      </c>
      <c r="B344" t="s">
        <v>124</v>
      </c>
      <c r="C344">
        <v>4</v>
      </c>
    </row>
    <row r="345" spans="1:3" x14ac:dyDescent="0.25">
      <c r="A345" s="1">
        <v>38978</v>
      </c>
      <c r="B345" t="s">
        <v>125</v>
      </c>
      <c r="C345">
        <v>8</v>
      </c>
    </row>
    <row r="346" spans="1:3" x14ac:dyDescent="0.25">
      <c r="A346" s="1">
        <v>38978</v>
      </c>
      <c r="B346" t="s">
        <v>56</v>
      </c>
      <c r="C346">
        <v>11</v>
      </c>
    </row>
    <row r="347" spans="1:3" x14ac:dyDescent="0.25">
      <c r="A347" s="1">
        <v>38978</v>
      </c>
      <c r="B347" t="s">
        <v>72</v>
      </c>
      <c r="C347">
        <v>10</v>
      </c>
    </row>
    <row r="348" spans="1:3" x14ac:dyDescent="0.25">
      <c r="A348" s="1">
        <v>38981</v>
      </c>
      <c r="B348" t="s">
        <v>61</v>
      </c>
      <c r="C348">
        <v>96</v>
      </c>
    </row>
    <row r="349" spans="1:3" x14ac:dyDescent="0.25">
      <c r="A349" s="1">
        <v>38981</v>
      </c>
      <c r="B349" t="s">
        <v>55</v>
      </c>
      <c r="C349">
        <v>30</v>
      </c>
    </row>
    <row r="350" spans="1:3" x14ac:dyDescent="0.25">
      <c r="A350" s="1">
        <v>38982</v>
      </c>
      <c r="B350" t="s">
        <v>126</v>
      </c>
      <c r="C350">
        <v>17</v>
      </c>
    </row>
    <row r="351" spans="1:3" x14ac:dyDescent="0.25">
      <c r="A351" s="1">
        <v>38985</v>
      </c>
      <c r="B351" t="s">
        <v>122</v>
      </c>
      <c r="C351">
        <v>17</v>
      </c>
    </row>
    <row r="352" spans="1:3" x14ac:dyDescent="0.25">
      <c r="A352" s="1">
        <v>38985</v>
      </c>
      <c r="B352" t="s">
        <v>12</v>
      </c>
      <c r="C352">
        <v>180</v>
      </c>
    </row>
    <row r="353" spans="1:3" x14ac:dyDescent="0.25">
      <c r="A353" s="1">
        <v>38985</v>
      </c>
      <c r="B353" t="s">
        <v>31</v>
      </c>
      <c r="C353">
        <v>94</v>
      </c>
    </row>
    <row r="354" spans="1:3" x14ac:dyDescent="0.25">
      <c r="A354" s="1">
        <v>38986</v>
      </c>
      <c r="B354" t="s">
        <v>39</v>
      </c>
      <c r="C354">
        <v>45</v>
      </c>
    </row>
    <row r="355" spans="1:3" x14ac:dyDescent="0.25">
      <c r="A355" s="1">
        <v>38987</v>
      </c>
      <c r="B355" t="s">
        <v>7</v>
      </c>
      <c r="C355">
        <v>380</v>
      </c>
    </row>
    <row r="356" spans="1:3" x14ac:dyDescent="0.25">
      <c r="A356" s="1">
        <v>38987</v>
      </c>
      <c r="B356" t="s">
        <v>43</v>
      </c>
      <c r="C356">
        <v>5</v>
      </c>
    </row>
    <row r="357" spans="1:3" x14ac:dyDescent="0.25">
      <c r="A357" s="1">
        <v>38991</v>
      </c>
      <c r="B357" t="s">
        <v>37</v>
      </c>
      <c r="C357">
        <v>170</v>
      </c>
    </row>
    <row r="358" spans="1:3" x14ac:dyDescent="0.25">
      <c r="A358" s="1">
        <v>38995</v>
      </c>
      <c r="B358" t="s">
        <v>45</v>
      </c>
      <c r="C358">
        <v>198</v>
      </c>
    </row>
    <row r="359" spans="1:3" x14ac:dyDescent="0.25">
      <c r="A359" s="1">
        <v>38998</v>
      </c>
      <c r="B359" t="s">
        <v>17</v>
      </c>
      <c r="C359">
        <v>283</v>
      </c>
    </row>
    <row r="360" spans="1:3" x14ac:dyDescent="0.25">
      <c r="A360" s="1">
        <v>39001</v>
      </c>
      <c r="B360" t="s">
        <v>123</v>
      </c>
      <c r="C360">
        <v>42</v>
      </c>
    </row>
    <row r="361" spans="1:3" x14ac:dyDescent="0.25">
      <c r="A361" s="1">
        <v>39003</v>
      </c>
      <c r="B361" t="s">
        <v>6</v>
      </c>
      <c r="C361">
        <v>163</v>
      </c>
    </row>
    <row r="362" spans="1:3" x14ac:dyDescent="0.25">
      <c r="A362" s="1">
        <v>39009</v>
      </c>
      <c r="B362" t="s">
        <v>17</v>
      </c>
      <c r="C362">
        <v>115</v>
      </c>
    </row>
    <row r="363" spans="1:3" x14ac:dyDescent="0.25">
      <c r="A363" s="1">
        <v>39014</v>
      </c>
      <c r="B363" t="s">
        <v>71</v>
      </c>
      <c r="C363">
        <v>75</v>
      </c>
    </row>
    <row r="364" spans="1:3" x14ac:dyDescent="0.25">
      <c r="A364" s="1">
        <v>39015</v>
      </c>
      <c r="B364" t="s">
        <v>45</v>
      </c>
      <c r="C364">
        <v>403</v>
      </c>
    </row>
    <row r="365" spans="1:3" x14ac:dyDescent="0.25">
      <c r="A365" s="1">
        <v>39019</v>
      </c>
      <c r="B365" t="s">
        <v>17</v>
      </c>
      <c r="C365">
        <v>465</v>
      </c>
    </row>
    <row r="366" spans="1:3" x14ac:dyDescent="0.25">
      <c r="A366" s="1">
        <v>39021</v>
      </c>
      <c r="B366" t="s">
        <v>6</v>
      </c>
      <c r="C366">
        <v>194</v>
      </c>
    </row>
    <row r="367" spans="1:3" x14ac:dyDescent="0.25">
      <c r="A367" s="1">
        <v>39021</v>
      </c>
      <c r="B367" t="s">
        <v>69</v>
      </c>
      <c r="C367">
        <v>122</v>
      </c>
    </row>
    <row r="368" spans="1:3" x14ac:dyDescent="0.25">
      <c r="A368" s="1">
        <v>39021</v>
      </c>
      <c r="B368" t="s">
        <v>19</v>
      </c>
      <c r="C368">
        <v>186</v>
      </c>
    </row>
    <row r="369" spans="1:3" x14ac:dyDescent="0.25">
      <c r="A369" s="1">
        <v>39026</v>
      </c>
      <c r="B369" t="s">
        <v>12</v>
      </c>
      <c r="C369">
        <v>137</v>
      </c>
    </row>
    <row r="370" spans="1:3" x14ac:dyDescent="0.25">
      <c r="A370" s="1">
        <v>39029</v>
      </c>
      <c r="B370" t="s">
        <v>79</v>
      </c>
      <c r="C370">
        <v>10</v>
      </c>
    </row>
    <row r="371" spans="1:3" x14ac:dyDescent="0.25">
      <c r="A371" s="1">
        <v>39032</v>
      </c>
      <c r="B371" t="s">
        <v>50</v>
      </c>
      <c r="C371">
        <v>437</v>
      </c>
    </row>
    <row r="372" spans="1:3" x14ac:dyDescent="0.25">
      <c r="A372" s="1">
        <v>39034</v>
      </c>
      <c r="B372" t="s">
        <v>127</v>
      </c>
      <c r="C372">
        <v>20</v>
      </c>
    </row>
    <row r="373" spans="1:3" x14ac:dyDescent="0.25">
      <c r="A373" s="1">
        <v>39035</v>
      </c>
      <c r="B373" t="s">
        <v>14</v>
      </c>
      <c r="C373">
        <v>108</v>
      </c>
    </row>
    <row r="374" spans="1:3" x14ac:dyDescent="0.25">
      <c r="A374" s="1">
        <v>39040</v>
      </c>
      <c r="B374" t="s">
        <v>37</v>
      </c>
      <c r="C374">
        <v>62</v>
      </c>
    </row>
    <row r="375" spans="1:3" x14ac:dyDescent="0.25">
      <c r="A375" s="1">
        <v>39040</v>
      </c>
      <c r="B375" t="s">
        <v>7</v>
      </c>
      <c r="C375">
        <v>426</v>
      </c>
    </row>
    <row r="376" spans="1:3" x14ac:dyDescent="0.25">
      <c r="A376" s="1">
        <v>39043</v>
      </c>
      <c r="B376" t="s">
        <v>45</v>
      </c>
      <c r="C376">
        <v>303</v>
      </c>
    </row>
    <row r="377" spans="1:3" x14ac:dyDescent="0.25">
      <c r="A377" s="1">
        <v>39044</v>
      </c>
      <c r="B377" t="s">
        <v>0</v>
      </c>
      <c r="C377">
        <v>20</v>
      </c>
    </row>
    <row r="378" spans="1:3" x14ac:dyDescent="0.25">
      <c r="A378" s="1">
        <v>39047</v>
      </c>
      <c r="B378" t="s">
        <v>9</v>
      </c>
      <c r="C378">
        <v>237</v>
      </c>
    </row>
    <row r="379" spans="1:3" x14ac:dyDescent="0.25">
      <c r="A379" s="1">
        <v>39048</v>
      </c>
      <c r="B379" t="s">
        <v>23</v>
      </c>
      <c r="C379">
        <v>151</v>
      </c>
    </row>
    <row r="380" spans="1:3" x14ac:dyDescent="0.25">
      <c r="A380" s="1">
        <v>39049</v>
      </c>
      <c r="B380" t="s">
        <v>128</v>
      </c>
      <c r="C380">
        <v>6</v>
      </c>
    </row>
    <row r="381" spans="1:3" x14ac:dyDescent="0.25">
      <c r="A381" s="1">
        <v>39052</v>
      </c>
      <c r="B381" t="s">
        <v>6</v>
      </c>
      <c r="C381">
        <v>124</v>
      </c>
    </row>
    <row r="382" spans="1:3" x14ac:dyDescent="0.25">
      <c r="A382" s="1">
        <v>39054</v>
      </c>
      <c r="B382" t="s">
        <v>129</v>
      </c>
      <c r="C382">
        <v>7</v>
      </c>
    </row>
    <row r="383" spans="1:3" x14ac:dyDescent="0.25">
      <c r="A383" s="1">
        <v>39055</v>
      </c>
      <c r="B383" t="s">
        <v>130</v>
      </c>
      <c r="C383">
        <v>7</v>
      </c>
    </row>
    <row r="384" spans="1:3" x14ac:dyDescent="0.25">
      <c r="A384" s="1">
        <v>39057</v>
      </c>
      <c r="B384" t="s">
        <v>45</v>
      </c>
      <c r="C384">
        <v>105</v>
      </c>
    </row>
    <row r="385" spans="1:3" x14ac:dyDescent="0.25">
      <c r="A385" s="1">
        <v>39058</v>
      </c>
      <c r="B385" t="s">
        <v>69</v>
      </c>
      <c r="C385">
        <v>58</v>
      </c>
    </row>
    <row r="386" spans="1:3" x14ac:dyDescent="0.25">
      <c r="A386" s="1">
        <v>39058</v>
      </c>
      <c r="B386" t="s">
        <v>131</v>
      </c>
      <c r="C386">
        <v>182</v>
      </c>
    </row>
    <row r="387" spans="1:3" x14ac:dyDescent="0.25">
      <c r="A387" s="1">
        <v>39060</v>
      </c>
      <c r="B387" t="s">
        <v>50</v>
      </c>
      <c r="C387">
        <v>163</v>
      </c>
    </row>
    <row r="388" spans="1:3" x14ac:dyDescent="0.25">
      <c r="A388" s="1">
        <v>39060</v>
      </c>
      <c r="B388" t="s">
        <v>132</v>
      </c>
      <c r="C388">
        <v>14</v>
      </c>
    </row>
    <row r="389" spans="1:3" x14ac:dyDescent="0.25">
      <c r="A389" s="1">
        <v>39061</v>
      </c>
      <c r="B389" t="s">
        <v>133</v>
      </c>
      <c r="C389">
        <v>4</v>
      </c>
    </row>
    <row r="390" spans="1:3" x14ac:dyDescent="0.25">
      <c r="A390" s="1">
        <v>39062</v>
      </c>
      <c r="B390" t="s">
        <v>134</v>
      </c>
      <c r="C390">
        <v>13</v>
      </c>
    </row>
    <row r="391" spans="1:3" x14ac:dyDescent="0.25">
      <c r="A391" s="1">
        <v>39063</v>
      </c>
      <c r="B391" t="s">
        <v>7</v>
      </c>
      <c r="C391">
        <v>422</v>
      </c>
    </row>
    <row r="392" spans="1:3" x14ac:dyDescent="0.25">
      <c r="A392" s="1">
        <v>39064</v>
      </c>
      <c r="B392" t="s">
        <v>82</v>
      </c>
      <c r="C392">
        <v>6</v>
      </c>
    </row>
    <row r="393" spans="1:3" x14ac:dyDescent="0.25">
      <c r="A393" s="1">
        <v>39069</v>
      </c>
      <c r="B393" t="s">
        <v>135</v>
      </c>
      <c r="C393">
        <v>15</v>
      </c>
    </row>
    <row r="394" spans="1:3" x14ac:dyDescent="0.25">
      <c r="A394" s="1">
        <v>39070</v>
      </c>
      <c r="B394" t="s">
        <v>30</v>
      </c>
      <c r="C394">
        <v>168</v>
      </c>
    </row>
    <row r="395" spans="1:3" x14ac:dyDescent="0.25">
      <c r="A395" s="1">
        <v>39072</v>
      </c>
      <c r="B395" t="s">
        <v>50</v>
      </c>
      <c r="C395">
        <v>193</v>
      </c>
    </row>
    <row r="396" spans="1:3" x14ac:dyDescent="0.25">
      <c r="A396" s="1">
        <v>39078</v>
      </c>
      <c r="B396" t="s">
        <v>105</v>
      </c>
      <c r="C396">
        <v>15</v>
      </c>
    </row>
    <row r="397" spans="1:3" x14ac:dyDescent="0.25">
      <c r="A397" s="1">
        <v>39079</v>
      </c>
      <c r="B397" t="s">
        <v>23</v>
      </c>
      <c r="C397">
        <v>27</v>
      </c>
    </row>
    <row r="398" spans="1:3" x14ac:dyDescent="0.25">
      <c r="A398" s="1">
        <v>39080</v>
      </c>
      <c r="B398" t="s">
        <v>23</v>
      </c>
      <c r="C398">
        <v>116</v>
      </c>
    </row>
    <row r="399" spans="1:3" x14ac:dyDescent="0.25">
      <c r="A399" s="1">
        <v>39081</v>
      </c>
      <c r="B399" t="s">
        <v>61</v>
      </c>
      <c r="C399">
        <v>21</v>
      </c>
    </row>
    <row r="400" spans="1:3" x14ac:dyDescent="0.25">
      <c r="A400" s="1">
        <v>39081</v>
      </c>
      <c r="B400" t="s">
        <v>23</v>
      </c>
      <c r="C400">
        <v>61</v>
      </c>
    </row>
    <row r="401" spans="1:3" x14ac:dyDescent="0.25">
      <c r="A401" s="1">
        <v>39081</v>
      </c>
      <c r="B401" t="s">
        <v>17</v>
      </c>
      <c r="C401">
        <v>458</v>
      </c>
    </row>
    <row r="402" spans="1:3" x14ac:dyDescent="0.25">
      <c r="A402" s="1">
        <v>39082</v>
      </c>
      <c r="B402" t="s">
        <v>136</v>
      </c>
      <c r="C402">
        <v>19</v>
      </c>
    </row>
    <row r="403" spans="1:3" x14ac:dyDescent="0.25">
      <c r="A403" s="1">
        <v>39084</v>
      </c>
      <c r="B403" t="s">
        <v>55</v>
      </c>
      <c r="C403">
        <v>81</v>
      </c>
    </row>
    <row r="404" spans="1:3" x14ac:dyDescent="0.25">
      <c r="A404" s="1">
        <v>39085</v>
      </c>
      <c r="B404" t="s">
        <v>18</v>
      </c>
      <c r="C404">
        <v>86</v>
      </c>
    </row>
    <row r="405" spans="1:3" x14ac:dyDescent="0.25">
      <c r="A405" s="1">
        <v>39086</v>
      </c>
      <c r="B405" t="s">
        <v>7</v>
      </c>
      <c r="C405">
        <v>142</v>
      </c>
    </row>
    <row r="406" spans="1:3" x14ac:dyDescent="0.25">
      <c r="A406" s="1">
        <v>39092</v>
      </c>
      <c r="B406" t="s">
        <v>17</v>
      </c>
      <c r="C406">
        <v>459</v>
      </c>
    </row>
    <row r="407" spans="1:3" x14ac:dyDescent="0.25">
      <c r="A407" s="1">
        <v>39093</v>
      </c>
      <c r="B407" t="s">
        <v>40</v>
      </c>
      <c r="C407">
        <v>20</v>
      </c>
    </row>
    <row r="408" spans="1:3" x14ac:dyDescent="0.25">
      <c r="A408" s="1">
        <v>39095</v>
      </c>
      <c r="B408" t="s">
        <v>45</v>
      </c>
      <c r="C408">
        <v>245</v>
      </c>
    </row>
    <row r="409" spans="1:3" x14ac:dyDescent="0.25">
      <c r="A409" s="1">
        <v>39095</v>
      </c>
      <c r="B409" t="s">
        <v>100</v>
      </c>
      <c r="C409">
        <v>19</v>
      </c>
    </row>
    <row r="410" spans="1:3" x14ac:dyDescent="0.25">
      <c r="A410" s="1">
        <v>39096</v>
      </c>
      <c r="B410" t="s">
        <v>10</v>
      </c>
      <c r="C410">
        <v>159</v>
      </c>
    </row>
    <row r="411" spans="1:3" x14ac:dyDescent="0.25">
      <c r="A411" s="1">
        <v>39097</v>
      </c>
      <c r="B411" t="s">
        <v>23</v>
      </c>
      <c r="C411">
        <v>99</v>
      </c>
    </row>
    <row r="412" spans="1:3" x14ac:dyDescent="0.25">
      <c r="A412" s="1">
        <v>39099</v>
      </c>
      <c r="B412" t="s">
        <v>22</v>
      </c>
      <c r="C412">
        <v>213</v>
      </c>
    </row>
    <row r="413" spans="1:3" x14ac:dyDescent="0.25">
      <c r="A413" s="1">
        <v>39106</v>
      </c>
      <c r="B413" t="s">
        <v>14</v>
      </c>
      <c r="C413">
        <v>349</v>
      </c>
    </row>
    <row r="414" spans="1:3" x14ac:dyDescent="0.25">
      <c r="A414" s="1">
        <v>39109</v>
      </c>
      <c r="B414" t="s">
        <v>17</v>
      </c>
      <c r="C414">
        <v>114</v>
      </c>
    </row>
    <row r="415" spans="1:3" x14ac:dyDescent="0.25">
      <c r="A415" s="1">
        <v>39109</v>
      </c>
      <c r="B415" t="s">
        <v>27</v>
      </c>
      <c r="C415">
        <v>12</v>
      </c>
    </row>
    <row r="416" spans="1:3" x14ac:dyDescent="0.25">
      <c r="A416" s="1">
        <v>39111</v>
      </c>
      <c r="B416" t="s">
        <v>99</v>
      </c>
      <c r="C416">
        <v>12</v>
      </c>
    </row>
    <row r="417" spans="1:3" x14ac:dyDescent="0.25">
      <c r="A417" s="1">
        <v>39117</v>
      </c>
      <c r="B417" t="s">
        <v>12</v>
      </c>
      <c r="C417">
        <v>132</v>
      </c>
    </row>
    <row r="418" spans="1:3" x14ac:dyDescent="0.25">
      <c r="A418" s="1">
        <v>39120</v>
      </c>
      <c r="B418" t="s">
        <v>23</v>
      </c>
      <c r="C418">
        <v>197</v>
      </c>
    </row>
    <row r="419" spans="1:3" x14ac:dyDescent="0.25">
      <c r="A419" s="1">
        <v>39120</v>
      </c>
      <c r="B419" t="s">
        <v>15</v>
      </c>
      <c r="C419">
        <v>5</v>
      </c>
    </row>
    <row r="420" spans="1:3" x14ac:dyDescent="0.25">
      <c r="A420" s="1">
        <v>39120</v>
      </c>
      <c r="B420" t="s">
        <v>50</v>
      </c>
      <c r="C420">
        <v>403</v>
      </c>
    </row>
    <row r="421" spans="1:3" x14ac:dyDescent="0.25">
      <c r="A421" s="1">
        <v>39121</v>
      </c>
      <c r="B421" t="s">
        <v>10</v>
      </c>
      <c r="C421">
        <v>200</v>
      </c>
    </row>
    <row r="422" spans="1:3" x14ac:dyDescent="0.25">
      <c r="A422" s="1">
        <v>39124</v>
      </c>
      <c r="B422" t="s">
        <v>69</v>
      </c>
      <c r="C422">
        <v>23</v>
      </c>
    </row>
    <row r="423" spans="1:3" x14ac:dyDescent="0.25">
      <c r="A423" s="1">
        <v>39131</v>
      </c>
      <c r="B423" t="s">
        <v>45</v>
      </c>
      <c r="C423">
        <v>337</v>
      </c>
    </row>
    <row r="424" spans="1:3" x14ac:dyDescent="0.25">
      <c r="A424" s="1">
        <v>39132</v>
      </c>
      <c r="B424" t="s">
        <v>5</v>
      </c>
      <c r="C424">
        <v>500</v>
      </c>
    </row>
    <row r="425" spans="1:3" x14ac:dyDescent="0.25">
      <c r="A425" s="1">
        <v>39132</v>
      </c>
      <c r="B425" t="s">
        <v>90</v>
      </c>
      <c r="C425">
        <v>9</v>
      </c>
    </row>
    <row r="426" spans="1:3" x14ac:dyDescent="0.25">
      <c r="A426" s="1">
        <v>39134</v>
      </c>
      <c r="B426" t="s">
        <v>131</v>
      </c>
      <c r="C426">
        <v>39</v>
      </c>
    </row>
    <row r="427" spans="1:3" x14ac:dyDescent="0.25">
      <c r="A427" s="1">
        <v>39139</v>
      </c>
      <c r="B427" t="s">
        <v>78</v>
      </c>
      <c r="C427">
        <v>156</v>
      </c>
    </row>
    <row r="428" spans="1:3" x14ac:dyDescent="0.25">
      <c r="A428" s="1">
        <v>39140</v>
      </c>
      <c r="B428" t="s">
        <v>17</v>
      </c>
      <c r="C428">
        <v>258</v>
      </c>
    </row>
    <row r="429" spans="1:3" x14ac:dyDescent="0.25">
      <c r="A429" s="1">
        <v>39140</v>
      </c>
      <c r="B429" t="s">
        <v>94</v>
      </c>
      <c r="C429">
        <v>14</v>
      </c>
    </row>
    <row r="430" spans="1:3" x14ac:dyDescent="0.25">
      <c r="A430" s="1">
        <v>39142</v>
      </c>
      <c r="B430" t="s">
        <v>12</v>
      </c>
      <c r="C430">
        <v>91</v>
      </c>
    </row>
    <row r="431" spans="1:3" x14ac:dyDescent="0.25">
      <c r="A431" s="1">
        <v>39149</v>
      </c>
      <c r="B431" t="s">
        <v>12</v>
      </c>
      <c r="C431">
        <v>68</v>
      </c>
    </row>
    <row r="432" spans="1:3" x14ac:dyDescent="0.25">
      <c r="A432" s="1">
        <v>39150</v>
      </c>
      <c r="B432" t="s">
        <v>137</v>
      </c>
      <c r="C432">
        <v>13</v>
      </c>
    </row>
    <row r="433" spans="1:3" x14ac:dyDescent="0.25">
      <c r="A433" s="1">
        <v>39152</v>
      </c>
      <c r="B433" t="s">
        <v>28</v>
      </c>
      <c r="C433">
        <v>118</v>
      </c>
    </row>
    <row r="434" spans="1:3" x14ac:dyDescent="0.25">
      <c r="A434" s="1">
        <v>39154</v>
      </c>
      <c r="B434" t="s">
        <v>25</v>
      </c>
      <c r="C434">
        <v>54</v>
      </c>
    </row>
    <row r="435" spans="1:3" x14ac:dyDescent="0.25">
      <c r="A435" s="1">
        <v>39158</v>
      </c>
      <c r="B435" t="s">
        <v>138</v>
      </c>
      <c r="C435">
        <v>10</v>
      </c>
    </row>
    <row r="436" spans="1:3" x14ac:dyDescent="0.25">
      <c r="A436" s="1">
        <v>39162</v>
      </c>
      <c r="B436" t="s">
        <v>50</v>
      </c>
      <c r="C436">
        <v>339</v>
      </c>
    </row>
    <row r="437" spans="1:3" x14ac:dyDescent="0.25">
      <c r="A437" s="1">
        <v>39163</v>
      </c>
      <c r="B437" t="s">
        <v>30</v>
      </c>
      <c r="C437">
        <v>80</v>
      </c>
    </row>
    <row r="438" spans="1:3" x14ac:dyDescent="0.25">
      <c r="A438" s="1">
        <v>39165</v>
      </c>
      <c r="B438" t="s">
        <v>22</v>
      </c>
      <c r="C438">
        <v>431</v>
      </c>
    </row>
    <row r="439" spans="1:3" x14ac:dyDescent="0.25">
      <c r="A439" s="1">
        <v>39167</v>
      </c>
      <c r="B439" t="s">
        <v>50</v>
      </c>
      <c r="C439">
        <v>268</v>
      </c>
    </row>
    <row r="440" spans="1:3" x14ac:dyDescent="0.25">
      <c r="A440" s="1">
        <v>39167</v>
      </c>
      <c r="B440" t="s">
        <v>22</v>
      </c>
      <c r="C440">
        <v>440</v>
      </c>
    </row>
    <row r="441" spans="1:3" x14ac:dyDescent="0.25">
      <c r="A441" s="1">
        <v>39167</v>
      </c>
      <c r="B441" t="s">
        <v>5</v>
      </c>
      <c r="C441">
        <v>396</v>
      </c>
    </row>
    <row r="442" spans="1:3" x14ac:dyDescent="0.25">
      <c r="A442" s="1">
        <v>39167</v>
      </c>
      <c r="B442" t="s">
        <v>18</v>
      </c>
      <c r="C442">
        <v>157</v>
      </c>
    </row>
    <row r="443" spans="1:3" x14ac:dyDescent="0.25">
      <c r="A443" s="1">
        <v>39171</v>
      </c>
      <c r="B443" t="s">
        <v>12</v>
      </c>
      <c r="C443">
        <v>194</v>
      </c>
    </row>
    <row r="444" spans="1:3" x14ac:dyDescent="0.25">
      <c r="A444" s="1">
        <v>39172</v>
      </c>
      <c r="B444" t="s">
        <v>39</v>
      </c>
      <c r="C444">
        <v>156</v>
      </c>
    </row>
    <row r="445" spans="1:3" x14ac:dyDescent="0.25">
      <c r="A445" s="1">
        <v>39173</v>
      </c>
      <c r="B445" t="s">
        <v>112</v>
      </c>
      <c r="C445">
        <v>11</v>
      </c>
    </row>
    <row r="446" spans="1:3" x14ac:dyDescent="0.25">
      <c r="A446" s="1">
        <v>39174</v>
      </c>
      <c r="B446" t="s">
        <v>35</v>
      </c>
      <c r="C446">
        <v>110</v>
      </c>
    </row>
    <row r="447" spans="1:3" x14ac:dyDescent="0.25">
      <c r="A447" s="1">
        <v>39176</v>
      </c>
      <c r="B447" t="s">
        <v>139</v>
      </c>
      <c r="C447">
        <v>12</v>
      </c>
    </row>
    <row r="448" spans="1:3" x14ac:dyDescent="0.25">
      <c r="A448" s="1">
        <v>39177</v>
      </c>
      <c r="B448" t="s">
        <v>5</v>
      </c>
      <c r="C448">
        <v>464</v>
      </c>
    </row>
    <row r="449" spans="1:3" x14ac:dyDescent="0.25">
      <c r="A449" s="1">
        <v>39178</v>
      </c>
      <c r="B449" t="s">
        <v>66</v>
      </c>
      <c r="C449">
        <v>40</v>
      </c>
    </row>
    <row r="450" spans="1:3" x14ac:dyDescent="0.25">
      <c r="A450" s="1">
        <v>39179</v>
      </c>
      <c r="B450" t="s">
        <v>39</v>
      </c>
      <c r="C450">
        <v>52</v>
      </c>
    </row>
    <row r="451" spans="1:3" x14ac:dyDescent="0.25">
      <c r="A451" s="1">
        <v>39184</v>
      </c>
      <c r="B451" t="s">
        <v>75</v>
      </c>
      <c r="C451">
        <v>12</v>
      </c>
    </row>
    <row r="452" spans="1:3" x14ac:dyDescent="0.25">
      <c r="A452" s="1">
        <v>39186</v>
      </c>
      <c r="B452" t="s">
        <v>7</v>
      </c>
      <c r="C452">
        <v>412</v>
      </c>
    </row>
    <row r="453" spans="1:3" x14ac:dyDescent="0.25">
      <c r="A453" s="1">
        <v>39188</v>
      </c>
      <c r="B453" t="s">
        <v>17</v>
      </c>
      <c r="C453">
        <v>268</v>
      </c>
    </row>
    <row r="454" spans="1:3" x14ac:dyDescent="0.25">
      <c r="A454" s="1">
        <v>39188</v>
      </c>
      <c r="B454" t="s">
        <v>7</v>
      </c>
      <c r="C454">
        <v>495</v>
      </c>
    </row>
    <row r="455" spans="1:3" x14ac:dyDescent="0.25">
      <c r="A455" s="1">
        <v>39188</v>
      </c>
      <c r="B455" t="s">
        <v>35</v>
      </c>
      <c r="C455">
        <v>30</v>
      </c>
    </row>
    <row r="456" spans="1:3" x14ac:dyDescent="0.25">
      <c r="A456" s="1">
        <v>39191</v>
      </c>
      <c r="B456" t="s">
        <v>6</v>
      </c>
      <c r="C456">
        <v>67</v>
      </c>
    </row>
    <row r="457" spans="1:3" x14ac:dyDescent="0.25">
      <c r="A457" s="1">
        <v>39197</v>
      </c>
      <c r="B457" t="s">
        <v>14</v>
      </c>
      <c r="C457">
        <v>497</v>
      </c>
    </row>
    <row r="458" spans="1:3" x14ac:dyDescent="0.25">
      <c r="A458" s="1">
        <v>39200</v>
      </c>
      <c r="B458" t="s">
        <v>22</v>
      </c>
      <c r="C458">
        <v>102</v>
      </c>
    </row>
    <row r="459" spans="1:3" x14ac:dyDescent="0.25">
      <c r="A459" s="1">
        <v>39203</v>
      </c>
      <c r="B459" t="s">
        <v>7</v>
      </c>
      <c r="C459">
        <v>322</v>
      </c>
    </row>
    <row r="460" spans="1:3" x14ac:dyDescent="0.25">
      <c r="A460" s="1">
        <v>39204</v>
      </c>
      <c r="B460" t="s">
        <v>9</v>
      </c>
      <c r="C460">
        <v>297</v>
      </c>
    </row>
    <row r="461" spans="1:3" x14ac:dyDescent="0.25">
      <c r="A461" s="1">
        <v>39206</v>
      </c>
      <c r="B461" t="s">
        <v>12</v>
      </c>
      <c r="C461">
        <v>179</v>
      </c>
    </row>
    <row r="462" spans="1:3" x14ac:dyDescent="0.25">
      <c r="A462" s="1">
        <v>39208</v>
      </c>
      <c r="B462" t="s">
        <v>140</v>
      </c>
      <c r="C462">
        <v>15</v>
      </c>
    </row>
    <row r="463" spans="1:3" x14ac:dyDescent="0.25">
      <c r="A463" s="1">
        <v>39210</v>
      </c>
      <c r="B463" t="s">
        <v>61</v>
      </c>
      <c r="C463">
        <v>65</v>
      </c>
    </row>
    <row r="464" spans="1:3" x14ac:dyDescent="0.25">
      <c r="A464" s="1">
        <v>39212</v>
      </c>
      <c r="B464" t="s">
        <v>7</v>
      </c>
      <c r="C464">
        <v>297</v>
      </c>
    </row>
    <row r="465" spans="1:3" x14ac:dyDescent="0.25">
      <c r="A465" s="1">
        <v>39214</v>
      </c>
      <c r="B465" t="s">
        <v>8</v>
      </c>
      <c r="C465">
        <v>131</v>
      </c>
    </row>
    <row r="466" spans="1:3" x14ac:dyDescent="0.25">
      <c r="A466" s="1">
        <v>39215</v>
      </c>
      <c r="B466" t="s">
        <v>141</v>
      </c>
      <c r="C466">
        <v>12</v>
      </c>
    </row>
    <row r="467" spans="1:3" x14ac:dyDescent="0.25">
      <c r="A467" s="1">
        <v>39215</v>
      </c>
      <c r="B467" t="s">
        <v>18</v>
      </c>
      <c r="C467">
        <v>114</v>
      </c>
    </row>
    <row r="468" spans="1:3" x14ac:dyDescent="0.25">
      <c r="A468" s="1">
        <v>39218</v>
      </c>
      <c r="B468" t="s">
        <v>14</v>
      </c>
      <c r="C468">
        <v>293</v>
      </c>
    </row>
    <row r="469" spans="1:3" x14ac:dyDescent="0.25">
      <c r="A469" s="1">
        <v>39220</v>
      </c>
      <c r="B469" t="s">
        <v>142</v>
      </c>
      <c r="C469">
        <v>18</v>
      </c>
    </row>
    <row r="470" spans="1:3" x14ac:dyDescent="0.25">
      <c r="A470" s="1">
        <v>39220</v>
      </c>
      <c r="B470" t="s">
        <v>19</v>
      </c>
      <c r="C470">
        <v>186</v>
      </c>
    </row>
    <row r="471" spans="1:3" x14ac:dyDescent="0.25">
      <c r="A471" s="1">
        <v>39223</v>
      </c>
      <c r="B471" t="s">
        <v>28</v>
      </c>
      <c r="C471">
        <v>119</v>
      </c>
    </row>
    <row r="472" spans="1:3" x14ac:dyDescent="0.25">
      <c r="A472" s="1">
        <v>39227</v>
      </c>
      <c r="B472" t="s">
        <v>130</v>
      </c>
      <c r="C472">
        <v>4</v>
      </c>
    </row>
    <row r="473" spans="1:3" x14ac:dyDescent="0.25">
      <c r="A473" s="1">
        <v>39230</v>
      </c>
      <c r="B473" t="s">
        <v>14</v>
      </c>
      <c r="C473">
        <v>415</v>
      </c>
    </row>
    <row r="474" spans="1:3" x14ac:dyDescent="0.25">
      <c r="A474" s="1">
        <v>39230</v>
      </c>
      <c r="B474" t="s">
        <v>13</v>
      </c>
      <c r="C474">
        <v>10</v>
      </c>
    </row>
    <row r="475" spans="1:3" x14ac:dyDescent="0.25">
      <c r="A475" s="1">
        <v>39230</v>
      </c>
      <c r="B475" t="s">
        <v>18</v>
      </c>
      <c r="C475">
        <v>159</v>
      </c>
    </row>
    <row r="476" spans="1:3" x14ac:dyDescent="0.25">
      <c r="A476" s="1">
        <v>39231</v>
      </c>
      <c r="B476" t="s">
        <v>17</v>
      </c>
      <c r="C476">
        <v>140</v>
      </c>
    </row>
    <row r="477" spans="1:3" x14ac:dyDescent="0.25">
      <c r="A477" s="1">
        <v>39239</v>
      </c>
      <c r="B477" t="s">
        <v>19</v>
      </c>
      <c r="C477">
        <v>128</v>
      </c>
    </row>
    <row r="478" spans="1:3" x14ac:dyDescent="0.25">
      <c r="A478" s="1">
        <v>39247</v>
      </c>
      <c r="B478" t="s">
        <v>143</v>
      </c>
      <c r="C478">
        <v>9</v>
      </c>
    </row>
    <row r="479" spans="1:3" x14ac:dyDescent="0.25">
      <c r="A479" s="1">
        <v>39247</v>
      </c>
      <c r="B479" t="s">
        <v>17</v>
      </c>
      <c r="C479">
        <v>121</v>
      </c>
    </row>
    <row r="480" spans="1:3" x14ac:dyDescent="0.25">
      <c r="A480" s="1">
        <v>39248</v>
      </c>
      <c r="B480" t="s">
        <v>14</v>
      </c>
      <c r="C480">
        <v>169</v>
      </c>
    </row>
    <row r="481" spans="1:3" x14ac:dyDescent="0.25">
      <c r="A481" s="1">
        <v>39250</v>
      </c>
      <c r="B481" t="s">
        <v>55</v>
      </c>
      <c r="C481">
        <v>118</v>
      </c>
    </row>
    <row r="482" spans="1:3" x14ac:dyDescent="0.25">
      <c r="A482" s="1">
        <v>39250</v>
      </c>
      <c r="B482" t="s">
        <v>78</v>
      </c>
      <c r="C482">
        <v>37</v>
      </c>
    </row>
    <row r="483" spans="1:3" x14ac:dyDescent="0.25">
      <c r="A483" s="1">
        <v>39253</v>
      </c>
      <c r="B483" t="s">
        <v>35</v>
      </c>
      <c r="C483">
        <v>198</v>
      </c>
    </row>
    <row r="484" spans="1:3" x14ac:dyDescent="0.25">
      <c r="A484" s="1">
        <v>39254</v>
      </c>
      <c r="B484" t="s">
        <v>28</v>
      </c>
      <c r="C484">
        <v>74</v>
      </c>
    </row>
    <row r="485" spans="1:3" x14ac:dyDescent="0.25">
      <c r="A485" s="1">
        <v>39259</v>
      </c>
      <c r="B485" t="s">
        <v>144</v>
      </c>
      <c r="C485">
        <v>18</v>
      </c>
    </row>
    <row r="486" spans="1:3" x14ac:dyDescent="0.25">
      <c r="A486" s="1">
        <v>39263</v>
      </c>
      <c r="B486" t="s">
        <v>24</v>
      </c>
      <c r="C486">
        <v>291</v>
      </c>
    </row>
    <row r="487" spans="1:3" x14ac:dyDescent="0.25">
      <c r="A487" s="1">
        <v>39270</v>
      </c>
      <c r="B487" t="s">
        <v>9</v>
      </c>
      <c r="C487">
        <v>208</v>
      </c>
    </row>
    <row r="488" spans="1:3" x14ac:dyDescent="0.25">
      <c r="A488" s="1">
        <v>39270</v>
      </c>
      <c r="B488" t="s">
        <v>5</v>
      </c>
      <c r="C488">
        <v>354</v>
      </c>
    </row>
    <row r="489" spans="1:3" x14ac:dyDescent="0.25">
      <c r="A489" s="1">
        <v>39277</v>
      </c>
      <c r="B489" t="s">
        <v>25</v>
      </c>
      <c r="C489">
        <v>113</v>
      </c>
    </row>
    <row r="490" spans="1:3" x14ac:dyDescent="0.25">
      <c r="A490" s="1">
        <v>39278</v>
      </c>
      <c r="B490" t="s">
        <v>145</v>
      </c>
      <c r="C490">
        <v>3</v>
      </c>
    </row>
    <row r="491" spans="1:3" x14ac:dyDescent="0.25">
      <c r="A491" s="1">
        <v>39278</v>
      </c>
      <c r="B491" t="s">
        <v>45</v>
      </c>
      <c r="C491">
        <v>446</v>
      </c>
    </row>
    <row r="492" spans="1:3" x14ac:dyDescent="0.25">
      <c r="A492" s="1">
        <v>39278</v>
      </c>
      <c r="B492" t="s">
        <v>121</v>
      </c>
      <c r="C492">
        <v>9</v>
      </c>
    </row>
    <row r="493" spans="1:3" x14ac:dyDescent="0.25">
      <c r="A493" s="1">
        <v>39282</v>
      </c>
      <c r="B493" t="s">
        <v>50</v>
      </c>
      <c r="C493">
        <v>445</v>
      </c>
    </row>
    <row r="494" spans="1:3" x14ac:dyDescent="0.25">
      <c r="A494" s="1">
        <v>39283</v>
      </c>
      <c r="B494" t="s">
        <v>69</v>
      </c>
      <c r="C494">
        <v>47</v>
      </c>
    </row>
    <row r="495" spans="1:3" x14ac:dyDescent="0.25">
      <c r="A495" s="1">
        <v>39284</v>
      </c>
      <c r="B495" t="s">
        <v>146</v>
      </c>
      <c r="C495">
        <v>14</v>
      </c>
    </row>
    <row r="496" spans="1:3" x14ac:dyDescent="0.25">
      <c r="A496" s="1">
        <v>39289</v>
      </c>
      <c r="B496" t="s">
        <v>37</v>
      </c>
      <c r="C496">
        <v>187</v>
      </c>
    </row>
    <row r="497" spans="1:3" x14ac:dyDescent="0.25">
      <c r="A497" s="1">
        <v>39290</v>
      </c>
      <c r="B497" t="s">
        <v>45</v>
      </c>
      <c r="C497">
        <v>355</v>
      </c>
    </row>
    <row r="498" spans="1:3" x14ac:dyDescent="0.25">
      <c r="A498" s="1">
        <v>39291</v>
      </c>
      <c r="B498" t="s">
        <v>115</v>
      </c>
      <c r="C498">
        <v>6</v>
      </c>
    </row>
    <row r="499" spans="1:3" x14ac:dyDescent="0.25">
      <c r="A499" s="1">
        <v>39292</v>
      </c>
      <c r="B499" t="s">
        <v>68</v>
      </c>
      <c r="C499">
        <v>18</v>
      </c>
    </row>
    <row r="500" spans="1:3" x14ac:dyDescent="0.25">
      <c r="A500" s="1">
        <v>39294</v>
      </c>
      <c r="B500" t="s">
        <v>71</v>
      </c>
      <c r="C500">
        <v>111</v>
      </c>
    </row>
    <row r="501" spans="1:3" x14ac:dyDescent="0.25">
      <c r="A501" s="1">
        <v>39294</v>
      </c>
      <c r="B501" t="s">
        <v>8</v>
      </c>
      <c r="C501">
        <v>156</v>
      </c>
    </row>
    <row r="502" spans="1:3" x14ac:dyDescent="0.25">
      <c r="A502" s="1">
        <v>39295</v>
      </c>
      <c r="B502" t="s">
        <v>45</v>
      </c>
      <c r="C502">
        <v>396</v>
      </c>
    </row>
    <row r="503" spans="1:3" x14ac:dyDescent="0.25">
      <c r="A503" s="1">
        <v>39299</v>
      </c>
      <c r="B503" t="s">
        <v>60</v>
      </c>
      <c r="C503">
        <v>7</v>
      </c>
    </row>
    <row r="504" spans="1:3" x14ac:dyDescent="0.25">
      <c r="A504" s="1">
        <v>39301</v>
      </c>
      <c r="B504" t="s">
        <v>55</v>
      </c>
      <c r="C504">
        <v>98</v>
      </c>
    </row>
    <row r="505" spans="1:3" x14ac:dyDescent="0.25">
      <c r="A505" s="1">
        <v>39303</v>
      </c>
      <c r="B505" t="s">
        <v>45</v>
      </c>
      <c r="C505">
        <v>405</v>
      </c>
    </row>
    <row r="506" spans="1:3" x14ac:dyDescent="0.25">
      <c r="A506" s="1">
        <v>39305</v>
      </c>
      <c r="B506" t="s">
        <v>7</v>
      </c>
      <c r="C506">
        <v>220</v>
      </c>
    </row>
    <row r="507" spans="1:3" x14ac:dyDescent="0.25">
      <c r="A507" s="1">
        <v>39306</v>
      </c>
      <c r="B507" t="s">
        <v>30</v>
      </c>
      <c r="C507">
        <v>141</v>
      </c>
    </row>
    <row r="508" spans="1:3" x14ac:dyDescent="0.25">
      <c r="A508" s="1">
        <v>39307</v>
      </c>
      <c r="B508" t="s">
        <v>90</v>
      </c>
      <c r="C508">
        <v>17</v>
      </c>
    </row>
    <row r="509" spans="1:3" x14ac:dyDescent="0.25">
      <c r="A509" s="1">
        <v>39307</v>
      </c>
      <c r="B509" t="s">
        <v>9</v>
      </c>
      <c r="C509">
        <v>260</v>
      </c>
    </row>
    <row r="510" spans="1:3" x14ac:dyDescent="0.25">
      <c r="A510" s="1">
        <v>39308</v>
      </c>
      <c r="B510" t="s">
        <v>119</v>
      </c>
      <c r="C510">
        <v>11</v>
      </c>
    </row>
    <row r="511" spans="1:3" x14ac:dyDescent="0.25">
      <c r="A511" s="1">
        <v>39312</v>
      </c>
      <c r="B511" t="s">
        <v>52</v>
      </c>
      <c r="C511">
        <v>182</v>
      </c>
    </row>
    <row r="512" spans="1:3" x14ac:dyDescent="0.25">
      <c r="A512" s="1">
        <v>39314</v>
      </c>
      <c r="B512" t="s">
        <v>37</v>
      </c>
      <c r="C512">
        <v>59</v>
      </c>
    </row>
    <row r="513" spans="1:3" x14ac:dyDescent="0.25">
      <c r="A513" s="1">
        <v>39315</v>
      </c>
      <c r="B513" t="s">
        <v>66</v>
      </c>
      <c r="C513">
        <v>45</v>
      </c>
    </row>
    <row r="514" spans="1:3" x14ac:dyDescent="0.25">
      <c r="A514" s="1">
        <v>39315</v>
      </c>
      <c r="B514" t="s">
        <v>76</v>
      </c>
      <c r="C514">
        <v>3</v>
      </c>
    </row>
    <row r="515" spans="1:3" x14ac:dyDescent="0.25">
      <c r="A515" s="1">
        <v>39317</v>
      </c>
      <c r="B515" t="s">
        <v>61</v>
      </c>
      <c r="C515">
        <v>52</v>
      </c>
    </row>
    <row r="516" spans="1:3" x14ac:dyDescent="0.25">
      <c r="A516" s="1">
        <v>39317</v>
      </c>
      <c r="B516" t="s">
        <v>22</v>
      </c>
      <c r="C516">
        <v>373</v>
      </c>
    </row>
    <row r="517" spans="1:3" x14ac:dyDescent="0.25">
      <c r="A517" s="1">
        <v>39318</v>
      </c>
      <c r="B517" t="s">
        <v>34</v>
      </c>
      <c r="C517">
        <v>2</v>
      </c>
    </row>
    <row r="518" spans="1:3" x14ac:dyDescent="0.25">
      <c r="A518" s="1">
        <v>39318</v>
      </c>
      <c r="B518" t="s">
        <v>24</v>
      </c>
      <c r="C518">
        <v>445</v>
      </c>
    </row>
    <row r="519" spans="1:3" x14ac:dyDescent="0.25">
      <c r="A519" s="1">
        <v>39319</v>
      </c>
      <c r="B519" t="s">
        <v>52</v>
      </c>
      <c r="C519">
        <v>93</v>
      </c>
    </row>
    <row r="520" spans="1:3" x14ac:dyDescent="0.25">
      <c r="A520" s="1">
        <v>39324</v>
      </c>
      <c r="B520" t="s">
        <v>22</v>
      </c>
      <c r="C520">
        <v>329</v>
      </c>
    </row>
    <row r="521" spans="1:3" x14ac:dyDescent="0.25">
      <c r="A521" s="1">
        <v>39326</v>
      </c>
      <c r="B521" t="s">
        <v>22</v>
      </c>
      <c r="C521">
        <v>217</v>
      </c>
    </row>
    <row r="522" spans="1:3" x14ac:dyDescent="0.25">
      <c r="A522" s="1">
        <v>39326</v>
      </c>
      <c r="B522" t="s">
        <v>18</v>
      </c>
      <c r="C522">
        <v>165</v>
      </c>
    </row>
    <row r="523" spans="1:3" x14ac:dyDescent="0.25">
      <c r="A523" s="1">
        <v>39327</v>
      </c>
      <c r="B523" t="s">
        <v>41</v>
      </c>
      <c r="C523">
        <v>20</v>
      </c>
    </row>
    <row r="524" spans="1:3" x14ac:dyDescent="0.25">
      <c r="A524" s="1">
        <v>39328</v>
      </c>
      <c r="B524" t="s">
        <v>33</v>
      </c>
      <c r="C524">
        <v>11</v>
      </c>
    </row>
    <row r="525" spans="1:3" x14ac:dyDescent="0.25">
      <c r="A525" s="1">
        <v>39329</v>
      </c>
      <c r="B525" t="s">
        <v>14</v>
      </c>
      <c r="C525">
        <v>294</v>
      </c>
    </row>
    <row r="526" spans="1:3" x14ac:dyDescent="0.25">
      <c r="A526" s="1">
        <v>39331</v>
      </c>
      <c r="B526" t="s">
        <v>12</v>
      </c>
      <c r="C526">
        <v>82</v>
      </c>
    </row>
    <row r="527" spans="1:3" x14ac:dyDescent="0.25">
      <c r="A527" s="1">
        <v>39331</v>
      </c>
      <c r="B527" t="s">
        <v>23</v>
      </c>
      <c r="C527">
        <v>186</v>
      </c>
    </row>
    <row r="528" spans="1:3" x14ac:dyDescent="0.25">
      <c r="A528" s="1">
        <v>39333</v>
      </c>
      <c r="B528" t="s">
        <v>10</v>
      </c>
      <c r="C528">
        <v>163</v>
      </c>
    </row>
    <row r="529" spans="1:3" x14ac:dyDescent="0.25">
      <c r="A529" s="1">
        <v>39333</v>
      </c>
      <c r="B529" t="s">
        <v>30</v>
      </c>
      <c r="C529">
        <v>148</v>
      </c>
    </row>
    <row r="530" spans="1:3" x14ac:dyDescent="0.25">
      <c r="A530" s="1">
        <v>39334</v>
      </c>
      <c r="B530" t="s">
        <v>40</v>
      </c>
      <c r="C530">
        <v>2</v>
      </c>
    </row>
    <row r="531" spans="1:3" x14ac:dyDescent="0.25">
      <c r="A531" s="1">
        <v>39336</v>
      </c>
      <c r="B531" t="s">
        <v>22</v>
      </c>
      <c r="C531">
        <v>343</v>
      </c>
    </row>
    <row r="532" spans="1:3" x14ac:dyDescent="0.25">
      <c r="A532" s="1">
        <v>39336</v>
      </c>
      <c r="B532" t="s">
        <v>71</v>
      </c>
      <c r="C532">
        <v>51</v>
      </c>
    </row>
    <row r="533" spans="1:3" x14ac:dyDescent="0.25">
      <c r="A533" s="1">
        <v>39339</v>
      </c>
      <c r="B533" t="s">
        <v>10</v>
      </c>
      <c r="C533">
        <v>164</v>
      </c>
    </row>
    <row r="534" spans="1:3" x14ac:dyDescent="0.25">
      <c r="A534" s="1">
        <v>39339</v>
      </c>
      <c r="B534" t="s">
        <v>4</v>
      </c>
      <c r="C534">
        <v>5</v>
      </c>
    </row>
    <row r="535" spans="1:3" x14ac:dyDescent="0.25">
      <c r="A535" s="1">
        <v>39340</v>
      </c>
      <c r="B535" t="s">
        <v>7</v>
      </c>
      <c r="C535">
        <v>260</v>
      </c>
    </row>
    <row r="536" spans="1:3" x14ac:dyDescent="0.25">
      <c r="A536" s="1">
        <v>39340</v>
      </c>
      <c r="B536" t="s">
        <v>9</v>
      </c>
      <c r="C536">
        <v>415</v>
      </c>
    </row>
    <row r="537" spans="1:3" x14ac:dyDescent="0.25">
      <c r="A537" s="1">
        <v>39341</v>
      </c>
      <c r="B537" t="s">
        <v>9</v>
      </c>
      <c r="C537">
        <v>467</v>
      </c>
    </row>
    <row r="538" spans="1:3" x14ac:dyDescent="0.25">
      <c r="A538" s="1">
        <v>39341</v>
      </c>
      <c r="B538" t="s">
        <v>61</v>
      </c>
      <c r="C538">
        <v>43</v>
      </c>
    </row>
    <row r="539" spans="1:3" x14ac:dyDescent="0.25">
      <c r="A539" s="1">
        <v>39342</v>
      </c>
      <c r="B539" t="s">
        <v>8</v>
      </c>
      <c r="C539">
        <v>40</v>
      </c>
    </row>
    <row r="540" spans="1:3" x14ac:dyDescent="0.25">
      <c r="A540" s="1">
        <v>39344</v>
      </c>
      <c r="B540" t="s">
        <v>147</v>
      </c>
      <c r="C540">
        <v>10</v>
      </c>
    </row>
    <row r="541" spans="1:3" x14ac:dyDescent="0.25">
      <c r="A541" s="1">
        <v>39345</v>
      </c>
      <c r="B541" t="s">
        <v>9</v>
      </c>
      <c r="C541">
        <v>197</v>
      </c>
    </row>
    <row r="542" spans="1:3" x14ac:dyDescent="0.25">
      <c r="A542" s="1">
        <v>39348</v>
      </c>
      <c r="B542" t="s">
        <v>78</v>
      </c>
      <c r="C542">
        <v>145</v>
      </c>
    </row>
    <row r="543" spans="1:3" x14ac:dyDescent="0.25">
      <c r="A543" s="1">
        <v>39349</v>
      </c>
      <c r="B543" t="s">
        <v>55</v>
      </c>
      <c r="C543">
        <v>105</v>
      </c>
    </row>
    <row r="544" spans="1:3" x14ac:dyDescent="0.25">
      <c r="A544" s="1">
        <v>39350</v>
      </c>
      <c r="B544" t="s">
        <v>37</v>
      </c>
      <c r="C544">
        <v>33</v>
      </c>
    </row>
    <row r="545" spans="1:3" x14ac:dyDescent="0.25">
      <c r="A545" s="1">
        <v>39350</v>
      </c>
      <c r="B545" t="s">
        <v>120</v>
      </c>
      <c r="C545">
        <v>78</v>
      </c>
    </row>
    <row r="546" spans="1:3" x14ac:dyDescent="0.25">
      <c r="A546" s="1">
        <v>39351</v>
      </c>
      <c r="B546" t="s">
        <v>9</v>
      </c>
      <c r="C546">
        <v>466</v>
      </c>
    </row>
    <row r="547" spans="1:3" x14ac:dyDescent="0.25">
      <c r="A547" s="1">
        <v>39354</v>
      </c>
      <c r="B547" t="s">
        <v>45</v>
      </c>
      <c r="C547">
        <v>476</v>
      </c>
    </row>
    <row r="548" spans="1:3" x14ac:dyDescent="0.25">
      <c r="A548" s="1">
        <v>39357</v>
      </c>
      <c r="B548" t="s">
        <v>19</v>
      </c>
      <c r="C548">
        <v>151</v>
      </c>
    </row>
    <row r="549" spans="1:3" x14ac:dyDescent="0.25">
      <c r="A549" s="1">
        <v>39357</v>
      </c>
      <c r="B549" t="s">
        <v>148</v>
      </c>
      <c r="C549">
        <v>17</v>
      </c>
    </row>
    <row r="550" spans="1:3" x14ac:dyDescent="0.25">
      <c r="A550" s="1">
        <v>39361</v>
      </c>
      <c r="B550" t="s">
        <v>149</v>
      </c>
      <c r="C550">
        <v>4</v>
      </c>
    </row>
    <row r="551" spans="1:3" x14ac:dyDescent="0.25">
      <c r="A551" s="1">
        <v>39371</v>
      </c>
      <c r="B551" t="s">
        <v>5</v>
      </c>
      <c r="C551">
        <v>131</v>
      </c>
    </row>
    <row r="552" spans="1:3" x14ac:dyDescent="0.25">
      <c r="A552" s="1">
        <v>39371</v>
      </c>
      <c r="B552" t="s">
        <v>24</v>
      </c>
      <c r="C552">
        <v>369</v>
      </c>
    </row>
    <row r="553" spans="1:3" x14ac:dyDescent="0.25">
      <c r="A553" s="1">
        <v>39371</v>
      </c>
      <c r="B553" t="s">
        <v>131</v>
      </c>
      <c r="C553">
        <v>60</v>
      </c>
    </row>
    <row r="554" spans="1:3" x14ac:dyDescent="0.25">
      <c r="A554" s="1">
        <v>39375</v>
      </c>
      <c r="B554" t="s">
        <v>17</v>
      </c>
      <c r="C554">
        <v>405</v>
      </c>
    </row>
    <row r="555" spans="1:3" x14ac:dyDescent="0.25">
      <c r="A555" s="1">
        <v>39376</v>
      </c>
      <c r="B555" t="s">
        <v>21</v>
      </c>
      <c r="C555">
        <v>3</v>
      </c>
    </row>
    <row r="556" spans="1:3" x14ac:dyDescent="0.25">
      <c r="A556" s="1">
        <v>39380</v>
      </c>
      <c r="B556" t="s">
        <v>78</v>
      </c>
      <c r="C556">
        <v>35</v>
      </c>
    </row>
    <row r="557" spans="1:3" x14ac:dyDescent="0.25">
      <c r="A557" s="1">
        <v>39382</v>
      </c>
      <c r="B557" t="s">
        <v>50</v>
      </c>
      <c r="C557">
        <v>444</v>
      </c>
    </row>
    <row r="558" spans="1:3" x14ac:dyDescent="0.25">
      <c r="A558" s="1">
        <v>39382</v>
      </c>
      <c r="B558" t="s">
        <v>45</v>
      </c>
      <c r="C558">
        <v>424</v>
      </c>
    </row>
    <row r="559" spans="1:3" x14ac:dyDescent="0.25">
      <c r="A559" s="1">
        <v>39382</v>
      </c>
      <c r="B559" t="s">
        <v>150</v>
      </c>
      <c r="C559">
        <v>2</v>
      </c>
    </row>
    <row r="560" spans="1:3" x14ac:dyDescent="0.25">
      <c r="A560" s="1">
        <v>39385</v>
      </c>
      <c r="B560" t="s">
        <v>17</v>
      </c>
      <c r="C560">
        <v>480</v>
      </c>
    </row>
    <row r="561" spans="1:3" x14ac:dyDescent="0.25">
      <c r="A561" s="1">
        <v>39386</v>
      </c>
      <c r="B561" t="s">
        <v>37</v>
      </c>
      <c r="C561">
        <v>65</v>
      </c>
    </row>
    <row r="562" spans="1:3" x14ac:dyDescent="0.25">
      <c r="A562" s="1">
        <v>39388</v>
      </c>
      <c r="B562" t="s">
        <v>89</v>
      </c>
      <c r="C562">
        <v>8</v>
      </c>
    </row>
    <row r="563" spans="1:3" x14ac:dyDescent="0.25">
      <c r="A563" s="1">
        <v>39389</v>
      </c>
      <c r="B563" t="s">
        <v>52</v>
      </c>
      <c r="C563">
        <v>52</v>
      </c>
    </row>
    <row r="564" spans="1:3" x14ac:dyDescent="0.25">
      <c r="A564" s="1">
        <v>39392</v>
      </c>
      <c r="B564" t="s">
        <v>40</v>
      </c>
      <c r="C564">
        <v>8</v>
      </c>
    </row>
    <row r="565" spans="1:3" x14ac:dyDescent="0.25">
      <c r="A565" s="1">
        <v>39393</v>
      </c>
      <c r="B565" t="s">
        <v>7</v>
      </c>
      <c r="C565">
        <v>143</v>
      </c>
    </row>
    <row r="566" spans="1:3" x14ac:dyDescent="0.25">
      <c r="A566" s="1">
        <v>39394</v>
      </c>
      <c r="B566" t="s">
        <v>18</v>
      </c>
      <c r="C566">
        <v>20</v>
      </c>
    </row>
    <row r="567" spans="1:3" x14ac:dyDescent="0.25">
      <c r="A567" s="1">
        <v>39397</v>
      </c>
      <c r="B567" t="s">
        <v>14</v>
      </c>
      <c r="C567">
        <v>396</v>
      </c>
    </row>
    <row r="568" spans="1:3" x14ac:dyDescent="0.25">
      <c r="A568" s="1">
        <v>39398</v>
      </c>
      <c r="B568" t="s">
        <v>69</v>
      </c>
      <c r="C568">
        <v>168</v>
      </c>
    </row>
    <row r="569" spans="1:3" x14ac:dyDescent="0.25">
      <c r="A569" s="1">
        <v>39399</v>
      </c>
      <c r="B569" t="s">
        <v>69</v>
      </c>
      <c r="C569">
        <v>69</v>
      </c>
    </row>
    <row r="570" spans="1:3" x14ac:dyDescent="0.25">
      <c r="A570" s="1">
        <v>39407</v>
      </c>
      <c r="B570" t="s">
        <v>30</v>
      </c>
      <c r="C570">
        <v>99</v>
      </c>
    </row>
    <row r="571" spans="1:3" x14ac:dyDescent="0.25">
      <c r="A571" s="1">
        <v>39407</v>
      </c>
      <c r="B571" t="s">
        <v>123</v>
      </c>
      <c r="C571">
        <v>57</v>
      </c>
    </row>
    <row r="572" spans="1:3" x14ac:dyDescent="0.25">
      <c r="A572" s="1">
        <v>39408</v>
      </c>
      <c r="B572" t="s">
        <v>6</v>
      </c>
      <c r="C572">
        <v>103</v>
      </c>
    </row>
    <row r="573" spans="1:3" x14ac:dyDescent="0.25">
      <c r="A573" s="1">
        <v>39409</v>
      </c>
      <c r="B573" t="s">
        <v>124</v>
      </c>
      <c r="C573">
        <v>2</v>
      </c>
    </row>
    <row r="574" spans="1:3" x14ac:dyDescent="0.25">
      <c r="A574" s="1">
        <v>39412</v>
      </c>
      <c r="B574" t="s">
        <v>52</v>
      </c>
      <c r="C574">
        <v>88</v>
      </c>
    </row>
    <row r="575" spans="1:3" x14ac:dyDescent="0.25">
      <c r="A575" s="1">
        <v>39414</v>
      </c>
      <c r="B575" t="s">
        <v>37</v>
      </c>
      <c r="C575">
        <v>85</v>
      </c>
    </row>
    <row r="576" spans="1:3" x14ac:dyDescent="0.25">
      <c r="A576" s="1">
        <v>39414</v>
      </c>
      <c r="B576" t="s">
        <v>7</v>
      </c>
      <c r="C576">
        <v>216</v>
      </c>
    </row>
    <row r="577" spans="1:3" x14ac:dyDescent="0.25">
      <c r="A577" s="1">
        <v>39416</v>
      </c>
      <c r="B577" t="s">
        <v>7</v>
      </c>
      <c r="C577">
        <v>140</v>
      </c>
    </row>
    <row r="578" spans="1:3" x14ac:dyDescent="0.25">
      <c r="A578" s="1">
        <v>39421</v>
      </c>
      <c r="B578" t="s">
        <v>50</v>
      </c>
      <c r="C578">
        <v>377</v>
      </c>
    </row>
    <row r="579" spans="1:3" x14ac:dyDescent="0.25">
      <c r="A579" s="1">
        <v>39423</v>
      </c>
      <c r="B579" t="s">
        <v>35</v>
      </c>
      <c r="C579">
        <v>89</v>
      </c>
    </row>
    <row r="580" spans="1:3" x14ac:dyDescent="0.25">
      <c r="A580" s="1">
        <v>39425</v>
      </c>
      <c r="B580" t="s">
        <v>12</v>
      </c>
      <c r="C580">
        <v>181</v>
      </c>
    </row>
    <row r="581" spans="1:3" x14ac:dyDescent="0.25">
      <c r="A581" s="1">
        <v>39427</v>
      </c>
      <c r="B581" t="s">
        <v>69</v>
      </c>
      <c r="C581">
        <v>131</v>
      </c>
    </row>
    <row r="582" spans="1:3" x14ac:dyDescent="0.25">
      <c r="A582" s="1">
        <v>39427</v>
      </c>
      <c r="B582" t="s">
        <v>80</v>
      </c>
      <c r="C582">
        <v>43</v>
      </c>
    </row>
    <row r="583" spans="1:3" x14ac:dyDescent="0.25">
      <c r="A583" s="1">
        <v>39428</v>
      </c>
      <c r="B583" t="s">
        <v>30</v>
      </c>
      <c r="C583">
        <v>166</v>
      </c>
    </row>
    <row r="584" spans="1:3" x14ac:dyDescent="0.25">
      <c r="A584" s="1">
        <v>39428</v>
      </c>
      <c r="B584" t="s">
        <v>78</v>
      </c>
      <c r="C584">
        <v>192</v>
      </c>
    </row>
    <row r="585" spans="1:3" x14ac:dyDescent="0.25">
      <c r="A585" s="1">
        <v>39430</v>
      </c>
      <c r="B585" t="s">
        <v>16</v>
      </c>
      <c r="C585">
        <v>7</v>
      </c>
    </row>
    <row r="586" spans="1:3" x14ac:dyDescent="0.25">
      <c r="A586" s="1">
        <v>39432</v>
      </c>
      <c r="B586" t="s">
        <v>53</v>
      </c>
      <c r="C586">
        <v>11</v>
      </c>
    </row>
    <row r="587" spans="1:3" x14ac:dyDescent="0.25">
      <c r="A587" s="1">
        <v>39432</v>
      </c>
      <c r="B587" t="s">
        <v>19</v>
      </c>
      <c r="C587">
        <v>146</v>
      </c>
    </row>
    <row r="588" spans="1:3" x14ac:dyDescent="0.25">
      <c r="A588" s="1">
        <v>39433</v>
      </c>
      <c r="B588" t="s">
        <v>45</v>
      </c>
      <c r="C588">
        <v>138</v>
      </c>
    </row>
    <row r="589" spans="1:3" x14ac:dyDescent="0.25">
      <c r="A589" s="1">
        <v>39434</v>
      </c>
      <c r="B589" t="s">
        <v>23</v>
      </c>
      <c r="C589">
        <v>138</v>
      </c>
    </row>
    <row r="590" spans="1:3" x14ac:dyDescent="0.25">
      <c r="A590" s="1">
        <v>39434</v>
      </c>
      <c r="B590" t="s">
        <v>50</v>
      </c>
      <c r="C590">
        <v>482</v>
      </c>
    </row>
    <row r="591" spans="1:3" x14ac:dyDescent="0.25">
      <c r="A591" s="1">
        <v>39436</v>
      </c>
      <c r="B591" t="s">
        <v>50</v>
      </c>
      <c r="C591">
        <v>481</v>
      </c>
    </row>
    <row r="592" spans="1:3" x14ac:dyDescent="0.25">
      <c r="A592" s="1">
        <v>39438</v>
      </c>
      <c r="B592" t="s">
        <v>45</v>
      </c>
      <c r="C592">
        <v>258</v>
      </c>
    </row>
    <row r="593" spans="1:3" x14ac:dyDescent="0.25">
      <c r="A593" s="1">
        <v>39440</v>
      </c>
      <c r="B593" t="s">
        <v>19</v>
      </c>
      <c r="C593">
        <v>100</v>
      </c>
    </row>
    <row r="594" spans="1:3" x14ac:dyDescent="0.25">
      <c r="A594" s="1">
        <v>39440</v>
      </c>
      <c r="B594" t="s">
        <v>69</v>
      </c>
      <c r="C594">
        <v>86</v>
      </c>
    </row>
    <row r="595" spans="1:3" x14ac:dyDescent="0.25">
      <c r="A595" s="1">
        <v>39443</v>
      </c>
      <c r="B595" t="s">
        <v>28</v>
      </c>
      <c r="C595">
        <v>165</v>
      </c>
    </row>
    <row r="596" spans="1:3" x14ac:dyDescent="0.25">
      <c r="A596" s="1">
        <v>39444</v>
      </c>
      <c r="B596" t="s">
        <v>100</v>
      </c>
      <c r="C596">
        <v>4</v>
      </c>
    </row>
    <row r="597" spans="1:3" x14ac:dyDescent="0.25">
      <c r="A597" s="1">
        <v>39445</v>
      </c>
      <c r="B597" t="s">
        <v>23</v>
      </c>
      <c r="C597">
        <v>156</v>
      </c>
    </row>
    <row r="598" spans="1:3" x14ac:dyDescent="0.25">
      <c r="A598" s="1">
        <v>39446</v>
      </c>
      <c r="B598" t="s">
        <v>45</v>
      </c>
      <c r="C598">
        <v>320</v>
      </c>
    </row>
    <row r="599" spans="1:3" x14ac:dyDescent="0.25">
      <c r="A599" s="1">
        <v>39448</v>
      </c>
      <c r="B599" t="s">
        <v>15</v>
      </c>
      <c r="C599">
        <v>1</v>
      </c>
    </row>
    <row r="600" spans="1:3" x14ac:dyDescent="0.25">
      <c r="A600" s="1">
        <v>39448</v>
      </c>
      <c r="B600" t="s">
        <v>8</v>
      </c>
      <c r="C600">
        <v>81</v>
      </c>
    </row>
    <row r="601" spans="1:3" x14ac:dyDescent="0.25">
      <c r="A601" s="1">
        <v>39448</v>
      </c>
      <c r="B601" t="s">
        <v>50</v>
      </c>
      <c r="C601">
        <v>438</v>
      </c>
    </row>
    <row r="602" spans="1:3" x14ac:dyDescent="0.25">
      <c r="A602" s="1">
        <v>39449</v>
      </c>
      <c r="B602" t="s">
        <v>38</v>
      </c>
      <c r="C602">
        <v>1</v>
      </c>
    </row>
    <row r="603" spans="1:3" x14ac:dyDescent="0.25">
      <c r="A603" s="1">
        <v>39453</v>
      </c>
      <c r="B603" t="s">
        <v>78</v>
      </c>
      <c r="C603">
        <v>173</v>
      </c>
    </row>
    <row r="604" spans="1:3" x14ac:dyDescent="0.25">
      <c r="A604" s="1">
        <v>39456</v>
      </c>
      <c r="B604" t="s">
        <v>24</v>
      </c>
      <c r="C604">
        <v>412</v>
      </c>
    </row>
    <row r="605" spans="1:3" x14ac:dyDescent="0.25">
      <c r="A605" s="1">
        <v>39456</v>
      </c>
      <c r="B605" t="s">
        <v>151</v>
      </c>
      <c r="C605">
        <v>13</v>
      </c>
    </row>
    <row r="606" spans="1:3" x14ac:dyDescent="0.25">
      <c r="A606" s="1">
        <v>39457</v>
      </c>
      <c r="B606" t="s">
        <v>55</v>
      </c>
      <c r="C606">
        <v>130</v>
      </c>
    </row>
    <row r="607" spans="1:3" x14ac:dyDescent="0.25">
      <c r="A607" s="1">
        <v>39459</v>
      </c>
      <c r="B607" t="s">
        <v>152</v>
      </c>
      <c r="C607">
        <v>4</v>
      </c>
    </row>
    <row r="608" spans="1:3" x14ac:dyDescent="0.25">
      <c r="A608" s="1">
        <v>39462</v>
      </c>
      <c r="B608" t="s">
        <v>55</v>
      </c>
      <c r="C608">
        <v>176</v>
      </c>
    </row>
    <row r="609" spans="1:3" x14ac:dyDescent="0.25">
      <c r="A609" s="1">
        <v>39464</v>
      </c>
      <c r="B609" t="s">
        <v>89</v>
      </c>
      <c r="C609">
        <v>14</v>
      </c>
    </row>
    <row r="610" spans="1:3" x14ac:dyDescent="0.25">
      <c r="A610" s="1">
        <v>39465</v>
      </c>
      <c r="B610" t="s">
        <v>55</v>
      </c>
      <c r="C610">
        <v>97</v>
      </c>
    </row>
    <row r="611" spans="1:3" x14ac:dyDescent="0.25">
      <c r="A611" s="1">
        <v>39468</v>
      </c>
      <c r="B611" t="s">
        <v>61</v>
      </c>
      <c r="C611">
        <v>81</v>
      </c>
    </row>
    <row r="612" spans="1:3" x14ac:dyDescent="0.25">
      <c r="A612" s="1">
        <v>39469</v>
      </c>
      <c r="B612" t="s">
        <v>23</v>
      </c>
      <c r="C612">
        <v>179</v>
      </c>
    </row>
    <row r="613" spans="1:3" x14ac:dyDescent="0.25">
      <c r="A613" s="1">
        <v>39470</v>
      </c>
      <c r="B613" t="s">
        <v>37</v>
      </c>
      <c r="C613">
        <v>132</v>
      </c>
    </row>
    <row r="614" spans="1:3" x14ac:dyDescent="0.25">
      <c r="A614" s="1">
        <v>39470</v>
      </c>
      <c r="B614" t="s">
        <v>153</v>
      </c>
      <c r="C614">
        <v>5</v>
      </c>
    </row>
    <row r="615" spans="1:3" x14ac:dyDescent="0.25">
      <c r="A615" s="1">
        <v>39470</v>
      </c>
      <c r="B615" t="s">
        <v>18</v>
      </c>
      <c r="C615">
        <v>100</v>
      </c>
    </row>
    <row r="616" spans="1:3" x14ac:dyDescent="0.25">
      <c r="A616" s="1">
        <v>39474</v>
      </c>
      <c r="B616" t="s">
        <v>154</v>
      </c>
      <c r="C616">
        <v>6</v>
      </c>
    </row>
    <row r="617" spans="1:3" x14ac:dyDescent="0.25">
      <c r="A617" s="1">
        <v>39481</v>
      </c>
      <c r="B617" t="s">
        <v>24</v>
      </c>
      <c r="C617">
        <v>171</v>
      </c>
    </row>
    <row r="618" spans="1:3" x14ac:dyDescent="0.25">
      <c r="A618" s="1">
        <v>39483</v>
      </c>
      <c r="B618" t="s">
        <v>14</v>
      </c>
      <c r="C618">
        <v>333</v>
      </c>
    </row>
    <row r="619" spans="1:3" x14ac:dyDescent="0.25">
      <c r="A619" s="1">
        <v>39484</v>
      </c>
      <c r="B619" t="s">
        <v>24</v>
      </c>
      <c r="C619">
        <v>365</v>
      </c>
    </row>
    <row r="620" spans="1:3" x14ac:dyDescent="0.25">
      <c r="A620" s="1">
        <v>39484</v>
      </c>
      <c r="B620" t="s">
        <v>112</v>
      </c>
      <c r="C620">
        <v>16</v>
      </c>
    </row>
    <row r="621" spans="1:3" x14ac:dyDescent="0.25">
      <c r="A621" s="1">
        <v>39485</v>
      </c>
      <c r="B621" t="s">
        <v>5</v>
      </c>
      <c r="C621">
        <v>211</v>
      </c>
    </row>
    <row r="622" spans="1:3" x14ac:dyDescent="0.25">
      <c r="A622" s="1">
        <v>39489</v>
      </c>
      <c r="B622" t="s">
        <v>45</v>
      </c>
      <c r="C622">
        <v>196</v>
      </c>
    </row>
    <row r="623" spans="1:3" x14ac:dyDescent="0.25">
      <c r="A623" s="1">
        <v>39490</v>
      </c>
      <c r="B623" t="s">
        <v>155</v>
      </c>
      <c r="C623">
        <v>11</v>
      </c>
    </row>
    <row r="624" spans="1:3" x14ac:dyDescent="0.25">
      <c r="A624" s="1">
        <v>39491</v>
      </c>
      <c r="B624" t="s">
        <v>112</v>
      </c>
      <c r="C624">
        <v>17</v>
      </c>
    </row>
    <row r="625" spans="1:3" x14ac:dyDescent="0.25">
      <c r="A625" s="1">
        <v>39494</v>
      </c>
      <c r="B625" t="s">
        <v>66</v>
      </c>
      <c r="C625">
        <v>62</v>
      </c>
    </row>
    <row r="626" spans="1:3" x14ac:dyDescent="0.25">
      <c r="A626" s="1">
        <v>39494</v>
      </c>
      <c r="B626" t="s">
        <v>9</v>
      </c>
      <c r="C626">
        <v>103</v>
      </c>
    </row>
    <row r="627" spans="1:3" x14ac:dyDescent="0.25">
      <c r="A627" s="1">
        <v>39494</v>
      </c>
      <c r="B627" t="s">
        <v>32</v>
      </c>
      <c r="C627">
        <v>9</v>
      </c>
    </row>
    <row r="628" spans="1:3" x14ac:dyDescent="0.25">
      <c r="A628" s="1">
        <v>39495</v>
      </c>
      <c r="B628" t="s">
        <v>156</v>
      </c>
      <c r="C628">
        <v>5</v>
      </c>
    </row>
    <row r="629" spans="1:3" x14ac:dyDescent="0.25">
      <c r="A629" s="1">
        <v>39495</v>
      </c>
      <c r="B629" t="s">
        <v>45</v>
      </c>
      <c r="C629">
        <v>452</v>
      </c>
    </row>
    <row r="630" spans="1:3" x14ac:dyDescent="0.25">
      <c r="A630" s="1">
        <v>39496</v>
      </c>
      <c r="B630" t="s">
        <v>157</v>
      </c>
      <c r="C630">
        <v>2</v>
      </c>
    </row>
    <row r="631" spans="1:3" x14ac:dyDescent="0.25">
      <c r="A631" s="1">
        <v>39497</v>
      </c>
      <c r="B631" t="s">
        <v>50</v>
      </c>
      <c r="C631">
        <v>335</v>
      </c>
    </row>
    <row r="632" spans="1:3" x14ac:dyDescent="0.25">
      <c r="A632" s="1">
        <v>39498</v>
      </c>
      <c r="B632" t="s">
        <v>158</v>
      </c>
      <c r="C632">
        <v>12</v>
      </c>
    </row>
    <row r="633" spans="1:3" x14ac:dyDescent="0.25">
      <c r="A633" s="1">
        <v>39499</v>
      </c>
      <c r="B633" t="s">
        <v>79</v>
      </c>
      <c r="C633">
        <v>12</v>
      </c>
    </row>
    <row r="634" spans="1:3" x14ac:dyDescent="0.25">
      <c r="A634" s="1">
        <v>39500</v>
      </c>
      <c r="B634" t="s">
        <v>159</v>
      </c>
      <c r="C634">
        <v>5</v>
      </c>
    </row>
    <row r="635" spans="1:3" x14ac:dyDescent="0.25">
      <c r="A635" s="1">
        <v>39500</v>
      </c>
      <c r="B635" t="s">
        <v>160</v>
      </c>
      <c r="C635">
        <v>2</v>
      </c>
    </row>
    <row r="636" spans="1:3" x14ac:dyDescent="0.25">
      <c r="A636" s="1">
        <v>39501</v>
      </c>
      <c r="B636" t="s">
        <v>161</v>
      </c>
      <c r="C636">
        <v>10</v>
      </c>
    </row>
    <row r="637" spans="1:3" x14ac:dyDescent="0.25">
      <c r="A637" s="1">
        <v>39503</v>
      </c>
      <c r="B637" t="s">
        <v>45</v>
      </c>
      <c r="C637">
        <v>308</v>
      </c>
    </row>
    <row r="638" spans="1:3" x14ac:dyDescent="0.25">
      <c r="A638" s="1">
        <v>39505</v>
      </c>
      <c r="B638" t="s">
        <v>119</v>
      </c>
      <c r="C638">
        <v>5</v>
      </c>
    </row>
    <row r="639" spans="1:3" x14ac:dyDescent="0.25">
      <c r="A639" s="1">
        <v>39505</v>
      </c>
      <c r="B639" t="s">
        <v>14</v>
      </c>
      <c r="C639">
        <v>446</v>
      </c>
    </row>
    <row r="640" spans="1:3" x14ac:dyDescent="0.25">
      <c r="A640" s="1">
        <v>39506</v>
      </c>
      <c r="B640" t="s">
        <v>7</v>
      </c>
      <c r="C640">
        <v>281</v>
      </c>
    </row>
    <row r="641" spans="1:3" x14ac:dyDescent="0.25">
      <c r="A641" s="1">
        <v>39510</v>
      </c>
      <c r="B641" t="s">
        <v>11</v>
      </c>
      <c r="C641">
        <v>6</v>
      </c>
    </row>
    <row r="642" spans="1:3" x14ac:dyDescent="0.25">
      <c r="A642" s="1">
        <v>39511</v>
      </c>
      <c r="B642" t="s">
        <v>7</v>
      </c>
      <c r="C642">
        <v>409</v>
      </c>
    </row>
    <row r="643" spans="1:3" x14ac:dyDescent="0.25">
      <c r="A643" s="1">
        <v>39511</v>
      </c>
      <c r="B643" t="s">
        <v>66</v>
      </c>
      <c r="C643">
        <v>191</v>
      </c>
    </row>
    <row r="644" spans="1:3" x14ac:dyDescent="0.25">
      <c r="A644" s="1">
        <v>39512</v>
      </c>
      <c r="B644" t="s">
        <v>50</v>
      </c>
      <c r="C644">
        <v>404</v>
      </c>
    </row>
    <row r="645" spans="1:3" x14ac:dyDescent="0.25">
      <c r="A645" s="1">
        <v>39512</v>
      </c>
      <c r="B645" t="s">
        <v>28</v>
      </c>
      <c r="C645">
        <v>135</v>
      </c>
    </row>
    <row r="646" spans="1:3" x14ac:dyDescent="0.25">
      <c r="A646" s="1">
        <v>39512</v>
      </c>
      <c r="B646" t="s">
        <v>27</v>
      </c>
      <c r="C646">
        <v>20</v>
      </c>
    </row>
    <row r="647" spans="1:3" x14ac:dyDescent="0.25">
      <c r="A647" s="1">
        <v>39514</v>
      </c>
      <c r="B647" t="s">
        <v>58</v>
      </c>
      <c r="C647">
        <v>54</v>
      </c>
    </row>
    <row r="648" spans="1:3" x14ac:dyDescent="0.25">
      <c r="A648" s="1">
        <v>39514</v>
      </c>
      <c r="B648" t="s">
        <v>52</v>
      </c>
      <c r="C648">
        <v>129</v>
      </c>
    </row>
    <row r="649" spans="1:3" x14ac:dyDescent="0.25">
      <c r="A649" s="1">
        <v>39517</v>
      </c>
      <c r="B649" t="s">
        <v>162</v>
      </c>
      <c r="C649">
        <v>11</v>
      </c>
    </row>
    <row r="650" spans="1:3" x14ac:dyDescent="0.25">
      <c r="A650" s="1">
        <v>39518</v>
      </c>
      <c r="B650" t="s">
        <v>22</v>
      </c>
      <c r="C650">
        <v>383</v>
      </c>
    </row>
    <row r="651" spans="1:3" x14ac:dyDescent="0.25">
      <c r="A651" s="1">
        <v>39519</v>
      </c>
      <c r="B651" t="s">
        <v>10</v>
      </c>
      <c r="C651">
        <v>46</v>
      </c>
    </row>
    <row r="652" spans="1:3" x14ac:dyDescent="0.25">
      <c r="A652" s="1">
        <v>39520</v>
      </c>
      <c r="B652" t="s">
        <v>131</v>
      </c>
      <c r="C652">
        <v>61</v>
      </c>
    </row>
    <row r="653" spans="1:3" x14ac:dyDescent="0.25">
      <c r="A653" s="1">
        <v>39522</v>
      </c>
      <c r="B653" t="s">
        <v>28</v>
      </c>
      <c r="C653">
        <v>166</v>
      </c>
    </row>
    <row r="654" spans="1:3" x14ac:dyDescent="0.25">
      <c r="A654" s="1">
        <v>39523</v>
      </c>
      <c r="B654" t="s">
        <v>69</v>
      </c>
      <c r="C654">
        <v>91</v>
      </c>
    </row>
    <row r="655" spans="1:3" x14ac:dyDescent="0.25">
      <c r="A655" s="1">
        <v>39524</v>
      </c>
      <c r="B655" t="s">
        <v>163</v>
      </c>
      <c r="C655">
        <v>10</v>
      </c>
    </row>
    <row r="656" spans="1:3" x14ac:dyDescent="0.25">
      <c r="A656" s="1">
        <v>39526</v>
      </c>
      <c r="B656" t="s">
        <v>164</v>
      </c>
      <c r="C656">
        <v>19</v>
      </c>
    </row>
    <row r="657" spans="1:3" x14ac:dyDescent="0.25">
      <c r="A657" s="1">
        <v>39526</v>
      </c>
      <c r="B657" t="s">
        <v>165</v>
      </c>
      <c r="C657">
        <v>2</v>
      </c>
    </row>
    <row r="658" spans="1:3" x14ac:dyDescent="0.25">
      <c r="A658" s="1">
        <v>39527</v>
      </c>
      <c r="B658" t="s">
        <v>35</v>
      </c>
      <c r="C658">
        <v>125</v>
      </c>
    </row>
    <row r="659" spans="1:3" x14ac:dyDescent="0.25">
      <c r="A659" s="1">
        <v>39527</v>
      </c>
      <c r="B659" t="s">
        <v>22</v>
      </c>
      <c r="C659">
        <v>248</v>
      </c>
    </row>
    <row r="660" spans="1:3" x14ac:dyDescent="0.25">
      <c r="A660" s="1">
        <v>39527</v>
      </c>
      <c r="B660" t="s">
        <v>102</v>
      </c>
      <c r="C660">
        <v>298</v>
      </c>
    </row>
    <row r="661" spans="1:3" x14ac:dyDescent="0.25">
      <c r="A661" s="1">
        <v>39528</v>
      </c>
      <c r="B661" t="s">
        <v>22</v>
      </c>
      <c r="C661">
        <v>406</v>
      </c>
    </row>
    <row r="662" spans="1:3" x14ac:dyDescent="0.25">
      <c r="A662" s="1">
        <v>39529</v>
      </c>
      <c r="B662" t="s">
        <v>19</v>
      </c>
      <c r="C662">
        <v>46</v>
      </c>
    </row>
    <row r="663" spans="1:3" x14ac:dyDescent="0.25">
      <c r="A663" s="1">
        <v>39530</v>
      </c>
      <c r="B663" t="s">
        <v>69</v>
      </c>
      <c r="C663">
        <v>106</v>
      </c>
    </row>
    <row r="664" spans="1:3" x14ac:dyDescent="0.25">
      <c r="A664" s="1">
        <v>39532</v>
      </c>
      <c r="B664" t="s">
        <v>9</v>
      </c>
      <c r="C664">
        <v>121</v>
      </c>
    </row>
    <row r="665" spans="1:3" x14ac:dyDescent="0.25">
      <c r="A665" s="1">
        <v>39536</v>
      </c>
      <c r="B665" t="s">
        <v>45</v>
      </c>
      <c r="C665">
        <v>170</v>
      </c>
    </row>
    <row r="666" spans="1:3" x14ac:dyDescent="0.25">
      <c r="A666" s="1">
        <v>39536</v>
      </c>
      <c r="B666" t="s">
        <v>14</v>
      </c>
      <c r="C666">
        <v>431</v>
      </c>
    </row>
    <row r="667" spans="1:3" x14ac:dyDescent="0.25">
      <c r="A667" s="1">
        <v>39537</v>
      </c>
      <c r="B667" t="s">
        <v>50</v>
      </c>
      <c r="C667">
        <v>483</v>
      </c>
    </row>
    <row r="668" spans="1:3" x14ac:dyDescent="0.25">
      <c r="A668" s="1">
        <v>39539</v>
      </c>
      <c r="B668" t="s">
        <v>7</v>
      </c>
      <c r="C668">
        <v>354</v>
      </c>
    </row>
    <row r="669" spans="1:3" x14ac:dyDescent="0.25">
      <c r="A669" s="1">
        <v>39541</v>
      </c>
      <c r="B669" t="s">
        <v>69</v>
      </c>
      <c r="C669">
        <v>65</v>
      </c>
    </row>
    <row r="670" spans="1:3" x14ac:dyDescent="0.25">
      <c r="A670" s="1">
        <v>39544</v>
      </c>
      <c r="B670" t="s">
        <v>24</v>
      </c>
      <c r="C670">
        <v>176</v>
      </c>
    </row>
    <row r="671" spans="1:3" x14ac:dyDescent="0.25">
      <c r="A671" s="1">
        <v>39545</v>
      </c>
      <c r="B671" t="s">
        <v>51</v>
      </c>
      <c r="C671">
        <v>2</v>
      </c>
    </row>
    <row r="672" spans="1:3" x14ac:dyDescent="0.25">
      <c r="A672" s="1">
        <v>39546</v>
      </c>
      <c r="B672" t="s">
        <v>66</v>
      </c>
      <c r="C672">
        <v>46</v>
      </c>
    </row>
    <row r="673" spans="1:3" x14ac:dyDescent="0.25">
      <c r="A673" s="1">
        <v>39549</v>
      </c>
      <c r="B673" t="s">
        <v>102</v>
      </c>
      <c r="C673">
        <v>477</v>
      </c>
    </row>
    <row r="674" spans="1:3" x14ac:dyDescent="0.25">
      <c r="A674" s="1">
        <v>39550</v>
      </c>
      <c r="B674" t="s">
        <v>57</v>
      </c>
      <c r="C674">
        <v>6</v>
      </c>
    </row>
    <row r="675" spans="1:3" x14ac:dyDescent="0.25">
      <c r="A675" s="1">
        <v>39552</v>
      </c>
      <c r="B675" t="s">
        <v>48</v>
      </c>
      <c r="C675">
        <v>11</v>
      </c>
    </row>
    <row r="676" spans="1:3" x14ac:dyDescent="0.25">
      <c r="A676" s="1">
        <v>39552</v>
      </c>
      <c r="B676" t="s">
        <v>66</v>
      </c>
      <c r="C676">
        <v>126</v>
      </c>
    </row>
    <row r="677" spans="1:3" x14ac:dyDescent="0.25">
      <c r="A677" s="1">
        <v>39552</v>
      </c>
      <c r="B677" t="s">
        <v>18</v>
      </c>
      <c r="C677">
        <v>190</v>
      </c>
    </row>
    <row r="678" spans="1:3" x14ac:dyDescent="0.25">
      <c r="A678" s="1">
        <v>39553</v>
      </c>
      <c r="B678" t="s">
        <v>50</v>
      </c>
      <c r="C678">
        <v>358</v>
      </c>
    </row>
    <row r="679" spans="1:3" x14ac:dyDescent="0.25">
      <c r="A679" s="1">
        <v>39553</v>
      </c>
      <c r="B679" t="s">
        <v>39</v>
      </c>
      <c r="C679">
        <v>78</v>
      </c>
    </row>
    <row r="680" spans="1:3" x14ac:dyDescent="0.25">
      <c r="A680" s="1">
        <v>39553</v>
      </c>
      <c r="B680" t="s">
        <v>71</v>
      </c>
      <c r="C680">
        <v>129</v>
      </c>
    </row>
    <row r="681" spans="1:3" x14ac:dyDescent="0.25">
      <c r="A681" s="1">
        <v>39554</v>
      </c>
      <c r="B681" t="s">
        <v>14</v>
      </c>
      <c r="C681">
        <v>433</v>
      </c>
    </row>
    <row r="682" spans="1:3" x14ac:dyDescent="0.25">
      <c r="A682" s="1">
        <v>39555</v>
      </c>
      <c r="B682" t="s">
        <v>90</v>
      </c>
      <c r="C682">
        <v>18</v>
      </c>
    </row>
    <row r="683" spans="1:3" x14ac:dyDescent="0.25">
      <c r="A683" s="1">
        <v>39556</v>
      </c>
      <c r="B683" t="s">
        <v>80</v>
      </c>
      <c r="C683">
        <v>30</v>
      </c>
    </row>
    <row r="684" spans="1:3" x14ac:dyDescent="0.25">
      <c r="A684" s="1">
        <v>39557</v>
      </c>
      <c r="B684" t="s">
        <v>42</v>
      </c>
      <c r="C684">
        <v>18</v>
      </c>
    </row>
    <row r="685" spans="1:3" x14ac:dyDescent="0.25">
      <c r="A685" s="1">
        <v>39558</v>
      </c>
      <c r="B685" t="s">
        <v>66</v>
      </c>
      <c r="C685">
        <v>146</v>
      </c>
    </row>
    <row r="686" spans="1:3" x14ac:dyDescent="0.25">
      <c r="A686" s="1">
        <v>39558</v>
      </c>
      <c r="B686" t="s">
        <v>162</v>
      </c>
      <c r="C686">
        <v>19</v>
      </c>
    </row>
    <row r="687" spans="1:3" x14ac:dyDescent="0.25">
      <c r="A687" s="1">
        <v>39559</v>
      </c>
      <c r="B687" t="s">
        <v>23</v>
      </c>
      <c r="C687">
        <v>170</v>
      </c>
    </row>
    <row r="688" spans="1:3" x14ac:dyDescent="0.25">
      <c r="A688" s="1">
        <v>39561</v>
      </c>
      <c r="B688" t="s">
        <v>5</v>
      </c>
      <c r="C688">
        <v>428</v>
      </c>
    </row>
    <row r="689" spans="1:3" x14ac:dyDescent="0.25">
      <c r="A689" s="1">
        <v>39563</v>
      </c>
      <c r="B689" t="s">
        <v>50</v>
      </c>
      <c r="C689">
        <v>129</v>
      </c>
    </row>
    <row r="690" spans="1:3" x14ac:dyDescent="0.25">
      <c r="A690" s="1">
        <v>39564</v>
      </c>
      <c r="B690" t="s">
        <v>17</v>
      </c>
      <c r="C690">
        <v>304</v>
      </c>
    </row>
    <row r="691" spans="1:3" x14ac:dyDescent="0.25">
      <c r="A691" s="1">
        <v>39568</v>
      </c>
      <c r="B691" t="s">
        <v>151</v>
      </c>
      <c r="C691">
        <v>15</v>
      </c>
    </row>
    <row r="692" spans="1:3" x14ac:dyDescent="0.25">
      <c r="A692" s="1">
        <v>39569</v>
      </c>
      <c r="B692" t="s">
        <v>166</v>
      </c>
      <c r="C692">
        <v>14</v>
      </c>
    </row>
    <row r="693" spans="1:3" x14ac:dyDescent="0.25">
      <c r="A693" s="1">
        <v>39571</v>
      </c>
      <c r="B693" t="s">
        <v>14</v>
      </c>
      <c r="C693">
        <v>320</v>
      </c>
    </row>
    <row r="694" spans="1:3" x14ac:dyDescent="0.25">
      <c r="A694" s="1">
        <v>39572</v>
      </c>
      <c r="B694" t="s">
        <v>55</v>
      </c>
      <c r="C694">
        <v>44</v>
      </c>
    </row>
    <row r="695" spans="1:3" x14ac:dyDescent="0.25">
      <c r="A695" s="1">
        <v>39573</v>
      </c>
      <c r="B695" t="s">
        <v>10</v>
      </c>
      <c r="C695">
        <v>71</v>
      </c>
    </row>
    <row r="696" spans="1:3" x14ac:dyDescent="0.25">
      <c r="A696" s="1">
        <v>39573</v>
      </c>
      <c r="B696" t="s">
        <v>72</v>
      </c>
      <c r="C696">
        <v>8</v>
      </c>
    </row>
    <row r="697" spans="1:3" x14ac:dyDescent="0.25">
      <c r="A697" s="1">
        <v>39577</v>
      </c>
      <c r="B697" t="s">
        <v>9</v>
      </c>
      <c r="C697">
        <v>444</v>
      </c>
    </row>
    <row r="698" spans="1:3" x14ac:dyDescent="0.25">
      <c r="A698" s="1">
        <v>39577</v>
      </c>
      <c r="B698" t="s">
        <v>83</v>
      </c>
      <c r="C698">
        <v>1</v>
      </c>
    </row>
    <row r="699" spans="1:3" x14ac:dyDescent="0.25">
      <c r="A699" s="1">
        <v>39579</v>
      </c>
      <c r="B699" t="s">
        <v>66</v>
      </c>
      <c r="C699">
        <v>102</v>
      </c>
    </row>
    <row r="700" spans="1:3" x14ac:dyDescent="0.25">
      <c r="A700" s="1">
        <v>39579</v>
      </c>
      <c r="B700" t="s">
        <v>26</v>
      </c>
      <c r="C700">
        <v>181</v>
      </c>
    </row>
    <row r="701" spans="1:3" x14ac:dyDescent="0.25">
      <c r="A701" s="1">
        <v>39579</v>
      </c>
      <c r="B701" t="s">
        <v>52</v>
      </c>
      <c r="C701">
        <v>82</v>
      </c>
    </row>
    <row r="702" spans="1:3" x14ac:dyDescent="0.25">
      <c r="A702" s="1">
        <v>39582</v>
      </c>
      <c r="B702" t="s">
        <v>167</v>
      </c>
      <c r="C702">
        <v>19</v>
      </c>
    </row>
    <row r="703" spans="1:3" x14ac:dyDescent="0.25">
      <c r="A703" s="1">
        <v>39582</v>
      </c>
      <c r="B703" t="s">
        <v>17</v>
      </c>
      <c r="C703">
        <v>245</v>
      </c>
    </row>
    <row r="704" spans="1:3" x14ac:dyDescent="0.25">
      <c r="A704" s="1">
        <v>39584</v>
      </c>
      <c r="B704" t="s">
        <v>102</v>
      </c>
      <c r="C704">
        <v>431</v>
      </c>
    </row>
    <row r="705" spans="1:3" x14ac:dyDescent="0.25">
      <c r="A705" s="1">
        <v>39584</v>
      </c>
      <c r="B705" t="s">
        <v>7</v>
      </c>
      <c r="C705">
        <v>252</v>
      </c>
    </row>
    <row r="706" spans="1:3" x14ac:dyDescent="0.25">
      <c r="A706" s="1">
        <v>39585</v>
      </c>
      <c r="B706" t="s">
        <v>62</v>
      </c>
      <c r="C706">
        <v>2</v>
      </c>
    </row>
    <row r="707" spans="1:3" x14ac:dyDescent="0.25">
      <c r="A707" s="1">
        <v>39586</v>
      </c>
      <c r="B707" t="s">
        <v>6</v>
      </c>
      <c r="C707">
        <v>52</v>
      </c>
    </row>
    <row r="708" spans="1:3" x14ac:dyDescent="0.25">
      <c r="A708" s="1">
        <v>39587</v>
      </c>
      <c r="B708" t="s">
        <v>23</v>
      </c>
      <c r="C708">
        <v>54</v>
      </c>
    </row>
    <row r="709" spans="1:3" x14ac:dyDescent="0.25">
      <c r="A709" s="1">
        <v>39587</v>
      </c>
      <c r="B709" t="s">
        <v>59</v>
      </c>
      <c r="C709">
        <v>4</v>
      </c>
    </row>
    <row r="710" spans="1:3" x14ac:dyDescent="0.25">
      <c r="A710" s="1">
        <v>39587</v>
      </c>
      <c r="B710" t="s">
        <v>61</v>
      </c>
      <c r="C710">
        <v>88</v>
      </c>
    </row>
    <row r="711" spans="1:3" x14ac:dyDescent="0.25">
      <c r="A711" s="1">
        <v>39590</v>
      </c>
      <c r="B711" t="s">
        <v>18</v>
      </c>
      <c r="C711">
        <v>152</v>
      </c>
    </row>
    <row r="712" spans="1:3" x14ac:dyDescent="0.25">
      <c r="A712" s="1">
        <v>39591</v>
      </c>
      <c r="B712" t="s">
        <v>55</v>
      </c>
      <c r="C712">
        <v>121</v>
      </c>
    </row>
    <row r="713" spans="1:3" x14ac:dyDescent="0.25">
      <c r="A713" s="1">
        <v>39592</v>
      </c>
      <c r="B713" t="s">
        <v>18</v>
      </c>
      <c r="C713">
        <v>77</v>
      </c>
    </row>
    <row r="714" spans="1:3" x14ac:dyDescent="0.25">
      <c r="A714" s="1">
        <v>39595</v>
      </c>
      <c r="B714" t="s">
        <v>131</v>
      </c>
      <c r="C714">
        <v>21</v>
      </c>
    </row>
    <row r="715" spans="1:3" x14ac:dyDescent="0.25">
      <c r="A715" s="1">
        <v>39596</v>
      </c>
      <c r="B715" t="s">
        <v>61</v>
      </c>
      <c r="C715">
        <v>48</v>
      </c>
    </row>
    <row r="716" spans="1:3" x14ac:dyDescent="0.25">
      <c r="A716" s="1">
        <v>39597</v>
      </c>
      <c r="B716" t="s">
        <v>45</v>
      </c>
      <c r="C716">
        <v>420</v>
      </c>
    </row>
    <row r="717" spans="1:3" x14ac:dyDescent="0.25">
      <c r="A717" s="1">
        <v>39598</v>
      </c>
      <c r="B717" t="s">
        <v>7</v>
      </c>
      <c r="C717">
        <v>443</v>
      </c>
    </row>
    <row r="718" spans="1:3" x14ac:dyDescent="0.25">
      <c r="A718" s="1">
        <v>39602</v>
      </c>
      <c r="B718" t="s">
        <v>55</v>
      </c>
      <c r="C718">
        <v>46</v>
      </c>
    </row>
    <row r="719" spans="1:3" x14ac:dyDescent="0.25">
      <c r="A719" s="1">
        <v>39603</v>
      </c>
      <c r="B719" t="s">
        <v>134</v>
      </c>
      <c r="C719">
        <v>3</v>
      </c>
    </row>
    <row r="720" spans="1:3" x14ac:dyDescent="0.25">
      <c r="A720" s="1">
        <v>39605</v>
      </c>
      <c r="B720" t="s">
        <v>55</v>
      </c>
      <c r="C720">
        <v>98</v>
      </c>
    </row>
    <row r="721" spans="1:3" x14ac:dyDescent="0.25">
      <c r="A721" s="1">
        <v>39605</v>
      </c>
      <c r="B721" t="s">
        <v>168</v>
      </c>
      <c r="C721">
        <v>18</v>
      </c>
    </row>
    <row r="722" spans="1:3" x14ac:dyDescent="0.25">
      <c r="A722" s="1">
        <v>39605</v>
      </c>
      <c r="B722" t="s">
        <v>50</v>
      </c>
      <c r="C722">
        <v>237</v>
      </c>
    </row>
    <row r="723" spans="1:3" x14ac:dyDescent="0.25">
      <c r="A723" s="1">
        <v>39605</v>
      </c>
      <c r="B723" t="s">
        <v>31</v>
      </c>
      <c r="C723">
        <v>64</v>
      </c>
    </row>
    <row r="724" spans="1:3" x14ac:dyDescent="0.25">
      <c r="A724" s="1">
        <v>39609</v>
      </c>
      <c r="B724" t="s">
        <v>37</v>
      </c>
      <c r="C724">
        <v>32</v>
      </c>
    </row>
    <row r="725" spans="1:3" x14ac:dyDescent="0.25">
      <c r="A725" s="1">
        <v>39614</v>
      </c>
      <c r="B725" t="s">
        <v>10</v>
      </c>
      <c r="C725">
        <v>30</v>
      </c>
    </row>
    <row r="726" spans="1:3" x14ac:dyDescent="0.25">
      <c r="A726" s="1">
        <v>39614</v>
      </c>
      <c r="B726" t="s">
        <v>137</v>
      </c>
      <c r="C726">
        <v>12</v>
      </c>
    </row>
    <row r="727" spans="1:3" x14ac:dyDescent="0.25">
      <c r="A727" s="1">
        <v>39615</v>
      </c>
      <c r="B727" t="s">
        <v>71</v>
      </c>
      <c r="C727">
        <v>138</v>
      </c>
    </row>
    <row r="728" spans="1:3" x14ac:dyDescent="0.25">
      <c r="A728" s="1">
        <v>39619</v>
      </c>
      <c r="B728" t="s">
        <v>22</v>
      </c>
      <c r="C728">
        <v>411</v>
      </c>
    </row>
    <row r="729" spans="1:3" x14ac:dyDescent="0.25">
      <c r="A729" s="1">
        <v>39622</v>
      </c>
      <c r="B729" t="s">
        <v>23</v>
      </c>
      <c r="C729">
        <v>152</v>
      </c>
    </row>
    <row r="730" spans="1:3" x14ac:dyDescent="0.25">
      <c r="A730" s="1">
        <v>39623</v>
      </c>
      <c r="B730" t="s">
        <v>169</v>
      </c>
      <c r="C730">
        <v>10</v>
      </c>
    </row>
    <row r="731" spans="1:3" x14ac:dyDescent="0.25">
      <c r="A731" s="1">
        <v>39624</v>
      </c>
      <c r="B731" t="s">
        <v>18</v>
      </c>
      <c r="C731">
        <v>75</v>
      </c>
    </row>
    <row r="732" spans="1:3" x14ac:dyDescent="0.25">
      <c r="A732" s="1">
        <v>39624</v>
      </c>
      <c r="B732" t="s">
        <v>170</v>
      </c>
      <c r="C732">
        <v>4</v>
      </c>
    </row>
    <row r="733" spans="1:3" x14ac:dyDescent="0.25">
      <c r="A733" s="1">
        <v>39626</v>
      </c>
      <c r="B733" t="s">
        <v>171</v>
      </c>
      <c r="C733">
        <v>2</v>
      </c>
    </row>
    <row r="734" spans="1:3" x14ac:dyDescent="0.25">
      <c r="A734" s="1">
        <v>39627</v>
      </c>
      <c r="B734" t="s">
        <v>61</v>
      </c>
      <c r="C734">
        <v>110</v>
      </c>
    </row>
    <row r="735" spans="1:3" x14ac:dyDescent="0.25">
      <c r="A735" s="1">
        <v>39628</v>
      </c>
      <c r="B735" t="s">
        <v>35</v>
      </c>
      <c r="C735">
        <v>161</v>
      </c>
    </row>
    <row r="736" spans="1:3" x14ac:dyDescent="0.25">
      <c r="A736" s="1">
        <v>39629</v>
      </c>
      <c r="B736" t="s">
        <v>30</v>
      </c>
      <c r="C736">
        <v>68</v>
      </c>
    </row>
    <row r="737" spans="1:3" x14ac:dyDescent="0.25">
      <c r="A737" s="1">
        <v>39631</v>
      </c>
      <c r="B737" t="s">
        <v>55</v>
      </c>
      <c r="C737">
        <v>30</v>
      </c>
    </row>
    <row r="738" spans="1:3" x14ac:dyDescent="0.25">
      <c r="A738" s="1">
        <v>39632</v>
      </c>
      <c r="B738" t="s">
        <v>64</v>
      </c>
      <c r="C738">
        <v>3</v>
      </c>
    </row>
    <row r="739" spans="1:3" x14ac:dyDescent="0.25">
      <c r="A739" s="1">
        <v>39637</v>
      </c>
      <c r="B739" t="s">
        <v>50</v>
      </c>
      <c r="C739">
        <v>117</v>
      </c>
    </row>
    <row r="740" spans="1:3" x14ac:dyDescent="0.25">
      <c r="A740" s="1">
        <v>39639</v>
      </c>
      <c r="B740" t="s">
        <v>8</v>
      </c>
      <c r="C740">
        <v>105</v>
      </c>
    </row>
    <row r="741" spans="1:3" x14ac:dyDescent="0.25">
      <c r="A741" s="1">
        <v>39639</v>
      </c>
      <c r="B741" t="s">
        <v>46</v>
      </c>
      <c r="C741">
        <v>6</v>
      </c>
    </row>
    <row r="742" spans="1:3" x14ac:dyDescent="0.25">
      <c r="A742" s="1">
        <v>39640</v>
      </c>
      <c r="B742" t="s">
        <v>17</v>
      </c>
      <c r="C742">
        <v>378</v>
      </c>
    </row>
    <row r="743" spans="1:3" x14ac:dyDescent="0.25">
      <c r="A743" s="1">
        <v>39643</v>
      </c>
      <c r="B743" t="s">
        <v>69</v>
      </c>
      <c r="C743">
        <v>76</v>
      </c>
    </row>
    <row r="744" spans="1:3" x14ac:dyDescent="0.25">
      <c r="A744" s="1">
        <v>39644</v>
      </c>
      <c r="B744" t="s">
        <v>22</v>
      </c>
      <c r="C744">
        <v>386</v>
      </c>
    </row>
    <row r="745" spans="1:3" x14ac:dyDescent="0.25">
      <c r="A745" s="1">
        <v>39645</v>
      </c>
      <c r="B745" t="s">
        <v>50</v>
      </c>
      <c r="C745">
        <v>132</v>
      </c>
    </row>
    <row r="746" spans="1:3" x14ac:dyDescent="0.25">
      <c r="A746" s="1">
        <v>39645</v>
      </c>
      <c r="B746" t="s">
        <v>22</v>
      </c>
      <c r="C746">
        <v>104</v>
      </c>
    </row>
    <row r="747" spans="1:3" x14ac:dyDescent="0.25">
      <c r="A747" s="1">
        <v>39646</v>
      </c>
      <c r="B747" t="s">
        <v>45</v>
      </c>
      <c r="C747">
        <v>380</v>
      </c>
    </row>
    <row r="748" spans="1:3" x14ac:dyDescent="0.25">
      <c r="A748" s="1">
        <v>39647</v>
      </c>
      <c r="B748" t="s">
        <v>78</v>
      </c>
      <c r="C748">
        <v>76</v>
      </c>
    </row>
    <row r="749" spans="1:3" x14ac:dyDescent="0.25">
      <c r="A749" s="1">
        <v>39647</v>
      </c>
      <c r="B749" t="s">
        <v>25</v>
      </c>
      <c r="C749">
        <v>194</v>
      </c>
    </row>
    <row r="750" spans="1:3" x14ac:dyDescent="0.25">
      <c r="A750" s="1">
        <v>39653</v>
      </c>
      <c r="B750" t="s">
        <v>61</v>
      </c>
      <c r="C750">
        <v>147</v>
      </c>
    </row>
    <row r="751" spans="1:3" x14ac:dyDescent="0.25">
      <c r="A751" s="1">
        <v>39656</v>
      </c>
      <c r="B751" t="s">
        <v>22</v>
      </c>
      <c r="C751">
        <v>319</v>
      </c>
    </row>
    <row r="752" spans="1:3" x14ac:dyDescent="0.25">
      <c r="A752" s="1">
        <v>39657</v>
      </c>
      <c r="B752" t="s">
        <v>39</v>
      </c>
      <c r="C752">
        <v>38</v>
      </c>
    </row>
    <row r="753" spans="1:3" x14ac:dyDescent="0.25">
      <c r="A753" s="1">
        <v>39662</v>
      </c>
      <c r="B753" t="s">
        <v>28</v>
      </c>
      <c r="C753">
        <v>31</v>
      </c>
    </row>
    <row r="754" spans="1:3" x14ac:dyDescent="0.25">
      <c r="A754" s="1">
        <v>39664</v>
      </c>
      <c r="B754" t="s">
        <v>6</v>
      </c>
      <c r="C754">
        <v>28</v>
      </c>
    </row>
    <row r="755" spans="1:3" x14ac:dyDescent="0.25">
      <c r="A755" s="1">
        <v>39664</v>
      </c>
      <c r="B755" t="s">
        <v>105</v>
      </c>
      <c r="C755">
        <v>15</v>
      </c>
    </row>
    <row r="756" spans="1:3" x14ac:dyDescent="0.25">
      <c r="A756" s="1">
        <v>39667</v>
      </c>
      <c r="B756" t="s">
        <v>62</v>
      </c>
      <c r="C756">
        <v>2</v>
      </c>
    </row>
    <row r="757" spans="1:3" x14ac:dyDescent="0.25">
      <c r="A757" s="1">
        <v>39667</v>
      </c>
      <c r="B757" t="s">
        <v>101</v>
      </c>
      <c r="C757">
        <v>16</v>
      </c>
    </row>
    <row r="758" spans="1:3" x14ac:dyDescent="0.25">
      <c r="A758" s="1">
        <v>39669</v>
      </c>
      <c r="B758" t="s">
        <v>78</v>
      </c>
      <c r="C758">
        <v>83</v>
      </c>
    </row>
    <row r="759" spans="1:3" x14ac:dyDescent="0.25">
      <c r="A759" s="1">
        <v>39670</v>
      </c>
      <c r="B759" t="s">
        <v>172</v>
      </c>
      <c r="C759">
        <v>16</v>
      </c>
    </row>
    <row r="760" spans="1:3" x14ac:dyDescent="0.25">
      <c r="A760" s="1">
        <v>39671</v>
      </c>
      <c r="B760" t="s">
        <v>9</v>
      </c>
      <c r="C760">
        <v>397</v>
      </c>
    </row>
    <row r="761" spans="1:3" x14ac:dyDescent="0.25">
      <c r="A761" s="1">
        <v>39671</v>
      </c>
      <c r="B761" t="s">
        <v>78</v>
      </c>
      <c r="C761">
        <v>184</v>
      </c>
    </row>
    <row r="762" spans="1:3" x14ac:dyDescent="0.25">
      <c r="A762" s="1">
        <v>39673</v>
      </c>
      <c r="B762" t="s">
        <v>78</v>
      </c>
      <c r="C762">
        <v>55</v>
      </c>
    </row>
    <row r="763" spans="1:3" x14ac:dyDescent="0.25">
      <c r="A763" s="1">
        <v>39674</v>
      </c>
      <c r="B763" t="s">
        <v>69</v>
      </c>
      <c r="C763">
        <v>107</v>
      </c>
    </row>
    <row r="764" spans="1:3" x14ac:dyDescent="0.25">
      <c r="A764" s="1">
        <v>39676</v>
      </c>
      <c r="B764" t="s">
        <v>69</v>
      </c>
      <c r="C764">
        <v>127</v>
      </c>
    </row>
    <row r="765" spans="1:3" x14ac:dyDescent="0.25">
      <c r="A765" s="1">
        <v>39679</v>
      </c>
      <c r="B765" t="s">
        <v>173</v>
      </c>
      <c r="C765">
        <v>122</v>
      </c>
    </row>
    <row r="766" spans="1:3" x14ac:dyDescent="0.25">
      <c r="A766" s="1">
        <v>39679</v>
      </c>
      <c r="B766" t="s">
        <v>18</v>
      </c>
      <c r="C766">
        <v>107</v>
      </c>
    </row>
    <row r="767" spans="1:3" x14ac:dyDescent="0.25">
      <c r="A767" s="1">
        <v>39681</v>
      </c>
      <c r="B767" t="s">
        <v>22</v>
      </c>
      <c r="C767">
        <v>113</v>
      </c>
    </row>
    <row r="768" spans="1:3" x14ac:dyDescent="0.25">
      <c r="A768" s="1">
        <v>39681</v>
      </c>
      <c r="B768" t="s">
        <v>7</v>
      </c>
      <c r="C768">
        <v>297</v>
      </c>
    </row>
    <row r="769" spans="1:3" x14ac:dyDescent="0.25">
      <c r="A769" s="1">
        <v>39682</v>
      </c>
      <c r="B769" t="s">
        <v>44</v>
      </c>
      <c r="C769">
        <v>14</v>
      </c>
    </row>
    <row r="770" spans="1:3" x14ac:dyDescent="0.25">
      <c r="A770" s="1">
        <v>39684</v>
      </c>
      <c r="B770" t="s">
        <v>52</v>
      </c>
      <c r="C770">
        <v>188</v>
      </c>
    </row>
    <row r="771" spans="1:3" x14ac:dyDescent="0.25">
      <c r="A771" s="1">
        <v>39686</v>
      </c>
      <c r="B771" t="s">
        <v>151</v>
      </c>
      <c r="C771">
        <v>11</v>
      </c>
    </row>
    <row r="772" spans="1:3" x14ac:dyDescent="0.25">
      <c r="A772" s="1">
        <v>39689</v>
      </c>
      <c r="B772" t="s">
        <v>28</v>
      </c>
      <c r="C772">
        <v>105</v>
      </c>
    </row>
    <row r="773" spans="1:3" x14ac:dyDescent="0.25">
      <c r="A773" s="1">
        <v>39690</v>
      </c>
      <c r="B773" t="s">
        <v>160</v>
      </c>
      <c r="C773">
        <v>18</v>
      </c>
    </row>
    <row r="774" spans="1:3" x14ac:dyDescent="0.25">
      <c r="A774" s="1">
        <v>39690</v>
      </c>
      <c r="B774" t="s">
        <v>7</v>
      </c>
      <c r="C774">
        <v>418</v>
      </c>
    </row>
    <row r="775" spans="1:3" x14ac:dyDescent="0.25">
      <c r="A775" s="1">
        <v>39691</v>
      </c>
      <c r="B775" t="s">
        <v>174</v>
      </c>
      <c r="C775">
        <v>4</v>
      </c>
    </row>
    <row r="776" spans="1:3" x14ac:dyDescent="0.25">
      <c r="A776" s="1">
        <v>39691</v>
      </c>
      <c r="B776" t="s">
        <v>124</v>
      </c>
      <c r="C776">
        <v>5</v>
      </c>
    </row>
    <row r="777" spans="1:3" x14ac:dyDescent="0.25">
      <c r="A777" s="1">
        <v>39692</v>
      </c>
      <c r="B777" t="s">
        <v>102</v>
      </c>
      <c r="C777">
        <v>346</v>
      </c>
    </row>
    <row r="778" spans="1:3" x14ac:dyDescent="0.25">
      <c r="A778" s="1">
        <v>39694</v>
      </c>
      <c r="B778" t="s">
        <v>9</v>
      </c>
      <c r="C778">
        <v>417</v>
      </c>
    </row>
    <row r="779" spans="1:3" x14ac:dyDescent="0.25">
      <c r="A779" s="1">
        <v>39696</v>
      </c>
      <c r="B779" t="s">
        <v>123</v>
      </c>
      <c r="C779">
        <v>35</v>
      </c>
    </row>
    <row r="780" spans="1:3" x14ac:dyDescent="0.25">
      <c r="A780" s="1">
        <v>39696</v>
      </c>
      <c r="B780" t="s">
        <v>3</v>
      </c>
      <c r="C780">
        <v>6</v>
      </c>
    </row>
    <row r="781" spans="1:3" x14ac:dyDescent="0.25">
      <c r="A781" s="1">
        <v>39697</v>
      </c>
      <c r="B781" t="s">
        <v>50</v>
      </c>
      <c r="C781">
        <v>322</v>
      </c>
    </row>
    <row r="782" spans="1:3" x14ac:dyDescent="0.25">
      <c r="A782" s="1">
        <v>39697</v>
      </c>
      <c r="B782" t="s">
        <v>37</v>
      </c>
      <c r="C782">
        <v>150</v>
      </c>
    </row>
    <row r="783" spans="1:3" x14ac:dyDescent="0.25">
      <c r="A783" s="1">
        <v>39698</v>
      </c>
      <c r="B783" t="s">
        <v>14</v>
      </c>
      <c r="C783">
        <v>492</v>
      </c>
    </row>
    <row r="784" spans="1:3" x14ac:dyDescent="0.25">
      <c r="A784" s="1">
        <v>39702</v>
      </c>
      <c r="B784" t="s">
        <v>18</v>
      </c>
      <c r="C784">
        <v>93</v>
      </c>
    </row>
    <row r="785" spans="1:3" x14ac:dyDescent="0.25">
      <c r="A785" s="1">
        <v>39705</v>
      </c>
      <c r="B785" t="s">
        <v>61</v>
      </c>
      <c r="C785">
        <v>64</v>
      </c>
    </row>
    <row r="786" spans="1:3" x14ac:dyDescent="0.25">
      <c r="A786" s="1">
        <v>39705</v>
      </c>
      <c r="B786" t="s">
        <v>89</v>
      </c>
      <c r="C786">
        <v>7</v>
      </c>
    </row>
    <row r="787" spans="1:3" x14ac:dyDescent="0.25">
      <c r="A787" s="1">
        <v>39705</v>
      </c>
      <c r="B787" t="s">
        <v>18</v>
      </c>
      <c r="C787">
        <v>90</v>
      </c>
    </row>
    <row r="788" spans="1:3" x14ac:dyDescent="0.25">
      <c r="A788" s="1">
        <v>39712</v>
      </c>
      <c r="B788" t="s">
        <v>50</v>
      </c>
      <c r="C788">
        <v>136</v>
      </c>
    </row>
    <row r="789" spans="1:3" x14ac:dyDescent="0.25">
      <c r="A789" s="1">
        <v>39713</v>
      </c>
      <c r="B789" t="s">
        <v>19</v>
      </c>
      <c r="C789">
        <v>104</v>
      </c>
    </row>
    <row r="790" spans="1:3" x14ac:dyDescent="0.25">
      <c r="A790" s="1">
        <v>39713</v>
      </c>
      <c r="B790" t="s">
        <v>150</v>
      </c>
      <c r="C790">
        <v>1</v>
      </c>
    </row>
    <row r="791" spans="1:3" x14ac:dyDescent="0.25">
      <c r="A791" s="1">
        <v>39714</v>
      </c>
      <c r="B791" t="s">
        <v>31</v>
      </c>
      <c r="C791">
        <v>52</v>
      </c>
    </row>
    <row r="792" spans="1:3" x14ac:dyDescent="0.25">
      <c r="A792" s="1">
        <v>39714</v>
      </c>
      <c r="B792" t="s">
        <v>45</v>
      </c>
      <c r="C792">
        <v>203</v>
      </c>
    </row>
    <row r="793" spans="1:3" x14ac:dyDescent="0.25">
      <c r="A793" s="1">
        <v>39716</v>
      </c>
      <c r="B793" t="s">
        <v>30</v>
      </c>
      <c r="C793">
        <v>183</v>
      </c>
    </row>
    <row r="794" spans="1:3" x14ac:dyDescent="0.25">
      <c r="A794" s="1">
        <v>39717</v>
      </c>
      <c r="B794" t="s">
        <v>61</v>
      </c>
      <c r="C794">
        <v>182</v>
      </c>
    </row>
    <row r="795" spans="1:3" x14ac:dyDescent="0.25">
      <c r="A795" s="1">
        <v>39719</v>
      </c>
      <c r="B795" t="s">
        <v>45</v>
      </c>
      <c r="C795">
        <v>383</v>
      </c>
    </row>
    <row r="796" spans="1:3" x14ac:dyDescent="0.25">
      <c r="A796" s="1">
        <v>39722</v>
      </c>
      <c r="B796" t="s">
        <v>22</v>
      </c>
      <c r="C796">
        <v>113</v>
      </c>
    </row>
    <row r="797" spans="1:3" x14ac:dyDescent="0.25">
      <c r="A797" s="1">
        <v>39722</v>
      </c>
      <c r="B797" t="s">
        <v>63</v>
      </c>
      <c r="C797">
        <v>154</v>
      </c>
    </row>
    <row r="798" spans="1:3" x14ac:dyDescent="0.25">
      <c r="A798" s="1">
        <v>39722</v>
      </c>
      <c r="B798" t="s">
        <v>36</v>
      </c>
      <c r="C798">
        <v>8</v>
      </c>
    </row>
    <row r="799" spans="1:3" x14ac:dyDescent="0.25">
      <c r="A799" s="1">
        <v>39725</v>
      </c>
      <c r="B799" t="s">
        <v>116</v>
      </c>
      <c r="C799">
        <v>5</v>
      </c>
    </row>
    <row r="800" spans="1:3" x14ac:dyDescent="0.25">
      <c r="A800" s="1">
        <v>39725</v>
      </c>
      <c r="B800" t="s">
        <v>42</v>
      </c>
      <c r="C800">
        <v>14</v>
      </c>
    </row>
    <row r="801" spans="1:3" x14ac:dyDescent="0.25">
      <c r="A801" s="1">
        <v>39727</v>
      </c>
      <c r="B801" t="s">
        <v>71</v>
      </c>
      <c r="C801">
        <v>27</v>
      </c>
    </row>
    <row r="802" spans="1:3" x14ac:dyDescent="0.25">
      <c r="A802" s="1">
        <v>39727</v>
      </c>
      <c r="B802" t="s">
        <v>8</v>
      </c>
      <c r="C802">
        <v>141</v>
      </c>
    </row>
    <row r="803" spans="1:3" x14ac:dyDescent="0.25">
      <c r="A803" s="1">
        <v>39729</v>
      </c>
      <c r="B803" t="s">
        <v>175</v>
      </c>
      <c r="C803">
        <v>14</v>
      </c>
    </row>
    <row r="804" spans="1:3" x14ac:dyDescent="0.25">
      <c r="A804" s="1">
        <v>39729</v>
      </c>
      <c r="B804" t="s">
        <v>31</v>
      </c>
      <c r="C804">
        <v>136</v>
      </c>
    </row>
    <row r="805" spans="1:3" x14ac:dyDescent="0.25">
      <c r="A805" s="1">
        <v>39729</v>
      </c>
      <c r="B805" t="s">
        <v>5</v>
      </c>
      <c r="C805">
        <v>378</v>
      </c>
    </row>
    <row r="806" spans="1:3" x14ac:dyDescent="0.25">
      <c r="A806" s="1">
        <v>39729</v>
      </c>
      <c r="B806" t="s">
        <v>159</v>
      </c>
      <c r="C806">
        <v>12</v>
      </c>
    </row>
    <row r="807" spans="1:3" x14ac:dyDescent="0.25">
      <c r="A807" s="1">
        <v>39732</v>
      </c>
      <c r="B807" t="s">
        <v>45</v>
      </c>
      <c r="C807">
        <v>284</v>
      </c>
    </row>
    <row r="808" spans="1:3" x14ac:dyDescent="0.25">
      <c r="A808" s="1">
        <v>39733</v>
      </c>
      <c r="B808" t="s">
        <v>19</v>
      </c>
      <c r="C808">
        <v>54</v>
      </c>
    </row>
    <row r="809" spans="1:3" x14ac:dyDescent="0.25">
      <c r="A809" s="1">
        <v>39733</v>
      </c>
      <c r="B809" t="s">
        <v>31</v>
      </c>
      <c r="C809">
        <v>51</v>
      </c>
    </row>
    <row r="810" spans="1:3" x14ac:dyDescent="0.25">
      <c r="A810" s="1">
        <v>39733</v>
      </c>
      <c r="B810" t="s">
        <v>55</v>
      </c>
      <c r="C810">
        <v>159</v>
      </c>
    </row>
    <row r="811" spans="1:3" x14ac:dyDescent="0.25">
      <c r="A811" s="1">
        <v>39738</v>
      </c>
      <c r="B811" t="s">
        <v>9</v>
      </c>
      <c r="C811">
        <v>351</v>
      </c>
    </row>
    <row r="812" spans="1:3" x14ac:dyDescent="0.25">
      <c r="A812" s="1">
        <v>39738</v>
      </c>
      <c r="B812" t="s">
        <v>22</v>
      </c>
      <c r="C812">
        <v>390</v>
      </c>
    </row>
    <row r="813" spans="1:3" x14ac:dyDescent="0.25">
      <c r="A813" s="1">
        <v>39738</v>
      </c>
      <c r="B813" t="s">
        <v>33</v>
      </c>
      <c r="C813">
        <v>4</v>
      </c>
    </row>
    <row r="814" spans="1:3" x14ac:dyDescent="0.25">
      <c r="A814" s="1">
        <v>39739</v>
      </c>
      <c r="B814" t="s">
        <v>35</v>
      </c>
      <c r="C814">
        <v>140</v>
      </c>
    </row>
    <row r="815" spans="1:3" x14ac:dyDescent="0.25">
      <c r="A815" s="1">
        <v>39740</v>
      </c>
      <c r="B815" t="s">
        <v>50</v>
      </c>
      <c r="C815">
        <v>125</v>
      </c>
    </row>
    <row r="816" spans="1:3" x14ac:dyDescent="0.25">
      <c r="A816" s="1">
        <v>39740</v>
      </c>
      <c r="B816" t="s">
        <v>66</v>
      </c>
      <c r="C816">
        <v>97</v>
      </c>
    </row>
    <row r="817" spans="1:3" x14ac:dyDescent="0.25">
      <c r="A817" s="1">
        <v>39743</v>
      </c>
      <c r="B817" t="s">
        <v>66</v>
      </c>
      <c r="C817">
        <v>190</v>
      </c>
    </row>
    <row r="818" spans="1:3" x14ac:dyDescent="0.25">
      <c r="A818" s="1">
        <v>39745</v>
      </c>
      <c r="B818" t="s">
        <v>14</v>
      </c>
      <c r="C818">
        <v>415</v>
      </c>
    </row>
    <row r="819" spans="1:3" x14ac:dyDescent="0.25">
      <c r="A819" s="1">
        <v>39747</v>
      </c>
      <c r="B819" t="s">
        <v>9</v>
      </c>
      <c r="C819">
        <v>269</v>
      </c>
    </row>
    <row r="820" spans="1:3" x14ac:dyDescent="0.25">
      <c r="A820" s="1">
        <v>39747</v>
      </c>
      <c r="B820" t="s">
        <v>140</v>
      </c>
      <c r="C820">
        <v>11</v>
      </c>
    </row>
    <row r="821" spans="1:3" x14ac:dyDescent="0.25">
      <c r="A821" s="1">
        <v>39747</v>
      </c>
      <c r="B821" t="s">
        <v>45</v>
      </c>
      <c r="C821">
        <v>162</v>
      </c>
    </row>
    <row r="822" spans="1:3" x14ac:dyDescent="0.25">
      <c r="A822" s="1">
        <v>39757</v>
      </c>
      <c r="B822" t="s">
        <v>18</v>
      </c>
      <c r="C822">
        <v>75</v>
      </c>
    </row>
    <row r="823" spans="1:3" x14ac:dyDescent="0.25">
      <c r="A823" s="1">
        <v>39759</v>
      </c>
      <c r="B823" t="s">
        <v>22</v>
      </c>
      <c r="C823">
        <v>358</v>
      </c>
    </row>
    <row r="824" spans="1:3" x14ac:dyDescent="0.25">
      <c r="A824" s="1">
        <v>39760</v>
      </c>
      <c r="B824" t="s">
        <v>8</v>
      </c>
      <c r="C824">
        <v>198</v>
      </c>
    </row>
    <row r="825" spans="1:3" x14ac:dyDescent="0.25">
      <c r="A825" s="1">
        <v>39763</v>
      </c>
      <c r="B825" t="s">
        <v>22</v>
      </c>
      <c r="C825">
        <v>189</v>
      </c>
    </row>
    <row r="826" spans="1:3" x14ac:dyDescent="0.25">
      <c r="A826" s="1">
        <v>39764</v>
      </c>
      <c r="B826" t="s">
        <v>24</v>
      </c>
      <c r="C826">
        <v>226</v>
      </c>
    </row>
    <row r="827" spans="1:3" x14ac:dyDescent="0.25">
      <c r="A827" s="1">
        <v>39765</v>
      </c>
      <c r="B827" t="s">
        <v>55</v>
      </c>
      <c r="C827">
        <v>94</v>
      </c>
    </row>
    <row r="828" spans="1:3" x14ac:dyDescent="0.25">
      <c r="A828" s="1">
        <v>39770</v>
      </c>
      <c r="B828" t="s">
        <v>50</v>
      </c>
      <c r="C828">
        <v>401</v>
      </c>
    </row>
    <row r="829" spans="1:3" x14ac:dyDescent="0.25">
      <c r="A829" s="1">
        <v>39771</v>
      </c>
      <c r="B829" t="s">
        <v>69</v>
      </c>
      <c r="C829">
        <v>52</v>
      </c>
    </row>
    <row r="830" spans="1:3" x14ac:dyDescent="0.25">
      <c r="A830" s="1">
        <v>39772</v>
      </c>
      <c r="B830" t="s">
        <v>12</v>
      </c>
      <c r="C830">
        <v>189</v>
      </c>
    </row>
    <row r="831" spans="1:3" x14ac:dyDescent="0.25">
      <c r="A831" s="1">
        <v>39774</v>
      </c>
      <c r="B831" t="s">
        <v>17</v>
      </c>
      <c r="C831">
        <v>201</v>
      </c>
    </row>
    <row r="832" spans="1:3" x14ac:dyDescent="0.25">
      <c r="A832" s="1">
        <v>39775</v>
      </c>
      <c r="B832" t="s">
        <v>22</v>
      </c>
      <c r="C832">
        <v>235</v>
      </c>
    </row>
    <row r="833" spans="1:3" x14ac:dyDescent="0.25">
      <c r="A833" s="1">
        <v>39776</v>
      </c>
      <c r="B833" t="s">
        <v>55</v>
      </c>
      <c r="C833">
        <v>78</v>
      </c>
    </row>
    <row r="834" spans="1:3" x14ac:dyDescent="0.25">
      <c r="A834" s="1">
        <v>39776</v>
      </c>
      <c r="B834" t="s">
        <v>126</v>
      </c>
      <c r="C834">
        <v>13</v>
      </c>
    </row>
    <row r="835" spans="1:3" x14ac:dyDescent="0.25">
      <c r="A835" s="1">
        <v>39776</v>
      </c>
      <c r="B835" t="s">
        <v>20</v>
      </c>
      <c r="C835">
        <v>196</v>
      </c>
    </row>
    <row r="836" spans="1:3" x14ac:dyDescent="0.25">
      <c r="A836" s="1">
        <v>39780</v>
      </c>
      <c r="B836" t="s">
        <v>70</v>
      </c>
      <c r="C836">
        <v>11</v>
      </c>
    </row>
    <row r="837" spans="1:3" x14ac:dyDescent="0.25">
      <c r="A837" s="1">
        <v>39780</v>
      </c>
      <c r="B837" t="s">
        <v>176</v>
      </c>
      <c r="C837">
        <v>17</v>
      </c>
    </row>
    <row r="838" spans="1:3" x14ac:dyDescent="0.25">
      <c r="A838" s="1">
        <v>39781</v>
      </c>
      <c r="B838" t="s">
        <v>47</v>
      </c>
      <c r="C838">
        <v>4</v>
      </c>
    </row>
    <row r="839" spans="1:3" x14ac:dyDescent="0.25">
      <c r="A839" s="1">
        <v>39785</v>
      </c>
      <c r="B839" t="s">
        <v>54</v>
      </c>
      <c r="C839">
        <v>17</v>
      </c>
    </row>
    <row r="840" spans="1:3" x14ac:dyDescent="0.25">
      <c r="A840" s="1">
        <v>39785</v>
      </c>
      <c r="B840" t="s">
        <v>177</v>
      </c>
      <c r="C840">
        <v>1</v>
      </c>
    </row>
    <row r="841" spans="1:3" x14ac:dyDescent="0.25">
      <c r="A841" s="1">
        <v>39790</v>
      </c>
      <c r="B841" t="s">
        <v>13</v>
      </c>
      <c r="C841">
        <v>6</v>
      </c>
    </row>
    <row r="842" spans="1:3" x14ac:dyDescent="0.25">
      <c r="A842" s="1">
        <v>39790</v>
      </c>
      <c r="B842" t="s">
        <v>7</v>
      </c>
      <c r="C842">
        <v>496</v>
      </c>
    </row>
    <row r="843" spans="1:3" x14ac:dyDescent="0.25">
      <c r="A843" s="1">
        <v>39794</v>
      </c>
      <c r="B843" t="s">
        <v>5</v>
      </c>
      <c r="C843">
        <v>363</v>
      </c>
    </row>
    <row r="844" spans="1:3" x14ac:dyDescent="0.25">
      <c r="A844" s="1">
        <v>39797</v>
      </c>
      <c r="B844" t="s">
        <v>5</v>
      </c>
      <c r="C844">
        <v>491</v>
      </c>
    </row>
    <row r="845" spans="1:3" x14ac:dyDescent="0.25">
      <c r="A845" s="1">
        <v>39797</v>
      </c>
      <c r="B845" t="s">
        <v>17</v>
      </c>
      <c r="C845">
        <v>369</v>
      </c>
    </row>
    <row r="846" spans="1:3" x14ac:dyDescent="0.25">
      <c r="A846" s="1">
        <v>39799</v>
      </c>
      <c r="B846" t="s">
        <v>66</v>
      </c>
      <c r="C846">
        <v>60</v>
      </c>
    </row>
    <row r="847" spans="1:3" x14ac:dyDescent="0.25">
      <c r="A847" s="1">
        <v>39800</v>
      </c>
      <c r="B847" t="s">
        <v>20</v>
      </c>
      <c r="C847">
        <v>35</v>
      </c>
    </row>
    <row r="848" spans="1:3" x14ac:dyDescent="0.25">
      <c r="A848" s="1">
        <v>39803</v>
      </c>
      <c r="B848" t="s">
        <v>7</v>
      </c>
      <c r="C848">
        <v>121</v>
      </c>
    </row>
    <row r="849" spans="1:3" x14ac:dyDescent="0.25">
      <c r="A849" s="1">
        <v>39803</v>
      </c>
      <c r="B849" t="s">
        <v>50</v>
      </c>
      <c r="C849">
        <v>442</v>
      </c>
    </row>
    <row r="850" spans="1:3" x14ac:dyDescent="0.25">
      <c r="A850" s="1">
        <v>39804</v>
      </c>
      <c r="B850" t="s">
        <v>7</v>
      </c>
      <c r="C850">
        <v>338</v>
      </c>
    </row>
    <row r="851" spans="1:3" x14ac:dyDescent="0.25">
      <c r="A851" s="1">
        <v>39805</v>
      </c>
      <c r="B851" t="s">
        <v>31</v>
      </c>
      <c r="C851">
        <v>94</v>
      </c>
    </row>
    <row r="852" spans="1:3" x14ac:dyDescent="0.25">
      <c r="A852" s="1">
        <v>39808</v>
      </c>
      <c r="B852" t="s">
        <v>1</v>
      </c>
      <c r="C852">
        <v>14</v>
      </c>
    </row>
    <row r="853" spans="1:3" x14ac:dyDescent="0.25">
      <c r="A853" s="1">
        <v>39809</v>
      </c>
      <c r="B853" t="s">
        <v>94</v>
      </c>
      <c r="C853">
        <v>2</v>
      </c>
    </row>
    <row r="854" spans="1:3" x14ac:dyDescent="0.25">
      <c r="A854" s="1">
        <v>39811</v>
      </c>
      <c r="B854" t="s">
        <v>14</v>
      </c>
      <c r="C854">
        <v>110</v>
      </c>
    </row>
    <row r="855" spans="1:3" x14ac:dyDescent="0.25">
      <c r="A855" s="1">
        <v>39812</v>
      </c>
      <c r="B855" t="s">
        <v>87</v>
      </c>
      <c r="C855">
        <v>18</v>
      </c>
    </row>
    <row r="856" spans="1:3" x14ac:dyDescent="0.25">
      <c r="A856" s="1">
        <v>39812</v>
      </c>
      <c r="B856" t="s">
        <v>147</v>
      </c>
      <c r="C856">
        <v>7</v>
      </c>
    </row>
    <row r="857" spans="1:3" x14ac:dyDescent="0.25">
      <c r="A857" s="1">
        <v>39814</v>
      </c>
      <c r="B857" t="s">
        <v>178</v>
      </c>
      <c r="C857">
        <v>2</v>
      </c>
    </row>
    <row r="858" spans="1:3" x14ac:dyDescent="0.25">
      <c r="A858" s="1">
        <v>39815</v>
      </c>
      <c r="B858" t="s">
        <v>37</v>
      </c>
      <c r="C858">
        <v>188</v>
      </c>
    </row>
    <row r="859" spans="1:3" x14ac:dyDescent="0.25">
      <c r="A859" s="1">
        <v>39819</v>
      </c>
      <c r="B859" t="s">
        <v>92</v>
      </c>
      <c r="C859">
        <v>11</v>
      </c>
    </row>
    <row r="860" spans="1:3" x14ac:dyDescent="0.25">
      <c r="A860" s="1">
        <v>39819</v>
      </c>
      <c r="B860" t="s">
        <v>14</v>
      </c>
      <c r="C860">
        <v>129</v>
      </c>
    </row>
    <row r="861" spans="1:3" x14ac:dyDescent="0.25">
      <c r="A861" s="1">
        <v>39819</v>
      </c>
      <c r="B861" t="s">
        <v>61</v>
      </c>
      <c r="C861">
        <v>117</v>
      </c>
    </row>
    <row r="862" spans="1:3" x14ac:dyDescent="0.25">
      <c r="A862" s="1">
        <v>39821</v>
      </c>
      <c r="B862" t="s">
        <v>82</v>
      </c>
      <c r="C862">
        <v>11</v>
      </c>
    </row>
    <row r="863" spans="1:3" x14ac:dyDescent="0.25">
      <c r="A863" s="1">
        <v>39823</v>
      </c>
      <c r="B863" t="s">
        <v>61</v>
      </c>
      <c r="C863">
        <v>186</v>
      </c>
    </row>
    <row r="864" spans="1:3" x14ac:dyDescent="0.25">
      <c r="A864" s="1">
        <v>39824</v>
      </c>
      <c r="B864" t="s">
        <v>18</v>
      </c>
      <c r="C864">
        <v>40</v>
      </c>
    </row>
    <row r="865" spans="1:3" x14ac:dyDescent="0.25">
      <c r="A865" s="1">
        <v>39829</v>
      </c>
      <c r="B865" t="s">
        <v>47</v>
      </c>
      <c r="C865">
        <v>6</v>
      </c>
    </row>
    <row r="866" spans="1:3" x14ac:dyDescent="0.25">
      <c r="A866" s="1">
        <v>39831</v>
      </c>
      <c r="B866" t="s">
        <v>55</v>
      </c>
      <c r="C866">
        <v>153</v>
      </c>
    </row>
    <row r="867" spans="1:3" x14ac:dyDescent="0.25">
      <c r="A867" s="1">
        <v>39832</v>
      </c>
      <c r="B867" t="s">
        <v>45</v>
      </c>
      <c r="C867">
        <v>163</v>
      </c>
    </row>
    <row r="868" spans="1:3" x14ac:dyDescent="0.25">
      <c r="A868" s="1">
        <v>39834</v>
      </c>
      <c r="B868" t="s">
        <v>179</v>
      </c>
      <c r="C868">
        <v>16</v>
      </c>
    </row>
    <row r="869" spans="1:3" x14ac:dyDescent="0.25">
      <c r="A869" s="1">
        <v>39835</v>
      </c>
      <c r="B869" t="s">
        <v>25</v>
      </c>
      <c r="C869">
        <v>161</v>
      </c>
    </row>
    <row r="870" spans="1:3" x14ac:dyDescent="0.25">
      <c r="A870" s="1">
        <v>39836</v>
      </c>
      <c r="B870" t="s">
        <v>180</v>
      </c>
      <c r="C870">
        <v>5</v>
      </c>
    </row>
    <row r="871" spans="1:3" x14ac:dyDescent="0.25">
      <c r="A871" s="1">
        <v>39839</v>
      </c>
      <c r="B871" t="s">
        <v>30</v>
      </c>
      <c r="C871">
        <v>200</v>
      </c>
    </row>
    <row r="872" spans="1:3" x14ac:dyDescent="0.25">
      <c r="A872" s="1">
        <v>39843</v>
      </c>
      <c r="B872" t="s">
        <v>181</v>
      </c>
      <c r="C872">
        <v>11</v>
      </c>
    </row>
    <row r="873" spans="1:3" x14ac:dyDescent="0.25">
      <c r="A873" s="1">
        <v>39847</v>
      </c>
      <c r="B873" t="s">
        <v>96</v>
      </c>
      <c r="C873">
        <v>14</v>
      </c>
    </row>
    <row r="874" spans="1:3" x14ac:dyDescent="0.25">
      <c r="A874" s="1">
        <v>39849</v>
      </c>
      <c r="B874" t="s">
        <v>7</v>
      </c>
      <c r="C874">
        <v>469</v>
      </c>
    </row>
    <row r="875" spans="1:3" x14ac:dyDescent="0.25">
      <c r="A875" s="1">
        <v>39853</v>
      </c>
      <c r="B875" t="s">
        <v>166</v>
      </c>
      <c r="C875">
        <v>11</v>
      </c>
    </row>
    <row r="876" spans="1:3" x14ac:dyDescent="0.25">
      <c r="A876" s="1">
        <v>39853</v>
      </c>
      <c r="B876" t="s">
        <v>14</v>
      </c>
      <c r="C876">
        <v>423</v>
      </c>
    </row>
    <row r="877" spans="1:3" x14ac:dyDescent="0.25">
      <c r="A877" s="1">
        <v>39853</v>
      </c>
      <c r="B877" t="s">
        <v>172</v>
      </c>
      <c r="C877">
        <v>9</v>
      </c>
    </row>
    <row r="878" spans="1:3" x14ac:dyDescent="0.25">
      <c r="A878" s="1">
        <v>39853</v>
      </c>
      <c r="B878" t="s">
        <v>68</v>
      </c>
      <c r="C878">
        <v>3</v>
      </c>
    </row>
    <row r="879" spans="1:3" x14ac:dyDescent="0.25">
      <c r="A879" s="1">
        <v>39854</v>
      </c>
      <c r="B879" t="s">
        <v>22</v>
      </c>
      <c r="C879">
        <v>186</v>
      </c>
    </row>
    <row r="880" spans="1:3" x14ac:dyDescent="0.25">
      <c r="A880" s="1">
        <v>39854</v>
      </c>
      <c r="B880" t="s">
        <v>7</v>
      </c>
      <c r="C880">
        <v>390</v>
      </c>
    </row>
    <row r="881" spans="1:3" x14ac:dyDescent="0.25">
      <c r="A881" s="1">
        <v>39855</v>
      </c>
      <c r="B881" t="s">
        <v>5</v>
      </c>
      <c r="C881">
        <v>445</v>
      </c>
    </row>
    <row r="882" spans="1:3" x14ac:dyDescent="0.25">
      <c r="A882" s="1">
        <v>39856</v>
      </c>
      <c r="B882" t="s">
        <v>50</v>
      </c>
      <c r="C882">
        <v>241</v>
      </c>
    </row>
    <row r="883" spans="1:3" x14ac:dyDescent="0.25">
      <c r="A883" s="1">
        <v>39856</v>
      </c>
      <c r="B883" t="s">
        <v>29</v>
      </c>
      <c r="C883">
        <v>3</v>
      </c>
    </row>
    <row r="884" spans="1:3" x14ac:dyDescent="0.25">
      <c r="A884" s="1">
        <v>39858</v>
      </c>
      <c r="B884" t="s">
        <v>23</v>
      </c>
      <c r="C884">
        <v>50</v>
      </c>
    </row>
    <row r="885" spans="1:3" x14ac:dyDescent="0.25">
      <c r="A885" s="1">
        <v>39859</v>
      </c>
      <c r="B885" t="s">
        <v>24</v>
      </c>
      <c r="C885">
        <v>284</v>
      </c>
    </row>
    <row r="886" spans="1:3" x14ac:dyDescent="0.25">
      <c r="A886" s="1">
        <v>39860</v>
      </c>
      <c r="B886" t="s">
        <v>9</v>
      </c>
      <c r="C886">
        <v>395</v>
      </c>
    </row>
    <row r="887" spans="1:3" x14ac:dyDescent="0.25">
      <c r="A887" s="1">
        <v>39862</v>
      </c>
      <c r="B887" t="s">
        <v>5</v>
      </c>
      <c r="C887">
        <v>290</v>
      </c>
    </row>
    <row r="888" spans="1:3" x14ac:dyDescent="0.25">
      <c r="A888" s="1">
        <v>39863</v>
      </c>
      <c r="B888" t="s">
        <v>22</v>
      </c>
      <c r="C888">
        <v>361</v>
      </c>
    </row>
    <row r="889" spans="1:3" x14ac:dyDescent="0.25">
      <c r="A889" s="1">
        <v>39865</v>
      </c>
      <c r="B889" t="s">
        <v>17</v>
      </c>
      <c r="C889">
        <v>355</v>
      </c>
    </row>
    <row r="890" spans="1:3" x14ac:dyDescent="0.25">
      <c r="A890" s="1">
        <v>39866</v>
      </c>
      <c r="B890" t="s">
        <v>182</v>
      </c>
      <c r="C890">
        <v>19</v>
      </c>
    </row>
    <row r="891" spans="1:3" x14ac:dyDescent="0.25">
      <c r="A891" s="1">
        <v>39868</v>
      </c>
      <c r="B891" t="s">
        <v>52</v>
      </c>
      <c r="C891">
        <v>32</v>
      </c>
    </row>
    <row r="892" spans="1:3" x14ac:dyDescent="0.25">
      <c r="A892" s="1">
        <v>39871</v>
      </c>
      <c r="B892" t="s">
        <v>146</v>
      </c>
      <c r="C892">
        <v>13</v>
      </c>
    </row>
    <row r="893" spans="1:3" x14ac:dyDescent="0.25">
      <c r="A893" s="1">
        <v>39871</v>
      </c>
      <c r="B893" t="s">
        <v>45</v>
      </c>
      <c r="C893">
        <v>156</v>
      </c>
    </row>
    <row r="894" spans="1:3" x14ac:dyDescent="0.25">
      <c r="A894" s="1">
        <v>39873</v>
      </c>
      <c r="B894" t="s">
        <v>183</v>
      </c>
      <c r="C894">
        <v>20</v>
      </c>
    </row>
    <row r="895" spans="1:3" x14ac:dyDescent="0.25">
      <c r="A895" s="1">
        <v>39874</v>
      </c>
      <c r="B895" t="s">
        <v>12</v>
      </c>
      <c r="C895">
        <v>112</v>
      </c>
    </row>
    <row r="896" spans="1:3" x14ac:dyDescent="0.25">
      <c r="A896" s="1">
        <v>39877</v>
      </c>
      <c r="B896" t="s">
        <v>7</v>
      </c>
      <c r="C896">
        <v>110</v>
      </c>
    </row>
    <row r="897" spans="1:3" x14ac:dyDescent="0.25">
      <c r="A897" s="1">
        <v>39878</v>
      </c>
      <c r="B897" t="s">
        <v>184</v>
      </c>
      <c r="C897">
        <v>4</v>
      </c>
    </row>
    <row r="898" spans="1:3" x14ac:dyDescent="0.25">
      <c r="A898" s="1">
        <v>39885</v>
      </c>
      <c r="B898" t="s">
        <v>133</v>
      </c>
      <c r="C898">
        <v>18</v>
      </c>
    </row>
    <row r="899" spans="1:3" x14ac:dyDescent="0.25">
      <c r="A899" s="1">
        <v>39889</v>
      </c>
      <c r="B899" t="s">
        <v>20</v>
      </c>
      <c r="C899">
        <v>60</v>
      </c>
    </row>
    <row r="900" spans="1:3" x14ac:dyDescent="0.25">
      <c r="A900" s="1">
        <v>39889</v>
      </c>
      <c r="B900" t="s">
        <v>88</v>
      </c>
      <c r="C900">
        <v>14</v>
      </c>
    </row>
    <row r="901" spans="1:3" x14ac:dyDescent="0.25">
      <c r="A901" s="1">
        <v>39889</v>
      </c>
      <c r="B901" t="s">
        <v>28</v>
      </c>
      <c r="C901">
        <v>24</v>
      </c>
    </row>
    <row r="902" spans="1:3" x14ac:dyDescent="0.25">
      <c r="A902" s="1">
        <v>39891</v>
      </c>
      <c r="B902" t="s">
        <v>22</v>
      </c>
      <c r="C902">
        <v>145</v>
      </c>
    </row>
    <row r="903" spans="1:3" x14ac:dyDescent="0.25">
      <c r="A903" s="1">
        <v>39891</v>
      </c>
      <c r="B903" t="s">
        <v>50</v>
      </c>
      <c r="C903">
        <v>393</v>
      </c>
    </row>
    <row r="904" spans="1:3" x14ac:dyDescent="0.25">
      <c r="A904" s="1">
        <v>39893</v>
      </c>
      <c r="B904" t="s">
        <v>28</v>
      </c>
      <c r="C904">
        <v>73</v>
      </c>
    </row>
    <row r="905" spans="1:3" x14ac:dyDescent="0.25">
      <c r="A905" s="1">
        <v>39893</v>
      </c>
      <c r="B905" t="s">
        <v>8</v>
      </c>
      <c r="C905">
        <v>136</v>
      </c>
    </row>
    <row r="906" spans="1:3" x14ac:dyDescent="0.25">
      <c r="A906" s="1">
        <v>39894</v>
      </c>
      <c r="B906" t="s">
        <v>45</v>
      </c>
      <c r="C906">
        <v>422</v>
      </c>
    </row>
    <row r="907" spans="1:3" x14ac:dyDescent="0.25">
      <c r="A907" s="1">
        <v>39895</v>
      </c>
      <c r="B907" t="s">
        <v>9</v>
      </c>
      <c r="C907">
        <v>187</v>
      </c>
    </row>
    <row r="908" spans="1:3" x14ac:dyDescent="0.25">
      <c r="A908" s="1">
        <v>39897</v>
      </c>
      <c r="B908" t="s">
        <v>18</v>
      </c>
      <c r="C908">
        <v>58</v>
      </c>
    </row>
    <row r="909" spans="1:3" x14ac:dyDescent="0.25">
      <c r="A909" s="1">
        <v>39898</v>
      </c>
      <c r="B909" t="s">
        <v>45</v>
      </c>
      <c r="C909">
        <v>436</v>
      </c>
    </row>
    <row r="910" spans="1:3" x14ac:dyDescent="0.25">
      <c r="A910" s="1">
        <v>39902</v>
      </c>
      <c r="B910" t="s">
        <v>14</v>
      </c>
      <c r="C910">
        <v>406</v>
      </c>
    </row>
    <row r="911" spans="1:3" x14ac:dyDescent="0.25">
      <c r="A911" s="1">
        <v>39904</v>
      </c>
      <c r="B911" t="s">
        <v>14</v>
      </c>
      <c r="C911">
        <v>108</v>
      </c>
    </row>
    <row r="912" spans="1:3" x14ac:dyDescent="0.25">
      <c r="A912" s="1">
        <v>39905</v>
      </c>
      <c r="B912" t="s">
        <v>142</v>
      </c>
      <c r="C912">
        <v>10</v>
      </c>
    </row>
    <row r="913" spans="1:3" x14ac:dyDescent="0.25">
      <c r="A913" s="1">
        <v>39906</v>
      </c>
      <c r="B913" t="s">
        <v>37</v>
      </c>
      <c r="C913">
        <v>153</v>
      </c>
    </row>
    <row r="914" spans="1:3" x14ac:dyDescent="0.25">
      <c r="A914" s="1">
        <v>39908</v>
      </c>
      <c r="B914" t="s">
        <v>185</v>
      </c>
      <c r="C914">
        <v>3</v>
      </c>
    </row>
    <row r="915" spans="1:3" x14ac:dyDescent="0.25">
      <c r="A915" s="1">
        <v>39909</v>
      </c>
      <c r="B915" t="s">
        <v>31</v>
      </c>
      <c r="C915">
        <v>109</v>
      </c>
    </row>
    <row r="916" spans="1:3" x14ac:dyDescent="0.25">
      <c r="A916" s="1">
        <v>39911</v>
      </c>
      <c r="B916" t="s">
        <v>86</v>
      </c>
      <c r="C916">
        <v>9</v>
      </c>
    </row>
    <row r="917" spans="1:3" x14ac:dyDescent="0.25">
      <c r="A917" s="1">
        <v>39911</v>
      </c>
      <c r="B917" t="s">
        <v>52</v>
      </c>
      <c r="C917">
        <v>112</v>
      </c>
    </row>
    <row r="918" spans="1:3" x14ac:dyDescent="0.25">
      <c r="A918" s="1">
        <v>39916</v>
      </c>
      <c r="B918" t="s">
        <v>19</v>
      </c>
      <c r="C918">
        <v>29</v>
      </c>
    </row>
    <row r="919" spans="1:3" x14ac:dyDescent="0.25">
      <c r="A919" s="1">
        <v>39916</v>
      </c>
      <c r="B919" t="s">
        <v>50</v>
      </c>
      <c r="C919">
        <v>310</v>
      </c>
    </row>
    <row r="920" spans="1:3" x14ac:dyDescent="0.25">
      <c r="A920" s="1">
        <v>39918</v>
      </c>
      <c r="B920" t="s">
        <v>55</v>
      </c>
      <c r="C920">
        <v>107</v>
      </c>
    </row>
    <row r="921" spans="1:3" x14ac:dyDescent="0.25">
      <c r="A921" s="1">
        <v>39921</v>
      </c>
      <c r="B921" t="s">
        <v>8</v>
      </c>
      <c r="C921">
        <v>26</v>
      </c>
    </row>
    <row r="922" spans="1:3" x14ac:dyDescent="0.25">
      <c r="A922" s="1">
        <v>39923</v>
      </c>
      <c r="B922" t="s">
        <v>31</v>
      </c>
      <c r="C922">
        <v>114</v>
      </c>
    </row>
    <row r="923" spans="1:3" x14ac:dyDescent="0.25">
      <c r="A923" s="1">
        <v>39924</v>
      </c>
      <c r="B923" t="s">
        <v>169</v>
      </c>
      <c r="C923">
        <v>4</v>
      </c>
    </row>
    <row r="924" spans="1:3" x14ac:dyDescent="0.25">
      <c r="A924" s="1">
        <v>39925</v>
      </c>
      <c r="B924" t="s">
        <v>186</v>
      </c>
      <c r="C924">
        <v>15</v>
      </c>
    </row>
    <row r="925" spans="1:3" x14ac:dyDescent="0.25">
      <c r="A925" s="1">
        <v>39929</v>
      </c>
      <c r="B925" t="s">
        <v>66</v>
      </c>
      <c r="C925">
        <v>144</v>
      </c>
    </row>
    <row r="926" spans="1:3" x14ac:dyDescent="0.25">
      <c r="A926" s="1">
        <v>39933</v>
      </c>
      <c r="B926" t="s">
        <v>5</v>
      </c>
      <c r="C926">
        <v>110</v>
      </c>
    </row>
    <row r="927" spans="1:3" x14ac:dyDescent="0.25">
      <c r="A927" s="1">
        <v>39933</v>
      </c>
      <c r="B927" t="s">
        <v>37</v>
      </c>
      <c r="C927">
        <v>105</v>
      </c>
    </row>
    <row r="928" spans="1:3" x14ac:dyDescent="0.25">
      <c r="A928" s="1">
        <v>39935</v>
      </c>
      <c r="B928" t="s">
        <v>52</v>
      </c>
      <c r="C928">
        <v>51</v>
      </c>
    </row>
    <row r="929" spans="1:3" x14ac:dyDescent="0.25">
      <c r="A929" s="1">
        <v>39937</v>
      </c>
      <c r="B929" t="s">
        <v>145</v>
      </c>
      <c r="C929">
        <v>1</v>
      </c>
    </row>
    <row r="930" spans="1:3" x14ac:dyDescent="0.25">
      <c r="A930" s="1">
        <v>39937</v>
      </c>
      <c r="B930" t="s">
        <v>152</v>
      </c>
      <c r="C930">
        <v>8</v>
      </c>
    </row>
    <row r="931" spans="1:3" x14ac:dyDescent="0.25">
      <c r="A931" s="1">
        <v>39939</v>
      </c>
      <c r="B931" t="s">
        <v>9</v>
      </c>
      <c r="C931">
        <v>128</v>
      </c>
    </row>
    <row r="932" spans="1:3" x14ac:dyDescent="0.25">
      <c r="A932" s="1">
        <v>39942</v>
      </c>
      <c r="B932" t="s">
        <v>87</v>
      </c>
      <c r="C932">
        <v>9</v>
      </c>
    </row>
    <row r="933" spans="1:3" x14ac:dyDescent="0.25">
      <c r="A933" s="1">
        <v>39948</v>
      </c>
      <c r="B933" t="s">
        <v>9</v>
      </c>
      <c r="C933">
        <v>291</v>
      </c>
    </row>
    <row r="934" spans="1:3" x14ac:dyDescent="0.25">
      <c r="A934" s="1">
        <v>39949</v>
      </c>
      <c r="B934" t="s">
        <v>14</v>
      </c>
      <c r="C934">
        <v>261</v>
      </c>
    </row>
    <row r="935" spans="1:3" x14ac:dyDescent="0.25">
      <c r="A935" s="1">
        <v>39951</v>
      </c>
      <c r="B935" t="s">
        <v>52</v>
      </c>
      <c r="C935">
        <v>192</v>
      </c>
    </row>
    <row r="936" spans="1:3" x14ac:dyDescent="0.25">
      <c r="A936" s="1">
        <v>39951</v>
      </c>
      <c r="B936" t="s">
        <v>7</v>
      </c>
      <c r="C936">
        <v>319</v>
      </c>
    </row>
    <row r="937" spans="1:3" x14ac:dyDescent="0.25">
      <c r="A937" s="1">
        <v>39953</v>
      </c>
      <c r="B937" t="s">
        <v>45</v>
      </c>
      <c r="C937">
        <v>393</v>
      </c>
    </row>
    <row r="938" spans="1:3" x14ac:dyDescent="0.25">
      <c r="A938" s="1">
        <v>39957</v>
      </c>
      <c r="B938" t="s">
        <v>187</v>
      </c>
      <c r="C938">
        <v>13</v>
      </c>
    </row>
    <row r="939" spans="1:3" x14ac:dyDescent="0.25">
      <c r="A939" s="1">
        <v>39958</v>
      </c>
      <c r="B939" t="s">
        <v>50</v>
      </c>
      <c r="C939">
        <v>380</v>
      </c>
    </row>
    <row r="940" spans="1:3" x14ac:dyDescent="0.25">
      <c r="A940" s="1">
        <v>39959</v>
      </c>
      <c r="B940" t="s">
        <v>37</v>
      </c>
      <c r="C940">
        <v>36</v>
      </c>
    </row>
    <row r="941" spans="1:3" x14ac:dyDescent="0.25">
      <c r="A941" s="1">
        <v>39962</v>
      </c>
      <c r="B941" t="s">
        <v>173</v>
      </c>
      <c r="C941">
        <v>179</v>
      </c>
    </row>
    <row r="942" spans="1:3" x14ac:dyDescent="0.25">
      <c r="A942" s="1">
        <v>39964</v>
      </c>
      <c r="B942" t="s">
        <v>28</v>
      </c>
      <c r="C942">
        <v>111</v>
      </c>
    </row>
    <row r="943" spans="1:3" x14ac:dyDescent="0.25">
      <c r="A943" s="1">
        <v>39965</v>
      </c>
      <c r="B943" t="s">
        <v>8</v>
      </c>
      <c r="C943">
        <v>36</v>
      </c>
    </row>
    <row r="944" spans="1:3" x14ac:dyDescent="0.25">
      <c r="A944" s="1">
        <v>39965</v>
      </c>
      <c r="B944" t="s">
        <v>10</v>
      </c>
      <c r="C944">
        <v>120</v>
      </c>
    </row>
    <row r="945" spans="1:3" x14ac:dyDescent="0.25">
      <c r="A945" s="1">
        <v>39969</v>
      </c>
      <c r="B945" t="s">
        <v>188</v>
      </c>
      <c r="C945">
        <v>11</v>
      </c>
    </row>
    <row r="946" spans="1:3" x14ac:dyDescent="0.25">
      <c r="A946" s="1">
        <v>39971</v>
      </c>
      <c r="B946" t="s">
        <v>126</v>
      </c>
      <c r="C946">
        <v>15</v>
      </c>
    </row>
    <row r="947" spans="1:3" x14ac:dyDescent="0.25">
      <c r="A947" s="1">
        <v>39971</v>
      </c>
      <c r="B947" t="s">
        <v>43</v>
      </c>
      <c r="C947">
        <v>4</v>
      </c>
    </row>
    <row r="948" spans="1:3" x14ac:dyDescent="0.25">
      <c r="A948" s="1">
        <v>39974</v>
      </c>
      <c r="B948" t="s">
        <v>115</v>
      </c>
      <c r="C948">
        <v>11</v>
      </c>
    </row>
    <row r="949" spans="1:3" x14ac:dyDescent="0.25">
      <c r="A949" s="1">
        <v>39977</v>
      </c>
      <c r="B949" t="s">
        <v>189</v>
      </c>
      <c r="C949">
        <v>9</v>
      </c>
    </row>
    <row r="950" spans="1:3" x14ac:dyDescent="0.25">
      <c r="A950" s="1">
        <v>39978</v>
      </c>
      <c r="B950" t="s">
        <v>50</v>
      </c>
      <c r="C950">
        <v>498</v>
      </c>
    </row>
    <row r="951" spans="1:3" x14ac:dyDescent="0.25">
      <c r="A951" s="1">
        <v>39980</v>
      </c>
      <c r="B951" t="s">
        <v>45</v>
      </c>
      <c r="C951">
        <v>350</v>
      </c>
    </row>
    <row r="952" spans="1:3" x14ac:dyDescent="0.25">
      <c r="A952" s="1">
        <v>39980</v>
      </c>
      <c r="B952" t="s">
        <v>8</v>
      </c>
      <c r="C952">
        <v>191</v>
      </c>
    </row>
    <row r="953" spans="1:3" x14ac:dyDescent="0.25">
      <c r="A953" s="1">
        <v>39980</v>
      </c>
      <c r="B953" t="s">
        <v>9</v>
      </c>
      <c r="C953">
        <v>402</v>
      </c>
    </row>
    <row r="954" spans="1:3" x14ac:dyDescent="0.25">
      <c r="A954" s="1">
        <v>39984</v>
      </c>
      <c r="B954" t="s">
        <v>69</v>
      </c>
      <c r="C954">
        <v>140</v>
      </c>
    </row>
    <row r="955" spans="1:3" x14ac:dyDescent="0.25">
      <c r="A955" s="1">
        <v>39985</v>
      </c>
      <c r="B955" t="s">
        <v>190</v>
      </c>
      <c r="C955">
        <v>3</v>
      </c>
    </row>
    <row r="956" spans="1:3" x14ac:dyDescent="0.25">
      <c r="A956" s="1">
        <v>39987</v>
      </c>
      <c r="B956" t="s">
        <v>52</v>
      </c>
      <c r="C956">
        <v>25</v>
      </c>
    </row>
    <row r="957" spans="1:3" x14ac:dyDescent="0.25">
      <c r="A957" s="1">
        <v>39992</v>
      </c>
      <c r="B957" t="s">
        <v>191</v>
      </c>
      <c r="C957">
        <v>7</v>
      </c>
    </row>
    <row r="958" spans="1:3" x14ac:dyDescent="0.25">
      <c r="A958" s="1">
        <v>39994</v>
      </c>
      <c r="B958" t="s">
        <v>192</v>
      </c>
      <c r="C958">
        <v>17</v>
      </c>
    </row>
    <row r="959" spans="1:3" x14ac:dyDescent="0.25">
      <c r="A959" s="1">
        <v>39994</v>
      </c>
      <c r="B959" t="s">
        <v>9</v>
      </c>
      <c r="C959">
        <v>479</v>
      </c>
    </row>
    <row r="960" spans="1:3" x14ac:dyDescent="0.25">
      <c r="A960" s="1">
        <v>39994</v>
      </c>
      <c r="B960" t="s">
        <v>193</v>
      </c>
      <c r="C960">
        <v>6</v>
      </c>
    </row>
    <row r="961" spans="1:3" x14ac:dyDescent="0.25">
      <c r="A961" s="1">
        <v>39994</v>
      </c>
      <c r="B961" t="s">
        <v>16</v>
      </c>
      <c r="C961">
        <v>10</v>
      </c>
    </row>
    <row r="962" spans="1:3" x14ac:dyDescent="0.25">
      <c r="A962" s="1">
        <v>39995</v>
      </c>
      <c r="B962" t="s">
        <v>29</v>
      </c>
      <c r="C962">
        <v>2</v>
      </c>
    </row>
    <row r="963" spans="1:3" x14ac:dyDescent="0.25">
      <c r="A963" s="1">
        <v>39997</v>
      </c>
      <c r="B963" t="s">
        <v>194</v>
      </c>
      <c r="C963">
        <v>13</v>
      </c>
    </row>
    <row r="964" spans="1:3" x14ac:dyDescent="0.25">
      <c r="A964" s="1">
        <v>40000</v>
      </c>
      <c r="B964" t="s">
        <v>183</v>
      </c>
      <c r="C964">
        <v>12</v>
      </c>
    </row>
    <row r="965" spans="1:3" x14ac:dyDescent="0.25">
      <c r="A965" s="1">
        <v>40000</v>
      </c>
      <c r="B965" t="s">
        <v>5</v>
      </c>
      <c r="C965">
        <v>191</v>
      </c>
    </row>
    <row r="966" spans="1:3" x14ac:dyDescent="0.25">
      <c r="A966" s="1">
        <v>40000</v>
      </c>
      <c r="B966" t="s">
        <v>10</v>
      </c>
      <c r="C966">
        <v>123</v>
      </c>
    </row>
    <row r="967" spans="1:3" x14ac:dyDescent="0.25">
      <c r="A967" s="1">
        <v>40001</v>
      </c>
      <c r="B967" t="s">
        <v>18</v>
      </c>
      <c r="C967">
        <v>66</v>
      </c>
    </row>
    <row r="968" spans="1:3" x14ac:dyDescent="0.25">
      <c r="A968" s="1">
        <v>40002</v>
      </c>
      <c r="B968" t="s">
        <v>61</v>
      </c>
      <c r="C968">
        <v>132</v>
      </c>
    </row>
    <row r="969" spans="1:3" x14ac:dyDescent="0.25">
      <c r="A969" s="1">
        <v>40006</v>
      </c>
      <c r="B969" t="s">
        <v>195</v>
      </c>
      <c r="C969">
        <v>9</v>
      </c>
    </row>
    <row r="970" spans="1:3" x14ac:dyDescent="0.25">
      <c r="A970" s="1">
        <v>40006</v>
      </c>
      <c r="B970" t="s">
        <v>78</v>
      </c>
      <c r="C970">
        <v>111</v>
      </c>
    </row>
    <row r="971" spans="1:3" x14ac:dyDescent="0.25">
      <c r="A971" s="1">
        <v>40007</v>
      </c>
      <c r="B971" t="s">
        <v>19</v>
      </c>
      <c r="C971">
        <v>163</v>
      </c>
    </row>
    <row r="972" spans="1:3" x14ac:dyDescent="0.25">
      <c r="A972" s="1">
        <v>40007</v>
      </c>
      <c r="B972" t="s">
        <v>155</v>
      </c>
      <c r="C972">
        <v>4</v>
      </c>
    </row>
    <row r="973" spans="1:3" x14ac:dyDescent="0.25">
      <c r="A973" s="1">
        <v>40009</v>
      </c>
      <c r="B973" t="s">
        <v>145</v>
      </c>
      <c r="C973">
        <v>10</v>
      </c>
    </row>
    <row r="974" spans="1:3" x14ac:dyDescent="0.25">
      <c r="A974" s="1">
        <v>40010</v>
      </c>
      <c r="B974" t="s">
        <v>9</v>
      </c>
      <c r="C974">
        <v>457</v>
      </c>
    </row>
    <row r="975" spans="1:3" x14ac:dyDescent="0.25">
      <c r="A975" s="1">
        <v>40012</v>
      </c>
      <c r="B975" t="s">
        <v>50</v>
      </c>
      <c r="C975">
        <v>260</v>
      </c>
    </row>
    <row r="976" spans="1:3" x14ac:dyDescent="0.25">
      <c r="A976" s="1">
        <v>40013</v>
      </c>
      <c r="B976" t="s">
        <v>120</v>
      </c>
      <c r="C976">
        <v>181</v>
      </c>
    </row>
    <row r="977" spans="1:3" x14ac:dyDescent="0.25">
      <c r="A977" s="1">
        <v>40014</v>
      </c>
      <c r="B977" t="s">
        <v>50</v>
      </c>
      <c r="C977">
        <v>144</v>
      </c>
    </row>
    <row r="978" spans="1:3" x14ac:dyDescent="0.25">
      <c r="A978" s="1">
        <v>40015</v>
      </c>
      <c r="B978" t="s">
        <v>22</v>
      </c>
      <c r="C978">
        <v>246</v>
      </c>
    </row>
    <row r="979" spans="1:3" x14ac:dyDescent="0.25">
      <c r="A979" s="1">
        <v>40017</v>
      </c>
      <c r="B979" t="s">
        <v>196</v>
      </c>
      <c r="C979">
        <v>10</v>
      </c>
    </row>
    <row r="980" spans="1:3" x14ac:dyDescent="0.25">
      <c r="A980" s="1">
        <v>40019</v>
      </c>
      <c r="B980" t="s">
        <v>26</v>
      </c>
      <c r="C980">
        <v>148</v>
      </c>
    </row>
    <row r="981" spans="1:3" x14ac:dyDescent="0.25">
      <c r="A981" s="1">
        <v>40021</v>
      </c>
      <c r="B981" t="s">
        <v>35</v>
      </c>
      <c r="C981">
        <v>24</v>
      </c>
    </row>
    <row r="982" spans="1:3" x14ac:dyDescent="0.25">
      <c r="A982" s="1">
        <v>40024</v>
      </c>
      <c r="B982" t="s">
        <v>25</v>
      </c>
      <c r="C982">
        <v>66</v>
      </c>
    </row>
    <row r="983" spans="1:3" x14ac:dyDescent="0.25">
      <c r="A983" s="1">
        <v>40027</v>
      </c>
      <c r="B983" t="s">
        <v>45</v>
      </c>
      <c r="C983">
        <v>333</v>
      </c>
    </row>
    <row r="984" spans="1:3" x14ac:dyDescent="0.25">
      <c r="A984" s="1">
        <v>40027</v>
      </c>
      <c r="B984" t="s">
        <v>37</v>
      </c>
      <c r="C984">
        <v>194</v>
      </c>
    </row>
    <row r="985" spans="1:3" x14ac:dyDescent="0.25">
      <c r="A985" s="1">
        <v>40031</v>
      </c>
      <c r="B985" t="s">
        <v>18</v>
      </c>
      <c r="C985">
        <v>154</v>
      </c>
    </row>
    <row r="986" spans="1:3" x14ac:dyDescent="0.25">
      <c r="A986" s="1">
        <v>40031</v>
      </c>
      <c r="B986" t="s">
        <v>55</v>
      </c>
      <c r="C986">
        <v>100</v>
      </c>
    </row>
    <row r="987" spans="1:3" x14ac:dyDescent="0.25">
      <c r="A987" s="1">
        <v>40031</v>
      </c>
      <c r="B987" t="s">
        <v>1</v>
      </c>
      <c r="C987">
        <v>18</v>
      </c>
    </row>
    <row r="988" spans="1:3" x14ac:dyDescent="0.25">
      <c r="A988" s="1">
        <v>40031</v>
      </c>
      <c r="B988" t="s">
        <v>170</v>
      </c>
      <c r="C988">
        <v>20</v>
      </c>
    </row>
    <row r="989" spans="1:3" x14ac:dyDescent="0.25">
      <c r="A989" s="1">
        <v>40033</v>
      </c>
      <c r="B989" t="s">
        <v>55</v>
      </c>
      <c r="C989">
        <v>200</v>
      </c>
    </row>
    <row r="990" spans="1:3" x14ac:dyDescent="0.25">
      <c r="A990" s="1">
        <v>40034</v>
      </c>
      <c r="B990" t="s">
        <v>18</v>
      </c>
      <c r="C990">
        <v>48</v>
      </c>
    </row>
    <row r="991" spans="1:3" x14ac:dyDescent="0.25">
      <c r="A991" s="1">
        <v>40034</v>
      </c>
      <c r="B991" t="s">
        <v>61</v>
      </c>
      <c r="C991">
        <v>68</v>
      </c>
    </row>
    <row r="992" spans="1:3" x14ac:dyDescent="0.25">
      <c r="A992" s="1">
        <v>40035</v>
      </c>
      <c r="B992" t="s">
        <v>174</v>
      </c>
      <c r="C992">
        <v>9</v>
      </c>
    </row>
    <row r="993" spans="1:3" x14ac:dyDescent="0.25">
      <c r="A993" s="1">
        <v>40039</v>
      </c>
      <c r="B993" t="s">
        <v>50</v>
      </c>
      <c r="C993">
        <v>493</v>
      </c>
    </row>
    <row r="994" spans="1:3" x14ac:dyDescent="0.25">
      <c r="A994" s="1">
        <v>40039</v>
      </c>
      <c r="B994" t="s">
        <v>14</v>
      </c>
      <c r="C994">
        <v>340</v>
      </c>
    </row>
    <row r="995" spans="1:3" x14ac:dyDescent="0.25">
      <c r="A995" s="1">
        <v>40041</v>
      </c>
      <c r="B995" t="s">
        <v>174</v>
      </c>
      <c r="C995">
        <v>2</v>
      </c>
    </row>
    <row r="996" spans="1:3" x14ac:dyDescent="0.25">
      <c r="A996" s="1">
        <v>40044</v>
      </c>
      <c r="B996" t="s">
        <v>28</v>
      </c>
      <c r="C996">
        <v>62</v>
      </c>
    </row>
    <row r="997" spans="1:3" x14ac:dyDescent="0.25">
      <c r="A997" s="1">
        <v>40044</v>
      </c>
      <c r="B997" t="s">
        <v>22</v>
      </c>
      <c r="C997">
        <v>164</v>
      </c>
    </row>
    <row r="998" spans="1:3" x14ac:dyDescent="0.25">
      <c r="A998" s="1">
        <v>40045</v>
      </c>
      <c r="B998" t="s">
        <v>28</v>
      </c>
      <c r="C998">
        <v>170</v>
      </c>
    </row>
    <row r="999" spans="1:3" x14ac:dyDescent="0.25">
      <c r="A999" s="1">
        <v>40047</v>
      </c>
      <c r="B999" t="s">
        <v>71</v>
      </c>
      <c r="C999">
        <v>164</v>
      </c>
    </row>
    <row r="1000" spans="1:3" x14ac:dyDescent="0.25">
      <c r="A1000" s="1">
        <v>40049</v>
      </c>
      <c r="B1000" t="s">
        <v>6</v>
      </c>
      <c r="C1000">
        <v>70</v>
      </c>
    </row>
    <row r="1001" spans="1:3" x14ac:dyDescent="0.25">
      <c r="A1001" s="1">
        <v>40056</v>
      </c>
      <c r="B1001" t="s">
        <v>50</v>
      </c>
      <c r="C1001">
        <v>133</v>
      </c>
    </row>
    <row r="1002" spans="1:3" x14ac:dyDescent="0.25">
      <c r="A1002" s="1">
        <v>40057</v>
      </c>
      <c r="B1002" t="s">
        <v>197</v>
      </c>
      <c r="C1002">
        <v>20</v>
      </c>
    </row>
    <row r="1003" spans="1:3" x14ac:dyDescent="0.25">
      <c r="A1003" s="1">
        <v>40059</v>
      </c>
      <c r="B1003" t="s">
        <v>198</v>
      </c>
      <c r="C1003">
        <v>15</v>
      </c>
    </row>
    <row r="1004" spans="1:3" x14ac:dyDescent="0.25">
      <c r="A1004" s="1">
        <v>40060</v>
      </c>
      <c r="B1004" t="s">
        <v>199</v>
      </c>
      <c r="C1004">
        <v>15</v>
      </c>
    </row>
    <row r="1005" spans="1:3" x14ac:dyDescent="0.25">
      <c r="A1005" s="1">
        <v>40061</v>
      </c>
      <c r="B1005" t="s">
        <v>58</v>
      </c>
      <c r="C1005">
        <v>105</v>
      </c>
    </row>
    <row r="1006" spans="1:3" x14ac:dyDescent="0.25">
      <c r="A1006" s="1">
        <v>40065</v>
      </c>
      <c r="B1006" t="s">
        <v>31</v>
      </c>
      <c r="C1006">
        <v>192</v>
      </c>
    </row>
    <row r="1007" spans="1:3" x14ac:dyDescent="0.25">
      <c r="A1007" s="1">
        <v>40065</v>
      </c>
      <c r="B1007" t="s">
        <v>80</v>
      </c>
      <c r="C1007">
        <v>142</v>
      </c>
    </row>
    <row r="1008" spans="1:3" x14ac:dyDescent="0.25">
      <c r="A1008" s="1">
        <v>40066</v>
      </c>
      <c r="B1008" t="s">
        <v>106</v>
      </c>
      <c r="C1008">
        <v>3</v>
      </c>
    </row>
    <row r="1009" spans="1:3" x14ac:dyDescent="0.25">
      <c r="A1009" s="1">
        <v>40066</v>
      </c>
      <c r="B1009" t="s">
        <v>17</v>
      </c>
      <c r="C1009">
        <v>219</v>
      </c>
    </row>
    <row r="1010" spans="1:3" x14ac:dyDescent="0.25">
      <c r="A1010" s="1">
        <v>40070</v>
      </c>
      <c r="B1010" t="s">
        <v>30</v>
      </c>
      <c r="C1010">
        <v>137</v>
      </c>
    </row>
    <row r="1011" spans="1:3" x14ac:dyDescent="0.25">
      <c r="A1011" s="1">
        <v>40071</v>
      </c>
      <c r="B1011" t="s">
        <v>20</v>
      </c>
      <c r="C1011">
        <v>108</v>
      </c>
    </row>
    <row r="1012" spans="1:3" x14ac:dyDescent="0.25">
      <c r="A1012" s="1">
        <v>40072</v>
      </c>
      <c r="B1012" t="s">
        <v>102</v>
      </c>
      <c r="C1012">
        <v>395</v>
      </c>
    </row>
    <row r="1013" spans="1:3" x14ac:dyDescent="0.25">
      <c r="A1013" s="1">
        <v>40073</v>
      </c>
      <c r="B1013" t="s">
        <v>200</v>
      </c>
      <c r="C1013">
        <v>3</v>
      </c>
    </row>
    <row r="1014" spans="1:3" x14ac:dyDescent="0.25">
      <c r="A1014" s="1">
        <v>40075</v>
      </c>
      <c r="B1014" t="s">
        <v>6</v>
      </c>
      <c r="C1014">
        <v>73</v>
      </c>
    </row>
    <row r="1015" spans="1:3" x14ac:dyDescent="0.25">
      <c r="A1015" s="1">
        <v>40075</v>
      </c>
      <c r="B1015" t="s">
        <v>45</v>
      </c>
      <c r="C1015">
        <v>209</v>
      </c>
    </row>
    <row r="1016" spans="1:3" x14ac:dyDescent="0.25">
      <c r="A1016" s="1">
        <v>40077</v>
      </c>
      <c r="B1016" t="s">
        <v>37</v>
      </c>
      <c r="C1016">
        <v>41</v>
      </c>
    </row>
    <row r="1017" spans="1:3" x14ac:dyDescent="0.25">
      <c r="A1017" s="1">
        <v>40083</v>
      </c>
      <c r="B1017" t="s">
        <v>17</v>
      </c>
      <c r="C1017">
        <v>488</v>
      </c>
    </row>
    <row r="1018" spans="1:3" x14ac:dyDescent="0.25">
      <c r="A1018" s="1">
        <v>40084</v>
      </c>
      <c r="B1018" t="s">
        <v>97</v>
      </c>
      <c r="C1018">
        <v>5</v>
      </c>
    </row>
    <row r="1019" spans="1:3" x14ac:dyDescent="0.25">
      <c r="A1019" s="1">
        <v>40084</v>
      </c>
      <c r="B1019" t="s">
        <v>69</v>
      </c>
      <c r="C1019">
        <v>97</v>
      </c>
    </row>
    <row r="1020" spans="1:3" x14ac:dyDescent="0.25">
      <c r="A1020" s="1">
        <v>40085</v>
      </c>
      <c r="B1020" t="s">
        <v>8</v>
      </c>
      <c r="C1020">
        <v>58</v>
      </c>
    </row>
    <row r="1021" spans="1:3" x14ac:dyDescent="0.25">
      <c r="A1021" s="1">
        <v>40085</v>
      </c>
      <c r="B1021" t="s">
        <v>55</v>
      </c>
      <c r="C1021">
        <v>179</v>
      </c>
    </row>
    <row r="1022" spans="1:3" x14ac:dyDescent="0.25">
      <c r="A1022" s="1">
        <v>40087</v>
      </c>
      <c r="B1022" t="s">
        <v>38</v>
      </c>
      <c r="C1022">
        <v>18</v>
      </c>
    </row>
    <row r="1023" spans="1:3" x14ac:dyDescent="0.25">
      <c r="A1023" s="1">
        <v>40088</v>
      </c>
      <c r="B1023" t="s">
        <v>51</v>
      </c>
      <c r="C1023">
        <v>4</v>
      </c>
    </row>
    <row r="1024" spans="1:3" x14ac:dyDescent="0.25">
      <c r="A1024" s="1">
        <v>40088</v>
      </c>
      <c r="B1024" t="s">
        <v>33</v>
      </c>
      <c r="C1024">
        <v>1</v>
      </c>
    </row>
    <row r="1025" spans="1:3" x14ac:dyDescent="0.25">
      <c r="A1025" s="1">
        <v>40089</v>
      </c>
      <c r="B1025" t="s">
        <v>31</v>
      </c>
      <c r="C1025">
        <v>86</v>
      </c>
    </row>
    <row r="1026" spans="1:3" x14ac:dyDescent="0.25">
      <c r="A1026" s="1">
        <v>40090</v>
      </c>
      <c r="B1026" t="s">
        <v>14</v>
      </c>
      <c r="C1026">
        <v>290</v>
      </c>
    </row>
    <row r="1027" spans="1:3" x14ac:dyDescent="0.25">
      <c r="A1027" s="1">
        <v>40092</v>
      </c>
      <c r="B1027" t="s">
        <v>184</v>
      </c>
      <c r="C1027">
        <v>14</v>
      </c>
    </row>
    <row r="1028" spans="1:3" x14ac:dyDescent="0.25">
      <c r="A1028" s="1">
        <v>40094</v>
      </c>
      <c r="B1028" t="s">
        <v>39</v>
      </c>
      <c r="C1028">
        <v>120</v>
      </c>
    </row>
    <row r="1029" spans="1:3" x14ac:dyDescent="0.25">
      <c r="A1029" s="1">
        <v>40094</v>
      </c>
      <c r="B1029" t="s">
        <v>123</v>
      </c>
      <c r="C1029">
        <v>28</v>
      </c>
    </row>
    <row r="1030" spans="1:3" x14ac:dyDescent="0.25">
      <c r="A1030" s="1">
        <v>40095</v>
      </c>
      <c r="B1030" t="s">
        <v>9</v>
      </c>
      <c r="C1030">
        <v>213</v>
      </c>
    </row>
    <row r="1031" spans="1:3" x14ac:dyDescent="0.25">
      <c r="A1031" s="1">
        <v>40101</v>
      </c>
      <c r="B1031" t="s">
        <v>108</v>
      </c>
      <c r="C1031">
        <v>10</v>
      </c>
    </row>
    <row r="1032" spans="1:3" x14ac:dyDescent="0.25">
      <c r="A1032" s="1">
        <v>40102</v>
      </c>
      <c r="B1032" t="s">
        <v>69</v>
      </c>
      <c r="C1032">
        <v>53</v>
      </c>
    </row>
    <row r="1033" spans="1:3" x14ac:dyDescent="0.25">
      <c r="A1033" s="1">
        <v>40103</v>
      </c>
      <c r="B1033" t="s">
        <v>30</v>
      </c>
      <c r="C1033">
        <v>178</v>
      </c>
    </row>
    <row r="1034" spans="1:3" x14ac:dyDescent="0.25">
      <c r="A1034" s="1">
        <v>40103</v>
      </c>
      <c r="B1034" t="s">
        <v>74</v>
      </c>
      <c r="C1034">
        <v>6</v>
      </c>
    </row>
    <row r="1035" spans="1:3" x14ac:dyDescent="0.25">
      <c r="A1035" s="1">
        <v>40107</v>
      </c>
      <c r="B1035" t="s">
        <v>9</v>
      </c>
      <c r="C1035">
        <v>118</v>
      </c>
    </row>
    <row r="1036" spans="1:3" x14ac:dyDescent="0.25">
      <c r="A1036" s="1">
        <v>40107</v>
      </c>
      <c r="B1036" t="s">
        <v>70</v>
      </c>
      <c r="C1036">
        <v>5</v>
      </c>
    </row>
    <row r="1037" spans="1:3" x14ac:dyDescent="0.25">
      <c r="A1037" s="1">
        <v>40108</v>
      </c>
      <c r="B1037" t="s">
        <v>18</v>
      </c>
      <c r="C1037">
        <v>89</v>
      </c>
    </row>
    <row r="1038" spans="1:3" x14ac:dyDescent="0.25">
      <c r="A1038" s="1">
        <v>40113</v>
      </c>
      <c r="B1038" t="s">
        <v>35</v>
      </c>
      <c r="C1038">
        <v>22</v>
      </c>
    </row>
    <row r="1039" spans="1:3" x14ac:dyDescent="0.25">
      <c r="A1039" s="1">
        <v>40114</v>
      </c>
      <c r="B1039" t="s">
        <v>18</v>
      </c>
      <c r="C1039">
        <v>199</v>
      </c>
    </row>
    <row r="1040" spans="1:3" x14ac:dyDescent="0.25">
      <c r="A1040" s="1">
        <v>40120</v>
      </c>
      <c r="B1040" t="s">
        <v>109</v>
      </c>
      <c r="C1040">
        <v>8</v>
      </c>
    </row>
    <row r="1041" spans="1:3" x14ac:dyDescent="0.25">
      <c r="A1041" s="1">
        <v>40120</v>
      </c>
      <c r="B1041" t="s">
        <v>18</v>
      </c>
      <c r="C1041">
        <v>198</v>
      </c>
    </row>
    <row r="1042" spans="1:3" x14ac:dyDescent="0.25">
      <c r="A1042" s="1">
        <v>40121</v>
      </c>
      <c r="B1042" t="s">
        <v>95</v>
      </c>
      <c r="C1042">
        <v>6</v>
      </c>
    </row>
    <row r="1043" spans="1:3" x14ac:dyDescent="0.25">
      <c r="A1043" s="1">
        <v>40121</v>
      </c>
      <c r="B1043" t="s">
        <v>23</v>
      </c>
      <c r="C1043">
        <v>68</v>
      </c>
    </row>
    <row r="1044" spans="1:3" x14ac:dyDescent="0.25">
      <c r="A1044" s="1">
        <v>40121</v>
      </c>
      <c r="B1044" t="s">
        <v>102</v>
      </c>
      <c r="C1044">
        <v>200</v>
      </c>
    </row>
    <row r="1045" spans="1:3" x14ac:dyDescent="0.25">
      <c r="A1045" s="1">
        <v>40122</v>
      </c>
      <c r="B1045" t="s">
        <v>5</v>
      </c>
      <c r="C1045">
        <v>426</v>
      </c>
    </row>
    <row r="1046" spans="1:3" x14ac:dyDescent="0.25">
      <c r="A1046" s="1">
        <v>40122</v>
      </c>
      <c r="B1046" t="s">
        <v>78</v>
      </c>
      <c r="C1046">
        <v>142</v>
      </c>
    </row>
    <row r="1047" spans="1:3" x14ac:dyDescent="0.25">
      <c r="A1047" s="1">
        <v>40122</v>
      </c>
      <c r="B1047" t="s">
        <v>7</v>
      </c>
      <c r="C1047">
        <v>298</v>
      </c>
    </row>
    <row r="1048" spans="1:3" x14ac:dyDescent="0.25">
      <c r="A1048" s="1">
        <v>40124</v>
      </c>
      <c r="B1048" t="s">
        <v>17</v>
      </c>
      <c r="C1048">
        <v>224</v>
      </c>
    </row>
    <row r="1049" spans="1:3" x14ac:dyDescent="0.25">
      <c r="A1049" s="1">
        <v>40126</v>
      </c>
      <c r="B1049" t="s">
        <v>5</v>
      </c>
      <c r="C1049">
        <v>133</v>
      </c>
    </row>
    <row r="1050" spans="1:3" x14ac:dyDescent="0.25">
      <c r="A1050" s="1">
        <v>40128</v>
      </c>
      <c r="B1050" t="s">
        <v>45</v>
      </c>
      <c r="C1050">
        <v>326</v>
      </c>
    </row>
    <row r="1051" spans="1:3" x14ac:dyDescent="0.25">
      <c r="A1051" s="1">
        <v>40128</v>
      </c>
      <c r="B1051" t="s">
        <v>120</v>
      </c>
      <c r="C1051">
        <v>102</v>
      </c>
    </row>
    <row r="1052" spans="1:3" x14ac:dyDescent="0.25">
      <c r="A1052" s="1">
        <v>40129</v>
      </c>
      <c r="B1052" t="s">
        <v>7</v>
      </c>
      <c r="C1052">
        <v>332</v>
      </c>
    </row>
    <row r="1053" spans="1:3" x14ac:dyDescent="0.25">
      <c r="A1053" s="1">
        <v>40130</v>
      </c>
      <c r="B1053" t="s">
        <v>19</v>
      </c>
      <c r="C1053">
        <v>95</v>
      </c>
    </row>
    <row r="1054" spans="1:3" x14ac:dyDescent="0.25">
      <c r="A1054" s="1">
        <v>40134</v>
      </c>
      <c r="B1054" t="s">
        <v>136</v>
      </c>
      <c r="C1054">
        <v>7</v>
      </c>
    </row>
    <row r="1055" spans="1:3" x14ac:dyDescent="0.25">
      <c r="A1055" s="1">
        <v>40134</v>
      </c>
      <c r="B1055" t="s">
        <v>14</v>
      </c>
      <c r="C1055">
        <v>276</v>
      </c>
    </row>
    <row r="1056" spans="1:3" x14ac:dyDescent="0.25">
      <c r="A1056" s="1">
        <v>40134</v>
      </c>
      <c r="B1056" t="s">
        <v>139</v>
      </c>
      <c r="C1056">
        <v>6</v>
      </c>
    </row>
    <row r="1057" spans="1:3" x14ac:dyDescent="0.25">
      <c r="A1057" s="1">
        <v>40136</v>
      </c>
      <c r="B1057" t="s">
        <v>45</v>
      </c>
      <c r="C1057">
        <v>232</v>
      </c>
    </row>
    <row r="1058" spans="1:3" x14ac:dyDescent="0.25">
      <c r="A1058" s="1">
        <v>40136</v>
      </c>
      <c r="B1058" t="s">
        <v>66</v>
      </c>
      <c r="C1058">
        <v>162</v>
      </c>
    </row>
    <row r="1059" spans="1:3" x14ac:dyDescent="0.25">
      <c r="A1059" s="1">
        <v>40139</v>
      </c>
      <c r="B1059" t="s">
        <v>10</v>
      </c>
      <c r="C1059">
        <v>66</v>
      </c>
    </row>
    <row r="1060" spans="1:3" x14ac:dyDescent="0.25">
      <c r="A1060" s="1">
        <v>40139</v>
      </c>
      <c r="B1060" t="s">
        <v>157</v>
      </c>
      <c r="C1060">
        <v>2</v>
      </c>
    </row>
    <row r="1061" spans="1:3" x14ac:dyDescent="0.25">
      <c r="A1061" s="1">
        <v>40139</v>
      </c>
      <c r="B1061" t="s">
        <v>12</v>
      </c>
      <c r="C1061">
        <v>152</v>
      </c>
    </row>
    <row r="1062" spans="1:3" x14ac:dyDescent="0.25">
      <c r="A1062" s="1">
        <v>40139</v>
      </c>
      <c r="B1062" t="s">
        <v>201</v>
      </c>
      <c r="C1062">
        <v>2</v>
      </c>
    </row>
    <row r="1063" spans="1:3" x14ac:dyDescent="0.25">
      <c r="A1063" s="1">
        <v>40142</v>
      </c>
      <c r="B1063" t="s">
        <v>20</v>
      </c>
      <c r="C1063">
        <v>115</v>
      </c>
    </row>
    <row r="1064" spans="1:3" x14ac:dyDescent="0.25">
      <c r="A1064" s="1">
        <v>40142</v>
      </c>
      <c r="B1064" t="s">
        <v>37</v>
      </c>
      <c r="C1064">
        <v>29</v>
      </c>
    </row>
    <row r="1065" spans="1:3" x14ac:dyDescent="0.25">
      <c r="A1065" s="1">
        <v>40142</v>
      </c>
      <c r="B1065" t="s">
        <v>35</v>
      </c>
      <c r="C1065">
        <v>91</v>
      </c>
    </row>
    <row r="1066" spans="1:3" x14ac:dyDescent="0.25">
      <c r="A1066" s="1">
        <v>40144</v>
      </c>
      <c r="B1066" t="s">
        <v>19</v>
      </c>
      <c r="C1066">
        <v>125</v>
      </c>
    </row>
    <row r="1067" spans="1:3" x14ac:dyDescent="0.25">
      <c r="A1067" s="1">
        <v>40146</v>
      </c>
      <c r="B1067" t="s">
        <v>61</v>
      </c>
      <c r="C1067">
        <v>40</v>
      </c>
    </row>
    <row r="1068" spans="1:3" x14ac:dyDescent="0.25">
      <c r="A1068" s="1">
        <v>40146</v>
      </c>
      <c r="B1068" t="s">
        <v>9</v>
      </c>
      <c r="C1068">
        <v>279</v>
      </c>
    </row>
    <row r="1069" spans="1:3" x14ac:dyDescent="0.25">
      <c r="A1069" s="1">
        <v>40147</v>
      </c>
      <c r="B1069" t="s">
        <v>11</v>
      </c>
      <c r="C1069">
        <v>8</v>
      </c>
    </row>
    <row r="1070" spans="1:3" x14ac:dyDescent="0.25">
      <c r="A1070" s="1">
        <v>40151</v>
      </c>
      <c r="B1070" t="s">
        <v>71</v>
      </c>
      <c r="C1070">
        <v>194</v>
      </c>
    </row>
    <row r="1071" spans="1:3" x14ac:dyDescent="0.25">
      <c r="A1071" s="1">
        <v>40152</v>
      </c>
      <c r="B1071" t="s">
        <v>6</v>
      </c>
      <c r="C1071">
        <v>168</v>
      </c>
    </row>
    <row r="1072" spans="1:3" x14ac:dyDescent="0.25">
      <c r="A1072" s="1">
        <v>40153</v>
      </c>
      <c r="B1072" t="s">
        <v>14</v>
      </c>
      <c r="C1072">
        <v>211</v>
      </c>
    </row>
    <row r="1073" spans="1:3" x14ac:dyDescent="0.25">
      <c r="A1073" s="1">
        <v>40153</v>
      </c>
      <c r="B1073" t="s">
        <v>155</v>
      </c>
      <c r="C1073">
        <v>19</v>
      </c>
    </row>
    <row r="1074" spans="1:3" x14ac:dyDescent="0.25">
      <c r="A1074" s="1">
        <v>40155</v>
      </c>
      <c r="B1074" t="s">
        <v>153</v>
      </c>
      <c r="C1074">
        <v>16</v>
      </c>
    </row>
    <row r="1075" spans="1:3" x14ac:dyDescent="0.25">
      <c r="A1075" s="1">
        <v>40158</v>
      </c>
      <c r="B1075" t="s">
        <v>27</v>
      </c>
      <c r="C1075">
        <v>18</v>
      </c>
    </row>
    <row r="1076" spans="1:3" x14ac:dyDescent="0.25">
      <c r="A1076" s="1">
        <v>40158</v>
      </c>
      <c r="B1076" t="s">
        <v>7</v>
      </c>
      <c r="C1076">
        <v>399</v>
      </c>
    </row>
    <row r="1077" spans="1:3" x14ac:dyDescent="0.25">
      <c r="A1077" s="1">
        <v>40160</v>
      </c>
      <c r="B1077" t="s">
        <v>202</v>
      </c>
      <c r="C1077">
        <v>11</v>
      </c>
    </row>
    <row r="1078" spans="1:3" x14ac:dyDescent="0.25">
      <c r="A1078" s="1">
        <v>40164</v>
      </c>
      <c r="B1078" t="s">
        <v>23</v>
      </c>
      <c r="C1078">
        <v>131</v>
      </c>
    </row>
    <row r="1079" spans="1:3" x14ac:dyDescent="0.25">
      <c r="A1079" s="1">
        <v>40165</v>
      </c>
      <c r="B1079" t="s">
        <v>39</v>
      </c>
      <c r="C1079">
        <v>67</v>
      </c>
    </row>
    <row r="1080" spans="1:3" x14ac:dyDescent="0.25">
      <c r="A1080" s="1">
        <v>40166</v>
      </c>
      <c r="B1080" t="s">
        <v>10</v>
      </c>
      <c r="C1080">
        <v>151</v>
      </c>
    </row>
    <row r="1081" spans="1:3" x14ac:dyDescent="0.25">
      <c r="A1081" s="1">
        <v>40171</v>
      </c>
      <c r="B1081" t="s">
        <v>23</v>
      </c>
      <c r="C1081">
        <v>105</v>
      </c>
    </row>
    <row r="1082" spans="1:3" x14ac:dyDescent="0.25">
      <c r="A1082" s="1">
        <v>40172</v>
      </c>
      <c r="B1082" t="s">
        <v>71</v>
      </c>
      <c r="C1082">
        <v>132</v>
      </c>
    </row>
    <row r="1083" spans="1:3" x14ac:dyDescent="0.25">
      <c r="A1083" s="1">
        <v>40172</v>
      </c>
      <c r="B1083" t="s">
        <v>17</v>
      </c>
      <c r="C1083">
        <v>142</v>
      </c>
    </row>
    <row r="1084" spans="1:3" x14ac:dyDescent="0.25">
      <c r="A1084" s="1">
        <v>40172</v>
      </c>
      <c r="B1084" t="s">
        <v>203</v>
      </c>
      <c r="C1084">
        <v>17</v>
      </c>
    </row>
    <row r="1085" spans="1:3" x14ac:dyDescent="0.25">
      <c r="A1085" s="1">
        <v>40173</v>
      </c>
      <c r="B1085" t="s">
        <v>7</v>
      </c>
      <c r="C1085">
        <v>444</v>
      </c>
    </row>
    <row r="1086" spans="1:3" x14ac:dyDescent="0.25">
      <c r="A1086" s="1">
        <v>40173</v>
      </c>
      <c r="B1086" t="s">
        <v>50</v>
      </c>
      <c r="C1086">
        <v>294</v>
      </c>
    </row>
    <row r="1087" spans="1:3" x14ac:dyDescent="0.25">
      <c r="A1087" s="1">
        <v>40174</v>
      </c>
      <c r="B1087" t="s">
        <v>7</v>
      </c>
      <c r="C1087">
        <v>274</v>
      </c>
    </row>
    <row r="1088" spans="1:3" x14ac:dyDescent="0.25">
      <c r="A1088" s="1">
        <v>40176</v>
      </c>
      <c r="B1088" t="s">
        <v>35</v>
      </c>
      <c r="C1088">
        <v>168</v>
      </c>
    </row>
    <row r="1089" spans="1:3" x14ac:dyDescent="0.25">
      <c r="A1089" s="1">
        <v>40177</v>
      </c>
      <c r="B1089" t="s">
        <v>8</v>
      </c>
      <c r="C1089">
        <v>115</v>
      </c>
    </row>
    <row r="1090" spans="1:3" x14ac:dyDescent="0.25">
      <c r="A1090" s="1">
        <v>40177</v>
      </c>
      <c r="B1090" t="s">
        <v>30</v>
      </c>
      <c r="C1090">
        <v>126</v>
      </c>
    </row>
    <row r="1091" spans="1:3" x14ac:dyDescent="0.25">
      <c r="A1091" s="1">
        <v>40180</v>
      </c>
      <c r="B1091" t="s">
        <v>28</v>
      </c>
      <c r="C1091">
        <v>73</v>
      </c>
    </row>
    <row r="1092" spans="1:3" x14ac:dyDescent="0.25">
      <c r="A1092" s="1">
        <v>40180</v>
      </c>
      <c r="B1092" t="s">
        <v>22</v>
      </c>
      <c r="C1092">
        <v>413</v>
      </c>
    </row>
    <row r="1093" spans="1:3" x14ac:dyDescent="0.25">
      <c r="A1093" s="1">
        <v>40181</v>
      </c>
      <c r="B1093" t="s">
        <v>7</v>
      </c>
      <c r="C1093">
        <v>393</v>
      </c>
    </row>
    <row r="1094" spans="1:3" x14ac:dyDescent="0.25">
      <c r="A1094" s="1">
        <v>40184</v>
      </c>
      <c r="B1094" t="s">
        <v>143</v>
      </c>
      <c r="C1094">
        <v>13</v>
      </c>
    </row>
    <row r="1095" spans="1:3" x14ac:dyDescent="0.25">
      <c r="A1095" s="1">
        <v>40185</v>
      </c>
      <c r="B1095" t="s">
        <v>22</v>
      </c>
      <c r="C1095">
        <v>211</v>
      </c>
    </row>
    <row r="1096" spans="1:3" x14ac:dyDescent="0.25">
      <c r="A1096" s="1">
        <v>40189</v>
      </c>
      <c r="B1096" t="s">
        <v>61</v>
      </c>
      <c r="C1096">
        <v>116</v>
      </c>
    </row>
    <row r="1097" spans="1:3" x14ac:dyDescent="0.25">
      <c r="A1097" s="1">
        <v>40189</v>
      </c>
      <c r="B1097" t="s">
        <v>0</v>
      </c>
      <c r="C1097">
        <v>9</v>
      </c>
    </row>
    <row r="1098" spans="1:3" x14ac:dyDescent="0.25">
      <c r="A1098" s="1">
        <v>40193</v>
      </c>
      <c r="B1098" t="s">
        <v>45</v>
      </c>
      <c r="C1098">
        <v>117</v>
      </c>
    </row>
    <row r="1099" spans="1:3" x14ac:dyDescent="0.25">
      <c r="A1099" s="1">
        <v>40194</v>
      </c>
      <c r="B1099" t="s">
        <v>50</v>
      </c>
      <c r="C1099">
        <v>221</v>
      </c>
    </row>
    <row r="1100" spans="1:3" x14ac:dyDescent="0.25">
      <c r="A1100" s="1">
        <v>40198</v>
      </c>
      <c r="B1100" t="s">
        <v>152</v>
      </c>
      <c r="C1100">
        <v>9</v>
      </c>
    </row>
    <row r="1101" spans="1:3" x14ac:dyDescent="0.25">
      <c r="A1101" s="1">
        <v>40199</v>
      </c>
      <c r="B1101" t="s">
        <v>17</v>
      </c>
      <c r="C1101">
        <v>214</v>
      </c>
    </row>
    <row r="1102" spans="1:3" x14ac:dyDescent="0.25">
      <c r="A1102" s="1">
        <v>40200</v>
      </c>
      <c r="B1102" t="s">
        <v>37</v>
      </c>
      <c r="C1102">
        <v>138</v>
      </c>
    </row>
    <row r="1103" spans="1:3" x14ac:dyDescent="0.25">
      <c r="A1103" s="1">
        <v>40201</v>
      </c>
      <c r="B1103" t="s">
        <v>81</v>
      </c>
      <c r="C1103">
        <v>11</v>
      </c>
    </row>
    <row r="1104" spans="1:3" x14ac:dyDescent="0.25">
      <c r="A1104" s="1">
        <v>40201</v>
      </c>
      <c r="B1104" t="s">
        <v>52</v>
      </c>
      <c r="C1104">
        <v>128</v>
      </c>
    </row>
    <row r="1105" spans="1:3" x14ac:dyDescent="0.25">
      <c r="A1105" s="1">
        <v>40202</v>
      </c>
      <c r="B1105" t="s">
        <v>17</v>
      </c>
      <c r="C1105">
        <v>376</v>
      </c>
    </row>
    <row r="1106" spans="1:3" x14ac:dyDescent="0.25">
      <c r="A1106" s="1">
        <v>40203</v>
      </c>
      <c r="B1106" t="s">
        <v>17</v>
      </c>
      <c r="C1106">
        <v>121</v>
      </c>
    </row>
    <row r="1107" spans="1:3" x14ac:dyDescent="0.25">
      <c r="A1107" s="1">
        <v>40203</v>
      </c>
      <c r="B1107" t="s">
        <v>14</v>
      </c>
      <c r="C1107">
        <v>200</v>
      </c>
    </row>
    <row r="1108" spans="1:3" x14ac:dyDescent="0.25">
      <c r="A1108" s="1">
        <v>40204</v>
      </c>
      <c r="B1108" t="s">
        <v>17</v>
      </c>
      <c r="C1108">
        <v>500</v>
      </c>
    </row>
    <row r="1109" spans="1:3" x14ac:dyDescent="0.25">
      <c r="A1109" s="1">
        <v>40206</v>
      </c>
      <c r="B1109" t="s">
        <v>71</v>
      </c>
      <c r="C1109">
        <v>108</v>
      </c>
    </row>
    <row r="1110" spans="1:3" x14ac:dyDescent="0.25">
      <c r="A1110" s="1">
        <v>40207</v>
      </c>
      <c r="B1110" t="s">
        <v>25</v>
      </c>
      <c r="C1110">
        <v>59</v>
      </c>
    </row>
    <row r="1111" spans="1:3" x14ac:dyDescent="0.25">
      <c r="A1111" s="1">
        <v>40208</v>
      </c>
      <c r="B1111" t="s">
        <v>10</v>
      </c>
      <c r="C1111">
        <v>191</v>
      </c>
    </row>
    <row r="1112" spans="1:3" x14ac:dyDescent="0.25">
      <c r="A1112" s="1">
        <v>40209</v>
      </c>
      <c r="B1112" t="s">
        <v>19</v>
      </c>
      <c r="C1112">
        <v>189</v>
      </c>
    </row>
    <row r="1113" spans="1:3" x14ac:dyDescent="0.25">
      <c r="A1113" s="1">
        <v>40211</v>
      </c>
      <c r="B1113" t="s">
        <v>45</v>
      </c>
      <c r="C1113">
        <v>247</v>
      </c>
    </row>
    <row r="1114" spans="1:3" x14ac:dyDescent="0.25">
      <c r="A1114" s="1">
        <v>40211</v>
      </c>
      <c r="B1114" t="s">
        <v>35</v>
      </c>
      <c r="C1114">
        <v>195</v>
      </c>
    </row>
    <row r="1115" spans="1:3" x14ac:dyDescent="0.25">
      <c r="A1115" s="1">
        <v>40212</v>
      </c>
      <c r="B1115" t="s">
        <v>204</v>
      </c>
      <c r="C1115">
        <v>6</v>
      </c>
    </row>
    <row r="1116" spans="1:3" x14ac:dyDescent="0.25">
      <c r="A1116" s="1">
        <v>40213</v>
      </c>
      <c r="B1116" t="s">
        <v>205</v>
      </c>
      <c r="C1116">
        <v>1</v>
      </c>
    </row>
    <row r="1117" spans="1:3" x14ac:dyDescent="0.25">
      <c r="A1117" s="1">
        <v>40214</v>
      </c>
      <c r="B1117" t="s">
        <v>50</v>
      </c>
      <c r="C1117">
        <v>347</v>
      </c>
    </row>
    <row r="1118" spans="1:3" x14ac:dyDescent="0.25">
      <c r="A1118" s="1">
        <v>40217</v>
      </c>
      <c r="B1118" t="s">
        <v>14</v>
      </c>
      <c r="C1118">
        <v>317</v>
      </c>
    </row>
    <row r="1119" spans="1:3" x14ac:dyDescent="0.25">
      <c r="A1119" s="1">
        <v>40218</v>
      </c>
      <c r="B1119" t="s">
        <v>45</v>
      </c>
      <c r="C1119">
        <v>271</v>
      </c>
    </row>
    <row r="1120" spans="1:3" x14ac:dyDescent="0.25">
      <c r="A1120" s="1">
        <v>40218</v>
      </c>
      <c r="B1120" t="s">
        <v>85</v>
      </c>
      <c r="C1120">
        <v>4</v>
      </c>
    </row>
    <row r="1121" spans="1:3" x14ac:dyDescent="0.25">
      <c r="A1121" s="1">
        <v>40220</v>
      </c>
      <c r="B1121" t="s">
        <v>28</v>
      </c>
      <c r="C1121">
        <v>121</v>
      </c>
    </row>
    <row r="1122" spans="1:3" x14ac:dyDescent="0.25">
      <c r="A1122" s="1">
        <v>40221</v>
      </c>
      <c r="B1122" t="s">
        <v>6</v>
      </c>
      <c r="C1122">
        <v>81</v>
      </c>
    </row>
    <row r="1123" spans="1:3" x14ac:dyDescent="0.25">
      <c r="A1123" s="1">
        <v>40221</v>
      </c>
      <c r="B1123" t="s">
        <v>84</v>
      </c>
      <c r="C1123">
        <v>1</v>
      </c>
    </row>
    <row r="1124" spans="1:3" x14ac:dyDescent="0.25">
      <c r="A1124" s="1">
        <v>40223</v>
      </c>
      <c r="B1124" t="s">
        <v>30</v>
      </c>
      <c r="C1124">
        <v>142</v>
      </c>
    </row>
    <row r="1125" spans="1:3" x14ac:dyDescent="0.25">
      <c r="A1125" s="1">
        <v>40224</v>
      </c>
      <c r="B1125" t="s">
        <v>22</v>
      </c>
      <c r="C1125">
        <v>265</v>
      </c>
    </row>
    <row r="1126" spans="1:3" x14ac:dyDescent="0.25">
      <c r="A1126" s="1">
        <v>40225</v>
      </c>
      <c r="B1126" t="s">
        <v>6</v>
      </c>
      <c r="C1126">
        <v>194</v>
      </c>
    </row>
    <row r="1127" spans="1:3" x14ac:dyDescent="0.25">
      <c r="A1127" s="1">
        <v>40225</v>
      </c>
      <c r="B1127" t="s">
        <v>161</v>
      </c>
      <c r="C1127">
        <v>15</v>
      </c>
    </row>
    <row r="1128" spans="1:3" x14ac:dyDescent="0.25">
      <c r="A1128" s="1">
        <v>40227</v>
      </c>
      <c r="B1128" t="s">
        <v>10</v>
      </c>
      <c r="C1128">
        <v>23</v>
      </c>
    </row>
    <row r="1129" spans="1:3" x14ac:dyDescent="0.25">
      <c r="A1129" s="1">
        <v>40227</v>
      </c>
      <c r="B1129" t="s">
        <v>22</v>
      </c>
      <c r="C1129">
        <v>279</v>
      </c>
    </row>
    <row r="1130" spans="1:3" x14ac:dyDescent="0.25">
      <c r="A1130" s="1">
        <v>40229</v>
      </c>
      <c r="B1130" t="s">
        <v>206</v>
      </c>
      <c r="C1130">
        <v>1</v>
      </c>
    </row>
    <row r="1131" spans="1:3" x14ac:dyDescent="0.25">
      <c r="A1131" s="1">
        <v>40234</v>
      </c>
      <c r="B1131" t="s">
        <v>22</v>
      </c>
      <c r="C1131">
        <v>487</v>
      </c>
    </row>
    <row r="1132" spans="1:3" x14ac:dyDescent="0.25">
      <c r="A1132" s="1">
        <v>40234</v>
      </c>
      <c r="B1132" t="s">
        <v>7</v>
      </c>
      <c r="C1132">
        <v>395</v>
      </c>
    </row>
    <row r="1133" spans="1:3" x14ac:dyDescent="0.25">
      <c r="A1133" s="1">
        <v>40236</v>
      </c>
      <c r="B1133" t="s">
        <v>71</v>
      </c>
      <c r="C1133">
        <v>91</v>
      </c>
    </row>
    <row r="1134" spans="1:3" x14ac:dyDescent="0.25">
      <c r="A1134" s="1">
        <v>40236</v>
      </c>
      <c r="B1134" t="s">
        <v>25</v>
      </c>
      <c r="C1134">
        <v>39</v>
      </c>
    </row>
    <row r="1135" spans="1:3" x14ac:dyDescent="0.25">
      <c r="A1135" s="1">
        <v>40236</v>
      </c>
      <c r="B1135" t="s">
        <v>22</v>
      </c>
      <c r="C1135">
        <v>312</v>
      </c>
    </row>
    <row r="1136" spans="1:3" x14ac:dyDescent="0.25">
      <c r="A1136" s="1">
        <v>40237</v>
      </c>
      <c r="B1136" t="s">
        <v>207</v>
      </c>
      <c r="C1136">
        <v>20</v>
      </c>
    </row>
    <row r="1137" spans="1:3" x14ac:dyDescent="0.25">
      <c r="A1137" s="1">
        <v>40240</v>
      </c>
      <c r="B1137" t="s">
        <v>28</v>
      </c>
      <c r="C1137">
        <v>35</v>
      </c>
    </row>
    <row r="1138" spans="1:3" x14ac:dyDescent="0.25">
      <c r="A1138" s="1">
        <v>40242</v>
      </c>
      <c r="B1138" t="s">
        <v>203</v>
      </c>
      <c r="C1138">
        <v>20</v>
      </c>
    </row>
    <row r="1139" spans="1:3" x14ac:dyDescent="0.25">
      <c r="A1139" s="1">
        <v>40245</v>
      </c>
      <c r="B1139" t="s">
        <v>30</v>
      </c>
      <c r="C1139">
        <v>125</v>
      </c>
    </row>
    <row r="1140" spans="1:3" x14ac:dyDescent="0.25">
      <c r="A1140" s="1">
        <v>40245</v>
      </c>
      <c r="B1140" t="s">
        <v>45</v>
      </c>
      <c r="C1140">
        <v>396</v>
      </c>
    </row>
    <row r="1141" spans="1:3" x14ac:dyDescent="0.25">
      <c r="A1141" s="1">
        <v>40246</v>
      </c>
      <c r="B1141" t="s">
        <v>208</v>
      </c>
      <c r="C1141">
        <v>7</v>
      </c>
    </row>
    <row r="1142" spans="1:3" x14ac:dyDescent="0.25">
      <c r="A1142" s="1">
        <v>40247</v>
      </c>
      <c r="B1142" t="s">
        <v>78</v>
      </c>
      <c r="C1142">
        <v>59</v>
      </c>
    </row>
    <row r="1143" spans="1:3" x14ac:dyDescent="0.25">
      <c r="A1143" s="1">
        <v>40250</v>
      </c>
      <c r="B1143" t="s">
        <v>14</v>
      </c>
      <c r="C1143">
        <v>417</v>
      </c>
    </row>
    <row r="1144" spans="1:3" x14ac:dyDescent="0.25">
      <c r="A1144" s="1">
        <v>40250</v>
      </c>
      <c r="B1144" t="s">
        <v>45</v>
      </c>
      <c r="C1144">
        <v>115</v>
      </c>
    </row>
    <row r="1145" spans="1:3" x14ac:dyDescent="0.25">
      <c r="A1145" s="1">
        <v>40253</v>
      </c>
      <c r="B1145" t="s">
        <v>54</v>
      </c>
      <c r="C1145">
        <v>6</v>
      </c>
    </row>
    <row r="1146" spans="1:3" x14ac:dyDescent="0.25">
      <c r="A1146" s="1">
        <v>40254</v>
      </c>
      <c r="B1146" t="s">
        <v>19</v>
      </c>
      <c r="C1146">
        <v>69</v>
      </c>
    </row>
    <row r="1147" spans="1:3" x14ac:dyDescent="0.25">
      <c r="A1147" s="1">
        <v>40256</v>
      </c>
      <c r="B1147" t="s">
        <v>12</v>
      </c>
      <c r="C1147">
        <v>58</v>
      </c>
    </row>
    <row r="1148" spans="1:3" x14ac:dyDescent="0.25">
      <c r="A1148" s="1">
        <v>40256</v>
      </c>
      <c r="B1148" t="s">
        <v>25</v>
      </c>
      <c r="C1148">
        <v>159</v>
      </c>
    </row>
    <row r="1149" spans="1:3" x14ac:dyDescent="0.25">
      <c r="A1149" s="1">
        <v>40258</v>
      </c>
      <c r="B1149" t="s">
        <v>209</v>
      </c>
      <c r="C1149">
        <v>6</v>
      </c>
    </row>
    <row r="1150" spans="1:3" x14ac:dyDescent="0.25">
      <c r="A1150" s="1">
        <v>40259</v>
      </c>
      <c r="B1150" t="s">
        <v>12</v>
      </c>
      <c r="C1150">
        <v>103</v>
      </c>
    </row>
    <row r="1151" spans="1:3" x14ac:dyDescent="0.25">
      <c r="A1151" s="1">
        <v>40263</v>
      </c>
      <c r="B1151" t="s">
        <v>7</v>
      </c>
      <c r="C1151">
        <v>155</v>
      </c>
    </row>
    <row r="1152" spans="1:3" x14ac:dyDescent="0.25">
      <c r="A1152" s="1">
        <v>40263</v>
      </c>
      <c r="B1152" t="s">
        <v>81</v>
      </c>
      <c r="C1152">
        <v>10</v>
      </c>
    </row>
    <row r="1153" spans="1:3" x14ac:dyDescent="0.25">
      <c r="A1153" s="1">
        <v>40265</v>
      </c>
      <c r="B1153" t="s">
        <v>28</v>
      </c>
      <c r="C1153">
        <v>158</v>
      </c>
    </row>
    <row r="1154" spans="1:3" x14ac:dyDescent="0.25">
      <c r="A1154" s="1">
        <v>40267</v>
      </c>
      <c r="B1154" t="s">
        <v>55</v>
      </c>
      <c r="C1154">
        <v>146</v>
      </c>
    </row>
    <row r="1155" spans="1:3" x14ac:dyDescent="0.25">
      <c r="A1155" s="1">
        <v>40268</v>
      </c>
      <c r="B1155" t="s">
        <v>22</v>
      </c>
      <c r="C1155">
        <v>230</v>
      </c>
    </row>
    <row r="1156" spans="1:3" x14ac:dyDescent="0.25">
      <c r="A1156" s="1">
        <v>40270</v>
      </c>
      <c r="B1156" t="s">
        <v>39</v>
      </c>
      <c r="C1156">
        <v>143</v>
      </c>
    </row>
    <row r="1157" spans="1:3" x14ac:dyDescent="0.25">
      <c r="A1157" s="1">
        <v>40270</v>
      </c>
      <c r="B1157" t="s">
        <v>61</v>
      </c>
      <c r="C1157">
        <v>167</v>
      </c>
    </row>
    <row r="1158" spans="1:3" x14ac:dyDescent="0.25">
      <c r="A1158" s="1">
        <v>40270</v>
      </c>
      <c r="B1158" t="s">
        <v>52</v>
      </c>
      <c r="C1158">
        <v>119</v>
      </c>
    </row>
    <row r="1159" spans="1:3" x14ac:dyDescent="0.25">
      <c r="A1159" s="1">
        <v>40272</v>
      </c>
      <c r="B1159" t="s">
        <v>14</v>
      </c>
      <c r="C1159">
        <v>400</v>
      </c>
    </row>
    <row r="1160" spans="1:3" x14ac:dyDescent="0.25">
      <c r="A1160" s="1">
        <v>40274</v>
      </c>
      <c r="B1160" t="s">
        <v>37</v>
      </c>
      <c r="C1160">
        <v>172</v>
      </c>
    </row>
    <row r="1161" spans="1:3" x14ac:dyDescent="0.25">
      <c r="A1161" s="1">
        <v>40275</v>
      </c>
      <c r="B1161" t="s">
        <v>98</v>
      </c>
      <c r="C1161">
        <v>19</v>
      </c>
    </row>
    <row r="1162" spans="1:3" x14ac:dyDescent="0.25">
      <c r="A1162" s="1">
        <v>40277</v>
      </c>
      <c r="B1162" t="s">
        <v>7</v>
      </c>
      <c r="C1162">
        <v>116</v>
      </c>
    </row>
    <row r="1163" spans="1:3" x14ac:dyDescent="0.25">
      <c r="A1163" s="1">
        <v>40279</v>
      </c>
      <c r="B1163" t="s">
        <v>22</v>
      </c>
      <c r="C1163">
        <v>143</v>
      </c>
    </row>
    <row r="1164" spans="1:3" x14ac:dyDescent="0.25">
      <c r="A1164" s="1">
        <v>40280</v>
      </c>
      <c r="B1164" t="s">
        <v>9</v>
      </c>
      <c r="C1164">
        <v>222</v>
      </c>
    </row>
    <row r="1165" spans="1:3" x14ac:dyDescent="0.25">
      <c r="A1165" s="1">
        <v>40282</v>
      </c>
      <c r="B1165" t="s">
        <v>9</v>
      </c>
      <c r="C1165">
        <v>352</v>
      </c>
    </row>
    <row r="1166" spans="1:3" x14ac:dyDescent="0.25">
      <c r="A1166" s="1">
        <v>40282</v>
      </c>
      <c r="B1166" t="s">
        <v>52</v>
      </c>
      <c r="C1166">
        <v>69</v>
      </c>
    </row>
    <row r="1167" spans="1:3" x14ac:dyDescent="0.25">
      <c r="A1167" s="1">
        <v>40283</v>
      </c>
      <c r="B1167" t="s">
        <v>45</v>
      </c>
      <c r="C1167">
        <v>182</v>
      </c>
    </row>
    <row r="1168" spans="1:3" x14ac:dyDescent="0.25">
      <c r="A1168" s="1">
        <v>40285</v>
      </c>
      <c r="B1168" t="s">
        <v>9</v>
      </c>
      <c r="C1168">
        <v>182</v>
      </c>
    </row>
    <row r="1169" spans="1:3" x14ac:dyDescent="0.25">
      <c r="A1169" s="1">
        <v>40285</v>
      </c>
      <c r="B1169" t="s">
        <v>52</v>
      </c>
      <c r="C1169">
        <v>165</v>
      </c>
    </row>
    <row r="1170" spans="1:3" x14ac:dyDescent="0.25">
      <c r="A1170" s="1">
        <v>40286</v>
      </c>
      <c r="B1170" t="s">
        <v>40</v>
      </c>
      <c r="C1170">
        <v>18</v>
      </c>
    </row>
    <row r="1171" spans="1:3" x14ac:dyDescent="0.25">
      <c r="A1171" s="1">
        <v>40286</v>
      </c>
      <c r="B1171" t="s">
        <v>210</v>
      </c>
      <c r="C1171">
        <v>2</v>
      </c>
    </row>
    <row r="1172" spans="1:3" x14ac:dyDescent="0.25">
      <c r="A1172" s="1">
        <v>40287</v>
      </c>
      <c r="B1172" t="s">
        <v>184</v>
      </c>
      <c r="C1172">
        <v>15</v>
      </c>
    </row>
    <row r="1173" spans="1:3" x14ac:dyDescent="0.25">
      <c r="A1173" s="1">
        <v>40288</v>
      </c>
      <c r="B1173" t="s">
        <v>211</v>
      </c>
      <c r="C1173">
        <v>19</v>
      </c>
    </row>
    <row r="1174" spans="1:3" x14ac:dyDescent="0.25">
      <c r="A1174" s="1">
        <v>40289</v>
      </c>
      <c r="B1174" t="s">
        <v>37</v>
      </c>
      <c r="C1174">
        <v>66</v>
      </c>
    </row>
    <row r="1175" spans="1:3" x14ac:dyDescent="0.25">
      <c r="A1175" s="1">
        <v>40289</v>
      </c>
      <c r="B1175" t="s">
        <v>170</v>
      </c>
      <c r="C1175">
        <v>12</v>
      </c>
    </row>
    <row r="1176" spans="1:3" x14ac:dyDescent="0.25">
      <c r="A1176" s="1">
        <v>40290</v>
      </c>
      <c r="B1176" t="s">
        <v>118</v>
      </c>
      <c r="C1176">
        <v>19</v>
      </c>
    </row>
    <row r="1177" spans="1:3" x14ac:dyDescent="0.25">
      <c r="A1177" s="1">
        <v>40290</v>
      </c>
      <c r="B1177" t="s">
        <v>23</v>
      </c>
      <c r="C1177">
        <v>96</v>
      </c>
    </row>
    <row r="1178" spans="1:3" x14ac:dyDescent="0.25">
      <c r="A1178" s="1">
        <v>40293</v>
      </c>
      <c r="B1178" t="s">
        <v>9</v>
      </c>
      <c r="C1178">
        <v>240</v>
      </c>
    </row>
    <row r="1179" spans="1:3" x14ac:dyDescent="0.25">
      <c r="A1179" s="1">
        <v>40295</v>
      </c>
      <c r="B1179" t="s">
        <v>28</v>
      </c>
      <c r="C1179">
        <v>57</v>
      </c>
    </row>
    <row r="1180" spans="1:3" x14ac:dyDescent="0.25">
      <c r="A1180" s="1">
        <v>40299</v>
      </c>
      <c r="B1180" t="s">
        <v>14</v>
      </c>
      <c r="C1180">
        <v>475</v>
      </c>
    </row>
    <row r="1181" spans="1:3" x14ac:dyDescent="0.25">
      <c r="A1181" s="1">
        <v>40300</v>
      </c>
      <c r="B1181" t="s">
        <v>7</v>
      </c>
      <c r="C1181">
        <v>162</v>
      </c>
    </row>
    <row r="1182" spans="1:3" x14ac:dyDescent="0.25">
      <c r="A1182" s="1">
        <v>40302</v>
      </c>
      <c r="B1182" t="s">
        <v>7</v>
      </c>
      <c r="C1182">
        <v>150</v>
      </c>
    </row>
    <row r="1183" spans="1:3" x14ac:dyDescent="0.25">
      <c r="A1183" s="1">
        <v>40303</v>
      </c>
      <c r="B1183" t="s">
        <v>50</v>
      </c>
      <c r="C1183">
        <v>139</v>
      </c>
    </row>
    <row r="1184" spans="1:3" x14ac:dyDescent="0.25">
      <c r="A1184" s="1">
        <v>40305</v>
      </c>
      <c r="B1184" t="s">
        <v>19</v>
      </c>
      <c r="C1184">
        <v>183</v>
      </c>
    </row>
    <row r="1185" spans="1:3" x14ac:dyDescent="0.25">
      <c r="A1185" s="1">
        <v>40315</v>
      </c>
      <c r="B1185" t="s">
        <v>7</v>
      </c>
      <c r="C1185">
        <v>214</v>
      </c>
    </row>
    <row r="1186" spans="1:3" x14ac:dyDescent="0.25">
      <c r="A1186" s="1">
        <v>40318</v>
      </c>
      <c r="B1186" t="s">
        <v>175</v>
      </c>
      <c r="C1186">
        <v>14</v>
      </c>
    </row>
    <row r="1187" spans="1:3" x14ac:dyDescent="0.25">
      <c r="A1187" s="1">
        <v>40319</v>
      </c>
      <c r="B1187" t="s">
        <v>195</v>
      </c>
      <c r="C1187">
        <v>2</v>
      </c>
    </row>
    <row r="1188" spans="1:3" x14ac:dyDescent="0.25">
      <c r="A1188" s="1">
        <v>40320</v>
      </c>
      <c r="B1188" t="s">
        <v>22</v>
      </c>
      <c r="C1188">
        <v>383</v>
      </c>
    </row>
    <row r="1189" spans="1:3" x14ac:dyDescent="0.25">
      <c r="A1189" s="1">
        <v>40321</v>
      </c>
      <c r="B1189" t="s">
        <v>0</v>
      </c>
      <c r="C1189">
        <v>14</v>
      </c>
    </row>
    <row r="1190" spans="1:3" x14ac:dyDescent="0.25">
      <c r="A1190" s="1">
        <v>40321</v>
      </c>
      <c r="B1190" t="s">
        <v>52</v>
      </c>
      <c r="C1190">
        <v>127</v>
      </c>
    </row>
    <row r="1191" spans="1:3" x14ac:dyDescent="0.25">
      <c r="A1191" s="1">
        <v>40322</v>
      </c>
      <c r="B1191" t="s">
        <v>30</v>
      </c>
      <c r="C1191">
        <v>179</v>
      </c>
    </row>
    <row r="1192" spans="1:3" x14ac:dyDescent="0.25">
      <c r="A1192" s="1">
        <v>40323</v>
      </c>
      <c r="B1192" t="s">
        <v>23</v>
      </c>
      <c r="C1192">
        <v>74</v>
      </c>
    </row>
    <row r="1193" spans="1:3" x14ac:dyDescent="0.25">
      <c r="A1193" s="1">
        <v>40323</v>
      </c>
      <c r="B1193" t="s">
        <v>50</v>
      </c>
      <c r="C1193">
        <v>311</v>
      </c>
    </row>
    <row r="1194" spans="1:3" x14ac:dyDescent="0.25">
      <c r="A1194" s="1">
        <v>40327</v>
      </c>
      <c r="B1194" t="s">
        <v>66</v>
      </c>
      <c r="C1194">
        <v>190</v>
      </c>
    </row>
    <row r="1195" spans="1:3" x14ac:dyDescent="0.25">
      <c r="A1195" s="1">
        <v>40329</v>
      </c>
      <c r="B1195" t="s">
        <v>31</v>
      </c>
      <c r="C1195">
        <v>67</v>
      </c>
    </row>
    <row r="1196" spans="1:3" x14ac:dyDescent="0.25">
      <c r="A1196" s="1">
        <v>40331</v>
      </c>
      <c r="B1196" t="s">
        <v>7</v>
      </c>
      <c r="C1196">
        <v>331</v>
      </c>
    </row>
    <row r="1197" spans="1:3" x14ac:dyDescent="0.25">
      <c r="A1197" s="1">
        <v>40331</v>
      </c>
      <c r="B1197" t="s">
        <v>39</v>
      </c>
      <c r="C1197">
        <v>114</v>
      </c>
    </row>
    <row r="1198" spans="1:3" x14ac:dyDescent="0.25">
      <c r="A1198" s="1">
        <v>40332</v>
      </c>
      <c r="B1198" t="s">
        <v>52</v>
      </c>
      <c r="C1198">
        <v>79</v>
      </c>
    </row>
    <row r="1199" spans="1:3" x14ac:dyDescent="0.25">
      <c r="A1199" s="1">
        <v>40333</v>
      </c>
      <c r="B1199" t="s">
        <v>71</v>
      </c>
      <c r="C1199">
        <v>22</v>
      </c>
    </row>
    <row r="1200" spans="1:3" x14ac:dyDescent="0.25">
      <c r="A1200" s="1">
        <v>40333</v>
      </c>
      <c r="B1200" t="s">
        <v>92</v>
      </c>
      <c r="C1200">
        <v>5</v>
      </c>
    </row>
    <row r="1201" spans="1:3" x14ac:dyDescent="0.25">
      <c r="A1201" s="1">
        <v>40336</v>
      </c>
      <c r="B1201" t="s">
        <v>72</v>
      </c>
      <c r="C1201">
        <v>17</v>
      </c>
    </row>
    <row r="1202" spans="1:3" x14ac:dyDescent="0.25">
      <c r="A1202" s="1">
        <v>40337</v>
      </c>
      <c r="B1202" t="s">
        <v>45</v>
      </c>
      <c r="C1202">
        <v>344</v>
      </c>
    </row>
    <row r="1203" spans="1:3" x14ac:dyDescent="0.25">
      <c r="A1203" s="1">
        <v>40337</v>
      </c>
      <c r="B1203" t="s">
        <v>14</v>
      </c>
      <c r="C1203">
        <v>329</v>
      </c>
    </row>
    <row r="1204" spans="1:3" x14ac:dyDescent="0.25">
      <c r="A1204" s="1">
        <v>40337</v>
      </c>
      <c r="B1204" t="s">
        <v>112</v>
      </c>
      <c r="C1204">
        <v>10</v>
      </c>
    </row>
    <row r="1205" spans="1:3" x14ac:dyDescent="0.25">
      <c r="A1205" s="1">
        <v>40341</v>
      </c>
      <c r="B1205" t="s">
        <v>30</v>
      </c>
      <c r="C1205">
        <v>105</v>
      </c>
    </row>
    <row r="1206" spans="1:3" x14ac:dyDescent="0.25">
      <c r="A1206" s="1">
        <v>40342</v>
      </c>
      <c r="B1206" t="s">
        <v>69</v>
      </c>
      <c r="C1206">
        <v>26</v>
      </c>
    </row>
    <row r="1207" spans="1:3" x14ac:dyDescent="0.25">
      <c r="A1207" s="1">
        <v>40343</v>
      </c>
      <c r="B1207" t="s">
        <v>39</v>
      </c>
      <c r="C1207">
        <v>121</v>
      </c>
    </row>
    <row r="1208" spans="1:3" x14ac:dyDescent="0.25">
      <c r="A1208" s="1">
        <v>40345</v>
      </c>
      <c r="B1208" t="s">
        <v>8</v>
      </c>
      <c r="C1208">
        <v>174</v>
      </c>
    </row>
    <row r="1209" spans="1:3" x14ac:dyDescent="0.25">
      <c r="A1209" s="1">
        <v>40346</v>
      </c>
      <c r="B1209" t="s">
        <v>14</v>
      </c>
      <c r="C1209">
        <v>233</v>
      </c>
    </row>
    <row r="1210" spans="1:3" x14ac:dyDescent="0.25">
      <c r="A1210" s="1">
        <v>40347</v>
      </c>
      <c r="B1210" t="s">
        <v>10</v>
      </c>
      <c r="C1210">
        <v>117</v>
      </c>
    </row>
    <row r="1211" spans="1:3" x14ac:dyDescent="0.25">
      <c r="A1211" s="1">
        <v>40348</v>
      </c>
      <c r="B1211" t="s">
        <v>72</v>
      </c>
      <c r="C1211">
        <v>11</v>
      </c>
    </row>
    <row r="1212" spans="1:3" x14ac:dyDescent="0.25">
      <c r="A1212" s="1">
        <v>40348</v>
      </c>
      <c r="B1212" t="s">
        <v>212</v>
      </c>
      <c r="C1212">
        <v>18</v>
      </c>
    </row>
    <row r="1213" spans="1:3" x14ac:dyDescent="0.25">
      <c r="A1213" s="1">
        <v>40348</v>
      </c>
      <c r="B1213" t="s">
        <v>45</v>
      </c>
      <c r="C1213">
        <v>332</v>
      </c>
    </row>
    <row r="1214" spans="1:3" x14ac:dyDescent="0.25">
      <c r="A1214" s="1">
        <v>40349</v>
      </c>
      <c r="B1214" t="s">
        <v>156</v>
      </c>
      <c r="C1214">
        <v>6</v>
      </c>
    </row>
    <row r="1215" spans="1:3" x14ac:dyDescent="0.25">
      <c r="A1215" s="1">
        <v>40350</v>
      </c>
      <c r="B1215" t="s">
        <v>102</v>
      </c>
      <c r="C1215">
        <v>260</v>
      </c>
    </row>
    <row r="1216" spans="1:3" x14ac:dyDescent="0.25">
      <c r="A1216" s="1">
        <v>40350</v>
      </c>
      <c r="B1216" t="s">
        <v>80</v>
      </c>
      <c r="C1216">
        <v>22</v>
      </c>
    </row>
    <row r="1217" spans="1:3" x14ac:dyDescent="0.25">
      <c r="A1217" s="1">
        <v>40352</v>
      </c>
      <c r="B1217" t="s">
        <v>129</v>
      </c>
      <c r="C1217">
        <v>9</v>
      </c>
    </row>
    <row r="1218" spans="1:3" x14ac:dyDescent="0.25">
      <c r="A1218" s="1">
        <v>40353</v>
      </c>
      <c r="B1218" t="s">
        <v>66</v>
      </c>
      <c r="C1218">
        <v>79</v>
      </c>
    </row>
    <row r="1219" spans="1:3" x14ac:dyDescent="0.25">
      <c r="A1219" s="1">
        <v>40355</v>
      </c>
      <c r="B1219" t="s">
        <v>45</v>
      </c>
      <c r="C1219">
        <v>480</v>
      </c>
    </row>
    <row r="1220" spans="1:3" x14ac:dyDescent="0.25">
      <c r="A1220" s="1">
        <v>40360</v>
      </c>
      <c r="B1220" t="s">
        <v>9</v>
      </c>
      <c r="C1220">
        <v>154</v>
      </c>
    </row>
    <row r="1221" spans="1:3" x14ac:dyDescent="0.25">
      <c r="A1221" s="1">
        <v>40360</v>
      </c>
      <c r="B1221" t="s">
        <v>35</v>
      </c>
      <c r="C1221">
        <v>170</v>
      </c>
    </row>
    <row r="1222" spans="1:3" x14ac:dyDescent="0.25">
      <c r="A1222" s="1">
        <v>40361</v>
      </c>
      <c r="B1222" t="s">
        <v>213</v>
      </c>
      <c r="C1222">
        <v>13</v>
      </c>
    </row>
    <row r="1223" spans="1:3" x14ac:dyDescent="0.25">
      <c r="A1223" s="1">
        <v>40364</v>
      </c>
      <c r="B1223" t="s">
        <v>18</v>
      </c>
      <c r="C1223">
        <v>29</v>
      </c>
    </row>
    <row r="1224" spans="1:3" x14ac:dyDescent="0.25">
      <c r="A1224" s="1">
        <v>40366</v>
      </c>
      <c r="B1224" t="s">
        <v>19</v>
      </c>
      <c r="C1224">
        <v>80</v>
      </c>
    </row>
    <row r="1225" spans="1:3" x14ac:dyDescent="0.25">
      <c r="A1225" s="1">
        <v>40370</v>
      </c>
      <c r="B1225" t="s">
        <v>176</v>
      </c>
      <c r="C1225">
        <v>20</v>
      </c>
    </row>
    <row r="1226" spans="1:3" x14ac:dyDescent="0.25">
      <c r="A1226" s="1">
        <v>40370</v>
      </c>
      <c r="B1226" t="s">
        <v>9</v>
      </c>
      <c r="C1226">
        <v>401</v>
      </c>
    </row>
    <row r="1227" spans="1:3" x14ac:dyDescent="0.25">
      <c r="A1227" s="1">
        <v>40372</v>
      </c>
      <c r="B1227" t="s">
        <v>39</v>
      </c>
      <c r="C1227">
        <v>134</v>
      </c>
    </row>
    <row r="1228" spans="1:3" x14ac:dyDescent="0.25">
      <c r="A1228" s="1">
        <v>40374</v>
      </c>
      <c r="B1228" t="s">
        <v>37</v>
      </c>
      <c r="C1228">
        <v>107</v>
      </c>
    </row>
    <row r="1229" spans="1:3" x14ac:dyDescent="0.25">
      <c r="A1229" s="1">
        <v>40379</v>
      </c>
      <c r="B1229" t="s">
        <v>10</v>
      </c>
      <c r="C1229">
        <v>30</v>
      </c>
    </row>
    <row r="1230" spans="1:3" x14ac:dyDescent="0.25">
      <c r="A1230" s="1">
        <v>40381</v>
      </c>
      <c r="B1230" t="s">
        <v>24</v>
      </c>
      <c r="C1230">
        <v>138</v>
      </c>
    </row>
    <row r="1231" spans="1:3" x14ac:dyDescent="0.25">
      <c r="A1231" s="1">
        <v>40382</v>
      </c>
      <c r="B1231" t="s">
        <v>22</v>
      </c>
      <c r="C1231">
        <v>404</v>
      </c>
    </row>
    <row r="1232" spans="1:3" x14ac:dyDescent="0.25">
      <c r="A1232" s="1">
        <v>40386</v>
      </c>
      <c r="B1232" t="s">
        <v>37</v>
      </c>
      <c r="C1232">
        <v>117</v>
      </c>
    </row>
    <row r="1233" spans="1:3" x14ac:dyDescent="0.25">
      <c r="A1233" s="1">
        <v>40389</v>
      </c>
      <c r="B1233" t="s">
        <v>9</v>
      </c>
      <c r="C1233">
        <v>124</v>
      </c>
    </row>
    <row r="1234" spans="1:3" x14ac:dyDescent="0.25">
      <c r="A1234" s="1">
        <v>40390</v>
      </c>
      <c r="B1234" t="s">
        <v>52</v>
      </c>
      <c r="C1234">
        <v>155</v>
      </c>
    </row>
    <row r="1235" spans="1:3" x14ac:dyDescent="0.25">
      <c r="A1235" s="1">
        <v>40391</v>
      </c>
      <c r="B1235" t="s">
        <v>28</v>
      </c>
      <c r="C1235">
        <v>161</v>
      </c>
    </row>
    <row r="1236" spans="1:3" x14ac:dyDescent="0.25">
      <c r="A1236" s="1">
        <v>40395</v>
      </c>
      <c r="B1236" t="s">
        <v>12</v>
      </c>
      <c r="C1236">
        <v>80</v>
      </c>
    </row>
    <row r="1237" spans="1:3" x14ac:dyDescent="0.25">
      <c r="A1237" s="1">
        <v>40395</v>
      </c>
      <c r="B1237" t="s">
        <v>172</v>
      </c>
      <c r="C1237">
        <v>9</v>
      </c>
    </row>
    <row r="1238" spans="1:3" x14ac:dyDescent="0.25">
      <c r="A1238" s="1">
        <v>40396</v>
      </c>
      <c r="B1238" t="s">
        <v>12</v>
      </c>
      <c r="C1238">
        <v>160</v>
      </c>
    </row>
    <row r="1239" spans="1:3" x14ac:dyDescent="0.25">
      <c r="A1239" s="1">
        <v>40399</v>
      </c>
      <c r="B1239" t="s">
        <v>113</v>
      </c>
      <c r="C1239">
        <v>18</v>
      </c>
    </row>
    <row r="1240" spans="1:3" x14ac:dyDescent="0.25">
      <c r="A1240" s="1">
        <v>40401</v>
      </c>
      <c r="B1240" t="s">
        <v>10</v>
      </c>
      <c r="C1240">
        <v>150</v>
      </c>
    </row>
    <row r="1241" spans="1:3" x14ac:dyDescent="0.25">
      <c r="A1241" s="1">
        <v>40405</v>
      </c>
      <c r="B1241" t="s">
        <v>214</v>
      </c>
      <c r="C1241">
        <v>16</v>
      </c>
    </row>
    <row r="1242" spans="1:3" x14ac:dyDescent="0.25">
      <c r="A1242" s="1">
        <v>40412</v>
      </c>
      <c r="B1242" t="s">
        <v>69</v>
      </c>
      <c r="C1242">
        <v>158</v>
      </c>
    </row>
    <row r="1243" spans="1:3" x14ac:dyDescent="0.25">
      <c r="A1243" s="1">
        <v>40414</v>
      </c>
      <c r="B1243" t="s">
        <v>61</v>
      </c>
      <c r="C1243">
        <v>29</v>
      </c>
    </row>
    <row r="1244" spans="1:3" x14ac:dyDescent="0.25">
      <c r="A1244" s="1">
        <v>40423</v>
      </c>
      <c r="B1244" t="s">
        <v>106</v>
      </c>
      <c r="C1244">
        <v>6</v>
      </c>
    </row>
    <row r="1245" spans="1:3" x14ac:dyDescent="0.25">
      <c r="A1245" s="1">
        <v>40423</v>
      </c>
      <c r="B1245" t="s">
        <v>9</v>
      </c>
      <c r="C1245">
        <v>489</v>
      </c>
    </row>
    <row r="1246" spans="1:3" x14ac:dyDescent="0.25">
      <c r="A1246" s="1">
        <v>40425</v>
      </c>
      <c r="B1246" t="s">
        <v>35</v>
      </c>
      <c r="C1246">
        <v>200</v>
      </c>
    </row>
    <row r="1247" spans="1:3" x14ac:dyDescent="0.25">
      <c r="A1247" s="1">
        <v>40427</v>
      </c>
      <c r="B1247" t="s">
        <v>10</v>
      </c>
      <c r="C1247">
        <v>28</v>
      </c>
    </row>
    <row r="1248" spans="1:3" x14ac:dyDescent="0.25">
      <c r="A1248" s="1">
        <v>40431</v>
      </c>
      <c r="B1248" t="s">
        <v>10</v>
      </c>
      <c r="C1248">
        <v>28</v>
      </c>
    </row>
    <row r="1249" spans="1:3" x14ac:dyDescent="0.25">
      <c r="A1249" s="1">
        <v>40432</v>
      </c>
      <c r="B1249" t="s">
        <v>9</v>
      </c>
      <c r="C1249">
        <v>297</v>
      </c>
    </row>
    <row r="1250" spans="1:3" x14ac:dyDescent="0.25">
      <c r="A1250" s="1">
        <v>40434</v>
      </c>
      <c r="B1250" t="s">
        <v>17</v>
      </c>
      <c r="C1250">
        <v>227</v>
      </c>
    </row>
    <row r="1251" spans="1:3" x14ac:dyDescent="0.25">
      <c r="A1251" s="1">
        <v>40434</v>
      </c>
      <c r="B1251" t="s">
        <v>140</v>
      </c>
      <c r="C1251">
        <v>14</v>
      </c>
    </row>
    <row r="1252" spans="1:3" x14ac:dyDescent="0.25">
      <c r="A1252" s="1">
        <v>40437</v>
      </c>
      <c r="B1252" t="s">
        <v>98</v>
      </c>
      <c r="C1252">
        <v>20</v>
      </c>
    </row>
    <row r="1253" spans="1:3" x14ac:dyDescent="0.25">
      <c r="A1253" s="1">
        <v>40439</v>
      </c>
      <c r="B1253" t="s">
        <v>63</v>
      </c>
      <c r="C1253">
        <v>194</v>
      </c>
    </row>
    <row r="1254" spans="1:3" x14ac:dyDescent="0.25">
      <c r="A1254" s="1">
        <v>40439</v>
      </c>
      <c r="B1254" t="s">
        <v>35</v>
      </c>
      <c r="C1254">
        <v>58</v>
      </c>
    </row>
    <row r="1255" spans="1:3" x14ac:dyDescent="0.25">
      <c r="A1255" s="1">
        <v>40440</v>
      </c>
      <c r="B1255" t="s">
        <v>66</v>
      </c>
      <c r="C1255">
        <v>30</v>
      </c>
    </row>
    <row r="1256" spans="1:3" x14ac:dyDescent="0.25">
      <c r="A1256" s="1">
        <v>40440</v>
      </c>
      <c r="B1256" t="s">
        <v>17</v>
      </c>
      <c r="C1256">
        <v>159</v>
      </c>
    </row>
    <row r="1257" spans="1:3" x14ac:dyDescent="0.25">
      <c r="A1257" s="1">
        <v>40443</v>
      </c>
      <c r="B1257" t="s">
        <v>22</v>
      </c>
      <c r="C1257">
        <v>279</v>
      </c>
    </row>
    <row r="1258" spans="1:3" x14ac:dyDescent="0.25">
      <c r="A1258" s="1">
        <v>40444</v>
      </c>
      <c r="B1258" t="s">
        <v>26</v>
      </c>
      <c r="C1258">
        <v>38</v>
      </c>
    </row>
    <row r="1259" spans="1:3" x14ac:dyDescent="0.25">
      <c r="A1259" s="1">
        <v>40446</v>
      </c>
      <c r="B1259" t="s">
        <v>36</v>
      </c>
      <c r="C1259">
        <v>7</v>
      </c>
    </row>
    <row r="1260" spans="1:3" x14ac:dyDescent="0.25">
      <c r="A1260" s="1">
        <v>40447</v>
      </c>
      <c r="B1260" t="s">
        <v>22</v>
      </c>
      <c r="C1260">
        <v>154</v>
      </c>
    </row>
    <row r="1261" spans="1:3" x14ac:dyDescent="0.25">
      <c r="A1261" s="1">
        <v>40447</v>
      </c>
      <c r="B1261" t="s">
        <v>50</v>
      </c>
      <c r="C1261">
        <v>274</v>
      </c>
    </row>
    <row r="1262" spans="1:3" x14ac:dyDescent="0.25">
      <c r="A1262" s="1">
        <v>40448</v>
      </c>
      <c r="B1262" t="s">
        <v>14</v>
      </c>
      <c r="C1262">
        <v>219</v>
      </c>
    </row>
    <row r="1263" spans="1:3" x14ac:dyDescent="0.25">
      <c r="A1263" s="1">
        <v>40449</v>
      </c>
      <c r="B1263" t="s">
        <v>30</v>
      </c>
      <c r="C1263">
        <v>57</v>
      </c>
    </row>
    <row r="1264" spans="1:3" x14ac:dyDescent="0.25">
      <c r="A1264" s="1">
        <v>40449</v>
      </c>
      <c r="B1264" t="s">
        <v>12</v>
      </c>
      <c r="C1264">
        <v>152</v>
      </c>
    </row>
    <row r="1265" spans="1:3" x14ac:dyDescent="0.25">
      <c r="A1265" s="1">
        <v>40454</v>
      </c>
      <c r="B1265" t="s">
        <v>45</v>
      </c>
      <c r="C1265">
        <v>263</v>
      </c>
    </row>
    <row r="1266" spans="1:3" x14ac:dyDescent="0.25">
      <c r="A1266" s="1">
        <v>40456</v>
      </c>
      <c r="B1266" t="s">
        <v>28</v>
      </c>
      <c r="C1266">
        <v>61</v>
      </c>
    </row>
    <row r="1267" spans="1:3" x14ac:dyDescent="0.25">
      <c r="A1267" s="1">
        <v>40456</v>
      </c>
      <c r="B1267" t="s">
        <v>50</v>
      </c>
      <c r="C1267">
        <v>217</v>
      </c>
    </row>
    <row r="1268" spans="1:3" x14ac:dyDescent="0.25">
      <c r="A1268" s="1">
        <v>40457</v>
      </c>
      <c r="B1268" t="s">
        <v>61</v>
      </c>
      <c r="C1268">
        <v>28</v>
      </c>
    </row>
    <row r="1269" spans="1:3" x14ac:dyDescent="0.25">
      <c r="A1269" s="1">
        <v>40457</v>
      </c>
      <c r="B1269" t="s">
        <v>45</v>
      </c>
      <c r="C1269">
        <v>299</v>
      </c>
    </row>
    <row r="1270" spans="1:3" x14ac:dyDescent="0.25">
      <c r="A1270" s="1">
        <v>40460</v>
      </c>
      <c r="B1270" t="s">
        <v>14</v>
      </c>
      <c r="C1270">
        <v>429</v>
      </c>
    </row>
    <row r="1271" spans="1:3" x14ac:dyDescent="0.25">
      <c r="A1271" s="1">
        <v>40463</v>
      </c>
      <c r="B1271" t="s">
        <v>14</v>
      </c>
      <c r="C1271">
        <v>427</v>
      </c>
    </row>
    <row r="1272" spans="1:3" x14ac:dyDescent="0.25">
      <c r="A1272" s="1">
        <v>40463</v>
      </c>
      <c r="B1272" t="s">
        <v>12</v>
      </c>
      <c r="C1272">
        <v>87</v>
      </c>
    </row>
    <row r="1273" spans="1:3" x14ac:dyDescent="0.25">
      <c r="A1273" s="1">
        <v>40463</v>
      </c>
      <c r="B1273" t="s">
        <v>141</v>
      </c>
      <c r="C1273">
        <v>17</v>
      </c>
    </row>
    <row r="1274" spans="1:3" x14ac:dyDescent="0.25">
      <c r="A1274" s="1">
        <v>40465</v>
      </c>
      <c r="B1274" t="s">
        <v>35</v>
      </c>
      <c r="C1274">
        <v>124</v>
      </c>
    </row>
    <row r="1275" spans="1:3" x14ac:dyDescent="0.25">
      <c r="A1275" s="1">
        <v>40467</v>
      </c>
      <c r="B1275" t="s">
        <v>7</v>
      </c>
      <c r="C1275">
        <v>406</v>
      </c>
    </row>
    <row r="1276" spans="1:3" x14ac:dyDescent="0.25">
      <c r="A1276" s="1">
        <v>40467</v>
      </c>
      <c r="B1276" t="s">
        <v>52</v>
      </c>
      <c r="C1276">
        <v>136</v>
      </c>
    </row>
    <row r="1277" spans="1:3" x14ac:dyDescent="0.25">
      <c r="A1277" s="1">
        <v>40468</v>
      </c>
      <c r="B1277" t="s">
        <v>25</v>
      </c>
      <c r="C1277">
        <v>44</v>
      </c>
    </row>
    <row r="1278" spans="1:3" x14ac:dyDescent="0.25">
      <c r="A1278" s="1">
        <v>40470</v>
      </c>
      <c r="B1278" t="s">
        <v>39</v>
      </c>
      <c r="C1278">
        <v>76</v>
      </c>
    </row>
    <row r="1279" spans="1:3" x14ac:dyDescent="0.25">
      <c r="A1279" s="1">
        <v>40473</v>
      </c>
      <c r="B1279" t="s">
        <v>19</v>
      </c>
      <c r="C1279">
        <v>104</v>
      </c>
    </row>
    <row r="1280" spans="1:3" x14ac:dyDescent="0.25">
      <c r="A1280" s="1">
        <v>40474</v>
      </c>
      <c r="B1280" t="s">
        <v>12</v>
      </c>
      <c r="C1280">
        <v>107</v>
      </c>
    </row>
    <row r="1281" spans="1:3" x14ac:dyDescent="0.25">
      <c r="A1281" s="1">
        <v>40477</v>
      </c>
      <c r="B1281" t="s">
        <v>22</v>
      </c>
      <c r="C1281">
        <v>339</v>
      </c>
    </row>
    <row r="1282" spans="1:3" x14ac:dyDescent="0.25">
      <c r="A1282" s="1">
        <v>40480</v>
      </c>
      <c r="B1282" t="s">
        <v>45</v>
      </c>
      <c r="C1282">
        <v>313</v>
      </c>
    </row>
    <row r="1283" spans="1:3" x14ac:dyDescent="0.25">
      <c r="A1283" s="1">
        <v>40481</v>
      </c>
      <c r="B1283" t="s">
        <v>45</v>
      </c>
      <c r="C1283">
        <v>251</v>
      </c>
    </row>
    <row r="1284" spans="1:3" x14ac:dyDescent="0.25">
      <c r="A1284" s="1">
        <v>40481</v>
      </c>
      <c r="B1284" t="s">
        <v>14</v>
      </c>
      <c r="C1284">
        <v>126</v>
      </c>
    </row>
    <row r="1285" spans="1:3" x14ac:dyDescent="0.25">
      <c r="A1285" s="1">
        <v>40483</v>
      </c>
      <c r="B1285" t="s">
        <v>25</v>
      </c>
      <c r="C1285">
        <v>20</v>
      </c>
    </row>
    <row r="1286" spans="1:3" x14ac:dyDescent="0.25">
      <c r="A1286" s="1">
        <v>40484</v>
      </c>
      <c r="B1286" t="s">
        <v>69</v>
      </c>
      <c r="C1286">
        <v>80</v>
      </c>
    </row>
    <row r="1287" spans="1:3" x14ac:dyDescent="0.25">
      <c r="A1287" s="1">
        <v>40485</v>
      </c>
      <c r="B1287" t="s">
        <v>136</v>
      </c>
      <c r="C1287">
        <v>9</v>
      </c>
    </row>
    <row r="1288" spans="1:3" x14ac:dyDescent="0.25">
      <c r="A1288" s="1">
        <v>40487</v>
      </c>
      <c r="B1288" t="s">
        <v>19</v>
      </c>
      <c r="C1288">
        <v>50</v>
      </c>
    </row>
    <row r="1289" spans="1:3" x14ac:dyDescent="0.25">
      <c r="A1289" s="1">
        <v>40488</v>
      </c>
      <c r="B1289" t="s">
        <v>23</v>
      </c>
      <c r="C1289">
        <v>100</v>
      </c>
    </row>
    <row r="1290" spans="1:3" x14ac:dyDescent="0.25">
      <c r="A1290" s="1">
        <v>40489</v>
      </c>
      <c r="B1290" t="s">
        <v>142</v>
      </c>
      <c r="C1290">
        <v>2</v>
      </c>
    </row>
    <row r="1291" spans="1:3" x14ac:dyDescent="0.25">
      <c r="A1291" s="1">
        <v>40490</v>
      </c>
      <c r="B1291" t="s">
        <v>17</v>
      </c>
      <c r="C1291">
        <v>214</v>
      </c>
    </row>
    <row r="1292" spans="1:3" x14ac:dyDescent="0.25">
      <c r="A1292" s="1">
        <v>40491</v>
      </c>
      <c r="B1292" t="s">
        <v>70</v>
      </c>
      <c r="C1292">
        <v>17</v>
      </c>
    </row>
    <row r="1293" spans="1:3" x14ac:dyDescent="0.25">
      <c r="A1293" s="1">
        <v>40492</v>
      </c>
      <c r="B1293" t="s">
        <v>45</v>
      </c>
      <c r="C1293">
        <v>269</v>
      </c>
    </row>
    <row r="1294" spans="1:3" x14ac:dyDescent="0.25">
      <c r="A1294" s="1">
        <v>40496</v>
      </c>
      <c r="B1294" t="s">
        <v>172</v>
      </c>
      <c r="C1294">
        <v>2</v>
      </c>
    </row>
    <row r="1295" spans="1:3" x14ac:dyDescent="0.25">
      <c r="A1295" s="1">
        <v>40503</v>
      </c>
      <c r="B1295" t="s">
        <v>12</v>
      </c>
      <c r="C1295">
        <v>159</v>
      </c>
    </row>
    <row r="1296" spans="1:3" x14ac:dyDescent="0.25">
      <c r="A1296" s="1">
        <v>40504</v>
      </c>
      <c r="B1296" t="s">
        <v>28</v>
      </c>
      <c r="C1296">
        <v>167</v>
      </c>
    </row>
    <row r="1297" spans="1:3" x14ac:dyDescent="0.25">
      <c r="A1297" s="1">
        <v>40505</v>
      </c>
      <c r="B1297" t="s">
        <v>37</v>
      </c>
      <c r="C1297">
        <v>123</v>
      </c>
    </row>
    <row r="1298" spans="1:3" x14ac:dyDescent="0.25">
      <c r="A1298" s="1">
        <v>40505</v>
      </c>
      <c r="B1298" t="s">
        <v>28</v>
      </c>
      <c r="C1298">
        <v>32</v>
      </c>
    </row>
    <row r="1299" spans="1:3" x14ac:dyDescent="0.25">
      <c r="A1299" s="1">
        <v>40505</v>
      </c>
      <c r="B1299" t="s">
        <v>7</v>
      </c>
      <c r="C1299">
        <v>276</v>
      </c>
    </row>
    <row r="1300" spans="1:3" x14ac:dyDescent="0.25">
      <c r="A1300" s="1">
        <v>40508</v>
      </c>
      <c r="B1300" t="s">
        <v>14</v>
      </c>
      <c r="C1300">
        <v>191</v>
      </c>
    </row>
    <row r="1301" spans="1:3" x14ac:dyDescent="0.25">
      <c r="A1301" s="1">
        <v>40510</v>
      </c>
      <c r="B1301" t="s">
        <v>215</v>
      </c>
      <c r="C1301">
        <v>9</v>
      </c>
    </row>
    <row r="1302" spans="1:3" x14ac:dyDescent="0.25">
      <c r="A1302" s="1">
        <v>40511</v>
      </c>
      <c r="B1302" t="s">
        <v>30</v>
      </c>
      <c r="C1302">
        <v>174</v>
      </c>
    </row>
    <row r="1303" spans="1:3" x14ac:dyDescent="0.25">
      <c r="A1303" s="1">
        <v>40512</v>
      </c>
      <c r="B1303" t="s">
        <v>69</v>
      </c>
      <c r="C1303">
        <v>39</v>
      </c>
    </row>
    <row r="1304" spans="1:3" x14ac:dyDescent="0.25">
      <c r="A1304" s="1">
        <v>40513</v>
      </c>
      <c r="B1304" t="s">
        <v>7</v>
      </c>
      <c r="C1304">
        <v>330</v>
      </c>
    </row>
    <row r="1305" spans="1:3" x14ac:dyDescent="0.25">
      <c r="A1305" s="1">
        <v>40513</v>
      </c>
      <c r="B1305" t="s">
        <v>146</v>
      </c>
      <c r="C1305">
        <v>5</v>
      </c>
    </row>
    <row r="1306" spans="1:3" x14ac:dyDescent="0.25">
      <c r="A1306" s="1">
        <v>40516</v>
      </c>
      <c r="B1306" t="s">
        <v>14</v>
      </c>
      <c r="C1306">
        <v>175</v>
      </c>
    </row>
    <row r="1307" spans="1:3" x14ac:dyDescent="0.25">
      <c r="A1307" s="1">
        <v>40520</v>
      </c>
      <c r="B1307" t="s">
        <v>131</v>
      </c>
      <c r="C1307">
        <v>183</v>
      </c>
    </row>
    <row r="1308" spans="1:3" x14ac:dyDescent="0.25">
      <c r="A1308" s="1">
        <v>40520</v>
      </c>
      <c r="B1308" t="s">
        <v>45</v>
      </c>
      <c r="C1308">
        <v>423</v>
      </c>
    </row>
    <row r="1309" spans="1:3" x14ac:dyDescent="0.25">
      <c r="A1309" s="1">
        <v>40520</v>
      </c>
      <c r="B1309" t="s">
        <v>52</v>
      </c>
      <c r="C1309">
        <v>88</v>
      </c>
    </row>
    <row r="1310" spans="1:3" x14ac:dyDescent="0.25">
      <c r="A1310" s="1">
        <v>40521</v>
      </c>
      <c r="B1310" t="s">
        <v>17</v>
      </c>
      <c r="C1310">
        <v>241</v>
      </c>
    </row>
    <row r="1311" spans="1:3" x14ac:dyDescent="0.25">
      <c r="A1311" s="1">
        <v>40522</v>
      </c>
      <c r="B1311" t="s">
        <v>12</v>
      </c>
      <c r="C1311">
        <v>37</v>
      </c>
    </row>
    <row r="1312" spans="1:3" x14ac:dyDescent="0.25">
      <c r="A1312" s="1">
        <v>40528</v>
      </c>
      <c r="B1312" t="s">
        <v>78</v>
      </c>
      <c r="C1312">
        <v>164</v>
      </c>
    </row>
    <row r="1313" spans="1:3" x14ac:dyDescent="0.25">
      <c r="A1313" s="1">
        <v>40529</v>
      </c>
      <c r="B1313" t="s">
        <v>94</v>
      </c>
      <c r="C1313">
        <v>20</v>
      </c>
    </row>
    <row r="1314" spans="1:3" x14ac:dyDescent="0.25">
      <c r="A1314" s="1">
        <v>40533</v>
      </c>
      <c r="B1314" t="s">
        <v>182</v>
      </c>
      <c r="C1314">
        <v>8</v>
      </c>
    </row>
    <row r="1315" spans="1:3" x14ac:dyDescent="0.25">
      <c r="A1315" s="1">
        <v>40533</v>
      </c>
      <c r="B1315" t="s">
        <v>156</v>
      </c>
      <c r="C1315">
        <v>4</v>
      </c>
    </row>
    <row r="1316" spans="1:3" x14ac:dyDescent="0.25">
      <c r="A1316" s="1">
        <v>40538</v>
      </c>
      <c r="B1316" t="s">
        <v>22</v>
      </c>
      <c r="C1316">
        <v>408</v>
      </c>
    </row>
    <row r="1317" spans="1:3" x14ac:dyDescent="0.25">
      <c r="A1317" s="1">
        <v>40544</v>
      </c>
      <c r="B1317" t="s">
        <v>142</v>
      </c>
      <c r="C1317">
        <v>20</v>
      </c>
    </row>
    <row r="1318" spans="1:3" x14ac:dyDescent="0.25">
      <c r="A1318" s="1">
        <v>40545</v>
      </c>
      <c r="B1318" t="s">
        <v>31</v>
      </c>
      <c r="C1318">
        <v>102</v>
      </c>
    </row>
    <row r="1319" spans="1:3" x14ac:dyDescent="0.25">
      <c r="A1319" s="1">
        <v>40546</v>
      </c>
      <c r="B1319" t="s">
        <v>9</v>
      </c>
      <c r="C1319">
        <v>240</v>
      </c>
    </row>
    <row r="1320" spans="1:3" x14ac:dyDescent="0.25">
      <c r="A1320" s="1">
        <v>40548</v>
      </c>
      <c r="B1320" t="s">
        <v>10</v>
      </c>
      <c r="C1320">
        <v>124</v>
      </c>
    </row>
    <row r="1321" spans="1:3" x14ac:dyDescent="0.25">
      <c r="A1321" s="1">
        <v>40550</v>
      </c>
      <c r="B1321" t="s">
        <v>45</v>
      </c>
      <c r="C1321">
        <v>330</v>
      </c>
    </row>
    <row r="1322" spans="1:3" x14ac:dyDescent="0.25">
      <c r="A1322" s="1">
        <v>40554</v>
      </c>
      <c r="B1322" t="s">
        <v>26</v>
      </c>
      <c r="C1322">
        <v>187</v>
      </c>
    </row>
    <row r="1323" spans="1:3" x14ac:dyDescent="0.25">
      <c r="A1323" s="1">
        <v>40561</v>
      </c>
      <c r="B1323" t="s">
        <v>52</v>
      </c>
      <c r="C1323">
        <v>165</v>
      </c>
    </row>
    <row r="1324" spans="1:3" x14ac:dyDescent="0.25">
      <c r="A1324" s="1">
        <v>40562</v>
      </c>
      <c r="B1324" t="s">
        <v>5</v>
      </c>
      <c r="C1324">
        <v>371</v>
      </c>
    </row>
    <row r="1325" spans="1:3" x14ac:dyDescent="0.25">
      <c r="A1325" s="1">
        <v>40564</v>
      </c>
      <c r="B1325" t="s">
        <v>39</v>
      </c>
      <c r="C1325">
        <v>185</v>
      </c>
    </row>
    <row r="1326" spans="1:3" x14ac:dyDescent="0.25">
      <c r="A1326" s="1">
        <v>40566</v>
      </c>
      <c r="B1326" t="s">
        <v>9</v>
      </c>
      <c r="C1326">
        <v>401</v>
      </c>
    </row>
    <row r="1327" spans="1:3" x14ac:dyDescent="0.25">
      <c r="A1327" s="1">
        <v>40568</v>
      </c>
      <c r="B1327" t="s">
        <v>55</v>
      </c>
      <c r="C1327">
        <v>25</v>
      </c>
    </row>
    <row r="1328" spans="1:3" x14ac:dyDescent="0.25">
      <c r="A1328" s="1">
        <v>40568</v>
      </c>
      <c r="B1328" t="s">
        <v>93</v>
      </c>
      <c r="C1328">
        <v>3</v>
      </c>
    </row>
    <row r="1329" spans="1:3" x14ac:dyDescent="0.25">
      <c r="A1329" s="1">
        <v>40568</v>
      </c>
      <c r="B1329" t="s">
        <v>170</v>
      </c>
      <c r="C1329">
        <v>11</v>
      </c>
    </row>
    <row r="1330" spans="1:3" x14ac:dyDescent="0.25">
      <c r="A1330" s="1">
        <v>40573</v>
      </c>
      <c r="B1330" t="s">
        <v>216</v>
      </c>
      <c r="C1330">
        <v>18</v>
      </c>
    </row>
    <row r="1331" spans="1:3" x14ac:dyDescent="0.25">
      <c r="A1331" s="1">
        <v>40573</v>
      </c>
      <c r="B1331" t="s">
        <v>45</v>
      </c>
      <c r="C1331">
        <v>154</v>
      </c>
    </row>
    <row r="1332" spans="1:3" x14ac:dyDescent="0.25">
      <c r="A1332" s="1">
        <v>40574</v>
      </c>
      <c r="B1332" t="s">
        <v>50</v>
      </c>
      <c r="C1332">
        <v>423</v>
      </c>
    </row>
    <row r="1333" spans="1:3" x14ac:dyDescent="0.25">
      <c r="A1333" s="1">
        <v>40576</v>
      </c>
      <c r="B1333" t="s">
        <v>127</v>
      </c>
      <c r="C1333">
        <v>6</v>
      </c>
    </row>
    <row r="1334" spans="1:3" x14ac:dyDescent="0.25">
      <c r="A1334" s="1">
        <v>40580</v>
      </c>
      <c r="B1334" t="s">
        <v>28</v>
      </c>
      <c r="C1334">
        <v>62</v>
      </c>
    </row>
    <row r="1335" spans="1:3" x14ac:dyDescent="0.25">
      <c r="A1335" s="1">
        <v>40581</v>
      </c>
      <c r="B1335" t="s">
        <v>136</v>
      </c>
      <c r="C1335">
        <v>15</v>
      </c>
    </row>
    <row r="1336" spans="1:3" x14ac:dyDescent="0.25">
      <c r="A1336" s="1">
        <v>40583</v>
      </c>
      <c r="B1336" t="s">
        <v>9</v>
      </c>
      <c r="C1336">
        <v>311</v>
      </c>
    </row>
    <row r="1337" spans="1:3" x14ac:dyDescent="0.25">
      <c r="A1337" s="1">
        <v>40584</v>
      </c>
      <c r="B1337" t="s">
        <v>19</v>
      </c>
      <c r="C1337">
        <v>127</v>
      </c>
    </row>
    <row r="1338" spans="1:3" x14ac:dyDescent="0.25">
      <c r="A1338" s="1">
        <v>40585</v>
      </c>
      <c r="B1338" t="s">
        <v>22</v>
      </c>
      <c r="C1338">
        <v>483</v>
      </c>
    </row>
    <row r="1339" spans="1:3" x14ac:dyDescent="0.25">
      <c r="A1339" s="1">
        <v>40588</v>
      </c>
      <c r="B1339" t="s">
        <v>217</v>
      </c>
      <c r="C1339">
        <v>9</v>
      </c>
    </row>
    <row r="1340" spans="1:3" x14ac:dyDescent="0.25">
      <c r="A1340" s="1">
        <v>40593</v>
      </c>
      <c r="B1340" t="s">
        <v>20</v>
      </c>
      <c r="C1340">
        <v>75</v>
      </c>
    </row>
    <row r="1341" spans="1:3" x14ac:dyDescent="0.25">
      <c r="A1341" s="1">
        <v>40598</v>
      </c>
      <c r="B1341" t="s">
        <v>218</v>
      </c>
      <c r="C1341">
        <v>7</v>
      </c>
    </row>
    <row r="1342" spans="1:3" x14ac:dyDescent="0.25">
      <c r="A1342" s="1">
        <v>40602</v>
      </c>
      <c r="B1342" t="s">
        <v>35</v>
      </c>
      <c r="C1342">
        <v>114</v>
      </c>
    </row>
    <row r="1343" spans="1:3" x14ac:dyDescent="0.25">
      <c r="A1343" s="1">
        <v>40605</v>
      </c>
      <c r="B1343" t="s">
        <v>123</v>
      </c>
      <c r="C1343">
        <v>151</v>
      </c>
    </row>
    <row r="1344" spans="1:3" x14ac:dyDescent="0.25">
      <c r="A1344" s="1">
        <v>40608</v>
      </c>
      <c r="B1344" t="s">
        <v>10</v>
      </c>
      <c r="C1344">
        <v>116</v>
      </c>
    </row>
    <row r="1345" spans="1:3" x14ac:dyDescent="0.25">
      <c r="A1345" s="1">
        <v>40609</v>
      </c>
      <c r="B1345" t="s">
        <v>12</v>
      </c>
      <c r="C1345">
        <v>76</v>
      </c>
    </row>
    <row r="1346" spans="1:3" x14ac:dyDescent="0.25">
      <c r="A1346" s="1">
        <v>40610</v>
      </c>
      <c r="B1346" t="s">
        <v>6</v>
      </c>
      <c r="C1346">
        <v>25</v>
      </c>
    </row>
    <row r="1347" spans="1:3" x14ac:dyDescent="0.25">
      <c r="A1347" s="1">
        <v>40614</v>
      </c>
      <c r="B1347" t="s">
        <v>31</v>
      </c>
      <c r="C1347">
        <v>37</v>
      </c>
    </row>
    <row r="1348" spans="1:3" x14ac:dyDescent="0.25">
      <c r="A1348" s="1">
        <v>40616</v>
      </c>
      <c r="B1348" t="s">
        <v>80</v>
      </c>
      <c r="C1348">
        <v>108</v>
      </c>
    </row>
    <row r="1349" spans="1:3" x14ac:dyDescent="0.25">
      <c r="A1349" s="1">
        <v>40617</v>
      </c>
      <c r="B1349" t="s">
        <v>7</v>
      </c>
      <c r="C1349">
        <v>199</v>
      </c>
    </row>
    <row r="1350" spans="1:3" x14ac:dyDescent="0.25">
      <c r="A1350" s="1">
        <v>40617</v>
      </c>
      <c r="B1350" t="s">
        <v>45</v>
      </c>
      <c r="C1350">
        <v>128</v>
      </c>
    </row>
    <row r="1351" spans="1:3" x14ac:dyDescent="0.25">
      <c r="A1351" s="1">
        <v>40618</v>
      </c>
      <c r="B1351" t="s">
        <v>58</v>
      </c>
      <c r="C1351">
        <v>32</v>
      </c>
    </row>
    <row r="1352" spans="1:3" x14ac:dyDescent="0.25">
      <c r="A1352" s="1">
        <v>40625</v>
      </c>
      <c r="B1352" t="s">
        <v>30</v>
      </c>
      <c r="C1352">
        <v>151</v>
      </c>
    </row>
    <row r="1353" spans="1:3" x14ac:dyDescent="0.25">
      <c r="A1353" s="1">
        <v>40626</v>
      </c>
      <c r="B1353" t="s">
        <v>153</v>
      </c>
      <c r="C1353">
        <v>8</v>
      </c>
    </row>
    <row r="1354" spans="1:3" x14ac:dyDescent="0.25">
      <c r="A1354" s="1">
        <v>40627</v>
      </c>
      <c r="B1354" t="s">
        <v>14</v>
      </c>
      <c r="C1354">
        <v>411</v>
      </c>
    </row>
    <row r="1355" spans="1:3" x14ac:dyDescent="0.25">
      <c r="A1355" s="1">
        <v>40628</v>
      </c>
      <c r="B1355" t="s">
        <v>52</v>
      </c>
      <c r="C1355">
        <v>119</v>
      </c>
    </row>
    <row r="1356" spans="1:3" x14ac:dyDescent="0.25">
      <c r="A1356" s="1">
        <v>40630</v>
      </c>
      <c r="B1356" t="s">
        <v>17</v>
      </c>
      <c r="C1356">
        <v>366</v>
      </c>
    </row>
    <row r="1357" spans="1:3" x14ac:dyDescent="0.25">
      <c r="A1357" s="1">
        <v>40633</v>
      </c>
      <c r="B1357" t="s">
        <v>69</v>
      </c>
      <c r="C1357">
        <v>20</v>
      </c>
    </row>
    <row r="1358" spans="1:3" x14ac:dyDescent="0.25">
      <c r="A1358" s="1">
        <v>40635</v>
      </c>
      <c r="B1358" t="s">
        <v>123</v>
      </c>
      <c r="C1358">
        <v>124</v>
      </c>
    </row>
    <row r="1359" spans="1:3" x14ac:dyDescent="0.25">
      <c r="A1359" s="1">
        <v>40635</v>
      </c>
      <c r="B1359" t="s">
        <v>10</v>
      </c>
      <c r="C1359">
        <v>30</v>
      </c>
    </row>
    <row r="1360" spans="1:3" x14ac:dyDescent="0.25">
      <c r="A1360" s="1">
        <v>40636</v>
      </c>
      <c r="B1360" t="s">
        <v>14</v>
      </c>
      <c r="C1360">
        <v>237</v>
      </c>
    </row>
    <row r="1361" spans="1:3" x14ac:dyDescent="0.25">
      <c r="A1361" s="1">
        <v>40638</v>
      </c>
      <c r="B1361" t="s">
        <v>22</v>
      </c>
      <c r="C1361">
        <v>355</v>
      </c>
    </row>
    <row r="1362" spans="1:3" x14ac:dyDescent="0.25">
      <c r="A1362" s="1">
        <v>40642</v>
      </c>
      <c r="B1362" t="s">
        <v>45</v>
      </c>
      <c r="C1362">
        <v>162</v>
      </c>
    </row>
    <row r="1363" spans="1:3" x14ac:dyDescent="0.25">
      <c r="A1363" s="1">
        <v>40647</v>
      </c>
      <c r="B1363" t="s">
        <v>35</v>
      </c>
      <c r="C1363">
        <v>46</v>
      </c>
    </row>
    <row r="1364" spans="1:3" x14ac:dyDescent="0.25">
      <c r="A1364" s="1">
        <v>40647</v>
      </c>
      <c r="B1364" t="s">
        <v>219</v>
      </c>
      <c r="C1364">
        <v>13</v>
      </c>
    </row>
    <row r="1365" spans="1:3" x14ac:dyDescent="0.25">
      <c r="A1365" s="1">
        <v>40647</v>
      </c>
      <c r="B1365" t="s">
        <v>118</v>
      </c>
      <c r="C1365">
        <v>14</v>
      </c>
    </row>
    <row r="1366" spans="1:3" x14ac:dyDescent="0.25">
      <c r="A1366" s="1">
        <v>40647</v>
      </c>
      <c r="B1366" t="s">
        <v>220</v>
      </c>
      <c r="C1366">
        <v>4</v>
      </c>
    </row>
    <row r="1367" spans="1:3" x14ac:dyDescent="0.25">
      <c r="A1367" s="1">
        <v>40651</v>
      </c>
      <c r="B1367" t="s">
        <v>9</v>
      </c>
      <c r="C1367">
        <v>470</v>
      </c>
    </row>
    <row r="1368" spans="1:3" x14ac:dyDescent="0.25">
      <c r="A1368" s="1">
        <v>40651</v>
      </c>
      <c r="B1368" t="s">
        <v>221</v>
      </c>
      <c r="C1368">
        <v>9</v>
      </c>
    </row>
    <row r="1369" spans="1:3" x14ac:dyDescent="0.25">
      <c r="A1369" s="1">
        <v>40651</v>
      </c>
      <c r="B1369" t="s">
        <v>58</v>
      </c>
      <c r="C1369">
        <v>37</v>
      </c>
    </row>
    <row r="1370" spans="1:3" x14ac:dyDescent="0.25">
      <c r="A1370" s="1">
        <v>40652</v>
      </c>
      <c r="B1370" t="s">
        <v>28</v>
      </c>
      <c r="C1370">
        <v>55</v>
      </c>
    </row>
    <row r="1371" spans="1:3" x14ac:dyDescent="0.25">
      <c r="A1371" s="1">
        <v>40654</v>
      </c>
      <c r="B1371" t="s">
        <v>55</v>
      </c>
      <c r="C1371">
        <v>140</v>
      </c>
    </row>
    <row r="1372" spans="1:3" x14ac:dyDescent="0.25">
      <c r="A1372" s="1">
        <v>40656</v>
      </c>
      <c r="B1372" t="s">
        <v>222</v>
      </c>
      <c r="C1372">
        <v>12</v>
      </c>
    </row>
    <row r="1373" spans="1:3" x14ac:dyDescent="0.25">
      <c r="A1373" s="1">
        <v>40658</v>
      </c>
      <c r="B1373" t="s">
        <v>12</v>
      </c>
      <c r="C1373">
        <v>20</v>
      </c>
    </row>
    <row r="1374" spans="1:3" x14ac:dyDescent="0.25">
      <c r="A1374" s="1">
        <v>40662</v>
      </c>
      <c r="B1374" t="s">
        <v>50</v>
      </c>
      <c r="C1374">
        <v>478</v>
      </c>
    </row>
    <row r="1375" spans="1:3" x14ac:dyDescent="0.25">
      <c r="A1375" s="1">
        <v>40664</v>
      </c>
      <c r="B1375" t="s">
        <v>22</v>
      </c>
      <c r="C1375">
        <v>289</v>
      </c>
    </row>
    <row r="1376" spans="1:3" x14ac:dyDescent="0.25">
      <c r="A1376" s="1">
        <v>40665</v>
      </c>
      <c r="B1376" t="s">
        <v>57</v>
      </c>
      <c r="C1376">
        <v>1</v>
      </c>
    </row>
    <row r="1377" spans="1:3" x14ac:dyDescent="0.25">
      <c r="A1377" s="1">
        <v>40665</v>
      </c>
      <c r="B1377" t="s">
        <v>149</v>
      </c>
      <c r="C1377">
        <v>15</v>
      </c>
    </row>
    <row r="1378" spans="1:3" x14ac:dyDescent="0.25">
      <c r="A1378" s="1">
        <v>40668</v>
      </c>
      <c r="B1378" t="s">
        <v>7</v>
      </c>
      <c r="C1378">
        <v>400</v>
      </c>
    </row>
    <row r="1379" spans="1:3" x14ac:dyDescent="0.25">
      <c r="A1379" s="1">
        <v>40669</v>
      </c>
      <c r="B1379" t="s">
        <v>108</v>
      </c>
      <c r="C1379">
        <v>1</v>
      </c>
    </row>
    <row r="1380" spans="1:3" x14ac:dyDescent="0.25">
      <c r="A1380" s="1">
        <v>40670</v>
      </c>
      <c r="B1380" t="s">
        <v>8</v>
      </c>
      <c r="C1380">
        <v>184</v>
      </c>
    </row>
    <row r="1381" spans="1:3" x14ac:dyDescent="0.25">
      <c r="A1381" s="1">
        <v>40670</v>
      </c>
      <c r="B1381" t="s">
        <v>6</v>
      </c>
      <c r="C1381">
        <v>99</v>
      </c>
    </row>
    <row r="1382" spans="1:3" x14ac:dyDescent="0.25">
      <c r="A1382" s="1">
        <v>40671</v>
      </c>
      <c r="B1382" t="s">
        <v>10</v>
      </c>
      <c r="C1382">
        <v>143</v>
      </c>
    </row>
    <row r="1383" spans="1:3" x14ac:dyDescent="0.25">
      <c r="A1383" s="1">
        <v>40672</v>
      </c>
      <c r="B1383" t="s">
        <v>30</v>
      </c>
      <c r="C1383">
        <v>184</v>
      </c>
    </row>
    <row r="1384" spans="1:3" x14ac:dyDescent="0.25">
      <c r="A1384" s="1">
        <v>40676</v>
      </c>
      <c r="B1384" t="s">
        <v>163</v>
      </c>
      <c r="C1384">
        <v>3</v>
      </c>
    </row>
    <row r="1385" spans="1:3" x14ac:dyDescent="0.25">
      <c r="A1385" s="1">
        <v>40676</v>
      </c>
      <c r="B1385" t="s">
        <v>18</v>
      </c>
      <c r="C1385">
        <v>197</v>
      </c>
    </row>
    <row r="1386" spans="1:3" x14ac:dyDescent="0.25">
      <c r="A1386" s="1">
        <v>40680</v>
      </c>
      <c r="B1386" t="s">
        <v>4</v>
      </c>
      <c r="C1386">
        <v>18</v>
      </c>
    </row>
    <row r="1387" spans="1:3" x14ac:dyDescent="0.25">
      <c r="A1387" s="1">
        <v>40685</v>
      </c>
      <c r="B1387" t="s">
        <v>0</v>
      </c>
      <c r="C1387">
        <v>7</v>
      </c>
    </row>
    <row r="1388" spans="1:3" x14ac:dyDescent="0.25">
      <c r="A1388" s="1">
        <v>40686</v>
      </c>
      <c r="B1388" t="s">
        <v>9</v>
      </c>
      <c r="C1388">
        <v>381</v>
      </c>
    </row>
    <row r="1389" spans="1:3" x14ac:dyDescent="0.25">
      <c r="A1389" s="1">
        <v>40689</v>
      </c>
      <c r="B1389" t="s">
        <v>61</v>
      </c>
      <c r="C1389">
        <v>45</v>
      </c>
    </row>
    <row r="1390" spans="1:3" x14ac:dyDescent="0.25">
      <c r="A1390" s="1">
        <v>40691</v>
      </c>
      <c r="B1390" t="s">
        <v>17</v>
      </c>
      <c r="C1390">
        <v>499</v>
      </c>
    </row>
    <row r="1391" spans="1:3" x14ac:dyDescent="0.25">
      <c r="A1391" s="1">
        <v>40695</v>
      </c>
      <c r="B1391" t="s">
        <v>17</v>
      </c>
      <c r="C1391">
        <v>134</v>
      </c>
    </row>
    <row r="1392" spans="1:3" x14ac:dyDescent="0.25">
      <c r="A1392" s="1">
        <v>40695</v>
      </c>
      <c r="B1392" t="s">
        <v>52</v>
      </c>
      <c r="C1392">
        <v>132</v>
      </c>
    </row>
    <row r="1393" spans="1:3" x14ac:dyDescent="0.25">
      <c r="A1393" s="1">
        <v>40696</v>
      </c>
      <c r="B1393" t="s">
        <v>19</v>
      </c>
      <c r="C1393">
        <v>180</v>
      </c>
    </row>
    <row r="1394" spans="1:3" x14ac:dyDescent="0.25">
      <c r="A1394" s="1">
        <v>40699</v>
      </c>
      <c r="B1394" t="s">
        <v>221</v>
      </c>
      <c r="C1394">
        <v>5</v>
      </c>
    </row>
    <row r="1395" spans="1:3" x14ac:dyDescent="0.25">
      <c r="A1395" s="1">
        <v>40701</v>
      </c>
      <c r="B1395" t="s">
        <v>24</v>
      </c>
      <c r="C1395">
        <v>110</v>
      </c>
    </row>
    <row r="1396" spans="1:3" x14ac:dyDescent="0.25">
      <c r="A1396" s="1">
        <v>40702</v>
      </c>
      <c r="B1396" t="s">
        <v>52</v>
      </c>
      <c r="C1396">
        <v>54</v>
      </c>
    </row>
    <row r="1397" spans="1:3" x14ac:dyDescent="0.25">
      <c r="A1397" s="1">
        <v>40703</v>
      </c>
      <c r="B1397" t="s">
        <v>209</v>
      </c>
      <c r="C1397">
        <v>6</v>
      </c>
    </row>
    <row r="1398" spans="1:3" x14ac:dyDescent="0.25">
      <c r="A1398" s="1">
        <v>40704</v>
      </c>
      <c r="B1398" t="s">
        <v>50</v>
      </c>
      <c r="C1398">
        <v>476</v>
      </c>
    </row>
    <row r="1399" spans="1:3" x14ac:dyDescent="0.25">
      <c r="A1399" s="1">
        <v>40704</v>
      </c>
      <c r="B1399" t="s">
        <v>19</v>
      </c>
      <c r="C1399">
        <v>104</v>
      </c>
    </row>
    <row r="1400" spans="1:3" x14ac:dyDescent="0.25">
      <c r="A1400" s="1">
        <v>40704</v>
      </c>
      <c r="B1400" t="s">
        <v>31</v>
      </c>
      <c r="C1400">
        <v>104</v>
      </c>
    </row>
    <row r="1401" spans="1:3" x14ac:dyDescent="0.25">
      <c r="A1401" s="1">
        <v>40706</v>
      </c>
      <c r="B1401" t="s">
        <v>18</v>
      </c>
      <c r="C1401">
        <v>47</v>
      </c>
    </row>
    <row r="1402" spans="1:3" x14ac:dyDescent="0.25">
      <c r="A1402" s="1">
        <v>40706</v>
      </c>
      <c r="B1402" t="s">
        <v>35</v>
      </c>
      <c r="C1402">
        <v>127</v>
      </c>
    </row>
    <row r="1403" spans="1:3" x14ac:dyDescent="0.25">
      <c r="A1403" s="1">
        <v>40708</v>
      </c>
      <c r="B1403" t="s">
        <v>25</v>
      </c>
      <c r="C1403">
        <v>143</v>
      </c>
    </row>
    <row r="1404" spans="1:3" x14ac:dyDescent="0.25">
      <c r="A1404" s="1">
        <v>40711</v>
      </c>
      <c r="B1404" t="s">
        <v>58</v>
      </c>
      <c r="C1404">
        <v>181</v>
      </c>
    </row>
    <row r="1405" spans="1:3" x14ac:dyDescent="0.25">
      <c r="A1405" s="1">
        <v>40714</v>
      </c>
      <c r="B1405" t="s">
        <v>19</v>
      </c>
      <c r="C1405">
        <v>139</v>
      </c>
    </row>
    <row r="1406" spans="1:3" x14ac:dyDescent="0.25">
      <c r="A1406" s="1">
        <v>40717</v>
      </c>
      <c r="B1406" t="s">
        <v>52</v>
      </c>
      <c r="C1406">
        <v>187</v>
      </c>
    </row>
    <row r="1407" spans="1:3" x14ac:dyDescent="0.25">
      <c r="A1407" s="1">
        <v>40717</v>
      </c>
      <c r="B1407" t="s">
        <v>201</v>
      </c>
      <c r="C1407">
        <v>11</v>
      </c>
    </row>
    <row r="1408" spans="1:3" x14ac:dyDescent="0.25">
      <c r="A1408" s="1">
        <v>40718</v>
      </c>
      <c r="B1408" t="s">
        <v>55</v>
      </c>
      <c r="C1408">
        <v>170</v>
      </c>
    </row>
    <row r="1409" spans="1:3" x14ac:dyDescent="0.25">
      <c r="A1409" s="1">
        <v>40723</v>
      </c>
      <c r="B1409" t="s">
        <v>116</v>
      </c>
      <c r="C1409">
        <v>7</v>
      </c>
    </row>
    <row r="1410" spans="1:3" x14ac:dyDescent="0.25">
      <c r="A1410" s="1">
        <v>40727</v>
      </c>
      <c r="B1410" t="s">
        <v>12</v>
      </c>
      <c r="C1410">
        <v>168</v>
      </c>
    </row>
    <row r="1411" spans="1:3" x14ac:dyDescent="0.25">
      <c r="A1411" s="1">
        <v>40727</v>
      </c>
      <c r="B1411" t="s">
        <v>205</v>
      </c>
      <c r="C1411">
        <v>4</v>
      </c>
    </row>
    <row r="1412" spans="1:3" x14ac:dyDescent="0.25">
      <c r="A1412" s="1">
        <v>40727</v>
      </c>
      <c r="B1412" t="s">
        <v>9</v>
      </c>
      <c r="C1412">
        <v>145</v>
      </c>
    </row>
    <row r="1413" spans="1:3" x14ac:dyDescent="0.25">
      <c r="A1413" s="1">
        <v>40730</v>
      </c>
      <c r="B1413" t="s">
        <v>19</v>
      </c>
      <c r="C1413">
        <v>103</v>
      </c>
    </row>
    <row r="1414" spans="1:3" x14ac:dyDescent="0.25">
      <c r="A1414" s="1">
        <v>40732</v>
      </c>
      <c r="B1414" t="s">
        <v>17</v>
      </c>
      <c r="C1414">
        <v>101</v>
      </c>
    </row>
    <row r="1415" spans="1:3" x14ac:dyDescent="0.25">
      <c r="A1415" s="1">
        <v>40733</v>
      </c>
      <c r="B1415" t="s">
        <v>35</v>
      </c>
      <c r="C1415">
        <v>141</v>
      </c>
    </row>
    <row r="1416" spans="1:3" x14ac:dyDescent="0.25">
      <c r="A1416" s="1">
        <v>40733</v>
      </c>
      <c r="B1416" t="s">
        <v>194</v>
      </c>
      <c r="C1416">
        <v>6</v>
      </c>
    </row>
    <row r="1417" spans="1:3" x14ac:dyDescent="0.25">
      <c r="A1417" s="1">
        <v>40733</v>
      </c>
      <c r="B1417" t="s">
        <v>178</v>
      </c>
      <c r="C1417">
        <v>16</v>
      </c>
    </row>
    <row r="1418" spans="1:3" x14ac:dyDescent="0.25">
      <c r="A1418" s="1">
        <v>40735</v>
      </c>
      <c r="B1418" t="s">
        <v>17</v>
      </c>
      <c r="C1418">
        <v>276</v>
      </c>
    </row>
    <row r="1419" spans="1:3" x14ac:dyDescent="0.25">
      <c r="A1419" s="1">
        <v>40736</v>
      </c>
      <c r="B1419" t="s">
        <v>102</v>
      </c>
      <c r="C1419">
        <v>329</v>
      </c>
    </row>
    <row r="1420" spans="1:3" x14ac:dyDescent="0.25">
      <c r="A1420" s="1">
        <v>40737</v>
      </c>
      <c r="B1420" t="s">
        <v>52</v>
      </c>
      <c r="C1420">
        <v>200</v>
      </c>
    </row>
    <row r="1421" spans="1:3" x14ac:dyDescent="0.25">
      <c r="A1421" s="1">
        <v>40740</v>
      </c>
      <c r="B1421" t="s">
        <v>10</v>
      </c>
      <c r="C1421">
        <v>82</v>
      </c>
    </row>
    <row r="1422" spans="1:3" x14ac:dyDescent="0.25">
      <c r="A1422" s="1">
        <v>40740</v>
      </c>
      <c r="B1422" t="s">
        <v>37</v>
      </c>
      <c r="C1422">
        <v>66</v>
      </c>
    </row>
    <row r="1423" spans="1:3" x14ac:dyDescent="0.25">
      <c r="A1423" s="1">
        <v>40745</v>
      </c>
      <c r="B1423" t="s">
        <v>22</v>
      </c>
      <c r="C1423">
        <v>150</v>
      </c>
    </row>
    <row r="1424" spans="1:3" x14ac:dyDescent="0.25">
      <c r="A1424" s="1">
        <v>40745</v>
      </c>
      <c r="B1424" t="s">
        <v>69</v>
      </c>
      <c r="C1424">
        <v>63</v>
      </c>
    </row>
    <row r="1425" spans="1:3" x14ac:dyDescent="0.25">
      <c r="A1425" s="1">
        <v>40746</v>
      </c>
      <c r="B1425" t="s">
        <v>66</v>
      </c>
      <c r="C1425">
        <v>120</v>
      </c>
    </row>
    <row r="1426" spans="1:3" x14ac:dyDescent="0.25">
      <c r="A1426" s="1">
        <v>40747</v>
      </c>
      <c r="B1426" t="s">
        <v>7</v>
      </c>
      <c r="C1426">
        <v>155</v>
      </c>
    </row>
    <row r="1427" spans="1:3" x14ac:dyDescent="0.25">
      <c r="A1427" s="1">
        <v>40748</v>
      </c>
      <c r="B1427" t="s">
        <v>19</v>
      </c>
      <c r="C1427">
        <v>30</v>
      </c>
    </row>
    <row r="1428" spans="1:3" x14ac:dyDescent="0.25">
      <c r="A1428" s="1">
        <v>40748</v>
      </c>
      <c r="B1428" t="s">
        <v>71</v>
      </c>
      <c r="C1428">
        <v>34</v>
      </c>
    </row>
    <row r="1429" spans="1:3" x14ac:dyDescent="0.25">
      <c r="A1429" s="1">
        <v>40753</v>
      </c>
      <c r="B1429" t="s">
        <v>12</v>
      </c>
      <c r="C1429">
        <v>30</v>
      </c>
    </row>
    <row r="1430" spans="1:3" x14ac:dyDescent="0.25">
      <c r="A1430" s="1">
        <v>40753</v>
      </c>
      <c r="B1430" t="s">
        <v>6</v>
      </c>
      <c r="C1430">
        <v>162</v>
      </c>
    </row>
    <row r="1431" spans="1:3" x14ac:dyDescent="0.25">
      <c r="A1431" s="1">
        <v>40754</v>
      </c>
      <c r="B1431" t="s">
        <v>63</v>
      </c>
      <c r="C1431">
        <v>71</v>
      </c>
    </row>
    <row r="1432" spans="1:3" x14ac:dyDescent="0.25">
      <c r="A1432" s="1">
        <v>40755</v>
      </c>
      <c r="B1432" t="s">
        <v>155</v>
      </c>
      <c r="C1432">
        <v>16</v>
      </c>
    </row>
    <row r="1433" spans="1:3" x14ac:dyDescent="0.25">
      <c r="A1433" s="1">
        <v>40759</v>
      </c>
      <c r="B1433" t="s">
        <v>35</v>
      </c>
      <c r="C1433">
        <v>165</v>
      </c>
    </row>
    <row r="1434" spans="1:3" x14ac:dyDescent="0.25">
      <c r="A1434" s="1">
        <v>40760</v>
      </c>
      <c r="B1434" t="s">
        <v>35</v>
      </c>
      <c r="C1434">
        <v>180</v>
      </c>
    </row>
    <row r="1435" spans="1:3" x14ac:dyDescent="0.25">
      <c r="A1435" s="1">
        <v>40761</v>
      </c>
      <c r="B1435" t="s">
        <v>84</v>
      </c>
      <c r="C1435">
        <v>2</v>
      </c>
    </row>
    <row r="1436" spans="1:3" x14ac:dyDescent="0.25">
      <c r="A1436" s="1">
        <v>40766</v>
      </c>
      <c r="B1436" t="s">
        <v>37</v>
      </c>
      <c r="C1436">
        <v>111</v>
      </c>
    </row>
    <row r="1437" spans="1:3" x14ac:dyDescent="0.25">
      <c r="A1437" s="1">
        <v>40767</v>
      </c>
      <c r="B1437" t="s">
        <v>35</v>
      </c>
      <c r="C1437">
        <v>128</v>
      </c>
    </row>
    <row r="1438" spans="1:3" x14ac:dyDescent="0.25">
      <c r="A1438" s="1">
        <v>40768</v>
      </c>
      <c r="B1438" t="s">
        <v>110</v>
      </c>
      <c r="C1438">
        <v>7</v>
      </c>
    </row>
    <row r="1439" spans="1:3" x14ac:dyDescent="0.25">
      <c r="A1439" s="1">
        <v>40768</v>
      </c>
      <c r="B1439" t="s">
        <v>9</v>
      </c>
      <c r="C1439">
        <v>211</v>
      </c>
    </row>
    <row r="1440" spans="1:3" x14ac:dyDescent="0.25">
      <c r="A1440" s="1">
        <v>40768</v>
      </c>
      <c r="B1440" t="s">
        <v>6</v>
      </c>
      <c r="C1440">
        <v>184</v>
      </c>
    </row>
    <row r="1441" spans="1:3" x14ac:dyDescent="0.25">
      <c r="A1441" s="1">
        <v>40771</v>
      </c>
      <c r="B1441" t="s">
        <v>14</v>
      </c>
      <c r="C1441">
        <v>450</v>
      </c>
    </row>
    <row r="1442" spans="1:3" x14ac:dyDescent="0.25">
      <c r="A1442" s="1">
        <v>40771</v>
      </c>
      <c r="B1442" t="s">
        <v>120</v>
      </c>
      <c r="C1442">
        <v>140</v>
      </c>
    </row>
    <row r="1443" spans="1:3" x14ac:dyDescent="0.25">
      <c r="A1443" s="1">
        <v>40775</v>
      </c>
      <c r="B1443" t="s">
        <v>8</v>
      </c>
      <c r="C1443">
        <v>52</v>
      </c>
    </row>
    <row r="1444" spans="1:3" x14ac:dyDescent="0.25">
      <c r="A1444" s="1">
        <v>40777</v>
      </c>
      <c r="B1444" t="s">
        <v>181</v>
      </c>
      <c r="C1444">
        <v>2</v>
      </c>
    </row>
    <row r="1445" spans="1:3" x14ac:dyDescent="0.25">
      <c r="A1445" s="1">
        <v>40777</v>
      </c>
      <c r="B1445" t="s">
        <v>96</v>
      </c>
      <c r="C1445">
        <v>13</v>
      </c>
    </row>
    <row r="1446" spans="1:3" x14ac:dyDescent="0.25">
      <c r="A1446" s="1">
        <v>40777</v>
      </c>
      <c r="B1446" t="s">
        <v>37</v>
      </c>
      <c r="C1446">
        <v>73</v>
      </c>
    </row>
    <row r="1447" spans="1:3" x14ac:dyDescent="0.25">
      <c r="A1447" s="1">
        <v>40781</v>
      </c>
      <c r="B1447" t="s">
        <v>18</v>
      </c>
      <c r="C1447">
        <v>123</v>
      </c>
    </row>
    <row r="1448" spans="1:3" x14ac:dyDescent="0.25">
      <c r="A1448" s="1">
        <v>40783</v>
      </c>
      <c r="B1448" t="s">
        <v>68</v>
      </c>
      <c r="C1448">
        <v>3</v>
      </c>
    </row>
    <row r="1449" spans="1:3" x14ac:dyDescent="0.25">
      <c r="A1449" s="1">
        <v>40784</v>
      </c>
      <c r="B1449" t="s">
        <v>12</v>
      </c>
      <c r="C1449">
        <v>93</v>
      </c>
    </row>
    <row r="1450" spans="1:3" x14ac:dyDescent="0.25">
      <c r="A1450" s="1">
        <v>40789</v>
      </c>
      <c r="B1450" t="s">
        <v>24</v>
      </c>
      <c r="C1450">
        <v>310</v>
      </c>
    </row>
    <row r="1451" spans="1:3" x14ac:dyDescent="0.25">
      <c r="A1451" s="1">
        <v>40789</v>
      </c>
      <c r="B1451" t="s">
        <v>6</v>
      </c>
      <c r="C1451">
        <v>77</v>
      </c>
    </row>
    <row r="1452" spans="1:3" x14ac:dyDescent="0.25">
      <c r="A1452" s="1">
        <v>40793</v>
      </c>
      <c r="B1452" t="s">
        <v>10</v>
      </c>
      <c r="C1452">
        <v>21</v>
      </c>
    </row>
    <row r="1453" spans="1:3" x14ac:dyDescent="0.25">
      <c r="A1453" s="1">
        <v>40797</v>
      </c>
      <c r="B1453" t="s">
        <v>21</v>
      </c>
      <c r="C1453">
        <v>3</v>
      </c>
    </row>
    <row r="1454" spans="1:3" x14ac:dyDescent="0.25">
      <c r="A1454" s="1">
        <v>40799</v>
      </c>
      <c r="B1454" t="s">
        <v>28</v>
      </c>
      <c r="C1454">
        <v>176</v>
      </c>
    </row>
    <row r="1455" spans="1:3" x14ac:dyDescent="0.25">
      <c r="A1455" s="1">
        <v>40799</v>
      </c>
      <c r="B1455" t="s">
        <v>13</v>
      </c>
      <c r="C1455">
        <v>20</v>
      </c>
    </row>
    <row r="1456" spans="1:3" x14ac:dyDescent="0.25">
      <c r="A1456" s="1">
        <v>40800</v>
      </c>
      <c r="B1456" t="s">
        <v>24</v>
      </c>
      <c r="C1456">
        <v>230</v>
      </c>
    </row>
    <row r="1457" spans="1:3" x14ac:dyDescent="0.25">
      <c r="A1457" s="1">
        <v>40800</v>
      </c>
      <c r="B1457" t="s">
        <v>155</v>
      </c>
      <c r="C1457">
        <v>10</v>
      </c>
    </row>
    <row r="1458" spans="1:3" x14ac:dyDescent="0.25">
      <c r="A1458" s="1">
        <v>40802</v>
      </c>
      <c r="B1458" t="s">
        <v>163</v>
      </c>
      <c r="C1458">
        <v>12</v>
      </c>
    </row>
    <row r="1459" spans="1:3" x14ac:dyDescent="0.25">
      <c r="A1459" s="1">
        <v>40802</v>
      </c>
      <c r="B1459" t="s">
        <v>152</v>
      </c>
      <c r="C1459">
        <v>11</v>
      </c>
    </row>
    <row r="1460" spans="1:3" x14ac:dyDescent="0.25">
      <c r="A1460" s="1">
        <v>40803</v>
      </c>
      <c r="B1460" t="s">
        <v>9</v>
      </c>
      <c r="C1460">
        <v>383</v>
      </c>
    </row>
    <row r="1461" spans="1:3" x14ac:dyDescent="0.25">
      <c r="A1461" s="1">
        <v>40807</v>
      </c>
      <c r="B1461" t="s">
        <v>102</v>
      </c>
      <c r="C1461">
        <v>249</v>
      </c>
    </row>
    <row r="1462" spans="1:3" x14ac:dyDescent="0.25">
      <c r="A1462" s="1">
        <v>40810</v>
      </c>
      <c r="B1462" t="s">
        <v>164</v>
      </c>
      <c r="C1462">
        <v>8</v>
      </c>
    </row>
    <row r="1463" spans="1:3" x14ac:dyDescent="0.25">
      <c r="A1463" s="1">
        <v>40812</v>
      </c>
      <c r="B1463" t="s">
        <v>30</v>
      </c>
      <c r="C1463">
        <v>42</v>
      </c>
    </row>
    <row r="1464" spans="1:3" x14ac:dyDescent="0.25">
      <c r="A1464" s="1">
        <v>40815</v>
      </c>
      <c r="B1464" t="s">
        <v>223</v>
      </c>
      <c r="C1464">
        <v>1</v>
      </c>
    </row>
    <row r="1465" spans="1:3" x14ac:dyDescent="0.25">
      <c r="A1465" s="1">
        <v>40815</v>
      </c>
      <c r="B1465" t="s">
        <v>22</v>
      </c>
      <c r="C1465">
        <v>340</v>
      </c>
    </row>
    <row r="1466" spans="1:3" x14ac:dyDescent="0.25">
      <c r="A1466" s="1">
        <v>40817</v>
      </c>
      <c r="B1466" t="s">
        <v>17</v>
      </c>
      <c r="C1466">
        <v>394</v>
      </c>
    </row>
    <row r="1467" spans="1:3" x14ac:dyDescent="0.25">
      <c r="A1467" s="1">
        <v>40817</v>
      </c>
      <c r="B1467" t="s">
        <v>5</v>
      </c>
      <c r="C1467">
        <v>176</v>
      </c>
    </row>
    <row r="1468" spans="1:3" x14ac:dyDescent="0.25">
      <c r="A1468" s="1">
        <v>40818</v>
      </c>
      <c r="B1468" t="s">
        <v>28</v>
      </c>
      <c r="C1468">
        <v>181</v>
      </c>
    </row>
    <row r="1469" spans="1:3" x14ac:dyDescent="0.25">
      <c r="A1469" s="1">
        <v>40822</v>
      </c>
      <c r="B1469" t="s">
        <v>55</v>
      </c>
      <c r="C1469">
        <v>26</v>
      </c>
    </row>
    <row r="1470" spans="1:3" x14ac:dyDescent="0.25">
      <c r="A1470" s="1">
        <v>40826</v>
      </c>
      <c r="B1470" t="s">
        <v>25</v>
      </c>
      <c r="C1470">
        <v>73</v>
      </c>
    </row>
    <row r="1471" spans="1:3" x14ac:dyDescent="0.25">
      <c r="A1471" s="1">
        <v>40830</v>
      </c>
      <c r="B1471" t="s">
        <v>50</v>
      </c>
      <c r="C1471">
        <v>274</v>
      </c>
    </row>
    <row r="1472" spans="1:3" x14ac:dyDescent="0.25">
      <c r="A1472" s="1">
        <v>40833</v>
      </c>
      <c r="B1472" t="s">
        <v>212</v>
      </c>
      <c r="C1472">
        <v>8</v>
      </c>
    </row>
    <row r="1473" spans="1:3" x14ac:dyDescent="0.25">
      <c r="A1473" s="1">
        <v>40833</v>
      </c>
      <c r="B1473" t="s">
        <v>21</v>
      </c>
      <c r="C1473">
        <v>12</v>
      </c>
    </row>
    <row r="1474" spans="1:3" x14ac:dyDescent="0.25">
      <c r="A1474" s="1">
        <v>40837</v>
      </c>
      <c r="B1474" t="s">
        <v>50</v>
      </c>
      <c r="C1474">
        <v>496</v>
      </c>
    </row>
    <row r="1475" spans="1:3" x14ac:dyDescent="0.25">
      <c r="A1475" s="1">
        <v>40838</v>
      </c>
      <c r="B1475" t="s">
        <v>184</v>
      </c>
      <c r="C1475">
        <v>5</v>
      </c>
    </row>
    <row r="1476" spans="1:3" x14ac:dyDescent="0.25">
      <c r="A1476" s="1">
        <v>40839</v>
      </c>
      <c r="B1476" t="s">
        <v>75</v>
      </c>
      <c r="C1476">
        <v>2</v>
      </c>
    </row>
    <row r="1477" spans="1:3" x14ac:dyDescent="0.25">
      <c r="A1477" s="1">
        <v>40839</v>
      </c>
      <c r="B1477" t="s">
        <v>66</v>
      </c>
      <c r="C1477">
        <v>77</v>
      </c>
    </row>
    <row r="1478" spans="1:3" x14ac:dyDescent="0.25">
      <c r="A1478" s="1">
        <v>40847</v>
      </c>
      <c r="B1478" t="s">
        <v>25</v>
      </c>
      <c r="C1478">
        <v>134</v>
      </c>
    </row>
    <row r="1479" spans="1:3" x14ac:dyDescent="0.25">
      <c r="A1479" s="1">
        <v>40848</v>
      </c>
      <c r="B1479" t="s">
        <v>197</v>
      </c>
      <c r="C1479">
        <v>4</v>
      </c>
    </row>
    <row r="1480" spans="1:3" x14ac:dyDescent="0.25">
      <c r="A1480" s="1">
        <v>40850</v>
      </c>
      <c r="B1480" t="s">
        <v>55</v>
      </c>
      <c r="C1480">
        <v>46</v>
      </c>
    </row>
    <row r="1481" spans="1:3" x14ac:dyDescent="0.25">
      <c r="A1481" s="1">
        <v>40852</v>
      </c>
      <c r="B1481" t="s">
        <v>123</v>
      </c>
      <c r="C1481">
        <v>43</v>
      </c>
    </row>
    <row r="1482" spans="1:3" x14ac:dyDescent="0.25">
      <c r="A1482" s="1">
        <v>40855</v>
      </c>
      <c r="B1482" t="s">
        <v>21</v>
      </c>
      <c r="C1482">
        <v>2</v>
      </c>
    </row>
    <row r="1483" spans="1:3" x14ac:dyDescent="0.25">
      <c r="A1483" s="1">
        <v>40857</v>
      </c>
      <c r="B1483" t="s">
        <v>19</v>
      </c>
      <c r="C1483">
        <v>100</v>
      </c>
    </row>
    <row r="1484" spans="1:3" x14ac:dyDescent="0.25">
      <c r="A1484" s="1">
        <v>40857</v>
      </c>
      <c r="B1484" t="s">
        <v>22</v>
      </c>
      <c r="C1484">
        <v>438</v>
      </c>
    </row>
    <row r="1485" spans="1:3" x14ac:dyDescent="0.25">
      <c r="A1485" s="1">
        <v>40859</v>
      </c>
      <c r="B1485" t="s">
        <v>26</v>
      </c>
      <c r="C1485">
        <v>69</v>
      </c>
    </row>
    <row r="1486" spans="1:3" x14ac:dyDescent="0.25">
      <c r="A1486" s="1">
        <v>40864</v>
      </c>
      <c r="B1486" t="s">
        <v>8</v>
      </c>
      <c r="C1486">
        <v>22</v>
      </c>
    </row>
    <row r="1487" spans="1:3" x14ac:dyDescent="0.25">
      <c r="A1487" s="1">
        <v>40865</v>
      </c>
      <c r="B1487" t="s">
        <v>55</v>
      </c>
      <c r="C1487">
        <v>130</v>
      </c>
    </row>
    <row r="1488" spans="1:3" x14ac:dyDescent="0.25">
      <c r="A1488" s="1">
        <v>40869</v>
      </c>
      <c r="B1488" t="s">
        <v>177</v>
      </c>
      <c r="C1488">
        <v>5</v>
      </c>
    </row>
    <row r="1489" spans="1:3" x14ac:dyDescent="0.25">
      <c r="A1489" s="1">
        <v>40872</v>
      </c>
      <c r="B1489" t="s">
        <v>58</v>
      </c>
      <c r="C1489">
        <v>62</v>
      </c>
    </row>
    <row r="1490" spans="1:3" x14ac:dyDescent="0.25">
      <c r="A1490" s="1">
        <v>40874</v>
      </c>
      <c r="B1490" t="s">
        <v>220</v>
      </c>
      <c r="C1490">
        <v>8</v>
      </c>
    </row>
    <row r="1491" spans="1:3" x14ac:dyDescent="0.25">
      <c r="A1491" s="1">
        <v>40876</v>
      </c>
      <c r="B1491" t="s">
        <v>56</v>
      </c>
      <c r="C1491">
        <v>18</v>
      </c>
    </row>
    <row r="1492" spans="1:3" x14ac:dyDescent="0.25">
      <c r="A1492" s="1">
        <v>40881</v>
      </c>
      <c r="B1492" t="s">
        <v>25</v>
      </c>
      <c r="C1492">
        <v>146</v>
      </c>
    </row>
    <row r="1493" spans="1:3" x14ac:dyDescent="0.25">
      <c r="A1493" s="1">
        <v>40881</v>
      </c>
      <c r="B1493" t="s">
        <v>118</v>
      </c>
      <c r="C1493">
        <v>5</v>
      </c>
    </row>
    <row r="1494" spans="1:3" x14ac:dyDescent="0.25">
      <c r="A1494" s="1">
        <v>40889</v>
      </c>
      <c r="B1494" t="s">
        <v>19</v>
      </c>
      <c r="C1494">
        <v>20</v>
      </c>
    </row>
    <row r="1495" spans="1:3" x14ac:dyDescent="0.25">
      <c r="A1495" s="1">
        <v>40889</v>
      </c>
      <c r="B1495" t="s">
        <v>22</v>
      </c>
      <c r="C1495">
        <v>153</v>
      </c>
    </row>
    <row r="1496" spans="1:3" x14ac:dyDescent="0.25">
      <c r="A1496" s="1">
        <v>40890</v>
      </c>
      <c r="B1496" t="s">
        <v>45</v>
      </c>
      <c r="C1496">
        <v>227</v>
      </c>
    </row>
    <row r="1497" spans="1:3" x14ac:dyDescent="0.25">
      <c r="A1497" s="1">
        <v>40891</v>
      </c>
      <c r="B1497" t="s">
        <v>12</v>
      </c>
      <c r="C1497">
        <v>52</v>
      </c>
    </row>
    <row r="1498" spans="1:3" x14ac:dyDescent="0.25">
      <c r="A1498" s="1">
        <v>40892</v>
      </c>
      <c r="B1498" t="s">
        <v>6</v>
      </c>
      <c r="C1498">
        <v>108</v>
      </c>
    </row>
    <row r="1499" spans="1:3" x14ac:dyDescent="0.25">
      <c r="A1499" s="1">
        <v>40895</v>
      </c>
      <c r="B1499" t="s">
        <v>24</v>
      </c>
      <c r="C1499">
        <v>236</v>
      </c>
    </row>
    <row r="1500" spans="1:3" x14ac:dyDescent="0.25">
      <c r="A1500" s="1">
        <v>40897</v>
      </c>
      <c r="B1500" t="s">
        <v>30</v>
      </c>
      <c r="C1500">
        <v>125</v>
      </c>
    </row>
    <row r="1501" spans="1:3" x14ac:dyDescent="0.25">
      <c r="A1501" s="1">
        <v>40898</v>
      </c>
      <c r="B1501" t="s">
        <v>10</v>
      </c>
      <c r="C1501">
        <v>183</v>
      </c>
    </row>
    <row r="1502" spans="1:3" x14ac:dyDescent="0.25">
      <c r="A1502" s="1">
        <v>40899</v>
      </c>
      <c r="B1502" t="s">
        <v>8</v>
      </c>
      <c r="C1502">
        <v>130</v>
      </c>
    </row>
    <row r="1503" spans="1:3" x14ac:dyDescent="0.25">
      <c r="A1503" s="1">
        <v>40899</v>
      </c>
      <c r="B1503" t="s">
        <v>224</v>
      </c>
      <c r="C1503">
        <v>4</v>
      </c>
    </row>
    <row r="1504" spans="1:3" x14ac:dyDescent="0.25">
      <c r="A1504" s="1">
        <v>40900</v>
      </c>
      <c r="B1504" t="s">
        <v>225</v>
      </c>
      <c r="C1504">
        <v>3</v>
      </c>
    </row>
    <row r="1505" spans="1:3" x14ac:dyDescent="0.25">
      <c r="A1505" s="1">
        <v>40901</v>
      </c>
      <c r="B1505" t="s">
        <v>226</v>
      </c>
      <c r="C1505">
        <v>16</v>
      </c>
    </row>
    <row r="1506" spans="1:3" x14ac:dyDescent="0.25">
      <c r="A1506" s="1">
        <v>40903</v>
      </c>
      <c r="B1506" t="s">
        <v>6</v>
      </c>
      <c r="C1506">
        <v>197</v>
      </c>
    </row>
    <row r="1507" spans="1:3" x14ac:dyDescent="0.25">
      <c r="A1507" s="1">
        <v>40903</v>
      </c>
      <c r="B1507" t="s">
        <v>152</v>
      </c>
      <c r="C1507">
        <v>4</v>
      </c>
    </row>
    <row r="1508" spans="1:3" x14ac:dyDescent="0.25">
      <c r="A1508" s="1">
        <v>40904</v>
      </c>
      <c r="B1508" t="s">
        <v>52</v>
      </c>
      <c r="C1508">
        <v>57</v>
      </c>
    </row>
    <row r="1509" spans="1:3" x14ac:dyDescent="0.25">
      <c r="A1509" s="1">
        <v>40906</v>
      </c>
      <c r="B1509" t="s">
        <v>92</v>
      </c>
      <c r="C1509">
        <v>16</v>
      </c>
    </row>
    <row r="1510" spans="1:3" x14ac:dyDescent="0.25">
      <c r="A1510" s="1">
        <v>40907</v>
      </c>
      <c r="B1510" t="s">
        <v>63</v>
      </c>
      <c r="C1510">
        <v>89</v>
      </c>
    </row>
    <row r="1511" spans="1:3" x14ac:dyDescent="0.25">
      <c r="A1511" s="1">
        <v>40912</v>
      </c>
      <c r="B1511" t="s">
        <v>66</v>
      </c>
      <c r="C1511">
        <v>74</v>
      </c>
    </row>
    <row r="1512" spans="1:3" x14ac:dyDescent="0.25">
      <c r="A1512" s="1">
        <v>40913</v>
      </c>
      <c r="B1512" t="s">
        <v>9</v>
      </c>
      <c r="C1512">
        <v>243</v>
      </c>
    </row>
    <row r="1513" spans="1:3" x14ac:dyDescent="0.25">
      <c r="A1513" s="1">
        <v>40915</v>
      </c>
      <c r="B1513" t="s">
        <v>22</v>
      </c>
      <c r="C1513">
        <v>460</v>
      </c>
    </row>
    <row r="1514" spans="1:3" x14ac:dyDescent="0.25">
      <c r="A1514" s="1">
        <v>40915</v>
      </c>
      <c r="B1514" t="s">
        <v>227</v>
      </c>
      <c r="C1514">
        <v>20</v>
      </c>
    </row>
    <row r="1515" spans="1:3" x14ac:dyDescent="0.25">
      <c r="A1515" s="1">
        <v>40917</v>
      </c>
      <c r="B1515" t="s">
        <v>22</v>
      </c>
      <c r="C1515">
        <v>250</v>
      </c>
    </row>
    <row r="1516" spans="1:3" x14ac:dyDescent="0.25">
      <c r="A1516" s="1">
        <v>40923</v>
      </c>
      <c r="B1516" t="s">
        <v>10</v>
      </c>
      <c r="C1516">
        <v>78</v>
      </c>
    </row>
    <row r="1517" spans="1:3" x14ac:dyDescent="0.25">
      <c r="A1517" s="1">
        <v>40925</v>
      </c>
      <c r="B1517" t="s">
        <v>8</v>
      </c>
      <c r="C1517">
        <v>170</v>
      </c>
    </row>
    <row r="1518" spans="1:3" x14ac:dyDescent="0.25">
      <c r="A1518" s="1">
        <v>40927</v>
      </c>
      <c r="B1518" t="s">
        <v>52</v>
      </c>
      <c r="C1518">
        <v>128</v>
      </c>
    </row>
    <row r="1519" spans="1:3" x14ac:dyDescent="0.25">
      <c r="A1519" s="1">
        <v>40927</v>
      </c>
      <c r="B1519" t="s">
        <v>61</v>
      </c>
      <c r="C1519">
        <v>53</v>
      </c>
    </row>
    <row r="1520" spans="1:3" x14ac:dyDescent="0.25">
      <c r="A1520" s="1">
        <v>40928</v>
      </c>
      <c r="B1520" t="s">
        <v>14</v>
      </c>
      <c r="C1520">
        <v>223</v>
      </c>
    </row>
    <row r="1521" spans="1:3" x14ac:dyDescent="0.25">
      <c r="A1521" s="1">
        <v>40933</v>
      </c>
      <c r="B1521" t="s">
        <v>52</v>
      </c>
      <c r="C1521">
        <v>47</v>
      </c>
    </row>
    <row r="1522" spans="1:3" x14ac:dyDescent="0.25">
      <c r="A1522" s="1">
        <v>40933</v>
      </c>
      <c r="B1522" t="s">
        <v>37</v>
      </c>
      <c r="C1522">
        <v>112</v>
      </c>
    </row>
    <row r="1523" spans="1:3" x14ac:dyDescent="0.25">
      <c r="A1523" s="1">
        <v>40935</v>
      </c>
      <c r="B1523" t="s">
        <v>50</v>
      </c>
      <c r="C1523">
        <v>201</v>
      </c>
    </row>
    <row r="1524" spans="1:3" x14ac:dyDescent="0.25">
      <c r="A1524" s="1">
        <v>40936</v>
      </c>
      <c r="B1524" t="s">
        <v>25</v>
      </c>
      <c r="C1524">
        <v>121</v>
      </c>
    </row>
    <row r="1525" spans="1:3" x14ac:dyDescent="0.25">
      <c r="A1525" s="1">
        <v>40939</v>
      </c>
      <c r="B1525" t="s">
        <v>7</v>
      </c>
      <c r="C1525">
        <v>462</v>
      </c>
    </row>
    <row r="1526" spans="1:3" x14ac:dyDescent="0.25">
      <c r="A1526" s="1">
        <v>40941</v>
      </c>
      <c r="B1526" t="s">
        <v>22</v>
      </c>
      <c r="C1526">
        <v>333</v>
      </c>
    </row>
    <row r="1527" spans="1:3" x14ac:dyDescent="0.25">
      <c r="A1527" s="1">
        <v>40943</v>
      </c>
      <c r="B1527" t="s">
        <v>108</v>
      </c>
      <c r="C1527">
        <v>9</v>
      </c>
    </row>
    <row r="1528" spans="1:3" x14ac:dyDescent="0.25">
      <c r="A1528" s="1">
        <v>40945</v>
      </c>
      <c r="B1528" t="s">
        <v>25</v>
      </c>
      <c r="C1528">
        <v>104</v>
      </c>
    </row>
    <row r="1529" spans="1:3" x14ac:dyDescent="0.25">
      <c r="A1529" s="1">
        <v>40945</v>
      </c>
      <c r="B1529" t="s">
        <v>173</v>
      </c>
      <c r="C1529">
        <v>104</v>
      </c>
    </row>
    <row r="1530" spans="1:3" x14ac:dyDescent="0.25">
      <c r="A1530" s="1">
        <v>40947</v>
      </c>
      <c r="B1530" t="s">
        <v>18</v>
      </c>
      <c r="C1530">
        <v>78</v>
      </c>
    </row>
    <row r="1531" spans="1:3" x14ac:dyDescent="0.25">
      <c r="A1531" s="1">
        <v>40950</v>
      </c>
      <c r="B1531" t="s">
        <v>30</v>
      </c>
      <c r="C1531">
        <v>53</v>
      </c>
    </row>
    <row r="1532" spans="1:3" x14ac:dyDescent="0.25">
      <c r="A1532" s="1">
        <v>40951</v>
      </c>
      <c r="B1532" t="s">
        <v>45</v>
      </c>
      <c r="C1532">
        <v>305</v>
      </c>
    </row>
    <row r="1533" spans="1:3" x14ac:dyDescent="0.25">
      <c r="A1533" s="1">
        <v>40953</v>
      </c>
      <c r="B1533" t="s">
        <v>9</v>
      </c>
      <c r="C1533">
        <v>363</v>
      </c>
    </row>
    <row r="1534" spans="1:3" x14ac:dyDescent="0.25">
      <c r="A1534" s="1">
        <v>40955</v>
      </c>
      <c r="B1534" t="s">
        <v>228</v>
      </c>
      <c r="C1534">
        <v>19</v>
      </c>
    </row>
    <row r="1535" spans="1:3" x14ac:dyDescent="0.25">
      <c r="A1535" s="1">
        <v>40955</v>
      </c>
      <c r="B1535" t="s">
        <v>102</v>
      </c>
      <c r="C1535">
        <v>248</v>
      </c>
    </row>
    <row r="1536" spans="1:3" x14ac:dyDescent="0.25">
      <c r="A1536" s="1">
        <v>40955</v>
      </c>
      <c r="B1536" t="s">
        <v>19</v>
      </c>
      <c r="C1536">
        <v>64</v>
      </c>
    </row>
    <row r="1537" spans="1:3" x14ac:dyDescent="0.25">
      <c r="A1537" s="1">
        <v>40956</v>
      </c>
      <c r="B1537" t="s">
        <v>50</v>
      </c>
      <c r="C1537">
        <v>288</v>
      </c>
    </row>
    <row r="1538" spans="1:3" x14ac:dyDescent="0.25">
      <c r="A1538" s="1">
        <v>40957</v>
      </c>
      <c r="B1538" t="s">
        <v>144</v>
      </c>
      <c r="C1538">
        <v>18</v>
      </c>
    </row>
    <row r="1539" spans="1:3" x14ac:dyDescent="0.25">
      <c r="A1539" s="1">
        <v>40959</v>
      </c>
      <c r="B1539" t="s">
        <v>31</v>
      </c>
      <c r="C1539">
        <v>54</v>
      </c>
    </row>
    <row r="1540" spans="1:3" x14ac:dyDescent="0.25">
      <c r="A1540" s="1">
        <v>40959</v>
      </c>
      <c r="B1540" t="s">
        <v>201</v>
      </c>
      <c r="C1540">
        <v>3</v>
      </c>
    </row>
    <row r="1541" spans="1:3" x14ac:dyDescent="0.25">
      <c r="A1541" s="1">
        <v>40960</v>
      </c>
      <c r="B1541" t="s">
        <v>65</v>
      </c>
      <c r="C1541">
        <v>9</v>
      </c>
    </row>
    <row r="1542" spans="1:3" x14ac:dyDescent="0.25">
      <c r="A1542" s="1">
        <v>40961</v>
      </c>
      <c r="B1542" t="s">
        <v>149</v>
      </c>
      <c r="C1542">
        <v>19</v>
      </c>
    </row>
    <row r="1543" spans="1:3" x14ac:dyDescent="0.25">
      <c r="A1543" s="1">
        <v>40961</v>
      </c>
      <c r="B1543" t="s">
        <v>26</v>
      </c>
      <c r="C1543">
        <v>198</v>
      </c>
    </row>
    <row r="1544" spans="1:3" x14ac:dyDescent="0.25">
      <c r="A1544" s="1">
        <v>40966</v>
      </c>
      <c r="B1544" t="s">
        <v>5</v>
      </c>
      <c r="C1544">
        <v>417</v>
      </c>
    </row>
    <row r="1545" spans="1:3" x14ac:dyDescent="0.25">
      <c r="A1545" s="1">
        <v>40971</v>
      </c>
      <c r="B1545" t="s">
        <v>102</v>
      </c>
      <c r="C1545">
        <v>221</v>
      </c>
    </row>
    <row r="1546" spans="1:3" x14ac:dyDescent="0.25">
      <c r="A1546" s="1">
        <v>40971</v>
      </c>
      <c r="B1546" t="s">
        <v>18</v>
      </c>
      <c r="C1546">
        <v>53</v>
      </c>
    </row>
    <row r="1547" spans="1:3" x14ac:dyDescent="0.25">
      <c r="A1547" s="1">
        <v>40973</v>
      </c>
      <c r="B1547" t="s">
        <v>69</v>
      </c>
      <c r="C1547">
        <v>127</v>
      </c>
    </row>
    <row r="1548" spans="1:3" x14ac:dyDescent="0.25">
      <c r="A1548" s="1">
        <v>40974</v>
      </c>
      <c r="B1548" t="s">
        <v>14</v>
      </c>
      <c r="C1548">
        <v>340</v>
      </c>
    </row>
    <row r="1549" spans="1:3" x14ac:dyDescent="0.25">
      <c r="A1549" s="1">
        <v>40977</v>
      </c>
      <c r="B1549" t="s">
        <v>7</v>
      </c>
      <c r="C1549">
        <v>310</v>
      </c>
    </row>
    <row r="1550" spans="1:3" x14ac:dyDescent="0.25">
      <c r="A1550" s="1">
        <v>40979</v>
      </c>
      <c r="B1550" t="s">
        <v>222</v>
      </c>
      <c r="C1550">
        <v>8</v>
      </c>
    </row>
    <row r="1551" spans="1:3" x14ac:dyDescent="0.25">
      <c r="A1551" s="1">
        <v>40980</v>
      </c>
      <c r="B1551" t="s">
        <v>61</v>
      </c>
      <c r="C1551">
        <v>132</v>
      </c>
    </row>
    <row r="1552" spans="1:3" x14ac:dyDescent="0.25">
      <c r="A1552" s="1">
        <v>40980</v>
      </c>
      <c r="B1552" t="s">
        <v>26</v>
      </c>
      <c r="C1552">
        <v>168</v>
      </c>
    </row>
    <row r="1553" spans="1:3" x14ac:dyDescent="0.25">
      <c r="A1553" s="1">
        <v>40982</v>
      </c>
      <c r="B1553" t="s">
        <v>26</v>
      </c>
      <c r="C1553">
        <v>49</v>
      </c>
    </row>
    <row r="1554" spans="1:3" x14ac:dyDescent="0.25">
      <c r="A1554" s="1">
        <v>40984</v>
      </c>
      <c r="B1554" t="s">
        <v>37</v>
      </c>
      <c r="C1554">
        <v>140</v>
      </c>
    </row>
    <row r="1555" spans="1:3" x14ac:dyDescent="0.25">
      <c r="A1555" s="1">
        <v>40986</v>
      </c>
      <c r="B1555" t="s">
        <v>35</v>
      </c>
      <c r="C1555">
        <v>140</v>
      </c>
    </row>
    <row r="1556" spans="1:3" x14ac:dyDescent="0.25">
      <c r="A1556" s="1">
        <v>40986</v>
      </c>
      <c r="B1556" t="s">
        <v>23</v>
      </c>
      <c r="C1556">
        <v>194</v>
      </c>
    </row>
    <row r="1557" spans="1:3" x14ac:dyDescent="0.25">
      <c r="A1557" s="1">
        <v>40992</v>
      </c>
      <c r="B1557" t="s">
        <v>23</v>
      </c>
      <c r="C1557">
        <v>123</v>
      </c>
    </row>
    <row r="1558" spans="1:3" x14ac:dyDescent="0.25">
      <c r="A1558" s="1">
        <v>40992</v>
      </c>
      <c r="B1558" t="s">
        <v>74</v>
      </c>
      <c r="C1558">
        <v>11</v>
      </c>
    </row>
    <row r="1559" spans="1:3" x14ac:dyDescent="0.25">
      <c r="A1559" s="1">
        <v>40994</v>
      </c>
      <c r="B1559" t="s">
        <v>150</v>
      </c>
      <c r="C1559">
        <v>1</v>
      </c>
    </row>
    <row r="1560" spans="1:3" x14ac:dyDescent="0.25">
      <c r="A1560" s="1">
        <v>40995</v>
      </c>
      <c r="B1560" t="s">
        <v>9</v>
      </c>
      <c r="C1560">
        <v>267</v>
      </c>
    </row>
    <row r="1561" spans="1:3" x14ac:dyDescent="0.25">
      <c r="A1561" s="1">
        <v>40998</v>
      </c>
      <c r="B1561" t="s">
        <v>149</v>
      </c>
      <c r="C1561">
        <v>14</v>
      </c>
    </row>
    <row r="1562" spans="1:3" x14ac:dyDescent="0.25">
      <c r="A1562" s="1">
        <v>40999</v>
      </c>
      <c r="B1562" t="s">
        <v>20</v>
      </c>
      <c r="C1562">
        <v>160</v>
      </c>
    </row>
    <row r="1563" spans="1:3" x14ac:dyDescent="0.25">
      <c r="A1563" s="1">
        <v>40999</v>
      </c>
      <c r="B1563" t="s">
        <v>9</v>
      </c>
      <c r="C1563">
        <v>437</v>
      </c>
    </row>
    <row r="1564" spans="1:3" x14ac:dyDescent="0.25">
      <c r="A1564" s="1">
        <v>41003</v>
      </c>
      <c r="B1564" t="s">
        <v>123</v>
      </c>
      <c r="C1564">
        <v>71</v>
      </c>
    </row>
    <row r="1565" spans="1:3" x14ac:dyDescent="0.25">
      <c r="A1565" s="1">
        <v>41004</v>
      </c>
      <c r="B1565" t="s">
        <v>66</v>
      </c>
      <c r="C1565">
        <v>35</v>
      </c>
    </row>
    <row r="1566" spans="1:3" x14ac:dyDescent="0.25">
      <c r="A1566" s="1">
        <v>41005</v>
      </c>
      <c r="B1566" t="s">
        <v>22</v>
      </c>
      <c r="C1566">
        <v>116</v>
      </c>
    </row>
    <row r="1567" spans="1:3" x14ac:dyDescent="0.25">
      <c r="A1567" s="1">
        <v>41006</v>
      </c>
      <c r="B1567" t="s">
        <v>6</v>
      </c>
      <c r="C1567">
        <v>152</v>
      </c>
    </row>
    <row r="1568" spans="1:3" x14ac:dyDescent="0.25">
      <c r="A1568" s="1">
        <v>41011</v>
      </c>
      <c r="B1568" t="s">
        <v>7</v>
      </c>
      <c r="C1568">
        <v>309</v>
      </c>
    </row>
    <row r="1569" spans="1:3" x14ac:dyDescent="0.25">
      <c r="A1569" s="1">
        <v>41011</v>
      </c>
      <c r="B1569" t="s">
        <v>81</v>
      </c>
      <c r="C1569">
        <v>7</v>
      </c>
    </row>
    <row r="1570" spans="1:3" x14ac:dyDescent="0.25">
      <c r="A1570" s="1">
        <v>41011</v>
      </c>
      <c r="B1570" t="s">
        <v>102</v>
      </c>
      <c r="C1570">
        <v>353</v>
      </c>
    </row>
    <row r="1571" spans="1:3" x14ac:dyDescent="0.25">
      <c r="A1571" s="1">
        <v>41012</v>
      </c>
      <c r="B1571" t="s">
        <v>187</v>
      </c>
      <c r="C1571">
        <v>3</v>
      </c>
    </row>
    <row r="1572" spans="1:3" x14ac:dyDescent="0.25">
      <c r="A1572" s="1">
        <v>41013</v>
      </c>
      <c r="B1572" t="s">
        <v>14</v>
      </c>
      <c r="C1572">
        <v>166</v>
      </c>
    </row>
    <row r="1573" spans="1:3" x14ac:dyDescent="0.25">
      <c r="A1573" s="1">
        <v>41014</v>
      </c>
      <c r="B1573" t="s">
        <v>224</v>
      </c>
      <c r="C1573">
        <v>14</v>
      </c>
    </row>
    <row r="1574" spans="1:3" x14ac:dyDescent="0.25">
      <c r="A1574" s="1">
        <v>41014</v>
      </c>
      <c r="B1574" t="s">
        <v>6</v>
      </c>
      <c r="C1574">
        <v>141</v>
      </c>
    </row>
    <row r="1575" spans="1:3" x14ac:dyDescent="0.25">
      <c r="A1575" s="1">
        <v>41014</v>
      </c>
      <c r="B1575" t="s">
        <v>229</v>
      </c>
      <c r="C1575">
        <v>15</v>
      </c>
    </row>
    <row r="1576" spans="1:3" x14ac:dyDescent="0.25">
      <c r="A1576" s="1">
        <v>41020</v>
      </c>
      <c r="B1576" t="s">
        <v>22</v>
      </c>
      <c r="C1576">
        <v>157</v>
      </c>
    </row>
    <row r="1577" spans="1:3" x14ac:dyDescent="0.25">
      <c r="A1577" s="1">
        <v>41025</v>
      </c>
      <c r="B1577" t="s">
        <v>9</v>
      </c>
      <c r="C1577">
        <v>191</v>
      </c>
    </row>
    <row r="1578" spans="1:3" x14ac:dyDescent="0.25">
      <c r="A1578" s="1">
        <v>41026</v>
      </c>
      <c r="B1578" t="s">
        <v>36</v>
      </c>
      <c r="C1578">
        <v>7</v>
      </c>
    </row>
    <row r="1579" spans="1:3" x14ac:dyDescent="0.25">
      <c r="A1579" s="1">
        <v>41027</v>
      </c>
      <c r="B1579" t="s">
        <v>26</v>
      </c>
      <c r="C1579">
        <v>200</v>
      </c>
    </row>
    <row r="1580" spans="1:3" x14ac:dyDescent="0.25">
      <c r="A1580" s="1">
        <v>41033</v>
      </c>
      <c r="B1580" t="s">
        <v>149</v>
      </c>
      <c r="C1580">
        <v>15</v>
      </c>
    </row>
    <row r="1581" spans="1:3" x14ac:dyDescent="0.25">
      <c r="A1581" s="1">
        <v>41033</v>
      </c>
      <c r="B1581" t="s">
        <v>171</v>
      </c>
      <c r="C1581">
        <v>7</v>
      </c>
    </row>
    <row r="1582" spans="1:3" x14ac:dyDescent="0.25">
      <c r="A1582" s="1">
        <v>41033</v>
      </c>
      <c r="B1582" t="s">
        <v>14</v>
      </c>
      <c r="C1582">
        <v>235</v>
      </c>
    </row>
    <row r="1583" spans="1:3" x14ac:dyDescent="0.25">
      <c r="A1583" s="1">
        <v>41034</v>
      </c>
      <c r="B1583" t="s">
        <v>50</v>
      </c>
      <c r="C1583">
        <v>301</v>
      </c>
    </row>
    <row r="1584" spans="1:3" x14ac:dyDescent="0.25">
      <c r="A1584" s="1">
        <v>41036</v>
      </c>
      <c r="B1584" t="s">
        <v>5</v>
      </c>
      <c r="C1584">
        <v>136</v>
      </c>
    </row>
    <row r="1585" spans="1:3" x14ac:dyDescent="0.25">
      <c r="A1585" s="1">
        <v>41036</v>
      </c>
      <c r="B1585" t="s">
        <v>126</v>
      </c>
      <c r="C1585">
        <v>5</v>
      </c>
    </row>
    <row r="1586" spans="1:3" x14ac:dyDescent="0.25">
      <c r="A1586" s="1">
        <v>41037</v>
      </c>
      <c r="B1586" t="s">
        <v>7</v>
      </c>
      <c r="C1586">
        <v>280</v>
      </c>
    </row>
    <row r="1587" spans="1:3" x14ac:dyDescent="0.25">
      <c r="A1587" s="1">
        <v>41037</v>
      </c>
      <c r="B1587" t="s">
        <v>65</v>
      </c>
      <c r="C1587">
        <v>3</v>
      </c>
    </row>
    <row r="1588" spans="1:3" x14ac:dyDescent="0.25">
      <c r="A1588" s="1">
        <v>41040</v>
      </c>
      <c r="B1588" t="s">
        <v>206</v>
      </c>
      <c r="C1588">
        <v>14</v>
      </c>
    </row>
    <row r="1589" spans="1:3" x14ac:dyDescent="0.25">
      <c r="A1589" s="1">
        <v>41041</v>
      </c>
      <c r="B1589" t="s">
        <v>10</v>
      </c>
      <c r="C1589">
        <v>79</v>
      </c>
    </row>
    <row r="1590" spans="1:3" x14ac:dyDescent="0.25">
      <c r="A1590" s="1">
        <v>41042</v>
      </c>
      <c r="B1590" t="s">
        <v>173</v>
      </c>
      <c r="C1590">
        <v>86</v>
      </c>
    </row>
    <row r="1591" spans="1:3" x14ac:dyDescent="0.25">
      <c r="A1591" s="1">
        <v>41042</v>
      </c>
      <c r="B1591" t="s">
        <v>23</v>
      </c>
      <c r="C1591">
        <v>70</v>
      </c>
    </row>
    <row r="1592" spans="1:3" x14ac:dyDescent="0.25">
      <c r="A1592" s="1">
        <v>41043</v>
      </c>
      <c r="B1592" t="s">
        <v>20</v>
      </c>
      <c r="C1592">
        <v>189</v>
      </c>
    </row>
    <row r="1593" spans="1:3" x14ac:dyDescent="0.25">
      <c r="A1593" s="1">
        <v>41043</v>
      </c>
      <c r="B1593" t="s">
        <v>55</v>
      </c>
      <c r="C1593">
        <v>111</v>
      </c>
    </row>
    <row r="1594" spans="1:3" x14ac:dyDescent="0.25">
      <c r="A1594" s="1">
        <v>41046</v>
      </c>
      <c r="B1594" t="s">
        <v>19</v>
      </c>
      <c r="C1594">
        <v>158</v>
      </c>
    </row>
    <row r="1595" spans="1:3" x14ac:dyDescent="0.25">
      <c r="A1595" s="1">
        <v>41051</v>
      </c>
      <c r="B1595" t="s">
        <v>66</v>
      </c>
      <c r="C1595">
        <v>172</v>
      </c>
    </row>
    <row r="1596" spans="1:3" x14ac:dyDescent="0.25">
      <c r="A1596" s="1">
        <v>41052</v>
      </c>
      <c r="B1596" t="s">
        <v>50</v>
      </c>
      <c r="C1596">
        <v>179</v>
      </c>
    </row>
    <row r="1597" spans="1:3" x14ac:dyDescent="0.25">
      <c r="A1597" s="1">
        <v>41053</v>
      </c>
      <c r="B1597" t="s">
        <v>104</v>
      </c>
      <c r="C1597">
        <v>19</v>
      </c>
    </row>
    <row r="1598" spans="1:3" x14ac:dyDescent="0.25">
      <c r="A1598" s="1">
        <v>41053</v>
      </c>
      <c r="B1598" t="s">
        <v>28</v>
      </c>
      <c r="C1598">
        <v>57</v>
      </c>
    </row>
    <row r="1599" spans="1:3" x14ac:dyDescent="0.25">
      <c r="A1599" s="1">
        <v>41054</v>
      </c>
      <c r="B1599" t="s">
        <v>50</v>
      </c>
      <c r="C1599">
        <v>335</v>
      </c>
    </row>
    <row r="1600" spans="1:3" x14ac:dyDescent="0.25">
      <c r="A1600" s="1">
        <v>41060</v>
      </c>
      <c r="B1600" t="s">
        <v>164</v>
      </c>
      <c r="C1600">
        <v>12</v>
      </c>
    </row>
    <row r="1601" spans="1:3" x14ac:dyDescent="0.25">
      <c r="A1601" s="1">
        <v>41061</v>
      </c>
      <c r="B1601" t="s">
        <v>125</v>
      </c>
      <c r="C1601">
        <v>2</v>
      </c>
    </row>
    <row r="1602" spans="1:3" x14ac:dyDescent="0.25">
      <c r="A1602" s="1">
        <v>41061</v>
      </c>
      <c r="B1602" t="s">
        <v>50</v>
      </c>
      <c r="C1602">
        <v>237</v>
      </c>
    </row>
    <row r="1603" spans="1:3" x14ac:dyDescent="0.25">
      <c r="A1603" s="1">
        <v>41064</v>
      </c>
      <c r="B1603" t="s">
        <v>7</v>
      </c>
      <c r="C1603">
        <v>482</v>
      </c>
    </row>
    <row r="1604" spans="1:3" x14ac:dyDescent="0.25">
      <c r="A1604" s="1">
        <v>41064</v>
      </c>
      <c r="B1604" t="s">
        <v>125</v>
      </c>
      <c r="C1604">
        <v>8</v>
      </c>
    </row>
    <row r="1605" spans="1:3" x14ac:dyDescent="0.25">
      <c r="A1605" s="1">
        <v>41067</v>
      </c>
      <c r="B1605" t="s">
        <v>35</v>
      </c>
      <c r="C1605">
        <v>147</v>
      </c>
    </row>
    <row r="1606" spans="1:3" x14ac:dyDescent="0.25">
      <c r="A1606" s="1">
        <v>41069</v>
      </c>
      <c r="B1606" t="s">
        <v>22</v>
      </c>
      <c r="C1606">
        <v>224</v>
      </c>
    </row>
    <row r="1607" spans="1:3" x14ac:dyDescent="0.25">
      <c r="A1607" s="1">
        <v>41070</v>
      </c>
      <c r="B1607" t="s">
        <v>177</v>
      </c>
      <c r="C1607">
        <v>11</v>
      </c>
    </row>
    <row r="1608" spans="1:3" x14ac:dyDescent="0.25">
      <c r="A1608" s="1">
        <v>41074</v>
      </c>
      <c r="B1608" t="s">
        <v>37</v>
      </c>
      <c r="C1608">
        <v>184</v>
      </c>
    </row>
    <row r="1609" spans="1:3" x14ac:dyDescent="0.25">
      <c r="A1609" s="1">
        <v>41076</v>
      </c>
      <c r="B1609" t="s">
        <v>168</v>
      </c>
      <c r="C1609">
        <v>20</v>
      </c>
    </row>
    <row r="1610" spans="1:3" x14ac:dyDescent="0.25">
      <c r="A1610" s="1">
        <v>41076</v>
      </c>
      <c r="B1610" t="s">
        <v>50</v>
      </c>
      <c r="C1610">
        <v>221</v>
      </c>
    </row>
    <row r="1611" spans="1:3" x14ac:dyDescent="0.25">
      <c r="A1611" s="1">
        <v>41079</v>
      </c>
      <c r="B1611" t="s">
        <v>37</v>
      </c>
      <c r="C1611">
        <v>162</v>
      </c>
    </row>
    <row r="1612" spans="1:3" x14ac:dyDescent="0.25">
      <c r="A1612" s="1">
        <v>41083</v>
      </c>
      <c r="B1612" t="s">
        <v>91</v>
      </c>
      <c r="C1612">
        <v>19</v>
      </c>
    </row>
    <row r="1613" spans="1:3" x14ac:dyDescent="0.25">
      <c r="A1613" s="1">
        <v>41088</v>
      </c>
      <c r="B1613" t="s">
        <v>178</v>
      </c>
      <c r="C1613">
        <v>1</v>
      </c>
    </row>
    <row r="1614" spans="1:3" x14ac:dyDescent="0.25">
      <c r="A1614" s="1">
        <v>41090</v>
      </c>
      <c r="B1614" t="s">
        <v>12</v>
      </c>
      <c r="C1614">
        <v>122</v>
      </c>
    </row>
    <row r="1615" spans="1:3" x14ac:dyDescent="0.25">
      <c r="A1615" s="1">
        <v>41090</v>
      </c>
      <c r="B1615" t="s">
        <v>17</v>
      </c>
      <c r="C1615">
        <v>163</v>
      </c>
    </row>
    <row r="1616" spans="1:3" x14ac:dyDescent="0.25">
      <c r="A1616" s="1">
        <v>41091</v>
      </c>
      <c r="B1616" t="s">
        <v>66</v>
      </c>
      <c r="C1616">
        <v>29</v>
      </c>
    </row>
    <row r="1617" spans="1:3" x14ac:dyDescent="0.25">
      <c r="A1617" s="1">
        <v>41095</v>
      </c>
      <c r="B1617" t="s">
        <v>55</v>
      </c>
      <c r="C1617">
        <v>106</v>
      </c>
    </row>
    <row r="1618" spans="1:3" x14ac:dyDescent="0.25">
      <c r="A1618" s="1">
        <v>41096</v>
      </c>
      <c r="B1618" t="s">
        <v>14</v>
      </c>
      <c r="C1618">
        <v>112</v>
      </c>
    </row>
    <row r="1619" spans="1:3" x14ac:dyDescent="0.25">
      <c r="A1619" s="1">
        <v>41097</v>
      </c>
      <c r="B1619" t="s">
        <v>28</v>
      </c>
      <c r="C1619">
        <v>90</v>
      </c>
    </row>
    <row r="1620" spans="1:3" x14ac:dyDescent="0.25">
      <c r="A1620" s="1">
        <v>41099</v>
      </c>
      <c r="B1620" t="s">
        <v>16</v>
      </c>
      <c r="C1620">
        <v>7</v>
      </c>
    </row>
    <row r="1621" spans="1:3" x14ac:dyDescent="0.25">
      <c r="A1621" s="1">
        <v>41099</v>
      </c>
      <c r="B1621" t="s">
        <v>23</v>
      </c>
      <c r="C1621">
        <v>27</v>
      </c>
    </row>
    <row r="1622" spans="1:3" x14ac:dyDescent="0.25">
      <c r="A1622" s="1">
        <v>41099</v>
      </c>
      <c r="B1622" t="s">
        <v>61</v>
      </c>
      <c r="C1622">
        <v>185</v>
      </c>
    </row>
    <row r="1623" spans="1:3" x14ac:dyDescent="0.25">
      <c r="A1623" s="1">
        <v>41100</v>
      </c>
      <c r="B1623" t="s">
        <v>22</v>
      </c>
      <c r="C1623">
        <v>153</v>
      </c>
    </row>
    <row r="1624" spans="1:3" x14ac:dyDescent="0.25">
      <c r="A1624" s="1">
        <v>41102</v>
      </c>
      <c r="B1624" t="s">
        <v>61</v>
      </c>
      <c r="C1624">
        <v>109</v>
      </c>
    </row>
    <row r="1625" spans="1:3" x14ac:dyDescent="0.25">
      <c r="A1625" s="1">
        <v>41104</v>
      </c>
      <c r="B1625" t="s">
        <v>211</v>
      </c>
      <c r="C1625">
        <v>10</v>
      </c>
    </row>
    <row r="1626" spans="1:3" x14ac:dyDescent="0.25">
      <c r="A1626" s="1">
        <v>41104</v>
      </c>
      <c r="B1626" t="s">
        <v>79</v>
      </c>
      <c r="C1626">
        <v>10</v>
      </c>
    </row>
    <row r="1627" spans="1:3" x14ac:dyDescent="0.25">
      <c r="A1627" s="1">
        <v>41106</v>
      </c>
      <c r="B1627" t="s">
        <v>131</v>
      </c>
      <c r="C1627">
        <v>90</v>
      </c>
    </row>
    <row r="1628" spans="1:3" x14ac:dyDescent="0.25">
      <c r="A1628" s="1">
        <v>41106</v>
      </c>
      <c r="B1628" t="s">
        <v>58</v>
      </c>
      <c r="C1628">
        <v>34</v>
      </c>
    </row>
    <row r="1629" spans="1:3" x14ac:dyDescent="0.25">
      <c r="A1629" s="1">
        <v>41108</v>
      </c>
      <c r="B1629" t="s">
        <v>9</v>
      </c>
      <c r="C1629">
        <v>106</v>
      </c>
    </row>
    <row r="1630" spans="1:3" x14ac:dyDescent="0.25">
      <c r="A1630" s="1">
        <v>41109</v>
      </c>
      <c r="B1630" t="s">
        <v>9</v>
      </c>
      <c r="C1630">
        <v>229</v>
      </c>
    </row>
    <row r="1631" spans="1:3" x14ac:dyDescent="0.25">
      <c r="A1631" s="1">
        <v>41115</v>
      </c>
      <c r="B1631" t="s">
        <v>17</v>
      </c>
      <c r="C1631">
        <v>229</v>
      </c>
    </row>
    <row r="1632" spans="1:3" x14ac:dyDescent="0.25">
      <c r="A1632" s="1">
        <v>41115</v>
      </c>
      <c r="B1632" t="s">
        <v>47</v>
      </c>
      <c r="C1632">
        <v>20</v>
      </c>
    </row>
    <row r="1633" spans="1:3" x14ac:dyDescent="0.25">
      <c r="A1633" s="1">
        <v>41115</v>
      </c>
      <c r="B1633" t="s">
        <v>45</v>
      </c>
      <c r="C1633">
        <v>261</v>
      </c>
    </row>
    <row r="1634" spans="1:3" x14ac:dyDescent="0.25">
      <c r="A1634" s="1">
        <v>41118</v>
      </c>
      <c r="B1634" t="s">
        <v>147</v>
      </c>
      <c r="C1634">
        <v>10</v>
      </c>
    </row>
    <row r="1635" spans="1:3" x14ac:dyDescent="0.25">
      <c r="A1635" s="1">
        <v>41118</v>
      </c>
      <c r="B1635" t="s">
        <v>7</v>
      </c>
      <c r="C1635">
        <v>400</v>
      </c>
    </row>
    <row r="1636" spans="1:3" x14ac:dyDescent="0.25">
      <c r="A1636" s="1">
        <v>41122</v>
      </c>
      <c r="B1636" t="s">
        <v>14</v>
      </c>
      <c r="C1636">
        <v>401</v>
      </c>
    </row>
    <row r="1637" spans="1:3" x14ac:dyDescent="0.25">
      <c r="A1637" s="1">
        <v>41124</v>
      </c>
      <c r="B1637" t="s">
        <v>55</v>
      </c>
      <c r="C1637">
        <v>170</v>
      </c>
    </row>
    <row r="1638" spans="1:3" x14ac:dyDescent="0.25">
      <c r="A1638" s="1">
        <v>41125</v>
      </c>
      <c r="B1638" t="s">
        <v>22</v>
      </c>
      <c r="C1638">
        <v>124</v>
      </c>
    </row>
    <row r="1639" spans="1:3" x14ac:dyDescent="0.25">
      <c r="A1639" s="1">
        <v>41127</v>
      </c>
      <c r="B1639" t="s">
        <v>201</v>
      </c>
      <c r="C1639">
        <v>13</v>
      </c>
    </row>
    <row r="1640" spans="1:3" x14ac:dyDescent="0.25">
      <c r="A1640" s="1">
        <v>41130</v>
      </c>
      <c r="B1640" t="s">
        <v>19</v>
      </c>
      <c r="C1640">
        <v>87</v>
      </c>
    </row>
    <row r="1641" spans="1:3" x14ac:dyDescent="0.25">
      <c r="A1641" s="1">
        <v>41130</v>
      </c>
      <c r="B1641" t="s">
        <v>24</v>
      </c>
      <c r="C1641">
        <v>190</v>
      </c>
    </row>
    <row r="1642" spans="1:3" x14ac:dyDescent="0.25">
      <c r="A1642" s="1">
        <v>41130</v>
      </c>
      <c r="B1642" t="s">
        <v>50</v>
      </c>
      <c r="C1642">
        <v>349</v>
      </c>
    </row>
    <row r="1643" spans="1:3" x14ac:dyDescent="0.25">
      <c r="A1643" s="1">
        <v>41132</v>
      </c>
      <c r="B1643" t="s">
        <v>181</v>
      </c>
      <c r="C1643">
        <v>16</v>
      </c>
    </row>
    <row r="1644" spans="1:3" x14ac:dyDescent="0.25">
      <c r="A1644" s="1">
        <v>41133</v>
      </c>
      <c r="B1644" t="s">
        <v>71</v>
      </c>
      <c r="C1644">
        <v>42</v>
      </c>
    </row>
    <row r="1645" spans="1:3" x14ac:dyDescent="0.25">
      <c r="A1645" s="1">
        <v>41134</v>
      </c>
      <c r="B1645" t="s">
        <v>23</v>
      </c>
      <c r="C1645">
        <v>70</v>
      </c>
    </row>
    <row r="1646" spans="1:3" x14ac:dyDescent="0.25">
      <c r="A1646" s="1">
        <v>41136</v>
      </c>
      <c r="B1646" t="s">
        <v>52</v>
      </c>
      <c r="C1646">
        <v>189</v>
      </c>
    </row>
    <row r="1647" spans="1:3" x14ac:dyDescent="0.25">
      <c r="A1647" s="1">
        <v>41137</v>
      </c>
      <c r="B1647" t="s">
        <v>55</v>
      </c>
      <c r="C1647">
        <v>64</v>
      </c>
    </row>
    <row r="1648" spans="1:3" x14ac:dyDescent="0.25">
      <c r="A1648" s="1">
        <v>41141</v>
      </c>
      <c r="B1648" t="s">
        <v>35</v>
      </c>
      <c r="C1648">
        <v>76</v>
      </c>
    </row>
    <row r="1649" spans="1:3" x14ac:dyDescent="0.25">
      <c r="A1649" s="1">
        <v>41142</v>
      </c>
      <c r="B1649" t="s">
        <v>49</v>
      </c>
      <c r="C1649">
        <v>11</v>
      </c>
    </row>
    <row r="1650" spans="1:3" x14ac:dyDescent="0.25">
      <c r="A1650" s="1">
        <v>41142</v>
      </c>
      <c r="B1650" t="s">
        <v>66</v>
      </c>
      <c r="C1650">
        <v>96</v>
      </c>
    </row>
    <row r="1651" spans="1:3" x14ac:dyDescent="0.25">
      <c r="A1651" s="1">
        <v>41143</v>
      </c>
      <c r="B1651" t="s">
        <v>111</v>
      </c>
      <c r="C1651">
        <v>17</v>
      </c>
    </row>
    <row r="1652" spans="1:3" x14ac:dyDescent="0.25">
      <c r="A1652" s="1">
        <v>41143</v>
      </c>
      <c r="B1652" t="s">
        <v>18</v>
      </c>
      <c r="C1652">
        <v>92</v>
      </c>
    </row>
    <row r="1653" spans="1:3" x14ac:dyDescent="0.25">
      <c r="A1653" s="1">
        <v>41144</v>
      </c>
      <c r="B1653" t="s">
        <v>8</v>
      </c>
      <c r="C1653">
        <v>76</v>
      </c>
    </row>
    <row r="1654" spans="1:3" x14ac:dyDescent="0.25">
      <c r="A1654" s="1">
        <v>41146</v>
      </c>
      <c r="B1654" t="s">
        <v>10</v>
      </c>
      <c r="C1654">
        <v>77</v>
      </c>
    </row>
    <row r="1655" spans="1:3" x14ac:dyDescent="0.25">
      <c r="A1655" s="1">
        <v>41147</v>
      </c>
      <c r="B1655" t="s">
        <v>102</v>
      </c>
      <c r="C1655">
        <v>344</v>
      </c>
    </row>
    <row r="1656" spans="1:3" x14ac:dyDescent="0.25">
      <c r="A1656" s="1">
        <v>41147</v>
      </c>
      <c r="B1656" t="s">
        <v>7</v>
      </c>
      <c r="C1656">
        <v>218</v>
      </c>
    </row>
    <row r="1657" spans="1:3" x14ac:dyDescent="0.25">
      <c r="A1657" s="1">
        <v>41148</v>
      </c>
      <c r="B1657" t="s">
        <v>50</v>
      </c>
      <c r="C1657">
        <v>115</v>
      </c>
    </row>
    <row r="1658" spans="1:3" x14ac:dyDescent="0.25">
      <c r="A1658" s="1">
        <v>41149</v>
      </c>
      <c r="B1658" t="s">
        <v>80</v>
      </c>
      <c r="C1658">
        <v>143</v>
      </c>
    </row>
    <row r="1659" spans="1:3" x14ac:dyDescent="0.25">
      <c r="A1659" s="1">
        <v>41149</v>
      </c>
      <c r="B1659" t="s">
        <v>137</v>
      </c>
      <c r="C1659">
        <v>1</v>
      </c>
    </row>
    <row r="1660" spans="1:3" x14ac:dyDescent="0.25">
      <c r="A1660" s="1">
        <v>41154</v>
      </c>
      <c r="B1660" t="s">
        <v>69</v>
      </c>
      <c r="C1660">
        <v>133</v>
      </c>
    </row>
    <row r="1661" spans="1:3" x14ac:dyDescent="0.25">
      <c r="A1661" s="1">
        <v>41154</v>
      </c>
      <c r="B1661" t="s">
        <v>17</v>
      </c>
      <c r="C1661">
        <v>496</v>
      </c>
    </row>
    <row r="1662" spans="1:3" x14ac:dyDescent="0.25">
      <c r="A1662" s="1">
        <v>41154</v>
      </c>
      <c r="B1662" t="s">
        <v>108</v>
      </c>
      <c r="C1662">
        <v>5</v>
      </c>
    </row>
    <row r="1663" spans="1:3" x14ac:dyDescent="0.25">
      <c r="A1663" s="1">
        <v>41156</v>
      </c>
      <c r="B1663" t="s">
        <v>172</v>
      </c>
      <c r="C1663">
        <v>8</v>
      </c>
    </row>
    <row r="1664" spans="1:3" x14ac:dyDescent="0.25">
      <c r="A1664" s="1">
        <v>41157</v>
      </c>
      <c r="B1664" t="s">
        <v>52</v>
      </c>
      <c r="C1664">
        <v>59</v>
      </c>
    </row>
    <row r="1665" spans="1:3" x14ac:dyDescent="0.25">
      <c r="A1665" s="1">
        <v>41157</v>
      </c>
      <c r="B1665" t="s">
        <v>17</v>
      </c>
      <c r="C1665">
        <v>273</v>
      </c>
    </row>
    <row r="1666" spans="1:3" x14ac:dyDescent="0.25">
      <c r="A1666" s="1">
        <v>41158</v>
      </c>
      <c r="B1666" t="s">
        <v>9</v>
      </c>
      <c r="C1666">
        <v>165</v>
      </c>
    </row>
    <row r="1667" spans="1:3" x14ac:dyDescent="0.25">
      <c r="A1667" s="1">
        <v>41162</v>
      </c>
      <c r="B1667" t="s">
        <v>48</v>
      </c>
      <c r="C1667">
        <v>13</v>
      </c>
    </row>
    <row r="1668" spans="1:3" x14ac:dyDescent="0.25">
      <c r="A1668" s="1">
        <v>41163</v>
      </c>
      <c r="B1668" t="s">
        <v>69</v>
      </c>
      <c r="C1668">
        <v>143</v>
      </c>
    </row>
    <row r="1669" spans="1:3" x14ac:dyDescent="0.25">
      <c r="A1669" s="1">
        <v>41167</v>
      </c>
      <c r="B1669" t="s">
        <v>230</v>
      </c>
      <c r="C1669">
        <v>20</v>
      </c>
    </row>
    <row r="1670" spans="1:3" x14ac:dyDescent="0.25">
      <c r="A1670" s="1">
        <v>41171</v>
      </c>
      <c r="B1670" t="s">
        <v>54</v>
      </c>
      <c r="C1670">
        <v>4</v>
      </c>
    </row>
    <row r="1671" spans="1:3" x14ac:dyDescent="0.25">
      <c r="A1671" s="1">
        <v>41175</v>
      </c>
      <c r="B1671" t="s">
        <v>131</v>
      </c>
      <c r="C1671">
        <v>102</v>
      </c>
    </row>
    <row r="1672" spans="1:3" x14ac:dyDescent="0.25">
      <c r="A1672" s="1">
        <v>41177</v>
      </c>
      <c r="B1672" t="s">
        <v>6</v>
      </c>
      <c r="C1672">
        <v>155</v>
      </c>
    </row>
    <row r="1673" spans="1:3" x14ac:dyDescent="0.25">
      <c r="A1673" s="1">
        <v>41179</v>
      </c>
      <c r="B1673" t="s">
        <v>7</v>
      </c>
      <c r="C1673">
        <v>226</v>
      </c>
    </row>
    <row r="1674" spans="1:3" x14ac:dyDescent="0.25">
      <c r="A1674" s="1">
        <v>41179</v>
      </c>
      <c r="B1674" t="s">
        <v>14</v>
      </c>
      <c r="C1674">
        <v>346</v>
      </c>
    </row>
    <row r="1675" spans="1:3" x14ac:dyDescent="0.25">
      <c r="A1675" s="1">
        <v>41180</v>
      </c>
      <c r="B1675" t="s">
        <v>52</v>
      </c>
      <c r="C1675">
        <v>45</v>
      </c>
    </row>
    <row r="1676" spans="1:3" x14ac:dyDescent="0.25">
      <c r="A1676" s="1">
        <v>41182</v>
      </c>
      <c r="B1676" t="s">
        <v>151</v>
      </c>
      <c r="C1676">
        <v>11</v>
      </c>
    </row>
    <row r="1677" spans="1:3" x14ac:dyDescent="0.25">
      <c r="A1677" s="1">
        <v>41185</v>
      </c>
      <c r="B1677" t="s">
        <v>130</v>
      </c>
      <c r="C1677">
        <v>14</v>
      </c>
    </row>
    <row r="1678" spans="1:3" x14ac:dyDescent="0.25">
      <c r="A1678" s="1">
        <v>41190</v>
      </c>
      <c r="B1678" t="s">
        <v>51</v>
      </c>
      <c r="C1678">
        <v>12</v>
      </c>
    </row>
    <row r="1679" spans="1:3" x14ac:dyDescent="0.25">
      <c r="A1679" s="1">
        <v>41195</v>
      </c>
      <c r="B1679" t="s">
        <v>154</v>
      </c>
      <c r="C1679">
        <v>11</v>
      </c>
    </row>
    <row r="1680" spans="1:3" x14ac:dyDescent="0.25">
      <c r="A1680" s="1">
        <v>41195</v>
      </c>
      <c r="B1680" t="s">
        <v>26</v>
      </c>
      <c r="C1680">
        <v>142</v>
      </c>
    </row>
    <row r="1681" spans="1:3" x14ac:dyDescent="0.25">
      <c r="A1681" s="1">
        <v>41201</v>
      </c>
      <c r="B1681" t="s">
        <v>71</v>
      </c>
      <c r="C1681">
        <v>184</v>
      </c>
    </row>
    <row r="1682" spans="1:3" x14ac:dyDescent="0.25">
      <c r="A1682" s="1">
        <v>41202</v>
      </c>
      <c r="B1682" t="s">
        <v>45</v>
      </c>
      <c r="C1682">
        <v>390</v>
      </c>
    </row>
    <row r="1683" spans="1:3" x14ac:dyDescent="0.25">
      <c r="A1683" s="1">
        <v>41206</v>
      </c>
      <c r="B1683" t="s">
        <v>37</v>
      </c>
      <c r="C1683">
        <v>110</v>
      </c>
    </row>
    <row r="1684" spans="1:3" x14ac:dyDescent="0.25">
      <c r="A1684" s="1">
        <v>41207</v>
      </c>
      <c r="B1684" t="s">
        <v>19</v>
      </c>
      <c r="C1684">
        <v>92</v>
      </c>
    </row>
    <row r="1685" spans="1:3" x14ac:dyDescent="0.25">
      <c r="A1685" s="1">
        <v>41208</v>
      </c>
      <c r="B1685" t="s">
        <v>68</v>
      </c>
      <c r="C1685">
        <v>5</v>
      </c>
    </row>
    <row r="1686" spans="1:3" x14ac:dyDescent="0.25">
      <c r="A1686" s="1">
        <v>41208</v>
      </c>
      <c r="B1686" t="s">
        <v>229</v>
      </c>
      <c r="C1686">
        <v>2</v>
      </c>
    </row>
    <row r="1687" spans="1:3" x14ac:dyDescent="0.25">
      <c r="A1687" s="1">
        <v>41210</v>
      </c>
      <c r="B1687" t="s">
        <v>175</v>
      </c>
      <c r="C1687">
        <v>14</v>
      </c>
    </row>
    <row r="1688" spans="1:3" x14ac:dyDescent="0.25">
      <c r="A1688" s="1">
        <v>41213</v>
      </c>
      <c r="B1688" t="s">
        <v>84</v>
      </c>
      <c r="C1688">
        <v>6</v>
      </c>
    </row>
    <row r="1689" spans="1:3" x14ac:dyDescent="0.25">
      <c r="A1689" s="1">
        <v>41214</v>
      </c>
      <c r="B1689" t="s">
        <v>18</v>
      </c>
      <c r="C1689">
        <v>65</v>
      </c>
    </row>
    <row r="1690" spans="1:3" x14ac:dyDescent="0.25">
      <c r="A1690" s="1">
        <v>41214</v>
      </c>
      <c r="B1690" t="s">
        <v>69</v>
      </c>
      <c r="C1690">
        <v>45</v>
      </c>
    </row>
    <row r="1691" spans="1:3" x14ac:dyDescent="0.25">
      <c r="A1691" s="1">
        <v>41214</v>
      </c>
      <c r="B1691" t="s">
        <v>7</v>
      </c>
      <c r="C1691">
        <v>108</v>
      </c>
    </row>
    <row r="1692" spans="1:3" x14ac:dyDescent="0.25">
      <c r="A1692" s="1">
        <v>41215</v>
      </c>
      <c r="B1692" t="s">
        <v>37</v>
      </c>
      <c r="C1692">
        <v>159</v>
      </c>
    </row>
    <row r="1693" spans="1:3" x14ac:dyDescent="0.25">
      <c r="A1693" s="1">
        <v>41219</v>
      </c>
      <c r="B1693" t="s">
        <v>19</v>
      </c>
      <c r="C1693">
        <v>141</v>
      </c>
    </row>
    <row r="1694" spans="1:3" x14ac:dyDescent="0.25">
      <c r="A1694" s="1">
        <v>41219</v>
      </c>
      <c r="B1694" t="s">
        <v>38</v>
      </c>
      <c r="C1694">
        <v>14</v>
      </c>
    </row>
    <row r="1695" spans="1:3" x14ac:dyDescent="0.25">
      <c r="A1695" s="1">
        <v>41222</v>
      </c>
      <c r="B1695" t="s">
        <v>10</v>
      </c>
      <c r="C1695">
        <v>142</v>
      </c>
    </row>
    <row r="1696" spans="1:3" x14ac:dyDescent="0.25">
      <c r="A1696" s="1">
        <v>41223</v>
      </c>
      <c r="B1696" t="s">
        <v>9</v>
      </c>
      <c r="C1696">
        <v>167</v>
      </c>
    </row>
    <row r="1697" spans="1:3" x14ac:dyDescent="0.25">
      <c r="A1697" s="1">
        <v>41224</v>
      </c>
      <c r="B1697" t="s">
        <v>175</v>
      </c>
      <c r="C1697">
        <v>12</v>
      </c>
    </row>
    <row r="1698" spans="1:3" x14ac:dyDescent="0.25">
      <c r="A1698" s="1">
        <v>41229</v>
      </c>
      <c r="B1698" t="s">
        <v>28</v>
      </c>
      <c r="C1698">
        <v>187</v>
      </c>
    </row>
    <row r="1699" spans="1:3" x14ac:dyDescent="0.25">
      <c r="A1699" s="1">
        <v>41232</v>
      </c>
      <c r="B1699" t="s">
        <v>41</v>
      </c>
      <c r="C1699">
        <v>14</v>
      </c>
    </row>
    <row r="1700" spans="1:3" x14ac:dyDescent="0.25">
      <c r="A1700" s="1">
        <v>41235</v>
      </c>
      <c r="B1700" t="s">
        <v>165</v>
      </c>
      <c r="C1700">
        <v>10</v>
      </c>
    </row>
    <row r="1701" spans="1:3" x14ac:dyDescent="0.25">
      <c r="A1701" s="1">
        <v>41236</v>
      </c>
      <c r="B1701" t="s">
        <v>22</v>
      </c>
      <c r="C1701">
        <v>269</v>
      </c>
    </row>
    <row r="1702" spans="1:3" x14ac:dyDescent="0.25">
      <c r="A1702" s="1">
        <v>41236</v>
      </c>
      <c r="B1702" t="s">
        <v>5</v>
      </c>
      <c r="C1702">
        <v>328</v>
      </c>
    </row>
    <row r="1703" spans="1:3" x14ac:dyDescent="0.25">
      <c r="A1703" s="1">
        <v>41237</v>
      </c>
      <c r="B1703" t="s">
        <v>9</v>
      </c>
      <c r="C1703">
        <v>228</v>
      </c>
    </row>
    <row r="1704" spans="1:3" x14ac:dyDescent="0.25">
      <c r="A1704" s="1">
        <v>41239</v>
      </c>
      <c r="B1704" t="s">
        <v>2</v>
      </c>
      <c r="C1704">
        <v>12</v>
      </c>
    </row>
    <row r="1705" spans="1:3" x14ac:dyDescent="0.25">
      <c r="A1705" s="1">
        <v>41244</v>
      </c>
      <c r="B1705" t="s">
        <v>93</v>
      </c>
      <c r="C1705">
        <v>16</v>
      </c>
    </row>
    <row r="1706" spans="1:3" x14ac:dyDescent="0.25">
      <c r="A1706" s="1">
        <v>41247</v>
      </c>
      <c r="B1706" t="s">
        <v>17</v>
      </c>
      <c r="C1706">
        <v>233</v>
      </c>
    </row>
    <row r="1707" spans="1:3" x14ac:dyDescent="0.25">
      <c r="A1707" s="1">
        <v>41248</v>
      </c>
      <c r="B1707" t="s">
        <v>132</v>
      </c>
      <c r="C1707">
        <v>10</v>
      </c>
    </row>
    <row r="1708" spans="1:3" x14ac:dyDescent="0.25">
      <c r="A1708" s="1">
        <v>41251</v>
      </c>
      <c r="B1708" t="s">
        <v>10</v>
      </c>
      <c r="C1708">
        <v>168</v>
      </c>
    </row>
    <row r="1709" spans="1:3" x14ac:dyDescent="0.25">
      <c r="A1709" s="1">
        <v>41251</v>
      </c>
      <c r="B1709" t="s">
        <v>5</v>
      </c>
      <c r="C1709">
        <v>388</v>
      </c>
    </row>
    <row r="1710" spans="1:3" x14ac:dyDescent="0.25">
      <c r="A1710" s="1">
        <v>41252</v>
      </c>
      <c r="B1710" t="s">
        <v>50</v>
      </c>
      <c r="C1710">
        <v>319</v>
      </c>
    </row>
    <row r="1711" spans="1:3" x14ac:dyDescent="0.25">
      <c r="A1711" s="1">
        <v>41254</v>
      </c>
      <c r="B1711" t="s">
        <v>67</v>
      </c>
      <c r="C1711">
        <v>12</v>
      </c>
    </row>
    <row r="1712" spans="1:3" x14ac:dyDescent="0.25">
      <c r="A1712" s="1">
        <v>41256</v>
      </c>
      <c r="B1712" t="s">
        <v>173</v>
      </c>
      <c r="C1712">
        <v>150</v>
      </c>
    </row>
    <row r="1713" spans="1:3" x14ac:dyDescent="0.25">
      <c r="A1713" s="1">
        <v>41258</v>
      </c>
      <c r="B1713" t="s">
        <v>9</v>
      </c>
      <c r="C1713">
        <v>347</v>
      </c>
    </row>
    <row r="1714" spans="1:3" x14ac:dyDescent="0.25">
      <c r="A1714" s="1">
        <v>41259</v>
      </c>
      <c r="B1714" t="s">
        <v>23</v>
      </c>
      <c r="C1714">
        <v>177</v>
      </c>
    </row>
    <row r="1715" spans="1:3" x14ac:dyDescent="0.25">
      <c r="A1715" s="1">
        <v>41262</v>
      </c>
      <c r="B1715" t="s">
        <v>45</v>
      </c>
      <c r="C1715">
        <v>222</v>
      </c>
    </row>
    <row r="1716" spans="1:3" x14ac:dyDescent="0.25">
      <c r="A1716" s="1">
        <v>41273</v>
      </c>
      <c r="B1716" t="s">
        <v>49</v>
      </c>
      <c r="C1716">
        <v>9</v>
      </c>
    </row>
    <row r="1717" spans="1:3" x14ac:dyDescent="0.25">
      <c r="A1717" s="1">
        <v>41273</v>
      </c>
      <c r="B1717" t="s">
        <v>231</v>
      </c>
      <c r="C1717">
        <v>14</v>
      </c>
    </row>
    <row r="1718" spans="1:3" x14ac:dyDescent="0.25">
      <c r="A1718" s="1">
        <v>41275</v>
      </c>
      <c r="B1718" t="s">
        <v>3</v>
      </c>
      <c r="C1718">
        <v>7</v>
      </c>
    </row>
    <row r="1719" spans="1:3" x14ac:dyDescent="0.25">
      <c r="A1719" s="1">
        <v>41279</v>
      </c>
      <c r="B1719" t="s">
        <v>66</v>
      </c>
      <c r="C1719">
        <v>171</v>
      </c>
    </row>
    <row r="1720" spans="1:3" x14ac:dyDescent="0.25">
      <c r="A1720" s="1">
        <v>41283</v>
      </c>
      <c r="B1720" t="s">
        <v>208</v>
      </c>
      <c r="C1720">
        <v>16</v>
      </c>
    </row>
    <row r="1721" spans="1:3" x14ac:dyDescent="0.25">
      <c r="A1721" s="1">
        <v>41284</v>
      </c>
      <c r="B1721" t="s">
        <v>18</v>
      </c>
      <c r="C1721">
        <v>176</v>
      </c>
    </row>
    <row r="1722" spans="1:3" x14ac:dyDescent="0.25">
      <c r="A1722" s="1">
        <v>41287</v>
      </c>
      <c r="B1722" t="s">
        <v>55</v>
      </c>
      <c r="C1722">
        <v>37</v>
      </c>
    </row>
    <row r="1723" spans="1:3" x14ac:dyDescent="0.25">
      <c r="A1723" s="1">
        <v>41290</v>
      </c>
      <c r="B1723" t="s">
        <v>18</v>
      </c>
      <c r="C1723">
        <v>186</v>
      </c>
    </row>
    <row r="1724" spans="1:3" x14ac:dyDescent="0.25">
      <c r="A1724" s="1">
        <v>41290</v>
      </c>
      <c r="B1724" t="s">
        <v>61</v>
      </c>
      <c r="C1724">
        <v>45</v>
      </c>
    </row>
    <row r="1725" spans="1:3" x14ac:dyDescent="0.25">
      <c r="A1725" s="1">
        <v>41294</v>
      </c>
      <c r="B1725" t="s">
        <v>52</v>
      </c>
      <c r="C1725">
        <v>186</v>
      </c>
    </row>
    <row r="1726" spans="1:3" x14ac:dyDescent="0.25">
      <c r="A1726" s="1">
        <v>41294</v>
      </c>
      <c r="B1726" t="s">
        <v>14</v>
      </c>
      <c r="C1726">
        <v>211</v>
      </c>
    </row>
    <row r="1727" spans="1:3" x14ac:dyDescent="0.25">
      <c r="A1727" s="1">
        <v>41300</v>
      </c>
      <c r="B1727" t="s">
        <v>9</v>
      </c>
      <c r="C1727">
        <v>330</v>
      </c>
    </row>
    <row r="1728" spans="1:3" x14ac:dyDescent="0.25">
      <c r="A1728" s="1">
        <v>41301</v>
      </c>
      <c r="B1728" t="s">
        <v>14</v>
      </c>
      <c r="C1728">
        <v>134</v>
      </c>
    </row>
    <row r="1729" spans="1:3" x14ac:dyDescent="0.25">
      <c r="A1729" s="1">
        <v>41301</v>
      </c>
      <c r="B1729" t="s">
        <v>9</v>
      </c>
      <c r="C1729">
        <v>459</v>
      </c>
    </row>
    <row r="1730" spans="1:3" x14ac:dyDescent="0.25">
      <c r="A1730" s="1">
        <v>41302</v>
      </c>
      <c r="B1730" t="s">
        <v>26</v>
      </c>
      <c r="C1730">
        <v>185</v>
      </c>
    </row>
    <row r="1731" spans="1:3" x14ac:dyDescent="0.25">
      <c r="A1731" s="1">
        <v>41303</v>
      </c>
      <c r="B1731" t="s">
        <v>67</v>
      </c>
      <c r="C1731">
        <v>3</v>
      </c>
    </row>
    <row r="1732" spans="1:3" x14ac:dyDescent="0.25">
      <c r="A1732" s="1">
        <v>41305</v>
      </c>
      <c r="B1732" t="s">
        <v>30</v>
      </c>
      <c r="C1732">
        <v>181</v>
      </c>
    </row>
    <row r="1733" spans="1:3" x14ac:dyDescent="0.25">
      <c r="A1733" s="1">
        <v>41309</v>
      </c>
      <c r="B1733" t="s">
        <v>17</v>
      </c>
      <c r="C1733">
        <v>441</v>
      </c>
    </row>
    <row r="1734" spans="1:3" x14ac:dyDescent="0.25">
      <c r="A1734" s="1">
        <v>41310</v>
      </c>
      <c r="B1734" t="s">
        <v>45</v>
      </c>
      <c r="C1734">
        <v>487</v>
      </c>
    </row>
    <row r="1735" spans="1:3" x14ac:dyDescent="0.25">
      <c r="A1735" s="1">
        <v>41310</v>
      </c>
      <c r="B1735" t="s">
        <v>52</v>
      </c>
      <c r="C1735">
        <v>56</v>
      </c>
    </row>
    <row r="1736" spans="1:3" x14ac:dyDescent="0.25">
      <c r="A1736" s="1">
        <v>41314</v>
      </c>
      <c r="B1736" t="s">
        <v>12</v>
      </c>
      <c r="C1736">
        <v>23</v>
      </c>
    </row>
    <row r="1737" spans="1:3" x14ac:dyDescent="0.25">
      <c r="A1737" s="1">
        <v>41314</v>
      </c>
      <c r="B1737" t="s">
        <v>131</v>
      </c>
      <c r="C1737">
        <v>113</v>
      </c>
    </row>
    <row r="1738" spans="1:3" x14ac:dyDescent="0.25">
      <c r="A1738" s="1">
        <v>41315</v>
      </c>
      <c r="B1738" t="s">
        <v>200</v>
      </c>
      <c r="C1738">
        <v>19</v>
      </c>
    </row>
    <row r="1739" spans="1:3" x14ac:dyDescent="0.25">
      <c r="A1739" s="1">
        <v>41316</v>
      </c>
      <c r="B1739" t="s">
        <v>78</v>
      </c>
      <c r="C1739">
        <v>188</v>
      </c>
    </row>
    <row r="1740" spans="1:3" x14ac:dyDescent="0.25">
      <c r="A1740" s="1">
        <v>41316</v>
      </c>
      <c r="B1740" t="s">
        <v>7</v>
      </c>
      <c r="C1740">
        <v>338</v>
      </c>
    </row>
    <row r="1741" spans="1:3" x14ac:dyDescent="0.25">
      <c r="A1741" s="1">
        <v>41317</v>
      </c>
      <c r="B1741" t="s">
        <v>31</v>
      </c>
      <c r="C1741">
        <v>80</v>
      </c>
    </row>
    <row r="1742" spans="1:3" x14ac:dyDescent="0.25">
      <c r="A1742" s="1">
        <v>41318</v>
      </c>
      <c r="B1742" t="s">
        <v>171</v>
      </c>
      <c r="C1742">
        <v>20</v>
      </c>
    </row>
    <row r="1743" spans="1:3" x14ac:dyDescent="0.25">
      <c r="A1743" s="1">
        <v>41321</v>
      </c>
      <c r="B1743" t="s">
        <v>159</v>
      </c>
      <c r="C1743">
        <v>1</v>
      </c>
    </row>
    <row r="1744" spans="1:3" x14ac:dyDescent="0.25">
      <c r="A1744" s="1">
        <v>41322</v>
      </c>
      <c r="B1744" t="s">
        <v>52</v>
      </c>
      <c r="C1744">
        <v>200</v>
      </c>
    </row>
    <row r="1745" spans="1:3" x14ac:dyDescent="0.25">
      <c r="A1745" s="1">
        <v>41323</v>
      </c>
      <c r="B1745" t="s">
        <v>5</v>
      </c>
      <c r="C1745">
        <v>429</v>
      </c>
    </row>
    <row r="1746" spans="1:3" x14ac:dyDescent="0.25">
      <c r="A1746" s="1">
        <v>41324</v>
      </c>
      <c r="B1746" t="s">
        <v>12</v>
      </c>
      <c r="C1746">
        <v>183</v>
      </c>
    </row>
    <row r="1747" spans="1:3" x14ac:dyDescent="0.25">
      <c r="A1747" s="1">
        <v>41325</v>
      </c>
      <c r="B1747" t="s">
        <v>10</v>
      </c>
      <c r="C1747">
        <v>26</v>
      </c>
    </row>
    <row r="1748" spans="1:3" x14ac:dyDescent="0.25">
      <c r="A1748" s="1">
        <v>41326</v>
      </c>
      <c r="B1748" t="s">
        <v>180</v>
      </c>
      <c r="C1748">
        <v>2</v>
      </c>
    </row>
    <row r="1749" spans="1:3" x14ac:dyDescent="0.25">
      <c r="A1749" s="1">
        <v>41328</v>
      </c>
      <c r="B1749" t="s">
        <v>7</v>
      </c>
      <c r="C1749">
        <v>174</v>
      </c>
    </row>
    <row r="1750" spans="1:3" x14ac:dyDescent="0.25">
      <c r="A1750" s="1">
        <v>41329</v>
      </c>
      <c r="B1750" t="s">
        <v>52</v>
      </c>
      <c r="C1750">
        <v>98</v>
      </c>
    </row>
    <row r="1751" spans="1:3" x14ac:dyDescent="0.25">
      <c r="A1751" s="1">
        <v>41329</v>
      </c>
      <c r="B1751" t="s">
        <v>185</v>
      </c>
      <c r="C1751">
        <v>11</v>
      </c>
    </row>
    <row r="1752" spans="1:3" x14ac:dyDescent="0.25">
      <c r="A1752" s="1">
        <v>41332</v>
      </c>
      <c r="B1752" t="s">
        <v>28</v>
      </c>
      <c r="C1752">
        <v>58</v>
      </c>
    </row>
    <row r="1753" spans="1:3" x14ac:dyDescent="0.25">
      <c r="A1753" s="1">
        <v>41336</v>
      </c>
      <c r="B1753" t="s">
        <v>15</v>
      </c>
      <c r="C1753">
        <v>17</v>
      </c>
    </row>
    <row r="1754" spans="1:3" x14ac:dyDescent="0.25">
      <c r="A1754" s="1">
        <v>41337</v>
      </c>
      <c r="B1754" t="s">
        <v>17</v>
      </c>
      <c r="C1754">
        <v>143</v>
      </c>
    </row>
    <row r="1755" spans="1:3" x14ac:dyDescent="0.25">
      <c r="A1755" s="1">
        <v>41339</v>
      </c>
      <c r="B1755" t="s">
        <v>52</v>
      </c>
      <c r="C1755">
        <v>108</v>
      </c>
    </row>
    <row r="1756" spans="1:3" x14ac:dyDescent="0.25">
      <c r="A1756" s="1">
        <v>41346</v>
      </c>
      <c r="B1756" t="s">
        <v>102</v>
      </c>
      <c r="C1756">
        <v>424</v>
      </c>
    </row>
    <row r="1757" spans="1:3" x14ac:dyDescent="0.25">
      <c r="A1757" s="1">
        <v>41351</v>
      </c>
      <c r="B1757" t="s">
        <v>221</v>
      </c>
      <c r="C1757">
        <v>9</v>
      </c>
    </row>
    <row r="1758" spans="1:3" x14ac:dyDescent="0.25">
      <c r="A1758" s="1">
        <v>41352</v>
      </c>
      <c r="B1758" t="s">
        <v>28</v>
      </c>
      <c r="C1758">
        <v>135</v>
      </c>
    </row>
    <row r="1759" spans="1:3" x14ac:dyDescent="0.25">
      <c r="A1759" s="1">
        <v>41356</v>
      </c>
      <c r="B1759" t="s">
        <v>14</v>
      </c>
      <c r="C1759">
        <v>202</v>
      </c>
    </row>
    <row r="1760" spans="1:3" x14ac:dyDescent="0.25">
      <c r="A1760" s="1">
        <v>41357</v>
      </c>
      <c r="B1760" t="s">
        <v>45</v>
      </c>
      <c r="C1760">
        <v>459</v>
      </c>
    </row>
    <row r="1761" spans="1:3" x14ac:dyDescent="0.25">
      <c r="A1761" s="1">
        <v>41361</v>
      </c>
      <c r="B1761" t="s">
        <v>58</v>
      </c>
      <c r="C1761">
        <v>107</v>
      </c>
    </row>
    <row r="1762" spans="1:3" x14ac:dyDescent="0.25">
      <c r="A1762" s="1">
        <v>41362</v>
      </c>
      <c r="B1762" t="s">
        <v>35</v>
      </c>
      <c r="C1762">
        <v>37</v>
      </c>
    </row>
    <row r="1763" spans="1:3" x14ac:dyDescent="0.25">
      <c r="A1763" s="1">
        <v>41363</v>
      </c>
      <c r="B1763" t="s">
        <v>61</v>
      </c>
      <c r="C1763">
        <v>43</v>
      </c>
    </row>
    <row r="1764" spans="1:3" x14ac:dyDescent="0.25">
      <c r="A1764" s="1">
        <v>41365</v>
      </c>
      <c r="B1764" t="s">
        <v>9</v>
      </c>
      <c r="C1764">
        <v>352</v>
      </c>
    </row>
    <row r="1765" spans="1:3" x14ac:dyDescent="0.25">
      <c r="A1765" s="1">
        <v>41368</v>
      </c>
      <c r="B1765" t="s">
        <v>18</v>
      </c>
      <c r="C1765">
        <v>94</v>
      </c>
    </row>
    <row r="1766" spans="1:3" x14ac:dyDescent="0.25">
      <c r="A1766" s="1">
        <v>41368</v>
      </c>
      <c r="B1766" t="s">
        <v>66</v>
      </c>
      <c r="C1766">
        <v>112</v>
      </c>
    </row>
    <row r="1767" spans="1:3" x14ac:dyDescent="0.25">
      <c r="A1767" s="1">
        <v>41369</v>
      </c>
      <c r="B1767" t="s">
        <v>61</v>
      </c>
      <c r="C1767">
        <v>136</v>
      </c>
    </row>
    <row r="1768" spans="1:3" x14ac:dyDescent="0.25">
      <c r="A1768" s="1">
        <v>41370</v>
      </c>
      <c r="B1768" t="s">
        <v>78</v>
      </c>
      <c r="C1768">
        <v>56</v>
      </c>
    </row>
    <row r="1769" spans="1:3" x14ac:dyDescent="0.25">
      <c r="A1769" s="1">
        <v>41372</v>
      </c>
      <c r="B1769" t="s">
        <v>14</v>
      </c>
      <c r="C1769">
        <v>286</v>
      </c>
    </row>
    <row r="1770" spans="1:3" x14ac:dyDescent="0.25">
      <c r="A1770" s="1">
        <v>41373</v>
      </c>
      <c r="B1770" t="s">
        <v>7</v>
      </c>
      <c r="C1770">
        <v>296</v>
      </c>
    </row>
    <row r="1771" spans="1:3" x14ac:dyDescent="0.25">
      <c r="A1771" s="1">
        <v>41373</v>
      </c>
      <c r="B1771" t="s">
        <v>25</v>
      </c>
      <c r="C1771">
        <v>81</v>
      </c>
    </row>
    <row r="1772" spans="1:3" x14ac:dyDescent="0.25">
      <c r="A1772" s="1">
        <v>41374</v>
      </c>
      <c r="B1772" t="s">
        <v>14</v>
      </c>
      <c r="C1772">
        <v>231</v>
      </c>
    </row>
    <row r="1773" spans="1:3" x14ac:dyDescent="0.25">
      <c r="A1773" s="1">
        <v>41375</v>
      </c>
      <c r="B1773" t="s">
        <v>17</v>
      </c>
      <c r="C1773">
        <v>149</v>
      </c>
    </row>
    <row r="1774" spans="1:3" x14ac:dyDescent="0.25">
      <c r="A1774" s="1">
        <v>41375</v>
      </c>
      <c r="B1774" t="s">
        <v>132</v>
      </c>
      <c r="C1774">
        <v>3</v>
      </c>
    </row>
    <row r="1775" spans="1:3" x14ac:dyDescent="0.25">
      <c r="A1775" s="1">
        <v>41376</v>
      </c>
      <c r="B1775" t="s">
        <v>14</v>
      </c>
      <c r="C1775">
        <v>311</v>
      </c>
    </row>
    <row r="1776" spans="1:3" x14ac:dyDescent="0.25">
      <c r="A1776" s="1">
        <v>41379</v>
      </c>
      <c r="B1776" t="s">
        <v>66</v>
      </c>
      <c r="C1776">
        <v>121</v>
      </c>
    </row>
    <row r="1777" spans="1:3" x14ac:dyDescent="0.25">
      <c r="A1777" s="1">
        <v>41380</v>
      </c>
      <c r="B1777" t="s">
        <v>153</v>
      </c>
      <c r="C1777">
        <v>15</v>
      </c>
    </row>
    <row r="1778" spans="1:3" x14ac:dyDescent="0.25">
      <c r="A1778" s="1">
        <v>41381</v>
      </c>
      <c r="B1778" t="s">
        <v>136</v>
      </c>
      <c r="C1778">
        <v>14</v>
      </c>
    </row>
    <row r="1779" spans="1:3" x14ac:dyDescent="0.25">
      <c r="A1779" s="1">
        <v>41381</v>
      </c>
      <c r="B1779" t="s">
        <v>7</v>
      </c>
      <c r="C1779">
        <v>240</v>
      </c>
    </row>
    <row r="1780" spans="1:3" x14ac:dyDescent="0.25">
      <c r="A1780" s="1">
        <v>41383</v>
      </c>
      <c r="B1780" t="s">
        <v>56</v>
      </c>
      <c r="C1780">
        <v>12</v>
      </c>
    </row>
    <row r="1781" spans="1:3" x14ac:dyDescent="0.25">
      <c r="A1781" s="1">
        <v>41385</v>
      </c>
      <c r="B1781" t="s">
        <v>199</v>
      </c>
      <c r="C1781">
        <v>1</v>
      </c>
    </row>
    <row r="1782" spans="1:3" x14ac:dyDescent="0.25">
      <c r="A1782" s="1">
        <v>41388</v>
      </c>
      <c r="B1782" t="s">
        <v>232</v>
      </c>
      <c r="C1782">
        <v>12</v>
      </c>
    </row>
    <row r="1783" spans="1:3" x14ac:dyDescent="0.25">
      <c r="A1783" s="1">
        <v>41391</v>
      </c>
      <c r="B1783" t="s">
        <v>18</v>
      </c>
      <c r="C1783">
        <v>190</v>
      </c>
    </row>
    <row r="1784" spans="1:3" x14ac:dyDescent="0.25">
      <c r="A1784" s="1">
        <v>41392</v>
      </c>
      <c r="B1784" t="s">
        <v>63</v>
      </c>
      <c r="C1784">
        <v>179</v>
      </c>
    </row>
    <row r="1785" spans="1:3" x14ac:dyDescent="0.25">
      <c r="A1785" s="1">
        <v>41394</v>
      </c>
      <c r="B1785" t="s">
        <v>22</v>
      </c>
      <c r="C1785">
        <v>106</v>
      </c>
    </row>
    <row r="1786" spans="1:3" x14ac:dyDescent="0.25">
      <c r="A1786" s="1">
        <v>41396</v>
      </c>
      <c r="B1786" t="s">
        <v>7</v>
      </c>
      <c r="C1786">
        <v>267</v>
      </c>
    </row>
    <row r="1787" spans="1:3" x14ac:dyDescent="0.25">
      <c r="A1787" s="1">
        <v>41396</v>
      </c>
      <c r="B1787" t="s">
        <v>123</v>
      </c>
      <c r="C1787">
        <v>66</v>
      </c>
    </row>
    <row r="1788" spans="1:3" x14ac:dyDescent="0.25">
      <c r="A1788" s="1">
        <v>41398</v>
      </c>
      <c r="B1788" t="s">
        <v>14</v>
      </c>
      <c r="C1788">
        <v>471</v>
      </c>
    </row>
    <row r="1789" spans="1:3" x14ac:dyDescent="0.25">
      <c r="A1789" s="1">
        <v>41399</v>
      </c>
      <c r="B1789" t="s">
        <v>60</v>
      </c>
      <c r="C1789">
        <v>5</v>
      </c>
    </row>
    <row r="1790" spans="1:3" x14ac:dyDescent="0.25">
      <c r="A1790" s="1">
        <v>41401</v>
      </c>
      <c r="B1790" t="s">
        <v>221</v>
      </c>
      <c r="C1790">
        <v>11</v>
      </c>
    </row>
    <row r="1791" spans="1:3" x14ac:dyDescent="0.25">
      <c r="A1791" s="1">
        <v>41403</v>
      </c>
      <c r="B1791" t="s">
        <v>71</v>
      </c>
      <c r="C1791">
        <v>103</v>
      </c>
    </row>
    <row r="1792" spans="1:3" x14ac:dyDescent="0.25">
      <c r="A1792" s="1">
        <v>41403</v>
      </c>
      <c r="B1792" t="s">
        <v>19</v>
      </c>
      <c r="C1792">
        <v>92</v>
      </c>
    </row>
    <row r="1793" spans="1:3" x14ac:dyDescent="0.25">
      <c r="A1793" s="1">
        <v>41405</v>
      </c>
      <c r="B1793" t="s">
        <v>10</v>
      </c>
      <c r="C1793">
        <v>115</v>
      </c>
    </row>
    <row r="1794" spans="1:3" x14ac:dyDescent="0.25">
      <c r="A1794" s="1">
        <v>41406</v>
      </c>
      <c r="B1794" t="s">
        <v>52</v>
      </c>
      <c r="C1794">
        <v>62</v>
      </c>
    </row>
    <row r="1795" spans="1:3" x14ac:dyDescent="0.25">
      <c r="A1795" s="1">
        <v>41406</v>
      </c>
      <c r="B1795" t="s">
        <v>5</v>
      </c>
      <c r="C1795">
        <v>420</v>
      </c>
    </row>
    <row r="1796" spans="1:3" x14ac:dyDescent="0.25">
      <c r="A1796" s="1">
        <v>41406</v>
      </c>
      <c r="B1796" t="s">
        <v>30</v>
      </c>
      <c r="C1796">
        <v>81</v>
      </c>
    </row>
    <row r="1797" spans="1:3" x14ac:dyDescent="0.25">
      <c r="A1797" s="1">
        <v>41407</v>
      </c>
      <c r="B1797" t="s">
        <v>9</v>
      </c>
      <c r="C1797">
        <v>412</v>
      </c>
    </row>
    <row r="1798" spans="1:3" x14ac:dyDescent="0.25">
      <c r="A1798" s="1">
        <v>41409</v>
      </c>
      <c r="B1798" t="s">
        <v>45</v>
      </c>
      <c r="C1798">
        <v>377</v>
      </c>
    </row>
    <row r="1799" spans="1:3" x14ac:dyDescent="0.25">
      <c r="A1799" s="1">
        <v>41414</v>
      </c>
      <c r="B1799" t="s">
        <v>45</v>
      </c>
      <c r="C1799">
        <v>461</v>
      </c>
    </row>
    <row r="1800" spans="1:3" x14ac:dyDescent="0.25">
      <c r="A1800" s="1">
        <v>41414</v>
      </c>
      <c r="B1800" t="s">
        <v>71</v>
      </c>
      <c r="C1800">
        <v>138</v>
      </c>
    </row>
    <row r="1801" spans="1:3" x14ac:dyDescent="0.25">
      <c r="A1801" s="1">
        <v>41418</v>
      </c>
      <c r="B1801" t="s">
        <v>47</v>
      </c>
      <c r="C1801">
        <v>17</v>
      </c>
    </row>
    <row r="1802" spans="1:3" x14ac:dyDescent="0.25">
      <c r="A1802" s="1">
        <v>41422</v>
      </c>
      <c r="B1802" t="s">
        <v>197</v>
      </c>
      <c r="C1802">
        <v>8</v>
      </c>
    </row>
    <row r="1803" spans="1:3" x14ac:dyDescent="0.25">
      <c r="A1803" s="1">
        <v>41424</v>
      </c>
      <c r="B1803" t="s">
        <v>9</v>
      </c>
      <c r="C1803">
        <v>448</v>
      </c>
    </row>
    <row r="1804" spans="1:3" x14ac:dyDescent="0.25">
      <c r="A1804" s="1">
        <v>41426</v>
      </c>
      <c r="B1804" t="s">
        <v>9</v>
      </c>
      <c r="C1804">
        <v>240</v>
      </c>
    </row>
    <row r="1805" spans="1:3" x14ac:dyDescent="0.25">
      <c r="A1805" s="1">
        <v>41427</v>
      </c>
      <c r="B1805" t="s">
        <v>22</v>
      </c>
      <c r="C1805">
        <v>388</v>
      </c>
    </row>
    <row r="1806" spans="1:3" x14ac:dyDescent="0.25">
      <c r="A1806" s="1">
        <v>41429</v>
      </c>
      <c r="B1806" t="s">
        <v>7</v>
      </c>
      <c r="C1806">
        <v>455</v>
      </c>
    </row>
    <row r="1807" spans="1:3" x14ac:dyDescent="0.25">
      <c r="A1807" s="1">
        <v>41429</v>
      </c>
      <c r="B1807" t="s">
        <v>17</v>
      </c>
      <c r="C1807">
        <v>269</v>
      </c>
    </row>
    <row r="1808" spans="1:3" x14ac:dyDescent="0.25">
      <c r="A1808" s="1">
        <v>41432</v>
      </c>
      <c r="B1808" t="s">
        <v>6</v>
      </c>
      <c r="C1808">
        <v>81</v>
      </c>
    </row>
    <row r="1809" spans="1:3" x14ac:dyDescent="0.25">
      <c r="A1809" s="1">
        <v>41432</v>
      </c>
      <c r="B1809" t="s">
        <v>10</v>
      </c>
      <c r="C1809">
        <v>99</v>
      </c>
    </row>
    <row r="1810" spans="1:3" x14ac:dyDescent="0.25">
      <c r="A1810" s="1">
        <v>41437</v>
      </c>
      <c r="B1810" t="s">
        <v>170</v>
      </c>
      <c r="C1810">
        <v>12</v>
      </c>
    </row>
    <row r="1811" spans="1:3" x14ac:dyDescent="0.25">
      <c r="A1811" s="1">
        <v>41439</v>
      </c>
      <c r="B1811" t="s">
        <v>233</v>
      </c>
      <c r="C1811">
        <v>4</v>
      </c>
    </row>
    <row r="1812" spans="1:3" x14ac:dyDescent="0.25">
      <c r="A1812" s="1">
        <v>41440</v>
      </c>
      <c r="B1812" t="s">
        <v>30</v>
      </c>
      <c r="C1812">
        <v>132</v>
      </c>
    </row>
    <row r="1813" spans="1:3" x14ac:dyDescent="0.25">
      <c r="A1813" s="1">
        <v>41441</v>
      </c>
      <c r="B1813" t="s">
        <v>131</v>
      </c>
      <c r="C1813">
        <v>83</v>
      </c>
    </row>
    <row r="1814" spans="1:3" x14ac:dyDescent="0.25">
      <c r="A1814" s="1">
        <v>41446</v>
      </c>
      <c r="B1814" t="s">
        <v>205</v>
      </c>
      <c r="C1814">
        <v>7</v>
      </c>
    </row>
    <row r="1815" spans="1:3" x14ac:dyDescent="0.25">
      <c r="A1815" s="1">
        <v>41447</v>
      </c>
      <c r="B1815" t="s">
        <v>154</v>
      </c>
      <c r="C1815">
        <v>9</v>
      </c>
    </row>
    <row r="1816" spans="1:3" x14ac:dyDescent="0.25">
      <c r="A1816" s="1">
        <v>41448</v>
      </c>
      <c r="B1816" t="s">
        <v>159</v>
      </c>
      <c r="C1816">
        <v>20</v>
      </c>
    </row>
    <row r="1817" spans="1:3" x14ac:dyDescent="0.25">
      <c r="A1817" s="1">
        <v>41449</v>
      </c>
      <c r="B1817" t="s">
        <v>10</v>
      </c>
      <c r="C1817">
        <v>98</v>
      </c>
    </row>
    <row r="1818" spans="1:3" x14ac:dyDescent="0.25">
      <c r="A1818" s="1">
        <v>41451</v>
      </c>
      <c r="B1818" t="s">
        <v>137</v>
      </c>
      <c r="C1818">
        <v>9</v>
      </c>
    </row>
    <row r="1819" spans="1:3" x14ac:dyDescent="0.25">
      <c r="A1819" s="1">
        <v>41453</v>
      </c>
      <c r="B1819" t="s">
        <v>64</v>
      </c>
      <c r="C1819">
        <v>13</v>
      </c>
    </row>
    <row r="1820" spans="1:3" x14ac:dyDescent="0.25">
      <c r="A1820" s="1">
        <v>41456</v>
      </c>
      <c r="B1820" t="s">
        <v>50</v>
      </c>
      <c r="C1820">
        <v>424</v>
      </c>
    </row>
    <row r="1821" spans="1:3" x14ac:dyDescent="0.25">
      <c r="A1821" s="1">
        <v>41461</v>
      </c>
      <c r="B1821" t="s">
        <v>39</v>
      </c>
      <c r="C1821">
        <v>31</v>
      </c>
    </row>
    <row r="1822" spans="1:3" x14ac:dyDescent="0.25">
      <c r="A1822" s="1">
        <v>41462</v>
      </c>
      <c r="B1822" t="s">
        <v>57</v>
      </c>
      <c r="C1822">
        <v>18</v>
      </c>
    </row>
    <row r="1823" spans="1:3" x14ac:dyDescent="0.25">
      <c r="A1823" s="1">
        <v>41464</v>
      </c>
      <c r="B1823" t="s">
        <v>6</v>
      </c>
      <c r="C1823">
        <v>172</v>
      </c>
    </row>
    <row r="1824" spans="1:3" x14ac:dyDescent="0.25">
      <c r="A1824" s="1">
        <v>41464</v>
      </c>
      <c r="B1824" t="s">
        <v>45</v>
      </c>
      <c r="C1824">
        <v>373</v>
      </c>
    </row>
    <row r="1825" spans="1:3" x14ac:dyDescent="0.25">
      <c r="A1825" s="1">
        <v>41465</v>
      </c>
      <c r="B1825" t="s">
        <v>17</v>
      </c>
      <c r="C1825">
        <v>299</v>
      </c>
    </row>
    <row r="1826" spans="1:3" x14ac:dyDescent="0.25">
      <c r="A1826" s="1">
        <v>41471</v>
      </c>
      <c r="B1826" t="s">
        <v>37</v>
      </c>
      <c r="C1826">
        <v>20</v>
      </c>
    </row>
    <row r="1827" spans="1:3" x14ac:dyDescent="0.25">
      <c r="A1827" s="1">
        <v>41472</v>
      </c>
      <c r="B1827" t="s">
        <v>69</v>
      </c>
      <c r="C1827">
        <v>89</v>
      </c>
    </row>
    <row r="1828" spans="1:3" x14ac:dyDescent="0.25">
      <c r="A1828" s="1">
        <v>41472</v>
      </c>
      <c r="B1828" t="s">
        <v>35</v>
      </c>
      <c r="C1828">
        <v>60</v>
      </c>
    </row>
    <row r="1829" spans="1:3" x14ac:dyDescent="0.25">
      <c r="A1829" s="1">
        <v>41475</v>
      </c>
      <c r="B1829" t="s">
        <v>3</v>
      </c>
      <c r="C1829">
        <v>5</v>
      </c>
    </row>
    <row r="1830" spans="1:3" x14ac:dyDescent="0.25">
      <c r="A1830" s="1">
        <v>41476</v>
      </c>
      <c r="B1830" t="s">
        <v>102</v>
      </c>
      <c r="C1830">
        <v>125</v>
      </c>
    </row>
    <row r="1831" spans="1:3" x14ac:dyDescent="0.25">
      <c r="A1831" s="1">
        <v>41476</v>
      </c>
      <c r="B1831" t="s">
        <v>12</v>
      </c>
      <c r="C1831">
        <v>177</v>
      </c>
    </row>
    <row r="1832" spans="1:3" x14ac:dyDescent="0.25">
      <c r="A1832" s="1">
        <v>41477</v>
      </c>
      <c r="B1832" t="s">
        <v>20</v>
      </c>
      <c r="C1832">
        <v>58</v>
      </c>
    </row>
    <row r="1833" spans="1:3" x14ac:dyDescent="0.25">
      <c r="A1833" s="1">
        <v>41478</v>
      </c>
      <c r="B1833" t="s">
        <v>19</v>
      </c>
      <c r="C1833">
        <v>174</v>
      </c>
    </row>
    <row r="1834" spans="1:3" x14ac:dyDescent="0.25">
      <c r="A1834" s="1">
        <v>41479</v>
      </c>
      <c r="B1834" t="s">
        <v>7</v>
      </c>
      <c r="C1834">
        <v>485</v>
      </c>
    </row>
    <row r="1835" spans="1:3" x14ac:dyDescent="0.25">
      <c r="A1835" s="1">
        <v>41481</v>
      </c>
      <c r="B1835" t="s">
        <v>232</v>
      </c>
      <c r="C1835">
        <v>7</v>
      </c>
    </row>
    <row r="1836" spans="1:3" x14ac:dyDescent="0.25">
      <c r="A1836" s="1">
        <v>41482</v>
      </c>
      <c r="B1836" t="s">
        <v>9</v>
      </c>
      <c r="C1836">
        <v>109</v>
      </c>
    </row>
    <row r="1837" spans="1:3" x14ac:dyDescent="0.25">
      <c r="A1837" s="1">
        <v>41485</v>
      </c>
      <c r="B1837" t="s">
        <v>6</v>
      </c>
      <c r="C1837">
        <v>116</v>
      </c>
    </row>
    <row r="1838" spans="1:3" x14ac:dyDescent="0.25">
      <c r="A1838" s="1">
        <v>41486</v>
      </c>
      <c r="B1838" t="s">
        <v>39</v>
      </c>
      <c r="C1838">
        <v>125</v>
      </c>
    </row>
    <row r="1839" spans="1:3" x14ac:dyDescent="0.25">
      <c r="A1839" s="1">
        <v>41486</v>
      </c>
      <c r="B1839" t="s">
        <v>222</v>
      </c>
      <c r="C1839">
        <v>15</v>
      </c>
    </row>
    <row r="1840" spans="1:3" x14ac:dyDescent="0.25">
      <c r="A1840" s="1">
        <v>41488</v>
      </c>
      <c r="B1840" t="s">
        <v>177</v>
      </c>
      <c r="C1840">
        <v>4</v>
      </c>
    </row>
    <row r="1841" spans="1:3" x14ac:dyDescent="0.25">
      <c r="A1841" s="1">
        <v>41489</v>
      </c>
      <c r="B1841" t="s">
        <v>144</v>
      </c>
      <c r="C1841">
        <v>13</v>
      </c>
    </row>
    <row r="1842" spans="1:3" x14ac:dyDescent="0.25">
      <c r="A1842" s="1">
        <v>41491</v>
      </c>
      <c r="B1842" t="s">
        <v>102</v>
      </c>
      <c r="C1842">
        <v>338</v>
      </c>
    </row>
    <row r="1843" spans="1:3" x14ac:dyDescent="0.25">
      <c r="A1843" s="1">
        <v>41492</v>
      </c>
      <c r="B1843" t="s">
        <v>167</v>
      </c>
      <c r="C1843">
        <v>2</v>
      </c>
    </row>
    <row r="1844" spans="1:3" x14ac:dyDescent="0.25">
      <c r="A1844" s="1">
        <v>41493</v>
      </c>
      <c r="B1844" t="s">
        <v>37</v>
      </c>
      <c r="C1844">
        <v>108</v>
      </c>
    </row>
    <row r="1845" spans="1:3" x14ac:dyDescent="0.25">
      <c r="A1845" s="1">
        <v>41494</v>
      </c>
      <c r="B1845" t="s">
        <v>61</v>
      </c>
      <c r="C1845">
        <v>119</v>
      </c>
    </row>
    <row r="1846" spans="1:3" x14ac:dyDescent="0.25">
      <c r="A1846" s="1">
        <v>41495</v>
      </c>
      <c r="B1846" t="s">
        <v>7</v>
      </c>
      <c r="C1846">
        <v>385</v>
      </c>
    </row>
    <row r="1847" spans="1:3" x14ac:dyDescent="0.25">
      <c r="A1847" s="1">
        <v>41495</v>
      </c>
      <c r="B1847" t="s">
        <v>45</v>
      </c>
      <c r="C1847">
        <v>239</v>
      </c>
    </row>
    <row r="1848" spans="1:3" x14ac:dyDescent="0.25">
      <c r="A1848" s="1">
        <v>41498</v>
      </c>
      <c r="B1848" t="s">
        <v>229</v>
      </c>
      <c r="C1848">
        <v>8</v>
      </c>
    </row>
    <row r="1849" spans="1:3" x14ac:dyDescent="0.25">
      <c r="A1849" s="1">
        <v>41499</v>
      </c>
      <c r="B1849" t="s">
        <v>17</v>
      </c>
      <c r="C1849">
        <v>219</v>
      </c>
    </row>
    <row r="1850" spans="1:3" x14ac:dyDescent="0.25">
      <c r="A1850" s="1">
        <v>41503</v>
      </c>
      <c r="B1850" t="s">
        <v>25</v>
      </c>
      <c r="C1850">
        <v>40</v>
      </c>
    </row>
    <row r="1851" spans="1:3" x14ac:dyDescent="0.25">
      <c r="A1851" s="1">
        <v>41503</v>
      </c>
      <c r="B1851" t="s">
        <v>102</v>
      </c>
      <c r="C1851">
        <v>166</v>
      </c>
    </row>
    <row r="1852" spans="1:3" x14ac:dyDescent="0.25">
      <c r="A1852" s="1">
        <v>41504</v>
      </c>
      <c r="B1852" t="s">
        <v>66</v>
      </c>
      <c r="C1852">
        <v>168</v>
      </c>
    </row>
    <row r="1853" spans="1:3" x14ac:dyDescent="0.25">
      <c r="A1853" s="1">
        <v>41505</v>
      </c>
      <c r="B1853" t="s">
        <v>131</v>
      </c>
      <c r="C1853">
        <v>96</v>
      </c>
    </row>
    <row r="1854" spans="1:3" x14ac:dyDescent="0.25">
      <c r="A1854" s="1">
        <v>41506</v>
      </c>
      <c r="B1854" t="s">
        <v>10</v>
      </c>
      <c r="C1854">
        <v>23</v>
      </c>
    </row>
    <row r="1855" spans="1:3" x14ac:dyDescent="0.25">
      <c r="A1855" s="1">
        <v>41509</v>
      </c>
      <c r="B1855" t="s">
        <v>177</v>
      </c>
      <c r="C1855">
        <v>8</v>
      </c>
    </row>
    <row r="1856" spans="1:3" x14ac:dyDescent="0.25">
      <c r="A1856" s="1">
        <v>41509</v>
      </c>
      <c r="B1856" t="s">
        <v>106</v>
      </c>
      <c r="C1856">
        <v>1</v>
      </c>
    </row>
    <row r="1857" spans="1:3" x14ac:dyDescent="0.25">
      <c r="A1857" s="1">
        <v>41509</v>
      </c>
      <c r="B1857" t="s">
        <v>15</v>
      </c>
      <c r="C1857">
        <v>4</v>
      </c>
    </row>
    <row r="1858" spans="1:3" x14ac:dyDescent="0.25">
      <c r="A1858" s="1">
        <v>41512</v>
      </c>
      <c r="B1858" t="s">
        <v>120</v>
      </c>
      <c r="C1858">
        <v>170</v>
      </c>
    </row>
    <row r="1859" spans="1:3" x14ac:dyDescent="0.25">
      <c r="A1859" s="1">
        <v>41514</v>
      </c>
      <c r="B1859" t="s">
        <v>45</v>
      </c>
      <c r="C1859">
        <v>193</v>
      </c>
    </row>
    <row r="1860" spans="1:3" x14ac:dyDescent="0.25">
      <c r="A1860" s="1">
        <v>41517</v>
      </c>
      <c r="B1860" t="s">
        <v>234</v>
      </c>
      <c r="C1860">
        <v>5</v>
      </c>
    </row>
    <row r="1861" spans="1:3" x14ac:dyDescent="0.25">
      <c r="A1861" s="1">
        <v>41520</v>
      </c>
      <c r="B1861" t="s">
        <v>62</v>
      </c>
      <c r="C1861">
        <v>5</v>
      </c>
    </row>
    <row r="1862" spans="1:3" x14ac:dyDescent="0.25">
      <c r="A1862" s="1">
        <v>41520</v>
      </c>
      <c r="B1862" t="s">
        <v>64</v>
      </c>
      <c r="C1862">
        <v>15</v>
      </c>
    </row>
    <row r="1863" spans="1:3" x14ac:dyDescent="0.25">
      <c r="A1863" s="1">
        <v>41525</v>
      </c>
      <c r="B1863" t="s">
        <v>109</v>
      </c>
      <c r="C1863">
        <v>14</v>
      </c>
    </row>
    <row r="1864" spans="1:3" x14ac:dyDescent="0.25">
      <c r="A1864" s="1">
        <v>41525</v>
      </c>
      <c r="B1864" t="s">
        <v>37</v>
      </c>
      <c r="C1864">
        <v>96</v>
      </c>
    </row>
    <row r="1865" spans="1:3" x14ac:dyDescent="0.25">
      <c r="A1865" s="1">
        <v>41529</v>
      </c>
      <c r="B1865" t="s">
        <v>162</v>
      </c>
      <c r="C1865">
        <v>1</v>
      </c>
    </row>
    <row r="1866" spans="1:3" x14ac:dyDescent="0.25">
      <c r="A1866" s="1">
        <v>41533</v>
      </c>
      <c r="B1866" t="s">
        <v>69</v>
      </c>
      <c r="C1866">
        <v>164</v>
      </c>
    </row>
    <row r="1867" spans="1:3" x14ac:dyDescent="0.25">
      <c r="A1867" s="1">
        <v>41534</v>
      </c>
      <c r="B1867" t="s">
        <v>22</v>
      </c>
      <c r="C1867">
        <v>105</v>
      </c>
    </row>
    <row r="1868" spans="1:3" x14ac:dyDescent="0.25">
      <c r="A1868" s="1">
        <v>41536</v>
      </c>
      <c r="B1868" t="s">
        <v>210</v>
      </c>
      <c r="C1868">
        <v>17</v>
      </c>
    </row>
    <row r="1869" spans="1:3" x14ac:dyDescent="0.25">
      <c r="A1869" s="1">
        <v>41538</v>
      </c>
      <c r="B1869" t="s">
        <v>200</v>
      </c>
      <c r="C1869">
        <v>5</v>
      </c>
    </row>
    <row r="1870" spans="1:3" x14ac:dyDescent="0.25">
      <c r="A1870" s="1">
        <v>41543</v>
      </c>
      <c r="B1870" t="s">
        <v>45</v>
      </c>
      <c r="C1870">
        <v>212</v>
      </c>
    </row>
    <row r="1871" spans="1:3" x14ac:dyDescent="0.25">
      <c r="A1871" s="1">
        <v>41543</v>
      </c>
      <c r="B1871" t="s">
        <v>9</v>
      </c>
      <c r="C1871">
        <v>128</v>
      </c>
    </row>
    <row r="1872" spans="1:3" x14ac:dyDescent="0.25">
      <c r="A1872" s="1">
        <v>41543</v>
      </c>
      <c r="B1872" t="s">
        <v>28</v>
      </c>
      <c r="C1872">
        <v>147</v>
      </c>
    </row>
    <row r="1873" spans="1:3" x14ac:dyDescent="0.25">
      <c r="A1873" s="1">
        <v>41544</v>
      </c>
      <c r="B1873" t="s">
        <v>14</v>
      </c>
      <c r="C1873">
        <v>436</v>
      </c>
    </row>
    <row r="1874" spans="1:3" x14ac:dyDescent="0.25">
      <c r="A1874" s="1">
        <v>41545</v>
      </c>
      <c r="B1874" t="s">
        <v>235</v>
      </c>
      <c r="C1874">
        <v>4</v>
      </c>
    </row>
    <row r="1875" spans="1:3" x14ac:dyDescent="0.25">
      <c r="A1875" s="1">
        <v>41545</v>
      </c>
      <c r="B1875" t="s">
        <v>154</v>
      </c>
      <c r="C1875">
        <v>4</v>
      </c>
    </row>
    <row r="1876" spans="1:3" x14ac:dyDescent="0.25">
      <c r="A1876" s="1">
        <v>41551</v>
      </c>
      <c r="B1876" t="s">
        <v>131</v>
      </c>
      <c r="C1876">
        <v>78</v>
      </c>
    </row>
    <row r="1877" spans="1:3" x14ac:dyDescent="0.25">
      <c r="A1877" s="1">
        <v>41558</v>
      </c>
      <c r="B1877" t="s">
        <v>10</v>
      </c>
      <c r="C1877">
        <v>159</v>
      </c>
    </row>
    <row r="1878" spans="1:3" x14ac:dyDescent="0.25">
      <c r="A1878" s="1">
        <v>41558</v>
      </c>
      <c r="B1878" t="s">
        <v>8</v>
      </c>
      <c r="C1878">
        <v>103</v>
      </c>
    </row>
    <row r="1879" spans="1:3" x14ac:dyDescent="0.25">
      <c r="A1879" s="1">
        <v>41559</v>
      </c>
      <c r="B1879" t="s">
        <v>52</v>
      </c>
      <c r="C1879">
        <v>57</v>
      </c>
    </row>
    <row r="1880" spans="1:3" x14ac:dyDescent="0.25">
      <c r="A1880" s="1">
        <v>41559</v>
      </c>
      <c r="B1880" t="s">
        <v>20</v>
      </c>
      <c r="C1880">
        <v>121</v>
      </c>
    </row>
    <row r="1881" spans="1:3" x14ac:dyDescent="0.25">
      <c r="A1881" s="1">
        <v>41559</v>
      </c>
      <c r="B1881" t="s">
        <v>77</v>
      </c>
      <c r="C1881">
        <v>14</v>
      </c>
    </row>
    <row r="1882" spans="1:3" x14ac:dyDescent="0.25">
      <c r="A1882" s="1">
        <v>41560</v>
      </c>
      <c r="B1882" t="s">
        <v>44</v>
      </c>
      <c r="C1882">
        <v>2</v>
      </c>
    </row>
    <row r="1883" spans="1:3" x14ac:dyDescent="0.25">
      <c r="A1883" s="1">
        <v>41560</v>
      </c>
      <c r="B1883" t="s">
        <v>53</v>
      </c>
      <c r="C1883">
        <v>19</v>
      </c>
    </row>
    <row r="1884" spans="1:3" x14ac:dyDescent="0.25">
      <c r="A1884" s="1">
        <v>41561</v>
      </c>
      <c r="B1884" t="s">
        <v>236</v>
      </c>
      <c r="C1884">
        <v>20</v>
      </c>
    </row>
    <row r="1885" spans="1:3" x14ac:dyDescent="0.25">
      <c r="A1885" s="1">
        <v>41562</v>
      </c>
      <c r="B1885" t="s">
        <v>14</v>
      </c>
      <c r="C1885">
        <v>367</v>
      </c>
    </row>
    <row r="1886" spans="1:3" x14ac:dyDescent="0.25">
      <c r="A1886" s="1">
        <v>41562</v>
      </c>
      <c r="B1886" t="s">
        <v>9</v>
      </c>
      <c r="C1886">
        <v>458</v>
      </c>
    </row>
    <row r="1887" spans="1:3" x14ac:dyDescent="0.25">
      <c r="A1887" s="1">
        <v>41563</v>
      </c>
      <c r="B1887" t="s">
        <v>45</v>
      </c>
      <c r="C1887">
        <v>100</v>
      </c>
    </row>
    <row r="1888" spans="1:3" x14ac:dyDescent="0.25">
      <c r="A1888" s="1">
        <v>41563</v>
      </c>
      <c r="B1888" t="s">
        <v>6</v>
      </c>
      <c r="C1888">
        <v>62</v>
      </c>
    </row>
    <row r="1889" spans="1:3" x14ac:dyDescent="0.25">
      <c r="A1889" s="1">
        <v>41567</v>
      </c>
      <c r="B1889" t="s">
        <v>6</v>
      </c>
      <c r="C1889">
        <v>184</v>
      </c>
    </row>
    <row r="1890" spans="1:3" x14ac:dyDescent="0.25">
      <c r="A1890" s="1">
        <v>41568</v>
      </c>
      <c r="B1890" t="s">
        <v>19</v>
      </c>
      <c r="C1890">
        <v>156</v>
      </c>
    </row>
    <row r="1891" spans="1:3" x14ac:dyDescent="0.25">
      <c r="A1891" s="1">
        <v>41569</v>
      </c>
      <c r="B1891" t="s">
        <v>7</v>
      </c>
      <c r="C1891">
        <v>142</v>
      </c>
    </row>
    <row r="1892" spans="1:3" x14ac:dyDescent="0.25">
      <c r="A1892" s="1">
        <v>41570</v>
      </c>
      <c r="B1892" t="s">
        <v>6</v>
      </c>
      <c r="C1892">
        <v>97</v>
      </c>
    </row>
    <row r="1893" spans="1:3" x14ac:dyDescent="0.25">
      <c r="A1893" s="1">
        <v>41570</v>
      </c>
      <c r="B1893" t="s">
        <v>7</v>
      </c>
      <c r="C1893">
        <v>136</v>
      </c>
    </row>
    <row r="1894" spans="1:3" x14ac:dyDescent="0.25">
      <c r="A1894" s="1">
        <v>41570</v>
      </c>
      <c r="B1894" t="s">
        <v>131</v>
      </c>
      <c r="C1894">
        <v>108</v>
      </c>
    </row>
    <row r="1895" spans="1:3" x14ac:dyDescent="0.25">
      <c r="A1895" s="1">
        <v>41572</v>
      </c>
      <c r="B1895" t="s">
        <v>25</v>
      </c>
      <c r="C1895">
        <v>51</v>
      </c>
    </row>
    <row r="1896" spans="1:3" x14ac:dyDescent="0.25">
      <c r="A1896" s="1">
        <v>41574</v>
      </c>
      <c r="B1896" t="s">
        <v>130</v>
      </c>
      <c r="C1896">
        <v>7</v>
      </c>
    </row>
    <row r="1897" spans="1:3" x14ac:dyDescent="0.25">
      <c r="A1897" s="1">
        <v>41576</v>
      </c>
      <c r="B1897" t="s">
        <v>99</v>
      </c>
      <c r="C1897">
        <v>19</v>
      </c>
    </row>
    <row r="1898" spans="1:3" x14ac:dyDescent="0.25">
      <c r="A1898" s="1">
        <v>41577</v>
      </c>
      <c r="B1898" t="s">
        <v>75</v>
      </c>
      <c r="C1898">
        <v>4</v>
      </c>
    </row>
    <row r="1899" spans="1:3" x14ac:dyDescent="0.25">
      <c r="A1899" s="1">
        <v>41580</v>
      </c>
      <c r="B1899" t="s">
        <v>45</v>
      </c>
      <c r="C1899">
        <v>163</v>
      </c>
    </row>
    <row r="1900" spans="1:3" x14ac:dyDescent="0.25">
      <c r="A1900" s="1">
        <v>41580</v>
      </c>
      <c r="B1900" t="s">
        <v>30</v>
      </c>
      <c r="C1900">
        <v>165</v>
      </c>
    </row>
    <row r="1901" spans="1:3" x14ac:dyDescent="0.25">
      <c r="A1901" s="1">
        <v>41581</v>
      </c>
      <c r="B1901" t="s">
        <v>210</v>
      </c>
      <c r="C1901">
        <v>14</v>
      </c>
    </row>
    <row r="1902" spans="1:3" x14ac:dyDescent="0.25">
      <c r="A1902" s="1">
        <v>41583</v>
      </c>
      <c r="B1902" t="s">
        <v>28</v>
      </c>
      <c r="C1902">
        <v>177</v>
      </c>
    </row>
    <row r="1903" spans="1:3" x14ac:dyDescent="0.25">
      <c r="A1903" s="1">
        <v>41584</v>
      </c>
      <c r="B1903" t="s">
        <v>147</v>
      </c>
      <c r="C1903">
        <v>1</v>
      </c>
    </row>
    <row r="1904" spans="1:3" x14ac:dyDescent="0.25">
      <c r="A1904" s="1">
        <v>41585</v>
      </c>
      <c r="B1904" t="s">
        <v>131</v>
      </c>
      <c r="C1904">
        <v>193</v>
      </c>
    </row>
    <row r="1905" spans="1:3" x14ac:dyDescent="0.25">
      <c r="A1905" s="1">
        <v>41585</v>
      </c>
      <c r="B1905" t="s">
        <v>110</v>
      </c>
      <c r="C1905">
        <v>8</v>
      </c>
    </row>
    <row r="1906" spans="1:3" x14ac:dyDescent="0.25">
      <c r="A1906" s="1">
        <v>41588</v>
      </c>
      <c r="B1906" t="s">
        <v>233</v>
      </c>
      <c r="C1906">
        <v>11</v>
      </c>
    </row>
    <row r="1907" spans="1:3" x14ac:dyDescent="0.25">
      <c r="A1907" s="1">
        <v>41594</v>
      </c>
      <c r="B1907" t="s">
        <v>22</v>
      </c>
      <c r="C1907">
        <v>249</v>
      </c>
    </row>
    <row r="1908" spans="1:3" x14ac:dyDescent="0.25">
      <c r="A1908" s="1">
        <v>41598</v>
      </c>
      <c r="B1908" t="s">
        <v>5</v>
      </c>
      <c r="C1908">
        <v>360</v>
      </c>
    </row>
    <row r="1909" spans="1:3" x14ac:dyDescent="0.25">
      <c r="A1909" s="1">
        <v>41602</v>
      </c>
      <c r="B1909" t="s">
        <v>26</v>
      </c>
      <c r="C1909">
        <v>186</v>
      </c>
    </row>
    <row r="1910" spans="1:3" x14ac:dyDescent="0.25">
      <c r="A1910" s="1">
        <v>41603</v>
      </c>
      <c r="B1910" t="s">
        <v>52</v>
      </c>
      <c r="C1910">
        <v>29</v>
      </c>
    </row>
    <row r="1911" spans="1:3" x14ac:dyDescent="0.25">
      <c r="A1911" s="1">
        <v>41606</v>
      </c>
      <c r="B1911" t="s">
        <v>30</v>
      </c>
      <c r="C1911">
        <v>174</v>
      </c>
    </row>
    <row r="1912" spans="1:3" x14ac:dyDescent="0.25">
      <c r="A1912" s="1">
        <v>41607</v>
      </c>
      <c r="B1912" t="s">
        <v>7</v>
      </c>
      <c r="C1912">
        <v>131</v>
      </c>
    </row>
    <row r="1913" spans="1:3" x14ac:dyDescent="0.25">
      <c r="A1913" s="1">
        <v>41609</v>
      </c>
      <c r="B1913" t="s">
        <v>7</v>
      </c>
      <c r="C1913">
        <v>157</v>
      </c>
    </row>
    <row r="1914" spans="1:3" x14ac:dyDescent="0.25">
      <c r="A1914" s="1">
        <v>41609</v>
      </c>
      <c r="B1914" t="s">
        <v>14</v>
      </c>
      <c r="C1914">
        <v>284</v>
      </c>
    </row>
    <row r="1915" spans="1:3" x14ac:dyDescent="0.25">
      <c r="A1915" s="1">
        <v>41610</v>
      </c>
      <c r="B1915" t="s">
        <v>17</v>
      </c>
      <c r="C1915">
        <v>292</v>
      </c>
    </row>
    <row r="1916" spans="1:3" x14ac:dyDescent="0.25">
      <c r="A1916" s="1">
        <v>41612</v>
      </c>
      <c r="B1916" t="s">
        <v>81</v>
      </c>
      <c r="C1916">
        <v>13</v>
      </c>
    </row>
    <row r="1917" spans="1:3" x14ac:dyDescent="0.25">
      <c r="A1917" s="1">
        <v>41614</v>
      </c>
      <c r="B1917" t="s">
        <v>85</v>
      </c>
      <c r="C1917">
        <v>16</v>
      </c>
    </row>
    <row r="1918" spans="1:3" x14ac:dyDescent="0.25">
      <c r="A1918" s="1">
        <v>41614</v>
      </c>
      <c r="B1918" t="s">
        <v>22</v>
      </c>
      <c r="C1918">
        <v>364</v>
      </c>
    </row>
    <row r="1919" spans="1:3" x14ac:dyDescent="0.25">
      <c r="A1919" s="1">
        <v>41615</v>
      </c>
      <c r="B1919" t="s">
        <v>44</v>
      </c>
      <c r="C1919">
        <v>16</v>
      </c>
    </row>
    <row r="1920" spans="1:3" x14ac:dyDescent="0.25">
      <c r="A1920" s="1">
        <v>41615</v>
      </c>
      <c r="B1920" t="s">
        <v>49</v>
      </c>
      <c r="C1920">
        <v>3</v>
      </c>
    </row>
    <row r="1921" spans="1:3" x14ac:dyDescent="0.25">
      <c r="A1921" s="1">
        <v>41616</v>
      </c>
      <c r="B1921" t="s">
        <v>207</v>
      </c>
      <c r="C1921">
        <v>9</v>
      </c>
    </row>
    <row r="1922" spans="1:3" x14ac:dyDescent="0.25">
      <c r="A1922" s="1">
        <v>41617</v>
      </c>
      <c r="B1922" t="s">
        <v>206</v>
      </c>
      <c r="C1922">
        <v>6</v>
      </c>
    </row>
    <row r="1923" spans="1:3" x14ac:dyDescent="0.25">
      <c r="A1923" s="1">
        <v>41621</v>
      </c>
      <c r="B1923" t="s">
        <v>71</v>
      </c>
      <c r="C1923">
        <v>117</v>
      </c>
    </row>
    <row r="1924" spans="1:3" x14ac:dyDescent="0.25">
      <c r="A1924" s="1">
        <v>41622</v>
      </c>
      <c r="B1924" t="s">
        <v>42</v>
      </c>
      <c r="C1924">
        <v>6</v>
      </c>
    </row>
    <row r="1925" spans="1:3" x14ac:dyDescent="0.25">
      <c r="A1925" s="1">
        <v>41623</v>
      </c>
      <c r="B1925" t="s">
        <v>9</v>
      </c>
      <c r="C1925">
        <v>186</v>
      </c>
    </row>
    <row r="1926" spans="1:3" x14ac:dyDescent="0.25">
      <c r="A1926" s="1">
        <v>41623</v>
      </c>
      <c r="B1926" t="s">
        <v>42</v>
      </c>
      <c r="C1926">
        <v>16</v>
      </c>
    </row>
    <row r="1927" spans="1:3" x14ac:dyDescent="0.25">
      <c r="A1927" s="1">
        <v>41624</v>
      </c>
      <c r="B1927" t="s">
        <v>6</v>
      </c>
      <c r="C1927">
        <v>100</v>
      </c>
    </row>
    <row r="1928" spans="1:3" x14ac:dyDescent="0.25">
      <c r="A1928" s="1">
        <v>41629</v>
      </c>
      <c r="B1928" t="s">
        <v>1</v>
      </c>
      <c r="C1928">
        <v>20</v>
      </c>
    </row>
    <row r="1929" spans="1:3" x14ac:dyDescent="0.25">
      <c r="A1929" s="1">
        <v>41629</v>
      </c>
      <c r="B1929" t="s">
        <v>35</v>
      </c>
      <c r="C1929">
        <v>192</v>
      </c>
    </row>
    <row r="1930" spans="1:3" x14ac:dyDescent="0.25">
      <c r="A1930" s="1">
        <v>41630</v>
      </c>
      <c r="B1930" t="s">
        <v>35</v>
      </c>
      <c r="C1930">
        <v>92</v>
      </c>
    </row>
    <row r="1931" spans="1:3" x14ac:dyDescent="0.25">
      <c r="A1931" s="1">
        <v>41631</v>
      </c>
      <c r="B1931" t="s">
        <v>118</v>
      </c>
      <c r="C1931">
        <v>11</v>
      </c>
    </row>
    <row r="1932" spans="1:3" x14ac:dyDescent="0.25">
      <c r="A1932" s="1">
        <v>41633</v>
      </c>
      <c r="B1932" t="s">
        <v>237</v>
      </c>
      <c r="C1932">
        <v>10</v>
      </c>
    </row>
    <row r="1933" spans="1:3" x14ac:dyDescent="0.25">
      <c r="A1933" s="1">
        <v>41634</v>
      </c>
      <c r="B1933" t="s">
        <v>71</v>
      </c>
      <c r="C1933">
        <v>180</v>
      </c>
    </row>
    <row r="1934" spans="1:3" x14ac:dyDescent="0.25">
      <c r="A1934" s="1">
        <v>41637</v>
      </c>
      <c r="B1934" t="s">
        <v>38</v>
      </c>
      <c r="C1934">
        <v>12</v>
      </c>
    </row>
    <row r="1935" spans="1:3" x14ac:dyDescent="0.25">
      <c r="A1935" s="1">
        <v>41638</v>
      </c>
      <c r="B1935" t="s">
        <v>222</v>
      </c>
      <c r="C1935">
        <v>12</v>
      </c>
    </row>
    <row r="1936" spans="1:3" x14ac:dyDescent="0.25">
      <c r="A1936" s="1">
        <v>41639</v>
      </c>
      <c r="B1936" t="s">
        <v>97</v>
      </c>
      <c r="C1936">
        <v>8</v>
      </c>
    </row>
    <row r="1937" spans="1:3" x14ac:dyDescent="0.25">
      <c r="A1937" s="1">
        <v>41641</v>
      </c>
      <c r="B1937" t="s">
        <v>12</v>
      </c>
      <c r="C1937">
        <v>56</v>
      </c>
    </row>
    <row r="1938" spans="1:3" x14ac:dyDescent="0.25">
      <c r="A1938" s="1">
        <v>41642</v>
      </c>
      <c r="B1938" t="s">
        <v>82</v>
      </c>
      <c r="C1938">
        <v>18</v>
      </c>
    </row>
    <row r="1939" spans="1:3" x14ac:dyDescent="0.25">
      <c r="A1939" s="1">
        <v>41642</v>
      </c>
      <c r="B1939" t="s">
        <v>14</v>
      </c>
      <c r="C1939">
        <v>164</v>
      </c>
    </row>
    <row r="1940" spans="1:3" x14ac:dyDescent="0.25">
      <c r="A1940" s="1">
        <v>41645</v>
      </c>
      <c r="B1940" t="s">
        <v>30</v>
      </c>
      <c r="C1940">
        <v>111</v>
      </c>
    </row>
    <row r="1941" spans="1:3" x14ac:dyDescent="0.25">
      <c r="A1941" s="1">
        <v>41646</v>
      </c>
      <c r="B1941" t="s">
        <v>190</v>
      </c>
      <c r="C1941">
        <v>14</v>
      </c>
    </row>
    <row r="1942" spans="1:3" x14ac:dyDescent="0.25">
      <c r="A1942" s="1">
        <v>41647</v>
      </c>
      <c r="B1942" t="s">
        <v>102</v>
      </c>
      <c r="C1942">
        <v>143</v>
      </c>
    </row>
    <row r="1943" spans="1:3" x14ac:dyDescent="0.25">
      <c r="A1943" s="1">
        <v>41648</v>
      </c>
      <c r="B1943" t="s">
        <v>10</v>
      </c>
      <c r="C1943">
        <v>64</v>
      </c>
    </row>
    <row r="1944" spans="1:3" x14ac:dyDescent="0.25">
      <c r="A1944" s="1">
        <v>41651</v>
      </c>
      <c r="B1944" t="s">
        <v>234</v>
      </c>
      <c r="C1944">
        <v>3</v>
      </c>
    </row>
    <row r="1945" spans="1:3" x14ac:dyDescent="0.25">
      <c r="A1945" s="1">
        <v>41652</v>
      </c>
      <c r="B1945" t="s">
        <v>45</v>
      </c>
      <c r="C1945">
        <v>152</v>
      </c>
    </row>
    <row r="1946" spans="1:3" x14ac:dyDescent="0.25">
      <c r="A1946" s="1">
        <v>41653</v>
      </c>
      <c r="B1946" t="s">
        <v>10</v>
      </c>
      <c r="C1946">
        <v>152</v>
      </c>
    </row>
    <row r="1947" spans="1:3" x14ac:dyDescent="0.25">
      <c r="A1947" s="1">
        <v>41655</v>
      </c>
      <c r="B1947" t="s">
        <v>221</v>
      </c>
      <c r="C1947">
        <v>15</v>
      </c>
    </row>
    <row r="1948" spans="1:3" x14ac:dyDescent="0.25">
      <c r="A1948" s="1">
        <v>41656</v>
      </c>
      <c r="B1948" t="s">
        <v>71</v>
      </c>
      <c r="C1948">
        <v>117</v>
      </c>
    </row>
    <row r="1949" spans="1:3" x14ac:dyDescent="0.25">
      <c r="A1949" s="1">
        <v>41656</v>
      </c>
      <c r="B1949" t="s">
        <v>215</v>
      </c>
      <c r="C1949">
        <v>14</v>
      </c>
    </row>
    <row r="1950" spans="1:3" x14ac:dyDescent="0.25">
      <c r="A1950" s="1">
        <v>41656</v>
      </c>
      <c r="B1950" t="s">
        <v>45</v>
      </c>
      <c r="C1950">
        <v>431</v>
      </c>
    </row>
    <row r="1951" spans="1:3" x14ac:dyDescent="0.25">
      <c r="A1951" s="1">
        <v>41658</v>
      </c>
      <c r="B1951" t="s">
        <v>22</v>
      </c>
      <c r="C1951">
        <v>390</v>
      </c>
    </row>
    <row r="1952" spans="1:3" x14ac:dyDescent="0.25">
      <c r="A1952" s="1">
        <v>41663</v>
      </c>
      <c r="B1952" t="s">
        <v>222</v>
      </c>
      <c r="C1952">
        <v>1</v>
      </c>
    </row>
    <row r="1953" spans="1:3" x14ac:dyDescent="0.25">
      <c r="A1953" s="1">
        <v>41666</v>
      </c>
      <c r="B1953" t="s">
        <v>17</v>
      </c>
      <c r="C1953">
        <v>392</v>
      </c>
    </row>
    <row r="1954" spans="1:3" x14ac:dyDescent="0.25">
      <c r="A1954" s="1">
        <v>41668</v>
      </c>
      <c r="B1954" t="s">
        <v>37</v>
      </c>
      <c r="C1954">
        <v>175</v>
      </c>
    </row>
    <row r="1955" spans="1:3" x14ac:dyDescent="0.25">
      <c r="A1955" s="1">
        <v>41668</v>
      </c>
      <c r="B1955" t="s">
        <v>55</v>
      </c>
      <c r="C1955">
        <v>118</v>
      </c>
    </row>
    <row r="1956" spans="1:3" x14ac:dyDescent="0.25">
      <c r="A1956" s="1">
        <v>41672</v>
      </c>
      <c r="B1956" t="s">
        <v>9</v>
      </c>
      <c r="C1956">
        <v>297</v>
      </c>
    </row>
    <row r="1957" spans="1:3" x14ac:dyDescent="0.25">
      <c r="A1957" s="1">
        <v>41676</v>
      </c>
      <c r="B1957" t="s">
        <v>23</v>
      </c>
      <c r="C1957">
        <v>89</v>
      </c>
    </row>
    <row r="1958" spans="1:3" x14ac:dyDescent="0.25">
      <c r="A1958" s="1">
        <v>41676</v>
      </c>
      <c r="B1958" t="s">
        <v>22</v>
      </c>
      <c r="C1958">
        <v>182</v>
      </c>
    </row>
    <row r="1959" spans="1:3" x14ac:dyDescent="0.25">
      <c r="A1959" s="1">
        <v>41677</v>
      </c>
      <c r="B1959" t="s">
        <v>10</v>
      </c>
      <c r="C1959">
        <v>130</v>
      </c>
    </row>
    <row r="1960" spans="1:3" x14ac:dyDescent="0.25">
      <c r="A1960" s="1">
        <v>41680</v>
      </c>
      <c r="B1960" t="s">
        <v>26</v>
      </c>
      <c r="C1960">
        <v>187</v>
      </c>
    </row>
    <row r="1961" spans="1:3" x14ac:dyDescent="0.25">
      <c r="A1961" s="1">
        <v>41681</v>
      </c>
      <c r="B1961" t="s">
        <v>50</v>
      </c>
      <c r="C1961">
        <v>166</v>
      </c>
    </row>
    <row r="1962" spans="1:3" x14ac:dyDescent="0.25">
      <c r="A1962" s="1">
        <v>41682</v>
      </c>
      <c r="B1962" t="s">
        <v>23</v>
      </c>
      <c r="C1962">
        <v>58</v>
      </c>
    </row>
    <row r="1963" spans="1:3" x14ac:dyDescent="0.25">
      <c r="A1963" s="1">
        <v>41686</v>
      </c>
      <c r="B1963" t="s">
        <v>25</v>
      </c>
      <c r="C1963">
        <v>187</v>
      </c>
    </row>
    <row r="1964" spans="1:3" x14ac:dyDescent="0.25">
      <c r="A1964" s="1">
        <v>41687</v>
      </c>
      <c r="B1964" t="s">
        <v>23</v>
      </c>
      <c r="C1964">
        <v>58</v>
      </c>
    </row>
    <row r="1965" spans="1:3" x14ac:dyDescent="0.25">
      <c r="A1965" s="1">
        <v>41689</v>
      </c>
      <c r="B1965" t="s">
        <v>60</v>
      </c>
      <c r="C1965">
        <v>19</v>
      </c>
    </row>
    <row r="1966" spans="1:3" x14ac:dyDescent="0.25">
      <c r="A1966" s="1">
        <v>41689</v>
      </c>
      <c r="B1966" t="s">
        <v>9</v>
      </c>
      <c r="C1966">
        <v>388</v>
      </c>
    </row>
    <row r="1967" spans="1:3" x14ac:dyDescent="0.25">
      <c r="A1967" s="1">
        <v>41690</v>
      </c>
      <c r="B1967" t="s">
        <v>105</v>
      </c>
      <c r="C1967">
        <v>20</v>
      </c>
    </row>
    <row r="1968" spans="1:3" x14ac:dyDescent="0.25">
      <c r="A1968" s="1">
        <v>41690</v>
      </c>
      <c r="B1968" t="s">
        <v>6</v>
      </c>
      <c r="C1968">
        <v>185</v>
      </c>
    </row>
    <row r="1969" spans="1:3" x14ac:dyDescent="0.25">
      <c r="A1969" s="1">
        <v>41690</v>
      </c>
      <c r="B1969" t="s">
        <v>66</v>
      </c>
      <c r="C1969">
        <v>191</v>
      </c>
    </row>
    <row r="1970" spans="1:3" x14ac:dyDescent="0.25">
      <c r="A1970" s="1">
        <v>41691</v>
      </c>
      <c r="B1970" t="s">
        <v>87</v>
      </c>
      <c r="C1970">
        <v>1</v>
      </c>
    </row>
    <row r="1971" spans="1:3" x14ac:dyDescent="0.25">
      <c r="A1971" s="1">
        <v>41692</v>
      </c>
      <c r="B1971" t="s">
        <v>71</v>
      </c>
      <c r="C1971">
        <v>90</v>
      </c>
    </row>
    <row r="1972" spans="1:3" x14ac:dyDescent="0.25">
      <c r="A1972" s="1">
        <v>41696</v>
      </c>
      <c r="B1972" t="s">
        <v>9</v>
      </c>
      <c r="C1972">
        <v>234</v>
      </c>
    </row>
    <row r="1973" spans="1:3" x14ac:dyDescent="0.25">
      <c r="A1973" s="1">
        <v>41699</v>
      </c>
      <c r="B1973" t="s">
        <v>45</v>
      </c>
      <c r="C1973">
        <v>212</v>
      </c>
    </row>
    <row r="1974" spans="1:3" x14ac:dyDescent="0.25">
      <c r="A1974" s="1">
        <v>41701</v>
      </c>
      <c r="B1974" t="s">
        <v>45</v>
      </c>
      <c r="C1974">
        <v>372</v>
      </c>
    </row>
    <row r="1975" spans="1:3" x14ac:dyDescent="0.25">
      <c r="A1975" s="1">
        <v>41701</v>
      </c>
      <c r="B1975" t="s">
        <v>35</v>
      </c>
      <c r="C1975">
        <v>102</v>
      </c>
    </row>
    <row r="1976" spans="1:3" x14ac:dyDescent="0.25">
      <c r="A1976" s="1">
        <v>41701</v>
      </c>
      <c r="B1976" t="s">
        <v>10</v>
      </c>
      <c r="C1976">
        <v>69</v>
      </c>
    </row>
    <row r="1977" spans="1:3" x14ac:dyDescent="0.25">
      <c r="A1977" s="1">
        <v>41708</v>
      </c>
      <c r="B1977" t="s">
        <v>175</v>
      </c>
      <c r="C1977">
        <v>5</v>
      </c>
    </row>
    <row r="1978" spans="1:3" x14ac:dyDescent="0.25">
      <c r="A1978" s="1">
        <v>41713</v>
      </c>
      <c r="B1978" t="s">
        <v>69</v>
      </c>
      <c r="C1978">
        <v>146</v>
      </c>
    </row>
    <row r="1979" spans="1:3" x14ac:dyDescent="0.25">
      <c r="A1979" s="1">
        <v>41714</v>
      </c>
      <c r="B1979" t="s">
        <v>20</v>
      </c>
      <c r="C1979">
        <v>114</v>
      </c>
    </row>
    <row r="1980" spans="1:3" x14ac:dyDescent="0.25">
      <c r="A1980" s="1">
        <v>41716</v>
      </c>
      <c r="B1980" t="s">
        <v>14</v>
      </c>
      <c r="C1980">
        <v>265</v>
      </c>
    </row>
    <row r="1981" spans="1:3" x14ac:dyDescent="0.25">
      <c r="A1981" s="1">
        <v>41716</v>
      </c>
      <c r="B1981" t="s">
        <v>128</v>
      </c>
      <c r="C1981">
        <v>1</v>
      </c>
    </row>
    <row r="1982" spans="1:3" x14ac:dyDescent="0.25">
      <c r="A1982" s="1">
        <v>41719</v>
      </c>
      <c r="B1982" t="s">
        <v>156</v>
      </c>
      <c r="C1982">
        <v>16</v>
      </c>
    </row>
    <row r="1983" spans="1:3" x14ac:dyDescent="0.25">
      <c r="A1983" s="1">
        <v>41721</v>
      </c>
      <c r="B1983" t="s">
        <v>191</v>
      </c>
      <c r="C1983">
        <v>11</v>
      </c>
    </row>
    <row r="1984" spans="1:3" x14ac:dyDescent="0.25">
      <c r="A1984" s="1">
        <v>41721</v>
      </c>
      <c r="B1984" t="s">
        <v>22</v>
      </c>
      <c r="C1984">
        <v>118</v>
      </c>
    </row>
    <row r="1985" spans="1:3" x14ac:dyDescent="0.25">
      <c r="A1985" s="1">
        <v>41728</v>
      </c>
      <c r="B1985" t="s">
        <v>45</v>
      </c>
      <c r="C1985">
        <v>213</v>
      </c>
    </row>
    <row r="1986" spans="1:3" x14ac:dyDescent="0.25">
      <c r="A1986" s="1">
        <v>41732</v>
      </c>
      <c r="B1986" t="s">
        <v>9</v>
      </c>
      <c r="C1986">
        <v>146</v>
      </c>
    </row>
    <row r="1987" spans="1:3" x14ac:dyDescent="0.25">
      <c r="A1987" s="1">
        <v>41734</v>
      </c>
      <c r="B1987" t="s">
        <v>124</v>
      </c>
      <c r="C1987">
        <v>6</v>
      </c>
    </row>
    <row r="1988" spans="1:3" x14ac:dyDescent="0.25">
      <c r="A1988" s="1">
        <v>41736</v>
      </c>
      <c r="B1988" t="s">
        <v>45</v>
      </c>
      <c r="C1988">
        <v>392</v>
      </c>
    </row>
    <row r="1989" spans="1:3" x14ac:dyDescent="0.25">
      <c r="A1989" s="1">
        <v>41736</v>
      </c>
      <c r="B1989" t="s">
        <v>102</v>
      </c>
      <c r="C1989">
        <v>422</v>
      </c>
    </row>
    <row r="1990" spans="1:3" x14ac:dyDescent="0.25">
      <c r="A1990" s="1">
        <v>41740</v>
      </c>
      <c r="B1990" t="s">
        <v>22</v>
      </c>
      <c r="C1990">
        <v>474</v>
      </c>
    </row>
    <row r="1991" spans="1:3" x14ac:dyDescent="0.25">
      <c r="A1991" s="1">
        <v>41741</v>
      </c>
      <c r="B1991" t="s">
        <v>55</v>
      </c>
      <c r="C1991">
        <v>166</v>
      </c>
    </row>
    <row r="1992" spans="1:3" x14ac:dyDescent="0.25">
      <c r="A1992" s="1">
        <v>41743</v>
      </c>
      <c r="B1992" t="s">
        <v>55</v>
      </c>
      <c r="C1992">
        <v>121</v>
      </c>
    </row>
    <row r="1993" spans="1:3" x14ac:dyDescent="0.25">
      <c r="A1993" s="1">
        <v>41744</v>
      </c>
      <c r="B1993" t="s">
        <v>17</v>
      </c>
      <c r="C1993">
        <v>406</v>
      </c>
    </row>
    <row r="1994" spans="1:3" x14ac:dyDescent="0.25">
      <c r="A1994" s="1">
        <v>41746</v>
      </c>
      <c r="B1994" t="s">
        <v>26</v>
      </c>
      <c r="C1994">
        <v>41</v>
      </c>
    </row>
    <row r="1995" spans="1:3" x14ac:dyDescent="0.25">
      <c r="A1995" s="1">
        <v>41750</v>
      </c>
      <c r="B1995" t="s">
        <v>50</v>
      </c>
      <c r="C1995">
        <v>254</v>
      </c>
    </row>
    <row r="1996" spans="1:3" x14ac:dyDescent="0.25">
      <c r="A1996" s="1">
        <v>41750</v>
      </c>
      <c r="B1996" t="s">
        <v>9</v>
      </c>
      <c r="C1996">
        <v>246</v>
      </c>
    </row>
    <row r="1997" spans="1:3" x14ac:dyDescent="0.25">
      <c r="A1997" s="1">
        <v>41755</v>
      </c>
      <c r="B1997" t="s">
        <v>19</v>
      </c>
      <c r="C1997">
        <v>148</v>
      </c>
    </row>
    <row r="1998" spans="1:3" x14ac:dyDescent="0.25">
      <c r="A1998" s="1">
        <v>41755</v>
      </c>
      <c r="B1998" t="s">
        <v>5</v>
      </c>
      <c r="C1998">
        <v>365</v>
      </c>
    </row>
    <row r="1999" spans="1:3" x14ac:dyDescent="0.25">
      <c r="A1999" s="1">
        <v>41756</v>
      </c>
      <c r="B1999" t="s">
        <v>20</v>
      </c>
      <c r="C1999">
        <v>20</v>
      </c>
    </row>
    <row r="2000" spans="1:3" x14ac:dyDescent="0.25">
      <c r="A2000" s="1">
        <v>41761</v>
      </c>
      <c r="B2000" t="s">
        <v>137</v>
      </c>
      <c r="C2000">
        <v>4</v>
      </c>
    </row>
    <row r="2001" spans="1:3" x14ac:dyDescent="0.25">
      <c r="A2001" s="1">
        <v>41764</v>
      </c>
      <c r="B2001" t="s">
        <v>45</v>
      </c>
      <c r="C2001">
        <v>215</v>
      </c>
    </row>
    <row r="2002" spans="1:3" x14ac:dyDescent="0.25">
      <c r="A2002" s="1">
        <v>41766</v>
      </c>
      <c r="B2002" t="s">
        <v>12</v>
      </c>
      <c r="C2002">
        <v>138</v>
      </c>
    </row>
    <row r="2003" spans="1:3" x14ac:dyDescent="0.25">
      <c r="A2003" s="1">
        <v>41766</v>
      </c>
      <c r="B2003" t="s">
        <v>7</v>
      </c>
      <c r="C2003">
        <v>496</v>
      </c>
    </row>
    <row r="2004" spans="1:3" x14ac:dyDescent="0.25">
      <c r="A2004" s="1">
        <v>41767</v>
      </c>
      <c r="B2004" t="s">
        <v>37</v>
      </c>
      <c r="C2004">
        <v>155</v>
      </c>
    </row>
    <row r="2005" spans="1:3" x14ac:dyDescent="0.25">
      <c r="A2005" s="1">
        <v>41770</v>
      </c>
      <c r="B2005" t="s">
        <v>24</v>
      </c>
      <c r="C2005">
        <v>386</v>
      </c>
    </row>
    <row r="2006" spans="1:3" x14ac:dyDescent="0.25">
      <c r="A2006" s="1">
        <v>41773</v>
      </c>
      <c r="B2006" t="s">
        <v>71</v>
      </c>
      <c r="C2006">
        <v>124</v>
      </c>
    </row>
    <row r="2007" spans="1:3" x14ac:dyDescent="0.25">
      <c r="A2007" s="1">
        <v>41774</v>
      </c>
      <c r="B2007" t="s">
        <v>14</v>
      </c>
      <c r="C2007">
        <v>173</v>
      </c>
    </row>
    <row r="2008" spans="1:3" x14ac:dyDescent="0.25">
      <c r="A2008" s="1">
        <v>41776</v>
      </c>
      <c r="B2008" t="s">
        <v>35</v>
      </c>
      <c r="C2008">
        <v>161</v>
      </c>
    </row>
    <row r="2009" spans="1:3" x14ac:dyDescent="0.25">
      <c r="A2009" s="1">
        <v>41778</v>
      </c>
      <c r="B2009" t="s">
        <v>69</v>
      </c>
      <c r="C2009">
        <v>147</v>
      </c>
    </row>
    <row r="2010" spans="1:3" x14ac:dyDescent="0.25">
      <c r="A2010" s="1">
        <v>41784</v>
      </c>
      <c r="B2010" t="s">
        <v>22</v>
      </c>
      <c r="C2010">
        <v>401</v>
      </c>
    </row>
    <row r="2011" spans="1:3" x14ac:dyDescent="0.25">
      <c r="A2011" s="1">
        <v>41784</v>
      </c>
      <c r="B2011" t="s">
        <v>50</v>
      </c>
      <c r="C2011">
        <v>101</v>
      </c>
    </row>
    <row r="2012" spans="1:3" x14ac:dyDescent="0.25">
      <c r="A2012" s="1">
        <v>41785</v>
      </c>
      <c r="B2012" t="s">
        <v>22</v>
      </c>
      <c r="C2012">
        <v>169</v>
      </c>
    </row>
    <row r="2013" spans="1:3" x14ac:dyDescent="0.25">
      <c r="A2013" s="1">
        <v>41786</v>
      </c>
      <c r="B2013" t="s">
        <v>14</v>
      </c>
      <c r="C2013">
        <v>324</v>
      </c>
    </row>
    <row r="2014" spans="1:3" x14ac:dyDescent="0.25">
      <c r="A2014" s="1">
        <v>41787</v>
      </c>
      <c r="B2014" t="s">
        <v>219</v>
      </c>
      <c r="C2014">
        <v>16</v>
      </c>
    </row>
    <row r="2015" spans="1:3" x14ac:dyDescent="0.25">
      <c r="A2015" s="1">
        <v>41788</v>
      </c>
      <c r="B2015" t="s">
        <v>71</v>
      </c>
      <c r="C2015">
        <v>194</v>
      </c>
    </row>
    <row r="2016" spans="1:3" x14ac:dyDescent="0.25">
      <c r="A2016" s="1">
        <v>41789</v>
      </c>
      <c r="B2016" t="s">
        <v>102</v>
      </c>
      <c r="C2016">
        <v>197</v>
      </c>
    </row>
    <row r="2017" spans="1:3" x14ac:dyDescent="0.25">
      <c r="A2017" s="1">
        <v>41789</v>
      </c>
      <c r="B2017" t="s">
        <v>23</v>
      </c>
      <c r="C2017">
        <v>23</v>
      </c>
    </row>
    <row r="2018" spans="1:3" x14ac:dyDescent="0.25">
      <c r="A2018" s="1">
        <v>41790</v>
      </c>
      <c r="B2018" t="s">
        <v>12</v>
      </c>
      <c r="C2018">
        <v>138</v>
      </c>
    </row>
    <row r="2019" spans="1:3" x14ac:dyDescent="0.25">
      <c r="A2019" s="1">
        <v>41791</v>
      </c>
      <c r="B2019" t="s">
        <v>61</v>
      </c>
      <c r="C2019">
        <v>121</v>
      </c>
    </row>
    <row r="2020" spans="1:3" x14ac:dyDescent="0.25">
      <c r="A2020" s="1">
        <v>41793</v>
      </c>
      <c r="B2020" t="s">
        <v>204</v>
      </c>
      <c r="C2020">
        <v>10</v>
      </c>
    </row>
    <row r="2021" spans="1:3" x14ac:dyDescent="0.25">
      <c r="A2021" s="1">
        <v>41795</v>
      </c>
      <c r="B2021" t="s">
        <v>130</v>
      </c>
      <c r="C2021">
        <v>9</v>
      </c>
    </row>
    <row r="2022" spans="1:3" x14ac:dyDescent="0.25">
      <c r="A2022" s="1">
        <v>41798</v>
      </c>
      <c r="B2022" t="s">
        <v>52</v>
      </c>
      <c r="C2022">
        <v>35</v>
      </c>
    </row>
    <row r="2023" spans="1:3" x14ac:dyDescent="0.25">
      <c r="A2023" s="1">
        <v>41802</v>
      </c>
      <c r="B2023" t="s">
        <v>35</v>
      </c>
      <c r="C2023">
        <v>154</v>
      </c>
    </row>
    <row r="2024" spans="1:3" x14ac:dyDescent="0.25">
      <c r="A2024" s="1">
        <v>41806</v>
      </c>
      <c r="B2024" t="s">
        <v>113</v>
      </c>
      <c r="C2024">
        <v>1</v>
      </c>
    </row>
    <row r="2025" spans="1:3" x14ac:dyDescent="0.25">
      <c r="A2025" s="1">
        <v>41807</v>
      </c>
      <c r="B2025" t="s">
        <v>14</v>
      </c>
      <c r="C2025">
        <v>249</v>
      </c>
    </row>
    <row r="2026" spans="1:3" x14ac:dyDescent="0.25">
      <c r="A2026" s="1">
        <v>41807</v>
      </c>
      <c r="B2026" t="s">
        <v>37</v>
      </c>
      <c r="C2026">
        <v>27</v>
      </c>
    </row>
    <row r="2027" spans="1:3" x14ac:dyDescent="0.25">
      <c r="A2027" s="1">
        <v>41809</v>
      </c>
      <c r="B2027" t="s">
        <v>12</v>
      </c>
      <c r="C2027">
        <v>167</v>
      </c>
    </row>
    <row r="2028" spans="1:3" x14ac:dyDescent="0.25">
      <c r="A2028" s="1">
        <v>41810</v>
      </c>
      <c r="B2028" t="s">
        <v>12</v>
      </c>
      <c r="C2028">
        <v>71</v>
      </c>
    </row>
    <row r="2029" spans="1:3" x14ac:dyDescent="0.25">
      <c r="A2029" s="1">
        <v>41810</v>
      </c>
      <c r="B2029" t="s">
        <v>83</v>
      </c>
      <c r="C2029">
        <v>13</v>
      </c>
    </row>
    <row r="2030" spans="1:3" x14ac:dyDescent="0.25">
      <c r="A2030" s="1">
        <v>41811</v>
      </c>
      <c r="B2030" t="s">
        <v>30</v>
      </c>
      <c r="C2030">
        <v>90</v>
      </c>
    </row>
    <row r="2031" spans="1:3" x14ac:dyDescent="0.25">
      <c r="A2031" s="1">
        <v>41814</v>
      </c>
      <c r="B2031" t="s">
        <v>9</v>
      </c>
      <c r="C2031">
        <v>106</v>
      </c>
    </row>
    <row r="2032" spans="1:3" x14ac:dyDescent="0.25">
      <c r="A2032" s="1">
        <v>41815</v>
      </c>
      <c r="B2032" t="s">
        <v>66</v>
      </c>
      <c r="C2032">
        <v>57</v>
      </c>
    </row>
    <row r="2033" spans="1:3" x14ac:dyDescent="0.25">
      <c r="A2033" s="1">
        <v>41815</v>
      </c>
      <c r="B2033" t="s">
        <v>18</v>
      </c>
      <c r="C2033">
        <v>59</v>
      </c>
    </row>
    <row r="2034" spans="1:3" x14ac:dyDescent="0.25">
      <c r="A2034" s="1">
        <v>41817</v>
      </c>
      <c r="B2034" t="s">
        <v>79</v>
      </c>
      <c r="C2034">
        <v>11</v>
      </c>
    </row>
    <row r="2035" spans="1:3" x14ac:dyDescent="0.25">
      <c r="A2035" s="1">
        <v>41818</v>
      </c>
      <c r="B2035" t="s">
        <v>102</v>
      </c>
      <c r="C2035">
        <v>361</v>
      </c>
    </row>
    <row r="2036" spans="1:3" x14ac:dyDescent="0.25">
      <c r="A2036" s="1">
        <v>41819</v>
      </c>
      <c r="B2036" t="s">
        <v>8</v>
      </c>
      <c r="C2036">
        <v>153</v>
      </c>
    </row>
    <row r="2037" spans="1:3" x14ac:dyDescent="0.25">
      <c r="A2037" s="1">
        <v>41820</v>
      </c>
      <c r="B2037" t="s">
        <v>147</v>
      </c>
      <c r="C2037">
        <v>7</v>
      </c>
    </row>
    <row r="2038" spans="1:3" x14ac:dyDescent="0.25">
      <c r="A2038" s="1">
        <v>41821</v>
      </c>
      <c r="B2038" t="s">
        <v>71</v>
      </c>
      <c r="C2038">
        <v>65</v>
      </c>
    </row>
    <row r="2039" spans="1:3" x14ac:dyDescent="0.25">
      <c r="A2039" s="1">
        <v>41823</v>
      </c>
      <c r="B2039" t="s">
        <v>9</v>
      </c>
      <c r="C2039">
        <v>409</v>
      </c>
    </row>
    <row r="2040" spans="1:3" x14ac:dyDescent="0.25">
      <c r="A2040" s="1">
        <v>41825</v>
      </c>
      <c r="B2040" t="s">
        <v>63</v>
      </c>
      <c r="C2040">
        <v>63</v>
      </c>
    </row>
    <row r="2041" spans="1:3" x14ac:dyDescent="0.25">
      <c r="A2041" s="1">
        <v>41826</v>
      </c>
      <c r="B2041" t="s">
        <v>7</v>
      </c>
      <c r="C2041">
        <v>441</v>
      </c>
    </row>
    <row r="2042" spans="1:3" x14ac:dyDescent="0.25">
      <c r="A2042" s="1">
        <v>41830</v>
      </c>
      <c r="B2042" t="s">
        <v>52</v>
      </c>
      <c r="C2042">
        <v>91</v>
      </c>
    </row>
    <row r="2043" spans="1:3" x14ac:dyDescent="0.25">
      <c r="A2043" s="1">
        <v>41831</v>
      </c>
      <c r="B2043" t="s">
        <v>12</v>
      </c>
      <c r="C2043">
        <v>73</v>
      </c>
    </row>
    <row r="2044" spans="1:3" x14ac:dyDescent="0.25">
      <c r="A2044" s="1">
        <v>41832</v>
      </c>
      <c r="B2044" t="s">
        <v>6</v>
      </c>
      <c r="C2044">
        <v>184</v>
      </c>
    </row>
    <row r="2045" spans="1:3" x14ac:dyDescent="0.25">
      <c r="A2045" s="1">
        <v>41836</v>
      </c>
      <c r="B2045" t="s">
        <v>61</v>
      </c>
      <c r="C2045">
        <v>191</v>
      </c>
    </row>
    <row r="2046" spans="1:3" x14ac:dyDescent="0.25">
      <c r="A2046" s="1">
        <v>41837</v>
      </c>
      <c r="B2046" t="s">
        <v>17</v>
      </c>
      <c r="C2046">
        <v>371</v>
      </c>
    </row>
    <row r="2047" spans="1:3" x14ac:dyDescent="0.25">
      <c r="A2047" s="1">
        <v>41838</v>
      </c>
      <c r="B2047" t="s">
        <v>22</v>
      </c>
      <c r="C2047">
        <v>485</v>
      </c>
    </row>
    <row r="2048" spans="1:3" x14ac:dyDescent="0.25">
      <c r="A2048" s="1">
        <v>41838</v>
      </c>
      <c r="B2048" t="s">
        <v>37</v>
      </c>
      <c r="C2048">
        <v>92</v>
      </c>
    </row>
    <row r="2049" spans="1:3" x14ac:dyDescent="0.25">
      <c r="A2049" s="1">
        <v>41840</v>
      </c>
      <c r="B2049" t="s">
        <v>17</v>
      </c>
      <c r="C2049">
        <v>442</v>
      </c>
    </row>
    <row r="2050" spans="1:3" x14ac:dyDescent="0.25">
      <c r="A2050" s="1">
        <v>41841</v>
      </c>
      <c r="B2050" t="s">
        <v>8</v>
      </c>
      <c r="C2050">
        <v>44</v>
      </c>
    </row>
    <row r="2051" spans="1:3" x14ac:dyDescent="0.25">
      <c r="A2051" s="1">
        <v>41843</v>
      </c>
      <c r="B2051" t="s">
        <v>39</v>
      </c>
      <c r="C2051">
        <v>39</v>
      </c>
    </row>
    <row r="2052" spans="1:3" x14ac:dyDescent="0.25">
      <c r="A2052" s="1">
        <v>41848</v>
      </c>
      <c r="B2052" t="s">
        <v>17</v>
      </c>
      <c r="C2052">
        <v>288</v>
      </c>
    </row>
    <row r="2053" spans="1:3" x14ac:dyDescent="0.25">
      <c r="A2053" s="1">
        <v>41848</v>
      </c>
      <c r="B2053" t="s">
        <v>190</v>
      </c>
      <c r="C2053">
        <v>4</v>
      </c>
    </row>
    <row r="2054" spans="1:3" x14ac:dyDescent="0.25">
      <c r="A2054" s="1">
        <v>41851</v>
      </c>
      <c r="B2054" t="s">
        <v>238</v>
      </c>
      <c r="C2054">
        <v>6</v>
      </c>
    </row>
    <row r="2055" spans="1:3" x14ac:dyDescent="0.25">
      <c r="A2055" s="1">
        <v>41851</v>
      </c>
      <c r="B2055" t="s">
        <v>116</v>
      </c>
      <c r="C2055">
        <v>9</v>
      </c>
    </row>
    <row r="2056" spans="1:3" x14ac:dyDescent="0.25">
      <c r="A2056" s="1">
        <v>41852</v>
      </c>
      <c r="B2056" t="s">
        <v>37</v>
      </c>
      <c r="C2056">
        <v>178</v>
      </c>
    </row>
    <row r="2057" spans="1:3" x14ac:dyDescent="0.25">
      <c r="A2057" s="1">
        <v>41853</v>
      </c>
      <c r="B2057" t="s">
        <v>50</v>
      </c>
      <c r="C2057">
        <v>455</v>
      </c>
    </row>
    <row r="2058" spans="1:3" x14ac:dyDescent="0.25">
      <c r="A2058" s="1">
        <v>41854</v>
      </c>
      <c r="B2058" t="s">
        <v>78</v>
      </c>
      <c r="C2058">
        <v>56</v>
      </c>
    </row>
    <row r="2059" spans="1:3" x14ac:dyDescent="0.25">
      <c r="A2059" s="1">
        <v>41858</v>
      </c>
      <c r="B2059" t="s">
        <v>61</v>
      </c>
      <c r="C2059">
        <v>46</v>
      </c>
    </row>
    <row r="2060" spans="1:3" x14ac:dyDescent="0.25">
      <c r="A2060" s="1">
        <v>41859</v>
      </c>
      <c r="B2060" t="s">
        <v>124</v>
      </c>
      <c r="C2060">
        <v>15</v>
      </c>
    </row>
    <row r="2061" spans="1:3" x14ac:dyDescent="0.25">
      <c r="A2061" s="1">
        <v>41860</v>
      </c>
      <c r="B2061" t="s">
        <v>8</v>
      </c>
      <c r="C2061">
        <v>130</v>
      </c>
    </row>
    <row r="2062" spans="1:3" x14ac:dyDescent="0.25">
      <c r="A2062" s="1">
        <v>41861</v>
      </c>
      <c r="B2062" t="s">
        <v>20</v>
      </c>
      <c r="C2062">
        <v>154</v>
      </c>
    </row>
    <row r="2063" spans="1:3" x14ac:dyDescent="0.25">
      <c r="A2063" s="1">
        <v>41861</v>
      </c>
      <c r="B2063" t="s">
        <v>8</v>
      </c>
      <c r="C2063">
        <v>137</v>
      </c>
    </row>
    <row r="2064" spans="1:3" x14ac:dyDescent="0.25">
      <c r="A2064" s="1">
        <v>41863</v>
      </c>
      <c r="B2064" t="s">
        <v>58</v>
      </c>
      <c r="C2064">
        <v>119</v>
      </c>
    </row>
    <row r="2065" spans="1:3" x14ac:dyDescent="0.25">
      <c r="A2065" s="1">
        <v>41863</v>
      </c>
      <c r="B2065" t="s">
        <v>50</v>
      </c>
      <c r="C2065">
        <v>138</v>
      </c>
    </row>
    <row r="2066" spans="1:3" x14ac:dyDescent="0.25">
      <c r="A2066" s="1">
        <v>41864</v>
      </c>
      <c r="B2066" t="s">
        <v>50</v>
      </c>
      <c r="C2066">
        <v>303</v>
      </c>
    </row>
    <row r="2067" spans="1:3" x14ac:dyDescent="0.25">
      <c r="A2067" s="1">
        <v>41866</v>
      </c>
      <c r="B2067" t="s">
        <v>18</v>
      </c>
      <c r="C2067">
        <v>73</v>
      </c>
    </row>
    <row r="2068" spans="1:3" x14ac:dyDescent="0.25">
      <c r="A2068" s="1">
        <v>41868</v>
      </c>
      <c r="B2068" t="s">
        <v>55</v>
      </c>
      <c r="C2068">
        <v>35</v>
      </c>
    </row>
    <row r="2069" spans="1:3" x14ac:dyDescent="0.25">
      <c r="A2069" s="1">
        <v>41868</v>
      </c>
      <c r="B2069" t="s">
        <v>14</v>
      </c>
      <c r="C2069">
        <v>435</v>
      </c>
    </row>
    <row r="2070" spans="1:3" x14ac:dyDescent="0.25">
      <c r="A2070" s="1">
        <v>41871</v>
      </c>
      <c r="B2070" t="s">
        <v>9</v>
      </c>
      <c r="C2070">
        <v>476</v>
      </c>
    </row>
    <row r="2071" spans="1:3" x14ac:dyDescent="0.25">
      <c r="A2071" s="1">
        <v>41874</v>
      </c>
      <c r="B2071" t="s">
        <v>7</v>
      </c>
      <c r="C2071">
        <v>386</v>
      </c>
    </row>
    <row r="2072" spans="1:3" x14ac:dyDescent="0.25">
      <c r="A2072" s="1">
        <v>41877</v>
      </c>
      <c r="B2072" t="s">
        <v>10</v>
      </c>
      <c r="C2072">
        <v>147</v>
      </c>
    </row>
    <row r="2073" spans="1:3" x14ac:dyDescent="0.25">
      <c r="A2073" s="1">
        <v>41880</v>
      </c>
      <c r="B2073" t="s">
        <v>14</v>
      </c>
      <c r="C2073">
        <v>112</v>
      </c>
    </row>
    <row r="2074" spans="1:3" x14ac:dyDescent="0.25">
      <c r="A2074" s="1">
        <v>41885</v>
      </c>
      <c r="B2074" t="s">
        <v>61</v>
      </c>
      <c r="C2074">
        <v>156</v>
      </c>
    </row>
    <row r="2075" spans="1:3" x14ac:dyDescent="0.25">
      <c r="A2075" s="1">
        <v>41886</v>
      </c>
      <c r="B2075" t="s">
        <v>102</v>
      </c>
      <c r="C2075">
        <v>106</v>
      </c>
    </row>
    <row r="2076" spans="1:3" x14ac:dyDescent="0.25">
      <c r="A2076" s="1">
        <v>41888</v>
      </c>
      <c r="B2076" t="s">
        <v>139</v>
      </c>
      <c r="C2076">
        <v>2</v>
      </c>
    </row>
    <row r="2077" spans="1:3" x14ac:dyDescent="0.25">
      <c r="A2077" s="1">
        <v>41888</v>
      </c>
      <c r="B2077" t="s">
        <v>86</v>
      </c>
      <c r="C2077">
        <v>19</v>
      </c>
    </row>
    <row r="2078" spans="1:3" x14ac:dyDescent="0.25">
      <c r="A2078" s="1">
        <v>41889</v>
      </c>
      <c r="B2078" t="s">
        <v>59</v>
      </c>
      <c r="C2078">
        <v>18</v>
      </c>
    </row>
    <row r="2079" spans="1:3" x14ac:dyDescent="0.25">
      <c r="A2079" s="1">
        <v>41892</v>
      </c>
      <c r="B2079" t="s">
        <v>102</v>
      </c>
      <c r="C2079">
        <v>332</v>
      </c>
    </row>
    <row r="2080" spans="1:3" x14ac:dyDescent="0.25">
      <c r="A2080" s="1">
        <v>41893</v>
      </c>
      <c r="B2080" t="s">
        <v>110</v>
      </c>
      <c r="C2080">
        <v>1</v>
      </c>
    </row>
    <row r="2081" spans="1:3" x14ac:dyDescent="0.25">
      <c r="A2081" s="1">
        <v>41894</v>
      </c>
      <c r="B2081" t="s">
        <v>17</v>
      </c>
      <c r="C2081">
        <v>438</v>
      </c>
    </row>
    <row r="2082" spans="1:3" x14ac:dyDescent="0.25">
      <c r="A2082" s="1">
        <v>41895</v>
      </c>
      <c r="B2082" t="s">
        <v>19</v>
      </c>
      <c r="C2082">
        <v>25</v>
      </c>
    </row>
    <row r="2083" spans="1:3" x14ac:dyDescent="0.25">
      <c r="A2083" s="1">
        <v>41897</v>
      </c>
      <c r="B2083" t="s">
        <v>14</v>
      </c>
      <c r="C2083">
        <v>220</v>
      </c>
    </row>
    <row r="2084" spans="1:3" x14ac:dyDescent="0.25">
      <c r="A2084" s="1">
        <v>41897</v>
      </c>
      <c r="B2084" t="s">
        <v>39</v>
      </c>
      <c r="C2084">
        <v>47</v>
      </c>
    </row>
    <row r="2085" spans="1:3" x14ac:dyDescent="0.25">
      <c r="A2085" s="1">
        <v>41897</v>
      </c>
      <c r="B2085" t="s">
        <v>239</v>
      </c>
      <c r="C2085">
        <v>1</v>
      </c>
    </row>
    <row r="2086" spans="1:3" x14ac:dyDescent="0.25">
      <c r="A2086" s="1">
        <v>41898</v>
      </c>
      <c r="B2086" t="s">
        <v>186</v>
      </c>
      <c r="C2086">
        <v>14</v>
      </c>
    </row>
    <row r="2087" spans="1:3" x14ac:dyDescent="0.25">
      <c r="A2087" s="1">
        <v>41899</v>
      </c>
      <c r="B2087" t="s">
        <v>9</v>
      </c>
      <c r="C2087">
        <v>132</v>
      </c>
    </row>
    <row r="2088" spans="1:3" x14ac:dyDescent="0.25">
      <c r="A2088" s="1">
        <v>41904</v>
      </c>
      <c r="B2088" t="s">
        <v>146</v>
      </c>
      <c r="C2088">
        <v>18</v>
      </c>
    </row>
    <row r="2089" spans="1:3" x14ac:dyDescent="0.25">
      <c r="A2089" s="1">
        <v>41906</v>
      </c>
      <c r="B2089" t="s">
        <v>9</v>
      </c>
      <c r="C2089">
        <v>266</v>
      </c>
    </row>
    <row r="2090" spans="1:3" x14ac:dyDescent="0.25">
      <c r="A2090" s="1">
        <v>41907</v>
      </c>
      <c r="B2090" t="s">
        <v>8</v>
      </c>
      <c r="C2090">
        <v>30</v>
      </c>
    </row>
    <row r="2091" spans="1:3" x14ac:dyDescent="0.25">
      <c r="A2091" s="1">
        <v>41909</v>
      </c>
      <c r="B2091" t="s">
        <v>45</v>
      </c>
      <c r="C2091">
        <v>452</v>
      </c>
    </row>
    <row r="2092" spans="1:3" x14ac:dyDescent="0.25">
      <c r="A2092" s="1">
        <v>41911</v>
      </c>
      <c r="B2092" t="s">
        <v>5</v>
      </c>
      <c r="C2092">
        <v>306</v>
      </c>
    </row>
    <row r="2093" spans="1:3" x14ac:dyDescent="0.25">
      <c r="A2093" s="1">
        <v>41912</v>
      </c>
      <c r="B2093" t="s">
        <v>61</v>
      </c>
      <c r="C2093">
        <v>98</v>
      </c>
    </row>
    <row r="2094" spans="1:3" x14ac:dyDescent="0.25">
      <c r="A2094" s="1">
        <v>41913</v>
      </c>
      <c r="B2094" t="s">
        <v>58</v>
      </c>
      <c r="C2094">
        <v>110</v>
      </c>
    </row>
    <row r="2095" spans="1:3" x14ac:dyDescent="0.25">
      <c r="A2095" s="1">
        <v>41913</v>
      </c>
      <c r="B2095" t="s">
        <v>8</v>
      </c>
      <c r="C2095">
        <v>57</v>
      </c>
    </row>
    <row r="2096" spans="1:3" x14ac:dyDescent="0.25">
      <c r="A2096" s="1">
        <v>41913</v>
      </c>
      <c r="B2096" t="s">
        <v>157</v>
      </c>
      <c r="C2096">
        <v>16</v>
      </c>
    </row>
    <row r="2097" spans="1:3" x14ac:dyDescent="0.25">
      <c r="A2097" s="1">
        <v>41916</v>
      </c>
      <c r="B2097" t="s">
        <v>104</v>
      </c>
      <c r="C2097">
        <v>5</v>
      </c>
    </row>
    <row r="2098" spans="1:3" x14ac:dyDescent="0.25">
      <c r="A2098" s="1">
        <v>41919</v>
      </c>
      <c r="B2098" t="s">
        <v>22</v>
      </c>
      <c r="C2098">
        <v>433</v>
      </c>
    </row>
    <row r="2099" spans="1:3" x14ac:dyDescent="0.25">
      <c r="A2099" s="1">
        <v>41920</v>
      </c>
      <c r="B2099" t="s">
        <v>69</v>
      </c>
      <c r="C2099">
        <v>180</v>
      </c>
    </row>
    <row r="2100" spans="1:3" x14ac:dyDescent="0.25">
      <c r="A2100" s="1">
        <v>41920</v>
      </c>
      <c r="B2100" t="s">
        <v>22</v>
      </c>
      <c r="C2100">
        <v>381</v>
      </c>
    </row>
    <row r="2101" spans="1:3" x14ac:dyDescent="0.25">
      <c r="A2101" s="1">
        <v>41921</v>
      </c>
      <c r="B2101" t="s">
        <v>70</v>
      </c>
      <c r="C2101">
        <v>16</v>
      </c>
    </row>
    <row r="2102" spans="1:3" x14ac:dyDescent="0.25">
      <c r="A2102" s="1">
        <v>41921</v>
      </c>
      <c r="B2102" t="s">
        <v>28</v>
      </c>
      <c r="C2102">
        <v>85</v>
      </c>
    </row>
    <row r="2103" spans="1:3" x14ac:dyDescent="0.25">
      <c r="A2103" s="1">
        <v>41921</v>
      </c>
      <c r="B2103" t="s">
        <v>25</v>
      </c>
      <c r="C2103">
        <v>37</v>
      </c>
    </row>
    <row r="2104" spans="1:3" x14ac:dyDescent="0.25">
      <c r="A2104" s="1">
        <v>41924</v>
      </c>
      <c r="B2104" t="s">
        <v>20</v>
      </c>
      <c r="C2104">
        <v>69</v>
      </c>
    </row>
    <row r="2105" spans="1:3" x14ac:dyDescent="0.25">
      <c r="A2105" s="1">
        <v>41925</v>
      </c>
      <c r="B2105" t="s">
        <v>7</v>
      </c>
      <c r="C2105">
        <v>304</v>
      </c>
    </row>
    <row r="2106" spans="1:3" x14ac:dyDescent="0.25">
      <c r="A2106" s="1">
        <v>41928</v>
      </c>
      <c r="B2106" t="s">
        <v>22</v>
      </c>
      <c r="C2106">
        <v>491</v>
      </c>
    </row>
    <row r="2107" spans="1:3" x14ac:dyDescent="0.25">
      <c r="A2107" s="1">
        <v>41931</v>
      </c>
      <c r="B2107" t="s">
        <v>23</v>
      </c>
      <c r="C2107">
        <v>106</v>
      </c>
    </row>
    <row r="2108" spans="1:3" x14ac:dyDescent="0.25">
      <c r="A2108" s="1">
        <v>41935</v>
      </c>
      <c r="B2108" t="s">
        <v>52</v>
      </c>
      <c r="C2108">
        <v>188</v>
      </c>
    </row>
    <row r="2109" spans="1:3" x14ac:dyDescent="0.25">
      <c r="A2109" s="1">
        <v>41935</v>
      </c>
      <c r="B2109" t="s">
        <v>8</v>
      </c>
      <c r="C2109">
        <v>131</v>
      </c>
    </row>
    <row r="2110" spans="1:3" x14ac:dyDescent="0.25">
      <c r="A2110" s="1">
        <v>41936</v>
      </c>
      <c r="B2110" t="s">
        <v>148</v>
      </c>
      <c r="C2110">
        <v>9</v>
      </c>
    </row>
    <row r="2111" spans="1:3" x14ac:dyDescent="0.25">
      <c r="A2111" s="1">
        <v>41938</v>
      </c>
      <c r="B2111" t="s">
        <v>45</v>
      </c>
      <c r="C2111">
        <v>245</v>
      </c>
    </row>
    <row r="2112" spans="1:3" x14ac:dyDescent="0.25">
      <c r="A2112" s="1">
        <v>41943</v>
      </c>
      <c r="B2112" t="s">
        <v>22</v>
      </c>
      <c r="C2112">
        <v>166</v>
      </c>
    </row>
    <row r="2113" spans="1:3" x14ac:dyDescent="0.25">
      <c r="A2113" s="1">
        <v>41945</v>
      </c>
      <c r="B2113" t="s">
        <v>55</v>
      </c>
      <c r="C2113">
        <v>171</v>
      </c>
    </row>
    <row r="2114" spans="1:3" x14ac:dyDescent="0.25">
      <c r="A2114" s="1">
        <v>41945</v>
      </c>
      <c r="B2114" t="s">
        <v>119</v>
      </c>
      <c r="C2114">
        <v>11</v>
      </c>
    </row>
    <row r="2115" spans="1:3" x14ac:dyDescent="0.25">
      <c r="A2115" s="1">
        <v>41946</v>
      </c>
      <c r="B2115" t="s">
        <v>20</v>
      </c>
      <c r="C2115">
        <v>52</v>
      </c>
    </row>
    <row r="2116" spans="1:3" x14ac:dyDescent="0.25">
      <c r="A2116" s="1">
        <v>41949</v>
      </c>
      <c r="B2116" t="s">
        <v>120</v>
      </c>
      <c r="C2116">
        <v>56</v>
      </c>
    </row>
    <row r="2117" spans="1:3" x14ac:dyDescent="0.25">
      <c r="A2117" s="1">
        <v>41950</v>
      </c>
      <c r="B2117" t="s">
        <v>54</v>
      </c>
      <c r="C2117">
        <v>6</v>
      </c>
    </row>
    <row r="2118" spans="1:3" x14ac:dyDescent="0.25">
      <c r="A2118" s="1">
        <v>41950</v>
      </c>
      <c r="B2118" t="s">
        <v>55</v>
      </c>
      <c r="C2118">
        <v>179</v>
      </c>
    </row>
    <row r="2119" spans="1:3" x14ac:dyDescent="0.25">
      <c r="A2119" s="1">
        <v>41951</v>
      </c>
      <c r="B2119" t="s">
        <v>22</v>
      </c>
      <c r="C2119">
        <v>398</v>
      </c>
    </row>
    <row r="2120" spans="1:3" x14ac:dyDescent="0.25">
      <c r="A2120" s="1">
        <v>41952</v>
      </c>
      <c r="B2120" t="s">
        <v>69</v>
      </c>
      <c r="C2120">
        <v>68</v>
      </c>
    </row>
    <row r="2121" spans="1:3" x14ac:dyDescent="0.25">
      <c r="A2121" s="1">
        <v>41952</v>
      </c>
      <c r="B2121" t="s">
        <v>12</v>
      </c>
      <c r="C2121">
        <v>160</v>
      </c>
    </row>
    <row r="2122" spans="1:3" x14ac:dyDescent="0.25">
      <c r="A2122" s="1">
        <v>41953</v>
      </c>
      <c r="B2122" t="s">
        <v>12</v>
      </c>
      <c r="C2122">
        <v>183</v>
      </c>
    </row>
    <row r="2123" spans="1:3" x14ac:dyDescent="0.25">
      <c r="A2123" s="1">
        <v>41954</v>
      </c>
      <c r="B2123" t="s">
        <v>22</v>
      </c>
      <c r="C2123">
        <v>178</v>
      </c>
    </row>
    <row r="2124" spans="1:3" x14ac:dyDescent="0.25">
      <c r="A2124" s="1">
        <v>41955</v>
      </c>
      <c r="B2124" t="s">
        <v>7</v>
      </c>
      <c r="C2124">
        <v>381</v>
      </c>
    </row>
    <row r="2125" spans="1:3" x14ac:dyDescent="0.25">
      <c r="A2125" s="1">
        <v>41957</v>
      </c>
      <c r="B2125" t="s">
        <v>62</v>
      </c>
      <c r="C2125">
        <v>12</v>
      </c>
    </row>
    <row r="2126" spans="1:3" x14ac:dyDescent="0.25">
      <c r="A2126" s="1">
        <v>41959</v>
      </c>
      <c r="B2126" t="s">
        <v>28</v>
      </c>
      <c r="C2126">
        <v>116</v>
      </c>
    </row>
    <row r="2127" spans="1:3" x14ac:dyDescent="0.25">
      <c r="A2127" s="1">
        <v>41961</v>
      </c>
      <c r="B2127" t="s">
        <v>7</v>
      </c>
      <c r="C2127">
        <v>117</v>
      </c>
    </row>
    <row r="2128" spans="1:3" x14ac:dyDescent="0.25">
      <c r="A2128" s="1">
        <v>41961</v>
      </c>
      <c r="B2128" t="s">
        <v>69</v>
      </c>
      <c r="C2128">
        <v>31</v>
      </c>
    </row>
    <row r="2129" spans="1:3" x14ac:dyDescent="0.25">
      <c r="A2129" s="1">
        <v>41962</v>
      </c>
      <c r="B2129" t="s">
        <v>8</v>
      </c>
      <c r="C2129">
        <v>131</v>
      </c>
    </row>
    <row r="2130" spans="1:3" x14ac:dyDescent="0.25">
      <c r="A2130" s="1">
        <v>41962</v>
      </c>
      <c r="B2130" t="s">
        <v>10</v>
      </c>
      <c r="C2130">
        <v>21</v>
      </c>
    </row>
    <row r="2131" spans="1:3" x14ac:dyDescent="0.25">
      <c r="A2131" s="1">
        <v>41963</v>
      </c>
      <c r="B2131" t="s">
        <v>9</v>
      </c>
      <c r="C2131">
        <v>300</v>
      </c>
    </row>
    <row r="2132" spans="1:3" x14ac:dyDescent="0.25">
      <c r="A2132" s="1">
        <v>41963</v>
      </c>
      <c r="B2132" t="s">
        <v>18</v>
      </c>
      <c r="C2132">
        <v>32</v>
      </c>
    </row>
    <row r="2133" spans="1:3" x14ac:dyDescent="0.25">
      <c r="A2133" s="1">
        <v>41966</v>
      </c>
      <c r="B2133" t="s">
        <v>132</v>
      </c>
      <c r="C2133">
        <v>4</v>
      </c>
    </row>
    <row r="2134" spans="1:3" x14ac:dyDescent="0.25">
      <c r="A2134" s="1">
        <v>41967</v>
      </c>
      <c r="B2134" t="s">
        <v>45</v>
      </c>
      <c r="C2134">
        <v>230</v>
      </c>
    </row>
    <row r="2135" spans="1:3" x14ac:dyDescent="0.25">
      <c r="A2135" s="1">
        <v>41968</v>
      </c>
      <c r="B2135" t="s">
        <v>61</v>
      </c>
      <c r="C2135">
        <v>164</v>
      </c>
    </row>
    <row r="2136" spans="1:3" x14ac:dyDescent="0.25">
      <c r="A2136" s="1">
        <v>41969</v>
      </c>
      <c r="B2136" t="s">
        <v>98</v>
      </c>
      <c r="C2136">
        <v>4</v>
      </c>
    </row>
    <row r="2137" spans="1:3" x14ac:dyDescent="0.25">
      <c r="A2137" s="1">
        <v>41972</v>
      </c>
      <c r="B2137" t="s">
        <v>20</v>
      </c>
      <c r="C2137">
        <v>96</v>
      </c>
    </row>
    <row r="2138" spans="1:3" x14ac:dyDescent="0.25">
      <c r="A2138" s="1">
        <v>41975</v>
      </c>
      <c r="B2138" t="s">
        <v>131</v>
      </c>
      <c r="C2138">
        <v>94</v>
      </c>
    </row>
    <row r="2139" spans="1:3" x14ac:dyDescent="0.25">
      <c r="A2139" s="1">
        <v>41975</v>
      </c>
      <c r="B2139" t="s">
        <v>71</v>
      </c>
      <c r="C2139">
        <v>21</v>
      </c>
    </row>
    <row r="2140" spans="1:3" x14ac:dyDescent="0.25">
      <c r="A2140" s="1">
        <v>41977</v>
      </c>
      <c r="B2140" t="s">
        <v>7</v>
      </c>
      <c r="C2140">
        <v>129</v>
      </c>
    </row>
    <row r="2141" spans="1:3" x14ac:dyDescent="0.25">
      <c r="A2141" s="1">
        <v>41977</v>
      </c>
      <c r="B2141" t="s">
        <v>25</v>
      </c>
      <c r="C2141">
        <v>197</v>
      </c>
    </row>
    <row r="2142" spans="1:3" x14ac:dyDescent="0.25">
      <c r="A2142" s="1">
        <v>41978</v>
      </c>
      <c r="B2142" t="s">
        <v>113</v>
      </c>
      <c r="C2142">
        <v>16</v>
      </c>
    </row>
    <row r="2143" spans="1:3" x14ac:dyDescent="0.25">
      <c r="A2143" s="1">
        <v>41978</v>
      </c>
      <c r="B2143" t="s">
        <v>24</v>
      </c>
      <c r="C2143">
        <v>332</v>
      </c>
    </row>
    <row r="2144" spans="1:3" x14ac:dyDescent="0.25">
      <c r="A2144" s="1">
        <v>41980</v>
      </c>
      <c r="B2144" t="s">
        <v>69</v>
      </c>
      <c r="C2144">
        <v>75</v>
      </c>
    </row>
    <row r="2145" spans="1:3" x14ac:dyDescent="0.25">
      <c r="A2145" s="1">
        <v>41981</v>
      </c>
      <c r="B2145" t="s">
        <v>74</v>
      </c>
      <c r="C2145">
        <v>10</v>
      </c>
    </row>
    <row r="2146" spans="1:3" x14ac:dyDescent="0.25">
      <c r="A2146" s="1">
        <v>41982</v>
      </c>
      <c r="B2146" t="s">
        <v>37</v>
      </c>
      <c r="C2146">
        <v>93</v>
      </c>
    </row>
    <row r="2147" spans="1:3" x14ac:dyDescent="0.25">
      <c r="A2147" s="1">
        <v>41983</v>
      </c>
      <c r="B2147" t="s">
        <v>45</v>
      </c>
      <c r="C2147">
        <v>146</v>
      </c>
    </row>
    <row r="2148" spans="1:3" x14ac:dyDescent="0.25">
      <c r="A2148" s="1">
        <v>41984</v>
      </c>
      <c r="B2148" t="s">
        <v>58</v>
      </c>
      <c r="C2148">
        <v>197</v>
      </c>
    </row>
    <row r="2149" spans="1:3" x14ac:dyDescent="0.25">
      <c r="A2149" s="1">
        <v>41986</v>
      </c>
      <c r="B2149" t="s">
        <v>17</v>
      </c>
      <c r="C2149">
        <v>482</v>
      </c>
    </row>
    <row r="2150" spans="1:3" x14ac:dyDescent="0.25">
      <c r="A2150" s="1">
        <v>41988</v>
      </c>
      <c r="B2150" t="s">
        <v>8</v>
      </c>
      <c r="C2150">
        <v>43</v>
      </c>
    </row>
    <row r="2151" spans="1:3" x14ac:dyDescent="0.25">
      <c r="A2151" s="1">
        <v>41989</v>
      </c>
      <c r="B2151" t="s">
        <v>22</v>
      </c>
      <c r="C2151">
        <v>367</v>
      </c>
    </row>
    <row r="2152" spans="1:3" x14ac:dyDescent="0.25">
      <c r="A2152" s="1">
        <v>41989</v>
      </c>
      <c r="B2152" t="s">
        <v>14</v>
      </c>
      <c r="C2152">
        <v>274</v>
      </c>
    </row>
    <row r="2153" spans="1:3" x14ac:dyDescent="0.25">
      <c r="A2153" s="1">
        <v>41991</v>
      </c>
      <c r="B2153" t="s">
        <v>17</v>
      </c>
      <c r="C2153">
        <v>283</v>
      </c>
    </row>
    <row r="2154" spans="1:3" x14ac:dyDescent="0.25">
      <c r="A2154" s="1">
        <v>41992</v>
      </c>
      <c r="B2154" t="s">
        <v>55</v>
      </c>
      <c r="C2154">
        <v>98</v>
      </c>
    </row>
    <row r="2155" spans="1:3" x14ac:dyDescent="0.25">
      <c r="A2155" s="1">
        <v>41993</v>
      </c>
      <c r="B2155" t="s">
        <v>22</v>
      </c>
      <c r="C2155">
        <v>485</v>
      </c>
    </row>
    <row r="2156" spans="1:3" x14ac:dyDescent="0.25">
      <c r="A2156" s="1">
        <v>41994</v>
      </c>
      <c r="B2156" t="s">
        <v>167</v>
      </c>
      <c r="C2156">
        <v>3</v>
      </c>
    </row>
    <row r="2157" spans="1:3" x14ac:dyDescent="0.25">
      <c r="A2157" s="1">
        <v>41996</v>
      </c>
      <c r="B2157" t="s">
        <v>45</v>
      </c>
      <c r="C2157">
        <v>331</v>
      </c>
    </row>
    <row r="2158" spans="1:3" x14ac:dyDescent="0.25">
      <c r="A2158" s="1">
        <v>41997</v>
      </c>
      <c r="B2158" t="s">
        <v>8</v>
      </c>
      <c r="C2158">
        <v>150</v>
      </c>
    </row>
    <row r="2159" spans="1:3" x14ac:dyDescent="0.25">
      <c r="A2159" s="1">
        <v>41998</v>
      </c>
      <c r="B2159" t="s">
        <v>7</v>
      </c>
      <c r="C2159">
        <v>463</v>
      </c>
    </row>
    <row r="2160" spans="1:3" x14ac:dyDescent="0.25">
      <c r="A2160" s="1">
        <v>41999</v>
      </c>
      <c r="B2160" t="s">
        <v>159</v>
      </c>
      <c r="C2160">
        <v>8</v>
      </c>
    </row>
    <row r="2161" spans="1:3" x14ac:dyDescent="0.25">
      <c r="A2161" s="1">
        <v>41999</v>
      </c>
      <c r="B2161" t="s">
        <v>12</v>
      </c>
      <c r="C2161">
        <v>178</v>
      </c>
    </row>
    <row r="2162" spans="1:3" x14ac:dyDescent="0.25">
      <c r="A2162" s="1">
        <v>42001</v>
      </c>
      <c r="B2162" t="s">
        <v>19</v>
      </c>
      <c r="C2162">
        <v>166</v>
      </c>
    </row>
    <row r="2163" spans="1:3" x14ac:dyDescent="0.25">
      <c r="A2163" s="1">
        <v>42002</v>
      </c>
      <c r="B2163" t="s">
        <v>232</v>
      </c>
      <c r="C2163">
        <v>14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E1DF-8A02-41E4-A360-577B3886EB35}">
  <dimension ref="A1:M2163"/>
  <sheetViews>
    <sheetView topLeftCell="B1" zoomScale="160" zoomScaleNormal="160" workbookViewId="0">
      <selection activeCell="G2" sqref="G2"/>
    </sheetView>
  </sheetViews>
  <sheetFormatPr defaultRowHeight="15" x14ac:dyDescent="0.25"/>
  <cols>
    <col min="1" max="1" width="11.140625" bestFit="1" customWidth="1"/>
    <col min="2" max="2" width="13.28515625" bestFit="1" customWidth="1"/>
    <col min="3" max="3" width="18.85546875" bestFit="1" customWidth="1"/>
    <col min="5" max="5" width="18.5703125" bestFit="1" customWidth="1"/>
    <col min="15" max="15" width="10.140625" bestFit="1" customWidth="1"/>
  </cols>
  <sheetData>
    <row r="1" spans="1:13" x14ac:dyDescent="0.25">
      <c r="A1" t="s">
        <v>240</v>
      </c>
      <c r="B1" t="s">
        <v>241</v>
      </c>
      <c r="C1" t="s">
        <v>242</v>
      </c>
      <c r="D1" t="s">
        <v>244</v>
      </c>
      <c r="E1" t="s">
        <v>248</v>
      </c>
      <c r="G1" s="7">
        <f>SUM(cukier8[przychod])</f>
        <v>643267.07000000111</v>
      </c>
      <c r="L1" t="s">
        <v>244</v>
      </c>
      <c r="M1" t="s">
        <v>243</v>
      </c>
    </row>
    <row r="2" spans="1:13" x14ac:dyDescent="0.25">
      <c r="A2" s="1">
        <v>38353</v>
      </c>
      <c r="B2" t="s">
        <v>0</v>
      </c>
      <c r="C2">
        <v>10</v>
      </c>
      <c r="D2">
        <f>YEAR(cukier8[[#This Row],[data]])</f>
        <v>2005</v>
      </c>
      <c r="E2">
        <f>VLOOKUP(cukier8[[#This Row],[rok]],$L$2:$M$11,2,FALSE)*cukier8[[#This Row],[sprzedany_cukier]]</f>
        <v>20</v>
      </c>
      <c r="L2" s="4">
        <v>2005</v>
      </c>
      <c r="M2" s="2">
        <v>2</v>
      </c>
    </row>
    <row r="3" spans="1:13" x14ac:dyDescent="0.25">
      <c r="A3" s="1">
        <v>38356</v>
      </c>
      <c r="B3" t="s">
        <v>1</v>
      </c>
      <c r="C3">
        <v>2</v>
      </c>
      <c r="D3">
        <f>YEAR(cukier8[[#This Row],[data]])</f>
        <v>2005</v>
      </c>
      <c r="E3">
        <f>VLOOKUP(cukier8[[#This Row],[rok]],$L$2:$M$11,2,FALSE)*cukier8[[#This Row],[sprzedany_cukier]]</f>
        <v>4</v>
      </c>
      <c r="L3" s="5">
        <v>2006</v>
      </c>
      <c r="M3" s="3">
        <v>2.0499999999999998</v>
      </c>
    </row>
    <row r="4" spans="1:13" x14ac:dyDescent="0.25">
      <c r="A4" s="1">
        <v>38357</v>
      </c>
      <c r="B4" t="s">
        <v>2</v>
      </c>
      <c r="C4">
        <v>2</v>
      </c>
      <c r="D4">
        <f>YEAR(cukier8[[#This Row],[data]])</f>
        <v>2005</v>
      </c>
      <c r="E4">
        <f>VLOOKUP(cukier8[[#This Row],[rok]],$L$2:$M$11,2,FALSE)*cukier8[[#This Row],[sprzedany_cukier]]</f>
        <v>4</v>
      </c>
      <c r="L4" s="4">
        <v>2007</v>
      </c>
      <c r="M4" s="2">
        <v>2.09</v>
      </c>
    </row>
    <row r="5" spans="1:13" x14ac:dyDescent="0.25">
      <c r="A5" s="1">
        <v>38362</v>
      </c>
      <c r="B5" t="s">
        <v>3</v>
      </c>
      <c r="C5">
        <v>5</v>
      </c>
      <c r="D5">
        <f>YEAR(cukier8[[#This Row],[data]])</f>
        <v>2005</v>
      </c>
      <c r="E5">
        <f>VLOOKUP(cukier8[[#This Row],[rok]],$L$2:$M$11,2,FALSE)*cukier8[[#This Row],[sprzedany_cukier]]</f>
        <v>10</v>
      </c>
      <c r="L5" s="5">
        <v>2008</v>
      </c>
      <c r="M5" s="3">
        <v>2.15</v>
      </c>
    </row>
    <row r="6" spans="1:13" x14ac:dyDescent="0.25">
      <c r="A6" s="1">
        <v>38363</v>
      </c>
      <c r="B6" t="s">
        <v>4</v>
      </c>
      <c r="C6">
        <v>14</v>
      </c>
      <c r="D6">
        <f>YEAR(cukier8[[#This Row],[data]])</f>
        <v>2005</v>
      </c>
      <c r="E6">
        <f>VLOOKUP(cukier8[[#This Row],[rok]],$L$2:$M$11,2,FALSE)*cukier8[[#This Row],[sprzedany_cukier]]</f>
        <v>28</v>
      </c>
      <c r="L6" s="4">
        <v>2009</v>
      </c>
      <c r="M6" s="2">
        <v>2.13</v>
      </c>
    </row>
    <row r="7" spans="1:13" x14ac:dyDescent="0.25">
      <c r="A7" s="1">
        <v>38365</v>
      </c>
      <c r="B7" t="s">
        <v>5</v>
      </c>
      <c r="C7">
        <v>436</v>
      </c>
      <c r="D7">
        <f>YEAR(cukier8[[#This Row],[data]])</f>
        <v>2005</v>
      </c>
      <c r="E7">
        <f>VLOOKUP(cukier8[[#This Row],[rok]],$L$2:$M$11,2,FALSE)*cukier8[[#This Row],[sprzedany_cukier]]</f>
        <v>872</v>
      </c>
      <c r="L7" s="5">
        <v>2010</v>
      </c>
      <c r="M7" s="3">
        <v>2.1</v>
      </c>
    </row>
    <row r="8" spans="1:13" x14ac:dyDescent="0.25">
      <c r="A8" s="1">
        <v>38366</v>
      </c>
      <c r="B8" t="s">
        <v>6</v>
      </c>
      <c r="C8">
        <v>95</v>
      </c>
      <c r="D8">
        <f>YEAR(cukier8[[#This Row],[data]])</f>
        <v>2005</v>
      </c>
      <c r="E8">
        <f>VLOOKUP(cukier8[[#This Row],[rok]],$L$2:$M$11,2,FALSE)*cukier8[[#This Row],[sprzedany_cukier]]</f>
        <v>190</v>
      </c>
      <c r="L8" s="4">
        <v>2011</v>
      </c>
      <c r="M8" s="2">
        <v>2.2000000000000002</v>
      </c>
    </row>
    <row r="9" spans="1:13" x14ac:dyDescent="0.25">
      <c r="A9" s="1">
        <v>38370</v>
      </c>
      <c r="B9" t="s">
        <v>7</v>
      </c>
      <c r="C9">
        <v>350</v>
      </c>
      <c r="D9">
        <f>YEAR(cukier8[[#This Row],[data]])</f>
        <v>2005</v>
      </c>
      <c r="E9">
        <f>VLOOKUP(cukier8[[#This Row],[rok]],$L$2:$M$11,2,FALSE)*cukier8[[#This Row],[sprzedany_cukier]]</f>
        <v>700</v>
      </c>
      <c r="L9" s="5">
        <v>2012</v>
      </c>
      <c r="M9" s="3">
        <v>2.25</v>
      </c>
    </row>
    <row r="10" spans="1:13" x14ac:dyDescent="0.25">
      <c r="A10" s="1">
        <v>38371</v>
      </c>
      <c r="B10" t="s">
        <v>7</v>
      </c>
      <c r="C10">
        <v>231</v>
      </c>
      <c r="D10">
        <f>YEAR(cukier8[[#This Row],[data]])</f>
        <v>2005</v>
      </c>
      <c r="E10">
        <f>VLOOKUP(cukier8[[#This Row],[rok]],$L$2:$M$11,2,FALSE)*cukier8[[#This Row],[sprzedany_cukier]]</f>
        <v>462</v>
      </c>
      <c r="L10" s="4">
        <v>2013</v>
      </c>
      <c r="M10" s="2">
        <v>2.2200000000000002</v>
      </c>
    </row>
    <row r="11" spans="1:13" x14ac:dyDescent="0.25">
      <c r="A11" s="1">
        <v>38372</v>
      </c>
      <c r="B11" t="s">
        <v>8</v>
      </c>
      <c r="C11">
        <v>38</v>
      </c>
      <c r="D11">
        <f>YEAR(cukier8[[#This Row],[data]])</f>
        <v>2005</v>
      </c>
      <c r="E11">
        <f>VLOOKUP(cukier8[[#This Row],[rok]],$L$2:$M$11,2,FALSE)*cukier8[[#This Row],[sprzedany_cukier]]</f>
        <v>76</v>
      </c>
      <c r="L11" s="5">
        <v>2014</v>
      </c>
      <c r="M11" s="3">
        <v>2.23</v>
      </c>
    </row>
    <row r="12" spans="1:13" x14ac:dyDescent="0.25">
      <c r="A12" s="1">
        <v>38374</v>
      </c>
      <c r="B12" t="s">
        <v>9</v>
      </c>
      <c r="C12">
        <v>440</v>
      </c>
      <c r="D12">
        <f>YEAR(cukier8[[#This Row],[data]])</f>
        <v>2005</v>
      </c>
      <c r="E12">
        <f>VLOOKUP(cukier8[[#This Row],[rok]],$L$2:$M$11,2,FALSE)*cukier8[[#This Row],[sprzedany_cukier]]</f>
        <v>880</v>
      </c>
    </row>
    <row r="13" spans="1:13" x14ac:dyDescent="0.25">
      <c r="A13" s="1">
        <v>38376</v>
      </c>
      <c r="B13" t="s">
        <v>10</v>
      </c>
      <c r="C13">
        <v>120</v>
      </c>
      <c r="D13">
        <f>YEAR(cukier8[[#This Row],[data]])</f>
        <v>2005</v>
      </c>
      <c r="E13">
        <f>VLOOKUP(cukier8[[#This Row],[rok]],$L$2:$M$11,2,FALSE)*cukier8[[#This Row],[sprzedany_cukier]]</f>
        <v>240</v>
      </c>
    </row>
    <row r="14" spans="1:13" x14ac:dyDescent="0.25">
      <c r="A14" s="1">
        <v>38377</v>
      </c>
      <c r="B14" t="s">
        <v>11</v>
      </c>
      <c r="C14">
        <v>11</v>
      </c>
      <c r="D14">
        <f>YEAR(cukier8[[#This Row],[data]])</f>
        <v>2005</v>
      </c>
      <c r="E14">
        <f>VLOOKUP(cukier8[[#This Row],[rok]],$L$2:$M$11,2,FALSE)*cukier8[[#This Row],[sprzedany_cukier]]</f>
        <v>22</v>
      </c>
    </row>
    <row r="15" spans="1:13" x14ac:dyDescent="0.25">
      <c r="A15" s="1">
        <v>38378</v>
      </c>
      <c r="B15" t="s">
        <v>12</v>
      </c>
      <c r="C15">
        <v>36</v>
      </c>
      <c r="D15">
        <f>YEAR(cukier8[[#This Row],[data]])</f>
        <v>2005</v>
      </c>
      <c r="E15">
        <f>VLOOKUP(cukier8[[#This Row],[rok]],$L$2:$M$11,2,FALSE)*cukier8[[#This Row],[sprzedany_cukier]]</f>
        <v>72</v>
      </c>
    </row>
    <row r="16" spans="1:13" x14ac:dyDescent="0.25">
      <c r="A16" s="1">
        <v>38379</v>
      </c>
      <c r="B16" t="s">
        <v>10</v>
      </c>
      <c r="C16">
        <v>51</v>
      </c>
      <c r="D16">
        <f>YEAR(cukier8[[#This Row],[data]])</f>
        <v>2005</v>
      </c>
      <c r="E16">
        <f>VLOOKUP(cukier8[[#This Row],[rok]],$L$2:$M$11,2,FALSE)*cukier8[[#This Row],[sprzedany_cukier]]</f>
        <v>102</v>
      </c>
    </row>
    <row r="17" spans="1:5" x14ac:dyDescent="0.25">
      <c r="A17" s="1">
        <v>38385</v>
      </c>
      <c r="B17" t="s">
        <v>7</v>
      </c>
      <c r="C17">
        <v>465</v>
      </c>
      <c r="D17">
        <f>YEAR(cukier8[[#This Row],[data]])</f>
        <v>2005</v>
      </c>
      <c r="E17">
        <f>VLOOKUP(cukier8[[#This Row],[rok]],$L$2:$M$11,2,FALSE)*cukier8[[#This Row],[sprzedany_cukier]]</f>
        <v>930</v>
      </c>
    </row>
    <row r="18" spans="1:5" x14ac:dyDescent="0.25">
      <c r="A18" s="1">
        <v>38386</v>
      </c>
      <c r="B18" t="s">
        <v>13</v>
      </c>
      <c r="C18">
        <v>8</v>
      </c>
      <c r="D18">
        <f>YEAR(cukier8[[#This Row],[data]])</f>
        <v>2005</v>
      </c>
      <c r="E18">
        <f>VLOOKUP(cukier8[[#This Row],[rok]],$L$2:$M$11,2,FALSE)*cukier8[[#This Row],[sprzedany_cukier]]</f>
        <v>16</v>
      </c>
    </row>
    <row r="19" spans="1:5" x14ac:dyDescent="0.25">
      <c r="A19" s="1">
        <v>38388</v>
      </c>
      <c r="B19" t="s">
        <v>14</v>
      </c>
      <c r="C19">
        <v>287</v>
      </c>
      <c r="D19">
        <f>YEAR(cukier8[[#This Row],[data]])</f>
        <v>2005</v>
      </c>
      <c r="E19">
        <f>VLOOKUP(cukier8[[#This Row],[rok]],$L$2:$M$11,2,FALSE)*cukier8[[#This Row],[sprzedany_cukier]]</f>
        <v>574</v>
      </c>
    </row>
    <row r="20" spans="1:5" x14ac:dyDescent="0.25">
      <c r="A20" s="1">
        <v>38388</v>
      </c>
      <c r="B20" t="s">
        <v>15</v>
      </c>
      <c r="C20">
        <v>12</v>
      </c>
      <c r="D20">
        <f>YEAR(cukier8[[#This Row],[data]])</f>
        <v>2005</v>
      </c>
      <c r="E20">
        <f>VLOOKUP(cukier8[[#This Row],[rok]],$L$2:$M$11,2,FALSE)*cukier8[[#This Row],[sprzedany_cukier]]</f>
        <v>24</v>
      </c>
    </row>
    <row r="21" spans="1:5" x14ac:dyDescent="0.25">
      <c r="A21" s="1">
        <v>38393</v>
      </c>
      <c r="B21" t="s">
        <v>16</v>
      </c>
      <c r="C21">
        <v>6</v>
      </c>
      <c r="D21">
        <f>YEAR(cukier8[[#This Row],[data]])</f>
        <v>2005</v>
      </c>
      <c r="E21">
        <f>VLOOKUP(cukier8[[#This Row],[rok]],$L$2:$M$11,2,FALSE)*cukier8[[#This Row],[sprzedany_cukier]]</f>
        <v>12</v>
      </c>
    </row>
    <row r="22" spans="1:5" x14ac:dyDescent="0.25">
      <c r="A22" s="1">
        <v>38397</v>
      </c>
      <c r="B22" t="s">
        <v>17</v>
      </c>
      <c r="C22">
        <v>321</v>
      </c>
      <c r="D22">
        <f>YEAR(cukier8[[#This Row],[data]])</f>
        <v>2005</v>
      </c>
      <c r="E22">
        <f>VLOOKUP(cukier8[[#This Row],[rok]],$L$2:$M$11,2,FALSE)*cukier8[[#This Row],[sprzedany_cukier]]</f>
        <v>642</v>
      </c>
    </row>
    <row r="23" spans="1:5" x14ac:dyDescent="0.25">
      <c r="A23" s="1">
        <v>38401</v>
      </c>
      <c r="B23" t="s">
        <v>18</v>
      </c>
      <c r="C23">
        <v>99</v>
      </c>
      <c r="D23">
        <f>YEAR(cukier8[[#This Row],[data]])</f>
        <v>2005</v>
      </c>
      <c r="E23">
        <f>VLOOKUP(cukier8[[#This Row],[rok]],$L$2:$M$11,2,FALSE)*cukier8[[#This Row],[sprzedany_cukier]]</f>
        <v>198</v>
      </c>
    </row>
    <row r="24" spans="1:5" x14ac:dyDescent="0.25">
      <c r="A24" s="1">
        <v>38401</v>
      </c>
      <c r="B24" t="s">
        <v>19</v>
      </c>
      <c r="C24">
        <v>91</v>
      </c>
      <c r="D24">
        <f>YEAR(cukier8[[#This Row],[data]])</f>
        <v>2005</v>
      </c>
      <c r="E24">
        <f>VLOOKUP(cukier8[[#This Row],[rok]],$L$2:$M$11,2,FALSE)*cukier8[[#This Row],[sprzedany_cukier]]</f>
        <v>182</v>
      </c>
    </row>
    <row r="25" spans="1:5" x14ac:dyDescent="0.25">
      <c r="A25" s="1">
        <v>38407</v>
      </c>
      <c r="B25" t="s">
        <v>14</v>
      </c>
      <c r="C25">
        <v>118</v>
      </c>
      <c r="D25">
        <f>YEAR(cukier8[[#This Row],[data]])</f>
        <v>2005</v>
      </c>
      <c r="E25">
        <f>VLOOKUP(cukier8[[#This Row],[rok]],$L$2:$M$11,2,FALSE)*cukier8[[#This Row],[sprzedany_cukier]]</f>
        <v>236</v>
      </c>
    </row>
    <row r="26" spans="1:5" x14ac:dyDescent="0.25">
      <c r="A26" s="1">
        <v>38408</v>
      </c>
      <c r="B26" t="s">
        <v>20</v>
      </c>
      <c r="C26">
        <v>58</v>
      </c>
      <c r="D26">
        <f>YEAR(cukier8[[#This Row],[data]])</f>
        <v>2005</v>
      </c>
      <c r="E26">
        <f>VLOOKUP(cukier8[[#This Row],[rok]],$L$2:$M$11,2,FALSE)*cukier8[[#This Row],[sprzedany_cukier]]</f>
        <v>116</v>
      </c>
    </row>
    <row r="27" spans="1:5" x14ac:dyDescent="0.25">
      <c r="A27" s="1">
        <v>38409</v>
      </c>
      <c r="B27" t="s">
        <v>21</v>
      </c>
      <c r="C27">
        <v>16</v>
      </c>
      <c r="D27">
        <f>YEAR(cukier8[[#This Row],[data]])</f>
        <v>2005</v>
      </c>
      <c r="E27">
        <f>VLOOKUP(cukier8[[#This Row],[rok]],$L$2:$M$11,2,FALSE)*cukier8[[#This Row],[sprzedany_cukier]]</f>
        <v>32</v>
      </c>
    </row>
    <row r="28" spans="1:5" x14ac:dyDescent="0.25">
      <c r="A28" s="1">
        <v>38409</v>
      </c>
      <c r="B28" t="s">
        <v>22</v>
      </c>
      <c r="C28">
        <v>348</v>
      </c>
      <c r="D28">
        <f>YEAR(cukier8[[#This Row],[data]])</f>
        <v>2005</v>
      </c>
      <c r="E28">
        <f>VLOOKUP(cukier8[[#This Row],[rok]],$L$2:$M$11,2,FALSE)*cukier8[[#This Row],[sprzedany_cukier]]</f>
        <v>696</v>
      </c>
    </row>
    <row r="29" spans="1:5" x14ac:dyDescent="0.25">
      <c r="A29" s="1">
        <v>38410</v>
      </c>
      <c r="B29" t="s">
        <v>5</v>
      </c>
      <c r="C29">
        <v>336</v>
      </c>
      <c r="D29">
        <f>YEAR(cukier8[[#This Row],[data]])</f>
        <v>2005</v>
      </c>
      <c r="E29">
        <f>VLOOKUP(cukier8[[#This Row],[rok]],$L$2:$M$11,2,FALSE)*cukier8[[#This Row],[sprzedany_cukier]]</f>
        <v>672</v>
      </c>
    </row>
    <row r="30" spans="1:5" x14ac:dyDescent="0.25">
      <c r="A30" s="1">
        <v>38410</v>
      </c>
      <c r="B30" t="s">
        <v>22</v>
      </c>
      <c r="C30">
        <v>435</v>
      </c>
      <c r="D30">
        <f>YEAR(cukier8[[#This Row],[data]])</f>
        <v>2005</v>
      </c>
      <c r="E30">
        <f>VLOOKUP(cukier8[[#This Row],[rok]],$L$2:$M$11,2,FALSE)*cukier8[[#This Row],[sprzedany_cukier]]</f>
        <v>870</v>
      </c>
    </row>
    <row r="31" spans="1:5" x14ac:dyDescent="0.25">
      <c r="A31" s="1">
        <v>38410</v>
      </c>
      <c r="B31" t="s">
        <v>23</v>
      </c>
      <c r="C31">
        <v>110</v>
      </c>
      <c r="D31">
        <f>YEAR(cukier8[[#This Row],[data]])</f>
        <v>2005</v>
      </c>
      <c r="E31">
        <f>VLOOKUP(cukier8[[#This Row],[rok]],$L$2:$M$11,2,FALSE)*cukier8[[#This Row],[sprzedany_cukier]]</f>
        <v>220</v>
      </c>
    </row>
    <row r="32" spans="1:5" x14ac:dyDescent="0.25">
      <c r="A32" s="1">
        <v>38412</v>
      </c>
      <c r="B32" t="s">
        <v>24</v>
      </c>
      <c r="C32">
        <v>204</v>
      </c>
      <c r="D32">
        <f>YEAR(cukier8[[#This Row],[data]])</f>
        <v>2005</v>
      </c>
      <c r="E32">
        <f>VLOOKUP(cukier8[[#This Row],[rok]],$L$2:$M$11,2,FALSE)*cukier8[[#This Row],[sprzedany_cukier]]</f>
        <v>408</v>
      </c>
    </row>
    <row r="33" spans="1:5" x14ac:dyDescent="0.25">
      <c r="A33" s="1">
        <v>38412</v>
      </c>
      <c r="B33" t="s">
        <v>18</v>
      </c>
      <c r="C33">
        <v>20</v>
      </c>
      <c r="D33">
        <f>YEAR(cukier8[[#This Row],[data]])</f>
        <v>2005</v>
      </c>
      <c r="E33">
        <f>VLOOKUP(cukier8[[#This Row],[rok]],$L$2:$M$11,2,FALSE)*cukier8[[#This Row],[sprzedany_cukier]]</f>
        <v>40</v>
      </c>
    </row>
    <row r="34" spans="1:5" x14ac:dyDescent="0.25">
      <c r="A34" s="1">
        <v>38414</v>
      </c>
      <c r="B34" t="s">
        <v>25</v>
      </c>
      <c r="C34">
        <v>102</v>
      </c>
      <c r="D34">
        <f>YEAR(cukier8[[#This Row],[data]])</f>
        <v>2005</v>
      </c>
      <c r="E34">
        <f>VLOOKUP(cukier8[[#This Row],[rok]],$L$2:$M$11,2,FALSE)*cukier8[[#This Row],[sprzedany_cukier]]</f>
        <v>204</v>
      </c>
    </row>
    <row r="35" spans="1:5" x14ac:dyDescent="0.25">
      <c r="A35" s="1">
        <v>38416</v>
      </c>
      <c r="B35" t="s">
        <v>26</v>
      </c>
      <c r="C35">
        <v>48</v>
      </c>
      <c r="D35">
        <f>YEAR(cukier8[[#This Row],[data]])</f>
        <v>2005</v>
      </c>
      <c r="E35">
        <f>VLOOKUP(cukier8[[#This Row],[rok]],$L$2:$M$11,2,FALSE)*cukier8[[#This Row],[sprzedany_cukier]]</f>
        <v>96</v>
      </c>
    </row>
    <row r="36" spans="1:5" x14ac:dyDescent="0.25">
      <c r="A36" s="1">
        <v>38418</v>
      </c>
      <c r="B36" t="s">
        <v>22</v>
      </c>
      <c r="C36">
        <v>329</v>
      </c>
      <c r="D36">
        <f>YEAR(cukier8[[#This Row],[data]])</f>
        <v>2005</v>
      </c>
      <c r="E36">
        <f>VLOOKUP(cukier8[[#This Row],[rok]],$L$2:$M$11,2,FALSE)*cukier8[[#This Row],[sprzedany_cukier]]</f>
        <v>658</v>
      </c>
    </row>
    <row r="37" spans="1:5" x14ac:dyDescent="0.25">
      <c r="A37" s="1">
        <v>38420</v>
      </c>
      <c r="B37" t="s">
        <v>27</v>
      </c>
      <c r="C37">
        <v>16</v>
      </c>
      <c r="D37">
        <f>YEAR(cukier8[[#This Row],[data]])</f>
        <v>2005</v>
      </c>
      <c r="E37">
        <f>VLOOKUP(cukier8[[#This Row],[rok]],$L$2:$M$11,2,FALSE)*cukier8[[#This Row],[sprzedany_cukier]]</f>
        <v>32</v>
      </c>
    </row>
    <row r="38" spans="1:5" x14ac:dyDescent="0.25">
      <c r="A38" s="1">
        <v>38421</v>
      </c>
      <c r="B38" t="s">
        <v>28</v>
      </c>
      <c r="C38">
        <v>102</v>
      </c>
      <c r="D38">
        <f>YEAR(cukier8[[#This Row],[data]])</f>
        <v>2005</v>
      </c>
      <c r="E38">
        <f>VLOOKUP(cukier8[[#This Row],[rok]],$L$2:$M$11,2,FALSE)*cukier8[[#This Row],[sprzedany_cukier]]</f>
        <v>204</v>
      </c>
    </row>
    <row r="39" spans="1:5" x14ac:dyDescent="0.25">
      <c r="A39" s="1">
        <v>38421</v>
      </c>
      <c r="B39" t="s">
        <v>14</v>
      </c>
      <c r="C39">
        <v>309</v>
      </c>
      <c r="D39">
        <f>YEAR(cukier8[[#This Row],[data]])</f>
        <v>2005</v>
      </c>
      <c r="E39">
        <f>VLOOKUP(cukier8[[#This Row],[rok]],$L$2:$M$11,2,FALSE)*cukier8[[#This Row],[sprzedany_cukier]]</f>
        <v>618</v>
      </c>
    </row>
    <row r="40" spans="1:5" x14ac:dyDescent="0.25">
      <c r="A40" s="1">
        <v>38423</v>
      </c>
      <c r="B40" t="s">
        <v>5</v>
      </c>
      <c r="C40">
        <v>331</v>
      </c>
      <c r="D40">
        <f>YEAR(cukier8[[#This Row],[data]])</f>
        <v>2005</v>
      </c>
      <c r="E40">
        <f>VLOOKUP(cukier8[[#This Row],[rok]],$L$2:$M$11,2,FALSE)*cukier8[[#This Row],[sprzedany_cukier]]</f>
        <v>662</v>
      </c>
    </row>
    <row r="41" spans="1:5" x14ac:dyDescent="0.25">
      <c r="A41" s="1">
        <v>38428</v>
      </c>
      <c r="B41" t="s">
        <v>29</v>
      </c>
      <c r="C41">
        <v>3</v>
      </c>
      <c r="D41">
        <f>YEAR(cukier8[[#This Row],[data]])</f>
        <v>2005</v>
      </c>
      <c r="E41">
        <f>VLOOKUP(cukier8[[#This Row],[rok]],$L$2:$M$11,2,FALSE)*cukier8[[#This Row],[sprzedany_cukier]]</f>
        <v>6</v>
      </c>
    </row>
    <row r="42" spans="1:5" x14ac:dyDescent="0.25">
      <c r="A42" s="1">
        <v>38429</v>
      </c>
      <c r="B42" t="s">
        <v>30</v>
      </c>
      <c r="C42">
        <v>76</v>
      </c>
      <c r="D42">
        <f>YEAR(cukier8[[#This Row],[data]])</f>
        <v>2005</v>
      </c>
      <c r="E42">
        <f>VLOOKUP(cukier8[[#This Row],[rok]],$L$2:$M$11,2,FALSE)*cukier8[[#This Row],[sprzedany_cukier]]</f>
        <v>152</v>
      </c>
    </row>
    <row r="43" spans="1:5" x14ac:dyDescent="0.25">
      <c r="A43" s="1">
        <v>38429</v>
      </c>
      <c r="B43" t="s">
        <v>31</v>
      </c>
      <c r="C43">
        <v>196</v>
      </c>
      <c r="D43">
        <f>YEAR(cukier8[[#This Row],[data]])</f>
        <v>2005</v>
      </c>
      <c r="E43">
        <f>VLOOKUP(cukier8[[#This Row],[rok]],$L$2:$M$11,2,FALSE)*cukier8[[#This Row],[sprzedany_cukier]]</f>
        <v>392</v>
      </c>
    </row>
    <row r="44" spans="1:5" x14ac:dyDescent="0.25">
      <c r="A44" s="1">
        <v>38431</v>
      </c>
      <c r="B44" t="s">
        <v>18</v>
      </c>
      <c r="C44">
        <v>54</v>
      </c>
      <c r="D44">
        <f>YEAR(cukier8[[#This Row],[data]])</f>
        <v>2005</v>
      </c>
      <c r="E44">
        <f>VLOOKUP(cukier8[[#This Row],[rok]],$L$2:$M$11,2,FALSE)*cukier8[[#This Row],[sprzedany_cukier]]</f>
        <v>108</v>
      </c>
    </row>
    <row r="45" spans="1:5" x14ac:dyDescent="0.25">
      <c r="A45" s="1">
        <v>38435</v>
      </c>
      <c r="B45" t="s">
        <v>9</v>
      </c>
      <c r="C45">
        <v>277</v>
      </c>
      <c r="D45">
        <f>YEAR(cukier8[[#This Row],[data]])</f>
        <v>2005</v>
      </c>
      <c r="E45">
        <f>VLOOKUP(cukier8[[#This Row],[rok]],$L$2:$M$11,2,FALSE)*cukier8[[#This Row],[sprzedany_cukier]]</f>
        <v>554</v>
      </c>
    </row>
    <row r="46" spans="1:5" x14ac:dyDescent="0.25">
      <c r="A46" s="1">
        <v>38437</v>
      </c>
      <c r="B46" t="s">
        <v>32</v>
      </c>
      <c r="C46">
        <v>7</v>
      </c>
      <c r="D46">
        <f>YEAR(cukier8[[#This Row],[data]])</f>
        <v>2005</v>
      </c>
      <c r="E46">
        <f>VLOOKUP(cukier8[[#This Row],[rok]],$L$2:$M$11,2,FALSE)*cukier8[[#This Row],[sprzedany_cukier]]</f>
        <v>14</v>
      </c>
    </row>
    <row r="47" spans="1:5" x14ac:dyDescent="0.25">
      <c r="A47" s="1">
        <v>38439</v>
      </c>
      <c r="B47" t="s">
        <v>33</v>
      </c>
      <c r="C47">
        <v>12</v>
      </c>
      <c r="D47">
        <f>YEAR(cukier8[[#This Row],[data]])</f>
        <v>2005</v>
      </c>
      <c r="E47">
        <f>VLOOKUP(cukier8[[#This Row],[rok]],$L$2:$M$11,2,FALSE)*cukier8[[#This Row],[sprzedany_cukier]]</f>
        <v>24</v>
      </c>
    </row>
    <row r="48" spans="1:5" x14ac:dyDescent="0.25">
      <c r="A48" s="1">
        <v>38440</v>
      </c>
      <c r="B48" t="s">
        <v>34</v>
      </c>
      <c r="C48">
        <v>7</v>
      </c>
      <c r="D48">
        <f>YEAR(cukier8[[#This Row],[data]])</f>
        <v>2005</v>
      </c>
      <c r="E48">
        <f>VLOOKUP(cukier8[[#This Row],[rok]],$L$2:$M$11,2,FALSE)*cukier8[[#This Row],[sprzedany_cukier]]</f>
        <v>14</v>
      </c>
    </row>
    <row r="49" spans="1:5" x14ac:dyDescent="0.25">
      <c r="A49" s="1">
        <v>38442</v>
      </c>
      <c r="B49" t="s">
        <v>7</v>
      </c>
      <c r="C49">
        <v>416</v>
      </c>
      <c r="D49">
        <f>YEAR(cukier8[[#This Row],[data]])</f>
        <v>2005</v>
      </c>
      <c r="E49">
        <f>VLOOKUP(cukier8[[#This Row],[rok]],$L$2:$M$11,2,FALSE)*cukier8[[#This Row],[sprzedany_cukier]]</f>
        <v>832</v>
      </c>
    </row>
    <row r="50" spans="1:5" x14ac:dyDescent="0.25">
      <c r="A50" s="1">
        <v>38445</v>
      </c>
      <c r="B50" t="s">
        <v>7</v>
      </c>
      <c r="C50">
        <v>263</v>
      </c>
      <c r="D50">
        <f>YEAR(cukier8[[#This Row],[data]])</f>
        <v>2005</v>
      </c>
      <c r="E50">
        <f>VLOOKUP(cukier8[[#This Row],[rok]],$L$2:$M$11,2,FALSE)*cukier8[[#This Row],[sprzedany_cukier]]</f>
        <v>526</v>
      </c>
    </row>
    <row r="51" spans="1:5" x14ac:dyDescent="0.25">
      <c r="A51" s="1">
        <v>38448</v>
      </c>
      <c r="B51" t="s">
        <v>1</v>
      </c>
      <c r="C51">
        <v>15</v>
      </c>
      <c r="D51">
        <f>YEAR(cukier8[[#This Row],[data]])</f>
        <v>2005</v>
      </c>
      <c r="E51">
        <f>VLOOKUP(cukier8[[#This Row],[rok]],$L$2:$M$11,2,FALSE)*cukier8[[#This Row],[sprzedany_cukier]]</f>
        <v>30</v>
      </c>
    </row>
    <row r="52" spans="1:5" x14ac:dyDescent="0.25">
      <c r="A52" s="1">
        <v>38452</v>
      </c>
      <c r="B52" t="s">
        <v>25</v>
      </c>
      <c r="C52">
        <v>194</v>
      </c>
      <c r="D52">
        <f>YEAR(cukier8[[#This Row],[data]])</f>
        <v>2005</v>
      </c>
      <c r="E52">
        <f>VLOOKUP(cukier8[[#This Row],[rok]],$L$2:$M$11,2,FALSE)*cukier8[[#This Row],[sprzedany_cukier]]</f>
        <v>388</v>
      </c>
    </row>
    <row r="53" spans="1:5" x14ac:dyDescent="0.25">
      <c r="A53" s="1">
        <v>38453</v>
      </c>
      <c r="B53" t="s">
        <v>35</v>
      </c>
      <c r="C53">
        <v>120</v>
      </c>
      <c r="D53">
        <f>YEAR(cukier8[[#This Row],[data]])</f>
        <v>2005</v>
      </c>
      <c r="E53">
        <f>VLOOKUP(cukier8[[#This Row],[rok]],$L$2:$M$11,2,FALSE)*cukier8[[#This Row],[sprzedany_cukier]]</f>
        <v>240</v>
      </c>
    </row>
    <row r="54" spans="1:5" x14ac:dyDescent="0.25">
      <c r="A54" s="1">
        <v>38454</v>
      </c>
      <c r="B54" t="s">
        <v>7</v>
      </c>
      <c r="C54">
        <v>175</v>
      </c>
      <c r="D54">
        <f>YEAR(cukier8[[#This Row],[data]])</f>
        <v>2005</v>
      </c>
      <c r="E54">
        <f>VLOOKUP(cukier8[[#This Row],[rok]],$L$2:$M$11,2,FALSE)*cukier8[[#This Row],[sprzedany_cukier]]</f>
        <v>350</v>
      </c>
    </row>
    <row r="55" spans="1:5" x14ac:dyDescent="0.25">
      <c r="A55" s="1">
        <v>38456</v>
      </c>
      <c r="B55" t="s">
        <v>36</v>
      </c>
      <c r="C55">
        <v>12</v>
      </c>
      <c r="D55">
        <f>YEAR(cukier8[[#This Row],[data]])</f>
        <v>2005</v>
      </c>
      <c r="E55">
        <f>VLOOKUP(cukier8[[#This Row],[rok]],$L$2:$M$11,2,FALSE)*cukier8[[#This Row],[sprzedany_cukier]]</f>
        <v>24</v>
      </c>
    </row>
    <row r="56" spans="1:5" x14ac:dyDescent="0.25">
      <c r="A56" s="1">
        <v>38457</v>
      </c>
      <c r="B56" t="s">
        <v>37</v>
      </c>
      <c r="C56">
        <v>174</v>
      </c>
      <c r="D56">
        <f>YEAR(cukier8[[#This Row],[data]])</f>
        <v>2005</v>
      </c>
      <c r="E56">
        <f>VLOOKUP(cukier8[[#This Row],[rok]],$L$2:$M$11,2,FALSE)*cukier8[[#This Row],[sprzedany_cukier]]</f>
        <v>348</v>
      </c>
    </row>
    <row r="57" spans="1:5" x14ac:dyDescent="0.25">
      <c r="A57" s="1">
        <v>38458</v>
      </c>
      <c r="B57" t="s">
        <v>38</v>
      </c>
      <c r="C57">
        <v>3</v>
      </c>
      <c r="D57">
        <f>YEAR(cukier8[[#This Row],[data]])</f>
        <v>2005</v>
      </c>
      <c r="E57">
        <f>VLOOKUP(cukier8[[#This Row],[rok]],$L$2:$M$11,2,FALSE)*cukier8[[#This Row],[sprzedany_cukier]]</f>
        <v>6</v>
      </c>
    </row>
    <row r="58" spans="1:5" x14ac:dyDescent="0.25">
      <c r="A58" s="1">
        <v>38459</v>
      </c>
      <c r="B58" t="s">
        <v>39</v>
      </c>
      <c r="C58">
        <v>149</v>
      </c>
      <c r="D58">
        <f>YEAR(cukier8[[#This Row],[data]])</f>
        <v>2005</v>
      </c>
      <c r="E58">
        <f>VLOOKUP(cukier8[[#This Row],[rok]],$L$2:$M$11,2,FALSE)*cukier8[[#This Row],[sprzedany_cukier]]</f>
        <v>298</v>
      </c>
    </row>
    <row r="59" spans="1:5" x14ac:dyDescent="0.25">
      <c r="A59" s="1">
        <v>38460</v>
      </c>
      <c r="B59" t="s">
        <v>17</v>
      </c>
      <c r="C59">
        <v>492</v>
      </c>
      <c r="D59">
        <f>YEAR(cukier8[[#This Row],[data]])</f>
        <v>2005</v>
      </c>
      <c r="E59">
        <f>VLOOKUP(cukier8[[#This Row],[rok]],$L$2:$M$11,2,FALSE)*cukier8[[#This Row],[sprzedany_cukier]]</f>
        <v>984</v>
      </c>
    </row>
    <row r="60" spans="1:5" x14ac:dyDescent="0.25">
      <c r="A60" s="1">
        <v>38460</v>
      </c>
      <c r="B60" t="s">
        <v>40</v>
      </c>
      <c r="C60">
        <v>2</v>
      </c>
      <c r="D60">
        <f>YEAR(cukier8[[#This Row],[data]])</f>
        <v>2005</v>
      </c>
      <c r="E60">
        <f>VLOOKUP(cukier8[[#This Row],[rok]],$L$2:$M$11,2,FALSE)*cukier8[[#This Row],[sprzedany_cukier]]</f>
        <v>4</v>
      </c>
    </row>
    <row r="61" spans="1:5" x14ac:dyDescent="0.25">
      <c r="A61" s="1">
        <v>38461</v>
      </c>
      <c r="B61" t="s">
        <v>14</v>
      </c>
      <c r="C61">
        <v>298</v>
      </c>
      <c r="D61">
        <f>YEAR(cukier8[[#This Row],[data]])</f>
        <v>2005</v>
      </c>
      <c r="E61">
        <f>VLOOKUP(cukier8[[#This Row],[rok]],$L$2:$M$11,2,FALSE)*cukier8[[#This Row],[sprzedany_cukier]]</f>
        <v>596</v>
      </c>
    </row>
    <row r="62" spans="1:5" x14ac:dyDescent="0.25">
      <c r="A62" s="1">
        <v>38472</v>
      </c>
      <c r="B62" t="s">
        <v>17</v>
      </c>
      <c r="C62">
        <v>201</v>
      </c>
      <c r="D62">
        <f>YEAR(cukier8[[#This Row],[data]])</f>
        <v>2005</v>
      </c>
      <c r="E62">
        <f>VLOOKUP(cukier8[[#This Row],[rok]],$L$2:$M$11,2,FALSE)*cukier8[[#This Row],[sprzedany_cukier]]</f>
        <v>402</v>
      </c>
    </row>
    <row r="63" spans="1:5" x14ac:dyDescent="0.25">
      <c r="A63" s="1">
        <v>38473</v>
      </c>
      <c r="B63" t="s">
        <v>41</v>
      </c>
      <c r="C63">
        <v>15</v>
      </c>
      <c r="D63">
        <f>YEAR(cukier8[[#This Row],[data]])</f>
        <v>2005</v>
      </c>
      <c r="E63">
        <f>VLOOKUP(cukier8[[#This Row],[rok]],$L$2:$M$11,2,FALSE)*cukier8[[#This Row],[sprzedany_cukier]]</f>
        <v>30</v>
      </c>
    </row>
    <row r="64" spans="1:5" x14ac:dyDescent="0.25">
      <c r="A64" s="1">
        <v>38473</v>
      </c>
      <c r="B64" t="s">
        <v>14</v>
      </c>
      <c r="C64">
        <v>319</v>
      </c>
      <c r="D64">
        <f>YEAR(cukier8[[#This Row],[data]])</f>
        <v>2005</v>
      </c>
      <c r="E64">
        <f>VLOOKUP(cukier8[[#This Row],[rok]],$L$2:$M$11,2,FALSE)*cukier8[[#This Row],[sprzedany_cukier]]</f>
        <v>638</v>
      </c>
    </row>
    <row r="65" spans="1:5" x14ac:dyDescent="0.25">
      <c r="A65" s="1">
        <v>38474</v>
      </c>
      <c r="B65" t="s">
        <v>42</v>
      </c>
      <c r="C65">
        <v>9</v>
      </c>
      <c r="D65">
        <f>YEAR(cukier8[[#This Row],[data]])</f>
        <v>2005</v>
      </c>
      <c r="E65">
        <f>VLOOKUP(cukier8[[#This Row],[rok]],$L$2:$M$11,2,FALSE)*cukier8[[#This Row],[sprzedany_cukier]]</f>
        <v>18</v>
      </c>
    </row>
    <row r="66" spans="1:5" x14ac:dyDescent="0.25">
      <c r="A66" s="1">
        <v>38476</v>
      </c>
      <c r="B66" t="s">
        <v>43</v>
      </c>
      <c r="C66">
        <v>15</v>
      </c>
      <c r="D66">
        <f>YEAR(cukier8[[#This Row],[data]])</f>
        <v>2005</v>
      </c>
      <c r="E66">
        <f>VLOOKUP(cukier8[[#This Row],[rok]],$L$2:$M$11,2,FALSE)*cukier8[[#This Row],[sprzedany_cukier]]</f>
        <v>30</v>
      </c>
    </row>
    <row r="67" spans="1:5" x14ac:dyDescent="0.25">
      <c r="A67" s="1">
        <v>38479</v>
      </c>
      <c r="B67" t="s">
        <v>22</v>
      </c>
      <c r="C67">
        <v>444</v>
      </c>
      <c r="D67">
        <f>YEAR(cukier8[[#This Row],[data]])</f>
        <v>2005</v>
      </c>
      <c r="E67">
        <f>VLOOKUP(cukier8[[#This Row],[rok]],$L$2:$M$11,2,FALSE)*cukier8[[#This Row],[sprzedany_cukier]]</f>
        <v>888</v>
      </c>
    </row>
    <row r="68" spans="1:5" x14ac:dyDescent="0.25">
      <c r="A68" s="1">
        <v>38479</v>
      </c>
      <c r="B68" t="s">
        <v>44</v>
      </c>
      <c r="C68">
        <v>13</v>
      </c>
      <c r="D68">
        <f>YEAR(cukier8[[#This Row],[data]])</f>
        <v>2005</v>
      </c>
      <c r="E68">
        <f>VLOOKUP(cukier8[[#This Row],[rok]],$L$2:$M$11,2,FALSE)*cukier8[[#This Row],[sprzedany_cukier]]</f>
        <v>26</v>
      </c>
    </row>
    <row r="69" spans="1:5" x14ac:dyDescent="0.25">
      <c r="A69" s="1">
        <v>38481</v>
      </c>
      <c r="B69" t="s">
        <v>45</v>
      </c>
      <c r="C69">
        <v>366</v>
      </c>
      <c r="D69">
        <f>YEAR(cukier8[[#This Row],[data]])</f>
        <v>2005</v>
      </c>
      <c r="E69">
        <f>VLOOKUP(cukier8[[#This Row],[rok]],$L$2:$M$11,2,FALSE)*cukier8[[#This Row],[sprzedany_cukier]]</f>
        <v>732</v>
      </c>
    </row>
    <row r="70" spans="1:5" x14ac:dyDescent="0.25">
      <c r="A70" s="1">
        <v>38492</v>
      </c>
      <c r="B70" t="s">
        <v>9</v>
      </c>
      <c r="C70">
        <v>259</v>
      </c>
      <c r="D70">
        <f>YEAR(cukier8[[#This Row],[data]])</f>
        <v>2005</v>
      </c>
      <c r="E70">
        <f>VLOOKUP(cukier8[[#This Row],[rok]],$L$2:$M$11,2,FALSE)*cukier8[[#This Row],[sprzedany_cukier]]</f>
        <v>518</v>
      </c>
    </row>
    <row r="71" spans="1:5" x14ac:dyDescent="0.25">
      <c r="A71" s="1">
        <v>38493</v>
      </c>
      <c r="B71" t="s">
        <v>46</v>
      </c>
      <c r="C71">
        <v>16</v>
      </c>
      <c r="D71">
        <f>YEAR(cukier8[[#This Row],[data]])</f>
        <v>2005</v>
      </c>
      <c r="E71">
        <f>VLOOKUP(cukier8[[#This Row],[rok]],$L$2:$M$11,2,FALSE)*cukier8[[#This Row],[sprzedany_cukier]]</f>
        <v>32</v>
      </c>
    </row>
    <row r="72" spans="1:5" x14ac:dyDescent="0.25">
      <c r="A72" s="1">
        <v>38496</v>
      </c>
      <c r="B72" t="s">
        <v>28</v>
      </c>
      <c r="C72">
        <v>49</v>
      </c>
      <c r="D72">
        <f>YEAR(cukier8[[#This Row],[data]])</f>
        <v>2005</v>
      </c>
      <c r="E72">
        <f>VLOOKUP(cukier8[[#This Row],[rok]],$L$2:$M$11,2,FALSE)*cukier8[[#This Row],[sprzedany_cukier]]</f>
        <v>98</v>
      </c>
    </row>
    <row r="73" spans="1:5" x14ac:dyDescent="0.25">
      <c r="A73" s="1">
        <v>38497</v>
      </c>
      <c r="B73" t="s">
        <v>47</v>
      </c>
      <c r="C73">
        <v>3</v>
      </c>
      <c r="D73">
        <f>YEAR(cukier8[[#This Row],[data]])</f>
        <v>2005</v>
      </c>
      <c r="E73">
        <f>VLOOKUP(cukier8[[#This Row],[rok]],$L$2:$M$11,2,FALSE)*cukier8[[#This Row],[sprzedany_cukier]]</f>
        <v>6</v>
      </c>
    </row>
    <row r="74" spans="1:5" x14ac:dyDescent="0.25">
      <c r="A74" s="1">
        <v>38497</v>
      </c>
      <c r="B74" t="s">
        <v>22</v>
      </c>
      <c r="C74">
        <v>251</v>
      </c>
      <c r="D74">
        <f>YEAR(cukier8[[#This Row],[data]])</f>
        <v>2005</v>
      </c>
      <c r="E74">
        <f>VLOOKUP(cukier8[[#This Row],[rok]],$L$2:$M$11,2,FALSE)*cukier8[[#This Row],[sprzedany_cukier]]</f>
        <v>502</v>
      </c>
    </row>
    <row r="75" spans="1:5" x14ac:dyDescent="0.25">
      <c r="A75" s="1">
        <v>38499</v>
      </c>
      <c r="B75" t="s">
        <v>30</v>
      </c>
      <c r="C75">
        <v>179</v>
      </c>
      <c r="D75">
        <f>YEAR(cukier8[[#This Row],[data]])</f>
        <v>2005</v>
      </c>
      <c r="E75">
        <f>VLOOKUP(cukier8[[#This Row],[rok]],$L$2:$M$11,2,FALSE)*cukier8[[#This Row],[sprzedany_cukier]]</f>
        <v>358</v>
      </c>
    </row>
    <row r="76" spans="1:5" x14ac:dyDescent="0.25">
      <c r="A76" s="1">
        <v>38501</v>
      </c>
      <c r="B76" t="s">
        <v>10</v>
      </c>
      <c r="C76">
        <v>116</v>
      </c>
      <c r="D76">
        <f>YEAR(cukier8[[#This Row],[data]])</f>
        <v>2005</v>
      </c>
      <c r="E76">
        <f>VLOOKUP(cukier8[[#This Row],[rok]],$L$2:$M$11,2,FALSE)*cukier8[[#This Row],[sprzedany_cukier]]</f>
        <v>232</v>
      </c>
    </row>
    <row r="77" spans="1:5" x14ac:dyDescent="0.25">
      <c r="A77" s="1">
        <v>38501</v>
      </c>
      <c r="B77" t="s">
        <v>48</v>
      </c>
      <c r="C77">
        <v>13</v>
      </c>
      <c r="D77">
        <f>YEAR(cukier8[[#This Row],[data]])</f>
        <v>2005</v>
      </c>
      <c r="E77">
        <f>VLOOKUP(cukier8[[#This Row],[rok]],$L$2:$M$11,2,FALSE)*cukier8[[#This Row],[sprzedany_cukier]]</f>
        <v>26</v>
      </c>
    </row>
    <row r="78" spans="1:5" x14ac:dyDescent="0.25">
      <c r="A78" s="1">
        <v>38503</v>
      </c>
      <c r="B78" t="s">
        <v>49</v>
      </c>
      <c r="C78">
        <v>3</v>
      </c>
      <c r="D78">
        <f>YEAR(cukier8[[#This Row],[data]])</f>
        <v>2005</v>
      </c>
      <c r="E78">
        <f>VLOOKUP(cukier8[[#This Row],[rok]],$L$2:$M$11,2,FALSE)*cukier8[[#This Row],[sprzedany_cukier]]</f>
        <v>6</v>
      </c>
    </row>
    <row r="79" spans="1:5" x14ac:dyDescent="0.25">
      <c r="A79" s="1">
        <v>38503</v>
      </c>
      <c r="B79" t="s">
        <v>50</v>
      </c>
      <c r="C79">
        <v>253</v>
      </c>
      <c r="D79">
        <f>YEAR(cukier8[[#This Row],[data]])</f>
        <v>2005</v>
      </c>
      <c r="E79">
        <f>VLOOKUP(cukier8[[#This Row],[rok]],$L$2:$M$11,2,FALSE)*cukier8[[#This Row],[sprzedany_cukier]]</f>
        <v>506</v>
      </c>
    </row>
    <row r="80" spans="1:5" x14ac:dyDescent="0.25">
      <c r="A80" s="1">
        <v>38510</v>
      </c>
      <c r="B80" t="s">
        <v>23</v>
      </c>
      <c r="C80">
        <v>83</v>
      </c>
      <c r="D80">
        <f>YEAR(cukier8[[#This Row],[data]])</f>
        <v>2005</v>
      </c>
      <c r="E80">
        <f>VLOOKUP(cukier8[[#This Row],[rok]],$L$2:$M$11,2,FALSE)*cukier8[[#This Row],[sprzedany_cukier]]</f>
        <v>166</v>
      </c>
    </row>
    <row r="81" spans="1:5" x14ac:dyDescent="0.25">
      <c r="A81" s="1">
        <v>38512</v>
      </c>
      <c r="B81" t="s">
        <v>18</v>
      </c>
      <c r="C81">
        <v>177</v>
      </c>
      <c r="D81">
        <f>YEAR(cukier8[[#This Row],[data]])</f>
        <v>2005</v>
      </c>
      <c r="E81">
        <f>VLOOKUP(cukier8[[#This Row],[rok]],$L$2:$M$11,2,FALSE)*cukier8[[#This Row],[sprzedany_cukier]]</f>
        <v>354</v>
      </c>
    </row>
    <row r="82" spans="1:5" x14ac:dyDescent="0.25">
      <c r="A82" s="1">
        <v>38512</v>
      </c>
      <c r="B82" t="s">
        <v>51</v>
      </c>
      <c r="C82">
        <v>7</v>
      </c>
      <c r="D82">
        <f>YEAR(cukier8[[#This Row],[data]])</f>
        <v>2005</v>
      </c>
      <c r="E82">
        <f>VLOOKUP(cukier8[[#This Row],[rok]],$L$2:$M$11,2,FALSE)*cukier8[[#This Row],[sprzedany_cukier]]</f>
        <v>14</v>
      </c>
    </row>
    <row r="83" spans="1:5" x14ac:dyDescent="0.25">
      <c r="A83" s="1">
        <v>38513</v>
      </c>
      <c r="B83" t="s">
        <v>52</v>
      </c>
      <c r="C83">
        <v>46</v>
      </c>
      <c r="D83">
        <f>YEAR(cukier8[[#This Row],[data]])</f>
        <v>2005</v>
      </c>
      <c r="E83">
        <f>VLOOKUP(cukier8[[#This Row],[rok]],$L$2:$M$11,2,FALSE)*cukier8[[#This Row],[sprzedany_cukier]]</f>
        <v>92</v>
      </c>
    </row>
    <row r="84" spans="1:5" x14ac:dyDescent="0.25">
      <c r="A84" s="1">
        <v>38514</v>
      </c>
      <c r="B84" t="s">
        <v>53</v>
      </c>
      <c r="C84">
        <v>2</v>
      </c>
      <c r="D84">
        <f>YEAR(cukier8[[#This Row],[data]])</f>
        <v>2005</v>
      </c>
      <c r="E84">
        <f>VLOOKUP(cukier8[[#This Row],[rok]],$L$2:$M$11,2,FALSE)*cukier8[[#This Row],[sprzedany_cukier]]</f>
        <v>4</v>
      </c>
    </row>
    <row r="85" spans="1:5" x14ac:dyDescent="0.25">
      <c r="A85" s="1">
        <v>38515</v>
      </c>
      <c r="B85" t="s">
        <v>3</v>
      </c>
      <c r="C85">
        <v>9</v>
      </c>
      <c r="D85">
        <f>YEAR(cukier8[[#This Row],[data]])</f>
        <v>2005</v>
      </c>
      <c r="E85">
        <f>VLOOKUP(cukier8[[#This Row],[rok]],$L$2:$M$11,2,FALSE)*cukier8[[#This Row],[sprzedany_cukier]]</f>
        <v>18</v>
      </c>
    </row>
    <row r="86" spans="1:5" x14ac:dyDescent="0.25">
      <c r="A86" s="1">
        <v>38517</v>
      </c>
      <c r="B86" t="s">
        <v>54</v>
      </c>
      <c r="C86">
        <v>3</v>
      </c>
      <c r="D86">
        <f>YEAR(cukier8[[#This Row],[data]])</f>
        <v>2005</v>
      </c>
      <c r="E86">
        <f>VLOOKUP(cukier8[[#This Row],[rok]],$L$2:$M$11,2,FALSE)*cukier8[[#This Row],[sprzedany_cukier]]</f>
        <v>6</v>
      </c>
    </row>
    <row r="87" spans="1:5" x14ac:dyDescent="0.25">
      <c r="A87" s="1">
        <v>38517</v>
      </c>
      <c r="B87" t="s">
        <v>55</v>
      </c>
      <c r="C87">
        <v>67</v>
      </c>
      <c r="D87">
        <f>YEAR(cukier8[[#This Row],[data]])</f>
        <v>2005</v>
      </c>
      <c r="E87">
        <f>VLOOKUP(cukier8[[#This Row],[rok]],$L$2:$M$11,2,FALSE)*cukier8[[#This Row],[sprzedany_cukier]]</f>
        <v>134</v>
      </c>
    </row>
    <row r="88" spans="1:5" x14ac:dyDescent="0.25">
      <c r="A88" s="1">
        <v>38517</v>
      </c>
      <c r="B88" t="s">
        <v>45</v>
      </c>
      <c r="C88">
        <v>425</v>
      </c>
      <c r="D88">
        <f>YEAR(cukier8[[#This Row],[data]])</f>
        <v>2005</v>
      </c>
      <c r="E88">
        <f>VLOOKUP(cukier8[[#This Row],[rok]],$L$2:$M$11,2,FALSE)*cukier8[[#This Row],[sprzedany_cukier]]</f>
        <v>850</v>
      </c>
    </row>
    <row r="89" spans="1:5" x14ac:dyDescent="0.25">
      <c r="A89" s="1">
        <v>38518</v>
      </c>
      <c r="B89" t="s">
        <v>5</v>
      </c>
      <c r="C89">
        <v>453</v>
      </c>
      <c r="D89">
        <f>YEAR(cukier8[[#This Row],[data]])</f>
        <v>2005</v>
      </c>
      <c r="E89">
        <f>VLOOKUP(cukier8[[#This Row],[rok]],$L$2:$M$11,2,FALSE)*cukier8[[#This Row],[sprzedany_cukier]]</f>
        <v>906</v>
      </c>
    </row>
    <row r="90" spans="1:5" x14ac:dyDescent="0.25">
      <c r="A90" s="1">
        <v>38523</v>
      </c>
      <c r="B90" t="s">
        <v>22</v>
      </c>
      <c r="C90">
        <v>212</v>
      </c>
      <c r="D90">
        <f>YEAR(cukier8[[#This Row],[data]])</f>
        <v>2005</v>
      </c>
      <c r="E90">
        <f>VLOOKUP(cukier8[[#This Row],[rok]],$L$2:$M$11,2,FALSE)*cukier8[[#This Row],[sprzedany_cukier]]</f>
        <v>424</v>
      </c>
    </row>
    <row r="91" spans="1:5" x14ac:dyDescent="0.25">
      <c r="A91" s="1">
        <v>38525</v>
      </c>
      <c r="B91" t="s">
        <v>56</v>
      </c>
      <c r="C91">
        <v>19</v>
      </c>
      <c r="D91">
        <f>YEAR(cukier8[[#This Row],[data]])</f>
        <v>2005</v>
      </c>
      <c r="E91">
        <f>VLOOKUP(cukier8[[#This Row],[rok]],$L$2:$M$11,2,FALSE)*cukier8[[#This Row],[sprzedany_cukier]]</f>
        <v>38</v>
      </c>
    </row>
    <row r="92" spans="1:5" x14ac:dyDescent="0.25">
      <c r="A92" s="1">
        <v>38526</v>
      </c>
      <c r="B92" t="s">
        <v>6</v>
      </c>
      <c r="C92">
        <v>81</v>
      </c>
      <c r="D92">
        <f>YEAR(cukier8[[#This Row],[data]])</f>
        <v>2005</v>
      </c>
      <c r="E92">
        <f>VLOOKUP(cukier8[[#This Row],[rok]],$L$2:$M$11,2,FALSE)*cukier8[[#This Row],[sprzedany_cukier]]</f>
        <v>162</v>
      </c>
    </row>
    <row r="93" spans="1:5" x14ac:dyDescent="0.25">
      <c r="A93" s="1">
        <v>38528</v>
      </c>
      <c r="B93" t="s">
        <v>57</v>
      </c>
      <c r="C93">
        <v>7</v>
      </c>
      <c r="D93">
        <f>YEAR(cukier8[[#This Row],[data]])</f>
        <v>2005</v>
      </c>
      <c r="E93">
        <f>VLOOKUP(cukier8[[#This Row],[rok]],$L$2:$M$11,2,FALSE)*cukier8[[#This Row],[sprzedany_cukier]]</f>
        <v>14</v>
      </c>
    </row>
    <row r="94" spans="1:5" x14ac:dyDescent="0.25">
      <c r="A94" s="1">
        <v>38529</v>
      </c>
      <c r="B94" t="s">
        <v>58</v>
      </c>
      <c r="C94">
        <v>179</v>
      </c>
      <c r="D94">
        <f>YEAR(cukier8[[#This Row],[data]])</f>
        <v>2005</v>
      </c>
      <c r="E94">
        <f>VLOOKUP(cukier8[[#This Row],[rok]],$L$2:$M$11,2,FALSE)*cukier8[[#This Row],[sprzedany_cukier]]</f>
        <v>358</v>
      </c>
    </row>
    <row r="95" spans="1:5" x14ac:dyDescent="0.25">
      <c r="A95" s="1">
        <v>38531</v>
      </c>
      <c r="B95" t="s">
        <v>14</v>
      </c>
      <c r="C95">
        <v>222</v>
      </c>
      <c r="D95">
        <f>YEAR(cukier8[[#This Row],[data]])</f>
        <v>2005</v>
      </c>
      <c r="E95">
        <f>VLOOKUP(cukier8[[#This Row],[rok]],$L$2:$M$11,2,FALSE)*cukier8[[#This Row],[sprzedany_cukier]]</f>
        <v>444</v>
      </c>
    </row>
    <row r="96" spans="1:5" x14ac:dyDescent="0.25">
      <c r="A96" s="1">
        <v>38532</v>
      </c>
      <c r="B96" t="s">
        <v>59</v>
      </c>
      <c r="C96">
        <v>14</v>
      </c>
      <c r="D96">
        <f>YEAR(cukier8[[#This Row],[data]])</f>
        <v>2005</v>
      </c>
      <c r="E96">
        <f>VLOOKUP(cukier8[[#This Row],[rok]],$L$2:$M$11,2,FALSE)*cukier8[[#This Row],[sprzedany_cukier]]</f>
        <v>28</v>
      </c>
    </row>
    <row r="97" spans="1:5" x14ac:dyDescent="0.25">
      <c r="A97" s="1">
        <v>38534</v>
      </c>
      <c r="B97" t="s">
        <v>60</v>
      </c>
      <c r="C97">
        <v>15</v>
      </c>
      <c r="D97">
        <f>YEAR(cukier8[[#This Row],[data]])</f>
        <v>2005</v>
      </c>
      <c r="E97">
        <f>VLOOKUP(cukier8[[#This Row],[rok]],$L$2:$M$11,2,FALSE)*cukier8[[#This Row],[sprzedany_cukier]]</f>
        <v>30</v>
      </c>
    </row>
    <row r="98" spans="1:5" x14ac:dyDescent="0.25">
      <c r="A98" s="1">
        <v>38536</v>
      </c>
      <c r="B98" t="s">
        <v>61</v>
      </c>
      <c r="C98">
        <v>97</v>
      </c>
      <c r="D98">
        <f>YEAR(cukier8[[#This Row],[data]])</f>
        <v>2005</v>
      </c>
      <c r="E98">
        <f>VLOOKUP(cukier8[[#This Row],[rok]],$L$2:$M$11,2,FALSE)*cukier8[[#This Row],[sprzedany_cukier]]</f>
        <v>194</v>
      </c>
    </row>
    <row r="99" spans="1:5" x14ac:dyDescent="0.25">
      <c r="A99" s="1">
        <v>38542</v>
      </c>
      <c r="B99" t="s">
        <v>20</v>
      </c>
      <c r="C99">
        <v>142</v>
      </c>
      <c r="D99">
        <f>YEAR(cukier8[[#This Row],[data]])</f>
        <v>2005</v>
      </c>
      <c r="E99">
        <f>VLOOKUP(cukier8[[#This Row],[rok]],$L$2:$M$11,2,FALSE)*cukier8[[#This Row],[sprzedany_cukier]]</f>
        <v>284</v>
      </c>
    </row>
    <row r="100" spans="1:5" x14ac:dyDescent="0.25">
      <c r="A100" s="1">
        <v>38546</v>
      </c>
      <c r="B100" t="s">
        <v>45</v>
      </c>
      <c r="C100">
        <v>214</v>
      </c>
      <c r="D100">
        <f>YEAR(cukier8[[#This Row],[data]])</f>
        <v>2005</v>
      </c>
      <c r="E100">
        <f>VLOOKUP(cukier8[[#This Row],[rok]],$L$2:$M$11,2,FALSE)*cukier8[[#This Row],[sprzedany_cukier]]</f>
        <v>428</v>
      </c>
    </row>
    <row r="101" spans="1:5" x14ac:dyDescent="0.25">
      <c r="A101" s="1">
        <v>38546</v>
      </c>
      <c r="B101" t="s">
        <v>14</v>
      </c>
      <c r="C101">
        <v>408</v>
      </c>
      <c r="D101">
        <f>YEAR(cukier8[[#This Row],[data]])</f>
        <v>2005</v>
      </c>
      <c r="E101">
        <f>VLOOKUP(cukier8[[#This Row],[rok]],$L$2:$M$11,2,FALSE)*cukier8[[#This Row],[sprzedany_cukier]]</f>
        <v>816</v>
      </c>
    </row>
    <row r="102" spans="1:5" x14ac:dyDescent="0.25">
      <c r="A102" s="1">
        <v>38547</v>
      </c>
      <c r="B102" t="s">
        <v>12</v>
      </c>
      <c r="C102">
        <v>144</v>
      </c>
      <c r="D102">
        <f>YEAR(cukier8[[#This Row],[data]])</f>
        <v>2005</v>
      </c>
      <c r="E102">
        <f>VLOOKUP(cukier8[[#This Row],[rok]],$L$2:$M$11,2,FALSE)*cukier8[[#This Row],[sprzedany_cukier]]</f>
        <v>288</v>
      </c>
    </row>
    <row r="103" spans="1:5" x14ac:dyDescent="0.25">
      <c r="A103" s="1">
        <v>38547</v>
      </c>
      <c r="B103" t="s">
        <v>6</v>
      </c>
      <c r="C103">
        <v>173</v>
      </c>
      <c r="D103">
        <f>YEAR(cukier8[[#This Row],[data]])</f>
        <v>2005</v>
      </c>
      <c r="E103">
        <f>VLOOKUP(cukier8[[#This Row],[rok]],$L$2:$M$11,2,FALSE)*cukier8[[#This Row],[sprzedany_cukier]]</f>
        <v>346</v>
      </c>
    </row>
    <row r="104" spans="1:5" x14ac:dyDescent="0.25">
      <c r="A104" s="1">
        <v>38549</v>
      </c>
      <c r="B104" t="s">
        <v>62</v>
      </c>
      <c r="C104">
        <v>15</v>
      </c>
      <c r="D104">
        <f>YEAR(cukier8[[#This Row],[data]])</f>
        <v>2005</v>
      </c>
      <c r="E104">
        <f>VLOOKUP(cukier8[[#This Row],[rok]],$L$2:$M$11,2,FALSE)*cukier8[[#This Row],[sprzedany_cukier]]</f>
        <v>30</v>
      </c>
    </row>
    <row r="105" spans="1:5" x14ac:dyDescent="0.25">
      <c r="A105" s="1">
        <v>38551</v>
      </c>
      <c r="B105" t="s">
        <v>50</v>
      </c>
      <c r="C105">
        <v>433</v>
      </c>
      <c r="D105">
        <f>YEAR(cukier8[[#This Row],[data]])</f>
        <v>2005</v>
      </c>
      <c r="E105">
        <f>VLOOKUP(cukier8[[#This Row],[rok]],$L$2:$M$11,2,FALSE)*cukier8[[#This Row],[sprzedany_cukier]]</f>
        <v>866</v>
      </c>
    </row>
    <row r="106" spans="1:5" x14ac:dyDescent="0.25">
      <c r="A106" s="1">
        <v>38555</v>
      </c>
      <c r="B106" t="s">
        <v>63</v>
      </c>
      <c r="C106">
        <v>137</v>
      </c>
      <c r="D106">
        <f>YEAR(cukier8[[#This Row],[data]])</f>
        <v>2005</v>
      </c>
      <c r="E106">
        <f>VLOOKUP(cukier8[[#This Row],[rok]],$L$2:$M$11,2,FALSE)*cukier8[[#This Row],[sprzedany_cukier]]</f>
        <v>274</v>
      </c>
    </row>
    <row r="107" spans="1:5" x14ac:dyDescent="0.25">
      <c r="A107" s="1">
        <v>38558</v>
      </c>
      <c r="B107" t="s">
        <v>50</v>
      </c>
      <c r="C107">
        <v>118</v>
      </c>
      <c r="D107">
        <f>YEAR(cukier8[[#This Row],[data]])</f>
        <v>2005</v>
      </c>
      <c r="E107">
        <f>VLOOKUP(cukier8[[#This Row],[rok]],$L$2:$M$11,2,FALSE)*cukier8[[#This Row],[sprzedany_cukier]]</f>
        <v>236</v>
      </c>
    </row>
    <row r="108" spans="1:5" x14ac:dyDescent="0.25">
      <c r="A108" s="1">
        <v>38558</v>
      </c>
      <c r="B108" t="s">
        <v>9</v>
      </c>
      <c r="C108">
        <v>158</v>
      </c>
      <c r="D108">
        <f>YEAR(cukier8[[#This Row],[data]])</f>
        <v>2005</v>
      </c>
      <c r="E108">
        <f>VLOOKUP(cukier8[[#This Row],[rok]],$L$2:$M$11,2,FALSE)*cukier8[[#This Row],[sprzedany_cukier]]</f>
        <v>316</v>
      </c>
    </row>
    <row r="109" spans="1:5" x14ac:dyDescent="0.25">
      <c r="A109" s="1">
        <v>38559</v>
      </c>
      <c r="B109" t="s">
        <v>44</v>
      </c>
      <c r="C109">
        <v>13</v>
      </c>
      <c r="D109">
        <f>YEAR(cukier8[[#This Row],[data]])</f>
        <v>2005</v>
      </c>
      <c r="E109">
        <f>VLOOKUP(cukier8[[#This Row],[rok]],$L$2:$M$11,2,FALSE)*cukier8[[#This Row],[sprzedany_cukier]]</f>
        <v>26</v>
      </c>
    </row>
    <row r="110" spans="1:5" x14ac:dyDescent="0.25">
      <c r="A110" s="1">
        <v>38560</v>
      </c>
      <c r="B110" t="s">
        <v>64</v>
      </c>
      <c r="C110">
        <v>2</v>
      </c>
      <c r="D110">
        <f>YEAR(cukier8[[#This Row],[data]])</f>
        <v>2005</v>
      </c>
      <c r="E110">
        <f>VLOOKUP(cukier8[[#This Row],[rok]],$L$2:$M$11,2,FALSE)*cukier8[[#This Row],[sprzedany_cukier]]</f>
        <v>4</v>
      </c>
    </row>
    <row r="111" spans="1:5" x14ac:dyDescent="0.25">
      <c r="A111" s="1">
        <v>38562</v>
      </c>
      <c r="B111" t="s">
        <v>50</v>
      </c>
      <c r="C111">
        <v>467</v>
      </c>
      <c r="D111">
        <f>YEAR(cukier8[[#This Row],[data]])</f>
        <v>2005</v>
      </c>
      <c r="E111">
        <f>VLOOKUP(cukier8[[#This Row],[rok]],$L$2:$M$11,2,FALSE)*cukier8[[#This Row],[sprzedany_cukier]]</f>
        <v>934</v>
      </c>
    </row>
    <row r="112" spans="1:5" x14ac:dyDescent="0.25">
      <c r="A112" s="1">
        <v>38563</v>
      </c>
      <c r="B112" t="s">
        <v>65</v>
      </c>
      <c r="C112">
        <v>9</v>
      </c>
      <c r="D112">
        <f>YEAR(cukier8[[#This Row],[data]])</f>
        <v>2005</v>
      </c>
      <c r="E112">
        <f>VLOOKUP(cukier8[[#This Row],[rok]],$L$2:$M$11,2,FALSE)*cukier8[[#This Row],[sprzedany_cukier]]</f>
        <v>18</v>
      </c>
    </row>
    <row r="113" spans="1:5" x14ac:dyDescent="0.25">
      <c r="A113" s="1">
        <v>38567</v>
      </c>
      <c r="B113" t="s">
        <v>66</v>
      </c>
      <c r="C113">
        <v>189</v>
      </c>
      <c r="D113">
        <f>YEAR(cukier8[[#This Row],[data]])</f>
        <v>2005</v>
      </c>
      <c r="E113">
        <f>VLOOKUP(cukier8[[#This Row],[rok]],$L$2:$M$11,2,FALSE)*cukier8[[#This Row],[sprzedany_cukier]]</f>
        <v>378</v>
      </c>
    </row>
    <row r="114" spans="1:5" x14ac:dyDescent="0.25">
      <c r="A114" s="1">
        <v>38568</v>
      </c>
      <c r="B114" t="s">
        <v>67</v>
      </c>
      <c r="C114">
        <v>19</v>
      </c>
      <c r="D114">
        <f>YEAR(cukier8[[#This Row],[data]])</f>
        <v>2005</v>
      </c>
      <c r="E114">
        <f>VLOOKUP(cukier8[[#This Row],[rok]],$L$2:$M$11,2,FALSE)*cukier8[[#This Row],[sprzedany_cukier]]</f>
        <v>38</v>
      </c>
    </row>
    <row r="115" spans="1:5" x14ac:dyDescent="0.25">
      <c r="A115" s="1">
        <v>38569</v>
      </c>
      <c r="B115" t="s">
        <v>9</v>
      </c>
      <c r="C115">
        <v>172</v>
      </c>
      <c r="D115">
        <f>YEAR(cukier8[[#This Row],[data]])</f>
        <v>2005</v>
      </c>
      <c r="E115">
        <f>VLOOKUP(cukier8[[#This Row],[rok]],$L$2:$M$11,2,FALSE)*cukier8[[#This Row],[sprzedany_cukier]]</f>
        <v>344</v>
      </c>
    </row>
    <row r="116" spans="1:5" x14ac:dyDescent="0.25">
      <c r="A116" s="1">
        <v>38570</v>
      </c>
      <c r="B116" t="s">
        <v>55</v>
      </c>
      <c r="C116">
        <v>84</v>
      </c>
      <c r="D116">
        <f>YEAR(cukier8[[#This Row],[data]])</f>
        <v>2005</v>
      </c>
      <c r="E116">
        <f>VLOOKUP(cukier8[[#This Row],[rok]],$L$2:$M$11,2,FALSE)*cukier8[[#This Row],[sprzedany_cukier]]</f>
        <v>168</v>
      </c>
    </row>
    <row r="117" spans="1:5" x14ac:dyDescent="0.25">
      <c r="A117" s="1">
        <v>38570</v>
      </c>
      <c r="B117" t="s">
        <v>68</v>
      </c>
      <c r="C117">
        <v>8</v>
      </c>
      <c r="D117">
        <f>YEAR(cukier8[[#This Row],[data]])</f>
        <v>2005</v>
      </c>
      <c r="E117">
        <f>VLOOKUP(cukier8[[#This Row],[rok]],$L$2:$M$11,2,FALSE)*cukier8[[#This Row],[sprzedany_cukier]]</f>
        <v>16</v>
      </c>
    </row>
    <row r="118" spans="1:5" x14ac:dyDescent="0.25">
      <c r="A118" s="1">
        <v>38570</v>
      </c>
      <c r="B118" t="s">
        <v>69</v>
      </c>
      <c r="C118">
        <v>66</v>
      </c>
      <c r="D118">
        <f>YEAR(cukier8[[#This Row],[data]])</f>
        <v>2005</v>
      </c>
      <c r="E118">
        <f>VLOOKUP(cukier8[[#This Row],[rok]],$L$2:$M$11,2,FALSE)*cukier8[[#This Row],[sprzedany_cukier]]</f>
        <v>132</v>
      </c>
    </row>
    <row r="119" spans="1:5" x14ac:dyDescent="0.25">
      <c r="A119" s="1">
        <v>38571</v>
      </c>
      <c r="B119" t="s">
        <v>37</v>
      </c>
      <c r="C119">
        <v>35</v>
      </c>
      <c r="D119">
        <f>YEAR(cukier8[[#This Row],[data]])</f>
        <v>2005</v>
      </c>
      <c r="E119">
        <f>VLOOKUP(cukier8[[#This Row],[rok]],$L$2:$M$11,2,FALSE)*cukier8[[#This Row],[sprzedany_cukier]]</f>
        <v>70</v>
      </c>
    </row>
    <row r="120" spans="1:5" x14ac:dyDescent="0.25">
      <c r="A120" s="1">
        <v>38572</v>
      </c>
      <c r="B120" t="s">
        <v>30</v>
      </c>
      <c r="C120">
        <v>91</v>
      </c>
      <c r="D120">
        <f>YEAR(cukier8[[#This Row],[data]])</f>
        <v>2005</v>
      </c>
      <c r="E120">
        <f>VLOOKUP(cukier8[[#This Row],[rok]],$L$2:$M$11,2,FALSE)*cukier8[[#This Row],[sprzedany_cukier]]</f>
        <v>182</v>
      </c>
    </row>
    <row r="121" spans="1:5" x14ac:dyDescent="0.25">
      <c r="A121" s="1">
        <v>38577</v>
      </c>
      <c r="B121" t="s">
        <v>7</v>
      </c>
      <c r="C121">
        <v>396</v>
      </c>
      <c r="D121">
        <f>YEAR(cukier8[[#This Row],[data]])</f>
        <v>2005</v>
      </c>
      <c r="E121">
        <f>VLOOKUP(cukier8[[#This Row],[rok]],$L$2:$M$11,2,FALSE)*cukier8[[#This Row],[sprzedany_cukier]]</f>
        <v>792</v>
      </c>
    </row>
    <row r="122" spans="1:5" x14ac:dyDescent="0.25">
      <c r="A122" s="1">
        <v>38577</v>
      </c>
      <c r="B122" t="s">
        <v>70</v>
      </c>
      <c r="C122">
        <v>6</v>
      </c>
      <c r="D122">
        <f>YEAR(cukier8[[#This Row],[data]])</f>
        <v>2005</v>
      </c>
      <c r="E122">
        <f>VLOOKUP(cukier8[[#This Row],[rok]],$L$2:$M$11,2,FALSE)*cukier8[[#This Row],[sprzedany_cukier]]</f>
        <v>12</v>
      </c>
    </row>
    <row r="123" spans="1:5" x14ac:dyDescent="0.25">
      <c r="A123" s="1">
        <v>38579</v>
      </c>
      <c r="B123" t="s">
        <v>28</v>
      </c>
      <c r="C123">
        <v>47</v>
      </c>
      <c r="D123">
        <f>YEAR(cukier8[[#This Row],[data]])</f>
        <v>2005</v>
      </c>
      <c r="E123">
        <f>VLOOKUP(cukier8[[#This Row],[rok]],$L$2:$M$11,2,FALSE)*cukier8[[#This Row],[sprzedany_cukier]]</f>
        <v>94</v>
      </c>
    </row>
    <row r="124" spans="1:5" x14ac:dyDescent="0.25">
      <c r="A124" s="1">
        <v>38581</v>
      </c>
      <c r="B124" t="s">
        <v>19</v>
      </c>
      <c r="C124">
        <v>41</v>
      </c>
      <c r="D124">
        <f>YEAR(cukier8[[#This Row],[data]])</f>
        <v>2005</v>
      </c>
      <c r="E124">
        <f>VLOOKUP(cukier8[[#This Row],[rok]],$L$2:$M$11,2,FALSE)*cukier8[[#This Row],[sprzedany_cukier]]</f>
        <v>82</v>
      </c>
    </row>
    <row r="125" spans="1:5" x14ac:dyDescent="0.25">
      <c r="A125" s="1">
        <v>38582</v>
      </c>
      <c r="B125" t="s">
        <v>71</v>
      </c>
      <c r="C125">
        <v>136</v>
      </c>
      <c r="D125">
        <f>YEAR(cukier8[[#This Row],[data]])</f>
        <v>2005</v>
      </c>
      <c r="E125">
        <f>VLOOKUP(cukier8[[#This Row],[rok]],$L$2:$M$11,2,FALSE)*cukier8[[#This Row],[sprzedany_cukier]]</f>
        <v>272</v>
      </c>
    </row>
    <row r="126" spans="1:5" x14ac:dyDescent="0.25">
      <c r="A126" s="1">
        <v>38583</v>
      </c>
      <c r="B126" t="s">
        <v>72</v>
      </c>
      <c r="C126">
        <v>16</v>
      </c>
      <c r="D126">
        <f>YEAR(cukier8[[#This Row],[data]])</f>
        <v>2005</v>
      </c>
      <c r="E126">
        <f>VLOOKUP(cukier8[[#This Row],[rok]],$L$2:$M$11,2,FALSE)*cukier8[[#This Row],[sprzedany_cukier]]</f>
        <v>32</v>
      </c>
    </row>
    <row r="127" spans="1:5" x14ac:dyDescent="0.25">
      <c r="A127" s="1">
        <v>38585</v>
      </c>
      <c r="B127" t="s">
        <v>73</v>
      </c>
      <c r="C127">
        <v>18</v>
      </c>
      <c r="D127">
        <f>YEAR(cukier8[[#This Row],[data]])</f>
        <v>2005</v>
      </c>
      <c r="E127">
        <f>VLOOKUP(cukier8[[#This Row],[rok]],$L$2:$M$11,2,FALSE)*cukier8[[#This Row],[sprzedany_cukier]]</f>
        <v>36</v>
      </c>
    </row>
    <row r="128" spans="1:5" x14ac:dyDescent="0.25">
      <c r="A128" s="1">
        <v>38589</v>
      </c>
      <c r="B128" t="s">
        <v>74</v>
      </c>
      <c r="C128">
        <v>11</v>
      </c>
      <c r="D128">
        <f>YEAR(cukier8[[#This Row],[data]])</f>
        <v>2005</v>
      </c>
      <c r="E128">
        <f>VLOOKUP(cukier8[[#This Row],[rok]],$L$2:$M$11,2,FALSE)*cukier8[[#This Row],[sprzedany_cukier]]</f>
        <v>22</v>
      </c>
    </row>
    <row r="129" spans="1:5" x14ac:dyDescent="0.25">
      <c r="A129" s="1">
        <v>38589</v>
      </c>
      <c r="B129" t="s">
        <v>75</v>
      </c>
      <c r="C129">
        <v>8</v>
      </c>
      <c r="D129">
        <f>YEAR(cukier8[[#This Row],[data]])</f>
        <v>2005</v>
      </c>
      <c r="E129">
        <f>VLOOKUP(cukier8[[#This Row],[rok]],$L$2:$M$11,2,FALSE)*cukier8[[#This Row],[sprzedany_cukier]]</f>
        <v>16</v>
      </c>
    </row>
    <row r="130" spans="1:5" x14ac:dyDescent="0.25">
      <c r="A130" s="1">
        <v>38589</v>
      </c>
      <c r="B130" t="s">
        <v>76</v>
      </c>
      <c r="C130">
        <v>16</v>
      </c>
      <c r="D130">
        <f>YEAR(cukier8[[#This Row],[data]])</f>
        <v>2005</v>
      </c>
      <c r="E130">
        <f>VLOOKUP(cukier8[[#This Row],[rok]],$L$2:$M$11,2,FALSE)*cukier8[[#This Row],[sprzedany_cukier]]</f>
        <v>32</v>
      </c>
    </row>
    <row r="131" spans="1:5" x14ac:dyDescent="0.25">
      <c r="A131" s="1">
        <v>38589</v>
      </c>
      <c r="B131" t="s">
        <v>28</v>
      </c>
      <c r="C131">
        <v>54</v>
      </c>
      <c r="D131">
        <f>YEAR(cukier8[[#This Row],[data]])</f>
        <v>2005</v>
      </c>
      <c r="E131">
        <f>VLOOKUP(cukier8[[#This Row],[rok]],$L$2:$M$11,2,FALSE)*cukier8[[#This Row],[sprzedany_cukier]]</f>
        <v>108</v>
      </c>
    </row>
    <row r="132" spans="1:5" x14ac:dyDescent="0.25">
      <c r="A132" s="1">
        <v>38590</v>
      </c>
      <c r="B132" t="s">
        <v>50</v>
      </c>
      <c r="C132">
        <v>299</v>
      </c>
      <c r="D132">
        <f>YEAR(cukier8[[#This Row],[data]])</f>
        <v>2005</v>
      </c>
      <c r="E132">
        <f>VLOOKUP(cukier8[[#This Row],[rok]],$L$2:$M$11,2,FALSE)*cukier8[[#This Row],[sprzedany_cukier]]</f>
        <v>598</v>
      </c>
    </row>
    <row r="133" spans="1:5" x14ac:dyDescent="0.25">
      <c r="A133" s="1">
        <v>38592</v>
      </c>
      <c r="B133" t="s">
        <v>69</v>
      </c>
      <c r="C133">
        <v>168</v>
      </c>
      <c r="D133">
        <f>YEAR(cukier8[[#This Row],[data]])</f>
        <v>2005</v>
      </c>
      <c r="E133">
        <f>VLOOKUP(cukier8[[#This Row],[rok]],$L$2:$M$11,2,FALSE)*cukier8[[#This Row],[sprzedany_cukier]]</f>
        <v>336</v>
      </c>
    </row>
    <row r="134" spans="1:5" x14ac:dyDescent="0.25">
      <c r="A134" s="1">
        <v>38593</v>
      </c>
      <c r="B134" t="s">
        <v>9</v>
      </c>
      <c r="C134">
        <v>106</v>
      </c>
      <c r="D134">
        <f>YEAR(cukier8[[#This Row],[data]])</f>
        <v>2005</v>
      </c>
      <c r="E134">
        <f>VLOOKUP(cukier8[[#This Row],[rok]],$L$2:$M$11,2,FALSE)*cukier8[[#This Row],[sprzedany_cukier]]</f>
        <v>212</v>
      </c>
    </row>
    <row r="135" spans="1:5" x14ac:dyDescent="0.25">
      <c r="A135" s="1">
        <v>38594</v>
      </c>
      <c r="B135" t="s">
        <v>12</v>
      </c>
      <c r="C135">
        <v>41</v>
      </c>
      <c r="D135">
        <f>YEAR(cukier8[[#This Row],[data]])</f>
        <v>2005</v>
      </c>
      <c r="E135">
        <f>VLOOKUP(cukier8[[#This Row],[rok]],$L$2:$M$11,2,FALSE)*cukier8[[#This Row],[sprzedany_cukier]]</f>
        <v>82</v>
      </c>
    </row>
    <row r="136" spans="1:5" x14ac:dyDescent="0.25">
      <c r="A136" s="1">
        <v>38594</v>
      </c>
      <c r="B136" t="s">
        <v>39</v>
      </c>
      <c r="C136">
        <v>31</v>
      </c>
      <c r="D136">
        <f>YEAR(cukier8[[#This Row],[data]])</f>
        <v>2005</v>
      </c>
      <c r="E136">
        <f>VLOOKUP(cukier8[[#This Row],[rok]],$L$2:$M$11,2,FALSE)*cukier8[[#This Row],[sprzedany_cukier]]</f>
        <v>62</v>
      </c>
    </row>
    <row r="137" spans="1:5" x14ac:dyDescent="0.25">
      <c r="A137" s="1">
        <v>38596</v>
      </c>
      <c r="B137" t="s">
        <v>77</v>
      </c>
      <c r="C137">
        <v>8</v>
      </c>
      <c r="D137">
        <f>YEAR(cukier8[[#This Row],[data]])</f>
        <v>2005</v>
      </c>
      <c r="E137">
        <f>VLOOKUP(cukier8[[#This Row],[rok]],$L$2:$M$11,2,FALSE)*cukier8[[#This Row],[sprzedany_cukier]]</f>
        <v>16</v>
      </c>
    </row>
    <row r="138" spans="1:5" x14ac:dyDescent="0.25">
      <c r="A138" s="1">
        <v>38599</v>
      </c>
      <c r="B138" t="s">
        <v>19</v>
      </c>
      <c r="C138">
        <v>63</v>
      </c>
      <c r="D138">
        <f>YEAR(cukier8[[#This Row],[data]])</f>
        <v>2005</v>
      </c>
      <c r="E138">
        <f>VLOOKUP(cukier8[[#This Row],[rok]],$L$2:$M$11,2,FALSE)*cukier8[[#This Row],[sprzedany_cukier]]</f>
        <v>126</v>
      </c>
    </row>
    <row r="139" spans="1:5" x14ac:dyDescent="0.25">
      <c r="A139" s="1">
        <v>38602</v>
      </c>
      <c r="B139" t="s">
        <v>5</v>
      </c>
      <c r="C139">
        <v>368</v>
      </c>
      <c r="D139">
        <f>YEAR(cukier8[[#This Row],[data]])</f>
        <v>2005</v>
      </c>
      <c r="E139">
        <f>VLOOKUP(cukier8[[#This Row],[rok]],$L$2:$M$11,2,FALSE)*cukier8[[#This Row],[sprzedany_cukier]]</f>
        <v>736</v>
      </c>
    </row>
    <row r="140" spans="1:5" x14ac:dyDescent="0.25">
      <c r="A140" s="1">
        <v>38603</v>
      </c>
      <c r="B140" t="s">
        <v>78</v>
      </c>
      <c r="C140">
        <v>106</v>
      </c>
      <c r="D140">
        <f>YEAR(cukier8[[#This Row],[data]])</f>
        <v>2005</v>
      </c>
      <c r="E140">
        <f>VLOOKUP(cukier8[[#This Row],[rok]],$L$2:$M$11,2,FALSE)*cukier8[[#This Row],[sprzedany_cukier]]</f>
        <v>212</v>
      </c>
    </row>
    <row r="141" spans="1:5" x14ac:dyDescent="0.25">
      <c r="A141" s="1">
        <v>38604</v>
      </c>
      <c r="B141" t="s">
        <v>8</v>
      </c>
      <c r="C141">
        <v>47</v>
      </c>
      <c r="D141">
        <f>YEAR(cukier8[[#This Row],[data]])</f>
        <v>2005</v>
      </c>
      <c r="E141">
        <f>VLOOKUP(cukier8[[#This Row],[rok]],$L$2:$M$11,2,FALSE)*cukier8[[#This Row],[sprzedany_cukier]]</f>
        <v>94</v>
      </c>
    </row>
    <row r="142" spans="1:5" x14ac:dyDescent="0.25">
      <c r="A142" s="1">
        <v>38604</v>
      </c>
      <c r="B142" t="s">
        <v>50</v>
      </c>
      <c r="C142">
        <v>447</v>
      </c>
      <c r="D142">
        <f>YEAR(cukier8[[#This Row],[data]])</f>
        <v>2005</v>
      </c>
      <c r="E142">
        <f>VLOOKUP(cukier8[[#This Row],[rok]],$L$2:$M$11,2,FALSE)*cukier8[[#This Row],[sprzedany_cukier]]</f>
        <v>894</v>
      </c>
    </row>
    <row r="143" spans="1:5" x14ac:dyDescent="0.25">
      <c r="A143" s="1">
        <v>38605</v>
      </c>
      <c r="B143" t="s">
        <v>69</v>
      </c>
      <c r="C143">
        <v>106</v>
      </c>
      <c r="D143">
        <f>YEAR(cukier8[[#This Row],[data]])</f>
        <v>2005</v>
      </c>
      <c r="E143">
        <f>VLOOKUP(cukier8[[#This Row],[rok]],$L$2:$M$11,2,FALSE)*cukier8[[#This Row],[sprzedany_cukier]]</f>
        <v>212</v>
      </c>
    </row>
    <row r="144" spans="1:5" x14ac:dyDescent="0.25">
      <c r="A144" s="1">
        <v>38606</v>
      </c>
      <c r="B144" t="s">
        <v>79</v>
      </c>
      <c r="C144">
        <v>13</v>
      </c>
      <c r="D144">
        <f>YEAR(cukier8[[#This Row],[data]])</f>
        <v>2005</v>
      </c>
      <c r="E144">
        <f>VLOOKUP(cukier8[[#This Row],[rok]],$L$2:$M$11,2,FALSE)*cukier8[[#This Row],[sprzedany_cukier]]</f>
        <v>26</v>
      </c>
    </row>
    <row r="145" spans="1:5" x14ac:dyDescent="0.25">
      <c r="A145" s="1">
        <v>38606</v>
      </c>
      <c r="B145" t="s">
        <v>52</v>
      </c>
      <c r="C145">
        <v>89</v>
      </c>
      <c r="D145">
        <f>YEAR(cukier8[[#This Row],[data]])</f>
        <v>2005</v>
      </c>
      <c r="E145">
        <f>VLOOKUP(cukier8[[#This Row],[rok]],$L$2:$M$11,2,FALSE)*cukier8[[#This Row],[sprzedany_cukier]]</f>
        <v>178</v>
      </c>
    </row>
    <row r="146" spans="1:5" x14ac:dyDescent="0.25">
      <c r="A146" s="1">
        <v>38606</v>
      </c>
      <c r="B146" t="s">
        <v>31</v>
      </c>
      <c r="C146">
        <v>105</v>
      </c>
      <c r="D146">
        <f>YEAR(cukier8[[#This Row],[data]])</f>
        <v>2005</v>
      </c>
      <c r="E146">
        <f>VLOOKUP(cukier8[[#This Row],[rok]],$L$2:$M$11,2,FALSE)*cukier8[[#This Row],[sprzedany_cukier]]</f>
        <v>210</v>
      </c>
    </row>
    <row r="147" spans="1:5" x14ac:dyDescent="0.25">
      <c r="A147" s="1">
        <v>38606</v>
      </c>
      <c r="B147" t="s">
        <v>7</v>
      </c>
      <c r="C147">
        <v>147</v>
      </c>
      <c r="D147">
        <f>YEAR(cukier8[[#This Row],[data]])</f>
        <v>2005</v>
      </c>
      <c r="E147">
        <f>VLOOKUP(cukier8[[#This Row],[rok]],$L$2:$M$11,2,FALSE)*cukier8[[#This Row],[sprzedany_cukier]]</f>
        <v>294</v>
      </c>
    </row>
    <row r="148" spans="1:5" x14ac:dyDescent="0.25">
      <c r="A148" s="1">
        <v>38608</v>
      </c>
      <c r="B148" t="s">
        <v>9</v>
      </c>
      <c r="C148">
        <v>309</v>
      </c>
      <c r="D148">
        <f>YEAR(cukier8[[#This Row],[data]])</f>
        <v>2005</v>
      </c>
      <c r="E148">
        <f>VLOOKUP(cukier8[[#This Row],[rok]],$L$2:$M$11,2,FALSE)*cukier8[[#This Row],[sprzedany_cukier]]</f>
        <v>618</v>
      </c>
    </row>
    <row r="149" spans="1:5" x14ac:dyDescent="0.25">
      <c r="A149" s="1">
        <v>38610</v>
      </c>
      <c r="B149" t="s">
        <v>28</v>
      </c>
      <c r="C149">
        <v>47</v>
      </c>
      <c r="D149">
        <f>YEAR(cukier8[[#This Row],[data]])</f>
        <v>2005</v>
      </c>
      <c r="E149">
        <f>VLOOKUP(cukier8[[#This Row],[rok]],$L$2:$M$11,2,FALSE)*cukier8[[#This Row],[sprzedany_cukier]]</f>
        <v>94</v>
      </c>
    </row>
    <row r="150" spans="1:5" x14ac:dyDescent="0.25">
      <c r="A150" s="1">
        <v>38612</v>
      </c>
      <c r="B150" t="s">
        <v>50</v>
      </c>
      <c r="C150">
        <v>404</v>
      </c>
      <c r="D150">
        <f>YEAR(cukier8[[#This Row],[data]])</f>
        <v>2005</v>
      </c>
      <c r="E150">
        <f>VLOOKUP(cukier8[[#This Row],[rok]],$L$2:$M$11,2,FALSE)*cukier8[[#This Row],[sprzedany_cukier]]</f>
        <v>808</v>
      </c>
    </row>
    <row r="151" spans="1:5" x14ac:dyDescent="0.25">
      <c r="A151" s="1">
        <v>38612</v>
      </c>
      <c r="B151" t="s">
        <v>80</v>
      </c>
      <c r="C151">
        <v>39</v>
      </c>
      <c r="D151">
        <f>YEAR(cukier8[[#This Row],[data]])</f>
        <v>2005</v>
      </c>
      <c r="E151">
        <f>VLOOKUP(cukier8[[#This Row],[rok]],$L$2:$M$11,2,FALSE)*cukier8[[#This Row],[sprzedany_cukier]]</f>
        <v>78</v>
      </c>
    </row>
    <row r="152" spans="1:5" x14ac:dyDescent="0.25">
      <c r="A152" s="1">
        <v>38612</v>
      </c>
      <c r="B152" t="s">
        <v>12</v>
      </c>
      <c r="C152">
        <v>61</v>
      </c>
      <c r="D152">
        <f>YEAR(cukier8[[#This Row],[data]])</f>
        <v>2005</v>
      </c>
      <c r="E152">
        <f>VLOOKUP(cukier8[[#This Row],[rok]],$L$2:$M$11,2,FALSE)*cukier8[[#This Row],[sprzedany_cukier]]</f>
        <v>122</v>
      </c>
    </row>
    <row r="153" spans="1:5" x14ac:dyDescent="0.25">
      <c r="A153" s="1">
        <v>38615</v>
      </c>
      <c r="B153" t="s">
        <v>66</v>
      </c>
      <c r="C153">
        <v>89</v>
      </c>
      <c r="D153">
        <f>YEAR(cukier8[[#This Row],[data]])</f>
        <v>2005</v>
      </c>
      <c r="E153">
        <f>VLOOKUP(cukier8[[#This Row],[rok]],$L$2:$M$11,2,FALSE)*cukier8[[#This Row],[sprzedany_cukier]]</f>
        <v>178</v>
      </c>
    </row>
    <row r="154" spans="1:5" x14ac:dyDescent="0.25">
      <c r="A154" s="1">
        <v>38617</v>
      </c>
      <c r="B154" t="s">
        <v>23</v>
      </c>
      <c r="C154">
        <v>127</v>
      </c>
      <c r="D154">
        <f>YEAR(cukier8[[#This Row],[data]])</f>
        <v>2005</v>
      </c>
      <c r="E154">
        <f>VLOOKUP(cukier8[[#This Row],[rok]],$L$2:$M$11,2,FALSE)*cukier8[[#This Row],[sprzedany_cukier]]</f>
        <v>254</v>
      </c>
    </row>
    <row r="155" spans="1:5" x14ac:dyDescent="0.25">
      <c r="A155" s="1">
        <v>38620</v>
      </c>
      <c r="B155" t="s">
        <v>18</v>
      </c>
      <c r="C155">
        <v>81</v>
      </c>
      <c r="D155">
        <f>YEAR(cukier8[[#This Row],[data]])</f>
        <v>2005</v>
      </c>
      <c r="E155">
        <f>VLOOKUP(cukier8[[#This Row],[rok]],$L$2:$M$11,2,FALSE)*cukier8[[#This Row],[sprzedany_cukier]]</f>
        <v>162</v>
      </c>
    </row>
    <row r="156" spans="1:5" x14ac:dyDescent="0.25">
      <c r="A156" s="1">
        <v>38623</v>
      </c>
      <c r="B156" t="s">
        <v>45</v>
      </c>
      <c r="C156">
        <v>433</v>
      </c>
      <c r="D156">
        <f>YEAR(cukier8[[#This Row],[data]])</f>
        <v>2005</v>
      </c>
      <c r="E156">
        <f>VLOOKUP(cukier8[[#This Row],[rok]],$L$2:$M$11,2,FALSE)*cukier8[[#This Row],[sprzedany_cukier]]</f>
        <v>866</v>
      </c>
    </row>
    <row r="157" spans="1:5" x14ac:dyDescent="0.25">
      <c r="A157" s="1">
        <v>38623</v>
      </c>
      <c r="B157" t="s">
        <v>9</v>
      </c>
      <c r="C157">
        <v>284</v>
      </c>
      <c r="D157">
        <f>YEAR(cukier8[[#This Row],[data]])</f>
        <v>2005</v>
      </c>
      <c r="E157">
        <f>VLOOKUP(cukier8[[#This Row],[rok]],$L$2:$M$11,2,FALSE)*cukier8[[#This Row],[sprzedany_cukier]]</f>
        <v>568</v>
      </c>
    </row>
    <row r="158" spans="1:5" x14ac:dyDescent="0.25">
      <c r="A158" s="1">
        <v>38624</v>
      </c>
      <c r="B158" t="s">
        <v>6</v>
      </c>
      <c r="C158">
        <v>122</v>
      </c>
      <c r="D158">
        <f>YEAR(cukier8[[#This Row],[data]])</f>
        <v>2005</v>
      </c>
      <c r="E158">
        <f>VLOOKUP(cukier8[[#This Row],[rok]],$L$2:$M$11,2,FALSE)*cukier8[[#This Row],[sprzedany_cukier]]</f>
        <v>244</v>
      </c>
    </row>
    <row r="159" spans="1:5" x14ac:dyDescent="0.25">
      <c r="A159" s="1">
        <v>38626</v>
      </c>
      <c r="B159" t="s">
        <v>80</v>
      </c>
      <c r="C159">
        <v>193</v>
      </c>
      <c r="D159">
        <f>YEAR(cukier8[[#This Row],[data]])</f>
        <v>2005</v>
      </c>
      <c r="E159">
        <f>VLOOKUP(cukier8[[#This Row],[rok]],$L$2:$M$11,2,FALSE)*cukier8[[#This Row],[sprzedany_cukier]]</f>
        <v>386</v>
      </c>
    </row>
    <row r="160" spans="1:5" x14ac:dyDescent="0.25">
      <c r="A160" s="1">
        <v>38628</v>
      </c>
      <c r="B160" t="s">
        <v>28</v>
      </c>
      <c r="C160">
        <v>118</v>
      </c>
      <c r="D160">
        <f>YEAR(cukier8[[#This Row],[data]])</f>
        <v>2005</v>
      </c>
      <c r="E160">
        <f>VLOOKUP(cukier8[[#This Row],[rok]],$L$2:$M$11,2,FALSE)*cukier8[[#This Row],[sprzedany_cukier]]</f>
        <v>236</v>
      </c>
    </row>
    <row r="161" spans="1:5" x14ac:dyDescent="0.25">
      <c r="A161" s="1">
        <v>38629</v>
      </c>
      <c r="B161" t="s">
        <v>5</v>
      </c>
      <c r="C161">
        <v>173</v>
      </c>
      <c r="D161">
        <f>YEAR(cukier8[[#This Row],[data]])</f>
        <v>2005</v>
      </c>
      <c r="E161">
        <f>VLOOKUP(cukier8[[#This Row],[rok]],$L$2:$M$11,2,FALSE)*cukier8[[#This Row],[sprzedany_cukier]]</f>
        <v>346</v>
      </c>
    </row>
    <row r="162" spans="1:5" x14ac:dyDescent="0.25">
      <c r="A162" s="1">
        <v>38632</v>
      </c>
      <c r="B162" t="s">
        <v>22</v>
      </c>
      <c r="C162">
        <v>392</v>
      </c>
      <c r="D162">
        <f>YEAR(cukier8[[#This Row],[data]])</f>
        <v>2005</v>
      </c>
      <c r="E162">
        <f>VLOOKUP(cukier8[[#This Row],[rok]],$L$2:$M$11,2,FALSE)*cukier8[[#This Row],[sprzedany_cukier]]</f>
        <v>784</v>
      </c>
    </row>
    <row r="163" spans="1:5" x14ac:dyDescent="0.25">
      <c r="A163" s="1">
        <v>38633</v>
      </c>
      <c r="B163" t="s">
        <v>16</v>
      </c>
      <c r="C163">
        <v>8</v>
      </c>
      <c r="D163">
        <f>YEAR(cukier8[[#This Row],[data]])</f>
        <v>2005</v>
      </c>
      <c r="E163">
        <f>VLOOKUP(cukier8[[#This Row],[rok]],$L$2:$M$11,2,FALSE)*cukier8[[#This Row],[sprzedany_cukier]]</f>
        <v>16</v>
      </c>
    </row>
    <row r="164" spans="1:5" x14ac:dyDescent="0.25">
      <c r="A164" s="1">
        <v>38638</v>
      </c>
      <c r="B164" t="s">
        <v>28</v>
      </c>
      <c r="C164">
        <v>132</v>
      </c>
      <c r="D164">
        <f>YEAR(cukier8[[#This Row],[data]])</f>
        <v>2005</v>
      </c>
      <c r="E164">
        <f>VLOOKUP(cukier8[[#This Row],[rok]],$L$2:$M$11,2,FALSE)*cukier8[[#This Row],[sprzedany_cukier]]</f>
        <v>264</v>
      </c>
    </row>
    <row r="165" spans="1:5" x14ac:dyDescent="0.25">
      <c r="A165" s="1">
        <v>38638</v>
      </c>
      <c r="B165" t="s">
        <v>8</v>
      </c>
      <c r="C165">
        <v>76</v>
      </c>
      <c r="D165">
        <f>YEAR(cukier8[[#This Row],[data]])</f>
        <v>2005</v>
      </c>
      <c r="E165">
        <f>VLOOKUP(cukier8[[#This Row],[rok]],$L$2:$M$11,2,FALSE)*cukier8[[#This Row],[sprzedany_cukier]]</f>
        <v>152</v>
      </c>
    </row>
    <row r="166" spans="1:5" x14ac:dyDescent="0.25">
      <c r="A166" s="1">
        <v>38639</v>
      </c>
      <c r="B166" t="s">
        <v>81</v>
      </c>
      <c r="C166">
        <v>17</v>
      </c>
      <c r="D166">
        <f>YEAR(cukier8[[#This Row],[data]])</f>
        <v>2005</v>
      </c>
      <c r="E166">
        <f>VLOOKUP(cukier8[[#This Row],[rok]],$L$2:$M$11,2,FALSE)*cukier8[[#This Row],[sprzedany_cukier]]</f>
        <v>34</v>
      </c>
    </row>
    <row r="167" spans="1:5" x14ac:dyDescent="0.25">
      <c r="A167" s="1">
        <v>38640</v>
      </c>
      <c r="B167" t="s">
        <v>82</v>
      </c>
      <c r="C167">
        <v>17</v>
      </c>
      <c r="D167">
        <f>YEAR(cukier8[[#This Row],[data]])</f>
        <v>2005</v>
      </c>
      <c r="E167">
        <f>VLOOKUP(cukier8[[#This Row],[rok]],$L$2:$M$11,2,FALSE)*cukier8[[#This Row],[sprzedany_cukier]]</f>
        <v>34</v>
      </c>
    </row>
    <row r="168" spans="1:5" x14ac:dyDescent="0.25">
      <c r="A168" s="1">
        <v>38643</v>
      </c>
      <c r="B168" t="s">
        <v>83</v>
      </c>
      <c r="C168">
        <v>2</v>
      </c>
      <c r="D168">
        <f>YEAR(cukier8[[#This Row],[data]])</f>
        <v>2005</v>
      </c>
      <c r="E168">
        <f>VLOOKUP(cukier8[[#This Row],[rok]],$L$2:$M$11,2,FALSE)*cukier8[[#This Row],[sprzedany_cukier]]</f>
        <v>4</v>
      </c>
    </row>
    <row r="169" spans="1:5" x14ac:dyDescent="0.25">
      <c r="A169" s="1">
        <v>38645</v>
      </c>
      <c r="B169" t="s">
        <v>19</v>
      </c>
      <c r="C169">
        <v>125</v>
      </c>
      <c r="D169">
        <f>YEAR(cukier8[[#This Row],[data]])</f>
        <v>2005</v>
      </c>
      <c r="E169">
        <f>VLOOKUP(cukier8[[#This Row],[rok]],$L$2:$M$11,2,FALSE)*cukier8[[#This Row],[sprzedany_cukier]]</f>
        <v>250</v>
      </c>
    </row>
    <row r="170" spans="1:5" x14ac:dyDescent="0.25">
      <c r="A170" s="1">
        <v>38646</v>
      </c>
      <c r="B170" t="s">
        <v>50</v>
      </c>
      <c r="C170">
        <v>234</v>
      </c>
      <c r="D170">
        <f>YEAR(cukier8[[#This Row],[data]])</f>
        <v>2005</v>
      </c>
      <c r="E170">
        <f>VLOOKUP(cukier8[[#This Row],[rok]],$L$2:$M$11,2,FALSE)*cukier8[[#This Row],[sprzedany_cukier]]</f>
        <v>468</v>
      </c>
    </row>
    <row r="171" spans="1:5" x14ac:dyDescent="0.25">
      <c r="A171" s="1">
        <v>38652</v>
      </c>
      <c r="B171" t="s">
        <v>69</v>
      </c>
      <c r="C171">
        <v>53</v>
      </c>
      <c r="D171">
        <f>YEAR(cukier8[[#This Row],[data]])</f>
        <v>2005</v>
      </c>
      <c r="E171">
        <f>VLOOKUP(cukier8[[#This Row],[rok]],$L$2:$M$11,2,FALSE)*cukier8[[#This Row],[sprzedany_cukier]]</f>
        <v>106</v>
      </c>
    </row>
    <row r="172" spans="1:5" x14ac:dyDescent="0.25">
      <c r="A172" s="1">
        <v>38653</v>
      </c>
      <c r="B172" t="s">
        <v>37</v>
      </c>
      <c r="C172">
        <v>165</v>
      </c>
      <c r="D172">
        <f>YEAR(cukier8[[#This Row],[data]])</f>
        <v>2005</v>
      </c>
      <c r="E172">
        <f>VLOOKUP(cukier8[[#This Row],[rok]],$L$2:$M$11,2,FALSE)*cukier8[[#This Row],[sprzedany_cukier]]</f>
        <v>330</v>
      </c>
    </row>
    <row r="173" spans="1:5" x14ac:dyDescent="0.25">
      <c r="A173" s="1">
        <v>38653</v>
      </c>
      <c r="B173" t="s">
        <v>10</v>
      </c>
      <c r="C173">
        <v>177</v>
      </c>
      <c r="D173">
        <f>YEAR(cukier8[[#This Row],[data]])</f>
        <v>2005</v>
      </c>
      <c r="E173">
        <f>VLOOKUP(cukier8[[#This Row],[rok]],$L$2:$M$11,2,FALSE)*cukier8[[#This Row],[sprzedany_cukier]]</f>
        <v>354</v>
      </c>
    </row>
    <row r="174" spans="1:5" x14ac:dyDescent="0.25">
      <c r="A174" s="1">
        <v>38655</v>
      </c>
      <c r="B174" t="s">
        <v>18</v>
      </c>
      <c r="C174">
        <v>103</v>
      </c>
      <c r="D174">
        <f>YEAR(cukier8[[#This Row],[data]])</f>
        <v>2005</v>
      </c>
      <c r="E174">
        <f>VLOOKUP(cukier8[[#This Row],[rok]],$L$2:$M$11,2,FALSE)*cukier8[[#This Row],[sprzedany_cukier]]</f>
        <v>206</v>
      </c>
    </row>
    <row r="175" spans="1:5" x14ac:dyDescent="0.25">
      <c r="A175" s="1">
        <v>38657</v>
      </c>
      <c r="B175" t="s">
        <v>84</v>
      </c>
      <c r="C175">
        <v>2</v>
      </c>
      <c r="D175">
        <f>YEAR(cukier8[[#This Row],[data]])</f>
        <v>2005</v>
      </c>
      <c r="E175">
        <f>VLOOKUP(cukier8[[#This Row],[rok]],$L$2:$M$11,2,FALSE)*cukier8[[#This Row],[sprzedany_cukier]]</f>
        <v>4</v>
      </c>
    </row>
    <row r="176" spans="1:5" x14ac:dyDescent="0.25">
      <c r="A176" s="1">
        <v>38657</v>
      </c>
      <c r="B176" t="s">
        <v>9</v>
      </c>
      <c r="C176">
        <v>279</v>
      </c>
      <c r="D176">
        <f>YEAR(cukier8[[#This Row],[data]])</f>
        <v>2005</v>
      </c>
      <c r="E176">
        <f>VLOOKUP(cukier8[[#This Row],[rok]],$L$2:$M$11,2,FALSE)*cukier8[[#This Row],[sprzedany_cukier]]</f>
        <v>558</v>
      </c>
    </row>
    <row r="177" spans="1:5" x14ac:dyDescent="0.25">
      <c r="A177" s="1">
        <v>38662</v>
      </c>
      <c r="B177" t="s">
        <v>30</v>
      </c>
      <c r="C177">
        <v>185</v>
      </c>
      <c r="D177">
        <f>YEAR(cukier8[[#This Row],[data]])</f>
        <v>2005</v>
      </c>
      <c r="E177">
        <f>VLOOKUP(cukier8[[#This Row],[rok]],$L$2:$M$11,2,FALSE)*cukier8[[#This Row],[sprzedany_cukier]]</f>
        <v>370</v>
      </c>
    </row>
    <row r="178" spans="1:5" x14ac:dyDescent="0.25">
      <c r="A178" s="1">
        <v>38663</v>
      </c>
      <c r="B178" t="s">
        <v>7</v>
      </c>
      <c r="C178">
        <v>434</v>
      </c>
      <c r="D178">
        <f>YEAR(cukier8[[#This Row],[data]])</f>
        <v>2005</v>
      </c>
      <c r="E178">
        <f>VLOOKUP(cukier8[[#This Row],[rok]],$L$2:$M$11,2,FALSE)*cukier8[[#This Row],[sprzedany_cukier]]</f>
        <v>868</v>
      </c>
    </row>
    <row r="179" spans="1:5" x14ac:dyDescent="0.25">
      <c r="A179" s="1">
        <v>38667</v>
      </c>
      <c r="B179" t="s">
        <v>85</v>
      </c>
      <c r="C179">
        <v>10</v>
      </c>
      <c r="D179">
        <f>YEAR(cukier8[[#This Row],[data]])</f>
        <v>2005</v>
      </c>
      <c r="E179">
        <f>VLOOKUP(cukier8[[#This Row],[rok]],$L$2:$M$11,2,FALSE)*cukier8[[#This Row],[sprzedany_cukier]]</f>
        <v>20</v>
      </c>
    </row>
    <row r="180" spans="1:5" x14ac:dyDescent="0.25">
      <c r="A180" s="1">
        <v>38669</v>
      </c>
      <c r="B180" t="s">
        <v>86</v>
      </c>
      <c r="C180">
        <v>9</v>
      </c>
      <c r="D180">
        <f>YEAR(cukier8[[#This Row],[data]])</f>
        <v>2005</v>
      </c>
      <c r="E180">
        <f>VLOOKUP(cukier8[[#This Row],[rok]],$L$2:$M$11,2,FALSE)*cukier8[[#This Row],[sprzedany_cukier]]</f>
        <v>18</v>
      </c>
    </row>
    <row r="181" spans="1:5" x14ac:dyDescent="0.25">
      <c r="A181" s="1">
        <v>38670</v>
      </c>
      <c r="B181" t="s">
        <v>24</v>
      </c>
      <c r="C181">
        <v>383</v>
      </c>
      <c r="D181">
        <f>YEAR(cukier8[[#This Row],[data]])</f>
        <v>2005</v>
      </c>
      <c r="E181">
        <f>VLOOKUP(cukier8[[#This Row],[rok]],$L$2:$M$11,2,FALSE)*cukier8[[#This Row],[sprzedany_cukier]]</f>
        <v>766</v>
      </c>
    </row>
    <row r="182" spans="1:5" x14ac:dyDescent="0.25">
      <c r="A182" s="1">
        <v>38670</v>
      </c>
      <c r="B182" t="s">
        <v>30</v>
      </c>
      <c r="C182">
        <v>189</v>
      </c>
      <c r="D182">
        <f>YEAR(cukier8[[#This Row],[data]])</f>
        <v>2005</v>
      </c>
      <c r="E182">
        <f>VLOOKUP(cukier8[[#This Row],[rok]],$L$2:$M$11,2,FALSE)*cukier8[[#This Row],[sprzedany_cukier]]</f>
        <v>378</v>
      </c>
    </row>
    <row r="183" spans="1:5" x14ac:dyDescent="0.25">
      <c r="A183" s="1">
        <v>38672</v>
      </c>
      <c r="B183" t="s">
        <v>12</v>
      </c>
      <c r="C183">
        <v>161</v>
      </c>
      <c r="D183">
        <f>YEAR(cukier8[[#This Row],[data]])</f>
        <v>2005</v>
      </c>
      <c r="E183">
        <f>VLOOKUP(cukier8[[#This Row],[rok]],$L$2:$M$11,2,FALSE)*cukier8[[#This Row],[sprzedany_cukier]]</f>
        <v>322</v>
      </c>
    </row>
    <row r="184" spans="1:5" x14ac:dyDescent="0.25">
      <c r="A184" s="1">
        <v>38672</v>
      </c>
      <c r="B184" t="s">
        <v>63</v>
      </c>
      <c r="C184">
        <v>115</v>
      </c>
      <c r="D184">
        <f>YEAR(cukier8[[#This Row],[data]])</f>
        <v>2005</v>
      </c>
      <c r="E184">
        <f>VLOOKUP(cukier8[[#This Row],[rok]],$L$2:$M$11,2,FALSE)*cukier8[[#This Row],[sprzedany_cukier]]</f>
        <v>230</v>
      </c>
    </row>
    <row r="185" spans="1:5" x14ac:dyDescent="0.25">
      <c r="A185" s="1">
        <v>38674</v>
      </c>
      <c r="B185" t="s">
        <v>69</v>
      </c>
      <c r="C185">
        <v>58</v>
      </c>
      <c r="D185">
        <f>YEAR(cukier8[[#This Row],[data]])</f>
        <v>2005</v>
      </c>
      <c r="E185">
        <f>VLOOKUP(cukier8[[#This Row],[rok]],$L$2:$M$11,2,FALSE)*cukier8[[#This Row],[sprzedany_cukier]]</f>
        <v>116</v>
      </c>
    </row>
    <row r="186" spans="1:5" x14ac:dyDescent="0.25">
      <c r="A186" s="1">
        <v>38674</v>
      </c>
      <c r="B186" t="s">
        <v>87</v>
      </c>
      <c r="C186">
        <v>16</v>
      </c>
      <c r="D186">
        <f>YEAR(cukier8[[#This Row],[data]])</f>
        <v>2005</v>
      </c>
      <c r="E186">
        <f>VLOOKUP(cukier8[[#This Row],[rok]],$L$2:$M$11,2,FALSE)*cukier8[[#This Row],[sprzedany_cukier]]</f>
        <v>32</v>
      </c>
    </row>
    <row r="187" spans="1:5" x14ac:dyDescent="0.25">
      <c r="A187" s="1">
        <v>38675</v>
      </c>
      <c r="B187" t="s">
        <v>53</v>
      </c>
      <c r="C187">
        <v>17</v>
      </c>
      <c r="D187">
        <f>YEAR(cukier8[[#This Row],[data]])</f>
        <v>2005</v>
      </c>
      <c r="E187">
        <f>VLOOKUP(cukier8[[#This Row],[rok]],$L$2:$M$11,2,FALSE)*cukier8[[#This Row],[sprzedany_cukier]]</f>
        <v>34</v>
      </c>
    </row>
    <row r="188" spans="1:5" x14ac:dyDescent="0.25">
      <c r="A188" s="1">
        <v>38676</v>
      </c>
      <c r="B188" t="s">
        <v>5</v>
      </c>
      <c r="C188">
        <v>177</v>
      </c>
      <c r="D188">
        <f>YEAR(cukier8[[#This Row],[data]])</f>
        <v>2005</v>
      </c>
      <c r="E188">
        <f>VLOOKUP(cukier8[[#This Row],[rok]],$L$2:$M$11,2,FALSE)*cukier8[[#This Row],[sprzedany_cukier]]</f>
        <v>354</v>
      </c>
    </row>
    <row r="189" spans="1:5" x14ac:dyDescent="0.25">
      <c r="A189" s="1">
        <v>38677</v>
      </c>
      <c r="B189" t="s">
        <v>78</v>
      </c>
      <c r="C189">
        <v>33</v>
      </c>
      <c r="D189">
        <f>YEAR(cukier8[[#This Row],[data]])</f>
        <v>2005</v>
      </c>
      <c r="E189">
        <f>VLOOKUP(cukier8[[#This Row],[rok]],$L$2:$M$11,2,FALSE)*cukier8[[#This Row],[sprzedany_cukier]]</f>
        <v>66</v>
      </c>
    </row>
    <row r="190" spans="1:5" x14ac:dyDescent="0.25">
      <c r="A190" s="1">
        <v>38680</v>
      </c>
      <c r="B190" t="s">
        <v>18</v>
      </c>
      <c r="C190">
        <v>60</v>
      </c>
      <c r="D190">
        <f>YEAR(cukier8[[#This Row],[data]])</f>
        <v>2005</v>
      </c>
      <c r="E190">
        <f>VLOOKUP(cukier8[[#This Row],[rok]],$L$2:$M$11,2,FALSE)*cukier8[[#This Row],[sprzedany_cukier]]</f>
        <v>120</v>
      </c>
    </row>
    <row r="191" spans="1:5" x14ac:dyDescent="0.25">
      <c r="A191" s="1">
        <v>38682</v>
      </c>
      <c r="B191" t="s">
        <v>88</v>
      </c>
      <c r="C191">
        <v>8</v>
      </c>
      <c r="D191">
        <f>YEAR(cukier8[[#This Row],[data]])</f>
        <v>2005</v>
      </c>
      <c r="E191">
        <f>VLOOKUP(cukier8[[#This Row],[rok]],$L$2:$M$11,2,FALSE)*cukier8[[#This Row],[sprzedany_cukier]]</f>
        <v>16</v>
      </c>
    </row>
    <row r="192" spans="1:5" x14ac:dyDescent="0.25">
      <c r="A192" s="1">
        <v>38687</v>
      </c>
      <c r="B192" t="s">
        <v>9</v>
      </c>
      <c r="C192">
        <v>317</v>
      </c>
      <c r="D192">
        <f>YEAR(cukier8[[#This Row],[data]])</f>
        <v>2005</v>
      </c>
      <c r="E192">
        <f>VLOOKUP(cukier8[[#This Row],[rok]],$L$2:$M$11,2,FALSE)*cukier8[[#This Row],[sprzedany_cukier]]</f>
        <v>634</v>
      </c>
    </row>
    <row r="193" spans="1:5" x14ac:dyDescent="0.25">
      <c r="A193" s="1">
        <v>38689</v>
      </c>
      <c r="B193" t="s">
        <v>89</v>
      </c>
      <c r="C193">
        <v>3</v>
      </c>
      <c r="D193">
        <f>YEAR(cukier8[[#This Row],[data]])</f>
        <v>2005</v>
      </c>
      <c r="E193">
        <f>VLOOKUP(cukier8[[#This Row],[rok]],$L$2:$M$11,2,FALSE)*cukier8[[#This Row],[sprzedany_cukier]]</f>
        <v>6</v>
      </c>
    </row>
    <row r="194" spans="1:5" x14ac:dyDescent="0.25">
      <c r="A194" s="1">
        <v>38691</v>
      </c>
      <c r="B194" t="s">
        <v>90</v>
      </c>
      <c r="C194">
        <v>16</v>
      </c>
      <c r="D194">
        <f>YEAR(cukier8[[#This Row],[data]])</f>
        <v>2005</v>
      </c>
      <c r="E194">
        <f>VLOOKUP(cukier8[[#This Row],[rok]],$L$2:$M$11,2,FALSE)*cukier8[[#This Row],[sprzedany_cukier]]</f>
        <v>32</v>
      </c>
    </row>
    <row r="195" spans="1:5" x14ac:dyDescent="0.25">
      <c r="A195" s="1">
        <v>38700</v>
      </c>
      <c r="B195" t="s">
        <v>65</v>
      </c>
      <c r="C195">
        <v>2</v>
      </c>
      <c r="D195">
        <f>YEAR(cukier8[[#This Row],[data]])</f>
        <v>2005</v>
      </c>
      <c r="E195">
        <f>VLOOKUP(cukier8[[#This Row],[rok]],$L$2:$M$11,2,FALSE)*cukier8[[#This Row],[sprzedany_cukier]]</f>
        <v>4</v>
      </c>
    </row>
    <row r="196" spans="1:5" x14ac:dyDescent="0.25">
      <c r="A196" s="1">
        <v>38705</v>
      </c>
      <c r="B196" t="s">
        <v>10</v>
      </c>
      <c r="C196">
        <v>161</v>
      </c>
      <c r="D196">
        <f>YEAR(cukier8[[#This Row],[data]])</f>
        <v>2005</v>
      </c>
      <c r="E196">
        <f>VLOOKUP(cukier8[[#This Row],[rok]],$L$2:$M$11,2,FALSE)*cukier8[[#This Row],[sprzedany_cukier]]</f>
        <v>322</v>
      </c>
    </row>
    <row r="197" spans="1:5" x14ac:dyDescent="0.25">
      <c r="A197" s="1">
        <v>38708</v>
      </c>
      <c r="B197" t="s">
        <v>37</v>
      </c>
      <c r="C197">
        <v>187</v>
      </c>
      <c r="D197">
        <f>YEAR(cukier8[[#This Row],[data]])</f>
        <v>2005</v>
      </c>
      <c r="E197">
        <f>VLOOKUP(cukier8[[#This Row],[rok]],$L$2:$M$11,2,FALSE)*cukier8[[#This Row],[sprzedany_cukier]]</f>
        <v>374</v>
      </c>
    </row>
    <row r="198" spans="1:5" x14ac:dyDescent="0.25">
      <c r="A198" s="1">
        <v>38708</v>
      </c>
      <c r="B198" t="s">
        <v>91</v>
      </c>
      <c r="C198">
        <v>17</v>
      </c>
      <c r="D198">
        <f>YEAR(cukier8[[#This Row],[data]])</f>
        <v>2005</v>
      </c>
      <c r="E198">
        <f>VLOOKUP(cukier8[[#This Row],[rok]],$L$2:$M$11,2,FALSE)*cukier8[[#This Row],[sprzedany_cukier]]</f>
        <v>34</v>
      </c>
    </row>
    <row r="199" spans="1:5" x14ac:dyDescent="0.25">
      <c r="A199" s="1">
        <v>38709</v>
      </c>
      <c r="B199" t="s">
        <v>92</v>
      </c>
      <c r="C199">
        <v>5</v>
      </c>
      <c r="D199">
        <f>YEAR(cukier8[[#This Row],[data]])</f>
        <v>2005</v>
      </c>
      <c r="E199">
        <f>VLOOKUP(cukier8[[#This Row],[rok]],$L$2:$M$11,2,FALSE)*cukier8[[#This Row],[sprzedany_cukier]]</f>
        <v>10</v>
      </c>
    </row>
    <row r="200" spans="1:5" x14ac:dyDescent="0.25">
      <c r="A200" s="1">
        <v>38711</v>
      </c>
      <c r="B200" t="s">
        <v>53</v>
      </c>
      <c r="C200">
        <v>10</v>
      </c>
      <c r="D200">
        <f>YEAR(cukier8[[#This Row],[data]])</f>
        <v>2005</v>
      </c>
      <c r="E200">
        <f>VLOOKUP(cukier8[[#This Row],[rok]],$L$2:$M$11,2,FALSE)*cukier8[[#This Row],[sprzedany_cukier]]</f>
        <v>20</v>
      </c>
    </row>
    <row r="201" spans="1:5" x14ac:dyDescent="0.25">
      <c r="A201" s="1">
        <v>38711</v>
      </c>
      <c r="B201" t="s">
        <v>14</v>
      </c>
      <c r="C201">
        <v>225</v>
      </c>
      <c r="D201">
        <f>YEAR(cukier8[[#This Row],[data]])</f>
        <v>2005</v>
      </c>
      <c r="E201">
        <f>VLOOKUP(cukier8[[#This Row],[rok]],$L$2:$M$11,2,FALSE)*cukier8[[#This Row],[sprzedany_cukier]]</f>
        <v>450</v>
      </c>
    </row>
    <row r="202" spans="1:5" x14ac:dyDescent="0.25">
      <c r="A202" s="1">
        <v>38716</v>
      </c>
      <c r="B202" t="s">
        <v>17</v>
      </c>
      <c r="C202">
        <v>367</v>
      </c>
      <c r="D202">
        <f>YEAR(cukier8[[#This Row],[data]])</f>
        <v>2005</v>
      </c>
      <c r="E202">
        <f>VLOOKUP(cukier8[[#This Row],[rok]],$L$2:$M$11,2,FALSE)*cukier8[[#This Row],[sprzedany_cukier]]</f>
        <v>734</v>
      </c>
    </row>
    <row r="203" spans="1:5" x14ac:dyDescent="0.25">
      <c r="A203" s="1">
        <v>38721</v>
      </c>
      <c r="B203" t="s">
        <v>14</v>
      </c>
      <c r="C203">
        <v>295</v>
      </c>
      <c r="D203">
        <f>YEAR(cukier8[[#This Row],[data]])</f>
        <v>2006</v>
      </c>
      <c r="E203">
        <f>VLOOKUP(cukier8[[#This Row],[rok]],$L$2:$M$11,2,FALSE)*cukier8[[#This Row],[sprzedany_cukier]]</f>
        <v>604.75</v>
      </c>
    </row>
    <row r="204" spans="1:5" x14ac:dyDescent="0.25">
      <c r="A204" s="1">
        <v>38725</v>
      </c>
      <c r="B204" t="s">
        <v>55</v>
      </c>
      <c r="C204">
        <v>26</v>
      </c>
      <c r="D204">
        <f>YEAR(cukier8[[#This Row],[data]])</f>
        <v>2006</v>
      </c>
      <c r="E204">
        <f>VLOOKUP(cukier8[[#This Row],[rok]],$L$2:$M$11,2,FALSE)*cukier8[[#This Row],[sprzedany_cukier]]</f>
        <v>53.3</v>
      </c>
    </row>
    <row r="205" spans="1:5" x14ac:dyDescent="0.25">
      <c r="A205" s="1">
        <v>38725</v>
      </c>
      <c r="B205" t="s">
        <v>93</v>
      </c>
      <c r="C205">
        <v>16</v>
      </c>
      <c r="D205">
        <f>YEAR(cukier8[[#This Row],[data]])</f>
        <v>2006</v>
      </c>
      <c r="E205">
        <f>VLOOKUP(cukier8[[#This Row],[rok]],$L$2:$M$11,2,FALSE)*cukier8[[#This Row],[sprzedany_cukier]]</f>
        <v>32.799999999999997</v>
      </c>
    </row>
    <row r="206" spans="1:5" x14ac:dyDescent="0.25">
      <c r="A206" s="1">
        <v>38729</v>
      </c>
      <c r="B206" t="s">
        <v>9</v>
      </c>
      <c r="C206">
        <v>165</v>
      </c>
      <c r="D206">
        <f>YEAR(cukier8[[#This Row],[data]])</f>
        <v>2006</v>
      </c>
      <c r="E206">
        <f>VLOOKUP(cukier8[[#This Row],[rok]],$L$2:$M$11,2,FALSE)*cukier8[[#This Row],[sprzedany_cukier]]</f>
        <v>338.24999999999994</v>
      </c>
    </row>
    <row r="207" spans="1:5" x14ac:dyDescent="0.25">
      <c r="A207" s="1">
        <v>38729</v>
      </c>
      <c r="B207" t="s">
        <v>94</v>
      </c>
      <c r="C207">
        <v>20</v>
      </c>
      <c r="D207">
        <f>YEAR(cukier8[[#This Row],[data]])</f>
        <v>2006</v>
      </c>
      <c r="E207">
        <f>VLOOKUP(cukier8[[#This Row],[rok]],$L$2:$M$11,2,FALSE)*cukier8[[#This Row],[sprzedany_cukier]]</f>
        <v>41</v>
      </c>
    </row>
    <row r="208" spans="1:5" x14ac:dyDescent="0.25">
      <c r="A208" s="1">
        <v>38734</v>
      </c>
      <c r="B208" t="s">
        <v>95</v>
      </c>
      <c r="C208">
        <v>2</v>
      </c>
      <c r="D208">
        <f>YEAR(cukier8[[#This Row],[data]])</f>
        <v>2006</v>
      </c>
      <c r="E208">
        <f>VLOOKUP(cukier8[[#This Row],[rok]],$L$2:$M$11,2,FALSE)*cukier8[[#This Row],[sprzedany_cukier]]</f>
        <v>4.0999999999999996</v>
      </c>
    </row>
    <row r="209" spans="1:5" x14ac:dyDescent="0.25">
      <c r="A209" s="1">
        <v>38734</v>
      </c>
      <c r="B209" t="s">
        <v>96</v>
      </c>
      <c r="C209">
        <v>7</v>
      </c>
      <c r="D209">
        <f>YEAR(cukier8[[#This Row],[data]])</f>
        <v>2006</v>
      </c>
      <c r="E209">
        <f>VLOOKUP(cukier8[[#This Row],[rok]],$L$2:$M$11,2,FALSE)*cukier8[[#This Row],[sprzedany_cukier]]</f>
        <v>14.349999999999998</v>
      </c>
    </row>
    <row r="210" spans="1:5" x14ac:dyDescent="0.25">
      <c r="A210" s="1">
        <v>38734</v>
      </c>
      <c r="B210" t="s">
        <v>29</v>
      </c>
      <c r="C210">
        <v>7</v>
      </c>
      <c r="D210">
        <f>YEAR(cukier8[[#This Row],[data]])</f>
        <v>2006</v>
      </c>
      <c r="E210">
        <f>VLOOKUP(cukier8[[#This Row],[rok]],$L$2:$M$11,2,FALSE)*cukier8[[#This Row],[sprzedany_cukier]]</f>
        <v>14.349999999999998</v>
      </c>
    </row>
    <row r="211" spans="1:5" x14ac:dyDescent="0.25">
      <c r="A211" s="1">
        <v>38734</v>
      </c>
      <c r="B211" t="s">
        <v>78</v>
      </c>
      <c r="C211">
        <v>72</v>
      </c>
      <c r="D211">
        <f>YEAR(cukier8[[#This Row],[data]])</f>
        <v>2006</v>
      </c>
      <c r="E211">
        <f>VLOOKUP(cukier8[[#This Row],[rok]],$L$2:$M$11,2,FALSE)*cukier8[[#This Row],[sprzedany_cukier]]</f>
        <v>147.6</v>
      </c>
    </row>
    <row r="212" spans="1:5" x14ac:dyDescent="0.25">
      <c r="A212" s="1">
        <v>38735</v>
      </c>
      <c r="B212" t="s">
        <v>71</v>
      </c>
      <c r="C212">
        <v>59</v>
      </c>
      <c r="D212">
        <f>YEAR(cukier8[[#This Row],[data]])</f>
        <v>2006</v>
      </c>
      <c r="E212">
        <f>VLOOKUP(cukier8[[#This Row],[rok]],$L$2:$M$11,2,FALSE)*cukier8[[#This Row],[sprzedany_cukier]]</f>
        <v>120.94999999999999</v>
      </c>
    </row>
    <row r="213" spans="1:5" x14ac:dyDescent="0.25">
      <c r="A213" s="1">
        <v>38736</v>
      </c>
      <c r="B213" t="s">
        <v>45</v>
      </c>
      <c r="C213">
        <v>212</v>
      </c>
      <c r="D213">
        <f>YEAR(cukier8[[#This Row],[data]])</f>
        <v>2006</v>
      </c>
      <c r="E213">
        <f>VLOOKUP(cukier8[[#This Row],[rok]],$L$2:$M$11,2,FALSE)*cukier8[[#This Row],[sprzedany_cukier]]</f>
        <v>434.59999999999997</v>
      </c>
    </row>
    <row r="214" spans="1:5" x14ac:dyDescent="0.25">
      <c r="A214" s="1">
        <v>38741</v>
      </c>
      <c r="B214" t="s">
        <v>17</v>
      </c>
      <c r="C214">
        <v>195</v>
      </c>
      <c r="D214">
        <f>YEAR(cukier8[[#This Row],[data]])</f>
        <v>2006</v>
      </c>
      <c r="E214">
        <f>VLOOKUP(cukier8[[#This Row],[rok]],$L$2:$M$11,2,FALSE)*cukier8[[#This Row],[sprzedany_cukier]]</f>
        <v>399.74999999999994</v>
      </c>
    </row>
    <row r="215" spans="1:5" x14ac:dyDescent="0.25">
      <c r="A215" s="1">
        <v>38741</v>
      </c>
      <c r="B215" t="s">
        <v>57</v>
      </c>
      <c r="C215">
        <v>16</v>
      </c>
      <c r="D215">
        <f>YEAR(cukier8[[#This Row],[data]])</f>
        <v>2006</v>
      </c>
      <c r="E215">
        <f>VLOOKUP(cukier8[[#This Row],[rok]],$L$2:$M$11,2,FALSE)*cukier8[[#This Row],[sprzedany_cukier]]</f>
        <v>32.799999999999997</v>
      </c>
    </row>
    <row r="216" spans="1:5" x14ac:dyDescent="0.25">
      <c r="A216" s="1">
        <v>38745</v>
      </c>
      <c r="B216" t="s">
        <v>12</v>
      </c>
      <c r="C216">
        <v>187</v>
      </c>
      <c r="D216">
        <f>YEAR(cukier8[[#This Row],[data]])</f>
        <v>2006</v>
      </c>
      <c r="E216">
        <f>VLOOKUP(cukier8[[#This Row],[rok]],$L$2:$M$11,2,FALSE)*cukier8[[#This Row],[sprzedany_cukier]]</f>
        <v>383.34999999999997</v>
      </c>
    </row>
    <row r="217" spans="1:5" x14ac:dyDescent="0.25">
      <c r="A217" s="1">
        <v>38751</v>
      </c>
      <c r="B217" t="s">
        <v>17</v>
      </c>
      <c r="C217">
        <v>369</v>
      </c>
      <c r="D217">
        <f>YEAR(cukier8[[#This Row],[data]])</f>
        <v>2006</v>
      </c>
      <c r="E217">
        <f>VLOOKUP(cukier8[[#This Row],[rok]],$L$2:$M$11,2,FALSE)*cukier8[[#This Row],[sprzedany_cukier]]</f>
        <v>756.44999999999993</v>
      </c>
    </row>
    <row r="218" spans="1:5" x14ac:dyDescent="0.25">
      <c r="A218" s="1">
        <v>38754</v>
      </c>
      <c r="B218" t="s">
        <v>35</v>
      </c>
      <c r="C218">
        <v>190</v>
      </c>
      <c r="D218">
        <f>YEAR(cukier8[[#This Row],[data]])</f>
        <v>2006</v>
      </c>
      <c r="E218">
        <f>VLOOKUP(cukier8[[#This Row],[rok]],$L$2:$M$11,2,FALSE)*cukier8[[#This Row],[sprzedany_cukier]]</f>
        <v>389.49999999999994</v>
      </c>
    </row>
    <row r="219" spans="1:5" x14ac:dyDescent="0.25">
      <c r="A219" s="1">
        <v>38754</v>
      </c>
      <c r="B219" t="s">
        <v>14</v>
      </c>
      <c r="C219">
        <v>453</v>
      </c>
      <c r="D219">
        <f>YEAR(cukier8[[#This Row],[data]])</f>
        <v>2006</v>
      </c>
      <c r="E219">
        <f>VLOOKUP(cukier8[[#This Row],[rok]],$L$2:$M$11,2,FALSE)*cukier8[[#This Row],[sprzedany_cukier]]</f>
        <v>928.64999999999986</v>
      </c>
    </row>
    <row r="220" spans="1:5" x14ac:dyDescent="0.25">
      <c r="A220" s="1">
        <v>38754</v>
      </c>
      <c r="B220" t="s">
        <v>22</v>
      </c>
      <c r="C220">
        <v>223</v>
      </c>
      <c r="D220">
        <f>YEAR(cukier8[[#This Row],[data]])</f>
        <v>2006</v>
      </c>
      <c r="E220">
        <f>VLOOKUP(cukier8[[#This Row],[rok]],$L$2:$M$11,2,FALSE)*cukier8[[#This Row],[sprzedany_cukier]]</f>
        <v>457.15</v>
      </c>
    </row>
    <row r="221" spans="1:5" x14ac:dyDescent="0.25">
      <c r="A221" s="1">
        <v>38755</v>
      </c>
      <c r="B221" t="s">
        <v>64</v>
      </c>
      <c r="C221">
        <v>1</v>
      </c>
      <c r="D221">
        <f>YEAR(cukier8[[#This Row],[data]])</f>
        <v>2006</v>
      </c>
      <c r="E221">
        <f>VLOOKUP(cukier8[[#This Row],[rok]],$L$2:$M$11,2,FALSE)*cukier8[[#This Row],[sprzedany_cukier]]</f>
        <v>2.0499999999999998</v>
      </c>
    </row>
    <row r="222" spans="1:5" x14ac:dyDescent="0.25">
      <c r="A222" s="1">
        <v>38757</v>
      </c>
      <c r="B222" t="s">
        <v>55</v>
      </c>
      <c r="C222">
        <v>170</v>
      </c>
      <c r="D222">
        <f>YEAR(cukier8[[#This Row],[data]])</f>
        <v>2006</v>
      </c>
      <c r="E222">
        <f>VLOOKUP(cukier8[[#This Row],[rok]],$L$2:$M$11,2,FALSE)*cukier8[[#This Row],[sprzedany_cukier]]</f>
        <v>348.49999999999994</v>
      </c>
    </row>
    <row r="223" spans="1:5" x14ac:dyDescent="0.25">
      <c r="A223" s="1">
        <v>38757</v>
      </c>
      <c r="B223" t="s">
        <v>86</v>
      </c>
      <c r="C223">
        <v>19</v>
      </c>
      <c r="D223">
        <f>YEAR(cukier8[[#This Row],[data]])</f>
        <v>2006</v>
      </c>
      <c r="E223">
        <f>VLOOKUP(cukier8[[#This Row],[rok]],$L$2:$M$11,2,FALSE)*cukier8[[#This Row],[sprzedany_cukier]]</f>
        <v>38.949999999999996</v>
      </c>
    </row>
    <row r="224" spans="1:5" x14ac:dyDescent="0.25">
      <c r="A224" s="1">
        <v>38757</v>
      </c>
      <c r="B224" t="s">
        <v>17</v>
      </c>
      <c r="C224">
        <v>464</v>
      </c>
      <c r="D224">
        <f>YEAR(cukier8[[#This Row],[data]])</f>
        <v>2006</v>
      </c>
      <c r="E224">
        <f>VLOOKUP(cukier8[[#This Row],[rok]],$L$2:$M$11,2,FALSE)*cukier8[[#This Row],[sprzedany_cukier]]</f>
        <v>951.19999999999993</v>
      </c>
    </row>
    <row r="225" spans="1:5" x14ac:dyDescent="0.25">
      <c r="A225" s="1">
        <v>38761</v>
      </c>
      <c r="B225" t="s">
        <v>7</v>
      </c>
      <c r="C225">
        <v>230</v>
      </c>
      <c r="D225">
        <f>YEAR(cukier8[[#This Row],[data]])</f>
        <v>2006</v>
      </c>
      <c r="E225">
        <f>VLOOKUP(cukier8[[#This Row],[rok]],$L$2:$M$11,2,FALSE)*cukier8[[#This Row],[sprzedany_cukier]]</f>
        <v>471.49999999999994</v>
      </c>
    </row>
    <row r="226" spans="1:5" x14ac:dyDescent="0.25">
      <c r="A226" s="1">
        <v>38765</v>
      </c>
      <c r="B226" t="s">
        <v>9</v>
      </c>
      <c r="C226">
        <v>387</v>
      </c>
      <c r="D226">
        <f>YEAR(cukier8[[#This Row],[data]])</f>
        <v>2006</v>
      </c>
      <c r="E226">
        <f>VLOOKUP(cukier8[[#This Row],[rok]],$L$2:$M$11,2,FALSE)*cukier8[[#This Row],[sprzedany_cukier]]</f>
        <v>793.34999999999991</v>
      </c>
    </row>
    <row r="227" spans="1:5" x14ac:dyDescent="0.25">
      <c r="A227" s="1">
        <v>38766</v>
      </c>
      <c r="B227" t="s">
        <v>45</v>
      </c>
      <c r="C227">
        <v>264</v>
      </c>
      <c r="D227">
        <f>YEAR(cukier8[[#This Row],[data]])</f>
        <v>2006</v>
      </c>
      <c r="E227">
        <f>VLOOKUP(cukier8[[#This Row],[rok]],$L$2:$M$11,2,FALSE)*cukier8[[#This Row],[sprzedany_cukier]]</f>
        <v>541.19999999999993</v>
      </c>
    </row>
    <row r="228" spans="1:5" x14ac:dyDescent="0.25">
      <c r="A228" s="1">
        <v>38767</v>
      </c>
      <c r="B228" t="s">
        <v>18</v>
      </c>
      <c r="C228">
        <v>163</v>
      </c>
      <c r="D228">
        <f>YEAR(cukier8[[#This Row],[data]])</f>
        <v>2006</v>
      </c>
      <c r="E228">
        <f>VLOOKUP(cukier8[[#This Row],[rok]],$L$2:$M$11,2,FALSE)*cukier8[[#This Row],[sprzedany_cukier]]</f>
        <v>334.15</v>
      </c>
    </row>
    <row r="229" spans="1:5" x14ac:dyDescent="0.25">
      <c r="A229" s="1">
        <v>38768</v>
      </c>
      <c r="B229" t="s">
        <v>36</v>
      </c>
      <c r="C229">
        <v>14</v>
      </c>
      <c r="D229">
        <f>YEAR(cukier8[[#This Row],[data]])</f>
        <v>2006</v>
      </c>
      <c r="E229">
        <f>VLOOKUP(cukier8[[#This Row],[rok]],$L$2:$M$11,2,FALSE)*cukier8[[#This Row],[sprzedany_cukier]]</f>
        <v>28.699999999999996</v>
      </c>
    </row>
    <row r="230" spans="1:5" x14ac:dyDescent="0.25">
      <c r="A230" s="1">
        <v>38769</v>
      </c>
      <c r="B230" t="s">
        <v>71</v>
      </c>
      <c r="C230">
        <v>98</v>
      </c>
      <c r="D230">
        <f>YEAR(cukier8[[#This Row],[data]])</f>
        <v>2006</v>
      </c>
      <c r="E230">
        <f>VLOOKUP(cukier8[[#This Row],[rok]],$L$2:$M$11,2,FALSE)*cukier8[[#This Row],[sprzedany_cukier]]</f>
        <v>200.89999999999998</v>
      </c>
    </row>
    <row r="231" spans="1:5" x14ac:dyDescent="0.25">
      <c r="A231" s="1">
        <v>38780</v>
      </c>
      <c r="B231" t="s">
        <v>97</v>
      </c>
      <c r="C231">
        <v>16</v>
      </c>
      <c r="D231">
        <f>YEAR(cukier8[[#This Row],[data]])</f>
        <v>2006</v>
      </c>
      <c r="E231">
        <f>VLOOKUP(cukier8[[#This Row],[rok]],$L$2:$M$11,2,FALSE)*cukier8[[#This Row],[sprzedany_cukier]]</f>
        <v>32.799999999999997</v>
      </c>
    </row>
    <row r="232" spans="1:5" x14ac:dyDescent="0.25">
      <c r="A232" s="1">
        <v>38780</v>
      </c>
      <c r="B232" t="s">
        <v>26</v>
      </c>
      <c r="C232">
        <v>80</v>
      </c>
      <c r="D232">
        <f>YEAR(cukier8[[#This Row],[data]])</f>
        <v>2006</v>
      </c>
      <c r="E232">
        <f>VLOOKUP(cukier8[[#This Row],[rok]],$L$2:$M$11,2,FALSE)*cukier8[[#This Row],[sprzedany_cukier]]</f>
        <v>164</v>
      </c>
    </row>
    <row r="233" spans="1:5" x14ac:dyDescent="0.25">
      <c r="A233" s="1">
        <v>38784</v>
      </c>
      <c r="B233" t="s">
        <v>39</v>
      </c>
      <c r="C233">
        <v>127</v>
      </c>
      <c r="D233">
        <f>YEAR(cukier8[[#This Row],[data]])</f>
        <v>2006</v>
      </c>
      <c r="E233">
        <f>VLOOKUP(cukier8[[#This Row],[rok]],$L$2:$M$11,2,FALSE)*cukier8[[#This Row],[sprzedany_cukier]]</f>
        <v>260.34999999999997</v>
      </c>
    </row>
    <row r="234" spans="1:5" x14ac:dyDescent="0.25">
      <c r="A234" s="1">
        <v>38786</v>
      </c>
      <c r="B234" t="s">
        <v>19</v>
      </c>
      <c r="C234">
        <v>170</v>
      </c>
      <c r="D234">
        <f>YEAR(cukier8[[#This Row],[data]])</f>
        <v>2006</v>
      </c>
      <c r="E234">
        <f>VLOOKUP(cukier8[[#This Row],[rok]],$L$2:$M$11,2,FALSE)*cukier8[[#This Row],[sprzedany_cukier]]</f>
        <v>348.49999999999994</v>
      </c>
    </row>
    <row r="235" spans="1:5" x14ac:dyDescent="0.25">
      <c r="A235" s="1">
        <v>38787</v>
      </c>
      <c r="B235" t="s">
        <v>61</v>
      </c>
      <c r="C235">
        <v>28</v>
      </c>
      <c r="D235">
        <f>YEAR(cukier8[[#This Row],[data]])</f>
        <v>2006</v>
      </c>
      <c r="E235">
        <f>VLOOKUP(cukier8[[#This Row],[rok]],$L$2:$M$11,2,FALSE)*cukier8[[#This Row],[sprzedany_cukier]]</f>
        <v>57.399999999999991</v>
      </c>
    </row>
    <row r="236" spans="1:5" x14ac:dyDescent="0.25">
      <c r="A236" s="1">
        <v>38788</v>
      </c>
      <c r="B236" t="s">
        <v>98</v>
      </c>
      <c r="C236">
        <v>12</v>
      </c>
      <c r="D236">
        <f>YEAR(cukier8[[#This Row],[data]])</f>
        <v>2006</v>
      </c>
      <c r="E236">
        <f>VLOOKUP(cukier8[[#This Row],[rok]],$L$2:$M$11,2,FALSE)*cukier8[[#This Row],[sprzedany_cukier]]</f>
        <v>24.599999999999998</v>
      </c>
    </row>
    <row r="237" spans="1:5" x14ac:dyDescent="0.25">
      <c r="A237" s="1">
        <v>38790</v>
      </c>
      <c r="B237" t="s">
        <v>99</v>
      </c>
      <c r="C237">
        <v>10</v>
      </c>
      <c r="D237">
        <f>YEAR(cukier8[[#This Row],[data]])</f>
        <v>2006</v>
      </c>
      <c r="E237">
        <f>VLOOKUP(cukier8[[#This Row],[rok]],$L$2:$M$11,2,FALSE)*cukier8[[#This Row],[sprzedany_cukier]]</f>
        <v>20.5</v>
      </c>
    </row>
    <row r="238" spans="1:5" x14ac:dyDescent="0.25">
      <c r="A238" s="1">
        <v>38791</v>
      </c>
      <c r="B238" t="s">
        <v>30</v>
      </c>
      <c r="C238">
        <v>65</v>
      </c>
      <c r="D238">
        <f>YEAR(cukier8[[#This Row],[data]])</f>
        <v>2006</v>
      </c>
      <c r="E238">
        <f>VLOOKUP(cukier8[[#This Row],[rok]],$L$2:$M$11,2,FALSE)*cukier8[[#This Row],[sprzedany_cukier]]</f>
        <v>133.25</v>
      </c>
    </row>
    <row r="239" spans="1:5" x14ac:dyDescent="0.25">
      <c r="A239" s="1">
        <v>38792</v>
      </c>
      <c r="B239" t="s">
        <v>100</v>
      </c>
      <c r="C239">
        <v>17</v>
      </c>
      <c r="D239">
        <f>YEAR(cukier8[[#This Row],[data]])</f>
        <v>2006</v>
      </c>
      <c r="E239">
        <f>VLOOKUP(cukier8[[#This Row],[rok]],$L$2:$M$11,2,FALSE)*cukier8[[#This Row],[sprzedany_cukier]]</f>
        <v>34.849999999999994</v>
      </c>
    </row>
    <row r="240" spans="1:5" x14ac:dyDescent="0.25">
      <c r="A240" s="1">
        <v>38792</v>
      </c>
      <c r="B240" t="s">
        <v>9</v>
      </c>
      <c r="C240">
        <v>262</v>
      </c>
      <c r="D240">
        <f>YEAR(cukier8[[#This Row],[data]])</f>
        <v>2006</v>
      </c>
      <c r="E240">
        <f>VLOOKUP(cukier8[[#This Row],[rok]],$L$2:$M$11,2,FALSE)*cukier8[[#This Row],[sprzedany_cukier]]</f>
        <v>537.09999999999991</v>
      </c>
    </row>
    <row r="241" spans="1:5" x14ac:dyDescent="0.25">
      <c r="A241" s="1">
        <v>38792</v>
      </c>
      <c r="B241" t="s">
        <v>101</v>
      </c>
      <c r="C241">
        <v>20</v>
      </c>
      <c r="D241">
        <f>YEAR(cukier8[[#This Row],[data]])</f>
        <v>2006</v>
      </c>
      <c r="E241">
        <f>VLOOKUP(cukier8[[#This Row],[rok]],$L$2:$M$11,2,FALSE)*cukier8[[#This Row],[sprzedany_cukier]]</f>
        <v>41</v>
      </c>
    </row>
    <row r="242" spans="1:5" x14ac:dyDescent="0.25">
      <c r="A242" s="1">
        <v>38801</v>
      </c>
      <c r="B242" t="s">
        <v>7</v>
      </c>
      <c r="C242">
        <v>224</v>
      </c>
      <c r="D242">
        <f>YEAR(cukier8[[#This Row],[data]])</f>
        <v>2006</v>
      </c>
      <c r="E242">
        <f>VLOOKUP(cukier8[[#This Row],[rok]],$L$2:$M$11,2,FALSE)*cukier8[[#This Row],[sprzedany_cukier]]</f>
        <v>459.19999999999993</v>
      </c>
    </row>
    <row r="243" spans="1:5" x14ac:dyDescent="0.25">
      <c r="A243" s="1">
        <v>38808</v>
      </c>
      <c r="B243" t="s">
        <v>52</v>
      </c>
      <c r="C243">
        <v>199</v>
      </c>
      <c r="D243">
        <f>YEAR(cukier8[[#This Row],[data]])</f>
        <v>2006</v>
      </c>
      <c r="E243">
        <f>VLOOKUP(cukier8[[#This Row],[rok]],$L$2:$M$11,2,FALSE)*cukier8[[#This Row],[sprzedany_cukier]]</f>
        <v>407.95</v>
      </c>
    </row>
    <row r="244" spans="1:5" x14ac:dyDescent="0.25">
      <c r="A244" s="1">
        <v>38813</v>
      </c>
      <c r="B244" t="s">
        <v>30</v>
      </c>
      <c r="C244">
        <v>70</v>
      </c>
      <c r="D244">
        <f>YEAR(cukier8[[#This Row],[data]])</f>
        <v>2006</v>
      </c>
      <c r="E244">
        <f>VLOOKUP(cukier8[[#This Row],[rok]],$L$2:$M$11,2,FALSE)*cukier8[[#This Row],[sprzedany_cukier]]</f>
        <v>143.5</v>
      </c>
    </row>
    <row r="245" spans="1:5" x14ac:dyDescent="0.25">
      <c r="A245" s="1">
        <v>38815</v>
      </c>
      <c r="B245" t="s">
        <v>102</v>
      </c>
      <c r="C245">
        <v>171</v>
      </c>
      <c r="D245">
        <f>YEAR(cukier8[[#This Row],[data]])</f>
        <v>2006</v>
      </c>
      <c r="E245">
        <f>VLOOKUP(cukier8[[#This Row],[rok]],$L$2:$M$11,2,FALSE)*cukier8[[#This Row],[sprzedany_cukier]]</f>
        <v>350.54999999999995</v>
      </c>
    </row>
    <row r="246" spans="1:5" x14ac:dyDescent="0.25">
      <c r="A246" s="1">
        <v>38815</v>
      </c>
      <c r="B246" t="s">
        <v>103</v>
      </c>
      <c r="C246">
        <v>1</v>
      </c>
      <c r="D246">
        <f>YEAR(cukier8[[#This Row],[data]])</f>
        <v>2006</v>
      </c>
      <c r="E246">
        <f>VLOOKUP(cukier8[[#This Row],[rok]],$L$2:$M$11,2,FALSE)*cukier8[[#This Row],[sprzedany_cukier]]</f>
        <v>2.0499999999999998</v>
      </c>
    </row>
    <row r="247" spans="1:5" x14ac:dyDescent="0.25">
      <c r="A247" s="1">
        <v>38817</v>
      </c>
      <c r="B247" t="s">
        <v>94</v>
      </c>
      <c r="C247">
        <v>13</v>
      </c>
      <c r="D247">
        <f>YEAR(cukier8[[#This Row],[data]])</f>
        <v>2006</v>
      </c>
      <c r="E247">
        <f>VLOOKUP(cukier8[[#This Row],[rok]],$L$2:$M$11,2,FALSE)*cukier8[[#This Row],[sprzedany_cukier]]</f>
        <v>26.65</v>
      </c>
    </row>
    <row r="248" spans="1:5" x14ac:dyDescent="0.25">
      <c r="A248" s="1">
        <v>38818</v>
      </c>
      <c r="B248" t="s">
        <v>9</v>
      </c>
      <c r="C248">
        <v>293</v>
      </c>
      <c r="D248">
        <f>YEAR(cukier8[[#This Row],[data]])</f>
        <v>2006</v>
      </c>
      <c r="E248">
        <f>VLOOKUP(cukier8[[#This Row],[rok]],$L$2:$M$11,2,FALSE)*cukier8[[#This Row],[sprzedany_cukier]]</f>
        <v>600.65</v>
      </c>
    </row>
    <row r="249" spans="1:5" x14ac:dyDescent="0.25">
      <c r="A249" s="1">
        <v>38818</v>
      </c>
      <c r="B249" t="s">
        <v>87</v>
      </c>
      <c r="C249">
        <v>11</v>
      </c>
      <c r="D249">
        <f>YEAR(cukier8[[#This Row],[data]])</f>
        <v>2006</v>
      </c>
      <c r="E249">
        <f>VLOOKUP(cukier8[[#This Row],[rok]],$L$2:$M$11,2,FALSE)*cukier8[[#This Row],[sprzedany_cukier]]</f>
        <v>22.549999999999997</v>
      </c>
    </row>
    <row r="250" spans="1:5" x14ac:dyDescent="0.25">
      <c r="A250" s="1">
        <v>38820</v>
      </c>
      <c r="B250" t="s">
        <v>50</v>
      </c>
      <c r="C250">
        <v>162</v>
      </c>
      <c r="D250">
        <f>YEAR(cukier8[[#This Row],[data]])</f>
        <v>2006</v>
      </c>
      <c r="E250">
        <f>VLOOKUP(cukier8[[#This Row],[rok]],$L$2:$M$11,2,FALSE)*cukier8[[#This Row],[sprzedany_cukier]]</f>
        <v>332.09999999999997</v>
      </c>
    </row>
    <row r="251" spans="1:5" x14ac:dyDescent="0.25">
      <c r="A251" s="1">
        <v>38821</v>
      </c>
      <c r="B251" t="s">
        <v>58</v>
      </c>
      <c r="C251">
        <v>187</v>
      </c>
      <c r="D251">
        <f>YEAR(cukier8[[#This Row],[data]])</f>
        <v>2006</v>
      </c>
      <c r="E251">
        <f>VLOOKUP(cukier8[[#This Row],[rok]],$L$2:$M$11,2,FALSE)*cukier8[[#This Row],[sprzedany_cukier]]</f>
        <v>383.34999999999997</v>
      </c>
    </row>
    <row r="252" spans="1:5" x14ac:dyDescent="0.25">
      <c r="A252" s="1">
        <v>38822</v>
      </c>
      <c r="B252" t="s">
        <v>18</v>
      </c>
      <c r="C252">
        <v>192</v>
      </c>
      <c r="D252">
        <f>YEAR(cukier8[[#This Row],[data]])</f>
        <v>2006</v>
      </c>
      <c r="E252">
        <f>VLOOKUP(cukier8[[#This Row],[rok]],$L$2:$M$11,2,FALSE)*cukier8[[#This Row],[sprzedany_cukier]]</f>
        <v>393.59999999999997</v>
      </c>
    </row>
    <row r="253" spans="1:5" x14ac:dyDescent="0.25">
      <c r="A253" s="1">
        <v>38824</v>
      </c>
      <c r="B253" t="s">
        <v>24</v>
      </c>
      <c r="C253">
        <v>127</v>
      </c>
      <c r="D253">
        <f>YEAR(cukier8[[#This Row],[data]])</f>
        <v>2006</v>
      </c>
      <c r="E253">
        <f>VLOOKUP(cukier8[[#This Row],[rok]],$L$2:$M$11,2,FALSE)*cukier8[[#This Row],[sprzedany_cukier]]</f>
        <v>260.34999999999997</v>
      </c>
    </row>
    <row r="254" spans="1:5" x14ac:dyDescent="0.25">
      <c r="A254" s="1">
        <v>38826</v>
      </c>
      <c r="B254" t="s">
        <v>9</v>
      </c>
      <c r="C254">
        <v>198</v>
      </c>
      <c r="D254">
        <f>YEAR(cukier8[[#This Row],[data]])</f>
        <v>2006</v>
      </c>
      <c r="E254">
        <f>VLOOKUP(cukier8[[#This Row],[rok]],$L$2:$M$11,2,FALSE)*cukier8[[#This Row],[sprzedany_cukier]]</f>
        <v>405.9</v>
      </c>
    </row>
    <row r="255" spans="1:5" x14ac:dyDescent="0.25">
      <c r="A255" s="1">
        <v>38826</v>
      </c>
      <c r="B255" t="s">
        <v>104</v>
      </c>
      <c r="C255">
        <v>4</v>
      </c>
      <c r="D255">
        <f>YEAR(cukier8[[#This Row],[data]])</f>
        <v>2006</v>
      </c>
      <c r="E255">
        <f>VLOOKUP(cukier8[[#This Row],[rok]],$L$2:$M$11,2,FALSE)*cukier8[[#This Row],[sprzedany_cukier]]</f>
        <v>8.1999999999999993</v>
      </c>
    </row>
    <row r="256" spans="1:5" x14ac:dyDescent="0.25">
      <c r="A256" s="1">
        <v>38826</v>
      </c>
      <c r="B256" t="s">
        <v>17</v>
      </c>
      <c r="C256">
        <v>110</v>
      </c>
      <c r="D256">
        <f>YEAR(cukier8[[#This Row],[data]])</f>
        <v>2006</v>
      </c>
      <c r="E256">
        <f>VLOOKUP(cukier8[[#This Row],[rok]],$L$2:$M$11,2,FALSE)*cukier8[[#This Row],[sprzedany_cukier]]</f>
        <v>225.49999999999997</v>
      </c>
    </row>
    <row r="257" spans="1:5" x14ac:dyDescent="0.25">
      <c r="A257" s="1">
        <v>38826</v>
      </c>
      <c r="B257" t="s">
        <v>18</v>
      </c>
      <c r="C257">
        <v>123</v>
      </c>
      <c r="D257">
        <f>YEAR(cukier8[[#This Row],[data]])</f>
        <v>2006</v>
      </c>
      <c r="E257">
        <f>VLOOKUP(cukier8[[#This Row],[rok]],$L$2:$M$11,2,FALSE)*cukier8[[#This Row],[sprzedany_cukier]]</f>
        <v>252.14999999999998</v>
      </c>
    </row>
    <row r="258" spans="1:5" x14ac:dyDescent="0.25">
      <c r="A258" s="1">
        <v>38827</v>
      </c>
      <c r="B258" t="s">
        <v>66</v>
      </c>
      <c r="C258">
        <v>159</v>
      </c>
      <c r="D258">
        <f>YEAR(cukier8[[#This Row],[data]])</f>
        <v>2006</v>
      </c>
      <c r="E258">
        <f>VLOOKUP(cukier8[[#This Row],[rok]],$L$2:$M$11,2,FALSE)*cukier8[[#This Row],[sprzedany_cukier]]</f>
        <v>325.95</v>
      </c>
    </row>
    <row r="259" spans="1:5" x14ac:dyDescent="0.25">
      <c r="A259" s="1">
        <v>38828</v>
      </c>
      <c r="B259" t="s">
        <v>105</v>
      </c>
      <c r="C259">
        <v>19</v>
      </c>
      <c r="D259">
        <f>YEAR(cukier8[[#This Row],[data]])</f>
        <v>2006</v>
      </c>
      <c r="E259">
        <f>VLOOKUP(cukier8[[#This Row],[rok]],$L$2:$M$11,2,FALSE)*cukier8[[#This Row],[sprzedany_cukier]]</f>
        <v>38.949999999999996</v>
      </c>
    </row>
    <row r="260" spans="1:5" x14ac:dyDescent="0.25">
      <c r="A260" s="1">
        <v>38834</v>
      </c>
      <c r="B260" t="s">
        <v>22</v>
      </c>
      <c r="C260">
        <v>289</v>
      </c>
      <c r="D260">
        <f>YEAR(cukier8[[#This Row],[data]])</f>
        <v>2006</v>
      </c>
      <c r="E260">
        <f>VLOOKUP(cukier8[[#This Row],[rok]],$L$2:$M$11,2,FALSE)*cukier8[[#This Row],[sprzedany_cukier]]</f>
        <v>592.44999999999993</v>
      </c>
    </row>
    <row r="261" spans="1:5" x14ac:dyDescent="0.25">
      <c r="A261" s="1">
        <v>38834</v>
      </c>
      <c r="B261" t="s">
        <v>23</v>
      </c>
      <c r="C261">
        <v>136</v>
      </c>
      <c r="D261">
        <f>YEAR(cukier8[[#This Row],[data]])</f>
        <v>2006</v>
      </c>
      <c r="E261">
        <f>VLOOKUP(cukier8[[#This Row],[rok]],$L$2:$M$11,2,FALSE)*cukier8[[#This Row],[sprzedany_cukier]]</f>
        <v>278.79999999999995</v>
      </c>
    </row>
    <row r="262" spans="1:5" x14ac:dyDescent="0.25">
      <c r="A262" s="1">
        <v>38845</v>
      </c>
      <c r="B262" t="s">
        <v>25</v>
      </c>
      <c r="C262">
        <v>41</v>
      </c>
      <c r="D262">
        <f>YEAR(cukier8[[#This Row],[data]])</f>
        <v>2006</v>
      </c>
      <c r="E262">
        <f>VLOOKUP(cukier8[[#This Row],[rok]],$L$2:$M$11,2,FALSE)*cukier8[[#This Row],[sprzedany_cukier]]</f>
        <v>84.05</v>
      </c>
    </row>
    <row r="263" spans="1:5" x14ac:dyDescent="0.25">
      <c r="A263" s="1">
        <v>38846</v>
      </c>
      <c r="B263" t="s">
        <v>45</v>
      </c>
      <c r="C263">
        <v>385</v>
      </c>
      <c r="D263">
        <f>YEAR(cukier8[[#This Row],[data]])</f>
        <v>2006</v>
      </c>
      <c r="E263">
        <f>VLOOKUP(cukier8[[#This Row],[rok]],$L$2:$M$11,2,FALSE)*cukier8[[#This Row],[sprzedany_cukier]]</f>
        <v>789.24999999999989</v>
      </c>
    </row>
    <row r="264" spans="1:5" x14ac:dyDescent="0.25">
      <c r="A264" s="1">
        <v>38847</v>
      </c>
      <c r="B264" t="s">
        <v>106</v>
      </c>
      <c r="C264">
        <v>17</v>
      </c>
      <c r="D264">
        <f>YEAR(cukier8[[#This Row],[data]])</f>
        <v>2006</v>
      </c>
      <c r="E264">
        <f>VLOOKUP(cukier8[[#This Row],[rok]],$L$2:$M$11,2,FALSE)*cukier8[[#This Row],[sprzedany_cukier]]</f>
        <v>34.849999999999994</v>
      </c>
    </row>
    <row r="265" spans="1:5" x14ac:dyDescent="0.25">
      <c r="A265" s="1">
        <v>38847</v>
      </c>
      <c r="B265" t="s">
        <v>107</v>
      </c>
      <c r="C265">
        <v>20</v>
      </c>
      <c r="D265">
        <f>YEAR(cukier8[[#This Row],[data]])</f>
        <v>2006</v>
      </c>
      <c r="E265">
        <f>VLOOKUP(cukier8[[#This Row],[rok]],$L$2:$M$11,2,FALSE)*cukier8[[#This Row],[sprzedany_cukier]]</f>
        <v>41</v>
      </c>
    </row>
    <row r="266" spans="1:5" x14ac:dyDescent="0.25">
      <c r="A266" s="1">
        <v>38851</v>
      </c>
      <c r="B266" t="s">
        <v>108</v>
      </c>
      <c r="C266">
        <v>19</v>
      </c>
      <c r="D266">
        <f>YEAR(cukier8[[#This Row],[data]])</f>
        <v>2006</v>
      </c>
      <c r="E266">
        <f>VLOOKUP(cukier8[[#This Row],[rok]],$L$2:$M$11,2,FALSE)*cukier8[[#This Row],[sprzedany_cukier]]</f>
        <v>38.949999999999996</v>
      </c>
    </row>
    <row r="267" spans="1:5" x14ac:dyDescent="0.25">
      <c r="A267" s="1">
        <v>38852</v>
      </c>
      <c r="B267" t="s">
        <v>43</v>
      </c>
      <c r="C267">
        <v>13</v>
      </c>
      <c r="D267">
        <f>YEAR(cukier8[[#This Row],[data]])</f>
        <v>2006</v>
      </c>
      <c r="E267">
        <f>VLOOKUP(cukier8[[#This Row],[rok]],$L$2:$M$11,2,FALSE)*cukier8[[#This Row],[sprzedany_cukier]]</f>
        <v>26.65</v>
      </c>
    </row>
    <row r="268" spans="1:5" x14ac:dyDescent="0.25">
      <c r="A268" s="1">
        <v>38853</v>
      </c>
      <c r="B268" t="s">
        <v>97</v>
      </c>
      <c r="C268">
        <v>13</v>
      </c>
      <c r="D268">
        <f>YEAR(cukier8[[#This Row],[data]])</f>
        <v>2006</v>
      </c>
      <c r="E268">
        <f>VLOOKUP(cukier8[[#This Row],[rok]],$L$2:$M$11,2,FALSE)*cukier8[[#This Row],[sprzedany_cukier]]</f>
        <v>26.65</v>
      </c>
    </row>
    <row r="269" spans="1:5" x14ac:dyDescent="0.25">
      <c r="A269" s="1">
        <v>38855</v>
      </c>
      <c r="B269" t="s">
        <v>80</v>
      </c>
      <c r="C269">
        <v>168</v>
      </c>
      <c r="D269">
        <f>YEAR(cukier8[[#This Row],[data]])</f>
        <v>2006</v>
      </c>
      <c r="E269">
        <f>VLOOKUP(cukier8[[#This Row],[rok]],$L$2:$M$11,2,FALSE)*cukier8[[#This Row],[sprzedany_cukier]]</f>
        <v>344.4</v>
      </c>
    </row>
    <row r="270" spans="1:5" x14ac:dyDescent="0.25">
      <c r="A270" s="1">
        <v>38855</v>
      </c>
      <c r="B270" t="s">
        <v>109</v>
      </c>
      <c r="C270">
        <v>18</v>
      </c>
      <c r="D270">
        <f>YEAR(cukier8[[#This Row],[data]])</f>
        <v>2006</v>
      </c>
      <c r="E270">
        <f>VLOOKUP(cukier8[[#This Row],[rok]],$L$2:$M$11,2,FALSE)*cukier8[[#This Row],[sprzedany_cukier]]</f>
        <v>36.9</v>
      </c>
    </row>
    <row r="271" spans="1:5" x14ac:dyDescent="0.25">
      <c r="A271" s="1">
        <v>38855</v>
      </c>
      <c r="B271" t="s">
        <v>14</v>
      </c>
      <c r="C271">
        <v>131</v>
      </c>
      <c r="D271">
        <f>YEAR(cukier8[[#This Row],[data]])</f>
        <v>2006</v>
      </c>
      <c r="E271">
        <f>VLOOKUP(cukier8[[#This Row],[rok]],$L$2:$M$11,2,FALSE)*cukier8[[#This Row],[sprzedany_cukier]]</f>
        <v>268.54999999999995</v>
      </c>
    </row>
    <row r="272" spans="1:5" x14ac:dyDescent="0.25">
      <c r="A272" s="1">
        <v>38856</v>
      </c>
      <c r="B272" t="s">
        <v>22</v>
      </c>
      <c r="C272">
        <v>187</v>
      </c>
      <c r="D272">
        <f>YEAR(cukier8[[#This Row],[data]])</f>
        <v>2006</v>
      </c>
      <c r="E272">
        <f>VLOOKUP(cukier8[[#This Row],[rok]],$L$2:$M$11,2,FALSE)*cukier8[[#This Row],[sprzedany_cukier]]</f>
        <v>383.34999999999997</v>
      </c>
    </row>
    <row r="273" spans="1:5" x14ac:dyDescent="0.25">
      <c r="A273" s="1">
        <v>38857</v>
      </c>
      <c r="B273" t="s">
        <v>24</v>
      </c>
      <c r="C273">
        <v>412</v>
      </c>
      <c r="D273">
        <f>YEAR(cukier8[[#This Row],[data]])</f>
        <v>2006</v>
      </c>
      <c r="E273">
        <f>VLOOKUP(cukier8[[#This Row],[rok]],$L$2:$M$11,2,FALSE)*cukier8[[#This Row],[sprzedany_cukier]]</f>
        <v>844.59999999999991</v>
      </c>
    </row>
    <row r="274" spans="1:5" x14ac:dyDescent="0.25">
      <c r="A274" s="1">
        <v>38859</v>
      </c>
      <c r="B274" t="s">
        <v>6</v>
      </c>
      <c r="C274">
        <v>40</v>
      </c>
      <c r="D274">
        <f>YEAR(cukier8[[#This Row],[data]])</f>
        <v>2006</v>
      </c>
      <c r="E274">
        <f>VLOOKUP(cukier8[[#This Row],[rok]],$L$2:$M$11,2,FALSE)*cukier8[[#This Row],[sprzedany_cukier]]</f>
        <v>82</v>
      </c>
    </row>
    <row r="275" spans="1:5" x14ac:dyDescent="0.25">
      <c r="A275" s="1">
        <v>38860</v>
      </c>
      <c r="B275" t="s">
        <v>37</v>
      </c>
      <c r="C275">
        <v>166</v>
      </c>
      <c r="D275">
        <f>YEAR(cukier8[[#This Row],[data]])</f>
        <v>2006</v>
      </c>
      <c r="E275">
        <f>VLOOKUP(cukier8[[#This Row],[rok]],$L$2:$M$11,2,FALSE)*cukier8[[#This Row],[sprzedany_cukier]]</f>
        <v>340.29999999999995</v>
      </c>
    </row>
    <row r="276" spans="1:5" x14ac:dyDescent="0.25">
      <c r="A276" s="1">
        <v>38861</v>
      </c>
      <c r="B276" t="s">
        <v>66</v>
      </c>
      <c r="C276">
        <v>173</v>
      </c>
      <c r="D276">
        <f>YEAR(cukier8[[#This Row],[data]])</f>
        <v>2006</v>
      </c>
      <c r="E276">
        <f>VLOOKUP(cukier8[[#This Row],[rok]],$L$2:$M$11,2,FALSE)*cukier8[[#This Row],[sprzedany_cukier]]</f>
        <v>354.65</v>
      </c>
    </row>
    <row r="277" spans="1:5" x14ac:dyDescent="0.25">
      <c r="A277" s="1">
        <v>38862</v>
      </c>
      <c r="B277" t="s">
        <v>110</v>
      </c>
      <c r="C277">
        <v>2</v>
      </c>
      <c r="D277">
        <f>YEAR(cukier8[[#This Row],[data]])</f>
        <v>2006</v>
      </c>
      <c r="E277">
        <f>VLOOKUP(cukier8[[#This Row],[rok]],$L$2:$M$11,2,FALSE)*cukier8[[#This Row],[sprzedany_cukier]]</f>
        <v>4.0999999999999996</v>
      </c>
    </row>
    <row r="278" spans="1:5" x14ac:dyDescent="0.25">
      <c r="A278" s="1">
        <v>38862</v>
      </c>
      <c r="B278" t="s">
        <v>111</v>
      </c>
      <c r="C278">
        <v>18</v>
      </c>
      <c r="D278">
        <f>YEAR(cukier8[[#This Row],[data]])</f>
        <v>2006</v>
      </c>
      <c r="E278">
        <f>VLOOKUP(cukier8[[#This Row],[rok]],$L$2:$M$11,2,FALSE)*cukier8[[#This Row],[sprzedany_cukier]]</f>
        <v>36.9</v>
      </c>
    </row>
    <row r="279" spans="1:5" x14ac:dyDescent="0.25">
      <c r="A279" s="1">
        <v>38863</v>
      </c>
      <c r="B279" t="s">
        <v>112</v>
      </c>
      <c r="C279">
        <v>15</v>
      </c>
      <c r="D279">
        <f>YEAR(cukier8[[#This Row],[data]])</f>
        <v>2006</v>
      </c>
      <c r="E279">
        <f>VLOOKUP(cukier8[[#This Row],[rok]],$L$2:$M$11,2,FALSE)*cukier8[[#This Row],[sprzedany_cukier]]</f>
        <v>30.749999999999996</v>
      </c>
    </row>
    <row r="280" spans="1:5" x14ac:dyDescent="0.25">
      <c r="A280" s="1">
        <v>38864</v>
      </c>
      <c r="B280" t="s">
        <v>102</v>
      </c>
      <c r="C280">
        <v>243</v>
      </c>
      <c r="D280">
        <f>YEAR(cukier8[[#This Row],[data]])</f>
        <v>2006</v>
      </c>
      <c r="E280">
        <f>VLOOKUP(cukier8[[#This Row],[rok]],$L$2:$M$11,2,FALSE)*cukier8[[#This Row],[sprzedany_cukier]]</f>
        <v>498.15</v>
      </c>
    </row>
    <row r="281" spans="1:5" x14ac:dyDescent="0.25">
      <c r="A281" s="1">
        <v>38865</v>
      </c>
      <c r="B281" t="s">
        <v>17</v>
      </c>
      <c r="C281">
        <v>460</v>
      </c>
      <c r="D281">
        <f>YEAR(cukier8[[#This Row],[data]])</f>
        <v>2006</v>
      </c>
      <c r="E281">
        <f>VLOOKUP(cukier8[[#This Row],[rok]],$L$2:$M$11,2,FALSE)*cukier8[[#This Row],[sprzedany_cukier]]</f>
        <v>942.99999999999989</v>
      </c>
    </row>
    <row r="282" spans="1:5" x14ac:dyDescent="0.25">
      <c r="A282" s="1">
        <v>38865</v>
      </c>
      <c r="B282" t="s">
        <v>113</v>
      </c>
      <c r="C282">
        <v>8</v>
      </c>
      <c r="D282">
        <f>YEAR(cukier8[[#This Row],[data]])</f>
        <v>2006</v>
      </c>
      <c r="E282">
        <f>VLOOKUP(cukier8[[#This Row],[rok]],$L$2:$M$11,2,FALSE)*cukier8[[#This Row],[sprzedany_cukier]]</f>
        <v>16.399999999999999</v>
      </c>
    </row>
    <row r="283" spans="1:5" x14ac:dyDescent="0.25">
      <c r="A283" s="1">
        <v>38866</v>
      </c>
      <c r="B283" t="s">
        <v>8</v>
      </c>
      <c r="C283">
        <v>150</v>
      </c>
      <c r="D283">
        <f>YEAR(cukier8[[#This Row],[data]])</f>
        <v>2006</v>
      </c>
      <c r="E283">
        <f>VLOOKUP(cukier8[[#This Row],[rok]],$L$2:$M$11,2,FALSE)*cukier8[[#This Row],[sprzedany_cukier]]</f>
        <v>307.5</v>
      </c>
    </row>
    <row r="284" spans="1:5" x14ac:dyDescent="0.25">
      <c r="A284" s="1">
        <v>38867</v>
      </c>
      <c r="B284" t="s">
        <v>52</v>
      </c>
      <c r="C284">
        <v>72</v>
      </c>
      <c r="D284">
        <f>YEAR(cukier8[[#This Row],[data]])</f>
        <v>2006</v>
      </c>
      <c r="E284">
        <f>VLOOKUP(cukier8[[#This Row],[rok]],$L$2:$M$11,2,FALSE)*cukier8[[#This Row],[sprzedany_cukier]]</f>
        <v>147.6</v>
      </c>
    </row>
    <row r="285" spans="1:5" x14ac:dyDescent="0.25">
      <c r="A285" s="1">
        <v>38867</v>
      </c>
      <c r="B285" t="s">
        <v>9</v>
      </c>
      <c r="C285">
        <v>217</v>
      </c>
      <c r="D285">
        <f>YEAR(cukier8[[#This Row],[data]])</f>
        <v>2006</v>
      </c>
      <c r="E285">
        <f>VLOOKUP(cukier8[[#This Row],[rok]],$L$2:$M$11,2,FALSE)*cukier8[[#This Row],[sprzedany_cukier]]</f>
        <v>444.84999999999997</v>
      </c>
    </row>
    <row r="286" spans="1:5" x14ac:dyDescent="0.25">
      <c r="A286" s="1">
        <v>38870</v>
      </c>
      <c r="B286" t="s">
        <v>39</v>
      </c>
      <c r="C286">
        <v>164</v>
      </c>
      <c r="D286">
        <f>YEAR(cukier8[[#This Row],[data]])</f>
        <v>2006</v>
      </c>
      <c r="E286">
        <f>VLOOKUP(cukier8[[#This Row],[rok]],$L$2:$M$11,2,FALSE)*cukier8[[#This Row],[sprzedany_cukier]]</f>
        <v>336.2</v>
      </c>
    </row>
    <row r="287" spans="1:5" x14ac:dyDescent="0.25">
      <c r="A287" s="1">
        <v>38870</v>
      </c>
      <c r="B287" t="s">
        <v>45</v>
      </c>
      <c r="C287">
        <v>429</v>
      </c>
      <c r="D287">
        <f>YEAR(cukier8[[#This Row],[data]])</f>
        <v>2006</v>
      </c>
      <c r="E287">
        <f>VLOOKUP(cukier8[[#This Row],[rok]],$L$2:$M$11,2,FALSE)*cukier8[[#This Row],[sprzedany_cukier]]</f>
        <v>879.44999999999993</v>
      </c>
    </row>
    <row r="288" spans="1:5" x14ac:dyDescent="0.25">
      <c r="A288" s="1">
        <v>38875</v>
      </c>
      <c r="B288" t="s">
        <v>8</v>
      </c>
      <c r="C288">
        <v>63</v>
      </c>
      <c r="D288">
        <f>YEAR(cukier8[[#This Row],[data]])</f>
        <v>2006</v>
      </c>
      <c r="E288">
        <f>VLOOKUP(cukier8[[#This Row],[rok]],$L$2:$M$11,2,FALSE)*cukier8[[#This Row],[sprzedany_cukier]]</f>
        <v>129.14999999999998</v>
      </c>
    </row>
    <row r="289" spans="1:5" x14ac:dyDescent="0.25">
      <c r="A289" s="1">
        <v>38878</v>
      </c>
      <c r="B289" t="s">
        <v>30</v>
      </c>
      <c r="C289">
        <v>106</v>
      </c>
      <c r="D289">
        <f>YEAR(cukier8[[#This Row],[data]])</f>
        <v>2006</v>
      </c>
      <c r="E289">
        <f>VLOOKUP(cukier8[[#This Row],[rok]],$L$2:$M$11,2,FALSE)*cukier8[[#This Row],[sprzedany_cukier]]</f>
        <v>217.29999999999998</v>
      </c>
    </row>
    <row r="290" spans="1:5" x14ac:dyDescent="0.25">
      <c r="A290" s="1">
        <v>38886</v>
      </c>
      <c r="B290" t="s">
        <v>22</v>
      </c>
      <c r="C290">
        <v>136</v>
      </c>
      <c r="D290">
        <f>YEAR(cukier8[[#This Row],[data]])</f>
        <v>2006</v>
      </c>
      <c r="E290">
        <f>VLOOKUP(cukier8[[#This Row],[rok]],$L$2:$M$11,2,FALSE)*cukier8[[#This Row],[sprzedany_cukier]]</f>
        <v>278.79999999999995</v>
      </c>
    </row>
    <row r="291" spans="1:5" x14ac:dyDescent="0.25">
      <c r="A291" s="1">
        <v>38887</v>
      </c>
      <c r="B291" t="s">
        <v>114</v>
      </c>
      <c r="C291">
        <v>7</v>
      </c>
      <c r="D291">
        <f>YEAR(cukier8[[#This Row],[data]])</f>
        <v>2006</v>
      </c>
      <c r="E291">
        <f>VLOOKUP(cukier8[[#This Row],[rok]],$L$2:$M$11,2,FALSE)*cukier8[[#This Row],[sprzedany_cukier]]</f>
        <v>14.349999999999998</v>
      </c>
    </row>
    <row r="292" spans="1:5" x14ac:dyDescent="0.25">
      <c r="A292" s="1">
        <v>38896</v>
      </c>
      <c r="B292" t="s">
        <v>12</v>
      </c>
      <c r="C292">
        <v>114</v>
      </c>
      <c r="D292">
        <f>YEAR(cukier8[[#This Row],[data]])</f>
        <v>2006</v>
      </c>
      <c r="E292">
        <f>VLOOKUP(cukier8[[#This Row],[rok]],$L$2:$M$11,2,FALSE)*cukier8[[#This Row],[sprzedany_cukier]]</f>
        <v>233.7</v>
      </c>
    </row>
    <row r="293" spans="1:5" x14ac:dyDescent="0.25">
      <c r="A293" s="1">
        <v>38896</v>
      </c>
      <c r="B293" t="s">
        <v>115</v>
      </c>
      <c r="C293">
        <v>12</v>
      </c>
      <c r="D293">
        <f>YEAR(cukier8[[#This Row],[data]])</f>
        <v>2006</v>
      </c>
      <c r="E293">
        <f>VLOOKUP(cukier8[[#This Row],[rok]],$L$2:$M$11,2,FALSE)*cukier8[[#This Row],[sprzedany_cukier]]</f>
        <v>24.599999999999998</v>
      </c>
    </row>
    <row r="294" spans="1:5" x14ac:dyDescent="0.25">
      <c r="A294" s="1">
        <v>38902</v>
      </c>
      <c r="B294" t="s">
        <v>9</v>
      </c>
      <c r="C294">
        <v>443</v>
      </c>
      <c r="D294">
        <f>YEAR(cukier8[[#This Row],[data]])</f>
        <v>2006</v>
      </c>
      <c r="E294">
        <f>VLOOKUP(cukier8[[#This Row],[rok]],$L$2:$M$11,2,FALSE)*cukier8[[#This Row],[sprzedany_cukier]]</f>
        <v>908.15</v>
      </c>
    </row>
    <row r="295" spans="1:5" x14ac:dyDescent="0.25">
      <c r="A295" s="1">
        <v>38904</v>
      </c>
      <c r="B295" t="s">
        <v>52</v>
      </c>
      <c r="C295">
        <v>73</v>
      </c>
      <c r="D295">
        <f>YEAR(cukier8[[#This Row],[data]])</f>
        <v>2006</v>
      </c>
      <c r="E295">
        <f>VLOOKUP(cukier8[[#This Row],[rok]],$L$2:$M$11,2,FALSE)*cukier8[[#This Row],[sprzedany_cukier]]</f>
        <v>149.64999999999998</v>
      </c>
    </row>
    <row r="296" spans="1:5" x14ac:dyDescent="0.25">
      <c r="A296" s="1">
        <v>38907</v>
      </c>
      <c r="B296" t="s">
        <v>116</v>
      </c>
      <c r="C296">
        <v>15</v>
      </c>
      <c r="D296">
        <f>YEAR(cukier8[[#This Row],[data]])</f>
        <v>2006</v>
      </c>
      <c r="E296">
        <f>VLOOKUP(cukier8[[#This Row],[rok]],$L$2:$M$11,2,FALSE)*cukier8[[#This Row],[sprzedany_cukier]]</f>
        <v>30.749999999999996</v>
      </c>
    </row>
    <row r="297" spans="1:5" x14ac:dyDescent="0.25">
      <c r="A297" s="1">
        <v>38907</v>
      </c>
      <c r="B297" t="s">
        <v>117</v>
      </c>
      <c r="C297">
        <v>9</v>
      </c>
      <c r="D297">
        <f>YEAR(cukier8[[#This Row],[data]])</f>
        <v>2006</v>
      </c>
      <c r="E297">
        <f>VLOOKUP(cukier8[[#This Row],[rok]],$L$2:$M$11,2,FALSE)*cukier8[[#This Row],[sprzedany_cukier]]</f>
        <v>18.45</v>
      </c>
    </row>
    <row r="298" spans="1:5" x14ac:dyDescent="0.25">
      <c r="A298" s="1">
        <v>38908</v>
      </c>
      <c r="B298" t="s">
        <v>118</v>
      </c>
      <c r="C298">
        <v>20</v>
      </c>
      <c r="D298">
        <f>YEAR(cukier8[[#This Row],[data]])</f>
        <v>2006</v>
      </c>
      <c r="E298">
        <f>VLOOKUP(cukier8[[#This Row],[rok]],$L$2:$M$11,2,FALSE)*cukier8[[#This Row],[sprzedany_cukier]]</f>
        <v>41</v>
      </c>
    </row>
    <row r="299" spans="1:5" x14ac:dyDescent="0.25">
      <c r="A299" s="1">
        <v>38910</v>
      </c>
      <c r="B299" t="s">
        <v>119</v>
      </c>
      <c r="C299">
        <v>9</v>
      </c>
      <c r="D299">
        <f>YEAR(cukier8[[#This Row],[data]])</f>
        <v>2006</v>
      </c>
      <c r="E299">
        <f>VLOOKUP(cukier8[[#This Row],[rok]],$L$2:$M$11,2,FALSE)*cukier8[[#This Row],[sprzedany_cukier]]</f>
        <v>18.45</v>
      </c>
    </row>
    <row r="300" spans="1:5" x14ac:dyDescent="0.25">
      <c r="A300" s="1">
        <v>38911</v>
      </c>
      <c r="B300" t="s">
        <v>120</v>
      </c>
      <c r="C300">
        <v>88</v>
      </c>
      <c r="D300">
        <f>YEAR(cukier8[[#This Row],[data]])</f>
        <v>2006</v>
      </c>
      <c r="E300">
        <f>VLOOKUP(cukier8[[#This Row],[rok]],$L$2:$M$11,2,FALSE)*cukier8[[#This Row],[sprzedany_cukier]]</f>
        <v>180.39999999999998</v>
      </c>
    </row>
    <row r="301" spans="1:5" x14ac:dyDescent="0.25">
      <c r="A301" s="1">
        <v>38911</v>
      </c>
      <c r="B301" t="s">
        <v>7</v>
      </c>
      <c r="C301">
        <v>139</v>
      </c>
      <c r="D301">
        <f>YEAR(cukier8[[#This Row],[data]])</f>
        <v>2006</v>
      </c>
      <c r="E301">
        <f>VLOOKUP(cukier8[[#This Row],[rok]],$L$2:$M$11,2,FALSE)*cukier8[[#This Row],[sprzedany_cukier]]</f>
        <v>284.95</v>
      </c>
    </row>
    <row r="302" spans="1:5" x14ac:dyDescent="0.25">
      <c r="A302" s="1">
        <v>38912</v>
      </c>
      <c r="B302" t="s">
        <v>22</v>
      </c>
      <c r="C302">
        <v>346</v>
      </c>
      <c r="D302">
        <f>YEAR(cukier8[[#This Row],[data]])</f>
        <v>2006</v>
      </c>
      <c r="E302">
        <f>VLOOKUP(cukier8[[#This Row],[rok]],$L$2:$M$11,2,FALSE)*cukier8[[#This Row],[sprzedany_cukier]]</f>
        <v>709.3</v>
      </c>
    </row>
    <row r="303" spans="1:5" x14ac:dyDescent="0.25">
      <c r="A303" s="1">
        <v>38918</v>
      </c>
      <c r="B303" t="s">
        <v>121</v>
      </c>
      <c r="C303">
        <v>3</v>
      </c>
      <c r="D303">
        <f>YEAR(cukier8[[#This Row],[data]])</f>
        <v>2006</v>
      </c>
      <c r="E303">
        <f>VLOOKUP(cukier8[[#This Row],[rok]],$L$2:$M$11,2,FALSE)*cukier8[[#This Row],[sprzedany_cukier]]</f>
        <v>6.1499999999999995</v>
      </c>
    </row>
    <row r="304" spans="1:5" x14ac:dyDescent="0.25">
      <c r="A304" s="1">
        <v>38918</v>
      </c>
      <c r="B304" t="s">
        <v>122</v>
      </c>
      <c r="C304">
        <v>9</v>
      </c>
      <c r="D304">
        <f>YEAR(cukier8[[#This Row],[data]])</f>
        <v>2006</v>
      </c>
      <c r="E304">
        <f>VLOOKUP(cukier8[[#This Row],[rok]],$L$2:$M$11,2,FALSE)*cukier8[[#This Row],[sprzedany_cukier]]</f>
        <v>18.45</v>
      </c>
    </row>
    <row r="305" spans="1:5" x14ac:dyDescent="0.25">
      <c r="A305" s="1">
        <v>38918</v>
      </c>
      <c r="B305" t="s">
        <v>9</v>
      </c>
      <c r="C305">
        <v>323</v>
      </c>
      <c r="D305">
        <f>YEAR(cukier8[[#This Row],[data]])</f>
        <v>2006</v>
      </c>
      <c r="E305">
        <f>VLOOKUP(cukier8[[#This Row],[rok]],$L$2:$M$11,2,FALSE)*cukier8[[#This Row],[sprzedany_cukier]]</f>
        <v>662.15</v>
      </c>
    </row>
    <row r="306" spans="1:5" x14ac:dyDescent="0.25">
      <c r="A306" s="1">
        <v>38919</v>
      </c>
      <c r="B306" t="s">
        <v>102</v>
      </c>
      <c r="C306">
        <v>382</v>
      </c>
      <c r="D306">
        <f>YEAR(cukier8[[#This Row],[data]])</f>
        <v>2006</v>
      </c>
      <c r="E306">
        <f>VLOOKUP(cukier8[[#This Row],[rok]],$L$2:$M$11,2,FALSE)*cukier8[[#This Row],[sprzedany_cukier]]</f>
        <v>783.09999999999991</v>
      </c>
    </row>
    <row r="307" spans="1:5" x14ac:dyDescent="0.25">
      <c r="A307" s="1">
        <v>38923</v>
      </c>
      <c r="B307" t="s">
        <v>17</v>
      </c>
      <c r="C307">
        <v>296</v>
      </c>
      <c r="D307">
        <f>YEAR(cukier8[[#This Row],[data]])</f>
        <v>2006</v>
      </c>
      <c r="E307">
        <f>VLOOKUP(cukier8[[#This Row],[rok]],$L$2:$M$11,2,FALSE)*cukier8[[#This Row],[sprzedany_cukier]]</f>
        <v>606.79999999999995</v>
      </c>
    </row>
    <row r="308" spans="1:5" x14ac:dyDescent="0.25">
      <c r="A308" s="1">
        <v>38924</v>
      </c>
      <c r="B308" t="s">
        <v>5</v>
      </c>
      <c r="C308">
        <v>121</v>
      </c>
      <c r="D308">
        <f>YEAR(cukier8[[#This Row],[data]])</f>
        <v>2006</v>
      </c>
      <c r="E308">
        <f>VLOOKUP(cukier8[[#This Row],[rok]],$L$2:$M$11,2,FALSE)*cukier8[[#This Row],[sprzedany_cukier]]</f>
        <v>248.04999999999998</v>
      </c>
    </row>
    <row r="309" spans="1:5" x14ac:dyDescent="0.25">
      <c r="A309" s="1">
        <v>38924</v>
      </c>
      <c r="B309" t="s">
        <v>25</v>
      </c>
      <c r="C309">
        <v>157</v>
      </c>
      <c r="D309">
        <f>YEAR(cukier8[[#This Row],[data]])</f>
        <v>2006</v>
      </c>
      <c r="E309">
        <f>VLOOKUP(cukier8[[#This Row],[rok]],$L$2:$M$11,2,FALSE)*cukier8[[#This Row],[sprzedany_cukier]]</f>
        <v>321.84999999999997</v>
      </c>
    </row>
    <row r="310" spans="1:5" x14ac:dyDescent="0.25">
      <c r="A310" s="1">
        <v>38926</v>
      </c>
      <c r="B310" t="s">
        <v>9</v>
      </c>
      <c r="C310">
        <v>497</v>
      </c>
      <c r="D310">
        <f>YEAR(cukier8[[#This Row],[data]])</f>
        <v>2006</v>
      </c>
      <c r="E310">
        <f>VLOOKUP(cukier8[[#This Row],[rok]],$L$2:$M$11,2,FALSE)*cukier8[[#This Row],[sprzedany_cukier]]</f>
        <v>1018.8499999999999</v>
      </c>
    </row>
    <row r="311" spans="1:5" x14ac:dyDescent="0.25">
      <c r="A311" s="1">
        <v>38927</v>
      </c>
      <c r="B311" t="s">
        <v>9</v>
      </c>
      <c r="C311">
        <v>103</v>
      </c>
      <c r="D311">
        <f>YEAR(cukier8[[#This Row],[data]])</f>
        <v>2006</v>
      </c>
      <c r="E311">
        <f>VLOOKUP(cukier8[[#This Row],[rok]],$L$2:$M$11,2,FALSE)*cukier8[[#This Row],[sprzedany_cukier]]</f>
        <v>211.14999999999998</v>
      </c>
    </row>
    <row r="312" spans="1:5" x14ac:dyDescent="0.25">
      <c r="A312" s="1">
        <v>38928</v>
      </c>
      <c r="B312" t="s">
        <v>30</v>
      </c>
      <c r="C312">
        <v>142</v>
      </c>
      <c r="D312">
        <f>YEAR(cukier8[[#This Row],[data]])</f>
        <v>2006</v>
      </c>
      <c r="E312">
        <f>VLOOKUP(cukier8[[#This Row],[rok]],$L$2:$M$11,2,FALSE)*cukier8[[#This Row],[sprzedany_cukier]]</f>
        <v>291.09999999999997</v>
      </c>
    </row>
    <row r="313" spans="1:5" x14ac:dyDescent="0.25">
      <c r="A313" s="1">
        <v>38929</v>
      </c>
      <c r="B313" t="s">
        <v>23</v>
      </c>
      <c r="C313">
        <v>144</v>
      </c>
      <c r="D313">
        <f>YEAR(cukier8[[#This Row],[data]])</f>
        <v>2006</v>
      </c>
      <c r="E313">
        <f>VLOOKUP(cukier8[[#This Row],[rok]],$L$2:$M$11,2,FALSE)*cukier8[[#This Row],[sprzedany_cukier]]</f>
        <v>295.2</v>
      </c>
    </row>
    <row r="314" spans="1:5" x14ac:dyDescent="0.25">
      <c r="A314" s="1">
        <v>38931</v>
      </c>
      <c r="B314" t="s">
        <v>100</v>
      </c>
      <c r="C314">
        <v>8</v>
      </c>
      <c r="D314">
        <f>YEAR(cukier8[[#This Row],[data]])</f>
        <v>2006</v>
      </c>
      <c r="E314">
        <f>VLOOKUP(cukier8[[#This Row],[rok]],$L$2:$M$11,2,FALSE)*cukier8[[#This Row],[sprzedany_cukier]]</f>
        <v>16.399999999999999</v>
      </c>
    </row>
    <row r="315" spans="1:5" x14ac:dyDescent="0.25">
      <c r="A315" s="1">
        <v>38936</v>
      </c>
      <c r="B315" t="s">
        <v>55</v>
      </c>
      <c r="C315">
        <v>172</v>
      </c>
      <c r="D315">
        <f>YEAR(cukier8[[#This Row],[data]])</f>
        <v>2006</v>
      </c>
      <c r="E315">
        <f>VLOOKUP(cukier8[[#This Row],[rok]],$L$2:$M$11,2,FALSE)*cukier8[[#This Row],[sprzedany_cukier]]</f>
        <v>352.59999999999997</v>
      </c>
    </row>
    <row r="316" spans="1:5" x14ac:dyDescent="0.25">
      <c r="A316" s="1">
        <v>38940</v>
      </c>
      <c r="B316" t="s">
        <v>7</v>
      </c>
      <c r="C316">
        <v>290</v>
      </c>
      <c r="D316">
        <f>YEAR(cukier8[[#This Row],[data]])</f>
        <v>2006</v>
      </c>
      <c r="E316">
        <f>VLOOKUP(cukier8[[#This Row],[rok]],$L$2:$M$11,2,FALSE)*cukier8[[#This Row],[sprzedany_cukier]]</f>
        <v>594.5</v>
      </c>
    </row>
    <row r="317" spans="1:5" x14ac:dyDescent="0.25">
      <c r="A317" s="1">
        <v>38942</v>
      </c>
      <c r="B317" t="s">
        <v>14</v>
      </c>
      <c r="C317">
        <v>422</v>
      </c>
      <c r="D317">
        <f>YEAR(cukier8[[#This Row],[data]])</f>
        <v>2006</v>
      </c>
      <c r="E317">
        <f>VLOOKUP(cukier8[[#This Row],[rok]],$L$2:$M$11,2,FALSE)*cukier8[[#This Row],[sprzedany_cukier]]</f>
        <v>865.09999999999991</v>
      </c>
    </row>
    <row r="318" spans="1:5" x14ac:dyDescent="0.25">
      <c r="A318" s="1">
        <v>38945</v>
      </c>
      <c r="B318" t="s">
        <v>109</v>
      </c>
      <c r="C318">
        <v>12</v>
      </c>
      <c r="D318">
        <f>YEAR(cukier8[[#This Row],[data]])</f>
        <v>2006</v>
      </c>
      <c r="E318">
        <f>VLOOKUP(cukier8[[#This Row],[rok]],$L$2:$M$11,2,FALSE)*cukier8[[#This Row],[sprzedany_cukier]]</f>
        <v>24.599999999999998</v>
      </c>
    </row>
    <row r="319" spans="1:5" x14ac:dyDescent="0.25">
      <c r="A319" s="1">
        <v>38948</v>
      </c>
      <c r="B319" t="s">
        <v>55</v>
      </c>
      <c r="C319">
        <v>104</v>
      </c>
      <c r="D319">
        <f>YEAR(cukier8[[#This Row],[data]])</f>
        <v>2006</v>
      </c>
      <c r="E319">
        <f>VLOOKUP(cukier8[[#This Row],[rok]],$L$2:$M$11,2,FALSE)*cukier8[[#This Row],[sprzedany_cukier]]</f>
        <v>213.2</v>
      </c>
    </row>
    <row r="320" spans="1:5" x14ac:dyDescent="0.25">
      <c r="A320" s="1">
        <v>38949</v>
      </c>
      <c r="B320" t="s">
        <v>35</v>
      </c>
      <c r="C320">
        <v>97</v>
      </c>
      <c r="D320">
        <f>YEAR(cukier8[[#This Row],[data]])</f>
        <v>2006</v>
      </c>
      <c r="E320">
        <f>VLOOKUP(cukier8[[#This Row],[rok]],$L$2:$M$11,2,FALSE)*cukier8[[#This Row],[sprzedany_cukier]]</f>
        <v>198.85</v>
      </c>
    </row>
    <row r="321" spans="1:5" x14ac:dyDescent="0.25">
      <c r="A321" s="1">
        <v>38950</v>
      </c>
      <c r="B321" t="s">
        <v>26</v>
      </c>
      <c r="C321">
        <v>179</v>
      </c>
      <c r="D321">
        <f>YEAR(cukier8[[#This Row],[data]])</f>
        <v>2006</v>
      </c>
      <c r="E321">
        <f>VLOOKUP(cukier8[[#This Row],[rok]],$L$2:$M$11,2,FALSE)*cukier8[[#This Row],[sprzedany_cukier]]</f>
        <v>366.95</v>
      </c>
    </row>
    <row r="322" spans="1:5" x14ac:dyDescent="0.25">
      <c r="A322" s="1">
        <v>38953</v>
      </c>
      <c r="B322" t="s">
        <v>50</v>
      </c>
      <c r="C322">
        <v>256</v>
      </c>
      <c r="D322">
        <f>YEAR(cukier8[[#This Row],[data]])</f>
        <v>2006</v>
      </c>
      <c r="E322">
        <f>VLOOKUP(cukier8[[#This Row],[rok]],$L$2:$M$11,2,FALSE)*cukier8[[#This Row],[sprzedany_cukier]]</f>
        <v>524.79999999999995</v>
      </c>
    </row>
    <row r="323" spans="1:5" x14ac:dyDescent="0.25">
      <c r="A323" s="1">
        <v>38954</v>
      </c>
      <c r="B323" t="s">
        <v>113</v>
      </c>
      <c r="C323">
        <v>20</v>
      </c>
      <c r="D323">
        <f>YEAR(cukier8[[#This Row],[data]])</f>
        <v>2006</v>
      </c>
      <c r="E323">
        <f>VLOOKUP(cukier8[[#This Row],[rok]],$L$2:$M$11,2,FALSE)*cukier8[[#This Row],[sprzedany_cukier]]</f>
        <v>41</v>
      </c>
    </row>
    <row r="324" spans="1:5" x14ac:dyDescent="0.25">
      <c r="A324" s="1">
        <v>38954</v>
      </c>
      <c r="B324" t="s">
        <v>105</v>
      </c>
      <c r="C324">
        <v>10</v>
      </c>
      <c r="D324">
        <f>YEAR(cukier8[[#This Row],[data]])</f>
        <v>2006</v>
      </c>
      <c r="E324">
        <f>VLOOKUP(cukier8[[#This Row],[rok]],$L$2:$M$11,2,FALSE)*cukier8[[#This Row],[sprzedany_cukier]]</f>
        <v>20.5</v>
      </c>
    </row>
    <row r="325" spans="1:5" x14ac:dyDescent="0.25">
      <c r="A325" s="1">
        <v>38955</v>
      </c>
      <c r="B325" t="s">
        <v>7</v>
      </c>
      <c r="C325">
        <v>407</v>
      </c>
      <c r="D325">
        <f>YEAR(cukier8[[#This Row],[data]])</f>
        <v>2006</v>
      </c>
      <c r="E325">
        <f>VLOOKUP(cukier8[[#This Row],[rok]],$L$2:$M$11,2,FALSE)*cukier8[[#This Row],[sprzedany_cukier]]</f>
        <v>834.34999999999991</v>
      </c>
    </row>
    <row r="326" spans="1:5" x14ac:dyDescent="0.25">
      <c r="A326" s="1">
        <v>38956</v>
      </c>
      <c r="B326" t="s">
        <v>22</v>
      </c>
      <c r="C326">
        <v>297</v>
      </c>
      <c r="D326">
        <f>YEAR(cukier8[[#This Row],[data]])</f>
        <v>2006</v>
      </c>
      <c r="E326">
        <f>VLOOKUP(cukier8[[#This Row],[rok]],$L$2:$M$11,2,FALSE)*cukier8[[#This Row],[sprzedany_cukier]]</f>
        <v>608.84999999999991</v>
      </c>
    </row>
    <row r="327" spans="1:5" x14ac:dyDescent="0.25">
      <c r="A327" s="1">
        <v>38956</v>
      </c>
      <c r="B327" t="s">
        <v>71</v>
      </c>
      <c r="C327">
        <v>133</v>
      </c>
      <c r="D327">
        <f>YEAR(cukier8[[#This Row],[data]])</f>
        <v>2006</v>
      </c>
      <c r="E327">
        <f>VLOOKUP(cukier8[[#This Row],[rok]],$L$2:$M$11,2,FALSE)*cukier8[[#This Row],[sprzedany_cukier]]</f>
        <v>272.64999999999998</v>
      </c>
    </row>
    <row r="328" spans="1:5" x14ac:dyDescent="0.25">
      <c r="A328" s="1">
        <v>38956</v>
      </c>
      <c r="B328" t="s">
        <v>35</v>
      </c>
      <c r="C328">
        <v>33</v>
      </c>
      <c r="D328">
        <f>YEAR(cukier8[[#This Row],[data]])</f>
        <v>2006</v>
      </c>
      <c r="E328">
        <f>VLOOKUP(cukier8[[#This Row],[rok]],$L$2:$M$11,2,FALSE)*cukier8[[#This Row],[sprzedany_cukier]]</f>
        <v>67.649999999999991</v>
      </c>
    </row>
    <row r="329" spans="1:5" x14ac:dyDescent="0.25">
      <c r="A329" s="1">
        <v>38959</v>
      </c>
      <c r="B329" t="s">
        <v>14</v>
      </c>
      <c r="C329">
        <v>220</v>
      </c>
      <c r="D329">
        <f>YEAR(cukier8[[#This Row],[data]])</f>
        <v>2006</v>
      </c>
      <c r="E329">
        <f>VLOOKUP(cukier8[[#This Row],[rok]],$L$2:$M$11,2,FALSE)*cukier8[[#This Row],[sprzedany_cukier]]</f>
        <v>450.99999999999994</v>
      </c>
    </row>
    <row r="330" spans="1:5" x14ac:dyDescent="0.25">
      <c r="A330" s="1">
        <v>38959</v>
      </c>
      <c r="B330" t="s">
        <v>28</v>
      </c>
      <c r="C330">
        <v>114</v>
      </c>
      <c r="D330">
        <f>YEAR(cukier8[[#This Row],[data]])</f>
        <v>2006</v>
      </c>
      <c r="E330">
        <f>VLOOKUP(cukier8[[#This Row],[rok]],$L$2:$M$11,2,FALSE)*cukier8[[#This Row],[sprzedany_cukier]]</f>
        <v>233.7</v>
      </c>
    </row>
    <row r="331" spans="1:5" x14ac:dyDescent="0.25">
      <c r="A331" s="1">
        <v>38962</v>
      </c>
      <c r="B331" t="s">
        <v>8</v>
      </c>
      <c r="C331">
        <v>130</v>
      </c>
      <c r="D331">
        <f>YEAR(cukier8[[#This Row],[data]])</f>
        <v>2006</v>
      </c>
      <c r="E331">
        <f>VLOOKUP(cukier8[[#This Row],[rok]],$L$2:$M$11,2,FALSE)*cukier8[[#This Row],[sprzedany_cukier]]</f>
        <v>266.5</v>
      </c>
    </row>
    <row r="332" spans="1:5" x14ac:dyDescent="0.25">
      <c r="A332" s="1">
        <v>38962</v>
      </c>
      <c r="B332" t="s">
        <v>30</v>
      </c>
      <c r="C332">
        <v>52</v>
      </c>
      <c r="D332">
        <f>YEAR(cukier8[[#This Row],[data]])</f>
        <v>2006</v>
      </c>
      <c r="E332">
        <f>VLOOKUP(cukier8[[#This Row],[rok]],$L$2:$M$11,2,FALSE)*cukier8[[#This Row],[sprzedany_cukier]]</f>
        <v>106.6</v>
      </c>
    </row>
    <row r="333" spans="1:5" x14ac:dyDescent="0.25">
      <c r="A333" s="1">
        <v>38962</v>
      </c>
      <c r="B333" t="s">
        <v>28</v>
      </c>
      <c r="C333">
        <v>33</v>
      </c>
      <c r="D333">
        <f>YEAR(cukier8[[#This Row],[data]])</f>
        <v>2006</v>
      </c>
      <c r="E333">
        <f>VLOOKUP(cukier8[[#This Row],[rok]],$L$2:$M$11,2,FALSE)*cukier8[[#This Row],[sprzedany_cukier]]</f>
        <v>67.649999999999991</v>
      </c>
    </row>
    <row r="334" spans="1:5" x14ac:dyDescent="0.25">
      <c r="A334" s="1">
        <v>38963</v>
      </c>
      <c r="B334" t="s">
        <v>61</v>
      </c>
      <c r="C334">
        <v>57</v>
      </c>
      <c r="D334">
        <f>YEAR(cukier8[[#This Row],[data]])</f>
        <v>2006</v>
      </c>
      <c r="E334">
        <f>VLOOKUP(cukier8[[#This Row],[rok]],$L$2:$M$11,2,FALSE)*cukier8[[#This Row],[sprzedany_cukier]]</f>
        <v>116.85</v>
      </c>
    </row>
    <row r="335" spans="1:5" x14ac:dyDescent="0.25">
      <c r="A335" s="1">
        <v>38965</v>
      </c>
      <c r="B335" t="s">
        <v>123</v>
      </c>
      <c r="C335">
        <v>190</v>
      </c>
      <c r="D335">
        <f>YEAR(cukier8[[#This Row],[data]])</f>
        <v>2006</v>
      </c>
      <c r="E335">
        <f>VLOOKUP(cukier8[[#This Row],[rok]],$L$2:$M$11,2,FALSE)*cukier8[[#This Row],[sprzedany_cukier]]</f>
        <v>389.49999999999994</v>
      </c>
    </row>
    <row r="336" spans="1:5" x14ac:dyDescent="0.25">
      <c r="A336" s="1">
        <v>38965</v>
      </c>
      <c r="B336" t="s">
        <v>84</v>
      </c>
      <c r="C336">
        <v>8</v>
      </c>
      <c r="D336">
        <f>YEAR(cukier8[[#This Row],[data]])</f>
        <v>2006</v>
      </c>
      <c r="E336">
        <f>VLOOKUP(cukier8[[#This Row],[rok]],$L$2:$M$11,2,FALSE)*cukier8[[#This Row],[sprzedany_cukier]]</f>
        <v>16.399999999999999</v>
      </c>
    </row>
    <row r="337" spans="1:5" x14ac:dyDescent="0.25">
      <c r="A337" s="1">
        <v>38965</v>
      </c>
      <c r="B337" t="s">
        <v>7</v>
      </c>
      <c r="C337">
        <v>255</v>
      </c>
      <c r="D337">
        <f>YEAR(cukier8[[#This Row],[data]])</f>
        <v>2006</v>
      </c>
      <c r="E337">
        <f>VLOOKUP(cukier8[[#This Row],[rok]],$L$2:$M$11,2,FALSE)*cukier8[[#This Row],[sprzedany_cukier]]</f>
        <v>522.75</v>
      </c>
    </row>
    <row r="338" spans="1:5" x14ac:dyDescent="0.25">
      <c r="A338" s="1">
        <v>38967</v>
      </c>
      <c r="B338" t="s">
        <v>71</v>
      </c>
      <c r="C338">
        <v>108</v>
      </c>
      <c r="D338">
        <f>YEAR(cukier8[[#This Row],[data]])</f>
        <v>2006</v>
      </c>
      <c r="E338">
        <f>VLOOKUP(cukier8[[#This Row],[rok]],$L$2:$M$11,2,FALSE)*cukier8[[#This Row],[sprzedany_cukier]]</f>
        <v>221.39999999999998</v>
      </c>
    </row>
    <row r="339" spans="1:5" x14ac:dyDescent="0.25">
      <c r="A339" s="1">
        <v>38971</v>
      </c>
      <c r="B339" t="s">
        <v>18</v>
      </c>
      <c r="C339">
        <v>78</v>
      </c>
      <c r="D339">
        <f>YEAR(cukier8[[#This Row],[data]])</f>
        <v>2006</v>
      </c>
      <c r="E339">
        <f>VLOOKUP(cukier8[[#This Row],[rok]],$L$2:$M$11,2,FALSE)*cukier8[[#This Row],[sprzedany_cukier]]</f>
        <v>159.89999999999998</v>
      </c>
    </row>
    <row r="340" spans="1:5" x14ac:dyDescent="0.25">
      <c r="A340" s="1">
        <v>38972</v>
      </c>
      <c r="B340" t="s">
        <v>7</v>
      </c>
      <c r="C340">
        <v>364</v>
      </c>
      <c r="D340">
        <f>YEAR(cukier8[[#This Row],[data]])</f>
        <v>2006</v>
      </c>
      <c r="E340">
        <f>VLOOKUP(cukier8[[#This Row],[rok]],$L$2:$M$11,2,FALSE)*cukier8[[#This Row],[sprzedany_cukier]]</f>
        <v>746.19999999999993</v>
      </c>
    </row>
    <row r="341" spans="1:5" x14ac:dyDescent="0.25">
      <c r="A341" s="1">
        <v>38973</v>
      </c>
      <c r="B341" t="s">
        <v>66</v>
      </c>
      <c r="C341">
        <v>52</v>
      </c>
      <c r="D341">
        <f>YEAR(cukier8[[#This Row],[data]])</f>
        <v>2006</v>
      </c>
      <c r="E341">
        <f>VLOOKUP(cukier8[[#This Row],[rok]],$L$2:$M$11,2,FALSE)*cukier8[[#This Row],[sprzedany_cukier]]</f>
        <v>106.6</v>
      </c>
    </row>
    <row r="342" spans="1:5" x14ac:dyDescent="0.25">
      <c r="A342" s="1">
        <v>38974</v>
      </c>
      <c r="B342" t="s">
        <v>102</v>
      </c>
      <c r="C342">
        <v>343</v>
      </c>
      <c r="D342">
        <f>YEAR(cukier8[[#This Row],[data]])</f>
        <v>2006</v>
      </c>
      <c r="E342">
        <f>VLOOKUP(cukier8[[#This Row],[rok]],$L$2:$M$11,2,FALSE)*cukier8[[#This Row],[sprzedany_cukier]]</f>
        <v>703.15</v>
      </c>
    </row>
    <row r="343" spans="1:5" x14ac:dyDescent="0.25">
      <c r="A343" s="1">
        <v>38976</v>
      </c>
      <c r="B343" t="s">
        <v>52</v>
      </c>
      <c r="C343">
        <v>197</v>
      </c>
      <c r="D343">
        <f>YEAR(cukier8[[#This Row],[data]])</f>
        <v>2006</v>
      </c>
      <c r="E343">
        <f>VLOOKUP(cukier8[[#This Row],[rok]],$L$2:$M$11,2,FALSE)*cukier8[[#This Row],[sprzedany_cukier]]</f>
        <v>403.84999999999997</v>
      </c>
    </row>
    <row r="344" spans="1:5" x14ac:dyDescent="0.25">
      <c r="A344" s="1">
        <v>38977</v>
      </c>
      <c r="B344" t="s">
        <v>124</v>
      </c>
      <c r="C344">
        <v>4</v>
      </c>
      <c r="D344">
        <f>YEAR(cukier8[[#This Row],[data]])</f>
        <v>2006</v>
      </c>
      <c r="E344">
        <f>VLOOKUP(cukier8[[#This Row],[rok]],$L$2:$M$11,2,FALSE)*cukier8[[#This Row],[sprzedany_cukier]]</f>
        <v>8.1999999999999993</v>
      </c>
    </row>
    <row r="345" spans="1:5" x14ac:dyDescent="0.25">
      <c r="A345" s="1">
        <v>38978</v>
      </c>
      <c r="B345" t="s">
        <v>125</v>
      </c>
      <c r="C345">
        <v>8</v>
      </c>
      <c r="D345">
        <f>YEAR(cukier8[[#This Row],[data]])</f>
        <v>2006</v>
      </c>
      <c r="E345">
        <f>VLOOKUP(cukier8[[#This Row],[rok]],$L$2:$M$11,2,FALSE)*cukier8[[#This Row],[sprzedany_cukier]]</f>
        <v>16.399999999999999</v>
      </c>
    </row>
    <row r="346" spans="1:5" x14ac:dyDescent="0.25">
      <c r="A346" s="1">
        <v>38978</v>
      </c>
      <c r="B346" t="s">
        <v>56</v>
      </c>
      <c r="C346">
        <v>11</v>
      </c>
      <c r="D346">
        <f>YEAR(cukier8[[#This Row],[data]])</f>
        <v>2006</v>
      </c>
      <c r="E346">
        <f>VLOOKUP(cukier8[[#This Row],[rok]],$L$2:$M$11,2,FALSE)*cukier8[[#This Row],[sprzedany_cukier]]</f>
        <v>22.549999999999997</v>
      </c>
    </row>
    <row r="347" spans="1:5" x14ac:dyDescent="0.25">
      <c r="A347" s="1">
        <v>38978</v>
      </c>
      <c r="B347" t="s">
        <v>72</v>
      </c>
      <c r="C347">
        <v>10</v>
      </c>
      <c r="D347">
        <f>YEAR(cukier8[[#This Row],[data]])</f>
        <v>2006</v>
      </c>
      <c r="E347">
        <f>VLOOKUP(cukier8[[#This Row],[rok]],$L$2:$M$11,2,FALSE)*cukier8[[#This Row],[sprzedany_cukier]]</f>
        <v>20.5</v>
      </c>
    </row>
    <row r="348" spans="1:5" x14ac:dyDescent="0.25">
      <c r="A348" s="1">
        <v>38981</v>
      </c>
      <c r="B348" t="s">
        <v>61</v>
      </c>
      <c r="C348">
        <v>96</v>
      </c>
      <c r="D348">
        <f>YEAR(cukier8[[#This Row],[data]])</f>
        <v>2006</v>
      </c>
      <c r="E348">
        <f>VLOOKUP(cukier8[[#This Row],[rok]],$L$2:$M$11,2,FALSE)*cukier8[[#This Row],[sprzedany_cukier]]</f>
        <v>196.79999999999998</v>
      </c>
    </row>
    <row r="349" spans="1:5" x14ac:dyDescent="0.25">
      <c r="A349" s="1">
        <v>38981</v>
      </c>
      <c r="B349" t="s">
        <v>55</v>
      </c>
      <c r="C349">
        <v>30</v>
      </c>
      <c r="D349">
        <f>YEAR(cukier8[[#This Row],[data]])</f>
        <v>2006</v>
      </c>
      <c r="E349">
        <f>VLOOKUP(cukier8[[#This Row],[rok]],$L$2:$M$11,2,FALSE)*cukier8[[#This Row],[sprzedany_cukier]]</f>
        <v>61.499999999999993</v>
      </c>
    </row>
    <row r="350" spans="1:5" x14ac:dyDescent="0.25">
      <c r="A350" s="1">
        <v>38982</v>
      </c>
      <c r="B350" t="s">
        <v>126</v>
      </c>
      <c r="C350">
        <v>17</v>
      </c>
      <c r="D350">
        <f>YEAR(cukier8[[#This Row],[data]])</f>
        <v>2006</v>
      </c>
      <c r="E350">
        <f>VLOOKUP(cukier8[[#This Row],[rok]],$L$2:$M$11,2,FALSE)*cukier8[[#This Row],[sprzedany_cukier]]</f>
        <v>34.849999999999994</v>
      </c>
    </row>
    <row r="351" spans="1:5" x14ac:dyDescent="0.25">
      <c r="A351" s="1">
        <v>38985</v>
      </c>
      <c r="B351" t="s">
        <v>122</v>
      </c>
      <c r="C351">
        <v>17</v>
      </c>
      <c r="D351">
        <f>YEAR(cukier8[[#This Row],[data]])</f>
        <v>2006</v>
      </c>
      <c r="E351">
        <f>VLOOKUP(cukier8[[#This Row],[rok]],$L$2:$M$11,2,FALSE)*cukier8[[#This Row],[sprzedany_cukier]]</f>
        <v>34.849999999999994</v>
      </c>
    </row>
    <row r="352" spans="1:5" x14ac:dyDescent="0.25">
      <c r="A352" s="1">
        <v>38985</v>
      </c>
      <c r="B352" t="s">
        <v>12</v>
      </c>
      <c r="C352">
        <v>180</v>
      </c>
      <c r="D352">
        <f>YEAR(cukier8[[#This Row],[data]])</f>
        <v>2006</v>
      </c>
      <c r="E352">
        <f>VLOOKUP(cukier8[[#This Row],[rok]],$L$2:$M$11,2,FALSE)*cukier8[[#This Row],[sprzedany_cukier]]</f>
        <v>368.99999999999994</v>
      </c>
    </row>
    <row r="353" spans="1:5" x14ac:dyDescent="0.25">
      <c r="A353" s="1">
        <v>38985</v>
      </c>
      <c r="B353" t="s">
        <v>31</v>
      </c>
      <c r="C353">
        <v>94</v>
      </c>
      <c r="D353">
        <f>YEAR(cukier8[[#This Row],[data]])</f>
        <v>2006</v>
      </c>
      <c r="E353">
        <f>VLOOKUP(cukier8[[#This Row],[rok]],$L$2:$M$11,2,FALSE)*cukier8[[#This Row],[sprzedany_cukier]]</f>
        <v>192.7</v>
      </c>
    </row>
    <row r="354" spans="1:5" x14ac:dyDescent="0.25">
      <c r="A354" s="1">
        <v>38986</v>
      </c>
      <c r="B354" t="s">
        <v>39</v>
      </c>
      <c r="C354">
        <v>45</v>
      </c>
      <c r="D354">
        <f>YEAR(cukier8[[#This Row],[data]])</f>
        <v>2006</v>
      </c>
      <c r="E354">
        <f>VLOOKUP(cukier8[[#This Row],[rok]],$L$2:$M$11,2,FALSE)*cukier8[[#This Row],[sprzedany_cukier]]</f>
        <v>92.249999999999986</v>
      </c>
    </row>
    <row r="355" spans="1:5" x14ac:dyDescent="0.25">
      <c r="A355" s="1">
        <v>38987</v>
      </c>
      <c r="B355" t="s">
        <v>7</v>
      </c>
      <c r="C355">
        <v>380</v>
      </c>
      <c r="D355">
        <f>YEAR(cukier8[[#This Row],[data]])</f>
        <v>2006</v>
      </c>
      <c r="E355">
        <f>VLOOKUP(cukier8[[#This Row],[rok]],$L$2:$M$11,2,FALSE)*cukier8[[#This Row],[sprzedany_cukier]]</f>
        <v>778.99999999999989</v>
      </c>
    </row>
    <row r="356" spans="1:5" x14ac:dyDescent="0.25">
      <c r="A356" s="1">
        <v>38987</v>
      </c>
      <c r="B356" t="s">
        <v>43</v>
      </c>
      <c r="C356">
        <v>5</v>
      </c>
      <c r="D356">
        <f>YEAR(cukier8[[#This Row],[data]])</f>
        <v>2006</v>
      </c>
      <c r="E356">
        <f>VLOOKUP(cukier8[[#This Row],[rok]],$L$2:$M$11,2,FALSE)*cukier8[[#This Row],[sprzedany_cukier]]</f>
        <v>10.25</v>
      </c>
    </row>
    <row r="357" spans="1:5" x14ac:dyDescent="0.25">
      <c r="A357" s="1">
        <v>38991</v>
      </c>
      <c r="B357" t="s">
        <v>37</v>
      </c>
      <c r="C357">
        <v>170</v>
      </c>
      <c r="D357">
        <f>YEAR(cukier8[[#This Row],[data]])</f>
        <v>2006</v>
      </c>
      <c r="E357">
        <f>VLOOKUP(cukier8[[#This Row],[rok]],$L$2:$M$11,2,FALSE)*cukier8[[#This Row],[sprzedany_cukier]]</f>
        <v>348.49999999999994</v>
      </c>
    </row>
    <row r="358" spans="1:5" x14ac:dyDescent="0.25">
      <c r="A358" s="1">
        <v>38995</v>
      </c>
      <c r="B358" t="s">
        <v>45</v>
      </c>
      <c r="C358">
        <v>198</v>
      </c>
      <c r="D358">
        <f>YEAR(cukier8[[#This Row],[data]])</f>
        <v>2006</v>
      </c>
      <c r="E358">
        <f>VLOOKUP(cukier8[[#This Row],[rok]],$L$2:$M$11,2,FALSE)*cukier8[[#This Row],[sprzedany_cukier]]</f>
        <v>405.9</v>
      </c>
    </row>
    <row r="359" spans="1:5" x14ac:dyDescent="0.25">
      <c r="A359" s="1">
        <v>38998</v>
      </c>
      <c r="B359" t="s">
        <v>17</v>
      </c>
      <c r="C359">
        <v>283</v>
      </c>
      <c r="D359">
        <f>YEAR(cukier8[[#This Row],[data]])</f>
        <v>2006</v>
      </c>
      <c r="E359">
        <f>VLOOKUP(cukier8[[#This Row],[rok]],$L$2:$M$11,2,FALSE)*cukier8[[#This Row],[sprzedany_cukier]]</f>
        <v>580.15</v>
      </c>
    </row>
    <row r="360" spans="1:5" x14ac:dyDescent="0.25">
      <c r="A360" s="1">
        <v>39001</v>
      </c>
      <c r="B360" t="s">
        <v>123</v>
      </c>
      <c r="C360">
        <v>42</v>
      </c>
      <c r="D360">
        <f>YEAR(cukier8[[#This Row],[data]])</f>
        <v>2006</v>
      </c>
      <c r="E360">
        <f>VLOOKUP(cukier8[[#This Row],[rok]],$L$2:$M$11,2,FALSE)*cukier8[[#This Row],[sprzedany_cukier]]</f>
        <v>86.1</v>
      </c>
    </row>
    <row r="361" spans="1:5" x14ac:dyDescent="0.25">
      <c r="A361" s="1">
        <v>39003</v>
      </c>
      <c r="B361" t="s">
        <v>6</v>
      </c>
      <c r="C361">
        <v>163</v>
      </c>
      <c r="D361">
        <f>YEAR(cukier8[[#This Row],[data]])</f>
        <v>2006</v>
      </c>
      <c r="E361">
        <f>VLOOKUP(cukier8[[#This Row],[rok]],$L$2:$M$11,2,FALSE)*cukier8[[#This Row],[sprzedany_cukier]]</f>
        <v>334.15</v>
      </c>
    </row>
    <row r="362" spans="1:5" x14ac:dyDescent="0.25">
      <c r="A362" s="1">
        <v>39009</v>
      </c>
      <c r="B362" t="s">
        <v>17</v>
      </c>
      <c r="C362">
        <v>115</v>
      </c>
      <c r="D362">
        <f>YEAR(cukier8[[#This Row],[data]])</f>
        <v>2006</v>
      </c>
      <c r="E362">
        <f>VLOOKUP(cukier8[[#This Row],[rok]],$L$2:$M$11,2,FALSE)*cukier8[[#This Row],[sprzedany_cukier]]</f>
        <v>235.74999999999997</v>
      </c>
    </row>
    <row r="363" spans="1:5" x14ac:dyDescent="0.25">
      <c r="A363" s="1">
        <v>39014</v>
      </c>
      <c r="B363" t="s">
        <v>71</v>
      </c>
      <c r="C363">
        <v>75</v>
      </c>
      <c r="D363">
        <f>YEAR(cukier8[[#This Row],[data]])</f>
        <v>2006</v>
      </c>
      <c r="E363">
        <f>VLOOKUP(cukier8[[#This Row],[rok]],$L$2:$M$11,2,FALSE)*cukier8[[#This Row],[sprzedany_cukier]]</f>
        <v>153.75</v>
      </c>
    </row>
    <row r="364" spans="1:5" x14ac:dyDescent="0.25">
      <c r="A364" s="1">
        <v>39015</v>
      </c>
      <c r="B364" t="s">
        <v>45</v>
      </c>
      <c r="C364">
        <v>403</v>
      </c>
      <c r="D364">
        <f>YEAR(cukier8[[#This Row],[data]])</f>
        <v>2006</v>
      </c>
      <c r="E364">
        <f>VLOOKUP(cukier8[[#This Row],[rok]],$L$2:$M$11,2,FALSE)*cukier8[[#This Row],[sprzedany_cukier]]</f>
        <v>826.15</v>
      </c>
    </row>
    <row r="365" spans="1:5" x14ac:dyDescent="0.25">
      <c r="A365" s="1">
        <v>39019</v>
      </c>
      <c r="B365" t="s">
        <v>17</v>
      </c>
      <c r="C365">
        <v>465</v>
      </c>
      <c r="D365">
        <f>YEAR(cukier8[[#This Row],[data]])</f>
        <v>2006</v>
      </c>
      <c r="E365">
        <f>VLOOKUP(cukier8[[#This Row],[rok]],$L$2:$M$11,2,FALSE)*cukier8[[#This Row],[sprzedany_cukier]]</f>
        <v>953.24999999999989</v>
      </c>
    </row>
    <row r="366" spans="1:5" x14ac:dyDescent="0.25">
      <c r="A366" s="1">
        <v>39021</v>
      </c>
      <c r="B366" t="s">
        <v>6</v>
      </c>
      <c r="C366">
        <v>194</v>
      </c>
      <c r="D366">
        <f>YEAR(cukier8[[#This Row],[data]])</f>
        <v>2006</v>
      </c>
      <c r="E366">
        <f>VLOOKUP(cukier8[[#This Row],[rok]],$L$2:$M$11,2,FALSE)*cukier8[[#This Row],[sprzedany_cukier]]</f>
        <v>397.7</v>
      </c>
    </row>
    <row r="367" spans="1:5" x14ac:dyDescent="0.25">
      <c r="A367" s="1">
        <v>39021</v>
      </c>
      <c r="B367" t="s">
        <v>69</v>
      </c>
      <c r="C367">
        <v>122</v>
      </c>
      <c r="D367">
        <f>YEAR(cukier8[[#This Row],[data]])</f>
        <v>2006</v>
      </c>
      <c r="E367">
        <f>VLOOKUP(cukier8[[#This Row],[rok]],$L$2:$M$11,2,FALSE)*cukier8[[#This Row],[sprzedany_cukier]]</f>
        <v>250.09999999999997</v>
      </c>
    </row>
    <row r="368" spans="1:5" x14ac:dyDescent="0.25">
      <c r="A368" s="1">
        <v>39021</v>
      </c>
      <c r="B368" t="s">
        <v>19</v>
      </c>
      <c r="C368">
        <v>186</v>
      </c>
      <c r="D368">
        <f>YEAR(cukier8[[#This Row],[data]])</f>
        <v>2006</v>
      </c>
      <c r="E368">
        <f>VLOOKUP(cukier8[[#This Row],[rok]],$L$2:$M$11,2,FALSE)*cukier8[[#This Row],[sprzedany_cukier]]</f>
        <v>381.29999999999995</v>
      </c>
    </row>
    <row r="369" spans="1:5" x14ac:dyDescent="0.25">
      <c r="A369" s="1">
        <v>39026</v>
      </c>
      <c r="B369" t="s">
        <v>12</v>
      </c>
      <c r="C369">
        <v>137</v>
      </c>
      <c r="D369">
        <f>YEAR(cukier8[[#This Row],[data]])</f>
        <v>2006</v>
      </c>
      <c r="E369">
        <f>VLOOKUP(cukier8[[#This Row],[rok]],$L$2:$M$11,2,FALSE)*cukier8[[#This Row],[sprzedany_cukier]]</f>
        <v>280.84999999999997</v>
      </c>
    </row>
    <row r="370" spans="1:5" x14ac:dyDescent="0.25">
      <c r="A370" s="1">
        <v>39029</v>
      </c>
      <c r="B370" t="s">
        <v>79</v>
      </c>
      <c r="C370">
        <v>10</v>
      </c>
      <c r="D370">
        <f>YEAR(cukier8[[#This Row],[data]])</f>
        <v>2006</v>
      </c>
      <c r="E370">
        <f>VLOOKUP(cukier8[[#This Row],[rok]],$L$2:$M$11,2,FALSE)*cukier8[[#This Row],[sprzedany_cukier]]</f>
        <v>20.5</v>
      </c>
    </row>
    <row r="371" spans="1:5" x14ac:dyDescent="0.25">
      <c r="A371" s="1">
        <v>39032</v>
      </c>
      <c r="B371" t="s">
        <v>50</v>
      </c>
      <c r="C371">
        <v>437</v>
      </c>
      <c r="D371">
        <f>YEAR(cukier8[[#This Row],[data]])</f>
        <v>2006</v>
      </c>
      <c r="E371">
        <f>VLOOKUP(cukier8[[#This Row],[rok]],$L$2:$M$11,2,FALSE)*cukier8[[#This Row],[sprzedany_cukier]]</f>
        <v>895.84999999999991</v>
      </c>
    </row>
    <row r="372" spans="1:5" x14ac:dyDescent="0.25">
      <c r="A372" s="1">
        <v>39034</v>
      </c>
      <c r="B372" t="s">
        <v>127</v>
      </c>
      <c r="C372">
        <v>20</v>
      </c>
      <c r="D372">
        <f>YEAR(cukier8[[#This Row],[data]])</f>
        <v>2006</v>
      </c>
      <c r="E372">
        <f>VLOOKUP(cukier8[[#This Row],[rok]],$L$2:$M$11,2,FALSE)*cukier8[[#This Row],[sprzedany_cukier]]</f>
        <v>41</v>
      </c>
    </row>
    <row r="373" spans="1:5" x14ac:dyDescent="0.25">
      <c r="A373" s="1">
        <v>39035</v>
      </c>
      <c r="B373" t="s">
        <v>14</v>
      </c>
      <c r="C373">
        <v>108</v>
      </c>
      <c r="D373">
        <f>YEAR(cukier8[[#This Row],[data]])</f>
        <v>2006</v>
      </c>
      <c r="E373">
        <f>VLOOKUP(cukier8[[#This Row],[rok]],$L$2:$M$11,2,FALSE)*cukier8[[#This Row],[sprzedany_cukier]]</f>
        <v>221.39999999999998</v>
      </c>
    </row>
    <row r="374" spans="1:5" x14ac:dyDescent="0.25">
      <c r="A374" s="1">
        <v>39040</v>
      </c>
      <c r="B374" t="s">
        <v>37</v>
      </c>
      <c r="C374">
        <v>62</v>
      </c>
      <c r="D374">
        <f>YEAR(cukier8[[#This Row],[data]])</f>
        <v>2006</v>
      </c>
      <c r="E374">
        <f>VLOOKUP(cukier8[[#This Row],[rok]],$L$2:$M$11,2,FALSE)*cukier8[[#This Row],[sprzedany_cukier]]</f>
        <v>127.1</v>
      </c>
    </row>
    <row r="375" spans="1:5" x14ac:dyDescent="0.25">
      <c r="A375" s="1">
        <v>39040</v>
      </c>
      <c r="B375" t="s">
        <v>7</v>
      </c>
      <c r="C375">
        <v>426</v>
      </c>
      <c r="D375">
        <f>YEAR(cukier8[[#This Row],[data]])</f>
        <v>2006</v>
      </c>
      <c r="E375">
        <f>VLOOKUP(cukier8[[#This Row],[rok]],$L$2:$M$11,2,FALSE)*cukier8[[#This Row],[sprzedany_cukier]]</f>
        <v>873.3</v>
      </c>
    </row>
    <row r="376" spans="1:5" x14ac:dyDescent="0.25">
      <c r="A376" s="1">
        <v>39043</v>
      </c>
      <c r="B376" t="s">
        <v>45</v>
      </c>
      <c r="C376">
        <v>303</v>
      </c>
      <c r="D376">
        <f>YEAR(cukier8[[#This Row],[data]])</f>
        <v>2006</v>
      </c>
      <c r="E376">
        <f>VLOOKUP(cukier8[[#This Row],[rok]],$L$2:$M$11,2,FALSE)*cukier8[[#This Row],[sprzedany_cukier]]</f>
        <v>621.15</v>
      </c>
    </row>
    <row r="377" spans="1:5" x14ac:dyDescent="0.25">
      <c r="A377" s="1">
        <v>39044</v>
      </c>
      <c r="B377" t="s">
        <v>0</v>
      </c>
      <c r="C377">
        <v>20</v>
      </c>
      <c r="D377">
        <f>YEAR(cukier8[[#This Row],[data]])</f>
        <v>2006</v>
      </c>
      <c r="E377">
        <f>VLOOKUP(cukier8[[#This Row],[rok]],$L$2:$M$11,2,FALSE)*cukier8[[#This Row],[sprzedany_cukier]]</f>
        <v>41</v>
      </c>
    </row>
    <row r="378" spans="1:5" x14ac:dyDescent="0.25">
      <c r="A378" s="1">
        <v>39047</v>
      </c>
      <c r="B378" t="s">
        <v>9</v>
      </c>
      <c r="C378">
        <v>237</v>
      </c>
      <c r="D378">
        <f>YEAR(cukier8[[#This Row],[data]])</f>
        <v>2006</v>
      </c>
      <c r="E378">
        <f>VLOOKUP(cukier8[[#This Row],[rok]],$L$2:$M$11,2,FALSE)*cukier8[[#This Row],[sprzedany_cukier]]</f>
        <v>485.84999999999997</v>
      </c>
    </row>
    <row r="379" spans="1:5" x14ac:dyDescent="0.25">
      <c r="A379" s="1">
        <v>39048</v>
      </c>
      <c r="B379" t="s">
        <v>23</v>
      </c>
      <c r="C379">
        <v>151</v>
      </c>
      <c r="D379">
        <f>YEAR(cukier8[[#This Row],[data]])</f>
        <v>2006</v>
      </c>
      <c r="E379">
        <f>VLOOKUP(cukier8[[#This Row],[rok]],$L$2:$M$11,2,FALSE)*cukier8[[#This Row],[sprzedany_cukier]]</f>
        <v>309.54999999999995</v>
      </c>
    </row>
    <row r="380" spans="1:5" x14ac:dyDescent="0.25">
      <c r="A380" s="1">
        <v>39049</v>
      </c>
      <c r="B380" t="s">
        <v>128</v>
      </c>
      <c r="C380">
        <v>6</v>
      </c>
      <c r="D380">
        <f>YEAR(cukier8[[#This Row],[data]])</f>
        <v>2006</v>
      </c>
      <c r="E380">
        <f>VLOOKUP(cukier8[[#This Row],[rok]],$L$2:$M$11,2,FALSE)*cukier8[[#This Row],[sprzedany_cukier]]</f>
        <v>12.299999999999999</v>
      </c>
    </row>
    <row r="381" spans="1:5" x14ac:dyDescent="0.25">
      <c r="A381" s="1">
        <v>39052</v>
      </c>
      <c r="B381" t="s">
        <v>6</v>
      </c>
      <c r="C381">
        <v>124</v>
      </c>
      <c r="D381">
        <f>YEAR(cukier8[[#This Row],[data]])</f>
        <v>2006</v>
      </c>
      <c r="E381">
        <f>VLOOKUP(cukier8[[#This Row],[rok]],$L$2:$M$11,2,FALSE)*cukier8[[#This Row],[sprzedany_cukier]]</f>
        <v>254.2</v>
      </c>
    </row>
    <row r="382" spans="1:5" x14ac:dyDescent="0.25">
      <c r="A382" s="1">
        <v>39054</v>
      </c>
      <c r="B382" t="s">
        <v>129</v>
      </c>
      <c r="C382">
        <v>7</v>
      </c>
      <c r="D382">
        <f>YEAR(cukier8[[#This Row],[data]])</f>
        <v>2006</v>
      </c>
      <c r="E382">
        <f>VLOOKUP(cukier8[[#This Row],[rok]],$L$2:$M$11,2,FALSE)*cukier8[[#This Row],[sprzedany_cukier]]</f>
        <v>14.349999999999998</v>
      </c>
    </row>
    <row r="383" spans="1:5" x14ac:dyDescent="0.25">
      <c r="A383" s="1">
        <v>39055</v>
      </c>
      <c r="B383" t="s">
        <v>130</v>
      </c>
      <c r="C383">
        <v>7</v>
      </c>
      <c r="D383">
        <f>YEAR(cukier8[[#This Row],[data]])</f>
        <v>2006</v>
      </c>
      <c r="E383">
        <f>VLOOKUP(cukier8[[#This Row],[rok]],$L$2:$M$11,2,FALSE)*cukier8[[#This Row],[sprzedany_cukier]]</f>
        <v>14.349999999999998</v>
      </c>
    </row>
    <row r="384" spans="1:5" x14ac:dyDescent="0.25">
      <c r="A384" s="1">
        <v>39057</v>
      </c>
      <c r="B384" t="s">
        <v>45</v>
      </c>
      <c r="C384">
        <v>105</v>
      </c>
      <c r="D384">
        <f>YEAR(cukier8[[#This Row],[data]])</f>
        <v>2006</v>
      </c>
      <c r="E384">
        <f>VLOOKUP(cukier8[[#This Row],[rok]],$L$2:$M$11,2,FALSE)*cukier8[[#This Row],[sprzedany_cukier]]</f>
        <v>215.24999999999997</v>
      </c>
    </row>
    <row r="385" spans="1:5" x14ac:dyDescent="0.25">
      <c r="A385" s="1">
        <v>39058</v>
      </c>
      <c r="B385" t="s">
        <v>69</v>
      </c>
      <c r="C385">
        <v>58</v>
      </c>
      <c r="D385">
        <f>YEAR(cukier8[[#This Row],[data]])</f>
        <v>2006</v>
      </c>
      <c r="E385">
        <f>VLOOKUP(cukier8[[#This Row],[rok]],$L$2:$M$11,2,FALSE)*cukier8[[#This Row],[sprzedany_cukier]]</f>
        <v>118.89999999999999</v>
      </c>
    </row>
    <row r="386" spans="1:5" x14ac:dyDescent="0.25">
      <c r="A386" s="1">
        <v>39058</v>
      </c>
      <c r="B386" t="s">
        <v>131</v>
      </c>
      <c r="C386">
        <v>182</v>
      </c>
      <c r="D386">
        <f>YEAR(cukier8[[#This Row],[data]])</f>
        <v>2006</v>
      </c>
      <c r="E386">
        <f>VLOOKUP(cukier8[[#This Row],[rok]],$L$2:$M$11,2,FALSE)*cukier8[[#This Row],[sprzedany_cukier]]</f>
        <v>373.09999999999997</v>
      </c>
    </row>
    <row r="387" spans="1:5" x14ac:dyDescent="0.25">
      <c r="A387" s="1">
        <v>39060</v>
      </c>
      <c r="B387" t="s">
        <v>50</v>
      </c>
      <c r="C387">
        <v>163</v>
      </c>
      <c r="D387">
        <f>YEAR(cukier8[[#This Row],[data]])</f>
        <v>2006</v>
      </c>
      <c r="E387">
        <f>VLOOKUP(cukier8[[#This Row],[rok]],$L$2:$M$11,2,FALSE)*cukier8[[#This Row],[sprzedany_cukier]]</f>
        <v>334.15</v>
      </c>
    </row>
    <row r="388" spans="1:5" x14ac:dyDescent="0.25">
      <c r="A388" s="1">
        <v>39060</v>
      </c>
      <c r="B388" t="s">
        <v>132</v>
      </c>
      <c r="C388">
        <v>14</v>
      </c>
      <c r="D388">
        <f>YEAR(cukier8[[#This Row],[data]])</f>
        <v>2006</v>
      </c>
      <c r="E388">
        <f>VLOOKUP(cukier8[[#This Row],[rok]],$L$2:$M$11,2,FALSE)*cukier8[[#This Row],[sprzedany_cukier]]</f>
        <v>28.699999999999996</v>
      </c>
    </row>
    <row r="389" spans="1:5" x14ac:dyDescent="0.25">
      <c r="A389" s="1">
        <v>39061</v>
      </c>
      <c r="B389" t="s">
        <v>133</v>
      </c>
      <c r="C389">
        <v>4</v>
      </c>
      <c r="D389">
        <f>YEAR(cukier8[[#This Row],[data]])</f>
        <v>2006</v>
      </c>
      <c r="E389">
        <f>VLOOKUP(cukier8[[#This Row],[rok]],$L$2:$M$11,2,FALSE)*cukier8[[#This Row],[sprzedany_cukier]]</f>
        <v>8.1999999999999993</v>
      </c>
    </row>
    <row r="390" spans="1:5" x14ac:dyDescent="0.25">
      <c r="A390" s="1">
        <v>39062</v>
      </c>
      <c r="B390" t="s">
        <v>134</v>
      </c>
      <c r="C390">
        <v>13</v>
      </c>
      <c r="D390">
        <f>YEAR(cukier8[[#This Row],[data]])</f>
        <v>2006</v>
      </c>
      <c r="E390">
        <f>VLOOKUP(cukier8[[#This Row],[rok]],$L$2:$M$11,2,FALSE)*cukier8[[#This Row],[sprzedany_cukier]]</f>
        <v>26.65</v>
      </c>
    </row>
    <row r="391" spans="1:5" x14ac:dyDescent="0.25">
      <c r="A391" s="1">
        <v>39063</v>
      </c>
      <c r="B391" t="s">
        <v>7</v>
      </c>
      <c r="C391">
        <v>422</v>
      </c>
      <c r="D391">
        <f>YEAR(cukier8[[#This Row],[data]])</f>
        <v>2006</v>
      </c>
      <c r="E391">
        <f>VLOOKUP(cukier8[[#This Row],[rok]],$L$2:$M$11,2,FALSE)*cukier8[[#This Row],[sprzedany_cukier]]</f>
        <v>865.09999999999991</v>
      </c>
    </row>
    <row r="392" spans="1:5" x14ac:dyDescent="0.25">
      <c r="A392" s="1">
        <v>39064</v>
      </c>
      <c r="B392" t="s">
        <v>82</v>
      </c>
      <c r="C392">
        <v>6</v>
      </c>
      <c r="D392">
        <f>YEAR(cukier8[[#This Row],[data]])</f>
        <v>2006</v>
      </c>
      <c r="E392">
        <f>VLOOKUP(cukier8[[#This Row],[rok]],$L$2:$M$11,2,FALSE)*cukier8[[#This Row],[sprzedany_cukier]]</f>
        <v>12.299999999999999</v>
      </c>
    </row>
    <row r="393" spans="1:5" x14ac:dyDescent="0.25">
      <c r="A393" s="1">
        <v>39069</v>
      </c>
      <c r="B393" t="s">
        <v>135</v>
      </c>
      <c r="C393">
        <v>15</v>
      </c>
      <c r="D393">
        <f>YEAR(cukier8[[#This Row],[data]])</f>
        <v>2006</v>
      </c>
      <c r="E393">
        <f>VLOOKUP(cukier8[[#This Row],[rok]],$L$2:$M$11,2,FALSE)*cukier8[[#This Row],[sprzedany_cukier]]</f>
        <v>30.749999999999996</v>
      </c>
    </row>
    <row r="394" spans="1:5" x14ac:dyDescent="0.25">
      <c r="A394" s="1">
        <v>39070</v>
      </c>
      <c r="B394" t="s">
        <v>30</v>
      </c>
      <c r="C394">
        <v>168</v>
      </c>
      <c r="D394">
        <f>YEAR(cukier8[[#This Row],[data]])</f>
        <v>2006</v>
      </c>
      <c r="E394">
        <f>VLOOKUP(cukier8[[#This Row],[rok]],$L$2:$M$11,2,FALSE)*cukier8[[#This Row],[sprzedany_cukier]]</f>
        <v>344.4</v>
      </c>
    </row>
    <row r="395" spans="1:5" x14ac:dyDescent="0.25">
      <c r="A395" s="1">
        <v>39072</v>
      </c>
      <c r="B395" t="s">
        <v>50</v>
      </c>
      <c r="C395">
        <v>193</v>
      </c>
      <c r="D395">
        <f>YEAR(cukier8[[#This Row],[data]])</f>
        <v>2006</v>
      </c>
      <c r="E395">
        <f>VLOOKUP(cukier8[[#This Row],[rok]],$L$2:$M$11,2,FALSE)*cukier8[[#This Row],[sprzedany_cukier]]</f>
        <v>395.65</v>
      </c>
    </row>
    <row r="396" spans="1:5" x14ac:dyDescent="0.25">
      <c r="A396" s="1">
        <v>39078</v>
      </c>
      <c r="B396" t="s">
        <v>105</v>
      </c>
      <c r="C396">
        <v>15</v>
      </c>
      <c r="D396">
        <f>YEAR(cukier8[[#This Row],[data]])</f>
        <v>2006</v>
      </c>
      <c r="E396">
        <f>VLOOKUP(cukier8[[#This Row],[rok]],$L$2:$M$11,2,FALSE)*cukier8[[#This Row],[sprzedany_cukier]]</f>
        <v>30.749999999999996</v>
      </c>
    </row>
    <row r="397" spans="1:5" x14ac:dyDescent="0.25">
      <c r="A397" s="1">
        <v>39079</v>
      </c>
      <c r="B397" t="s">
        <v>23</v>
      </c>
      <c r="C397">
        <v>27</v>
      </c>
      <c r="D397">
        <f>YEAR(cukier8[[#This Row],[data]])</f>
        <v>2006</v>
      </c>
      <c r="E397">
        <f>VLOOKUP(cukier8[[#This Row],[rok]],$L$2:$M$11,2,FALSE)*cukier8[[#This Row],[sprzedany_cukier]]</f>
        <v>55.349999999999994</v>
      </c>
    </row>
    <row r="398" spans="1:5" x14ac:dyDescent="0.25">
      <c r="A398" s="1">
        <v>39080</v>
      </c>
      <c r="B398" t="s">
        <v>23</v>
      </c>
      <c r="C398">
        <v>116</v>
      </c>
      <c r="D398">
        <f>YEAR(cukier8[[#This Row],[data]])</f>
        <v>2006</v>
      </c>
      <c r="E398">
        <f>VLOOKUP(cukier8[[#This Row],[rok]],$L$2:$M$11,2,FALSE)*cukier8[[#This Row],[sprzedany_cukier]]</f>
        <v>237.79999999999998</v>
      </c>
    </row>
    <row r="399" spans="1:5" x14ac:dyDescent="0.25">
      <c r="A399" s="1">
        <v>39081</v>
      </c>
      <c r="B399" t="s">
        <v>61</v>
      </c>
      <c r="C399">
        <v>21</v>
      </c>
      <c r="D399">
        <f>YEAR(cukier8[[#This Row],[data]])</f>
        <v>2006</v>
      </c>
      <c r="E399">
        <f>VLOOKUP(cukier8[[#This Row],[rok]],$L$2:$M$11,2,FALSE)*cukier8[[#This Row],[sprzedany_cukier]]</f>
        <v>43.05</v>
      </c>
    </row>
    <row r="400" spans="1:5" x14ac:dyDescent="0.25">
      <c r="A400" s="1">
        <v>39081</v>
      </c>
      <c r="B400" t="s">
        <v>23</v>
      </c>
      <c r="C400">
        <v>61</v>
      </c>
      <c r="D400">
        <f>YEAR(cukier8[[#This Row],[data]])</f>
        <v>2006</v>
      </c>
      <c r="E400">
        <f>VLOOKUP(cukier8[[#This Row],[rok]],$L$2:$M$11,2,FALSE)*cukier8[[#This Row],[sprzedany_cukier]]</f>
        <v>125.04999999999998</v>
      </c>
    </row>
    <row r="401" spans="1:5" x14ac:dyDescent="0.25">
      <c r="A401" s="1">
        <v>39081</v>
      </c>
      <c r="B401" t="s">
        <v>17</v>
      </c>
      <c r="C401">
        <v>458</v>
      </c>
      <c r="D401">
        <f>YEAR(cukier8[[#This Row],[data]])</f>
        <v>2006</v>
      </c>
      <c r="E401">
        <f>VLOOKUP(cukier8[[#This Row],[rok]],$L$2:$M$11,2,FALSE)*cukier8[[#This Row],[sprzedany_cukier]]</f>
        <v>938.89999999999986</v>
      </c>
    </row>
    <row r="402" spans="1:5" x14ac:dyDescent="0.25">
      <c r="A402" s="1">
        <v>39082</v>
      </c>
      <c r="B402" t="s">
        <v>136</v>
      </c>
      <c r="C402">
        <v>19</v>
      </c>
      <c r="D402">
        <f>YEAR(cukier8[[#This Row],[data]])</f>
        <v>2006</v>
      </c>
      <c r="E402">
        <f>VLOOKUP(cukier8[[#This Row],[rok]],$L$2:$M$11,2,FALSE)*cukier8[[#This Row],[sprzedany_cukier]]</f>
        <v>38.949999999999996</v>
      </c>
    </row>
    <row r="403" spans="1:5" x14ac:dyDescent="0.25">
      <c r="A403" s="1">
        <v>39084</v>
      </c>
      <c r="B403" t="s">
        <v>55</v>
      </c>
      <c r="C403">
        <v>81</v>
      </c>
      <c r="D403">
        <f>YEAR(cukier8[[#This Row],[data]])</f>
        <v>2007</v>
      </c>
      <c r="E403">
        <f>VLOOKUP(cukier8[[#This Row],[rok]],$L$2:$M$11,2,FALSE)*cukier8[[#This Row],[sprzedany_cukier]]</f>
        <v>169.29</v>
      </c>
    </row>
    <row r="404" spans="1:5" x14ac:dyDescent="0.25">
      <c r="A404" s="1">
        <v>39085</v>
      </c>
      <c r="B404" t="s">
        <v>18</v>
      </c>
      <c r="C404">
        <v>86</v>
      </c>
      <c r="D404">
        <f>YEAR(cukier8[[#This Row],[data]])</f>
        <v>2007</v>
      </c>
      <c r="E404">
        <f>VLOOKUP(cukier8[[#This Row],[rok]],$L$2:$M$11,2,FALSE)*cukier8[[#This Row],[sprzedany_cukier]]</f>
        <v>179.73999999999998</v>
      </c>
    </row>
    <row r="405" spans="1:5" x14ac:dyDescent="0.25">
      <c r="A405" s="1">
        <v>39086</v>
      </c>
      <c r="B405" t="s">
        <v>7</v>
      </c>
      <c r="C405">
        <v>142</v>
      </c>
      <c r="D405">
        <f>YEAR(cukier8[[#This Row],[data]])</f>
        <v>2007</v>
      </c>
      <c r="E405">
        <f>VLOOKUP(cukier8[[#This Row],[rok]],$L$2:$M$11,2,FALSE)*cukier8[[#This Row],[sprzedany_cukier]]</f>
        <v>296.77999999999997</v>
      </c>
    </row>
    <row r="406" spans="1:5" x14ac:dyDescent="0.25">
      <c r="A406" s="1">
        <v>39092</v>
      </c>
      <c r="B406" t="s">
        <v>17</v>
      </c>
      <c r="C406">
        <v>459</v>
      </c>
      <c r="D406">
        <f>YEAR(cukier8[[#This Row],[data]])</f>
        <v>2007</v>
      </c>
      <c r="E406">
        <f>VLOOKUP(cukier8[[#This Row],[rok]],$L$2:$M$11,2,FALSE)*cukier8[[#This Row],[sprzedany_cukier]]</f>
        <v>959.31</v>
      </c>
    </row>
    <row r="407" spans="1:5" x14ac:dyDescent="0.25">
      <c r="A407" s="1">
        <v>39093</v>
      </c>
      <c r="B407" t="s">
        <v>40</v>
      </c>
      <c r="C407">
        <v>20</v>
      </c>
      <c r="D407">
        <f>YEAR(cukier8[[#This Row],[data]])</f>
        <v>2007</v>
      </c>
      <c r="E407">
        <f>VLOOKUP(cukier8[[#This Row],[rok]],$L$2:$M$11,2,FALSE)*cukier8[[#This Row],[sprzedany_cukier]]</f>
        <v>41.8</v>
      </c>
    </row>
    <row r="408" spans="1:5" x14ac:dyDescent="0.25">
      <c r="A408" s="1">
        <v>39095</v>
      </c>
      <c r="B408" t="s">
        <v>45</v>
      </c>
      <c r="C408">
        <v>245</v>
      </c>
      <c r="D408">
        <f>YEAR(cukier8[[#This Row],[data]])</f>
        <v>2007</v>
      </c>
      <c r="E408">
        <f>VLOOKUP(cukier8[[#This Row],[rok]],$L$2:$M$11,2,FALSE)*cukier8[[#This Row],[sprzedany_cukier]]</f>
        <v>512.04999999999995</v>
      </c>
    </row>
    <row r="409" spans="1:5" x14ac:dyDescent="0.25">
      <c r="A409" s="1">
        <v>39095</v>
      </c>
      <c r="B409" t="s">
        <v>100</v>
      </c>
      <c r="C409">
        <v>19</v>
      </c>
      <c r="D409">
        <f>YEAR(cukier8[[#This Row],[data]])</f>
        <v>2007</v>
      </c>
      <c r="E409">
        <f>VLOOKUP(cukier8[[#This Row],[rok]],$L$2:$M$11,2,FALSE)*cukier8[[#This Row],[sprzedany_cukier]]</f>
        <v>39.709999999999994</v>
      </c>
    </row>
    <row r="410" spans="1:5" x14ac:dyDescent="0.25">
      <c r="A410" s="1">
        <v>39096</v>
      </c>
      <c r="B410" t="s">
        <v>10</v>
      </c>
      <c r="C410">
        <v>159</v>
      </c>
      <c r="D410">
        <f>YEAR(cukier8[[#This Row],[data]])</f>
        <v>2007</v>
      </c>
      <c r="E410">
        <f>VLOOKUP(cukier8[[#This Row],[rok]],$L$2:$M$11,2,FALSE)*cukier8[[#This Row],[sprzedany_cukier]]</f>
        <v>332.31</v>
      </c>
    </row>
    <row r="411" spans="1:5" x14ac:dyDescent="0.25">
      <c r="A411" s="1">
        <v>39097</v>
      </c>
      <c r="B411" t="s">
        <v>23</v>
      </c>
      <c r="C411">
        <v>99</v>
      </c>
      <c r="D411">
        <f>YEAR(cukier8[[#This Row],[data]])</f>
        <v>2007</v>
      </c>
      <c r="E411">
        <f>VLOOKUP(cukier8[[#This Row],[rok]],$L$2:$M$11,2,FALSE)*cukier8[[#This Row],[sprzedany_cukier]]</f>
        <v>206.91</v>
      </c>
    </row>
    <row r="412" spans="1:5" x14ac:dyDescent="0.25">
      <c r="A412" s="1">
        <v>39099</v>
      </c>
      <c r="B412" t="s">
        <v>22</v>
      </c>
      <c r="C412">
        <v>213</v>
      </c>
      <c r="D412">
        <f>YEAR(cukier8[[#This Row],[data]])</f>
        <v>2007</v>
      </c>
      <c r="E412">
        <f>VLOOKUP(cukier8[[#This Row],[rok]],$L$2:$M$11,2,FALSE)*cukier8[[#This Row],[sprzedany_cukier]]</f>
        <v>445.16999999999996</v>
      </c>
    </row>
    <row r="413" spans="1:5" x14ac:dyDescent="0.25">
      <c r="A413" s="1">
        <v>39106</v>
      </c>
      <c r="B413" t="s">
        <v>14</v>
      </c>
      <c r="C413">
        <v>349</v>
      </c>
      <c r="D413">
        <f>YEAR(cukier8[[#This Row],[data]])</f>
        <v>2007</v>
      </c>
      <c r="E413">
        <f>VLOOKUP(cukier8[[#This Row],[rok]],$L$2:$M$11,2,FALSE)*cukier8[[#This Row],[sprzedany_cukier]]</f>
        <v>729.41</v>
      </c>
    </row>
    <row r="414" spans="1:5" x14ac:dyDescent="0.25">
      <c r="A414" s="1">
        <v>39109</v>
      </c>
      <c r="B414" t="s">
        <v>17</v>
      </c>
      <c r="C414">
        <v>114</v>
      </c>
      <c r="D414">
        <f>YEAR(cukier8[[#This Row],[data]])</f>
        <v>2007</v>
      </c>
      <c r="E414">
        <f>VLOOKUP(cukier8[[#This Row],[rok]],$L$2:$M$11,2,FALSE)*cukier8[[#This Row],[sprzedany_cukier]]</f>
        <v>238.26</v>
      </c>
    </row>
    <row r="415" spans="1:5" x14ac:dyDescent="0.25">
      <c r="A415" s="1">
        <v>39109</v>
      </c>
      <c r="B415" t="s">
        <v>27</v>
      </c>
      <c r="C415">
        <v>12</v>
      </c>
      <c r="D415">
        <f>YEAR(cukier8[[#This Row],[data]])</f>
        <v>2007</v>
      </c>
      <c r="E415">
        <f>VLOOKUP(cukier8[[#This Row],[rok]],$L$2:$M$11,2,FALSE)*cukier8[[#This Row],[sprzedany_cukier]]</f>
        <v>25.08</v>
      </c>
    </row>
    <row r="416" spans="1:5" x14ac:dyDescent="0.25">
      <c r="A416" s="1">
        <v>39111</v>
      </c>
      <c r="B416" t="s">
        <v>99</v>
      </c>
      <c r="C416">
        <v>12</v>
      </c>
      <c r="D416">
        <f>YEAR(cukier8[[#This Row],[data]])</f>
        <v>2007</v>
      </c>
      <c r="E416">
        <f>VLOOKUP(cukier8[[#This Row],[rok]],$L$2:$M$11,2,FALSE)*cukier8[[#This Row],[sprzedany_cukier]]</f>
        <v>25.08</v>
      </c>
    </row>
    <row r="417" spans="1:5" x14ac:dyDescent="0.25">
      <c r="A417" s="1">
        <v>39117</v>
      </c>
      <c r="B417" t="s">
        <v>12</v>
      </c>
      <c r="C417">
        <v>132</v>
      </c>
      <c r="D417">
        <f>YEAR(cukier8[[#This Row],[data]])</f>
        <v>2007</v>
      </c>
      <c r="E417">
        <f>VLOOKUP(cukier8[[#This Row],[rok]],$L$2:$M$11,2,FALSE)*cukier8[[#This Row],[sprzedany_cukier]]</f>
        <v>275.88</v>
      </c>
    </row>
    <row r="418" spans="1:5" x14ac:dyDescent="0.25">
      <c r="A418" s="1">
        <v>39120</v>
      </c>
      <c r="B418" t="s">
        <v>23</v>
      </c>
      <c r="C418">
        <v>197</v>
      </c>
      <c r="D418">
        <f>YEAR(cukier8[[#This Row],[data]])</f>
        <v>2007</v>
      </c>
      <c r="E418">
        <f>VLOOKUP(cukier8[[#This Row],[rok]],$L$2:$M$11,2,FALSE)*cukier8[[#This Row],[sprzedany_cukier]]</f>
        <v>411.72999999999996</v>
      </c>
    </row>
    <row r="419" spans="1:5" x14ac:dyDescent="0.25">
      <c r="A419" s="1">
        <v>39120</v>
      </c>
      <c r="B419" t="s">
        <v>15</v>
      </c>
      <c r="C419">
        <v>5</v>
      </c>
      <c r="D419">
        <f>YEAR(cukier8[[#This Row],[data]])</f>
        <v>2007</v>
      </c>
      <c r="E419">
        <f>VLOOKUP(cukier8[[#This Row],[rok]],$L$2:$M$11,2,FALSE)*cukier8[[#This Row],[sprzedany_cukier]]</f>
        <v>10.45</v>
      </c>
    </row>
    <row r="420" spans="1:5" x14ac:dyDescent="0.25">
      <c r="A420" s="1">
        <v>39120</v>
      </c>
      <c r="B420" t="s">
        <v>50</v>
      </c>
      <c r="C420">
        <v>403</v>
      </c>
      <c r="D420">
        <f>YEAR(cukier8[[#This Row],[data]])</f>
        <v>2007</v>
      </c>
      <c r="E420">
        <f>VLOOKUP(cukier8[[#This Row],[rok]],$L$2:$M$11,2,FALSE)*cukier8[[#This Row],[sprzedany_cukier]]</f>
        <v>842.27</v>
      </c>
    </row>
    <row r="421" spans="1:5" x14ac:dyDescent="0.25">
      <c r="A421" s="1">
        <v>39121</v>
      </c>
      <c r="B421" t="s">
        <v>10</v>
      </c>
      <c r="C421">
        <v>200</v>
      </c>
      <c r="D421">
        <f>YEAR(cukier8[[#This Row],[data]])</f>
        <v>2007</v>
      </c>
      <c r="E421">
        <f>VLOOKUP(cukier8[[#This Row],[rok]],$L$2:$M$11,2,FALSE)*cukier8[[#This Row],[sprzedany_cukier]]</f>
        <v>418</v>
      </c>
    </row>
    <row r="422" spans="1:5" x14ac:dyDescent="0.25">
      <c r="A422" s="1">
        <v>39124</v>
      </c>
      <c r="B422" t="s">
        <v>69</v>
      </c>
      <c r="C422">
        <v>23</v>
      </c>
      <c r="D422">
        <f>YEAR(cukier8[[#This Row],[data]])</f>
        <v>2007</v>
      </c>
      <c r="E422">
        <f>VLOOKUP(cukier8[[#This Row],[rok]],$L$2:$M$11,2,FALSE)*cukier8[[#This Row],[sprzedany_cukier]]</f>
        <v>48.069999999999993</v>
      </c>
    </row>
    <row r="423" spans="1:5" x14ac:dyDescent="0.25">
      <c r="A423" s="1">
        <v>39131</v>
      </c>
      <c r="B423" t="s">
        <v>45</v>
      </c>
      <c r="C423">
        <v>337</v>
      </c>
      <c r="D423">
        <f>YEAR(cukier8[[#This Row],[data]])</f>
        <v>2007</v>
      </c>
      <c r="E423">
        <f>VLOOKUP(cukier8[[#This Row],[rok]],$L$2:$M$11,2,FALSE)*cukier8[[#This Row],[sprzedany_cukier]]</f>
        <v>704.32999999999993</v>
      </c>
    </row>
    <row r="424" spans="1:5" x14ac:dyDescent="0.25">
      <c r="A424" s="1">
        <v>39132</v>
      </c>
      <c r="B424" t="s">
        <v>5</v>
      </c>
      <c r="C424">
        <v>500</v>
      </c>
      <c r="D424">
        <f>YEAR(cukier8[[#This Row],[data]])</f>
        <v>2007</v>
      </c>
      <c r="E424">
        <f>VLOOKUP(cukier8[[#This Row],[rok]],$L$2:$M$11,2,FALSE)*cukier8[[#This Row],[sprzedany_cukier]]</f>
        <v>1045</v>
      </c>
    </row>
    <row r="425" spans="1:5" x14ac:dyDescent="0.25">
      <c r="A425" s="1">
        <v>39132</v>
      </c>
      <c r="B425" t="s">
        <v>90</v>
      </c>
      <c r="C425">
        <v>9</v>
      </c>
      <c r="D425">
        <f>YEAR(cukier8[[#This Row],[data]])</f>
        <v>2007</v>
      </c>
      <c r="E425">
        <f>VLOOKUP(cukier8[[#This Row],[rok]],$L$2:$M$11,2,FALSE)*cukier8[[#This Row],[sprzedany_cukier]]</f>
        <v>18.809999999999999</v>
      </c>
    </row>
    <row r="426" spans="1:5" x14ac:dyDescent="0.25">
      <c r="A426" s="1">
        <v>39134</v>
      </c>
      <c r="B426" t="s">
        <v>131</v>
      </c>
      <c r="C426">
        <v>39</v>
      </c>
      <c r="D426">
        <f>YEAR(cukier8[[#This Row],[data]])</f>
        <v>2007</v>
      </c>
      <c r="E426">
        <f>VLOOKUP(cukier8[[#This Row],[rok]],$L$2:$M$11,2,FALSE)*cukier8[[#This Row],[sprzedany_cukier]]</f>
        <v>81.509999999999991</v>
      </c>
    </row>
    <row r="427" spans="1:5" x14ac:dyDescent="0.25">
      <c r="A427" s="1">
        <v>39139</v>
      </c>
      <c r="B427" t="s">
        <v>78</v>
      </c>
      <c r="C427">
        <v>156</v>
      </c>
      <c r="D427">
        <f>YEAR(cukier8[[#This Row],[data]])</f>
        <v>2007</v>
      </c>
      <c r="E427">
        <f>VLOOKUP(cukier8[[#This Row],[rok]],$L$2:$M$11,2,FALSE)*cukier8[[#This Row],[sprzedany_cukier]]</f>
        <v>326.03999999999996</v>
      </c>
    </row>
    <row r="428" spans="1:5" x14ac:dyDescent="0.25">
      <c r="A428" s="1">
        <v>39140</v>
      </c>
      <c r="B428" t="s">
        <v>17</v>
      </c>
      <c r="C428">
        <v>258</v>
      </c>
      <c r="D428">
        <f>YEAR(cukier8[[#This Row],[data]])</f>
        <v>2007</v>
      </c>
      <c r="E428">
        <f>VLOOKUP(cukier8[[#This Row],[rok]],$L$2:$M$11,2,FALSE)*cukier8[[#This Row],[sprzedany_cukier]]</f>
        <v>539.21999999999991</v>
      </c>
    </row>
    <row r="429" spans="1:5" x14ac:dyDescent="0.25">
      <c r="A429" s="1">
        <v>39140</v>
      </c>
      <c r="B429" t="s">
        <v>94</v>
      </c>
      <c r="C429">
        <v>14</v>
      </c>
      <c r="D429">
        <f>YEAR(cukier8[[#This Row],[data]])</f>
        <v>2007</v>
      </c>
      <c r="E429">
        <f>VLOOKUP(cukier8[[#This Row],[rok]],$L$2:$M$11,2,FALSE)*cukier8[[#This Row],[sprzedany_cukier]]</f>
        <v>29.259999999999998</v>
      </c>
    </row>
    <row r="430" spans="1:5" x14ac:dyDescent="0.25">
      <c r="A430" s="1">
        <v>39142</v>
      </c>
      <c r="B430" t="s">
        <v>12</v>
      </c>
      <c r="C430">
        <v>91</v>
      </c>
      <c r="D430">
        <f>YEAR(cukier8[[#This Row],[data]])</f>
        <v>2007</v>
      </c>
      <c r="E430">
        <f>VLOOKUP(cukier8[[#This Row],[rok]],$L$2:$M$11,2,FALSE)*cukier8[[#This Row],[sprzedany_cukier]]</f>
        <v>190.19</v>
      </c>
    </row>
    <row r="431" spans="1:5" x14ac:dyDescent="0.25">
      <c r="A431" s="1">
        <v>39149</v>
      </c>
      <c r="B431" t="s">
        <v>12</v>
      </c>
      <c r="C431">
        <v>68</v>
      </c>
      <c r="D431">
        <f>YEAR(cukier8[[#This Row],[data]])</f>
        <v>2007</v>
      </c>
      <c r="E431">
        <f>VLOOKUP(cukier8[[#This Row],[rok]],$L$2:$M$11,2,FALSE)*cukier8[[#This Row],[sprzedany_cukier]]</f>
        <v>142.12</v>
      </c>
    </row>
    <row r="432" spans="1:5" x14ac:dyDescent="0.25">
      <c r="A432" s="1">
        <v>39150</v>
      </c>
      <c r="B432" t="s">
        <v>137</v>
      </c>
      <c r="C432">
        <v>13</v>
      </c>
      <c r="D432">
        <f>YEAR(cukier8[[#This Row],[data]])</f>
        <v>2007</v>
      </c>
      <c r="E432">
        <f>VLOOKUP(cukier8[[#This Row],[rok]],$L$2:$M$11,2,FALSE)*cukier8[[#This Row],[sprzedany_cukier]]</f>
        <v>27.169999999999998</v>
      </c>
    </row>
    <row r="433" spans="1:5" x14ac:dyDescent="0.25">
      <c r="A433" s="1">
        <v>39152</v>
      </c>
      <c r="B433" t="s">
        <v>28</v>
      </c>
      <c r="C433">
        <v>118</v>
      </c>
      <c r="D433">
        <f>YEAR(cukier8[[#This Row],[data]])</f>
        <v>2007</v>
      </c>
      <c r="E433">
        <f>VLOOKUP(cukier8[[#This Row],[rok]],$L$2:$M$11,2,FALSE)*cukier8[[#This Row],[sprzedany_cukier]]</f>
        <v>246.61999999999998</v>
      </c>
    </row>
    <row r="434" spans="1:5" x14ac:dyDescent="0.25">
      <c r="A434" s="1">
        <v>39154</v>
      </c>
      <c r="B434" t="s">
        <v>25</v>
      </c>
      <c r="C434">
        <v>54</v>
      </c>
      <c r="D434">
        <f>YEAR(cukier8[[#This Row],[data]])</f>
        <v>2007</v>
      </c>
      <c r="E434">
        <f>VLOOKUP(cukier8[[#This Row],[rok]],$L$2:$M$11,2,FALSE)*cukier8[[#This Row],[sprzedany_cukier]]</f>
        <v>112.85999999999999</v>
      </c>
    </row>
    <row r="435" spans="1:5" x14ac:dyDescent="0.25">
      <c r="A435" s="1">
        <v>39158</v>
      </c>
      <c r="B435" t="s">
        <v>138</v>
      </c>
      <c r="C435">
        <v>10</v>
      </c>
      <c r="D435">
        <f>YEAR(cukier8[[#This Row],[data]])</f>
        <v>2007</v>
      </c>
      <c r="E435">
        <f>VLOOKUP(cukier8[[#This Row],[rok]],$L$2:$M$11,2,FALSE)*cukier8[[#This Row],[sprzedany_cukier]]</f>
        <v>20.9</v>
      </c>
    </row>
    <row r="436" spans="1:5" x14ac:dyDescent="0.25">
      <c r="A436" s="1">
        <v>39162</v>
      </c>
      <c r="B436" t="s">
        <v>50</v>
      </c>
      <c r="C436">
        <v>339</v>
      </c>
      <c r="D436">
        <f>YEAR(cukier8[[#This Row],[data]])</f>
        <v>2007</v>
      </c>
      <c r="E436">
        <f>VLOOKUP(cukier8[[#This Row],[rok]],$L$2:$M$11,2,FALSE)*cukier8[[#This Row],[sprzedany_cukier]]</f>
        <v>708.51</v>
      </c>
    </row>
    <row r="437" spans="1:5" x14ac:dyDescent="0.25">
      <c r="A437" s="1">
        <v>39163</v>
      </c>
      <c r="B437" t="s">
        <v>30</v>
      </c>
      <c r="C437">
        <v>80</v>
      </c>
      <c r="D437">
        <f>YEAR(cukier8[[#This Row],[data]])</f>
        <v>2007</v>
      </c>
      <c r="E437">
        <f>VLOOKUP(cukier8[[#This Row],[rok]],$L$2:$M$11,2,FALSE)*cukier8[[#This Row],[sprzedany_cukier]]</f>
        <v>167.2</v>
      </c>
    </row>
    <row r="438" spans="1:5" x14ac:dyDescent="0.25">
      <c r="A438" s="1">
        <v>39165</v>
      </c>
      <c r="B438" t="s">
        <v>22</v>
      </c>
      <c r="C438">
        <v>431</v>
      </c>
      <c r="D438">
        <f>YEAR(cukier8[[#This Row],[data]])</f>
        <v>2007</v>
      </c>
      <c r="E438">
        <f>VLOOKUP(cukier8[[#This Row],[rok]],$L$2:$M$11,2,FALSE)*cukier8[[#This Row],[sprzedany_cukier]]</f>
        <v>900.79</v>
      </c>
    </row>
    <row r="439" spans="1:5" x14ac:dyDescent="0.25">
      <c r="A439" s="1">
        <v>39167</v>
      </c>
      <c r="B439" t="s">
        <v>50</v>
      </c>
      <c r="C439">
        <v>268</v>
      </c>
      <c r="D439">
        <f>YEAR(cukier8[[#This Row],[data]])</f>
        <v>2007</v>
      </c>
      <c r="E439">
        <f>VLOOKUP(cukier8[[#This Row],[rok]],$L$2:$M$11,2,FALSE)*cukier8[[#This Row],[sprzedany_cukier]]</f>
        <v>560.12</v>
      </c>
    </row>
    <row r="440" spans="1:5" x14ac:dyDescent="0.25">
      <c r="A440" s="1">
        <v>39167</v>
      </c>
      <c r="B440" t="s">
        <v>22</v>
      </c>
      <c r="C440">
        <v>440</v>
      </c>
      <c r="D440">
        <f>YEAR(cukier8[[#This Row],[data]])</f>
        <v>2007</v>
      </c>
      <c r="E440">
        <f>VLOOKUP(cukier8[[#This Row],[rok]],$L$2:$M$11,2,FALSE)*cukier8[[#This Row],[sprzedany_cukier]]</f>
        <v>919.59999999999991</v>
      </c>
    </row>
    <row r="441" spans="1:5" x14ac:dyDescent="0.25">
      <c r="A441" s="1">
        <v>39167</v>
      </c>
      <c r="B441" t="s">
        <v>5</v>
      </c>
      <c r="C441">
        <v>396</v>
      </c>
      <c r="D441">
        <f>YEAR(cukier8[[#This Row],[data]])</f>
        <v>2007</v>
      </c>
      <c r="E441">
        <f>VLOOKUP(cukier8[[#This Row],[rok]],$L$2:$M$11,2,FALSE)*cukier8[[#This Row],[sprzedany_cukier]]</f>
        <v>827.64</v>
      </c>
    </row>
    <row r="442" spans="1:5" x14ac:dyDescent="0.25">
      <c r="A442" s="1">
        <v>39167</v>
      </c>
      <c r="B442" t="s">
        <v>18</v>
      </c>
      <c r="C442">
        <v>157</v>
      </c>
      <c r="D442">
        <f>YEAR(cukier8[[#This Row],[data]])</f>
        <v>2007</v>
      </c>
      <c r="E442">
        <f>VLOOKUP(cukier8[[#This Row],[rok]],$L$2:$M$11,2,FALSE)*cukier8[[#This Row],[sprzedany_cukier]]</f>
        <v>328.13</v>
      </c>
    </row>
    <row r="443" spans="1:5" x14ac:dyDescent="0.25">
      <c r="A443" s="1">
        <v>39171</v>
      </c>
      <c r="B443" t="s">
        <v>12</v>
      </c>
      <c r="C443">
        <v>194</v>
      </c>
      <c r="D443">
        <f>YEAR(cukier8[[#This Row],[data]])</f>
        <v>2007</v>
      </c>
      <c r="E443">
        <f>VLOOKUP(cukier8[[#This Row],[rok]],$L$2:$M$11,2,FALSE)*cukier8[[#This Row],[sprzedany_cukier]]</f>
        <v>405.46</v>
      </c>
    </row>
    <row r="444" spans="1:5" x14ac:dyDescent="0.25">
      <c r="A444" s="1">
        <v>39172</v>
      </c>
      <c r="B444" t="s">
        <v>39</v>
      </c>
      <c r="C444">
        <v>156</v>
      </c>
      <c r="D444">
        <f>YEAR(cukier8[[#This Row],[data]])</f>
        <v>2007</v>
      </c>
      <c r="E444">
        <f>VLOOKUP(cukier8[[#This Row],[rok]],$L$2:$M$11,2,FALSE)*cukier8[[#This Row],[sprzedany_cukier]]</f>
        <v>326.03999999999996</v>
      </c>
    </row>
    <row r="445" spans="1:5" x14ac:dyDescent="0.25">
      <c r="A445" s="1">
        <v>39173</v>
      </c>
      <c r="B445" t="s">
        <v>112</v>
      </c>
      <c r="C445">
        <v>11</v>
      </c>
      <c r="D445">
        <f>YEAR(cukier8[[#This Row],[data]])</f>
        <v>2007</v>
      </c>
      <c r="E445">
        <f>VLOOKUP(cukier8[[#This Row],[rok]],$L$2:$M$11,2,FALSE)*cukier8[[#This Row],[sprzedany_cukier]]</f>
        <v>22.99</v>
      </c>
    </row>
    <row r="446" spans="1:5" x14ac:dyDescent="0.25">
      <c r="A446" s="1">
        <v>39174</v>
      </c>
      <c r="B446" t="s">
        <v>35</v>
      </c>
      <c r="C446">
        <v>110</v>
      </c>
      <c r="D446">
        <f>YEAR(cukier8[[#This Row],[data]])</f>
        <v>2007</v>
      </c>
      <c r="E446">
        <f>VLOOKUP(cukier8[[#This Row],[rok]],$L$2:$M$11,2,FALSE)*cukier8[[#This Row],[sprzedany_cukier]]</f>
        <v>229.89999999999998</v>
      </c>
    </row>
    <row r="447" spans="1:5" x14ac:dyDescent="0.25">
      <c r="A447" s="1">
        <v>39176</v>
      </c>
      <c r="B447" t="s">
        <v>139</v>
      </c>
      <c r="C447">
        <v>12</v>
      </c>
      <c r="D447">
        <f>YEAR(cukier8[[#This Row],[data]])</f>
        <v>2007</v>
      </c>
      <c r="E447">
        <f>VLOOKUP(cukier8[[#This Row],[rok]],$L$2:$M$11,2,FALSE)*cukier8[[#This Row],[sprzedany_cukier]]</f>
        <v>25.08</v>
      </c>
    </row>
    <row r="448" spans="1:5" x14ac:dyDescent="0.25">
      <c r="A448" s="1">
        <v>39177</v>
      </c>
      <c r="B448" t="s">
        <v>5</v>
      </c>
      <c r="C448">
        <v>464</v>
      </c>
      <c r="D448">
        <f>YEAR(cukier8[[#This Row],[data]])</f>
        <v>2007</v>
      </c>
      <c r="E448">
        <f>VLOOKUP(cukier8[[#This Row],[rok]],$L$2:$M$11,2,FALSE)*cukier8[[#This Row],[sprzedany_cukier]]</f>
        <v>969.76</v>
      </c>
    </row>
    <row r="449" spans="1:5" x14ac:dyDescent="0.25">
      <c r="A449" s="1">
        <v>39178</v>
      </c>
      <c r="B449" t="s">
        <v>66</v>
      </c>
      <c r="C449">
        <v>40</v>
      </c>
      <c r="D449">
        <f>YEAR(cukier8[[#This Row],[data]])</f>
        <v>2007</v>
      </c>
      <c r="E449">
        <f>VLOOKUP(cukier8[[#This Row],[rok]],$L$2:$M$11,2,FALSE)*cukier8[[#This Row],[sprzedany_cukier]]</f>
        <v>83.6</v>
      </c>
    </row>
    <row r="450" spans="1:5" x14ac:dyDescent="0.25">
      <c r="A450" s="1">
        <v>39179</v>
      </c>
      <c r="B450" t="s">
        <v>39</v>
      </c>
      <c r="C450">
        <v>52</v>
      </c>
      <c r="D450">
        <f>YEAR(cukier8[[#This Row],[data]])</f>
        <v>2007</v>
      </c>
      <c r="E450">
        <f>VLOOKUP(cukier8[[#This Row],[rok]],$L$2:$M$11,2,FALSE)*cukier8[[#This Row],[sprzedany_cukier]]</f>
        <v>108.67999999999999</v>
      </c>
    </row>
    <row r="451" spans="1:5" x14ac:dyDescent="0.25">
      <c r="A451" s="1">
        <v>39184</v>
      </c>
      <c r="B451" t="s">
        <v>75</v>
      </c>
      <c r="C451">
        <v>12</v>
      </c>
      <c r="D451">
        <f>YEAR(cukier8[[#This Row],[data]])</f>
        <v>2007</v>
      </c>
      <c r="E451">
        <f>VLOOKUP(cukier8[[#This Row],[rok]],$L$2:$M$11,2,FALSE)*cukier8[[#This Row],[sprzedany_cukier]]</f>
        <v>25.08</v>
      </c>
    </row>
    <row r="452" spans="1:5" x14ac:dyDescent="0.25">
      <c r="A452" s="1">
        <v>39186</v>
      </c>
      <c r="B452" t="s">
        <v>7</v>
      </c>
      <c r="C452">
        <v>412</v>
      </c>
      <c r="D452">
        <f>YEAR(cukier8[[#This Row],[data]])</f>
        <v>2007</v>
      </c>
      <c r="E452">
        <f>VLOOKUP(cukier8[[#This Row],[rok]],$L$2:$M$11,2,FALSE)*cukier8[[#This Row],[sprzedany_cukier]]</f>
        <v>861.07999999999993</v>
      </c>
    </row>
    <row r="453" spans="1:5" x14ac:dyDescent="0.25">
      <c r="A453" s="1">
        <v>39188</v>
      </c>
      <c r="B453" t="s">
        <v>17</v>
      </c>
      <c r="C453">
        <v>268</v>
      </c>
      <c r="D453">
        <f>YEAR(cukier8[[#This Row],[data]])</f>
        <v>2007</v>
      </c>
      <c r="E453">
        <f>VLOOKUP(cukier8[[#This Row],[rok]],$L$2:$M$11,2,FALSE)*cukier8[[#This Row],[sprzedany_cukier]]</f>
        <v>560.12</v>
      </c>
    </row>
    <row r="454" spans="1:5" x14ac:dyDescent="0.25">
      <c r="A454" s="1">
        <v>39188</v>
      </c>
      <c r="B454" t="s">
        <v>7</v>
      </c>
      <c r="C454">
        <v>495</v>
      </c>
      <c r="D454">
        <f>YEAR(cukier8[[#This Row],[data]])</f>
        <v>2007</v>
      </c>
      <c r="E454">
        <f>VLOOKUP(cukier8[[#This Row],[rok]],$L$2:$M$11,2,FALSE)*cukier8[[#This Row],[sprzedany_cukier]]</f>
        <v>1034.55</v>
      </c>
    </row>
    <row r="455" spans="1:5" x14ac:dyDescent="0.25">
      <c r="A455" s="1">
        <v>39188</v>
      </c>
      <c r="B455" t="s">
        <v>35</v>
      </c>
      <c r="C455">
        <v>30</v>
      </c>
      <c r="D455">
        <f>YEAR(cukier8[[#This Row],[data]])</f>
        <v>2007</v>
      </c>
      <c r="E455">
        <f>VLOOKUP(cukier8[[#This Row],[rok]],$L$2:$M$11,2,FALSE)*cukier8[[#This Row],[sprzedany_cukier]]</f>
        <v>62.699999999999996</v>
      </c>
    </row>
    <row r="456" spans="1:5" x14ac:dyDescent="0.25">
      <c r="A456" s="1">
        <v>39191</v>
      </c>
      <c r="B456" t="s">
        <v>6</v>
      </c>
      <c r="C456">
        <v>67</v>
      </c>
      <c r="D456">
        <f>YEAR(cukier8[[#This Row],[data]])</f>
        <v>2007</v>
      </c>
      <c r="E456">
        <f>VLOOKUP(cukier8[[#This Row],[rok]],$L$2:$M$11,2,FALSE)*cukier8[[#This Row],[sprzedany_cukier]]</f>
        <v>140.03</v>
      </c>
    </row>
    <row r="457" spans="1:5" x14ac:dyDescent="0.25">
      <c r="A457" s="1">
        <v>39197</v>
      </c>
      <c r="B457" t="s">
        <v>14</v>
      </c>
      <c r="C457">
        <v>497</v>
      </c>
      <c r="D457">
        <f>YEAR(cukier8[[#This Row],[data]])</f>
        <v>2007</v>
      </c>
      <c r="E457">
        <f>VLOOKUP(cukier8[[#This Row],[rok]],$L$2:$M$11,2,FALSE)*cukier8[[#This Row],[sprzedany_cukier]]</f>
        <v>1038.73</v>
      </c>
    </row>
    <row r="458" spans="1:5" x14ac:dyDescent="0.25">
      <c r="A458" s="1">
        <v>39200</v>
      </c>
      <c r="B458" t="s">
        <v>22</v>
      </c>
      <c r="C458">
        <v>102</v>
      </c>
      <c r="D458">
        <f>YEAR(cukier8[[#This Row],[data]])</f>
        <v>2007</v>
      </c>
      <c r="E458">
        <f>VLOOKUP(cukier8[[#This Row],[rok]],$L$2:$M$11,2,FALSE)*cukier8[[#This Row],[sprzedany_cukier]]</f>
        <v>213.17999999999998</v>
      </c>
    </row>
    <row r="459" spans="1:5" x14ac:dyDescent="0.25">
      <c r="A459" s="1">
        <v>39203</v>
      </c>
      <c r="B459" t="s">
        <v>7</v>
      </c>
      <c r="C459">
        <v>322</v>
      </c>
      <c r="D459">
        <f>YEAR(cukier8[[#This Row],[data]])</f>
        <v>2007</v>
      </c>
      <c r="E459">
        <f>VLOOKUP(cukier8[[#This Row],[rok]],$L$2:$M$11,2,FALSE)*cukier8[[#This Row],[sprzedany_cukier]]</f>
        <v>672.9799999999999</v>
      </c>
    </row>
    <row r="460" spans="1:5" x14ac:dyDescent="0.25">
      <c r="A460" s="1">
        <v>39204</v>
      </c>
      <c r="B460" t="s">
        <v>9</v>
      </c>
      <c r="C460">
        <v>297</v>
      </c>
      <c r="D460">
        <f>YEAR(cukier8[[#This Row],[data]])</f>
        <v>2007</v>
      </c>
      <c r="E460">
        <f>VLOOKUP(cukier8[[#This Row],[rok]],$L$2:$M$11,2,FALSE)*cukier8[[#This Row],[sprzedany_cukier]]</f>
        <v>620.7299999999999</v>
      </c>
    </row>
    <row r="461" spans="1:5" x14ac:dyDescent="0.25">
      <c r="A461" s="1">
        <v>39206</v>
      </c>
      <c r="B461" t="s">
        <v>12</v>
      </c>
      <c r="C461">
        <v>179</v>
      </c>
      <c r="D461">
        <f>YEAR(cukier8[[#This Row],[data]])</f>
        <v>2007</v>
      </c>
      <c r="E461">
        <f>VLOOKUP(cukier8[[#This Row],[rok]],$L$2:$M$11,2,FALSE)*cukier8[[#This Row],[sprzedany_cukier]]</f>
        <v>374.10999999999996</v>
      </c>
    </row>
    <row r="462" spans="1:5" x14ac:dyDescent="0.25">
      <c r="A462" s="1">
        <v>39208</v>
      </c>
      <c r="B462" t="s">
        <v>140</v>
      </c>
      <c r="C462">
        <v>15</v>
      </c>
      <c r="D462">
        <f>YEAR(cukier8[[#This Row],[data]])</f>
        <v>2007</v>
      </c>
      <c r="E462">
        <f>VLOOKUP(cukier8[[#This Row],[rok]],$L$2:$M$11,2,FALSE)*cukier8[[#This Row],[sprzedany_cukier]]</f>
        <v>31.349999999999998</v>
      </c>
    </row>
    <row r="463" spans="1:5" x14ac:dyDescent="0.25">
      <c r="A463" s="1">
        <v>39210</v>
      </c>
      <c r="B463" t="s">
        <v>61</v>
      </c>
      <c r="C463">
        <v>65</v>
      </c>
      <c r="D463">
        <f>YEAR(cukier8[[#This Row],[data]])</f>
        <v>2007</v>
      </c>
      <c r="E463">
        <f>VLOOKUP(cukier8[[#This Row],[rok]],$L$2:$M$11,2,FALSE)*cukier8[[#This Row],[sprzedany_cukier]]</f>
        <v>135.85</v>
      </c>
    </row>
    <row r="464" spans="1:5" x14ac:dyDescent="0.25">
      <c r="A464" s="1">
        <v>39212</v>
      </c>
      <c r="B464" t="s">
        <v>7</v>
      </c>
      <c r="C464">
        <v>297</v>
      </c>
      <c r="D464">
        <f>YEAR(cukier8[[#This Row],[data]])</f>
        <v>2007</v>
      </c>
      <c r="E464">
        <f>VLOOKUP(cukier8[[#This Row],[rok]],$L$2:$M$11,2,FALSE)*cukier8[[#This Row],[sprzedany_cukier]]</f>
        <v>620.7299999999999</v>
      </c>
    </row>
    <row r="465" spans="1:5" x14ac:dyDescent="0.25">
      <c r="A465" s="1">
        <v>39214</v>
      </c>
      <c r="B465" t="s">
        <v>8</v>
      </c>
      <c r="C465">
        <v>131</v>
      </c>
      <c r="D465">
        <f>YEAR(cukier8[[#This Row],[data]])</f>
        <v>2007</v>
      </c>
      <c r="E465">
        <f>VLOOKUP(cukier8[[#This Row],[rok]],$L$2:$M$11,2,FALSE)*cukier8[[#This Row],[sprzedany_cukier]]</f>
        <v>273.78999999999996</v>
      </c>
    </row>
    <row r="466" spans="1:5" x14ac:dyDescent="0.25">
      <c r="A466" s="1">
        <v>39215</v>
      </c>
      <c r="B466" t="s">
        <v>141</v>
      </c>
      <c r="C466">
        <v>12</v>
      </c>
      <c r="D466">
        <f>YEAR(cukier8[[#This Row],[data]])</f>
        <v>2007</v>
      </c>
      <c r="E466">
        <f>VLOOKUP(cukier8[[#This Row],[rok]],$L$2:$M$11,2,FALSE)*cukier8[[#This Row],[sprzedany_cukier]]</f>
        <v>25.08</v>
      </c>
    </row>
    <row r="467" spans="1:5" x14ac:dyDescent="0.25">
      <c r="A467" s="1">
        <v>39215</v>
      </c>
      <c r="B467" t="s">
        <v>18</v>
      </c>
      <c r="C467">
        <v>114</v>
      </c>
      <c r="D467">
        <f>YEAR(cukier8[[#This Row],[data]])</f>
        <v>2007</v>
      </c>
      <c r="E467">
        <f>VLOOKUP(cukier8[[#This Row],[rok]],$L$2:$M$11,2,FALSE)*cukier8[[#This Row],[sprzedany_cukier]]</f>
        <v>238.26</v>
      </c>
    </row>
    <row r="468" spans="1:5" x14ac:dyDescent="0.25">
      <c r="A468" s="1">
        <v>39218</v>
      </c>
      <c r="B468" t="s">
        <v>14</v>
      </c>
      <c r="C468">
        <v>293</v>
      </c>
      <c r="D468">
        <f>YEAR(cukier8[[#This Row],[data]])</f>
        <v>2007</v>
      </c>
      <c r="E468">
        <f>VLOOKUP(cukier8[[#This Row],[rok]],$L$2:$M$11,2,FALSE)*cukier8[[#This Row],[sprzedany_cukier]]</f>
        <v>612.37</v>
      </c>
    </row>
    <row r="469" spans="1:5" x14ac:dyDescent="0.25">
      <c r="A469" s="1">
        <v>39220</v>
      </c>
      <c r="B469" t="s">
        <v>142</v>
      </c>
      <c r="C469">
        <v>18</v>
      </c>
      <c r="D469">
        <f>YEAR(cukier8[[#This Row],[data]])</f>
        <v>2007</v>
      </c>
      <c r="E469">
        <f>VLOOKUP(cukier8[[#This Row],[rok]],$L$2:$M$11,2,FALSE)*cukier8[[#This Row],[sprzedany_cukier]]</f>
        <v>37.619999999999997</v>
      </c>
    </row>
    <row r="470" spans="1:5" x14ac:dyDescent="0.25">
      <c r="A470" s="1">
        <v>39220</v>
      </c>
      <c r="B470" t="s">
        <v>19</v>
      </c>
      <c r="C470">
        <v>186</v>
      </c>
      <c r="D470">
        <f>YEAR(cukier8[[#This Row],[data]])</f>
        <v>2007</v>
      </c>
      <c r="E470">
        <f>VLOOKUP(cukier8[[#This Row],[rok]],$L$2:$M$11,2,FALSE)*cukier8[[#This Row],[sprzedany_cukier]]</f>
        <v>388.73999999999995</v>
      </c>
    </row>
    <row r="471" spans="1:5" x14ac:dyDescent="0.25">
      <c r="A471" s="1">
        <v>39223</v>
      </c>
      <c r="B471" t="s">
        <v>28</v>
      </c>
      <c r="C471">
        <v>119</v>
      </c>
      <c r="D471">
        <f>YEAR(cukier8[[#This Row],[data]])</f>
        <v>2007</v>
      </c>
      <c r="E471">
        <f>VLOOKUP(cukier8[[#This Row],[rok]],$L$2:$M$11,2,FALSE)*cukier8[[#This Row],[sprzedany_cukier]]</f>
        <v>248.70999999999998</v>
      </c>
    </row>
    <row r="472" spans="1:5" x14ac:dyDescent="0.25">
      <c r="A472" s="1">
        <v>39227</v>
      </c>
      <c r="B472" t="s">
        <v>130</v>
      </c>
      <c r="C472">
        <v>4</v>
      </c>
      <c r="D472">
        <f>YEAR(cukier8[[#This Row],[data]])</f>
        <v>2007</v>
      </c>
      <c r="E472">
        <f>VLOOKUP(cukier8[[#This Row],[rok]],$L$2:$M$11,2,FALSE)*cukier8[[#This Row],[sprzedany_cukier]]</f>
        <v>8.36</v>
      </c>
    </row>
    <row r="473" spans="1:5" x14ac:dyDescent="0.25">
      <c r="A473" s="1">
        <v>39230</v>
      </c>
      <c r="B473" t="s">
        <v>14</v>
      </c>
      <c r="C473">
        <v>415</v>
      </c>
      <c r="D473">
        <f>YEAR(cukier8[[#This Row],[data]])</f>
        <v>2007</v>
      </c>
      <c r="E473">
        <f>VLOOKUP(cukier8[[#This Row],[rok]],$L$2:$M$11,2,FALSE)*cukier8[[#This Row],[sprzedany_cukier]]</f>
        <v>867.34999999999991</v>
      </c>
    </row>
    <row r="474" spans="1:5" x14ac:dyDescent="0.25">
      <c r="A474" s="1">
        <v>39230</v>
      </c>
      <c r="B474" t="s">
        <v>13</v>
      </c>
      <c r="C474">
        <v>10</v>
      </c>
      <c r="D474">
        <f>YEAR(cukier8[[#This Row],[data]])</f>
        <v>2007</v>
      </c>
      <c r="E474">
        <f>VLOOKUP(cukier8[[#This Row],[rok]],$L$2:$M$11,2,FALSE)*cukier8[[#This Row],[sprzedany_cukier]]</f>
        <v>20.9</v>
      </c>
    </row>
    <row r="475" spans="1:5" x14ac:dyDescent="0.25">
      <c r="A475" s="1">
        <v>39230</v>
      </c>
      <c r="B475" t="s">
        <v>18</v>
      </c>
      <c r="C475">
        <v>159</v>
      </c>
      <c r="D475">
        <f>YEAR(cukier8[[#This Row],[data]])</f>
        <v>2007</v>
      </c>
      <c r="E475">
        <f>VLOOKUP(cukier8[[#This Row],[rok]],$L$2:$M$11,2,FALSE)*cukier8[[#This Row],[sprzedany_cukier]]</f>
        <v>332.31</v>
      </c>
    </row>
    <row r="476" spans="1:5" x14ac:dyDescent="0.25">
      <c r="A476" s="1">
        <v>39231</v>
      </c>
      <c r="B476" t="s">
        <v>17</v>
      </c>
      <c r="C476">
        <v>140</v>
      </c>
      <c r="D476">
        <f>YEAR(cukier8[[#This Row],[data]])</f>
        <v>2007</v>
      </c>
      <c r="E476">
        <f>VLOOKUP(cukier8[[#This Row],[rok]],$L$2:$M$11,2,FALSE)*cukier8[[#This Row],[sprzedany_cukier]]</f>
        <v>292.59999999999997</v>
      </c>
    </row>
    <row r="477" spans="1:5" x14ac:dyDescent="0.25">
      <c r="A477" s="1">
        <v>39239</v>
      </c>
      <c r="B477" t="s">
        <v>19</v>
      </c>
      <c r="C477">
        <v>128</v>
      </c>
      <c r="D477">
        <f>YEAR(cukier8[[#This Row],[data]])</f>
        <v>2007</v>
      </c>
      <c r="E477">
        <f>VLOOKUP(cukier8[[#This Row],[rok]],$L$2:$M$11,2,FALSE)*cukier8[[#This Row],[sprzedany_cukier]]</f>
        <v>267.52</v>
      </c>
    </row>
    <row r="478" spans="1:5" x14ac:dyDescent="0.25">
      <c r="A478" s="1">
        <v>39247</v>
      </c>
      <c r="B478" t="s">
        <v>143</v>
      </c>
      <c r="C478">
        <v>9</v>
      </c>
      <c r="D478">
        <f>YEAR(cukier8[[#This Row],[data]])</f>
        <v>2007</v>
      </c>
      <c r="E478">
        <f>VLOOKUP(cukier8[[#This Row],[rok]],$L$2:$M$11,2,FALSE)*cukier8[[#This Row],[sprzedany_cukier]]</f>
        <v>18.809999999999999</v>
      </c>
    </row>
    <row r="479" spans="1:5" x14ac:dyDescent="0.25">
      <c r="A479" s="1">
        <v>39247</v>
      </c>
      <c r="B479" t="s">
        <v>17</v>
      </c>
      <c r="C479">
        <v>121</v>
      </c>
      <c r="D479">
        <f>YEAR(cukier8[[#This Row],[data]])</f>
        <v>2007</v>
      </c>
      <c r="E479">
        <f>VLOOKUP(cukier8[[#This Row],[rok]],$L$2:$M$11,2,FALSE)*cukier8[[#This Row],[sprzedany_cukier]]</f>
        <v>252.89</v>
      </c>
    </row>
    <row r="480" spans="1:5" x14ac:dyDescent="0.25">
      <c r="A480" s="1">
        <v>39248</v>
      </c>
      <c r="B480" t="s">
        <v>14</v>
      </c>
      <c r="C480">
        <v>169</v>
      </c>
      <c r="D480">
        <f>YEAR(cukier8[[#This Row],[data]])</f>
        <v>2007</v>
      </c>
      <c r="E480">
        <f>VLOOKUP(cukier8[[#This Row],[rok]],$L$2:$M$11,2,FALSE)*cukier8[[#This Row],[sprzedany_cukier]]</f>
        <v>353.21</v>
      </c>
    </row>
    <row r="481" spans="1:5" x14ac:dyDescent="0.25">
      <c r="A481" s="1">
        <v>39250</v>
      </c>
      <c r="B481" t="s">
        <v>55</v>
      </c>
      <c r="C481">
        <v>118</v>
      </c>
      <c r="D481">
        <f>YEAR(cukier8[[#This Row],[data]])</f>
        <v>2007</v>
      </c>
      <c r="E481">
        <f>VLOOKUP(cukier8[[#This Row],[rok]],$L$2:$M$11,2,FALSE)*cukier8[[#This Row],[sprzedany_cukier]]</f>
        <v>246.61999999999998</v>
      </c>
    </row>
    <row r="482" spans="1:5" x14ac:dyDescent="0.25">
      <c r="A482" s="1">
        <v>39250</v>
      </c>
      <c r="B482" t="s">
        <v>78</v>
      </c>
      <c r="C482">
        <v>37</v>
      </c>
      <c r="D482">
        <f>YEAR(cukier8[[#This Row],[data]])</f>
        <v>2007</v>
      </c>
      <c r="E482">
        <f>VLOOKUP(cukier8[[#This Row],[rok]],$L$2:$M$11,2,FALSE)*cukier8[[#This Row],[sprzedany_cukier]]</f>
        <v>77.33</v>
      </c>
    </row>
    <row r="483" spans="1:5" x14ac:dyDescent="0.25">
      <c r="A483" s="1">
        <v>39253</v>
      </c>
      <c r="B483" t="s">
        <v>35</v>
      </c>
      <c r="C483">
        <v>198</v>
      </c>
      <c r="D483">
        <f>YEAR(cukier8[[#This Row],[data]])</f>
        <v>2007</v>
      </c>
      <c r="E483">
        <f>VLOOKUP(cukier8[[#This Row],[rok]],$L$2:$M$11,2,FALSE)*cukier8[[#This Row],[sprzedany_cukier]]</f>
        <v>413.82</v>
      </c>
    </row>
    <row r="484" spans="1:5" x14ac:dyDescent="0.25">
      <c r="A484" s="1">
        <v>39254</v>
      </c>
      <c r="B484" t="s">
        <v>28</v>
      </c>
      <c r="C484">
        <v>74</v>
      </c>
      <c r="D484">
        <f>YEAR(cukier8[[#This Row],[data]])</f>
        <v>2007</v>
      </c>
      <c r="E484">
        <f>VLOOKUP(cukier8[[#This Row],[rok]],$L$2:$M$11,2,FALSE)*cukier8[[#This Row],[sprzedany_cukier]]</f>
        <v>154.66</v>
      </c>
    </row>
    <row r="485" spans="1:5" x14ac:dyDescent="0.25">
      <c r="A485" s="1">
        <v>39259</v>
      </c>
      <c r="B485" t="s">
        <v>144</v>
      </c>
      <c r="C485">
        <v>18</v>
      </c>
      <c r="D485">
        <f>YEAR(cukier8[[#This Row],[data]])</f>
        <v>2007</v>
      </c>
      <c r="E485">
        <f>VLOOKUP(cukier8[[#This Row],[rok]],$L$2:$M$11,2,FALSE)*cukier8[[#This Row],[sprzedany_cukier]]</f>
        <v>37.619999999999997</v>
      </c>
    </row>
    <row r="486" spans="1:5" x14ac:dyDescent="0.25">
      <c r="A486" s="1">
        <v>39263</v>
      </c>
      <c r="B486" t="s">
        <v>24</v>
      </c>
      <c r="C486">
        <v>291</v>
      </c>
      <c r="D486">
        <f>YEAR(cukier8[[#This Row],[data]])</f>
        <v>2007</v>
      </c>
      <c r="E486">
        <f>VLOOKUP(cukier8[[#This Row],[rok]],$L$2:$M$11,2,FALSE)*cukier8[[#This Row],[sprzedany_cukier]]</f>
        <v>608.18999999999994</v>
      </c>
    </row>
    <row r="487" spans="1:5" x14ac:dyDescent="0.25">
      <c r="A487" s="1">
        <v>39270</v>
      </c>
      <c r="B487" t="s">
        <v>9</v>
      </c>
      <c r="C487">
        <v>208</v>
      </c>
      <c r="D487">
        <f>YEAR(cukier8[[#This Row],[data]])</f>
        <v>2007</v>
      </c>
      <c r="E487">
        <f>VLOOKUP(cukier8[[#This Row],[rok]],$L$2:$M$11,2,FALSE)*cukier8[[#This Row],[sprzedany_cukier]]</f>
        <v>434.71999999999997</v>
      </c>
    </row>
    <row r="488" spans="1:5" x14ac:dyDescent="0.25">
      <c r="A488" s="1">
        <v>39270</v>
      </c>
      <c r="B488" t="s">
        <v>5</v>
      </c>
      <c r="C488">
        <v>354</v>
      </c>
      <c r="D488">
        <f>YEAR(cukier8[[#This Row],[data]])</f>
        <v>2007</v>
      </c>
      <c r="E488">
        <f>VLOOKUP(cukier8[[#This Row],[rok]],$L$2:$M$11,2,FALSE)*cukier8[[#This Row],[sprzedany_cukier]]</f>
        <v>739.8599999999999</v>
      </c>
    </row>
    <row r="489" spans="1:5" x14ac:dyDescent="0.25">
      <c r="A489" s="1">
        <v>39277</v>
      </c>
      <c r="B489" t="s">
        <v>25</v>
      </c>
      <c r="C489">
        <v>113</v>
      </c>
      <c r="D489">
        <f>YEAR(cukier8[[#This Row],[data]])</f>
        <v>2007</v>
      </c>
      <c r="E489">
        <f>VLOOKUP(cukier8[[#This Row],[rok]],$L$2:$M$11,2,FALSE)*cukier8[[#This Row],[sprzedany_cukier]]</f>
        <v>236.17</v>
      </c>
    </row>
    <row r="490" spans="1:5" x14ac:dyDescent="0.25">
      <c r="A490" s="1">
        <v>39278</v>
      </c>
      <c r="B490" t="s">
        <v>145</v>
      </c>
      <c r="C490">
        <v>3</v>
      </c>
      <c r="D490">
        <f>YEAR(cukier8[[#This Row],[data]])</f>
        <v>2007</v>
      </c>
      <c r="E490">
        <f>VLOOKUP(cukier8[[#This Row],[rok]],$L$2:$M$11,2,FALSE)*cukier8[[#This Row],[sprzedany_cukier]]</f>
        <v>6.27</v>
      </c>
    </row>
    <row r="491" spans="1:5" x14ac:dyDescent="0.25">
      <c r="A491" s="1">
        <v>39278</v>
      </c>
      <c r="B491" t="s">
        <v>45</v>
      </c>
      <c r="C491">
        <v>446</v>
      </c>
      <c r="D491">
        <f>YEAR(cukier8[[#This Row],[data]])</f>
        <v>2007</v>
      </c>
      <c r="E491">
        <f>VLOOKUP(cukier8[[#This Row],[rok]],$L$2:$M$11,2,FALSE)*cukier8[[#This Row],[sprzedany_cukier]]</f>
        <v>932.14</v>
      </c>
    </row>
    <row r="492" spans="1:5" x14ac:dyDescent="0.25">
      <c r="A492" s="1">
        <v>39278</v>
      </c>
      <c r="B492" t="s">
        <v>121</v>
      </c>
      <c r="C492">
        <v>9</v>
      </c>
      <c r="D492">
        <f>YEAR(cukier8[[#This Row],[data]])</f>
        <v>2007</v>
      </c>
      <c r="E492">
        <f>VLOOKUP(cukier8[[#This Row],[rok]],$L$2:$M$11,2,FALSE)*cukier8[[#This Row],[sprzedany_cukier]]</f>
        <v>18.809999999999999</v>
      </c>
    </row>
    <row r="493" spans="1:5" x14ac:dyDescent="0.25">
      <c r="A493" s="1">
        <v>39282</v>
      </c>
      <c r="B493" t="s">
        <v>50</v>
      </c>
      <c r="C493">
        <v>445</v>
      </c>
      <c r="D493">
        <f>YEAR(cukier8[[#This Row],[data]])</f>
        <v>2007</v>
      </c>
      <c r="E493">
        <f>VLOOKUP(cukier8[[#This Row],[rok]],$L$2:$M$11,2,FALSE)*cukier8[[#This Row],[sprzedany_cukier]]</f>
        <v>930.05</v>
      </c>
    </row>
    <row r="494" spans="1:5" x14ac:dyDescent="0.25">
      <c r="A494" s="1">
        <v>39283</v>
      </c>
      <c r="B494" t="s">
        <v>69</v>
      </c>
      <c r="C494">
        <v>47</v>
      </c>
      <c r="D494">
        <f>YEAR(cukier8[[#This Row],[data]])</f>
        <v>2007</v>
      </c>
      <c r="E494">
        <f>VLOOKUP(cukier8[[#This Row],[rok]],$L$2:$M$11,2,FALSE)*cukier8[[#This Row],[sprzedany_cukier]]</f>
        <v>98.22999999999999</v>
      </c>
    </row>
    <row r="495" spans="1:5" x14ac:dyDescent="0.25">
      <c r="A495" s="1">
        <v>39284</v>
      </c>
      <c r="B495" t="s">
        <v>146</v>
      </c>
      <c r="C495">
        <v>14</v>
      </c>
      <c r="D495">
        <f>YEAR(cukier8[[#This Row],[data]])</f>
        <v>2007</v>
      </c>
      <c r="E495">
        <f>VLOOKUP(cukier8[[#This Row],[rok]],$L$2:$M$11,2,FALSE)*cukier8[[#This Row],[sprzedany_cukier]]</f>
        <v>29.259999999999998</v>
      </c>
    </row>
    <row r="496" spans="1:5" x14ac:dyDescent="0.25">
      <c r="A496" s="1">
        <v>39289</v>
      </c>
      <c r="B496" t="s">
        <v>37</v>
      </c>
      <c r="C496">
        <v>187</v>
      </c>
      <c r="D496">
        <f>YEAR(cukier8[[#This Row],[data]])</f>
        <v>2007</v>
      </c>
      <c r="E496">
        <f>VLOOKUP(cukier8[[#This Row],[rok]],$L$2:$M$11,2,FALSE)*cukier8[[#This Row],[sprzedany_cukier]]</f>
        <v>390.83</v>
      </c>
    </row>
    <row r="497" spans="1:5" x14ac:dyDescent="0.25">
      <c r="A497" s="1">
        <v>39290</v>
      </c>
      <c r="B497" t="s">
        <v>45</v>
      </c>
      <c r="C497">
        <v>355</v>
      </c>
      <c r="D497">
        <f>YEAR(cukier8[[#This Row],[data]])</f>
        <v>2007</v>
      </c>
      <c r="E497">
        <f>VLOOKUP(cukier8[[#This Row],[rok]],$L$2:$M$11,2,FALSE)*cukier8[[#This Row],[sprzedany_cukier]]</f>
        <v>741.94999999999993</v>
      </c>
    </row>
    <row r="498" spans="1:5" x14ac:dyDescent="0.25">
      <c r="A498" s="1">
        <v>39291</v>
      </c>
      <c r="B498" t="s">
        <v>115</v>
      </c>
      <c r="C498">
        <v>6</v>
      </c>
      <c r="D498">
        <f>YEAR(cukier8[[#This Row],[data]])</f>
        <v>2007</v>
      </c>
      <c r="E498">
        <f>VLOOKUP(cukier8[[#This Row],[rok]],$L$2:$M$11,2,FALSE)*cukier8[[#This Row],[sprzedany_cukier]]</f>
        <v>12.54</v>
      </c>
    </row>
    <row r="499" spans="1:5" x14ac:dyDescent="0.25">
      <c r="A499" s="1">
        <v>39292</v>
      </c>
      <c r="B499" t="s">
        <v>68</v>
      </c>
      <c r="C499">
        <v>18</v>
      </c>
      <c r="D499">
        <f>YEAR(cukier8[[#This Row],[data]])</f>
        <v>2007</v>
      </c>
      <c r="E499">
        <f>VLOOKUP(cukier8[[#This Row],[rok]],$L$2:$M$11,2,FALSE)*cukier8[[#This Row],[sprzedany_cukier]]</f>
        <v>37.619999999999997</v>
      </c>
    </row>
    <row r="500" spans="1:5" x14ac:dyDescent="0.25">
      <c r="A500" s="1">
        <v>39294</v>
      </c>
      <c r="B500" t="s">
        <v>71</v>
      </c>
      <c r="C500">
        <v>111</v>
      </c>
      <c r="D500">
        <f>YEAR(cukier8[[#This Row],[data]])</f>
        <v>2007</v>
      </c>
      <c r="E500">
        <f>VLOOKUP(cukier8[[#This Row],[rok]],$L$2:$M$11,2,FALSE)*cukier8[[#This Row],[sprzedany_cukier]]</f>
        <v>231.98999999999998</v>
      </c>
    </row>
    <row r="501" spans="1:5" x14ac:dyDescent="0.25">
      <c r="A501" s="1">
        <v>39294</v>
      </c>
      <c r="B501" t="s">
        <v>8</v>
      </c>
      <c r="C501">
        <v>156</v>
      </c>
      <c r="D501">
        <f>YEAR(cukier8[[#This Row],[data]])</f>
        <v>2007</v>
      </c>
      <c r="E501">
        <f>VLOOKUP(cukier8[[#This Row],[rok]],$L$2:$M$11,2,FALSE)*cukier8[[#This Row],[sprzedany_cukier]]</f>
        <v>326.03999999999996</v>
      </c>
    </row>
    <row r="502" spans="1:5" x14ac:dyDescent="0.25">
      <c r="A502" s="1">
        <v>39295</v>
      </c>
      <c r="B502" t="s">
        <v>45</v>
      </c>
      <c r="C502">
        <v>396</v>
      </c>
      <c r="D502">
        <f>YEAR(cukier8[[#This Row],[data]])</f>
        <v>2007</v>
      </c>
      <c r="E502">
        <f>VLOOKUP(cukier8[[#This Row],[rok]],$L$2:$M$11,2,FALSE)*cukier8[[#This Row],[sprzedany_cukier]]</f>
        <v>827.64</v>
      </c>
    </row>
    <row r="503" spans="1:5" x14ac:dyDescent="0.25">
      <c r="A503" s="1">
        <v>39299</v>
      </c>
      <c r="B503" t="s">
        <v>60</v>
      </c>
      <c r="C503">
        <v>7</v>
      </c>
      <c r="D503">
        <f>YEAR(cukier8[[#This Row],[data]])</f>
        <v>2007</v>
      </c>
      <c r="E503">
        <f>VLOOKUP(cukier8[[#This Row],[rok]],$L$2:$M$11,2,FALSE)*cukier8[[#This Row],[sprzedany_cukier]]</f>
        <v>14.629999999999999</v>
      </c>
    </row>
    <row r="504" spans="1:5" x14ac:dyDescent="0.25">
      <c r="A504" s="1">
        <v>39301</v>
      </c>
      <c r="B504" t="s">
        <v>55</v>
      </c>
      <c r="C504">
        <v>98</v>
      </c>
      <c r="D504">
        <f>YEAR(cukier8[[#This Row],[data]])</f>
        <v>2007</v>
      </c>
      <c r="E504">
        <f>VLOOKUP(cukier8[[#This Row],[rok]],$L$2:$M$11,2,FALSE)*cukier8[[#This Row],[sprzedany_cukier]]</f>
        <v>204.82</v>
      </c>
    </row>
    <row r="505" spans="1:5" x14ac:dyDescent="0.25">
      <c r="A505" s="1">
        <v>39303</v>
      </c>
      <c r="B505" t="s">
        <v>45</v>
      </c>
      <c r="C505">
        <v>405</v>
      </c>
      <c r="D505">
        <f>YEAR(cukier8[[#This Row],[data]])</f>
        <v>2007</v>
      </c>
      <c r="E505">
        <f>VLOOKUP(cukier8[[#This Row],[rok]],$L$2:$M$11,2,FALSE)*cukier8[[#This Row],[sprzedany_cukier]]</f>
        <v>846.44999999999993</v>
      </c>
    </row>
    <row r="506" spans="1:5" x14ac:dyDescent="0.25">
      <c r="A506" s="1">
        <v>39305</v>
      </c>
      <c r="B506" t="s">
        <v>7</v>
      </c>
      <c r="C506">
        <v>220</v>
      </c>
      <c r="D506">
        <f>YEAR(cukier8[[#This Row],[data]])</f>
        <v>2007</v>
      </c>
      <c r="E506">
        <f>VLOOKUP(cukier8[[#This Row],[rok]],$L$2:$M$11,2,FALSE)*cukier8[[#This Row],[sprzedany_cukier]]</f>
        <v>459.79999999999995</v>
      </c>
    </row>
    <row r="507" spans="1:5" x14ac:dyDescent="0.25">
      <c r="A507" s="1">
        <v>39306</v>
      </c>
      <c r="B507" t="s">
        <v>30</v>
      </c>
      <c r="C507">
        <v>141</v>
      </c>
      <c r="D507">
        <f>YEAR(cukier8[[#This Row],[data]])</f>
        <v>2007</v>
      </c>
      <c r="E507">
        <f>VLOOKUP(cukier8[[#This Row],[rok]],$L$2:$M$11,2,FALSE)*cukier8[[#This Row],[sprzedany_cukier]]</f>
        <v>294.69</v>
      </c>
    </row>
    <row r="508" spans="1:5" x14ac:dyDescent="0.25">
      <c r="A508" s="1">
        <v>39307</v>
      </c>
      <c r="B508" t="s">
        <v>90</v>
      </c>
      <c r="C508">
        <v>17</v>
      </c>
      <c r="D508">
        <f>YEAR(cukier8[[#This Row],[data]])</f>
        <v>2007</v>
      </c>
      <c r="E508">
        <f>VLOOKUP(cukier8[[#This Row],[rok]],$L$2:$M$11,2,FALSE)*cukier8[[#This Row],[sprzedany_cukier]]</f>
        <v>35.53</v>
      </c>
    </row>
    <row r="509" spans="1:5" x14ac:dyDescent="0.25">
      <c r="A509" s="1">
        <v>39307</v>
      </c>
      <c r="B509" t="s">
        <v>9</v>
      </c>
      <c r="C509">
        <v>260</v>
      </c>
      <c r="D509">
        <f>YEAR(cukier8[[#This Row],[data]])</f>
        <v>2007</v>
      </c>
      <c r="E509">
        <f>VLOOKUP(cukier8[[#This Row],[rok]],$L$2:$M$11,2,FALSE)*cukier8[[#This Row],[sprzedany_cukier]]</f>
        <v>543.4</v>
      </c>
    </row>
    <row r="510" spans="1:5" x14ac:dyDescent="0.25">
      <c r="A510" s="1">
        <v>39308</v>
      </c>
      <c r="B510" t="s">
        <v>119</v>
      </c>
      <c r="C510">
        <v>11</v>
      </c>
      <c r="D510">
        <f>YEAR(cukier8[[#This Row],[data]])</f>
        <v>2007</v>
      </c>
      <c r="E510">
        <f>VLOOKUP(cukier8[[#This Row],[rok]],$L$2:$M$11,2,FALSE)*cukier8[[#This Row],[sprzedany_cukier]]</f>
        <v>22.99</v>
      </c>
    </row>
    <row r="511" spans="1:5" x14ac:dyDescent="0.25">
      <c r="A511" s="1">
        <v>39312</v>
      </c>
      <c r="B511" t="s">
        <v>52</v>
      </c>
      <c r="C511">
        <v>182</v>
      </c>
      <c r="D511">
        <f>YEAR(cukier8[[#This Row],[data]])</f>
        <v>2007</v>
      </c>
      <c r="E511">
        <f>VLOOKUP(cukier8[[#This Row],[rok]],$L$2:$M$11,2,FALSE)*cukier8[[#This Row],[sprzedany_cukier]]</f>
        <v>380.38</v>
      </c>
    </row>
    <row r="512" spans="1:5" x14ac:dyDescent="0.25">
      <c r="A512" s="1">
        <v>39314</v>
      </c>
      <c r="B512" t="s">
        <v>37</v>
      </c>
      <c r="C512">
        <v>59</v>
      </c>
      <c r="D512">
        <f>YEAR(cukier8[[#This Row],[data]])</f>
        <v>2007</v>
      </c>
      <c r="E512">
        <f>VLOOKUP(cukier8[[#This Row],[rok]],$L$2:$M$11,2,FALSE)*cukier8[[#This Row],[sprzedany_cukier]]</f>
        <v>123.30999999999999</v>
      </c>
    </row>
    <row r="513" spans="1:5" x14ac:dyDescent="0.25">
      <c r="A513" s="1">
        <v>39315</v>
      </c>
      <c r="B513" t="s">
        <v>66</v>
      </c>
      <c r="C513">
        <v>45</v>
      </c>
      <c r="D513">
        <f>YEAR(cukier8[[#This Row],[data]])</f>
        <v>2007</v>
      </c>
      <c r="E513">
        <f>VLOOKUP(cukier8[[#This Row],[rok]],$L$2:$M$11,2,FALSE)*cukier8[[#This Row],[sprzedany_cukier]]</f>
        <v>94.05</v>
      </c>
    </row>
    <row r="514" spans="1:5" x14ac:dyDescent="0.25">
      <c r="A514" s="1">
        <v>39315</v>
      </c>
      <c r="B514" t="s">
        <v>76</v>
      </c>
      <c r="C514">
        <v>3</v>
      </c>
      <c r="D514">
        <f>YEAR(cukier8[[#This Row],[data]])</f>
        <v>2007</v>
      </c>
      <c r="E514">
        <f>VLOOKUP(cukier8[[#This Row],[rok]],$L$2:$M$11,2,FALSE)*cukier8[[#This Row],[sprzedany_cukier]]</f>
        <v>6.27</v>
      </c>
    </row>
    <row r="515" spans="1:5" x14ac:dyDescent="0.25">
      <c r="A515" s="1">
        <v>39317</v>
      </c>
      <c r="B515" t="s">
        <v>61</v>
      </c>
      <c r="C515">
        <v>52</v>
      </c>
      <c r="D515">
        <f>YEAR(cukier8[[#This Row],[data]])</f>
        <v>2007</v>
      </c>
      <c r="E515">
        <f>VLOOKUP(cukier8[[#This Row],[rok]],$L$2:$M$11,2,FALSE)*cukier8[[#This Row],[sprzedany_cukier]]</f>
        <v>108.67999999999999</v>
      </c>
    </row>
    <row r="516" spans="1:5" x14ac:dyDescent="0.25">
      <c r="A516" s="1">
        <v>39317</v>
      </c>
      <c r="B516" t="s">
        <v>22</v>
      </c>
      <c r="C516">
        <v>373</v>
      </c>
      <c r="D516">
        <f>YEAR(cukier8[[#This Row],[data]])</f>
        <v>2007</v>
      </c>
      <c r="E516">
        <f>VLOOKUP(cukier8[[#This Row],[rok]],$L$2:$M$11,2,FALSE)*cukier8[[#This Row],[sprzedany_cukier]]</f>
        <v>779.56999999999994</v>
      </c>
    </row>
    <row r="517" spans="1:5" x14ac:dyDescent="0.25">
      <c r="A517" s="1">
        <v>39318</v>
      </c>
      <c r="B517" t="s">
        <v>34</v>
      </c>
      <c r="C517">
        <v>2</v>
      </c>
      <c r="D517">
        <f>YEAR(cukier8[[#This Row],[data]])</f>
        <v>2007</v>
      </c>
      <c r="E517">
        <f>VLOOKUP(cukier8[[#This Row],[rok]],$L$2:$M$11,2,FALSE)*cukier8[[#This Row],[sprzedany_cukier]]</f>
        <v>4.18</v>
      </c>
    </row>
    <row r="518" spans="1:5" x14ac:dyDescent="0.25">
      <c r="A518" s="1">
        <v>39318</v>
      </c>
      <c r="B518" t="s">
        <v>24</v>
      </c>
      <c r="C518">
        <v>445</v>
      </c>
      <c r="D518">
        <f>YEAR(cukier8[[#This Row],[data]])</f>
        <v>2007</v>
      </c>
      <c r="E518">
        <f>VLOOKUP(cukier8[[#This Row],[rok]],$L$2:$M$11,2,FALSE)*cukier8[[#This Row],[sprzedany_cukier]]</f>
        <v>930.05</v>
      </c>
    </row>
    <row r="519" spans="1:5" x14ac:dyDescent="0.25">
      <c r="A519" s="1">
        <v>39319</v>
      </c>
      <c r="B519" t="s">
        <v>52</v>
      </c>
      <c r="C519">
        <v>93</v>
      </c>
      <c r="D519">
        <f>YEAR(cukier8[[#This Row],[data]])</f>
        <v>2007</v>
      </c>
      <c r="E519">
        <f>VLOOKUP(cukier8[[#This Row],[rok]],$L$2:$M$11,2,FALSE)*cukier8[[#This Row],[sprzedany_cukier]]</f>
        <v>194.36999999999998</v>
      </c>
    </row>
    <row r="520" spans="1:5" x14ac:dyDescent="0.25">
      <c r="A520" s="1">
        <v>39324</v>
      </c>
      <c r="B520" t="s">
        <v>22</v>
      </c>
      <c r="C520">
        <v>329</v>
      </c>
      <c r="D520">
        <f>YEAR(cukier8[[#This Row],[data]])</f>
        <v>2007</v>
      </c>
      <c r="E520">
        <f>VLOOKUP(cukier8[[#This Row],[rok]],$L$2:$M$11,2,FALSE)*cukier8[[#This Row],[sprzedany_cukier]]</f>
        <v>687.6099999999999</v>
      </c>
    </row>
    <row r="521" spans="1:5" x14ac:dyDescent="0.25">
      <c r="A521" s="1">
        <v>39326</v>
      </c>
      <c r="B521" t="s">
        <v>22</v>
      </c>
      <c r="C521">
        <v>217</v>
      </c>
      <c r="D521">
        <f>YEAR(cukier8[[#This Row],[data]])</f>
        <v>2007</v>
      </c>
      <c r="E521">
        <f>VLOOKUP(cukier8[[#This Row],[rok]],$L$2:$M$11,2,FALSE)*cukier8[[#This Row],[sprzedany_cukier]]</f>
        <v>453.53</v>
      </c>
    </row>
    <row r="522" spans="1:5" x14ac:dyDescent="0.25">
      <c r="A522" s="1">
        <v>39326</v>
      </c>
      <c r="B522" t="s">
        <v>18</v>
      </c>
      <c r="C522">
        <v>165</v>
      </c>
      <c r="D522">
        <f>YEAR(cukier8[[#This Row],[data]])</f>
        <v>2007</v>
      </c>
      <c r="E522">
        <f>VLOOKUP(cukier8[[#This Row],[rok]],$L$2:$M$11,2,FALSE)*cukier8[[#This Row],[sprzedany_cukier]]</f>
        <v>344.84999999999997</v>
      </c>
    </row>
    <row r="523" spans="1:5" x14ac:dyDescent="0.25">
      <c r="A523" s="1">
        <v>39327</v>
      </c>
      <c r="B523" t="s">
        <v>41</v>
      </c>
      <c r="C523">
        <v>20</v>
      </c>
      <c r="D523">
        <f>YEAR(cukier8[[#This Row],[data]])</f>
        <v>2007</v>
      </c>
      <c r="E523">
        <f>VLOOKUP(cukier8[[#This Row],[rok]],$L$2:$M$11,2,FALSE)*cukier8[[#This Row],[sprzedany_cukier]]</f>
        <v>41.8</v>
      </c>
    </row>
    <row r="524" spans="1:5" x14ac:dyDescent="0.25">
      <c r="A524" s="1">
        <v>39328</v>
      </c>
      <c r="B524" t="s">
        <v>33</v>
      </c>
      <c r="C524">
        <v>11</v>
      </c>
      <c r="D524">
        <f>YEAR(cukier8[[#This Row],[data]])</f>
        <v>2007</v>
      </c>
      <c r="E524">
        <f>VLOOKUP(cukier8[[#This Row],[rok]],$L$2:$M$11,2,FALSE)*cukier8[[#This Row],[sprzedany_cukier]]</f>
        <v>22.99</v>
      </c>
    </row>
    <row r="525" spans="1:5" x14ac:dyDescent="0.25">
      <c r="A525" s="1">
        <v>39329</v>
      </c>
      <c r="B525" t="s">
        <v>14</v>
      </c>
      <c r="C525">
        <v>294</v>
      </c>
      <c r="D525">
        <f>YEAR(cukier8[[#This Row],[data]])</f>
        <v>2007</v>
      </c>
      <c r="E525">
        <f>VLOOKUP(cukier8[[#This Row],[rok]],$L$2:$M$11,2,FALSE)*cukier8[[#This Row],[sprzedany_cukier]]</f>
        <v>614.45999999999992</v>
      </c>
    </row>
    <row r="526" spans="1:5" x14ac:dyDescent="0.25">
      <c r="A526" s="1">
        <v>39331</v>
      </c>
      <c r="B526" t="s">
        <v>12</v>
      </c>
      <c r="C526">
        <v>82</v>
      </c>
      <c r="D526">
        <f>YEAR(cukier8[[#This Row],[data]])</f>
        <v>2007</v>
      </c>
      <c r="E526">
        <f>VLOOKUP(cukier8[[#This Row],[rok]],$L$2:$M$11,2,FALSE)*cukier8[[#This Row],[sprzedany_cukier]]</f>
        <v>171.38</v>
      </c>
    </row>
    <row r="527" spans="1:5" x14ac:dyDescent="0.25">
      <c r="A527" s="1">
        <v>39331</v>
      </c>
      <c r="B527" t="s">
        <v>23</v>
      </c>
      <c r="C527">
        <v>186</v>
      </c>
      <c r="D527">
        <f>YEAR(cukier8[[#This Row],[data]])</f>
        <v>2007</v>
      </c>
      <c r="E527">
        <f>VLOOKUP(cukier8[[#This Row],[rok]],$L$2:$M$11,2,FALSE)*cukier8[[#This Row],[sprzedany_cukier]]</f>
        <v>388.73999999999995</v>
      </c>
    </row>
    <row r="528" spans="1:5" x14ac:dyDescent="0.25">
      <c r="A528" s="1">
        <v>39333</v>
      </c>
      <c r="B528" t="s">
        <v>10</v>
      </c>
      <c r="C528">
        <v>163</v>
      </c>
      <c r="D528">
        <f>YEAR(cukier8[[#This Row],[data]])</f>
        <v>2007</v>
      </c>
      <c r="E528">
        <f>VLOOKUP(cukier8[[#This Row],[rok]],$L$2:$M$11,2,FALSE)*cukier8[[#This Row],[sprzedany_cukier]]</f>
        <v>340.66999999999996</v>
      </c>
    </row>
    <row r="529" spans="1:5" x14ac:dyDescent="0.25">
      <c r="A529" s="1">
        <v>39333</v>
      </c>
      <c r="B529" t="s">
        <v>30</v>
      </c>
      <c r="C529">
        <v>148</v>
      </c>
      <c r="D529">
        <f>YEAR(cukier8[[#This Row],[data]])</f>
        <v>2007</v>
      </c>
      <c r="E529">
        <f>VLOOKUP(cukier8[[#This Row],[rok]],$L$2:$M$11,2,FALSE)*cukier8[[#This Row],[sprzedany_cukier]]</f>
        <v>309.32</v>
      </c>
    </row>
    <row r="530" spans="1:5" x14ac:dyDescent="0.25">
      <c r="A530" s="1">
        <v>39334</v>
      </c>
      <c r="B530" t="s">
        <v>40</v>
      </c>
      <c r="C530">
        <v>2</v>
      </c>
      <c r="D530">
        <f>YEAR(cukier8[[#This Row],[data]])</f>
        <v>2007</v>
      </c>
      <c r="E530">
        <f>VLOOKUP(cukier8[[#This Row],[rok]],$L$2:$M$11,2,FALSE)*cukier8[[#This Row],[sprzedany_cukier]]</f>
        <v>4.18</v>
      </c>
    </row>
    <row r="531" spans="1:5" x14ac:dyDescent="0.25">
      <c r="A531" s="1">
        <v>39336</v>
      </c>
      <c r="B531" t="s">
        <v>22</v>
      </c>
      <c r="C531">
        <v>343</v>
      </c>
      <c r="D531">
        <f>YEAR(cukier8[[#This Row],[data]])</f>
        <v>2007</v>
      </c>
      <c r="E531">
        <f>VLOOKUP(cukier8[[#This Row],[rok]],$L$2:$M$11,2,FALSE)*cukier8[[#This Row],[sprzedany_cukier]]</f>
        <v>716.87</v>
      </c>
    </row>
    <row r="532" spans="1:5" x14ac:dyDescent="0.25">
      <c r="A532" s="1">
        <v>39336</v>
      </c>
      <c r="B532" t="s">
        <v>71</v>
      </c>
      <c r="C532">
        <v>51</v>
      </c>
      <c r="D532">
        <f>YEAR(cukier8[[#This Row],[data]])</f>
        <v>2007</v>
      </c>
      <c r="E532">
        <f>VLOOKUP(cukier8[[#This Row],[rok]],$L$2:$M$11,2,FALSE)*cukier8[[#This Row],[sprzedany_cukier]]</f>
        <v>106.58999999999999</v>
      </c>
    </row>
    <row r="533" spans="1:5" x14ac:dyDescent="0.25">
      <c r="A533" s="1">
        <v>39339</v>
      </c>
      <c r="B533" t="s">
        <v>10</v>
      </c>
      <c r="C533">
        <v>164</v>
      </c>
      <c r="D533">
        <f>YEAR(cukier8[[#This Row],[data]])</f>
        <v>2007</v>
      </c>
      <c r="E533">
        <f>VLOOKUP(cukier8[[#This Row],[rok]],$L$2:$M$11,2,FALSE)*cukier8[[#This Row],[sprzedany_cukier]]</f>
        <v>342.76</v>
      </c>
    </row>
    <row r="534" spans="1:5" x14ac:dyDescent="0.25">
      <c r="A534" s="1">
        <v>39339</v>
      </c>
      <c r="B534" t="s">
        <v>4</v>
      </c>
      <c r="C534">
        <v>5</v>
      </c>
      <c r="D534">
        <f>YEAR(cukier8[[#This Row],[data]])</f>
        <v>2007</v>
      </c>
      <c r="E534">
        <f>VLOOKUP(cukier8[[#This Row],[rok]],$L$2:$M$11,2,FALSE)*cukier8[[#This Row],[sprzedany_cukier]]</f>
        <v>10.45</v>
      </c>
    </row>
    <row r="535" spans="1:5" x14ac:dyDescent="0.25">
      <c r="A535" s="1">
        <v>39340</v>
      </c>
      <c r="B535" t="s">
        <v>7</v>
      </c>
      <c r="C535">
        <v>260</v>
      </c>
      <c r="D535">
        <f>YEAR(cukier8[[#This Row],[data]])</f>
        <v>2007</v>
      </c>
      <c r="E535">
        <f>VLOOKUP(cukier8[[#This Row],[rok]],$L$2:$M$11,2,FALSE)*cukier8[[#This Row],[sprzedany_cukier]]</f>
        <v>543.4</v>
      </c>
    </row>
    <row r="536" spans="1:5" x14ac:dyDescent="0.25">
      <c r="A536" s="1">
        <v>39340</v>
      </c>
      <c r="B536" t="s">
        <v>9</v>
      </c>
      <c r="C536">
        <v>415</v>
      </c>
      <c r="D536">
        <f>YEAR(cukier8[[#This Row],[data]])</f>
        <v>2007</v>
      </c>
      <c r="E536">
        <f>VLOOKUP(cukier8[[#This Row],[rok]],$L$2:$M$11,2,FALSE)*cukier8[[#This Row],[sprzedany_cukier]]</f>
        <v>867.34999999999991</v>
      </c>
    </row>
    <row r="537" spans="1:5" x14ac:dyDescent="0.25">
      <c r="A537" s="1">
        <v>39341</v>
      </c>
      <c r="B537" t="s">
        <v>9</v>
      </c>
      <c r="C537">
        <v>467</v>
      </c>
      <c r="D537">
        <f>YEAR(cukier8[[#This Row],[data]])</f>
        <v>2007</v>
      </c>
      <c r="E537">
        <f>VLOOKUP(cukier8[[#This Row],[rok]],$L$2:$M$11,2,FALSE)*cukier8[[#This Row],[sprzedany_cukier]]</f>
        <v>976.03</v>
      </c>
    </row>
    <row r="538" spans="1:5" x14ac:dyDescent="0.25">
      <c r="A538" s="1">
        <v>39341</v>
      </c>
      <c r="B538" t="s">
        <v>61</v>
      </c>
      <c r="C538">
        <v>43</v>
      </c>
      <c r="D538">
        <f>YEAR(cukier8[[#This Row],[data]])</f>
        <v>2007</v>
      </c>
      <c r="E538">
        <f>VLOOKUP(cukier8[[#This Row],[rok]],$L$2:$M$11,2,FALSE)*cukier8[[#This Row],[sprzedany_cukier]]</f>
        <v>89.86999999999999</v>
      </c>
    </row>
    <row r="539" spans="1:5" x14ac:dyDescent="0.25">
      <c r="A539" s="1">
        <v>39342</v>
      </c>
      <c r="B539" t="s">
        <v>8</v>
      </c>
      <c r="C539">
        <v>40</v>
      </c>
      <c r="D539">
        <f>YEAR(cukier8[[#This Row],[data]])</f>
        <v>2007</v>
      </c>
      <c r="E539">
        <f>VLOOKUP(cukier8[[#This Row],[rok]],$L$2:$M$11,2,FALSE)*cukier8[[#This Row],[sprzedany_cukier]]</f>
        <v>83.6</v>
      </c>
    </row>
    <row r="540" spans="1:5" x14ac:dyDescent="0.25">
      <c r="A540" s="1">
        <v>39344</v>
      </c>
      <c r="B540" t="s">
        <v>147</v>
      </c>
      <c r="C540">
        <v>10</v>
      </c>
      <c r="D540">
        <f>YEAR(cukier8[[#This Row],[data]])</f>
        <v>2007</v>
      </c>
      <c r="E540">
        <f>VLOOKUP(cukier8[[#This Row],[rok]],$L$2:$M$11,2,FALSE)*cukier8[[#This Row],[sprzedany_cukier]]</f>
        <v>20.9</v>
      </c>
    </row>
    <row r="541" spans="1:5" x14ac:dyDescent="0.25">
      <c r="A541" s="1">
        <v>39345</v>
      </c>
      <c r="B541" t="s">
        <v>9</v>
      </c>
      <c r="C541">
        <v>197</v>
      </c>
      <c r="D541">
        <f>YEAR(cukier8[[#This Row],[data]])</f>
        <v>2007</v>
      </c>
      <c r="E541">
        <f>VLOOKUP(cukier8[[#This Row],[rok]],$L$2:$M$11,2,FALSE)*cukier8[[#This Row],[sprzedany_cukier]]</f>
        <v>411.72999999999996</v>
      </c>
    </row>
    <row r="542" spans="1:5" x14ac:dyDescent="0.25">
      <c r="A542" s="1">
        <v>39348</v>
      </c>
      <c r="B542" t="s">
        <v>78</v>
      </c>
      <c r="C542">
        <v>145</v>
      </c>
      <c r="D542">
        <f>YEAR(cukier8[[#This Row],[data]])</f>
        <v>2007</v>
      </c>
      <c r="E542">
        <f>VLOOKUP(cukier8[[#This Row],[rok]],$L$2:$M$11,2,FALSE)*cukier8[[#This Row],[sprzedany_cukier]]</f>
        <v>303.04999999999995</v>
      </c>
    </row>
    <row r="543" spans="1:5" x14ac:dyDescent="0.25">
      <c r="A543" s="1">
        <v>39349</v>
      </c>
      <c r="B543" t="s">
        <v>55</v>
      </c>
      <c r="C543">
        <v>105</v>
      </c>
      <c r="D543">
        <f>YEAR(cukier8[[#This Row],[data]])</f>
        <v>2007</v>
      </c>
      <c r="E543">
        <f>VLOOKUP(cukier8[[#This Row],[rok]],$L$2:$M$11,2,FALSE)*cukier8[[#This Row],[sprzedany_cukier]]</f>
        <v>219.45</v>
      </c>
    </row>
    <row r="544" spans="1:5" x14ac:dyDescent="0.25">
      <c r="A544" s="1">
        <v>39350</v>
      </c>
      <c r="B544" t="s">
        <v>37</v>
      </c>
      <c r="C544">
        <v>33</v>
      </c>
      <c r="D544">
        <f>YEAR(cukier8[[#This Row],[data]])</f>
        <v>2007</v>
      </c>
      <c r="E544">
        <f>VLOOKUP(cukier8[[#This Row],[rok]],$L$2:$M$11,2,FALSE)*cukier8[[#This Row],[sprzedany_cukier]]</f>
        <v>68.97</v>
      </c>
    </row>
    <row r="545" spans="1:5" x14ac:dyDescent="0.25">
      <c r="A545" s="1">
        <v>39350</v>
      </c>
      <c r="B545" t="s">
        <v>120</v>
      </c>
      <c r="C545">
        <v>78</v>
      </c>
      <c r="D545">
        <f>YEAR(cukier8[[#This Row],[data]])</f>
        <v>2007</v>
      </c>
      <c r="E545">
        <f>VLOOKUP(cukier8[[#This Row],[rok]],$L$2:$M$11,2,FALSE)*cukier8[[#This Row],[sprzedany_cukier]]</f>
        <v>163.01999999999998</v>
      </c>
    </row>
    <row r="546" spans="1:5" x14ac:dyDescent="0.25">
      <c r="A546" s="1">
        <v>39351</v>
      </c>
      <c r="B546" t="s">
        <v>9</v>
      </c>
      <c r="C546">
        <v>466</v>
      </c>
      <c r="D546">
        <f>YEAR(cukier8[[#This Row],[data]])</f>
        <v>2007</v>
      </c>
      <c r="E546">
        <f>VLOOKUP(cukier8[[#This Row],[rok]],$L$2:$M$11,2,FALSE)*cukier8[[#This Row],[sprzedany_cukier]]</f>
        <v>973.93999999999994</v>
      </c>
    </row>
    <row r="547" spans="1:5" x14ac:dyDescent="0.25">
      <c r="A547" s="1">
        <v>39354</v>
      </c>
      <c r="B547" t="s">
        <v>45</v>
      </c>
      <c r="C547">
        <v>476</v>
      </c>
      <c r="D547">
        <f>YEAR(cukier8[[#This Row],[data]])</f>
        <v>2007</v>
      </c>
      <c r="E547">
        <f>VLOOKUP(cukier8[[#This Row],[rok]],$L$2:$M$11,2,FALSE)*cukier8[[#This Row],[sprzedany_cukier]]</f>
        <v>994.83999999999992</v>
      </c>
    </row>
    <row r="548" spans="1:5" x14ac:dyDescent="0.25">
      <c r="A548" s="1">
        <v>39357</v>
      </c>
      <c r="B548" t="s">
        <v>19</v>
      </c>
      <c r="C548">
        <v>151</v>
      </c>
      <c r="D548">
        <f>YEAR(cukier8[[#This Row],[data]])</f>
        <v>2007</v>
      </c>
      <c r="E548">
        <f>VLOOKUP(cukier8[[#This Row],[rok]],$L$2:$M$11,2,FALSE)*cukier8[[#This Row],[sprzedany_cukier]]</f>
        <v>315.58999999999997</v>
      </c>
    </row>
    <row r="549" spans="1:5" x14ac:dyDescent="0.25">
      <c r="A549" s="1">
        <v>39357</v>
      </c>
      <c r="B549" t="s">
        <v>148</v>
      </c>
      <c r="C549">
        <v>17</v>
      </c>
      <c r="D549">
        <f>YEAR(cukier8[[#This Row],[data]])</f>
        <v>2007</v>
      </c>
      <c r="E549">
        <f>VLOOKUP(cukier8[[#This Row],[rok]],$L$2:$M$11,2,FALSE)*cukier8[[#This Row],[sprzedany_cukier]]</f>
        <v>35.53</v>
      </c>
    </row>
    <row r="550" spans="1:5" x14ac:dyDescent="0.25">
      <c r="A550" s="1">
        <v>39361</v>
      </c>
      <c r="B550" t="s">
        <v>149</v>
      </c>
      <c r="C550">
        <v>4</v>
      </c>
      <c r="D550">
        <f>YEAR(cukier8[[#This Row],[data]])</f>
        <v>2007</v>
      </c>
      <c r="E550">
        <f>VLOOKUP(cukier8[[#This Row],[rok]],$L$2:$M$11,2,FALSE)*cukier8[[#This Row],[sprzedany_cukier]]</f>
        <v>8.36</v>
      </c>
    </row>
    <row r="551" spans="1:5" x14ac:dyDescent="0.25">
      <c r="A551" s="1">
        <v>39371</v>
      </c>
      <c r="B551" t="s">
        <v>5</v>
      </c>
      <c r="C551">
        <v>131</v>
      </c>
      <c r="D551">
        <f>YEAR(cukier8[[#This Row],[data]])</f>
        <v>2007</v>
      </c>
      <c r="E551">
        <f>VLOOKUP(cukier8[[#This Row],[rok]],$L$2:$M$11,2,FALSE)*cukier8[[#This Row],[sprzedany_cukier]]</f>
        <v>273.78999999999996</v>
      </c>
    </row>
    <row r="552" spans="1:5" x14ac:dyDescent="0.25">
      <c r="A552" s="1">
        <v>39371</v>
      </c>
      <c r="B552" t="s">
        <v>24</v>
      </c>
      <c r="C552">
        <v>369</v>
      </c>
      <c r="D552">
        <f>YEAR(cukier8[[#This Row],[data]])</f>
        <v>2007</v>
      </c>
      <c r="E552">
        <f>VLOOKUP(cukier8[[#This Row],[rok]],$L$2:$M$11,2,FALSE)*cukier8[[#This Row],[sprzedany_cukier]]</f>
        <v>771.20999999999992</v>
      </c>
    </row>
    <row r="553" spans="1:5" x14ac:dyDescent="0.25">
      <c r="A553" s="1">
        <v>39371</v>
      </c>
      <c r="B553" t="s">
        <v>131</v>
      </c>
      <c r="C553">
        <v>60</v>
      </c>
      <c r="D553">
        <f>YEAR(cukier8[[#This Row],[data]])</f>
        <v>2007</v>
      </c>
      <c r="E553">
        <f>VLOOKUP(cukier8[[#This Row],[rok]],$L$2:$M$11,2,FALSE)*cukier8[[#This Row],[sprzedany_cukier]]</f>
        <v>125.39999999999999</v>
      </c>
    </row>
    <row r="554" spans="1:5" x14ac:dyDescent="0.25">
      <c r="A554" s="1">
        <v>39375</v>
      </c>
      <c r="B554" t="s">
        <v>17</v>
      </c>
      <c r="C554">
        <v>405</v>
      </c>
      <c r="D554">
        <f>YEAR(cukier8[[#This Row],[data]])</f>
        <v>2007</v>
      </c>
      <c r="E554">
        <f>VLOOKUP(cukier8[[#This Row],[rok]],$L$2:$M$11,2,FALSE)*cukier8[[#This Row],[sprzedany_cukier]]</f>
        <v>846.44999999999993</v>
      </c>
    </row>
    <row r="555" spans="1:5" x14ac:dyDescent="0.25">
      <c r="A555" s="1">
        <v>39376</v>
      </c>
      <c r="B555" t="s">
        <v>21</v>
      </c>
      <c r="C555">
        <v>3</v>
      </c>
      <c r="D555">
        <f>YEAR(cukier8[[#This Row],[data]])</f>
        <v>2007</v>
      </c>
      <c r="E555">
        <f>VLOOKUP(cukier8[[#This Row],[rok]],$L$2:$M$11,2,FALSE)*cukier8[[#This Row],[sprzedany_cukier]]</f>
        <v>6.27</v>
      </c>
    </row>
    <row r="556" spans="1:5" x14ac:dyDescent="0.25">
      <c r="A556" s="1">
        <v>39380</v>
      </c>
      <c r="B556" t="s">
        <v>78</v>
      </c>
      <c r="C556">
        <v>35</v>
      </c>
      <c r="D556">
        <f>YEAR(cukier8[[#This Row],[data]])</f>
        <v>2007</v>
      </c>
      <c r="E556">
        <f>VLOOKUP(cukier8[[#This Row],[rok]],$L$2:$M$11,2,FALSE)*cukier8[[#This Row],[sprzedany_cukier]]</f>
        <v>73.149999999999991</v>
      </c>
    </row>
    <row r="557" spans="1:5" x14ac:dyDescent="0.25">
      <c r="A557" s="1">
        <v>39382</v>
      </c>
      <c r="B557" t="s">
        <v>50</v>
      </c>
      <c r="C557">
        <v>444</v>
      </c>
      <c r="D557">
        <f>YEAR(cukier8[[#This Row],[data]])</f>
        <v>2007</v>
      </c>
      <c r="E557">
        <f>VLOOKUP(cukier8[[#This Row],[rok]],$L$2:$M$11,2,FALSE)*cukier8[[#This Row],[sprzedany_cukier]]</f>
        <v>927.95999999999992</v>
      </c>
    </row>
    <row r="558" spans="1:5" x14ac:dyDescent="0.25">
      <c r="A558" s="1">
        <v>39382</v>
      </c>
      <c r="B558" t="s">
        <v>45</v>
      </c>
      <c r="C558">
        <v>424</v>
      </c>
      <c r="D558">
        <f>YEAR(cukier8[[#This Row],[data]])</f>
        <v>2007</v>
      </c>
      <c r="E558">
        <f>VLOOKUP(cukier8[[#This Row],[rok]],$L$2:$M$11,2,FALSE)*cukier8[[#This Row],[sprzedany_cukier]]</f>
        <v>886.16</v>
      </c>
    </row>
    <row r="559" spans="1:5" x14ac:dyDescent="0.25">
      <c r="A559" s="1">
        <v>39382</v>
      </c>
      <c r="B559" t="s">
        <v>150</v>
      </c>
      <c r="C559">
        <v>2</v>
      </c>
      <c r="D559">
        <f>YEAR(cukier8[[#This Row],[data]])</f>
        <v>2007</v>
      </c>
      <c r="E559">
        <f>VLOOKUP(cukier8[[#This Row],[rok]],$L$2:$M$11,2,FALSE)*cukier8[[#This Row],[sprzedany_cukier]]</f>
        <v>4.18</v>
      </c>
    </row>
    <row r="560" spans="1:5" x14ac:dyDescent="0.25">
      <c r="A560" s="1">
        <v>39385</v>
      </c>
      <c r="B560" t="s">
        <v>17</v>
      </c>
      <c r="C560">
        <v>480</v>
      </c>
      <c r="D560">
        <f>YEAR(cukier8[[#This Row],[data]])</f>
        <v>2007</v>
      </c>
      <c r="E560">
        <f>VLOOKUP(cukier8[[#This Row],[rok]],$L$2:$M$11,2,FALSE)*cukier8[[#This Row],[sprzedany_cukier]]</f>
        <v>1003.1999999999999</v>
      </c>
    </row>
    <row r="561" spans="1:5" x14ac:dyDescent="0.25">
      <c r="A561" s="1">
        <v>39386</v>
      </c>
      <c r="B561" t="s">
        <v>37</v>
      </c>
      <c r="C561">
        <v>65</v>
      </c>
      <c r="D561">
        <f>YEAR(cukier8[[#This Row],[data]])</f>
        <v>2007</v>
      </c>
      <c r="E561">
        <f>VLOOKUP(cukier8[[#This Row],[rok]],$L$2:$M$11,2,FALSE)*cukier8[[#This Row],[sprzedany_cukier]]</f>
        <v>135.85</v>
      </c>
    </row>
    <row r="562" spans="1:5" x14ac:dyDescent="0.25">
      <c r="A562" s="1">
        <v>39388</v>
      </c>
      <c r="B562" t="s">
        <v>89</v>
      </c>
      <c r="C562">
        <v>8</v>
      </c>
      <c r="D562">
        <f>YEAR(cukier8[[#This Row],[data]])</f>
        <v>2007</v>
      </c>
      <c r="E562">
        <f>VLOOKUP(cukier8[[#This Row],[rok]],$L$2:$M$11,2,FALSE)*cukier8[[#This Row],[sprzedany_cukier]]</f>
        <v>16.72</v>
      </c>
    </row>
    <row r="563" spans="1:5" x14ac:dyDescent="0.25">
      <c r="A563" s="1">
        <v>39389</v>
      </c>
      <c r="B563" t="s">
        <v>52</v>
      </c>
      <c r="C563">
        <v>52</v>
      </c>
      <c r="D563">
        <f>YEAR(cukier8[[#This Row],[data]])</f>
        <v>2007</v>
      </c>
      <c r="E563">
        <f>VLOOKUP(cukier8[[#This Row],[rok]],$L$2:$M$11,2,FALSE)*cukier8[[#This Row],[sprzedany_cukier]]</f>
        <v>108.67999999999999</v>
      </c>
    </row>
    <row r="564" spans="1:5" x14ac:dyDescent="0.25">
      <c r="A564" s="1">
        <v>39392</v>
      </c>
      <c r="B564" t="s">
        <v>40</v>
      </c>
      <c r="C564">
        <v>8</v>
      </c>
      <c r="D564">
        <f>YEAR(cukier8[[#This Row],[data]])</f>
        <v>2007</v>
      </c>
      <c r="E564">
        <f>VLOOKUP(cukier8[[#This Row],[rok]],$L$2:$M$11,2,FALSE)*cukier8[[#This Row],[sprzedany_cukier]]</f>
        <v>16.72</v>
      </c>
    </row>
    <row r="565" spans="1:5" x14ac:dyDescent="0.25">
      <c r="A565" s="1">
        <v>39393</v>
      </c>
      <c r="B565" t="s">
        <v>7</v>
      </c>
      <c r="C565">
        <v>143</v>
      </c>
      <c r="D565">
        <f>YEAR(cukier8[[#This Row],[data]])</f>
        <v>2007</v>
      </c>
      <c r="E565">
        <f>VLOOKUP(cukier8[[#This Row],[rok]],$L$2:$M$11,2,FALSE)*cukier8[[#This Row],[sprzedany_cukier]]</f>
        <v>298.87</v>
      </c>
    </row>
    <row r="566" spans="1:5" x14ac:dyDescent="0.25">
      <c r="A566" s="1">
        <v>39394</v>
      </c>
      <c r="B566" t="s">
        <v>18</v>
      </c>
      <c r="C566">
        <v>20</v>
      </c>
      <c r="D566">
        <f>YEAR(cukier8[[#This Row],[data]])</f>
        <v>2007</v>
      </c>
      <c r="E566">
        <f>VLOOKUP(cukier8[[#This Row],[rok]],$L$2:$M$11,2,FALSE)*cukier8[[#This Row],[sprzedany_cukier]]</f>
        <v>41.8</v>
      </c>
    </row>
    <row r="567" spans="1:5" x14ac:dyDescent="0.25">
      <c r="A567" s="1">
        <v>39397</v>
      </c>
      <c r="B567" t="s">
        <v>14</v>
      </c>
      <c r="C567">
        <v>396</v>
      </c>
      <c r="D567">
        <f>YEAR(cukier8[[#This Row],[data]])</f>
        <v>2007</v>
      </c>
      <c r="E567">
        <f>VLOOKUP(cukier8[[#This Row],[rok]],$L$2:$M$11,2,FALSE)*cukier8[[#This Row],[sprzedany_cukier]]</f>
        <v>827.64</v>
      </c>
    </row>
    <row r="568" spans="1:5" x14ac:dyDescent="0.25">
      <c r="A568" s="1">
        <v>39398</v>
      </c>
      <c r="B568" t="s">
        <v>69</v>
      </c>
      <c r="C568">
        <v>168</v>
      </c>
      <c r="D568">
        <f>YEAR(cukier8[[#This Row],[data]])</f>
        <v>2007</v>
      </c>
      <c r="E568">
        <f>VLOOKUP(cukier8[[#This Row],[rok]],$L$2:$M$11,2,FALSE)*cukier8[[#This Row],[sprzedany_cukier]]</f>
        <v>351.12</v>
      </c>
    </row>
    <row r="569" spans="1:5" x14ac:dyDescent="0.25">
      <c r="A569" s="1">
        <v>39399</v>
      </c>
      <c r="B569" t="s">
        <v>69</v>
      </c>
      <c r="C569">
        <v>69</v>
      </c>
      <c r="D569">
        <f>YEAR(cukier8[[#This Row],[data]])</f>
        <v>2007</v>
      </c>
      <c r="E569">
        <f>VLOOKUP(cukier8[[#This Row],[rok]],$L$2:$M$11,2,FALSE)*cukier8[[#This Row],[sprzedany_cukier]]</f>
        <v>144.20999999999998</v>
      </c>
    </row>
    <row r="570" spans="1:5" x14ac:dyDescent="0.25">
      <c r="A570" s="1">
        <v>39407</v>
      </c>
      <c r="B570" t="s">
        <v>30</v>
      </c>
      <c r="C570">
        <v>99</v>
      </c>
      <c r="D570">
        <f>YEAR(cukier8[[#This Row],[data]])</f>
        <v>2007</v>
      </c>
      <c r="E570">
        <f>VLOOKUP(cukier8[[#This Row],[rok]],$L$2:$M$11,2,FALSE)*cukier8[[#This Row],[sprzedany_cukier]]</f>
        <v>206.91</v>
      </c>
    </row>
    <row r="571" spans="1:5" x14ac:dyDescent="0.25">
      <c r="A571" s="1">
        <v>39407</v>
      </c>
      <c r="B571" t="s">
        <v>123</v>
      </c>
      <c r="C571">
        <v>57</v>
      </c>
      <c r="D571">
        <f>YEAR(cukier8[[#This Row],[data]])</f>
        <v>2007</v>
      </c>
      <c r="E571">
        <f>VLOOKUP(cukier8[[#This Row],[rok]],$L$2:$M$11,2,FALSE)*cukier8[[#This Row],[sprzedany_cukier]]</f>
        <v>119.13</v>
      </c>
    </row>
    <row r="572" spans="1:5" x14ac:dyDescent="0.25">
      <c r="A572" s="1">
        <v>39408</v>
      </c>
      <c r="B572" t="s">
        <v>6</v>
      </c>
      <c r="C572">
        <v>103</v>
      </c>
      <c r="D572">
        <f>YEAR(cukier8[[#This Row],[data]])</f>
        <v>2007</v>
      </c>
      <c r="E572">
        <f>VLOOKUP(cukier8[[#This Row],[rok]],$L$2:$M$11,2,FALSE)*cukier8[[#This Row],[sprzedany_cukier]]</f>
        <v>215.26999999999998</v>
      </c>
    </row>
    <row r="573" spans="1:5" x14ac:dyDescent="0.25">
      <c r="A573" s="1">
        <v>39409</v>
      </c>
      <c r="B573" t="s">
        <v>124</v>
      </c>
      <c r="C573">
        <v>2</v>
      </c>
      <c r="D573">
        <f>YEAR(cukier8[[#This Row],[data]])</f>
        <v>2007</v>
      </c>
      <c r="E573">
        <f>VLOOKUP(cukier8[[#This Row],[rok]],$L$2:$M$11,2,FALSE)*cukier8[[#This Row],[sprzedany_cukier]]</f>
        <v>4.18</v>
      </c>
    </row>
    <row r="574" spans="1:5" x14ac:dyDescent="0.25">
      <c r="A574" s="1">
        <v>39412</v>
      </c>
      <c r="B574" t="s">
        <v>52</v>
      </c>
      <c r="C574">
        <v>88</v>
      </c>
      <c r="D574">
        <f>YEAR(cukier8[[#This Row],[data]])</f>
        <v>2007</v>
      </c>
      <c r="E574">
        <f>VLOOKUP(cukier8[[#This Row],[rok]],$L$2:$M$11,2,FALSE)*cukier8[[#This Row],[sprzedany_cukier]]</f>
        <v>183.92</v>
      </c>
    </row>
    <row r="575" spans="1:5" x14ac:dyDescent="0.25">
      <c r="A575" s="1">
        <v>39414</v>
      </c>
      <c r="B575" t="s">
        <v>37</v>
      </c>
      <c r="C575">
        <v>85</v>
      </c>
      <c r="D575">
        <f>YEAR(cukier8[[#This Row],[data]])</f>
        <v>2007</v>
      </c>
      <c r="E575">
        <f>VLOOKUP(cukier8[[#This Row],[rok]],$L$2:$M$11,2,FALSE)*cukier8[[#This Row],[sprzedany_cukier]]</f>
        <v>177.64999999999998</v>
      </c>
    </row>
    <row r="576" spans="1:5" x14ac:dyDescent="0.25">
      <c r="A576" s="1">
        <v>39414</v>
      </c>
      <c r="B576" t="s">
        <v>7</v>
      </c>
      <c r="C576">
        <v>216</v>
      </c>
      <c r="D576">
        <f>YEAR(cukier8[[#This Row],[data]])</f>
        <v>2007</v>
      </c>
      <c r="E576">
        <f>VLOOKUP(cukier8[[#This Row],[rok]],$L$2:$M$11,2,FALSE)*cukier8[[#This Row],[sprzedany_cukier]]</f>
        <v>451.43999999999994</v>
      </c>
    </row>
    <row r="577" spans="1:5" x14ac:dyDescent="0.25">
      <c r="A577" s="1">
        <v>39416</v>
      </c>
      <c r="B577" t="s">
        <v>7</v>
      </c>
      <c r="C577">
        <v>140</v>
      </c>
      <c r="D577">
        <f>YEAR(cukier8[[#This Row],[data]])</f>
        <v>2007</v>
      </c>
      <c r="E577">
        <f>VLOOKUP(cukier8[[#This Row],[rok]],$L$2:$M$11,2,FALSE)*cukier8[[#This Row],[sprzedany_cukier]]</f>
        <v>292.59999999999997</v>
      </c>
    </row>
    <row r="578" spans="1:5" x14ac:dyDescent="0.25">
      <c r="A578" s="1">
        <v>39421</v>
      </c>
      <c r="B578" t="s">
        <v>50</v>
      </c>
      <c r="C578">
        <v>377</v>
      </c>
      <c r="D578">
        <f>YEAR(cukier8[[#This Row],[data]])</f>
        <v>2007</v>
      </c>
      <c r="E578">
        <f>VLOOKUP(cukier8[[#This Row],[rok]],$L$2:$M$11,2,FALSE)*cukier8[[#This Row],[sprzedany_cukier]]</f>
        <v>787.93</v>
      </c>
    </row>
    <row r="579" spans="1:5" x14ac:dyDescent="0.25">
      <c r="A579" s="1">
        <v>39423</v>
      </c>
      <c r="B579" t="s">
        <v>35</v>
      </c>
      <c r="C579">
        <v>89</v>
      </c>
      <c r="D579">
        <f>YEAR(cukier8[[#This Row],[data]])</f>
        <v>2007</v>
      </c>
      <c r="E579">
        <f>VLOOKUP(cukier8[[#This Row],[rok]],$L$2:$M$11,2,FALSE)*cukier8[[#This Row],[sprzedany_cukier]]</f>
        <v>186.01</v>
      </c>
    </row>
    <row r="580" spans="1:5" x14ac:dyDescent="0.25">
      <c r="A580" s="1">
        <v>39425</v>
      </c>
      <c r="B580" t="s">
        <v>12</v>
      </c>
      <c r="C580">
        <v>181</v>
      </c>
      <c r="D580">
        <f>YEAR(cukier8[[#This Row],[data]])</f>
        <v>2007</v>
      </c>
      <c r="E580">
        <f>VLOOKUP(cukier8[[#This Row],[rok]],$L$2:$M$11,2,FALSE)*cukier8[[#This Row],[sprzedany_cukier]]</f>
        <v>378.28999999999996</v>
      </c>
    </row>
    <row r="581" spans="1:5" x14ac:dyDescent="0.25">
      <c r="A581" s="1">
        <v>39427</v>
      </c>
      <c r="B581" t="s">
        <v>69</v>
      </c>
      <c r="C581">
        <v>131</v>
      </c>
      <c r="D581">
        <f>YEAR(cukier8[[#This Row],[data]])</f>
        <v>2007</v>
      </c>
      <c r="E581">
        <f>VLOOKUP(cukier8[[#This Row],[rok]],$L$2:$M$11,2,FALSE)*cukier8[[#This Row],[sprzedany_cukier]]</f>
        <v>273.78999999999996</v>
      </c>
    </row>
    <row r="582" spans="1:5" x14ac:dyDescent="0.25">
      <c r="A582" s="1">
        <v>39427</v>
      </c>
      <c r="B582" t="s">
        <v>80</v>
      </c>
      <c r="C582">
        <v>43</v>
      </c>
      <c r="D582">
        <f>YEAR(cukier8[[#This Row],[data]])</f>
        <v>2007</v>
      </c>
      <c r="E582">
        <f>VLOOKUP(cukier8[[#This Row],[rok]],$L$2:$M$11,2,FALSE)*cukier8[[#This Row],[sprzedany_cukier]]</f>
        <v>89.86999999999999</v>
      </c>
    </row>
    <row r="583" spans="1:5" x14ac:dyDescent="0.25">
      <c r="A583" s="1">
        <v>39428</v>
      </c>
      <c r="B583" t="s">
        <v>30</v>
      </c>
      <c r="C583">
        <v>166</v>
      </c>
      <c r="D583">
        <f>YEAR(cukier8[[#This Row],[data]])</f>
        <v>2007</v>
      </c>
      <c r="E583">
        <f>VLOOKUP(cukier8[[#This Row],[rok]],$L$2:$M$11,2,FALSE)*cukier8[[#This Row],[sprzedany_cukier]]</f>
        <v>346.94</v>
      </c>
    </row>
    <row r="584" spans="1:5" x14ac:dyDescent="0.25">
      <c r="A584" s="1">
        <v>39428</v>
      </c>
      <c r="B584" t="s">
        <v>78</v>
      </c>
      <c r="C584">
        <v>192</v>
      </c>
      <c r="D584">
        <f>YEAR(cukier8[[#This Row],[data]])</f>
        <v>2007</v>
      </c>
      <c r="E584">
        <f>VLOOKUP(cukier8[[#This Row],[rok]],$L$2:$M$11,2,FALSE)*cukier8[[#This Row],[sprzedany_cukier]]</f>
        <v>401.28</v>
      </c>
    </row>
    <row r="585" spans="1:5" x14ac:dyDescent="0.25">
      <c r="A585" s="1">
        <v>39430</v>
      </c>
      <c r="B585" t="s">
        <v>16</v>
      </c>
      <c r="C585">
        <v>7</v>
      </c>
      <c r="D585">
        <f>YEAR(cukier8[[#This Row],[data]])</f>
        <v>2007</v>
      </c>
      <c r="E585">
        <f>VLOOKUP(cukier8[[#This Row],[rok]],$L$2:$M$11,2,FALSE)*cukier8[[#This Row],[sprzedany_cukier]]</f>
        <v>14.629999999999999</v>
      </c>
    </row>
    <row r="586" spans="1:5" x14ac:dyDescent="0.25">
      <c r="A586" s="1">
        <v>39432</v>
      </c>
      <c r="B586" t="s">
        <v>53</v>
      </c>
      <c r="C586">
        <v>11</v>
      </c>
      <c r="D586">
        <f>YEAR(cukier8[[#This Row],[data]])</f>
        <v>2007</v>
      </c>
      <c r="E586">
        <f>VLOOKUP(cukier8[[#This Row],[rok]],$L$2:$M$11,2,FALSE)*cukier8[[#This Row],[sprzedany_cukier]]</f>
        <v>22.99</v>
      </c>
    </row>
    <row r="587" spans="1:5" x14ac:dyDescent="0.25">
      <c r="A587" s="1">
        <v>39432</v>
      </c>
      <c r="B587" t="s">
        <v>19</v>
      </c>
      <c r="C587">
        <v>146</v>
      </c>
      <c r="D587">
        <f>YEAR(cukier8[[#This Row],[data]])</f>
        <v>2007</v>
      </c>
      <c r="E587">
        <f>VLOOKUP(cukier8[[#This Row],[rok]],$L$2:$M$11,2,FALSE)*cukier8[[#This Row],[sprzedany_cukier]]</f>
        <v>305.14</v>
      </c>
    </row>
    <row r="588" spans="1:5" x14ac:dyDescent="0.25">
      <c r="A588" s="1">
        <v>39433</v>
      </c>
      <c r="B588" t="s">
        <v>45</v>
      </c>
      <c r="C588">
        <v>138</v>
      </c>
      <c r="D588">
        <f>YEAR(cukier8[[#This Row],[data]])</f>
        <v>2007</v>
      </c>
      <c r="E588">
        <f>VLOOKUP(cukier8[[#This Row],[rok]],$L$2:$M$11,2,FALSE)*cukier8[[#This Row],[sprzedany_cukier]]</f>
        <v>288.41999999999996</v>
      </c>
    </row>
    <row r="589" spans="1:5" x14ac:dyDescent="0.25">
      <c r="A589" s="1">
        <v>39434</v>
      </c>
      <c r="B589" t="s">
        <v>23</v>
      </c>
      <c r="C589">
        <v>138</v>
      </c>
      <c r="D589">
        <f>YEAR(cukier8[[#This Row],[data]])</f>
        <v>2007</v>
      </c>
      <c r="E589">
        <f>VLOOKUP(cukier8[[#This Row],[rok]],$L$2:$M$11,2,FALSE)*cukier8[[#This Row],[sprzedany_cukier]]</f>
        <v>288.41999999999996</v>
      </c>
    </row>
    <row r="590" spans="1:5" x14ac:dyDescent="0.25">
      <c r="A590" s="1">
        <v>39434</v>
      </c>
      <c r="B590" t="s">
        <v>50</v>
      </c>
      <c r="C590">
        <v>482</v>
      </c>
      <c r="D590">
        <f>YEAR(cukier8[[#This Row],[data]])</f>
        <v>2007</v>
      </c>
      <c r="E590">
        <f>VLOOKUP(cukier8[[#This Row],[rok]],$L$2:$M$11,2,FALSE)*cukier8[[#This Row],[sprzedany_cukier]]</f>
        <v>1007.3799999999999</v>
      </c>
    </row>
    <row r="591" spans="1:5" x14ac:dyDescent="0.25">
      <c r="A591" s="1">
        <v>39436</v>
      </c>
      <c r="B591" t="s">
        <v>50</v>
      </c>
      <c r="C591">
        <v>481</v>
      </c>
      <c r="D591">
        <f>YEAR(cukier8[[#This Row],[data]])</f>
        <v>2007</v>
      </c>
      <c r="E591">
        <f>VLOOKUP(cukier8[[#This Row],[rok]],$L$2:$M$11,2,FALSE)*cukier8[[#This Row],[sprzedany_cukier]]</f>
        <v>1005.29</v>
      </c>
    </row>
    <row r="592" spans="1:5" x14ac:dyDescent="0.25">
      <c r="A592" s="1">
        <v>39438</v>
      </c>
      <c r="B592" t="s">
        <v>45</v>
      </c>
      <c r="C592">
        <v>258</v>
      </c>
      <c r="D592">
        <f>YEAR(cukier8[[#This Row],[data]])</f>
        <v>2007</v>
      </c>
      <c r="E592">
        <f>VLOOKUP(cukier8[[#This Row],[rok]],$L$2:$M$11,2,FALSE)*cukier8[[#This Row],[sprzedany_cukier]]</f>
        <v>539.21999999999991</v>
      </c>
    </row>
    <row r="593" spans="1:5" x14ac:dyDescent="0.25">
      <c r="A593" s="1">
        <v>39440</v>
      </c>
      <c r="B593" t="s">
        <v>19</v>
      </c>
      <c r="C593">
        <v>100</v>
      </c>
      <c r="D593">
        <f>YEAR(cukier8[[#This Row],[data]])</f>
        <v>2007</v>
      </c>
      <c r="E593">
        <f>VLOOKUP(cukier8[[#This Row],[rok]],$L$2:$M$11,2,FALSE)*cukier8[[#This Row],[sprzedany_cukier]]</f>
        <v>209</v>
      </c>
    </row>
    <row r="594" spans="1:5" x14ac:dyDescent="0.25">
      <c r="A594" s="1">
        <v>39440</v>
      </c>
      <c r="B594" t="s">
        <v>69</v>
      </c>
      <c r="C594">
        <v>86</v>
      </c>
      <c r="D594">
        <f>YEAR(cukier8[[#This Row],[data]])</f>
        <v>2007</v>
      </c>
      <c r="E594">
        <f>VLOOKUP(cukier8[[#This Row],[rok]],$L$2:$M$11,2,FALSE)*cukier8[[#This Row],[sprzedany_cukier]]</f>
        <v>179.73999999999998</v>
      </c>
    </row>
    <row r="595" spans="1:5" x14ac:dyDescent="0.25">
      <c r="A595" s="1">
        <v>39443</v>
      </c>
      <c r="B595" t="s">
        <v>28</v>
      </c>
      <c r="C595">
        <v>165</v>
      </c>
      <c r="D595">
        <f>YEAR(cukier8[[#This Row],[data]])</f>
        <v>2007</v>
      </c>
      <c r="E595">
        <f>VLOOKUP(cukier8[[#This Row],[rok]],$L$2:$M$11,2,FALSE)*cukier8[[#This Row],[sprzedany_cukier]]</f>
        <v>344.84999999999997</v>
      </c>
    </row>
    <row r="596" spans="1:5" x14ac:dyDescent="0.25">
      <c r="A596" s="1">
        <v>39444</v>
      </c>
      <c r="B596" t="s">
        <v>100</v>
      </c>
      <c r="C596">
        <v>4</v>
      </c>
      <c r="D596">
        <f>YEAR(cukier8[[#This Row],[data]])</f>
        <v>2007</v>
      </c>
      <c r="E596">
        <f>VLOOKUP(cukier8[[#This Row],[rok]],$L$2:$M$11,2,FALSE)*cukier8[[#This Row],[sprzedany_cukier]]</f>
        <v>8.36</v>
      </c>
    </row>
    <row r="597" spans="1:5" x14ac:dyDescent="0.25">
      <c r="A597" s="1">
        <v>39445</v>
      </c>
      <c r="B597" t="s">
        <v>23</v>
      </c>
      <c r="C597">
        <v>156</v>
      </c>
      <c r="D597">
        <f>YEAR(cukier8[[#This Row],[data]])</f>
        <v>2007</v>
      </c>
      <c r="E597">
        <f>VLOOKUP(cukier8[[#This Row],[rok]],$L$2:$M$11,2,FALSE)*cukier8[[#This Row],[sprzedany_cukier]]</f>
        <v>326.03999999999996</v>
      </c>
    </row>
    <row r="598" spans="1:5" x14ac:dyDescent="0.25">
      <c r="A598" s="1">
        <v>39446</v>
      </c>
      <c r="B598" t="s">
        <v>45</v>
      </c>
      <c r="C598">
        <v>320</v>
      </c>
      <c r="D598">
        <f>YEAR(cukier8[[#This Row],[data]])</f>
        <v>2007</v>
      </c>
      <c r="E598">
        <f>VLOOKUP(cukier8[[#This Row],[rok]],$L$2:$M$11,2,FALSE)*cukier8[[#This Row],[sprzedany_cukier]]</f>
        <v>668.8</v>
      </c>
    </row>
    <row r="599" spans="1:5" x14ac:dyDescent="0.25">
      <c r="A599" s="1">
        <v>39448</v>
      </c>
      <c r="B599" t="s">
        <v>15</v>
      </c>
      <c r="C599">
        <v>1</v>
      </c>
      <c r="D599">
        <f>YEAR(cukier8[[#This Row],[data]])</f>
        <v>2008</v>
      </c>
      <c r="E599">
        <f>VLOOKUP(cukier8[[#This Row],[rok]],$L$2:$M$11,2,FALSE)*cukier8[[#This Row],[sprzedany_cukier]]</f>
        <v>2.15</v>
      </c>
    </row>
    <row r="600" spans="1:5" x14ac:dyDescent="0.25">
      <c r="A600" s="1">
        <v>39448</v>
      </c>
      <c r="B600" t="s">
        <v>8</v>
      </c>
      <c r="C600">
        <v>81</v>
      </c>
      <c r="D600">
        <f>YEAR(cukier8[[#This Row],[data]])</f>
        <v>2008</v>
      </c>
      <c r="E600">
        <f>VLOOKUP(cukier8[[#This Row],[rok]],$L$2:$M$11,2,FALSE)*cukier8[[#This Row],[sprzedany_cukier]]</f>
        <v>174.15</v>
      </c>
    </row>
    <row r="601" spans="1:5" x14ac:dyDescent="0.25">
      <c r="A601" s="1">
        <v>39448</v>
      </c>
      <c r="B601" t="s">
        <v>50</v>
      </c>
      <c r="C601">
        <v>438</v>
      </c>
      <c r="D601">
        <f>YEAR(cukier8[[#This Row],[data]])</f>
        <v>2008</v>
      </c>
      <c r="E601">
        <f>VLOOKUP(cukier8[[#This Row],[rok]],$L$2:$M$11,2,FALSE)*cukier8[[#This Row],[sprzedany_cukier]]</f>
        <v>941.69999999999993</v>
      </c>
    </row>
    <row r="602" spans="1:5" x14ac:dyDescent="0.25">
      <c r="A602" s="1">
        <v>39449</v>
      </c>
      <c r="B602" t="s">
        <v>38</v>
      </c>
      <c r="C602">
        <v>1</v>
      </c>
      <c r="D602">
        <f>YEAR(cukier8[[#This Row],[data]])</f>
        <v>2008</v>
      </c>
      <c r="E602">
        <f>VLOOKUP(cukier8[[#This Row],[rok]],$L$2:$M$11,2,FALSE)*cukier8[[#This Row],[sprzedany_cukier]]</f>
        <v>2.15</v>
      </c>
    </row>
    <row r="603" spans="1:5" x14ac:dyDescent="0.25">
      <c r="A603" s="1">
        <v>39453</v>
      </c>
      <c r="B603" t="s">
        <v>78</v>
      </c>
      <c r="C603">
        <v>173</v>
      </c>
      <c r="D603">
        <f>YEAR(cukier8[[#This Row],[data]])</f>
        <v>2008</v>
      </c>
      <c r="E603">
        <f>VLOOKUP(cukier8[[#This Row],[rok]],$L$2:$M$11,2,FALSE)*cukier8[[#This Row],[sprzedany_cukier]]</f>
        <v>371.95</v>
      </c>
    </row>
    <row r="604" spans="1:5" x14ac:dyDescent="0.25">
      <c r="A604" s="1">
        <v>39456</v>
      </c>
      <c r="B604" t="s">
        <v>24</v>
      </c>
      <c r="C604">
        <v>412</v>
      </c>
      <c r="D604">
        <f>YEAR(cukier8[[#This Row],[data]])</f>
        <v>2008</v>
      </c>
      <c r="E604">
        <f>VLOOKUP(cukier8[[#This Row],[rok]],$L$2:$M$11,2,FALSE)*cukier8[[#This Row],[sprzedany_cukier]]</f>
        <v>885.8</v>
      </c>
    </row>
    <row r="605" spans="1:5" x14ac:dyDescent="0.25">
      <c r="A605" s="1">
        <v>39456</v>
      </c>
      <c r="B605" t="s">
        <v>151</v>
      </c>
      <c r="C605">
        <v>13</v>
      </c>
      <c r="D605">
        <f>YEAR(cukier8[[#This Row],[data]])</f>
        <v>2008</v>
      </c>
      <c r="E605">
        <f>VLOOKUP(cukier8[[#This Row],[rok]],$L$2:$M$11,2,FALSE)*cukier8[[#This Row],[sprzedany_cukier]]</f>
        <v>27.95</v>
      </c>
    </row>
    <row r="606" spans="1:5" x14ac:dyDescent="0.25">
      <c r="A606" s="1">
        <v>39457</v>
      </c>
      <c r="B606" t="s">
        <v>55</v>
      </c>
      <c r="C606">
        <v>130</v>
      </c>
      <c r="D606">
        <f>YEAR(cukier8[[#This Row],[data]])</f>
        <v>2008</v>
      </c>
      <c r="E606">
        <f>VLOOKUP(cukier8[[#This Row],[rok]],$L$2:$M$11,2,FALSE)*cukier8[[#This Row],[sprzedany_cukier]]</f>
        <v>279.5</v>
      </c>
    </row>
    <row r="607" spans="1:5" x14ac:dyDescent="0.25">
      <c r="A607" s="1">
        <v>39459</v>
      </c>
      <c r="B607" t="s">
        <v>152</v>
      </c>
      <c r="C607">
        <v>4</v>
      </c>
      <c r="D607">
        <f>YEAR(cukier8[[#This Row],[data]])</f>
        <v>2008</v>
      </c>
      <c r="E607">
        <f>VLOOKUP(cukier8[[#This Row],[rok]],$L$2:$M$11,2,FALSE)*cukier8[[#This Row],[sprzedany_cukier]]</f>
        <v>8.6</v>
      </c>
    </row>
    <row r="608" spans="1:5" x14ac:dyDescent="0.25">
      <c r="A608" s="1">
        <v>39462</v>
      </c>
      <c r="B608" t="s">
        <v>55</v>
      </c>
      <c r="C608">
        <v>176</v>
      </c>
      <c r="D608">
        <f>YEAR(cukier8[[#This Row],[data]])</f>
        <v>2008</v>
      </c>
      <c r="E608">
        <f>VLOOKUP(cukier8[[#This Row],[rok]],$L$2:$M$11,2,FALSE)*cukier8[[#This Row],[sprzedany_cukier]]</f>
        <v>378.4</v>
      </c>
    </row>
    <row r="609" spans="1:5" x14ac:dyDescent="0.25">
      <c r="A609" s="1">
        <v>39464</v>
      </c>
      <c r="B609" t="s">
        <v>89</v>
      </c>
      <c r="C609">
        <v>14</v>
      </c>
      <c r="D609">
        <f>YEAR(cukier8[[#This Row],[data]])</f>
        <v>2008</v>
      </c>
      <c r="E609">
        <f>VLOOKUP(cukier8[[#This Row],[rok]],$L$2:$M$11,2,FALSE)*cukier8[[#This Row],[sprzedany_cukier]]</f>
        <v>30.099999999999998</v>
      </c>
    </row>
    <row r="610" spans="1:5" x14ac:dyDescent="0.25">
      <c r="A610" s="1">
        <v>39465</v>
      </c>
      <c r="B610" t="s">
        <v>55</v>
      </c>
      <c r="C610">
        <v>97</v>
      </c>
      <c r="D610">
        <f>YEAR(cukier8[[#This Row],[data]])</f>
        <v>2008</v>
      </c>
      <c r="E610">
        <f>VLOOKUP(cukier8[[#This Row],[rok]],$L$2:$M$11,2,FALSE)*cukier8[[#This Row],[sprzedany_cukier]]</f>
        <v>208.54999999999998</v>
      </c>
    </row>
    <row r="611" spans="1:5" x14ac:dyDescent="0.25">
      <c r="A611" s="1">
        <v>39468</v>
      </c>
      <c r="B611" t="s">
        <v>61</v>
      </c>
      <c r="C611">
        <v>81</v>
      </c>
      <c r="D611">
        <f>YEAR(cukier8[[#This Row],[data]])</f>
        <v>2008</v>
      </c>
      <c r="E611">
        <f>VLOOKUP(cukier8[[#This Row],[rok]],$L$2:$M$11,2,FALSE)*cukier8[[#This Row],[sprzedany_cukier]]</f>
        <v>174.15</v>
      </c>
    </row>
    <row r="612" spans="1:5" x14ac:dyDescent="0.25">
      <c r="A612" s="1">
        <v>39469</v>
      </c>
      <c r="B612" t="s">
        <v>23</v>
      </c>
      <c r="C612">
        <v>179</v>
      </c>
      <c r="D612">
        <f>YEAR(cukier8[[#This Row],[data]])</f>
        <v>2008</v>
      </c>
      <c r="E612">
        <f>VLOOKUP(cukier8[[#This Row],[rok]],$L$2:$M$11,2,FALSE)*cukier8[[#This Row],[sprzedany_cukier]]</f>
        <v>384.84999999999997</v>
      </c>
    </row>
    <row r="613" spans="1:5" x14ac:dyDescent="0.25">
      <c r="A613" s="1">
        <v>39470</v>
      </c>
      <c r="B613" t="s">
        <v>37</v>
      </c>
      <c r="C613">
        <v>132</v>
      </c>
      <c r="D613">
        <f>YEAR(cukier8[[#This Row],[data]])</f>
        <v>2008</v>
      </c>
      <c r="E613">
        <f>VLOOKUP(cukier8[[#This Row],[rok]],$L$2:$M$11,2,FALSE)*cukier8[[#This Row],[sprzedany_cukier]]</f>
        <v>283.8</v>
      </c>
    </row>
    <row r="614" spans="1:5" x14ac:dyDescent="0.25">
      <c r="A614" s="1">
        <v>39470</v>
      </c>
      <c r="B614" t="s">
        <v>153</v>
      </c>
      <c r="C614">
        <v>5</v>
      </c>
      <c r="D614">
        <f>YEAR(cukier8[[#This Row],[data]])</f>
        <v>2008</v>
      </c>
      <c r="E614">
        <f>VLOOKUP(cukier8[[#This Row],[rok]],$L$2:$M$11,2,FALSE)*cukier8[[#This Row],[sprzedany_cukier]]</f>
        <v>10.75</v>
      </c>
    </row>
    <row r="615" spans="1:5" x14ac:dyDescent="0.25">
      <c r="A615" s="1">
        <v>39470</v>
      </c>
      <c r="B615" t="s">
        <v>18</v>
      </c>
      <c r="C615">
        <v>100</v>
      </c>
      <c r="D615">
        <f>YEAR(cukier8[[#This Row],[data]])</f>
        <v>2008</v>
      </c>
      <c r="E615">
        <f>VLOOKUP(cukier8[[#This Row],[rok]],$L$2:$M$11,2,FALSE)*cukier8[[#This Row],[sprzedany_cukier]]</f>
        <v>215</v>
      </c>
    </row>
    <row r="616" spans="1:5" x14ac:dyDescent="0.25">
      <c r="A616" s="1">
        <v>39474</v>
      </c>
      <c r="B616" t="s">
        <v>154</v>
      </c>
      <c r="C616">
        <v>6</v>
      </c>
      <c r="D616">
        <f>YEAR(cukier8[[#This Row],[data]])</f>
        <v>2008</v>
      </c>
      <c r="E616">
        <f>VLOOKUP(cukier8[[#This Row],[rok]],$L$2:$M$11,2,FALSE)*cukier8[[#This Row],[sprzedany_cukier]]</f>
        <v>12.899999999999999</v>
      </c>
    </row>
    <row r="617" spans="1:5" x14ac:dyDescent="0.25">
      <c r="A617" s="1">
        <v>39481</v>
      </c>
      <c r="B617" t="s">
        <v>24</v>
      </c>
      <c r="C617">
        <v>171</v>
      </c>
      <c r="D617">
        <f>YEAR(cukier8[[#This Row],[data]])</f>
        <v>2008</v>
      </c>
      <c r="E617">
        <f>VLOOKUP(cukier8[[#This Row],[rok]],$L$2:$M$11,2,FALSE)*cukier8[[#This Row],[sprzedany_cukier]]</f>
        <v>367.65</v>
      </c>
    </row>
    <row r="618" spans="1:5" x14ac:dyDescent="0.25">
      <c r="A618" s="1">
        <v>39483</v>
      </c>
      <c r="B618" t="s">
        <v>14</v>
      </c>
      <c r="C618">
        <v>333</v>
      </c>
      <c r="D618">
        <f>YEAR(cukier8[[#This Row],[data]])</f>
        <v>2008</v>
      </c>
      <c r="E618">
        <f>VLOOKUP(cukier8[[#This Row],[rok]],$L$2:$M$11,2,FALSE)*cukier8[[#This Row],[sprzedany_cukier]]</f>
        <v>715.94999999999993</v>
      </c>
    </row>
    <row r="619" spans="1:5" x14ac:dyDescent="0.25">
      <c r="A619" s="1">
        <v>39484</v>
      </c>
      <c r="B619" t="s">
        <v>24</v>
      </c>
      <c r="C619">
        <v>365</v>
      </c>
      <c r="D619">
        <f>YEAR(cukier8[[#This Row],[data]])</f>
        <v>2008</v>
      </c>
      <c r="E619">
        <f>VLOOKUP(cukier8[[#This Row],[rok]],$L$2:$M$11,2,FALSE)*cukier8[[#This Row],[sprzedany_cukier]]</f>
        <v>784.75</v>
      </c>
    </row>
    <row r="620" spans="1:5" x14ac:dyDescent="0.25">
      <c r="A620" s="1">
        <v>39484</v>
      </c>
      <c r="B620" t="s">
        <v>112</v>
      </c>
      <c r="C620">
        <v>16</v>
      </c>
      <c r="D620">
        <f>YEAR(cukier8[[#This Row],[data]])</f>
        <v>2008</v>
      </c>
      <c r="E620">
        <f>VLOOKUP(cukier8[[#This Row],[rok]],$L$2:$M$11,2,FALSE)*cukier8[[#This Row],[sprzedany_cukier]]</f>
        <v>34.4</v>
      </c>
    </row>
    <row r="621" spans="1:5" x14ac:dyDescent="0.25">
      <c r="A621" s="1">
        <v>39485</v>
      </c>
      <c r="B621" t="s">
        <v>5</v>
      </c>
      <c r="C621">
        <v>211</v>
      </c>
      <c r="D621">
        <f>YEAR(cukier8[[#This Row],[data]])</f>
        <v>2008</v>
      </c>
      <c r="E621">
        <f>VLOOKUP(cukier8[[#This Row],[rok]],$L$2:$M$11,2,FALSE)*cukier8[[#This Row],[sprzedany_cukier]]</f>
        <v>453.65</v>
      </c>
    </row>
    <row r="622" spans="1:5" x14ac:dyDescent="0.25">
      <c r="A622" s="1">
        <v>39489</v>
      </c>
      <c r="B622" t="s">
        <v>45</v>
      </c>
      <c r="C622">
        <v>196</v>
      </c>
      <c r="D622">
        <f>YEAR(cukier8[[#This Row],[data]])</f>
        <v>2008</v>
      </c>
      <c r="E622">
        <f>VLOOKUP(cukier8[[#This Row],[rok]],$L$2:$M$11,2,FALSE)*cukier8[[#This Row],[sprzedany_cukier]]</f>
        <v>421.4</v>
      </c>
    </row>
    <row r="623" spans="1:5" x14ac:dyDescent="0.25">
      <c r="A623" s="1">
        <v>39490</v>
      </c>
      <c r="B623" t="s">
        <v>155</v>
      </c>
      <c r="C623">
        <v>11</v>
      </c>
      <c r="D623">
        <f>YEAR(cukier8[[#This Row],[data]])</f>
        <v>2008</v>
      </c>
      <c r="E623">
        <f>VLOOKUP(cukier8[[#This Row],[rok]],$L$2:$M$11,2,FALSE)*cukier8[[#This Row],[sprzedany_cukier]]</f>
        <v>23.65</v>
      </c>
    </row>
    <row r="624" spans="1:5" x14ac:dyDescent="0.25">
      <c r="A624" s="1">
        <v>39491</v>
      </c>
      <c r="B624" t="s">
        <v>112</v>
      </c>
      <c r="C624">
        <v>17</v>
      </c>
      <c r="D624">
        <f>YEAR(cukier8[[#This Row],[data]])</f>
        <v>2008</v>
      </c>
      <c r="E624">
        <f>VLOOKUP(cukier8[[#This Row],[rok]],$L$2:$M$11,2,FALSE)*cukier8[[#This Row],[sprzedany_cukier]]</f>
        <v>36.549999999999997</v>
      </c>
    </row>
    <row r="625" spans="1:5" x14ac:dyDescent="0.25">
      <c r="A625" s="1">
        <v>39494</v>
      </c>
      <c r="B625" t="s">
        <v>66</v>
      </c>
      <c r="C625">
        <v>62</v>
      </c>
      <c r="D625">
        <f>YEAR(cukier8[[#This Row],[data]])</f>
        <v>2008</v>
      </c>
      <c r="E625">
        <f>VLOOKUP(cukier8[[#This Row],[rok]],$L$2:$M$11,2,FALSE)*cukier8[[#This Row],[sprzedany_cukier]]</f>
        <v>133.29999999999998</v>
      </c>
    </row>
    <row r="626" spans="1:5" x14ac:dyDescent="0.25">
      <c r="A626" s="1">
        <v>39494</v>
      </c>
      <c r="B626" t="s">
        <v>9</v>
      </c>
      <c r="C626">
        <v>103</v>
      </c>
      <c r="D626">
        <f>YEAR(cukier8[[#This Row],[data]])</f>
        <v>2008</v>
      </c>
      <c r="E626">
        <f>VLOOKUP(cukier8[[#This Row],[rok]],$L$2:$M$11,2,FALSE)*cukier8[[#This Row],[sprzedany_cukier]]</f>
        <v>221.45</v>
      </c>
    </row>
    <row r="627" spans="1:5" x14ac:dyDescent="0.25">
      <c r="A627" s="1">
        <v>39494</v>
      </c>
      <c r="B627" t="s">
        <v>32</v>
      </c>
      <c r="C627">
        <v>9</v>
      </c>
      <c r="D627">
        <f>YEAR(cukier8[[#This Row],[data]])</f>
        <v>2008</v>
      </c>
      <c r="E627">
        <f>VLOOKUP(cukier8[[#This Row],[rok]],$L$2:$M$11,2,FALSE)*cukier8[[#This Row],[sprzedany_cukier]]</f>
        <v>19.349999999999998</v>
      </c>
    </row>
    <row r="628" spans="1:5" x14ac:dyDescent="0.25">
      <c r="A628" s="1">
        <v>39495</v>
      </c>
      <c r="B628" t="s">
        <v>156</v>
      </c>
      <c r="C628">
        <v>5</v>
      </c>
      <c r="D628">
        <f>YEAR(cukier8[[#This Row],[data]])</f>
        <v>2008</v>
      </c>
      <c r="E628">
        <f>VLOOKUP(cukier8[[#This Row],[rok]],$L$2:$M$11,2,FALSE)*cukier8[[#This Row],[sprzedany_cukier]]</f>
        <v>10.75</v>
      </c>
    </row>
    <row r="629" spans="1:5" x14ac:dyDescent="0.25">
      <c r="A629" s="1">
        <v>39495</v>
      </c>
      <c r="B629" t="s">
        <v>45</v>
      </c>
      <c r="C629">
        <v>452</v>
      </c>
      <c r="D629">
        <f>YEAR(cukier8[[#This Row],[data]])</f>
        <v>2008</v>
      </c>
      <c r="E629">
        <f>VLOOKUP(cukier8[[#This Row],[rok]],$L$2:$M$11,2,FALSE)*cukier8[[#This Row],[sprzedany_cukier]]</f>
        <v>971.8</v>
      </c>
    </row>
    <row r="630" spans="1:5" x14ac:dyDescent="0.25">
      <c r="A630" s="1">
        <v>39496</v>
      </c>
      <c r="B630" t="s">
        <v>157</v>
      </c>
      <c r="C630">
        <v>2</v>
      </c>
      <c r="D630">
        <f>YEAR(cukier8[[#This Row],[data]])</f>
        <v>2008</v>
      </c>
      <c r="E630">
        <f>VLOOKUP(cukier8[[#This Row],[rok]],$L$2:$M$11,2,FALSE)*cukier8[[#This Row],[sprzedany_cukier]]</f>
        <v>4.3</v>
      </c>
    </row>
    <row r="631" spans="1:5" x14ac:dyDescent="0.25">
      <c r="A631" s="1">
        <v>39497</v>
      </c>
      <c r="B631" t="s">
        <v>50</v>
      </c>
      <c r="C631">
        <v>335</v>
      </c>
      <c r="D631">
        <f>YEAR(cukier8[[#This Row],[data]])</f>
        <v>2008</v>
      </c>
      <c r="E631">
        <f>VLOOKUP(cukier8[[#This Row],[rok]],$L$2:$M$11,2,FALSE)*cukier8[[#This Row],[sprzedany_cukier]]</f>
        <v>720.25</v>
      </c>
    </row>
    <row r="632" spans="1:5" x14ac:dyDescent="0.25">
      <c r="A632" s="1">
        <v>39498</v>
      </c>
      <c r="B632" t="s">
        <v>158</v>
      </c>
      <c r="C632">
        <v>12</v>
      </c>
      <c r="D632">
        <f>YEAR(cukier8[[#This Row],[data]])</f>
        <v>2008</v>
      </c>
      <c r="E632">
        <f>VLOOKUP(cukier8[[#This Row],[rok]],$L$2:$M$11,2,FALSE)*cukier8[[#This Row],[sprzedany_cukier]]</f>
        <v>25.799999999999997</v>
      </c>
    </row>
    <row r="633" spans="1:5" x14ac:dyDescent="0.25">
      <c r="A633" s="1">
        <v>39499</v>
      </c>
      <c r="B633" t="s">
        <v>79</v>
      </c>
      <c r="C633">
        <v>12</v>
      </c>
      <c r="D633">
        <f>YEAR(cukier8[[#This Row],[data]])</f>
        <v>2008</v>
      </c>
      <c r="E633">
        <f>VLOOKUP(cukier8[[#This Row],[rok]],$L$2:$M$11,2,FALSE)*cukier8[[#This Row],[sprzedany_cukier]]</f>
        <v>25.799999999999997</v>
      </c>
    </row>
    <row r="634" spans="1:5" x14ac:dyDescent="0.25">
      <c r="A634" s="1">
        <v>39500</v>
      </c>
      <c r="B634" t="s">
        <v>159</v>
      </c>
      <c r="C634">
        <v>5</v>
      </c>
      <c r="D634">
        <f>YEAR(cukier8[[#This Row],[data]])</f>
        <v>2008</v>
      </c>
      <c r="E634">
        <f>VLOOKUP(cukier8[[#This Row],[rok]],$L$2:$M$11,2,FALSE)*cukier8[[#This Row],[sprzedany_cukier]]</f>
        <v>10.75</v>
      </c>
    </row>
    <row r="635" spans="1:5" x14ac:dyDescent="0.25">
      <c r="A635" s="1">
        <v>39500</v>
      </c>
      <c r="B635" t="s">
        <v>160</v>
      </c>
      <c r="C635">
        <v>2</v>
      </c>
      <c r="D635">
        <f>YEAR(cukier8[[#This Row],[data]])</f>
        <v>2008</v>
      </c>
      <c r="E635">
        <f>VLOOKUP(cukier8[[#This Row],[rok]],$L$2:$M$11,2,FALSE)*cukier8[[#This Row],[sprzedany_cukier]]</f>
        <v>4.3</v>
      </c>
    </row>
    <row r="636" spans="1:5" x14ac:dyDescent="0.25">
      <c r="A636" s="1">
        <v>39501</v>
      </c>
      <c r="B636" t="s">
        <v>161</v>
      </c>
      <c r="C636">
        <v>10</v>
      </c>
      <c r="D636">
        <f>YEAR(cukier8[[#This Row],[data]])</f>
        <v>2008</v>
      </c>
      <c r="E636">
        <f>VLOOKUP(cukier8[[#This Row],[rok]],$L$2:$M$11,2,FALSE)*cukier8[[#This Row],[sprzedany_cukier]]</f>
        <v>21.5</v>
      </c>
    </row>
    <row r="637" spans="1:5" x14ac:dyDescent="0.25">
      <c r="A637" s="1">
        <v>39503</v>
      </c>
      <c r="B637" t="s">
        <v>45</v>
      </c>
      <c r="C637">
        <v>308</v>
      </c>
      <c r="D637">
        <f>YEAR(cukier8[[#This Row],[data]])</f>
        <v>2008</v>
      </c>
      <c r="E637">
        <f>VLOOKUP(cukier8[[#This Row],[rok]],$L$2:$M$11,2,FALSE)*cukier8[[#This Row],[sprzedany_cukier]]</f>
        <v>662.19999999999993</v>
      </c>
    </row>
    <row r="638" spans="1:5" x14ac:dyDescent="0.25">
      <c r="A638" s="1">
        <v>39505</v>
      </c>
      <c r="B638" t="s">
        <v>119</v>
      </c>
      <c r="C638">
        <v>5</v>
      </c>
      <c r="D638">
        <f>YEAR(cukier8[[#This Row],[data]])</f>
        <v>2008</v>
      </c>
      <c r="E638">
        <f>VLOOKUP(cukier8[[#This Row],[rok]],$L$2:$M$11,2,FALSE)*cukier8[[#This Row],[sprzedany_cukier]]</f>
        <v>10.75</v>
      </c>
    </row>
    <row r="639" spans="1:5" x14ac:dyDescent="0.25">
      <c r="A639" s="1">
        <v>39505</v>
      </c>
      <c r="B639" t="s">
        <v>14</v>
      </c>
      <c r="C639">
        <v>446</v>
      </c>
      <c r="D639">
        <f>YEAR(cukier8[[#This Row],[data]])</f>
        <v>2008</v>
      </c>
      <c r="E639">
        <f>VLOOKUP(cukier8[[#This Row],[rok]],$L$2:$M$11,2,FALSE)*cukier8[[#This Row],[sprzedany_cukier]]</f>
        <v>958.9</v>
      </c>
    </row>
    <row r="640" spans="1:5" x14ac:dyDescent="0.25">
      <c r="A640" s="1">
        <v>39506</v>
      </c>
      <c r="B640" t="s">
        <v>7</v>
      </c>
      <c r="C640">
        <v>281</v>
      </c>
      <c r="D640">
        <f>YEAR(cukier8[[#This Row],[data]])</f>
        <v>2008</v>
      </c>
      <c r="E640">
        <f>VLOOKUP(cukier8[[#This Row],[rok]],$L$2:$M$11,2,FALSE)*cukier8[[#This Row],[sprzedany_cukier]]</f>
        <v>604.15</v>
      </c>
    </row>
    <row r="641" spans="1:5" x14ac:dyDescent="0.25">
      <c r="A641" s="1">
        <v>39510</v>
      </c>
      <c r="B641" t="s">
        <v>11</v>
      </c>
      <c r="C641">
        <v>6</v>
      </c>
      <c r="D641">
        <f>YEAR(cukier8[[#This Row],[data]])</f>
        <v>2008</v>
      </c>
      <c r="E641">
        <f>VLOOKUP(cukier8[[#This Row],[rok]],$L$2:$M$11,2,FALSE)*cukier8[[#This Row],[sprzedany_cukier]]</f>
        <v>12.899999999999999</v>
      </c>
    </row>
    <row r="642" spans="1:5" x14ac:dyDescent="0.25">
      <c r="A642" s="1">
        <v>39511</v>
      </c>
      <c r="B642" t="s">
        <v>7</v>
      </c>
      <c r="C642">
        <v>409</v>
      </c>
      <c r="D642">
        <f>YEAR(cukier8[[#This Row],[data]])</f>
        <v>2008</v>
      </c>
      <c r="E642">
        <f>VLOOKUP(cukier8[[#This Row],[rok]],$L$2:$M$11,2,FALSE)*cukier8[[#This Row],[sprzedany_cukier]]</f>
        <v>879.34999999999991</v>
      </c>
    </row>
    <row r="643" spans="1:5" x14ac:dyDescent="0.25">
      <c r="A643" s="1">
        <v>39511</v>
      </c>
      <c r="B643" t="s">
        <v>66</v>
      </c>
      <c r="C643">
        <v>191</v>
      </c>
      <c r="D643">
        <f>YEAR(cukier8[[#This Row],[data]])</f>
        <v>2008</v>
      </c>
      <c r="E643">
        <f>VLOOKUP(cukier8[[#This Row],[rok]],$L$2:$M$11,2,FALSE)*cukier8[[#This Row],[sprzedany_cukier]]</f>
        <v>410.65</v>
      </c>
    </row>
    <row r="644" spans="1:5" x14ac:dyDescent="0.25">
      <c r="A644" s="1">
        <v>39512</v>
      </c>
      <c r="B644" t="s">
        <v>50</v>
      </c>
      <c r="C644">
        <v>404</v>
      </c>
      <c r="D644">
        <f>YEAR(cukier8[[#This Row],[data]])</f>
        <v>2008</v>
      </c>
      <c r="E644">
        <f>VLOOKUP(cukier8[[#This Row],[rok]],$L$2:$M$11,2,FALSE)*cukier8[[#This Row],[sprzedany_cukier]]</f>
        <v>868.59999999999991</v>
      </c>
    </row>
    <row r="645" spans="1:5" x14ac:dyDescent="0.25">
      <c r="A645" s="1">
        <v>39512</v>
      </c>
      <c r="B645" t="s">
        <v>28</v>
      </c>
      <c r="C645">
        <v>135</v>
      </c>
      <c r="D645">
        <f>YEAR(cukier8[[#This Row],[data]])</f>
        <v>2008</v>
      </c>
      <c r="E645">
        <f>VLOOKUP(cukier8[[#This Row],[rok]],$L$2:$M$11,2,FALSE)*cukier8[[#This Row],[sprzedany_cukier]]</f>
        <v>290.25</v>
      </c>
    </row>
    <row r="646" spans="1:5" x14ac:dyDescent="0.25">
      <c r="A646" s="1">
        <v>39512</v>
      </c>
      <c r="B646" t="s">
        <v>27</v>
      </c>
      <c r="C646">
        <v>20</v>
      </c>
      <c r="D646">
        <f>YEAR(cukier8[[#This Row],[data]])</f>
        <v>2008</v>
      </c>
      <c r="E646">
        <f>VLOOKUP(cukier8[[#This Row],[rok]],$L$2:$M$11,2,FALSE)*cukier8[[#This Row],[sprzedany_cukier]]</f>
        <v>43</v>
      </c>
    </row>
    <row r="647" spans="1:5" x14ac:dyDescent="0.25">
      <c r="A647" s="1">
        <v>39514</v>
      </c>
      <c r="B647" t="s">
        <v>58</v>
      </c>
      <c r="C647">
        <v>54</v>
      </c>
      <c r="D647">
        <f>YEAR(cukier8[[#This Row],[data]])</f>
        <v>2008</v>
      </c>
      <c r="E647">
        <f>VLOOKUP(cukier8[[#This Row],[rok]],$L$2:$M$11,2,FALSE)*cukier8[[#This Row],[sprzedany_cukier]]</f>
        <v>116.1</v>
      </c>
    </row>
    <row r="648" spans="1:5" x14ac:dyDescent="0.25">
      <c r="A648" s="1">
        <v>39514</v>
      </c>
      <c r="B648" t="s">
        <v>52</v>
      </c>
      <c r="C648">
        <v>129</v>
      </c>
      <c r="D648">
        <f>YEAR(cukier8[[#This Row],[data]])</f>
        <v>2008</v>
      </c>
      <c r="E648">
        <f>VLOOKUP(cukier8[[#This Row],[rok]],$L$2:$M$11,2,FALSE)*cukier8[[#This Row],[sprzedany_cukier]]</f>
        <v>277.34999999999997</v>
      </c>
    </row>
    <row r="649" spans="1:5" x14ac:dyDescent="0.25">
      <c r="A649" s="1">
        <v>39517</v>
      </c>
      <c r="B649" t="s">
        <v>162</v>
      </c>
      <c r="C649">
        <v>11</v>
      </c>
      <c r="D649">
        <f>YEAR(cukier8[[#This Row],[data]])</f>
        <v>2008</v>
      </c>
      <c r="E649">
        <f>VLOOKUP(cukier8[[#This Row],[rok]],$L$2:$M$11,2,FALSE)*cukier8[[#This Row],[sprzedany_cukier]]</f>
        <v>23.65</v>
      </c>
    </row>
    <row r="650" spans="1:5" x14ac:dyDescent="0.25">
      <c r="A650" s="1">
        <v>39518</v>
      </c>
      <c r="B650" t="s">
        <v>22</v>
      </c>
      <c r="C650">
        <v>383</v>
      </c>
      <c r="D650">
        <f>YEAR(cukier8[[#This Row],[data]])</f>
        <v>2008</v>
      </c>
      <c r="E650">
        <f>VLOOKUP(cukier8[[#This Row],[rok]],$L$2:$M$11,2,FALSE)*cukier8[[#This Row],[sprzedany_cukier]]</f>
        <v>823.44999999999993</v>
      </c>
    </row>
    <row r="651" spans="1:5" x14ac:dyDescent="0.25">
      <c r="A651" s="1">
        <v>39519</v>
      </c>
      <c r="B651" t="s">
        <v>10</v>
      </c>
      <c r="C651">
        <v>46</v>
      </c>
      <c r="D651">
        <f>YEAR(cukier8[[#This Row],[data]])</f>
        <v>2008</v>
      </c>
      <c r="E651">
        <f>VLOOKUP(cukier8[[#This Row],[rok]],$L$2:$M$11,2,FALSE)*cukier8[[#This Row],[sprzedany_cukier]]</f>
        <v>98.899999999999991</v>
      </c>
    </row>
    <row r="652" spans="1:5" x14ac:dyDescent="0.25">
      <c r="A652" s="1">
        <v>39520</v>
      </c>
      <c r="B652" t="s">
        <v>131</v>
      </c>
      <c r="C652">
        <v>61</v>
      </c>
      <c r="D652">
        <f>YEAR(cukier8[[#This Row],[data]])</f>
        <v>2008</v>
      </c>
      <c r="E652">
        <f>VLOOKUP(cukier8[[#This Row],[rok]],$L$2:$M$11,2,FALSE)*cukier8[[#This Row],[sprzedany_cukier]]</f>
        <v>131.15</v>
      </c>
    </row>
    <row r="653" spans="1:5" x14ac:dyDescent="0.25">
      <c r="A653" s="1">
        <v>39522</v>
      </c>
      <c r="B653" t="s">
        <v>28</v>
      </c>
      <c r="C653">
        <v>166</v>
      </c>
      <c r="D653">
        <f>YEAR(cukier8[[#This Row],[data]])</f>
        <v>2008</v>
      </c>
      <c r="E653">
        <f>VLOOKUP(cukier8[[#This Row],[rok]],$L$2:$M$11,2,FALSE)*cukier8[[#This Row],[sprzedany_cukier]]</f>
        <v>356.9</v>
      </c>
    </row>
    <row r="654" spans="1:5" x14ac:dyDescent="0.25">
      <c r="A654" s="1">
        <v>39523</v>
      </c>
      <c r="B654" t="s">
        <v>69</v>
      </c>
      <c r="C654">
        <v>91</v>
      </c>
      <c r="D654">
        <f>YEAR(cukier8[[#This Row],[data]])</f>
        <v>2008</v>
      </c>
      <c r="E654">
        <f>VLOOKUP(cukier8[[#This Row],[rok]],$L$2:$M$11,2,FALSE)*cukier8[[#This Row],[sprzedany_cukier]]</f>
        <v>195.65</v>
      </c>
    </row>
    <row r="655" spans="1:5" x14ac:dyDescent="0.25">
      <c r="A655" s="1">
        <v>39524</v>
      </c>
      <c r="B655" t="s">
        <v>163</v>
      </c>
      <c r="C655">
        <v>10</v>
      </c>
      <c r="D655">
        <f>YEAR(cukier8[[#This Row],[data]])</f>
        <v>2008</v>
      </c>
      <c r="E655">
        <f>VLOOKUP(cukier8[[#This Row],[rok]],$L$2:$M$11,2,FALSE)*cukier8[[#This Row],[sprzedany_cukier]]</f>
        <v>21.5</v>
      </c>
    </row>
    <row r="656" spans="1:5" x14ac:dyDescent="0.25">
      <c r="A656" s="1">
        <v>39526</v>
      </c>
      <c r="B656" t="s">
        <v>164</v>
      </c>
      <c r="C656">
        <v>19</v>
      </c>
      <c r="D656">
        <f>YEAR(cukier8[[#This Row],[data]])</f>
        <v>2008</v>
      </c>
      <c r="E656">
        <f>VLOOKUP(cukier8[[#This Row],[rok]],$L$2:$M$11,2,FALSE)*cukier8[[#This Row],[sprzedany_cukier]]</f>
        <v>40.85</v>
      </c>
    </row>
    <row r="657" spans="1:5" x14ac:dyDescent="0.25">
      <c r="A657" s="1">
        <v>39526</v>
      </c>
      <c r="B657" t="s">
        <v>165</v>
      </c>
      <c r="C657">
        <v>2</v>
      </c>
      <c r="D657">
        <f>YEAR(cukier8[[#This Row],[data]])</f>
        <v>2008</v>
      </c>
      <c r="E657">
        <f>VLOOKUP(cukier8[[#This Row],[rok]],$L$2:$M$11,2,FALSE)*cukier8[[#This Row],[sprzedany_cukier]]</f>
        <v>4.3</v>
      </c>
    </row>
    <row r="658" spans="1:5" x14ac:dyDescent="0.25">
      <c r="A658" s="1">
        <v>39527</v>
      </c>
      <c r="B658" t="s">
        <v>35</v>
      </c>
      <c r="C658">
        <v>125</v>
      </c>
      <c r="D658">
        <f>YEAR(cukier8[[#This Row],[data]])</f>
        <v>2008</v>
      </c>
      <c r="E658">
        <f>VLOOKUP(cukier8[[#This Row],[rok]],$L$2:$M$11,2,FALSE)*cukier8[[#This Row],[sprzedany_cukier]]</f>
        <v>268.75</v>
      </c>
    </row>
    <row r="659" spans="1:5" x14ac:dyDescent="0.25">
      <c r="A659" s="1">
        <v>39527</v>
      </c>
      <c r="B659" t="s">
        <v>22</v>
      </c>
      <c r="C659">
        <v>248</v>
      </c>
      <c r="D659">
        <f>YEAR(cukier8[[#This Row],[data]])</f>
        <v>2008</v>
      </c>
      <c r="E659">
        <f>VLOOKUP(cukier8[[#This Row],[rok]],$L$2:$M$11,2,FALSE)*cukier8[[#This Row],[sprzedany_cukier]]</f>
        <v>533.19999999999993</v>
      </c>
    </row>
    <row r="660" spans="1:5" x14ac:dyDescent="0.25">
      <c r="A660" s="1">
        <v>39527</v>
      </c>
      <c r="B660" t="s">
        <v>102</v>
      </c>
      <c r="C660">
        <v>298</v>
      </c>
      <c r="D660">
        <f>YEAR(cukier8[[#This Row],[data]])</f>
        <v>2008</v>
      </c>
      <c r="E660">
        <f>VLOOKUP(cukier8[[#This Row],[rok]],$L$2:$M$11,2,FALSE)*cukier8[[#This Row],[sprzedany_cukier]]</f>
        <v>640.69999999999993</v>
      </c>
    </row>
    <row r="661" spans="1:5" x14ac:dyDescent="0.25">
      <c r="A661" s="1">
        <v>39528</v>
      </c>
      <c r="B661" t="s">
        <v>22</v>
      </c>
      <c r="C661">
        <v>406</v>
      </c>
      <c r="D661">
        <f>YEAR(cukier8[[#This Row],[data]])</f>
        <v>2008</v>
      </c>
      <c r="E661">
        <f>VLOOKUP(cukier8[[#This Row],[rok]],$L$2:$M$11,2,FALSE)*cukier8[[#This Row],[sprzedany_cukier]]</f>
        <v>872.9</v>
      </c>
    </row>
    <row r="662" spans="1:5" x14ac:dyDescent="0.25">
      <c r="A662" s="1">
        <v>39529</v>
      </c>
      <c r="B662" t="s">
        <v>19</v>
      </c>
      <c r="C662">
        <v>46</v>
      </c>
      <c r="D662">
        <f>YEAR(cukier8[[#This Row],[data]])</f>
        <v>2008</v>
      </c>
      <c r="E662">
        <f>VLOOKUP(cukier8[[#This Row],[rok]],$L$2:$M$11,2,FALSE)*cukier8[[#This Row],[sprzedany_cukier]]</f>
        <v>98.899999999999991</v>
      </c>
    </row>
    <row r="663" spans="1:5" x14ac:dyDescent="0.25">
      <c r="A663" s="1">
        <v>39530</v>
      </c>
      <c r="B663" t="s">
        <v>69</v>
      </c>
      <c r="C663">
        <v>106</v>
      </c>
      <c r="D663">
        <f>YEAR(cukier8[[#This Row],[data]])</f>
        <v>2008</v>
      </c>
      <c r="E663">
        <f>VLOOKUP(cukier8[[#This Row],[rok]],$L$2:$M$11,2,FALSE)*cukier8[[#This Row],[sprzedany_cukier]]</f>
        <v>227.89999999999998</v>
      </c>
    </row>
    <row r="664" spans="1:5" x14ac:dyDescent="0.25">
      <c r="A664" s="1">
        <v>39532</v>
      </c>
      <c r="B664" t="s">
        <v>9</v>
      </c>
      <c r="C664">
        <v>121</v>
      </c>
      <c r="D664">
        <f>YEAR(cukier8[[#This Row],[data]])</f>
        <v>2008</v>
      </c>
      <c r="E664">
        <f>VLOOKUP(cukier8[[#This Row],[rok]],$L$2:$M$11,2,FALSE)*cukier8[[#This Row],[sprzedany_cukier]]</f>
        <v>260.14999999999998</v>
      </c>
    </row>
    <row r="665" spans="1:5" x14ac:dyDescent="0.25">
      <c r="A665" s="1">
        <v>39536</v>
      </c>
      <c r="B665" t="s">
        <v>45</v>
      </c>
      <c r="C665">
        <v>170</v>
      </c>
      <c r="D665">
        <f>YEAR(cukier8[[#This Row],[data]])</f>
        <v>2008</v>
      </c>
      <c r="E665">
        <f>VLOOKUP(cukier8[[#This Row],[rok]],$L$2:$M$11,2,FALSE)*cukier8[[#This Row],[sprzedany_cukier]]</f>
        <v>365.5</v>
      </c>
    </row>
    <row r="666" spans="1:5" x14ac:dyDescent="0.25">
      <c r="A666" s="1">
        <v>39536</v>
      </c>
      <c r="B666" t="s">
        <v>14</v>
      </c>
      <c r="C666">
        <v>431</v>
      </c>
      <c r="D666">
        <f>YEAR(cukier8[[#This Row],[data]])</f>
        <v>2008</v>
      </c>
      <c r="E666">
        <f>VLOOKUP(cukier8[[#This Row],[rok]],$L$2:$M$11,2,FALSE)*cukier8[[#This Row],[sprzedany_cukier]]</f>
        <v>926.65</v>
      </c>
    </row>
    <row r="667" spans="1:5" x14ac:dyDescent="0.25">
      <c r="A667" s="1">
        <v>39537</v>
      </c>
      <c r="B667" t="s">
        <v>50</v>
      </c>
      <c r="C667">
        <v>483</v>
      </c>
      <c r="D667">
        <f>YEAR(cukier8[[#This Row],[data]])</f>
        <v>2008</v>
      </c>
      <c r="E667">
        <f>VLOOKUP(cukier8[[#This Row],[rok]],$L$2:$M$11,2,FALSE)*cukier8[[#This Row],[sprzedany_cukier]]</f>
        <v>1038.45</v>
      </c>
    </row>
    <row r="668" spans="1:5" x14ac:dyDescent="0.25">
      <c r="A668" s="1">
        <v>39539</v>
      </c>
      <c r="B668" t="s">
        <v>7</v>
      </c>
      <c r="C668">
        <v>354</v>
      </c>
      <c r="D668">
        <f>YEAR(cukier8[[#This Row],[data]])</f>
        <v>2008</v>
      </c>
      <c r="E668">
        <f>VLOOKUP(cukier8[[#This Row],[rok]],$L$2:$M$11,2,FALSE)*cukier8[[#This Row],[sprzedany_cukier]]</f>
        <v>761.1</v>
      </c>
    </row>
    <row r="669" spans="1:5" x14ac:dyDescent="0.25">
      <c r="A669" s="1">
        <v>39541</v>
      </c>
      <c r="B669" t="s">
        <v>69</v>
      </c>
      <c r="C669">
        <v>65</v>
      </c>
      <c r="D669">
        <f>YEAR(cukier8[[#This Row],[data]])</f>
        <v>2008</v>
      </c>
      <c r="E669">
        <f>VLOOKUP(cukier8[[#This Row],[rok]],$L$2:$M$11,2,FALSE)*cukier8[[#This Row],[sprzedany_cukier]]</f>
        <v>139.75</v>
      </c>
    </row>
    <row r="670" spans="1:5" x14ac:dyDescent="0.25">
      <c r="A670" s="1">
        <v>39544</v>
      </c>
      <c r="B670" t="s">
        <v>24</v>
      </c>
      <c r="C670">
        <v>176</v>
      </c>
      <c r="D670">
        <f>YEAR(cukier8[[#This Row],[data]])</f>
        <v>2008</v>
      </c>
      <c r="E670">
        <f>VLOOKUP(cukier8[[#This Row],[rok]],$L$2:$M$11,2,FALSE)*cukier8[[#This Row],[sprzedany_cukier]]</f>
        <v>378.4</v>
      </c>
    </row>
    <row r="671" spans="1:5" x14ac:dyDescent="0.25">
      <c r="A671" s="1">
        <v>39545</v>
      </c>
      <c r="B671" t="s">
        <v>51</v>
      </c>
      <c r="C671">
        <v>2</v>
      </c>
      <c r="D671">
        <f>YEAR(cukier8[[#This Row],[data]])</f>
        <v>2008</v>
      </c>
      <c r="E671">
        <f>VLOOKUP(cukier8[[#This Row],[rok]],$L$2:$M$11,2,FALSE)*cukier8[[#This Row],[sprzedany_cukier]]</f>
        <v>4.3</v>
      </c>
    </row>
    <row r="672" spans="1:5" x14ac:dyDescent="0.25">
      <c r="A672" s="1">
        <v>39546</v>
      </c>
      <c r="B672" t="s">
        <v>66</v>
      </c>
      <c r="C672">
        <v>46</v>
      </c>
      <c r="D672">
        <f>YEAR(cukier8[[#This Row],[data]])</f>
        <v>2008</v>
      </c>
      <c r="E672">
        <f>VLOOKUP(cukier8[[#This Row],[rok]],$L$2:$M$11,2,FALSE)*cukier8[[#This Row],[sprzedany_cukier]]</f>
        <v>98.899999999999991</v>
      </c>
    </row>
    <row r="673" spans="1:5" x14ac:dyDescent="0.25">
      <c r="A673" s="1">
        <v>39549</v>
      </c>
      <c r="B673" t="s">
        <v>102</v>
      </c>
      <c r="C673">
        <v>477</v>
      </c>
      <c r="D673">
        <f>YEAR(cukier8[[#This Row],[data]])</f>
        <v>2008</v>
      </c>
      <c r="E673">
        <f>VLOOKUP(cukier8[[#This Row],[rok]],$L$2:$M$11,2,FALSE)*cukier8[[#This Row],[sprzedany_cukier]]</f>
        <v>1025.55</v>
      </c>
    </row>
    <row r="674" spans="1:5" x14ac:dyDescent="0.25">
      <c r="A674" s="1">
        <v>39550</v>
      </c>
      <c r="B674" t="s">
        <v>57</v>
      </c>
      <c r="C674">
        <v>6</v>
      </c>
      <c r="D674">
        <f>YEAR(cukier8[[#This Row],[data]])</f>
        <v>2008</v>
      </c>
      <c r="E674">
        <f>VLOOKUP(cukier8[[#This Row],[rok]],$L$2:$M$11,2,FALSE)*cukier8[[#This Row],[sprzedany_cukier]]</f>
        <v>12.899999999999999</v>
      </c>
    </row>
    <row r="675" spans="1:5" x14ac:dyDescent="0.25">
      <c r="A675" s="1">
        <v>39552</v>
      </c>
      <c r="B675" t="s">
        <v>48</v>
      </c>
      <c r="C675">
        <v>11</v>
      </c>
      <c r="D675">
        <f>YEAR(cukier8[[#This Row],[data]])</f>
        <v>2008</v>
      </c>
      <c r="E675">
        <f>VLOOKUP(cukier8[[#This Row],[rok]],$L$2:$M$11,2,FALSE)*cukier8[[#This Row],[sprzedany_cukier]]</f>
        <v>23.65</v>
      </c>
    </row>
    <row r="676" spans="1:5" x14ac:dyDescent="0.25">
      <c r="A676" s="1">
        <v>39552</v>
      </c>
      <c r="B676" t="s">
        <v>66</v>
      </c>
      <c r="C676">
        <v>126</v>
      </c>
      <c r="D676">
        <f>YEAR(cukier8[[#This Row],[data]])</f>
        <v>2008</v>
      </c>
      <c r="E676">
        <f>VLOOKUP(cukier8[[#This Row],[rok]],$L$2:$M$11,2,FALSE)*cukier8[[#This Row],[sprzedany_cukier]]</f>
        <v>270.89999999999998</v>
      </c>
    </row>
    <row r="677" spans="1:5" x14ac:dyDescent="0.25">
      <c r="A677" s="1">
        <v>39552</v>
      </c>
      <c r="B677" t="s">
        <v>18</v>
      </c>
      <c r="C677">
        <v>190</v>
      </c>
      <c r="D677">
        <f>YEAR(cukier8[[#This Row],[data]])</f>
        <v>2008</v>
      </c>
      <c r="E677">
        <f>VLOOKUP(cukier8[[#This Row],[rok]],$L$2:$M$11,2,FALSE)*cukier8[[#This Row],[sprzedany_cukier]]</f>
        <v>408.5</v>
      </c>
    </row>
    <row r="678" spans="1:5" x14ac:dyDescent="0.25">
      <c r="A678" s="1">
        <v>39553</v>
      </c>
      <c r="B678" t="s">
        <v>50</v>
      </c>
      <c r="C678">
        <v>358</v>
      </c>
      <c r="D678">
        <f>YEAR(cukier8[[#This Row],[data]])</f>
        <v>2008</v>
      </c>
      <c r="E678">
        <f>VLOOKUP(cukier8[[#This Row],[rok]],$L$2:$M$11,2,FALSE)*cukier8[[#This Row],[sprzedany_cukier]]</f>
        <v>769.69999999999993</v>
      </c>
    </row>
    <row r="679" spans="1:5" x14ac:dyDescent="0.25">
      <c r="A679" s="1">
        <v>39553</v>
      </c>
      <c r="B679" t="s">
        <v>39</v>
      </c>
      <c r="C679">
        <v>78</v>
      </c>
      <c r="D679">
        <f>YEAR(cukier8[[#This Row],[data]])</f>
        <v>2008</v>
      </c>
      <c r="E679">
        <f>VLOOKUP(cukier8[[#This Row],[rok]],$L$2:$M$11,2,FALSE)*cukier8[[#This Row],[sprzedany_cukier]]</f>
        <v>167.7</v>
      </c>
    </row>
    <row r="680" spans="1:5" x14ac:dyDescent="0.25">
      <c r="A680" s="1">
        <v>39553</v>
      </c>
      <c r="B680" t="s">
        <v>71</v>
      </c>
      <c r="C680">
        <v>129</v>
      </c>
      <c r="D680">
        <f>YEAR(cukier8[[#This Row],[data]])</f>
        <v>2008</v>
      </c>
      <c r="E680">
        <f>VLOOKUP(cukier8[[#This Row],[rok]],$L$2:$M$11,2,FALSE)*cukier8[[#This Row],[sprzedany_cukier]]</f>
        <v>277.34999999999997</v>
      </c>
    </row>
    <row r="681" spans="1:5" x14ac:dyDescent="0.25">
      <c r="A681" s="1">
        <v>39554</v>
      </c>
      <c r="B681" t="s">
        <v>14</v>
      </c>
      <c r="C681">
        <v>433</v>
      </c>
      <c r="D681">
        <f>YEAR(cukier8[[#This Row],[data]])</f>
        <v>2008</v>
      </c>
      <c r="E681">
        <f>VLOOKUP(cukier8[[#This Row],[rok]],$L$2:$M$11,2,FALSE)*cukier8[[#This Row],[sprzedany_cukier]]</f>
        <v>930.94999999999993</v>
      </c>
    </row>
    <row r="682" spans="1:5" x14ac:dyDescent="0.25">
      <c r="A682" s="1">
        <v>39555</v>
      </c>
      <c r="B682" t="s">
        <v>90</v>
      </c>
      <c r="C682">
        <v>18</v>
      </c>
      <c r="D682">
        <f>YEAR(cukier8[[#This Row],[data]])</f>
        <v>2008</v>
      </c>
      <c r="E682">
        <f>VLOOKUP(cukier8[[#This Row],[rok]],$L$2:$M$11,2,FALSE)*cukier8[[#This Row],[sprzedany_cukier]]</f>
        <v>38.699999999999996</v>
      </c>
    </row>
    <row r="683" spans="1:5" x14ac:dyDescent="0.25">
      <c r="A683" s="1">
        <v>39556</v>
      </c>
      <c r="B683" t="s">
        <v>80</v>
      </c>
      <c r="C683">
        <v>30</v>
      </c>
      <c r="D683">
        <f>YEAR(cukier8[[#This Row],[data]])</f>
        <v>2008</v>
      </c>
      <c r="E683">
        <f>VLOOKUP(cukier8[[#This Row],[rok]],$L$2:$M$11,2,FALSE)*cukier8[[#This Row],[sprzedany_cukier]]</f>
        <v>64.5</v>
      </c>
    </row>
    <row r="684" spans="1:5" x14ac:dyDescent="0.25">
      <c r="A684" s="1">
        <v>39557</v>
      </c>
      <c r="B684" t="s">
        <v>42</v>
      </c>
      <c r="C684">
        <v>18</v>
      </c>
      <c r="D684">
        <f>YEAR(cukier8[[#This Row],[data]])</f>
        <v>2008</v>
      </c>
      <c r="E684">
        <f>VLOOKUP(cukier8[[#This Row],[rok]],$L$2:$M$11,2,FALSE)*cukier8[[#This Row],[sprzedany_cukier]]</f>
        <v>38.699999999999996</v>
      </c>
    </row>
    <row r="685" spans="1:5" x14ac:dyDescent="0.25">
      <c r="A685" s="1">
        <v>39558</v>
      </c>
      <c r="B685" t="s">
        <v>66</v>
      </c>
      <c r="C685">
        <v>146</v>
      </c>
      <c r="D685">
        <f>YEAR(cukier8[[#This Row],[data]])</f>
        <v>2008</v>
      </c>
      <c r="E685">
        <f>VLOOKUP(cukier8[[#This Row],[rok]],$L$2:$M$11,2,FALSE)*cukier8[[#This Row],[sprzedany_cukier]]</f>
        <v>313.89999999999998</v>
      </c>
    </row>
    <row r="686" spans="1:5" x14ac:dyDescent="0.25">
      <c r="A686" s="1">
        <v>39558</v>
      </c>
      <c r="B686" t="s">
        <v>162</v>
      </c>
      <c r="C686">
        <v>19</v>
      </c>
      <c r="D686">
        <f>YEAR(cukier8[[#This Row],[data]])</f>
        <v>2008</v>
      </c>
      <c r="E686">
        <f>VLOOKUP(cukier8[[#This Row],[rok]],$L$2:$M$11,2,FALSE)*cukier8[[#This Row],[sprzedany_cukier]]</f>
        <v>40.85</v>
      </c>
    </row>
    <row r="687" spans="1:5" x14ac:dyDescent="0.25">
      <c r="A687" s="1">
        <v>39559</v>
      </c>
      <c r="B687" t="s">
        <v>23</v>
      </c>
      <c r="C687">
        <v>170</v>
      </c>
      <c r="D687">
        <f>YEAR(cukier8[[#This Row],[data]])</f>
        <v>2008</v>
      </c>
      <c r="E687">
        <f>VLOOKUP(cukier8[[#This Row],[rok]],$L$2:$M$11,2,FALSE)*cukier8[[#This Row],[sprzedany_cukier]]</f>
        <v>365.5</v>
      </c>
    </row>
    <row r="688" spans="1:5" x14ac:dyDescent="0.25">
      <c r="A688" s="1">
        <v>39561</v>
      </c>
      <c r="B688" t="s">
        <v>5</v>
      </c>
      <c r="C688">
        <v>428</v>
      </c>
      <c r="D688">
        <f>YEAR(cukier8[[#This Row],[data]])</f>
        <v>2008</v>
      </c>
      <c r="E688">
        <f>VLOOKUP(cukier8[[#This Row],[rok]],$L$2:$M$11,2,FALSE)*cukier8[[#This Row],[sprzedany_cukier]]</f>
        <v>920.19999999999993</v>
      </c>
    </row>
    <row r="689" spans="1:5" x14ac:dyDescent="0.25">
      <c r="A689" s="1">
        <v>39563</v>
      </c>
      <c r="B689" t="s">
        <v>50</v>
      </c>
      <c r="C689">
        <v>129</v>
      </c>
      <c r="D689">
        <f>YEAR(cukier8[[#This Row],[data]])</f>
        <v>2008</v>
      </c>
      <c r="E689">
        <f>VLOOKUP(cukier8[[#This Row],[rok]],$L$2:$M$11,2,FALSE)*cukier8[[#This Row],[sprzedany_cukier]]</f>
        <v>277.34999999999997</v>
      </c>
    </row>
    <row r="690" spans="1:5" x14ac:dyDescent="0.25">
      <c r="A690" s="1">
        <v>39564</v>
      </c>
      <c r="B690" t="s">
        <v>17</v>
      </c>
      <c r="C690">
        <v>304</v>
      </c>
      <c r="D690">
        <f>YEAR(cukier8[[#This Row],[data]])</f>
        <v>2008</v>
      </c>
      <c r="E690">
        <f>VLOOKUP(cukier8[[#This Row],[rok]],$L$2:$M$11,2,FALSE)*cukier8[[#This Row],[sprzedany_cukier]]</f>
        <v>653.6</v>
      </c>
    </row>
    <row r="691" spans="1:5" x14ac:dyDescent="0.25">
      <c r="A691" s="1">
        <v>39568</v>
      </c>
      <c r="B691" t="s">
        <v>151</v>
      </c>
      <c r="C691">
        <v>15</v>
      </c>
      <c r="D691">
        <f>YEAR(cukier8[[#This Row],[data]])</f>
        <v>2008</v>
      </c>
      <c r="E691">
        <f>VLOOKUP(cukier8[[#This Row],[rok]],$L$2:$M$11,2,FALSE)*cukier8[[#This Row],[sprzedany_cukier]]</f>
        <v>32.25</v>
      </c>
    </row>
    <row r="692" spans="1:5" x14ac:dyDescent="0.25">
      <c r="A692" s="1">
        <v>39569</v>
      </c>
      <c r="B692" t="s">
        <v>166</v>
      </c>
      <c r="C692">
        <v>14</v>
      </c>
      <c r="D692">
        <f>YEAR(cukier8[[#This Row],[data]])</f>
        <v>2008</v>
      </c>
      <c r="E692">
        <f>VLOOKUP(cukier8[[#This Row],[rok]],$L$2:$M$11,2,FALSE)*cukier8[[#This Row],[sprzedany_cukier]]</f>
        <v>30.099999999999998</v>
      </c>
    </row>
    <row r="693" spans="1:5" x14ac:dyDescent="0.25">
      <c r="A693" s="1">
        <v>39571</v>
      </c>
      <c r="B693" t="s">
        <v>14</v>
      </c>
      <c r="C693">
        <v>320</v>
      </c>
      <c r="D693">
        <f>YEAR(cukier8[[#This Row],[data]])</f>
        <v>2008</v>
      </c>
      <c r="E693">
        <f>VLOOKUP(cukier8[[#This Row],[rok]],$L$2:$M$11,2,FALSE)*cukier8[[#This Row],[sprzedany_cukier]]</f>
        <v>688</v>
      </c>
    </row>
    <row r="694" spans="1:5" x14ac:dyDescent="0.25">
      <c r="A694" s="1">
        <v>39572</v>
      </c>
      <c r="B694" t="s">
        <v>55</v>
      </c>
      <c r="C694">
        <v>44</v>
      </c>
      <c r="D694">
        <f>YEAR(cukier8[[#This Row],[data]])</f>
        <v>2008</v>
      </c>
      <c r="E694">
        <f>VLOOKUP(cukier8[[#This Row],[rok]],$L$2:$M$11,2,FALSE)*cukier8[[#This Row],[sprzedany_cukier]]</f>
        <v>94.6</v>
      </c>
    </row>
    <row r="695" spans="1:5" x14ac:dyDescent="0.25">
      <c r="A695" s="1">
        <v>39573</v>
      </c>
      <c r="B695" t="s">
        <v>10</v>
      </c>
      <c r="C695">
        <v>71</v>
      </c>
      <c r="D695">
        <f>YEAR(cukier8[[#This Row],[data]])</f>
        <v>2008</v>
      </c>
      <c r="E695">
        <f>VLOOKUP(cukier8[[#This Row],[rok]],$L$2:$M$11,2,FALSE)*cukier8[[#This Row],[sprzedany_cukier]]</f>
        <v>152.65</v>
      </c>
    </row>
    <row r="696" spans="1:5" x14ac:dyDescent="0.25">
      <c r="A696" s="1">
        <v>39573</v>
      </c>
      <c r="B696" t="s">
        <v>72</v>
      </c>
      <c r="C696">
        <v>8</v>
      </c>
      <c r="D696">
        <f>YEAR(cukier8[[#This Row],[data]])</f>
        <v>2008</v>
      </c>
      <c r="E696">
        <f>VLOOKUP(cukier8[[#This Row],[rok]],$L$2:$M$11,2,FALSE)*cukier8[[#This Row],[sprzedany_cukier]]</f>
        <v>17.2</v>
      </c>
    </row>
    <row r="697" spans="1:5" x14ac:dyDescent="0.25">
      <c r="A697" s="1">
        <v>39577</v>
      </c>
      <c r="B697" t="s">
        <v>9</v>
      </c>
      <c r="C697">
        <v>444</v>
      </c>
      <c r="D697">
        <f>YEAR(cukier8[[#This Row],[data]])</f>
        <v>2008</v>
      </c>
      <c r="E697">
        <f>VLOOKUP(cukier8[[#This Row],[rok]],$L$2:$M$11,2,FALSE)*cukier8[[#This Row],[sprzedany_cukier]]</f>
        <v>954.59999999999991</v>
      </c>
    </row>
    <row r="698" spans="1:5" x14ac:dyDescent="0.25">
      <c r="A698" s="1">
        <v>39577</v>
      </c>
      <c r="B698" t="s">
        <v>83</v>
      </c>
      <c r="C698">
        <v>1</v>
      </c>
      <c r="D698">
        <f>YEAR(cukier8[[#This Row],[data]])</f>
        <v>2008</v>
      </c>
      <c r="E698">
        <f>VLOOKUP(cukier8[[#This Row],[rok]],$L$2:$M$11,2,FALSE)*cukier8[[#This Row],[sprzedany_cukier]]</f>
        <v>2.15</v>
      </c>
    </row>
    <row r="699" spans="1:5" x14ac:dyDescent="0.25">
      <c r="A699" s="1">
        <v>39579</v>
      </c>
      <c r="B699" t="s">
        <v>66</v>
      </c>
      <c r="C699">
        <v>102</v>
      </c>
      <c r="D699">
        <f>YEAR(cukier8[[#This Row],[data]])</f>
        <v>2008</v>
      </c>
      <c r="E699">
        <f>VLOOKUP(cukier8[[#This Row],[rok]],$L$2:$M$11,2,FALSE)*cukier8[[#This Row],[sprzedany_cukier]]</f>
        <v>219.29999999999998</v>
      </c>
    </row>
    <row r="700" spans="1:5" x14ac:dyDescent="0.25">
      <c r="A700" s="1">
        <v>39579</v>
      </c>
      <c r="B700" t="s">
        <v>26</v>
      </c>
      <c r="C700">
        <v>181</v>
      </c>
      <c r="D700">
        <f>YEAR(cukier8[[#This Row],[data]])</f>
        <v>2008</v>
      </c>
      <c r="E700">
        <f>VLOOKUP(cukier8[[#This Row],[rok]],$L$2:$M$11,2,FALSE)*cukier8[[#This Row],[sprzedany_cukier]]</f>
        <v>389.15</v>
      </c>
    </row>
    <row r="701" spans="1:5" x14ac:dyDescent="0.25">
      <c r="A701" s="1">
        <v>39579</v>
      </c>
      <c r="B701" t="s">
        <v>52</v>
      </c>
      <c r="C701">
        <v>82</v>
      </c>
      <c r="D701">
        <f>YEAR(cukier8[[#This Row],[data]])</f>
        <v>2008</v>
      </c>
      <c r="E701">
        <f>VLOOKUP(cukier8[[#This Row],[rok]],$L$2:$M$11,2,FALSE)*cukier8[[#This Row],[sprzedany_cukier]]</f>
        <v>176.29999999999998</v>
      </c>
    </row>
    <row r="702" spans="1:5" x14ac:dyDescent="0.25">
      <c r="A702" s="1">
        <v>39582</v>
      </c>
      <c r="B702" t="s">
        <v>167</v>
      </c>
      <c r="C702">
        <v>19</v>
      </c>
      <c r="D702">
        <f>YEAR(cukier8[[#This Row],[data]])</f>
        <v>2008</v>
      </c>
      <c r="E702">
        <f>VLOOKUP(cukier8[[#This Row],[rok]],$L$2:$M$11,2,FALSE)*cukier8[[#This Row],[sprzedany_cukier]]</f>
        <v>40.85</v>
      </c>
    </row>
    <row r="703" spans="1:5" x14ac:dyDescent="0.25">
      <c r="A703" s="1">
        <v>39582</v>
      </c>
      <c r="B703" t="s">
        <v>17</v>
      </c>
      <c r="C703">
        <v>245</v>
      </c>
      <c r="D703">
        <f>YEAR(cukier8[[#This Row],[data]])</f>
        <v>2008</v>
      </c>
      <c r="E703">
        <f>VLOOKUP(cukier8[[#This Row],[rok]],$L$2:$M$11,2,FALSE)*cukier8[[#This Row],[sprzedany_cukier]]</f>
        <v>526.75</v>
      </c>
    </row>
    <row r="704" spans="1:5" x14ac:dyDescent="0.25">
      <c r="A704" s="1">
        <v>39584</v>
      </c>
      <c r="B704" t="s">
        <v>102</v>
      </c>
      <c r="C704">
        <v>431</v>
      </c>
      <c r="D704">
        <f>YEAR(cukier8[[#This Row],[data]])</f>
        <v>2008</v>
      </c>
      <c r="E704">
        <f>VLOOKUP(cukier8[[#This Row],[rok]],$L$2:$M$11,2,FALSE)*cukier8[[#This Row],[sprzedany_cukier]]</f>
        <v>926.65</v>
      </c>
    </row>
    <row r="705" spans="1:5" x14ac:dyDescent="0.25">
      <c r="A705" s="1">
        <v>39584</v>
      </c>
      <c r="B705" t="s">
        <v>7</v>
      </c>
      <c r="C705">
        <v>252</v>
      </c>
      <c r="D705">
        <f>YEAR(cukier8[[#This Row],[data]])</f>
        <v>2008</v>
      </c>
      <c r="E705">
        <f>VLOOKUP(cukier8[[#This Row],[rok]],$L$2:$M$11,2,FALSE)*cukier8[[#This Row],[sprzedany_cukier]]</f>
        <v>541.79999999999995</v>
      </c>
    </row>
    <row r="706" spans="1:5" x14ac:dyDescent="0.25">
      <c r="A706" s="1">
        <v>39585</v>
      </c>
      <c r="B706" t="s">
        <v>62</v>
      </c>
      <c r="C706">
        <v>2</v>
      </c>
      <c r="D706">
        <f>YEAR(cukier8[[#This Row],[data]])</f>
        <v>2008</v>
      </c>
      <c r="E706">
        <f>VLOOKUP(cukier8[[#This Row],[rok]],$L$2:$M$11,2,FALSE)*cukier8[[#This Row],[sprzedany_cukier]]</f>
        <v>4.3</v>
      </c>
    </row>
    <row r="707" spans="1:5" x14ac:dyDescent="0.25">
      <c r="A707" s="1">
        <v>39586</v>
      </c>
      <c r="B707" t="s">
        <v>6</v>
      </c>
      <c r="C707">
        <v>52</v>
      </c>
      <c r="D707">
        <f>YEAR(cukier8[[#This Row],[data]])</f>
        <v>2008</v>
      </c>
      <c r="E707">
        <f>VLOOKUP(cukier8[[#This Row],[rok]],$L$2:$M$11,2,FALSE)*cukier8[[#This Row],[sprzedany_cukier]]</f>
        <v>111.8</v>
      </c>
    </row>
    <row r="708" spans="1:5" x14ac:dyDescent="0.25">
      <c r="A708" s="1">
        <v>39587</v>
      </c>
      <c r="B708" t="s">
        <v>23</v>
      </c>
      <c r="C708">
        <v>54</v>
      </c>
      <c r="D708">
        <f>YEAR(cukier8[[#This Row],[data]])</f>
        <v>2008</v>
      </c>
      <c r="E708">
        <f>VLOOKUP(cukier8[[#This Row],[rok]],$L$2:$M$11,2,FALSE)*cukier8[[#This Row],[sprzedany_cukier]]</f>
        <v>116.1</v>
      </c>
    </row>
    <row r="709" spans="1:5" x14ac:dyDescent="0.25">
      <c r="A709" s="1">
        <v>39587</v>
      </c>
      <c r="B709" t="s">
        <v>59</v>
      </c>
      <c r="C709">
        <v>4</v>
      </c>
      <c r="D709">
        <f>YEAR(cukier8[[#This Row],[data]])</f>
        <v>2008</v>
      </c>
      <c r="E709">
        <f>VLOOKUP(cukier8[[#This Row],[rok]],$L$2:$M$11,2,FALSE)*cukier8[[#This Row],[sprzedany_cukier]]</f>
        <v>8.6</v>
      </c>
    </row>
    <row r="710" spans="1:5" x14ac:dyDescent="0.25">
      <c r="A710" s="1">
        <v>39587</v>
      </c>
      <c r="B710" t="s">
        <v>61</v>
      </c>
      <c r="C710">
        <v>88</v>
      </c>
      <c r="D710">
        <f>YEAR(cukier8[[#This Row],[data]])</f>
        <v>2008</v>
      </c>
      <c r="E710">
        <f>VLOOKUP(cukier8[[#This Row],[rok]],$L$2:$M$11,2,FALSE)*cukier8[[#This Row],[sprzedany_cukier]]</f>
        <v>189.2</v>
      </c>
    </row>
    <row r="711" spans="1:5" x14ac:dyDescent="0.25">
      <c r="A711" s="1">
        <v>39590</v>
      </c>
      <c r="B711" t="s">
        <v>18</v>
      </c>
      <c r="C711">
        <v>152</v>
      </c>
      <c r="D711">
        <f>YEAR(cukier8[[#This Row],[data]])</f>
        <v>2008</v>
      </c>
      <c r="E711">
        <f>VLOOKUP(cukier8[[#This Row],[rok]],$L$2:$M$11,2,FALSE)*cukier8[[#This Row],[sprzedany_cukier]]</f>
        <v>326.8</v>
      </c>
    </row>
    <row r="712" spans="1:5" x14ac:dyDescent="0.25">
      <c r="A712" s="1">
        <v>39591</v>
      </c>
      <c r="B712" t="s">
        <v>55</v>
      </c>
      <c r="C712">
        <v>121</v>
      </c>
      <c r="D712">
        <f>YEAR(cukier8[[#This Row],[data]])</f>
        <v>2008</v>
      </c>
      <c r="E712">
        <f>VLOOKUP(cukier8[[#This Row],[rok]],$L$2:$M$11,2,FALSE)*cukier8[[#This Row],[sprzedany_cukier]]</f>
        <v>260.14999999999998</v>
      </c>
    </row>
    <row r="713" spans="1:5" x14ac:dyDescent="0.25">
      <c r="A713" s="1">
        <v>39592</v>
      </c>
      <c r="B713" t="s">
        <v>18</v>
      </c>
      <c r="C713">
        <v>77</v>
      </c>
      <c r="D713">
        <f>YEAR(cukier8[[#This Row],[data]])</f>
        <v>2008</v>
      </c>
      <c r="E713">
        <f>VLOOKUP(cukier8[[#This Row],[rok]],$L$2:$M$11,2,FALSE)*cukier8[[#This Row],[sprzedany_cukier]]</f>
        <v>165.54999999999998</v>
      </c>
    </row>
    <row r="714" spans="1:5" x14ac:dyDescent="0.25">
      <c r="A714" s="1">
        <v>39595</v>
      </c>
      <c r="B714" t="s">
        <v>131</v>
      </c>
      <c r="C714">
        <v>21</v>
      </c>
      <c r="D714">
        <f>YEAR(cukier8[[#This Row],[data]])</f>
        <v>2008</v>
      </c>
      <c r="E714">
        <f>VLOOKUP(cukier8[[#This Row],[rok]],$L$2:$M$11,2,FALSE)*cukier8[[#This Row],[sprzedany_cukier]]</f>
        <v>45.15</v>
      </c>
    </row>
    <row r="715" spans="1:5" x14ac:dyDescent="0.25">
      <c r="A715" s="1">
        <v>39596</v>
      </c>
      <c r="B715" t="s">
        <v>61</v>
      </c>
      <c r="C715">
        <v>48</v>
      </c>
      <c r="D715">
        <f>YEAR(cukier8[[#This Row],[data]])</f>
        <v>2008</v>
      </c>
      <c r="E715">
        <f>VLOOKUP(cukier8[[#This Row],[rok]],$L$2:$M$11,2,FALSE)*cukier8[[#This Row],[sprzedany_cukier]]</f>
        <v>103.19999999999999</v>
      </c>
    </row>
    <row r="716" spans="1:5" x14ac:dyDescent="0.25">
      <c r="A716" s="1">
        <v>39597</v>
      </c>
      <c r="B716" t="s">
        <v>45</v>
      </c>
      <c r="C716">
        <v>420</v>
      </c>
      <c r="D716">
        <f>YEAR(cukier8[[#This Row],[data]])</f>
        <v>2008</v>
      </c>
      <c r="E716">
        <f>VLOOKUP(cukier8[[#This Row],[rok]],$L$2:$M$11,2,FALSE)*cukier8[[#This Row],[sprzedany_cukier]]</f>
        <v>903</v>
      </c>
    </row>
    <row r="717" spans="1:5" x14ac:dyDescent="0.25">
      <c r="A717" s="1">
        <v>39598</v>
      </c>
      <c r="B717" t="s">
        <v>7</v>
      </c>
      <c r="C717">
        <v>443</v>
      </c>
      <c r="D717">
        <f>YEAR(cukier8[[#This Row],[data]])</f>
        <v>2008</v>
      </c>
      <c r="E717">
        <f>VLOOKUP(cukier8[[#This Row],[rok]],$L$2:$M$11,2,FALSE)*cukier8[[#This Row],[sprzedany_cukier]]</f>
        <v>952.44999999999993</v>
      </c>
    </row>
    <row r="718" spans="1:5" x14ac:dyDescent="0.25">
      <c r="A718" s="1">
        <v>39602</v>
      </c>
      <c r="B718" t="s">
        <v>55</v>
      </c>
      <c r="C718">
        <v>46</v>
      </c>
      <c r="D718">
        <f>YEAR(cukier8[[#This Row],[data]])</f>
        <v>2008</v>
      </c>
      <c r="E718">
        <f>VLOOKUP(cukier8[[#This Row],[rok]],$L$2:$M$11,2,FALSE)*cukier8[[#This Row],[sprzedany_cukier]]</f>
        <v>98.899999999999991</v>
      </c>
    </row>
    <row r="719" spans="1:5" x14ac:dyDescent="0.25">
      <c r="A719" s="1">
        <v>39603</v>
      </c>
      <c r="B719" t="s">
        <v>134</v>
      </c>
      <c r="C719">
        <v>3</v>
      </c>
      <c r="D719">
        <f>YEAR(cukier8[[#This Row],[data]])</f>
        <v>2008</v>
      </c>
      <c r="E719">
        <f>VLOOKUP(cukier8[[#This Row],[rok]],$L$2:$M$11,2,FALSE)*cukier8[[#This Row],[sprzedany_cukier]]</f>
        <v>6.4499999999999993</v>
      </c>
    </row>
    <row r="720" spans="1:5" x14ac:dyDescent="0.25">
      <c r="A720" s="1">
        <v>39605</v>
      </c>
      <c r="B720" t="s">
        <v>55</v>
      </c>
      <c r="C720">
        <v>98</v>
      </c>
      <c r="D720">
        <f>YEAR(cukier8[[#This Row],[data]])</f>
        <v>2008</v>
      </c>
      <c r="E720">
        <f>VLOOKUP(cukier8[[#This Row],[rok]],$L$2:$M$11,2,FALSE)*cukier8[[#This Row],[sprzedany_cukier]]</f>
        <v>210.7</v>
      </c>
    </row>
    <row r="721" spans="1:5" x14ac:dyDescent="0.25">
      <c r="A721" s="1">
        <v>39605</v>
      </c>
      <c r="B721" t="s">
        <v>168</v>
      </c>
      <c r="C721">
        <v>18</v>
      </c>
      <c r="D721">
        <f>YEAR(cukier8[[#This Row],[data]])</f>
        <v>2008</v>
      </c>
      <c r="E721">
        <f>VLOOKUP(cukier8[[#This Row],[rok]],$L$2:$M$11,2,FALSE)*cukier8[[#This Row],[sprzedany_cukier]]</f>
        <v>38.699999999999996</v>
      </c>
    </row>
    <row r="722" spans="1:5" x14ac:dyDescent="0.25">
      <c r="A722" s="1">
        <v>39605</v>
      </c>
      <c r="B722" t="s">
        <v>50</v>
      </c>
      <c r="C722">
        <v>237</v>
      </c>
      <c r="D722">
        <f>YEAR(cukier8[[#This Row],[data]])</f>
        <v>2008</v>
      </c>
      <c r="E722">
        <f>VLOOKUP(cukier8[[#This Row],[rok]],$L$2:$M$11,2,FALSE)*cukier8[[#This Row],[sprzedany_cukier]]</f>
        <v>509.54999999999995</v>
      </c>
    </row>
    <row r="723" spans="1:5" x14ac:dyDescent="0.25">
      <c r="A723" s="1">
        <v>39605</v>
      </c>
      <c r="B723" t="s">
        <v>31</v>
      </c>
      <c r="C723">
        <v>64</v>
      </c>
      <c r="D723">
        <f>YEAR(cukier8[[#This Row],[data]])</f>
        <v>2008</v>
      </c>
      <c r="E723">
        <f>VLOOKUP(cukier8[[#This Row],[rok]],$L$2:$M$11,2,FALSE)*cukier8[[#This Row],[sprzedany_cukier]]</f>
        <v>137.6</v>
      </c>
    </row>
    <row r="724" spans="1:5" x14ac:dyDescent="0.25">
      <c r="A724" s="1">
        <v>39609</v>
      </c>
      <c r="B724" t="s">
        <v>37</v>
      </c>
      <c r="C724">
        <v>32</v>
      </c>
      <c r="D724">
        <f>YEAR(cukier8[[#This Row],[data]])</f>
        <v>2008</v>
      </c>
      <c r="E724">
        <f>VLOOKUP(cukier8[[#This Row],[rok]],$L$2:$M$11,2,FALSE)*cukier8[[#This Row],[sprzedany_cukier]]</f>
        <v>68.8</v>
      </c>
    </row>
    <row r="725" spans="1:5" x14ac:dyDescent="0.25">
      <c r="A725" s="1">
        <v>39614</v>
      </c>
      <c r="B725" t="s">
        <v>10</v>
      </c>
      <c r="C725">
        <v>30</v>
      </c>
      <c r="D725">
        <f>YEAR(cukier8[[#This Row],[data]])</f>
        <v>2008</v>
      </c>
      <c r="E725">
        <f>VLOOKUP(cukier8[[#This Row],[rok]],$L$2:$M$11,2,FALSE)*cukier8[[#This Row],[sprzedany_cukier]]</f>
        <v>64.5</v>
      </c>
    </row>
    <row r="726" spans="1:5" x14ac:dyDescent="0.25">
      <c r="A726" s="1">
        <v>39614</v>
      </c>
      <c r="B726" t="s">
        <v>137</v>
      </c>
      <c r="C726">
        <v>12</v>
      </c>
      <c r="D726">
        <f>YEAR(cukier8[[#This Row],[data]])</f>
        <v>2008</v>
      </c>
      <c r="E726">
        <f>VLOOKUP(cukier8[[#This Row],[rok]],$L$2:$M$11,2,FALSE)*cukier8[[#This Row],[sprzedany_cukier]]</f>
        <v>25.799999999999997</v>
      </c>
    </row>
    <row r="727" spans="1:5" x14ac:dyDescent="0.25">
      <c r="A727" s="1">
        <v>39615</v>
      </c>
      <c r="B727" t="s">
        <v>71</v>
      </c>
      <c r="C727">
        <v>138</v>
      </c>
      <c r="D727">
        <f>YEAR(cukier8[[#This Row],[data]])</f>
        <v>2008</v>
      </c>
      <c r="E727">
        <f>VLOOKUP(cukier8[[#This Row],[rok]],$L$2:$M$11,2,FALSE)*cukier8[[#This Row],[sprzedany_cukier]]</f>
        <v>296.7</v>
      </c>
    </row>
    <row r="728" spans="1:5" x14ac:dyDescent="0.25">
      <c r="A728" s="1">
        <v>39619</v>
      </c>
      <c r="B728" t="s">
        <v>22</v>
      </c>
      <c r="C728">
        <v>411</v>
      </c>
      <c r="D728">
        <f>YEAR(cukier8[[#This Row],[data]])</f>
        <v>2008</v>
      </c>
      <c r="E728">
        <f>VLOOKUP(cukier8[[#This Row],[rok]],$L$2:$M$11,2,FALSE)*cukier8[[#This Row],[sprzedany_cukier]]</f>
        <v>883.65</v>
      </c>
    </row>
    <row r="729" spans="1:5" x14ac:dyDescent="0.25">
      <c r="A729" s="1">
        <v>39622</v>
      </c>
      <c r="B729" t="s">
        <v>23</v>
      </c>
      <c r="C729">
        <v>152</v>
      </c>
      <c r="D729">
        <f>YEAR(cukier8[[#This Row],[data]])</f>
        <v>2008</v>
      </c>
      <c r="E729">
        <f>VLOOKUP(cukier8[[#This Row],[rok]],$L$2:$M$11,2,FALSE)*cukier8[[#This Row],[sprzedany_cukier]]</f>
        <v>326.8</v>
      </c>
    </row>
    <row r="730" spans="1:5" x14ac:dyDescent="0.25">
      <c r="A730" s="1">
        <v>39623</v>
      </c>
      <c r="B730" t="s">
        <v>169</v>
      </c>
      <c r="C730">
        <v>10</v>
      </c>
      <c r="D730">
        <f>YEAR(cukier8[[#This Row],[data]])</f>
        <v>2008</v>
      </c>
      <c r="E730">
        <f>VLOOKUP(cukier8[[#This Row],[rok]],$L$2:$M$11,2,FALSE)*cukier8[[#This Row],[sprzedany_cukier]]</f>
        <v>21.5</v>
      </c>
    </row>
    <row r="731" spans="1:5" x14ac:dyDescent="0.25">
      <c r="A731" s="1">
        <v>39624</v>
      </c>
      <c r="B731" t="s">
        <v>18</v>
      </c>
      <c r="C731">
        <v>75</v>
      </c>
      <c r="D731">
        <f>YEAR(cukier8[[#This Row],[data]])</f>
        <v>2008</v>
      </c>
      <c r="E731">
        <f>VLOOKUP(cukier8[[#This Row],[rok]],$L$2:$M$11,2,FALSE)*cukier8[[#This Row],[sprzedany_cukier]]</f>
        <v>161.25</v>
      </c>
    </row>
    <row r="732" spans="1:5" x14ac:dyDescent="0.25">
      <c r="A732" s="1">
        <v>39624</v>
      </c>
      <c r="B732" t="s">
        <v>170</v>
      </c>
      <c r="C732">
        <v>4</v>
      </c>
      <c r="D732">
        <f>YEAR(cukier8[[#This Row],[data]])</f>
        <v>2008</v>
      </c>
      <c r="E732">
        <f>VLOOKUP(cukier8[[#This Row],[rok]],$L$2:$M$11,2,FALSE)*cukier8[[#This Row],[sprzedany_cukier]]</f>
        <v>8.6</v>
      </c>
    </row>
    <row r="733" spans="1:5" x14ac:dyDescent="0.25">
      <c r="A733" s="1">
        <v>39626</v>
      </c>
      <c r="B733" t="s">
        <v>171</v>
      </c>
      <c r="C733">
        <v>2</v>
      </c>
      <c r="D733">
        <f>YEAR(cukier8[[#This Row],[data]])</f>
        <v>2008</v>
      </c>
      <c r="E733">
        <f>VLOOKUP(cukier8[[#This Row],[rok]],$L$2:$M$11,2,FALSE)*cukier8[[#This Row],[sprzedany_cukier]]</f>
        <v>4.3</v>
      </c>
    </row>
    <row r="734" spans="1:5" x14ac:dyDescent="0.25">
      <c r="A734" s="1">
        <v>39627</v>
      </c>
      <c r="B734" t="s">
        <v>61</v>
      </c>
      <c r="C734">
        <v>110</v>
      </c>
      <c r="D734">
        <f>YEAR(cukier8[[#This Row],[data]])</f>
        <v>2008</v>
      </c>
      <c r="E734">
        <f>VLOOKUP(cukier8[[#This Row],[rok]],$L$2:$M$11,2,FALSE)*cukier8[[#This Row],[sprzedany_cukier]]</f>
        <v>236.5</v>
      </c>
    </row>
    <row r="735" spans="1:5" x14ac:dyDescent="0.25">
      <c r="A735" s="1">
        <v>39628</v>
      </c>
      <c r="B735" t="s">
        <v>35</v>
      </c>
      <c r="C735">
        <v>161</v>
      </c>
      <c r="D735">
        <f>YEAR(cukier8[[#This Row],[data]])</f>
        <v>2008</v>
      </c>
      <c r="E735">
        <f>VLOOKUP(cukier8[[#This Row],[rok]],$L$2:$M$11,2,FALSE)*cukier8[[#This Row],[sprzedany_cukier]]</f>
        <v>346.15</v>
      </c>
    </row>
    <row r="736" spans="1:5" x14ac:dyDescent="0.25">
      <c r="A736" s="1">
        <v>39629</v>
      </c>
      <c r="B736" t="s">
        <v>30</v>
      </c>
      <c r="C736">
        <v>68</v>
      </c>
      <c r="D736">
        <f>YEAR(cukier8[[#This Row],[data]])</f>
        <v>2008</v>
      </c>
      <c r="E736">
        <f>VLOOKUP(cukier8[[#This Row],[rok]],$L$2:$M$11,2,FALSE)*cukier8[[#This Row],[sprzedany_cukier]]</f>
        <v>146.19999999999999</v>
      </c>
    </row>
    <row r="737" spans="1:5" x14ac:dyDescent="0.25">
      <c r="A737" s="1">
        <v>39631</v>
      </c>
      <c r="B737" t="s">
        <v>55</v>
      </c>
      <c r="C737">
        <v>30</v>
      </c>
      <c r="D737">
        <f>YEAR(cukier8[[#This Row],[data]])</f>
        <v>2008</v>
      </c>
      <c r="E737">
        <f>VLOOKUP(cukier8[[#This Row],[rok]],$L$2:$M$11,2,FALSE)*cukier8[[#This Row],[sprzedany_cukier]]</f>
        <v>64.5</v>
      </c>
    </row>
    <row r="738" spans="1:5" x14ac:dyDescent="0.25">
      <c r="A738" s="1">
        <v>39632</v>
      </c>
      <c r="B738" t="s">
        <v>64</v>
      </c>
      <c r="C738">
        <v>3</v>
      </c>
      <c r="D738">
        <f>YEAR(cukier8[[#This Row],[data]])</f>
        <v>2008</v>
      </c>
      <c r="E738">
        <f>VLOOKUP(cukier8[[#This Row],[rok]],$L$2:$M$11,2,FALSE)*cukier8[[#This Row],[sprzedany_cukier]]</f>
        <v>6.4499999999999993</v>
      </c>
    </row>
    <row r="739" spans="1:5" x14ac:dyDescent="0.25">
      <c r="A739" s="1">
        <v>39637</v>
      </c>
      <c r="B739" t="s">
        <v>50</v>
      </c>
      <c r="C739">
        <v>117</v>
      </c>
      <c r="D739">
        <f>YEAR(cukier8[[#This Row],[data]])</f>
        <v>2008</v>
      </c>
      <c r="E739">
        <f>VLOOKUP(cukier8[[#This Row],[rok]],$L$2:$M$11,2,FALSE)*cukier8[[#This Row],[sprzedany_cukier]]</f>
        <v>251.54999999999998</v>
      </c>
    </row>
    <row r="740" spans="1:5" x14ac:dyDescent="0.25">
      <c r="A740" s="1">
        <v>39639</v>
      </c>
      <c r="B740" t="s">
        <v>8</v>
      </c>
      <c r="C740">
        <v>105</v>
      </c>
      <c r="D740">
        <f>YEAR(cukier8[[#This Row],[data]])</f>
        <v>2008</v>
      </c>
      <c r="E740">
        <f>VLOOKUP(cukier8[[#This Row],[rok]],$L$2:$M$11,2,FALSE)*cukier8[[#This Row],[sprzedany_cukier]]</f>
        <v>225.75</v>
      </c>
    </row>
    <row r="741" spans="1:5" x14ac:dyDescent="0.25">
      <c r="A741" s="1">
        <v>39639</v>
      </c>
      <c r="B741" t="s">
        <v>46</v>
      </c>
      <c r="C741">
        <v>6</v>
      </c>
      <c r="D741">
        <f>YEAR(cukier8[[#This Row],[data]])</f>
        <v>2008</v>
      </c>
      <c r="E741">
        <f>VLOOKUP(cukier8[[#This Row],[rok]],$L$2:$M$11,2,FALSE)*cukier8[[#This Row],[sprzedany_cukier]]</f>
        <v>12.899999999999999</v>
      </c>
    </row>
    <row r="742" spans="1:5" x14ac:dyDescent="0.25">
      <c r="A742" s="1">
        <v>39640</v>
      </c>
      <c r="B742" t="s">
        <v>17</v>
      </c>
      <c r="C742">
        <v>378</v>
      </c>
      <c r="D742">
        <f>YEAR(cukier8[[#This Row],[data]])</f>
        <v>2008</v>
      </c>
      <c r="E742">
        <f>VLOOKUP(cukier8[[#This Row],[rok]],$L$2:$M$11,2,FALSE)*cukier8[[#This Row],[sprzedany_cukier]]</f>
        <v>812.69999999999993</v>
      </c>
    </row>
    <row r="743" spans="1:5" x14ac:dyDescent="0.25">
      <c r="A743" s="1">
        <v>39643</v>
      </c>
      <c r="B743" t="s">
        <v>69</v>
      </c>
      <c r="C743">
        <v>76</v>
      </c>
      <c r="D743">
        <f>YEAR(cukier8[[#This Row],[data]])</f>
        <v>2008</v>
      </c>
      <c r="E743">
        <f>VLOOKUP(cukier8[[#This Row],[rok]],$L$2:$M$11,2,FALSE)*cukier8[[#This Row],[sprzedany_cukier]]</f>
        <v>163.4</v>
      </c>
    </row>
    <row r="744" spans="1:5" x14ac:dyDescent="0.25">
      <c r="A744" s="1">
        <v>39644</v>
      </c>
      <c r="B744" t="s">
        <v>22</v>
      </c>
      <c r="C744">
        <v>386</v>
      </c>
      <c r="D744">
        <f>YEAR(cukier8[[#This Row],[data]])</f>
        <v>2008</v>
      </c>
      <c r="E744">
        <f>VLOOKUP(cukier8[[#This Row],[rok]],$L$2:$M$11,2,FALSE)*cukier8[[#This Row],[sprzedany_cukier]]</f>
        <v>829.9</v>
      </c>
    </row>
    <row r="745" spans="1:5" x14ac:dyDescent="0.25">
      <c r="A745" s="1">
        <v>39645</v>
      </c>
      <c r="B745" t="s">
        <v>50</v>
      </c>
      <c r="C745">
        <v>132</v>
      </c>
      <c r="D745">
        <f>YEAR(cukier8[[#This Row],[data]])</f>
        <v>2008</v>
      </c>
      <c r="E745">
        <f>VLOOKUP(cukier8[[#This Row],[rok]],$L$2:$M$11,2,FALSE)*cukier8[[#This Row],[sprzedany_cukier]]</f>
        <v>283.8</v>
      </c>
    </row>
    <row r="746" spans="1:5" x14ac:dyDescent="0.25">
      <c r="A746" s="1">
        <v>39645</v>
      </c>
      <c r="B746" t="s">
        <v>22</v>
      </c>
      <c r="C746">
        <v>104</v>
      </c>
      <c r="D746">
        <f>YEAR(cukier8[[#This Row],[data]])</f>
        <v>2008</v>
      </c>
      <c r="E746">
        <f>VLOOKUP(cukier8[[#This Row],[rok]],$L$2:$M$11,2,FALSE)*cukier8[[#This Row],[sprzedany_cukier]]</f>
        <v>223.6</v>
      </c>
    </row>
    <row r="747" spans="1:5" x14ac:dyDescent="0.25">
      <c r="A747" s="1">
        <v>39646</v>
      </c>
      <c r="B747" t="s">
        <v>45</v>
      </c>
      <c r="C747">
        <v>380</v>
      </c>
      <c r="D747">
        <f>YEAR(cukier8[[#This Row],[data]])</f>
        <v>2008</v>
      </c>
      <c r="E747">
        <f>VLOOKUP(cukier8[[#This Row],[rok]],$L$2:$M$11,2,FALSE)*cukier8[[#This Row],[sprzedany_cukier]]</f>
        <v>817</v>
      </c>
    </row>
    <row r="748" spans="1:5" x14ac:dyDescent="0.25">
      <c r="A748" s="1">
        <v>39647</v>
      </c>
      <c r="B748" t="s">
        <v>78</v>
      </c>
      <c r="C748">
        <v>76</v>
      </c>
      <c r="D748">
        <f>YEAR(cukier8[[#This Row],[data]])</f>
        <v>2008</v>
      </c>
      <c r="E748">
        <f>VLOOKUP(cukier8[[#This Row],[rok]],$L$2:$M$11,2,FALSE)*cukier8[[#This Row],[sprzedany_cukier]]</f>
        <v>163.4</v>
      </c>
    </row>
    <row r="749" spans="1:5" x14ac:dyDescent="0.25">
      <c r="A749" s="1">
        <v>39647</v>
      </c>
      <c r="B749" t="s">
        <v>25</v>
      </c>
      <c r="C749">
        <v>194</v>
      </c>
      <c r="D749">
        <f>YEAR(cukier8[[#This Row],[data]])</f>
        <v>2008</v>
      </c>
      <c r="E749">
        <f>VLOOKUP(cukier8[[#This Row],[rok]],$L$2:$M$11,2,FALSE)*cukier8[[#This Row],[sprzedany_cukier]]</f>
        <v>417.09999999999997</v>
      </c>
    </row>
    <row r="750" spans="1:5" x14ac:dyDescent="0.25">
      <c r="A750" s="1">
        <v>39653</v>
      </c>
      <c r="B750" t="s">
        <v>61</v>
      </c>
      <c r="C750">
        <v>147</v>
      </c>
      <c r="D750">
        <f>YEAR(cukier8[[#This Row],[data]])</f>
        <v>2008</v>
      </c>
      <c r="E750">
        <f>VLOOKUP(cukier8[[#This Row],[rok]],$L$2:$M$11,2,FALSE)*cukier8[[#This Row],[sprzedany_cukier]]</f>
        <v>316.05</v>
      </c>
    </row>
    <row r="751" spans="1:5" x14ac:dyDescent="0.25">
      <c r="A751" s="1">
        <v>39656</v>
      </c>
      <c r="B751" t="s">
        <v>22</v>
      </c>
      <c r="C751">
        <v>319</v>
      </c>
      <c r="D751">
        <f>YEAR(cukier8[[#This Row],[data]])</f>
        <v>2008</v>
      </c>
      <c r="E751">
        <f>VLOOKUP(cukier8[[#This Row],[rok]],$L$2:$M$11,2,FALSE)*cukier8[[#This Row],[sprzedany_cukier]]</f>
        <v>685.85</v>
      </c>
    </row>
    <row r="752" spans="1:5" x14ac:dyDescent="0.25">
      <c r="A752" s="1">
        <v>39657</v>
      </c>
      <c r="B752" t="s">
        <v>39</v>
      </c>
      <c r="C752">
        <v>38</v>
      </c>
      <c r="D752">
        <f>YEAR(cukier8[[#This Row],[data]])</f>
        <v>2008</v>
      </c>
      <c r="E752">
        <f>VLOOKUP(cukier8[[#This Row],[rok]],$L$2:$M$11,2,FALSE)*cukier8[[#This Row],[sprzedany_cukier]]</f>
        <v>81.7</v>
      </c>
    </row>
    <row r="753" spans="1:5" x14ac:dyDescent="0.25">
      <c r="A753" s="1">
        <v>39662</v>
      </c>
      <c r="B753" t="s">
        <v>28</v>
      </c>
      <c r="C753">
        <v>31</v>
      </c>
      <c r="D753">
        <f>YEAR(cukier8[[#This Row],[data]])</f>
        <v>2008</v>
      </c>
      <c r="E753">
        <f>VLOOKUP(cukier8[[#This Row],[rok]],$L$2:$M$11,2,FALSE)*cukier8[[#This Row],[sprzedany_cukier]]</f>
        <v>66.649999999999991</v>
      </c>
    </row>
    <row r="754" spans="1:5" x14ac:dyDescent="0.25">
      <c r="A754" s="1">
        <v>39664</v>
      </c>
      <c r="B754" t="s">
        <v>6</v>
      </c>
      <c r="C754">
        <v>28</v>
      </c>
      <c r="D754">
        <f>YEAR(cukier8[[#This Row],[data]])</f>
        <v>2008</v>
      </c>
      <c r="E754">
        <f>VLOOKUP(cukier8[[#This Row],[rok]],$L$2:$M$11,2,FALSE)*cukier8[[#This Row],[sprzedany_cukier]]</f>
        <v>60.199999999999996</v>
      </c>
    </row>
    <row r="755" spans="1:5" x14ac:dyDescent="0.25">
      <c r="A755" s="1">
        <v>39664</v>
      </c>
      <c r="B755" t="s">
        <v>105</v>
      </c>
      <c r="C755">
        <v>15</v>
      </c>
      <c r="D755">
        <f>YEAR(cukier8[[#This Row],[data]])</f>
        <v>2008</v>
      </c>
      <c r="E755">
        <f>VLOOKUP(cukier8[[#This Row],[rok]],$L$2:$M$11,2,FALSE)*cukier8[[#This Row],[sprzedany_cukier]]</f>
        <v>32.25</v>
      </c>
    </row>
    <row r="756" spans="1:5" x14ac:dyDescent="0.25">
      <c r="A756" s="1">
        <v>39667</v>
      </c>
      <c r="B756" t="s">
        <v>62</v>
      </c>
      <c r="C756">
        <v>2</v>
      </c>
      <c r="D756">
        <f>YEAR(cukier8[[#This Row],[data]])</f>
        <v>2008</v>
      </c>
      <c r="E756">
        <f>VLOOKUP(cukier8[[#This Row],[rok]],$L$2:$M$11,2,FALSE)*cukier8[[#This Row],[sprzedany_cukier]]</f>
        <v>4.3</v>
      </c>
    </row>
    <row r="757" spans="1:5" x14ac:dyDescent="0.25">
      <c r="A757" s="1">
        <v>39667</v>
      </c>
      <c r="B757" t="s">
        <v>101</v>
      </c>
      <c r="C757">
        <v>16</v>
      </c>
      <c r="D757">
        <f>YEAR(cukier8[[#This Row],[data]])</f>
        <v>2008</v>
      </c>
      <c r="E757">
        <f>VLOOKUP(cukier8[[#This Row],[rok]],$L$2:$M$11,2,FALSE)*cukier8[[#This Row],[sprzedany_cukier]]</f>
        <v>34.4</v>
      </c>
    </row>
    <row r="758" spans="1:5" x14ac:dyDescent="0.25">
      <c r="A758" s="1">
        <v>39669</v>
      </c>
      <c r="B758" t="s">
        <v>78</v>
      </c>
      <c r="C758">
        <v>83</v>
      </c>
      <c r="D758">
        <f>YEAR(cukier8[[#This Row],[data]])</f>
        <v>2008</v>
      </c>
      <c r="E758">
        <f>VLOOKUP(cukier8[[#This Row],[rok]],$L$2:$M$11,2,FALSE)*cukier8[[#This Row],[sprzedany_cukier]]</f>
        <v>178.45</v>
      </c>
    </row>
    <row r="759" spans="1:5" x14ac:dyDescent="0.25">
      <c r="A759" s="1">
        <v>39670</v>
      </c>
      <c r="B759" t="s">
        <v>172</v>
      </c>
      <c r="C759">
        <v>16</v>
      </c>
      <c r="D759">
        <f>YEAR(cukier8[[#This Row],[data]])</f>
        <v>2008</v>
      </c>
      <c r="E759">
        <f>VLOOKUP(cukier8[[#This Row],[rok]],$L$2:$M$11,2,FALSE)*cukier8[[#This Row],[sprzedany_cukier]]</f>
        <v>34.4</v>
      </c>
    </row>
    <row r="760" spans="1:5" x14ac:dyDescent="0.25">
      <c r="A760" s="1">
        <v>39671</v>
      </c>
      <c r="B760" t="s">
        <v>9</v>
      </c>
      <c r="C760">
        <v>397</v>
      </c>
      <c r="D760">
        <f>YEAR(cukier8[[#This Row],[data]])</f>
        <v>2008</v>
      </c>
      <c r="E760">
        <f>VLOOKUP(cukier8[[#This Row],[rok]],$L$2:$M$11,2,FALSE)*cukier8[[#This Row],[sprzedany_cukier]]</f>
        <v>853.55</v>
      </c>
    </row>
    <row r="761" spans="1:5" x14ac:dyDescent="0.25">
      <c r="A761" s="1">
        <v>39671</v>
      </c>
      <c r="B761" t="s">
        <v>78</v>
      </c>
      <c r="C761">
        <v>184</v>
      </c>
      <c r="D761">
        <f>YEAR(cukier8[[#This Row],[data]])</f>
        <v>2008</v>
      </c>
      <c r="E761">
        <f>VLOOKUP(cukier8[[#This Row],[rok]],$L$2:$M$11,2,FALSE)*cukier8[[#This Row],[sprzedany_cukier]]</f>
        <v>395.59999999999997</v>
      </c>
    </row>
    <row r="762" spans="1:5" x14ac:dyDescent="0.25">
      <c r="A762" s="1">
        <v>39673</v>
      </c>
      <c r="B762" t="s">
        <v>78</v>
      </c>
      <c r="C762">
        <v>55</v>
      </c>
      <c r="D762">
        <f>YEAR(cukier8[[#This Row],[data]])</f>
        <v>2008</v>
      </c>
      <c r="E762">
        <f>VLOOKUP(cukier8[[#This Row],[rok]],$L$2:$M$11,2,FALSE)*cukier8[[#This Row],[sprzedany_cukier]]</f>
        <v>118.25</v>
      </c>
    </row>
    <row r="763" spans="1:5" x14ac:dyDescent="0.25">
      <c r="A763" s="1">
        <v>39674</v>
      </c>
      <c r="B763" t="s">
        <v>69</v>
      </c>
      <c r="C763">
        <v>107</v>
      </c>
      <c r="D763">
        <f>YEAR(cukier8[[#This Row],[data]])</f>
        <v>2008</v>
      </c>
      <c r="E763">
        <f>VLOOKUP(cukier8[[#This Row],[rok]],$L$2:$M$11,2,FALSE)*cukier8[[#This Row],[sprzedany_cukier]]</f>
        <v>230.04999999999998</v>
      </c>
    </row>
    <row r="764" spans="1:5" x14ac:dyDescent="0.25">
      <c r="A764" s="1">
        <v>39676</v>
      </c>
      <c r="B764" t="s">
        <v>69</v>
      </c>
      <c r="C764">
        <v>127</v>
      </c>
      <c r="D764">
        <f>YEAR(cukier8[[#This Row],[data]])</f>
        <v>2008</v>
      </c>
      <c r="E764">
        <f>VLOOKUP(cukier8[[#This Row],[rok]],$L$2:$M$11,2,FALSE)*cukier8[[#This Row],[sprzedany_cukier]]</f>
        <v>273.05</v>
      </c>
    </row>
    <row r="765" spans="1:5" x14ac:dyDescent="0.25">
      <c r="A765" s="1">
        <v>39679</v>
      </c>
      <c r="B765" t="s">
        <v>173</v>
      </c>
      <c r="C765">
        <v>122</v>
      </c>
      <c r="D765">
        <f>YEAR(cukier8[[#This Row],[data]])</f>
        <v>2008</v>
      </c>
      <c r="E765">
        <f>VLOOKUP(cukier8[[#This Row],[rok]],$L$2:$M$11,2,FALSE)*cukier8[[#This Row],[sprzedany_cukier]]</f>
        <v>262.3</v>
      </c>
    </row>
    <row r="766" spans="1:5" x14ac:dyDescent="0.25">
      <c r="A766" s="1">
        <v>39679</v>
      </c>
      <c r="B766" t="s">
        <v>18</v>
      </c>
      <c r="C766">
        <v>107</v>
      </c>
      <c r="D766">
        <f>YEAR(cukier8[[#This Row],[data]])</f>
        <v>2008</v>
      </c>
      <c r="E766">
        <f>VLOOKUP(cukier8[[#This Row],[rok]],$L$2:$M$11,2,FALSE)*cukier8[[#This Row],[sprzedany_cukier]]</f>
        <v>230.04999999999998</v>
      </c>
    </row>
    <row r="767" spans="1:5" x14ac:dyDescent="0.25">
      <c r="A767" s="1">
        <v>39681</v>
      </c>
      <c r="B767" t="s">
        <v>22</v>
      </c>
      <c r="C767">
        <v>113</v>
      </c>
      <c r="D767">
        <f>YEAR(cukier8[[#This Row],[data]])</f>
        <v>2008</v>
      </c>
      <c r="E767">
        <f>VLOOKUP(cukier8[[#This Row],[rok]],$L$2:$M$11,2,FALSE)*cukier8[[#This Row],[sprzedany_cukier]]</f>
        <v>242.95</v>
      </c>
    </row>
    <row r="768" spans="1:5" x14ac:dyDescent="0.25">
      <c r="A768" s="1">
        <v>39681</v>
      </c>
      <c r="B768" t="s">
        <v>7</v>
      </c>
      <c r="C768">
        <v>297</v>
      </c>
      <c r="D768">
        <f>YEAR(cukier8[[#This Row],[data]])</f>
        <v>2008</v>
      </c>
      <c r="E768">
        <f>VLOOKUP(cukier8[[#This Row],[rok]],$L$2:$M$11,2,FALSE)*cukier8[[#This Row],[sprzedany_cukier]]</f>
        <v>638.54999999999995</v>
      </c>
    </row>
    <row r="769" spans="1:5" x14ac:dyDescent="0.25">
      <c r="A769" s="1">
        <v>39682</v>
      </c>
      <c r="B769" t="s">
        <v>44</v>
      </c>
      <c r="C769">
        <v>14</v>
      </c>
      <c r="D769">
        <f>YEAR(cukier8[[#This Row],[data]])</f>
        <v>2008</v>
      </c>
      <c r="E769">
        <f>VLOOKUP(cukier8[[#This Row],[rok]],$L$2:$M$11,2,FALSE)*cukier8[[#This Row],[sprzedany_cukier]]</f>
        <v>30.099999999999998</v>
      </c>
    </row>
    <row r="770" spans="1:5" x14ac:dyDescent="0.25">
      <c r="A770" s="1">
        <v>39684</v>
      </c>
      <c r="B770" t="s">
        <v>52</v>
      </c>
      <c r="C770">
        <v>188</v>
      </c>
      <c r="D770">
        <f>YEAR(cukier8[[#This Row],[data]])</f>
        <v>2008</v>
      </c>
      <c r="E770">
        <f>VLOOKUP(cukier8[[#This Row],[rok]],$L$2:$M$11,2,FALSE)*cukier8[[#This Row],[sprzedany_cukier]]</f>
        <v>404.2</v>
      </c>
    </row>
    <row r="771" spans="1:5" x14ac:dyDescent="0.25">
      <c r="A771" s="1">
        <v>39686</v>
      </c>
      <c r="B771" t="s">
        <v>151</v>
      </c>
      <c r="C771">
        <v>11</v>
      </c>
      <c r="D771">
        <f>YEAR(cukier8[[#This Row],[data]])</f>
        <v>2008</v>
      </c>
      <c r="E771">
        <f>VLOOKUP(cukier8[[#This Row],[rok]],$L$2:$M$11,2,FALSE)*cukier8[[#This Row],[sprzedany_cukier]]</f>
        <v>23.65</v>
      </c>
    </row>
    <row r="772" spans="1:5" x14ac:dyDescent="0.25">
      <c r="A772" s="1">
        <v>39689</v>
      </c>
      <c r="B772" t="s">
        <v>28</v>
      </c>
      <c r="C772">
        <v>105</v>
      </c>
      <c r="D772">
        <f>YEAR(cukier8[[#This Row],[data]])</f>
        <v>2008</v>
      </c>
      <c r="E772">
        <f>VLOOKUP(cukier8[[#This Row],[rok]],$L$2:$M$11,2,FALSE)*cukier8[[#This Row],[sprzedany_cukier]]</f>
        <v>225.75</v>
      </c>
    </row>
    <row r="773" spans="1:5" x14ac:dyDescent="0.25">
      <c r="A773" s="1">
        <v>39690</v>
      </c>
      <c r="B773" t="s">
        <v>160</v>
      </c>
      <c r="C773">
        <v>18</v>
      </c>
      <c r="D773">
        <f>YEAR(cukier8[[#This Row],[data]])</f>
        <v>2008</v>
      </c>
      <c r="E773">
        <f>VLOOKUP(cukier8[[#This Row],[rok]],$L$2:$M$11,2,FALSE)*cukier8[[#This Row],[sprzedany_cukier]]</f>
        <v>38.699999999999996</v>
      </c>
    </row>
    <row r="774" spans="1:5" x14ac:dyDescent="0.25">
      <c r="A774" s="1">
        <v>39690</v>
      </c>
      <c r="B774" t="s">
        <v>7</v>
      </c>
      <c r="C774">
        <v>418</v>
      </c>
      <c r="D774">
        <f>YEAR(cukier8[[#This Row],[data]])</f>
        <v>2008</v>
      </c>
      <c r="E774">
        <f>VLOOKUP(cukier8[[#This Row],[rok]],$L$2:$M$11,2,FALSE)*cukier8[[#This Row],[sprzedany_cukier]]</f>
        <v>898.69999999999993</v>
      </c>
    </row>
    <row r="775" spans="1:5" x14ac:dyDescent="0.25">
      <c r="A775" s="1">
        <v>39691</v>
      </c>
      <c r="B775" t="s">
        <v>174</v>
      </c>
      <c r="C775">
        <v>4</v>
      </c>
      <c r="D775">
        <f>YEAR(cukier8[[#This Row],[data]])</f>
        <v>2008</v>
      </c>
      <c r="E775">
        <f>VLOOKUP(cukier8[[#This Row],[rok]],$L$2:$M$11,2,FALSE)*cukier8[[#This Row],[sprzedany_cukier]]</f>
        <v>8.6</v>
      </c>
    </row>
    <row r="776" spans="1:5" x14ac:dyDescent="0.25">
      <c r="A776" s="1">
        <v>39691</v>
      </c>
      <c r="B776" t="s">
        <v>124</v>
      </c>
      <c r="C776">
        <v>5</v>
      </c>
      <c r="D776">
        <f>YEAR(cukier8[[#This Row],[data]])</f>
        <v>2008</v>
      </c>
      <c r="E776">
        <f>VLOOKUP(cukier8[[#This Row],[rok]],$L$2:$M$11,2,FALSE)*cukier8[[#This Row],[sprzedany_cukier]]</f>
        <v>10.75</v>
      </c>
    </row>
    <row r="777" spans="1:5" x14ac:dyDescent="0.25">
      <c r="A777" s="1">
        <v>39692</v>
      </c>
      <c r="B777" t="s">
        <v>102</v>
      </c>
      <c r="C777">
        <v>346</v>
      </c>
      <c r="D777">
        <f>YEAR(cukier8[[#This Row],[data]])</f>
        <v>2008</v>
      </c>
      <c r="E777">
        <f>VLOOKUP(cukier8[[#This Row],[rok]],$L$2:$M$11,2,FALSE)*cukier8[[#This Row],[sprzedany_cukier]]</f>
        <v>743.9</v>
      </c>
    </row>
    <row r="778" spans="1:5" x14ac:dyDescent="0.25">
      <c r="A778" s="1">
        <v>39694</v>
      </c>
      <c r="B778" t="s">
        <v>9</v>
      </c>
      <c r="C778">
        <v>417</v>
      </c>
      <c r="D778">
        <f>YEAR(cukier8[[#This Row],[data]])</f>
        <v>2008</v>
      </c>
      <c r="E778">
        <f>VLOOKUP(cukier8[[#This Row],[rok]],$L$2:$M$11,2,FALSE)*cukier8[[#This Row],[sprzedany_cukier]]</f>
        <v>896.55</v>
      </c>
    </row>
    <row r="779" spans="1:5" x14ac:dyDescent="0.25">
      <c r="A779" s="1">
        <v>39696</v>
      </c>
      <c r="B779" t="s">
        <v>123</v>
      </c>
      <c r="C779">
        <v>35</v>
      </c>
      <c r="D779">
        <f>YEAR(cukier8[[#This Row],[data]])</f>
        <v>2008</v>
      </c>
      <c r="E779">
        <f>VLOOKUP(cukier8[[#This Row],[rok]],$L$2:$M$11,2,FALSE)*cukier8[[#This Row],[sprzedany_cukier]]</f>
        <v>75.25</v>
      </c>
    </row>
    <row r="780" spans="1:5" x14ac:dyDescent="0.25">
      <c r="A780" s="1">
        <v>39696</v>
      </c>
      <c r="B780" t="s">
        <v>3</v>
      </c>
      <c r="C780">
        <v>6</v>
      </c>
      <c r="D780">
        <f>YEAR(cukier8[[#This Row],[data]])</f>
        <v>2008</v>
      </c>
      <c r="E780">
        <f>VLOOKUP(cukier8[[#This Row],[rok]],$L$2:$M$11,2,FALSE)*cukier8[[#This Row],[sprzedany_cukier]]</f>
        <v>12.899999999999999</v>
      </c>
    </row>
    <row r="781" spans="1:5" x14ac:dyDescent="0.25">
      <c r="A781" s="1">
        <v>39697</v>
      </c>
      <c r="B781" t="s">
        <v>50</v>
      </c>
      <c r="C781">
        <v>322</v>
      </c>
      <c r="D781">
        <f>YEAR(cukier8[[#This Row],[data]])</f>
        <v>2008</v>
      </c>
      <c r="E781">
        <f>VLOOKUP(cukier8[[#This Row],[rok]],$L$2:$M$11,2,FALSE)*cukier8[[#This Row],[sprzedany_cukier]]</f>
        <v>692.3</v>
      </c>
    </row>
    <row r="782" spans="1:5" x14ac:dyDescent="0.25">
      <c r="A782" s="1">
        <v>39697</v>
      </c>
      <c r="B782" t="s">
        <v>37</v>
      </c>
      <c r="C782">
        <v>150</v>
      </c>
      <c r="D782">
        <f>YEAR(cukier8[[#This Row],[data]])</f>
        <v>2008</v>
      </c>
      <c r="E782">
        <f>VLOOKUP(cukier8[[#This Row],[rok]],$L$2:$M$11,2,FALSE)*cukier8[[#This Row],[sprzedany_cukier]]</f>
        <v>322.5</v>
      </c>
    </row>
    <row r="783" spans="1:5" x14ac:dyDescent="0.25">
      <c r="A783" s="1">
        <v>39698</v>
      </c>
      <c r="B783" t="s">
        <v>14</v>
      </c>
      <c r="C783">
        <v>492</v>
      </c>
      <c r="D783">
        <f>YEAR(cukier8[[#This Row],[data]])</f>
        <v>2008</v>
      </c>
      <c r="E783">
        <f>VLOOKUP(cukier8[[#This Row],[rok]],$L$2:$M$11,2,FALSE)*cukier8[[#This Row],[sprzedany_cukier]]</f>
        <v>1057.8</v>
      </c>
    </row>
    <row r="784" spans="1:5" x14ac:dyDescent="0.25">
      <c r="A784" s="1">
        <v>39702</v>
      </c>
      <c r="B784" t="s">
        <v>18</v>
      </c>
      <c r="C784">
        <v>93</v>
      </c>
      <c r="D784">
        <f>YEAR(cukier8[[#This Row],[data]])</f>
        <v>2008</v>
      </c>
      <c r="E784">
        <f>VLOOKUP(cukier8[[#This Row],[rok]],$L$2:$M$11,2,FALSE)*cukier8[[#This Row],[sprzedany_cukier]]</f>
        <v>199.95</v>
      </c>
    </row>
    <row r="785" spans="1:5" x14ac:dyDescent="0.25">
      <c r="A785" s="1">
        <v>39705</v>
      </c>
      <c r="B785" t="s">
        <v>61</v>
      </c>
      <c r="C785">
        <v>64</v>
      </c>
      <c r="D785">
        <f>YEAR(cukier8[[#This Row],[data]])</f>
        <v>2008</v>
      </c>
      <c r="E785">
        <f>VLOOKUP(cukier8[[#This Row],[rok]],$L$2:$M$11,2,FALSE)*cukier8[[#This Row],[sprzedany_cukier]]</f>
        <v>137.6</v>
      </c>
    </row>
    <row r="786" spans="1:5" x14ac:dyDescent="0.25">
      <c r="A786" s="1">
        <v>39705</v>
      </c>
      <c r="B786" t="s">
        <v>89</v>
      </c>
      <c r="C786">
        <v>7</v>
      </c>
      <c r="D786">
        <f>YEAR(cukier8[[#This Row],[data]])</f>
        <v>2008</v>
      </c>
      <c r="E786">
        <f>VLOOKUP(cukier8[[#This Row],[rok]],$L$2:$M$11,2,FALSE)*cukier8[[#This Row],[sprzedany_cukier]]</f>
        <v>15.049999999999999</v>
      </c>
    </row>
    <row r="787" spans="1:5" x14ac:dyDescent="0.25">
      <c r="A787" s="1">
        <v>39705</v>
      </c>
      <c r="B787" t="s">
        <v>18</v>
      </c>
      <c r="C787">
        <v>90</v>
      </c>
      <c r="D787">
        <f>YEAR(cukier8[[#This Row],[data]])</f>
        <v>2008</v>
      </c>
      <c r="E787">
        <f>VLOOKUP(cukier8[[#This Row],[rok]],$L$2:$M$11,2,FALSE)*cukier8[[#This Row],[sprzedany_cukier]]</f>
        <v>193.5</v>
      </c>
    </row>
    <row r="788" spans="1:5" x14ac:dyDescent="0.25">
      <c r="A788" s="1">
        <v>39712</v>
      </c>
      <c r="B788" t="s">
        <v>50</v>
      </c>
      <c r="C788">
        <v>136</v>
      </c>
      <c r="D788">
        <f>YEAR(cukier8[[#This Row],[data]])</f>
        <v>2008</v>
      </c>
      <c r="E788">
        <f>VLOOKUP(cukier8[[#This Row],[rok]],$L$2:$M$11,2,FALSE)*cukier8[[#This Row],[sprzedany_cukier]]</f>
        <v>292.39999999999998</v>
      </c>
    </row>
    <row r="789" spans="1:5" x14ac:dyDescent="0.25">
      <c r="A789" s="1">
        <v>39713</v>
      </c>
      <c r="B789" t="s">
        <v>19</v>
      </c>
      <c r="C789">
        <v>104</v>
      </c>
      <c r="D789">
        <f>YEAR(cukier8[[#This Row],[data]])</f>
        <v>2008</v>
      </c>
      <c r="E789">
        <f>VLOOKUP(cukier8[[#This Row],[rok]],$L$2:$M$11,2,FALSE)*cukier8[[#This Row],[sprzedany_cukier]]</f>
        <v>223.6</v>
      </c>
    </row>
    <row r="790" spans="1:5" x14ac:dyDescent="0.25">
      <c r="A790" s="1">
        <v>39713</v>
      </c>
      <c r="B790" t="s">
        <v>150</v>
      </c>
      <c r="C790">
        <v>1</v>
      </c>
      <c r="D790">
        <f>YEAR(cukier8[[#This Row],[data]])</f>
        <v>2008</v>
      </c>
      <c r="E790">
        <f>VLOOKUP(cukier8[[#This Row],[rok]],$L$2:$M$11,2,FALSE)*cukier8[[#This Row],[sprzedany_cukier]]</f>
        <v>2.15</v>
      </c>
    </row>
    <row r="791" spans="1:5" x14ac:dyDescent="0.25">
      <c r="A791" s="1">
        <v>39714</v>
      </c>
      <c r="B791" t="s">
        <v>31</v>
      </c>
      <c r="C791">
        <v>52</v>
      </c>
      <c r="D791">
        <f>YEAR(cukier8[[#This Row],[data]])</f>
        <v>2008</v>
      </c>
      <c r="E791">
        <f>VLOOKUP(cukier8[[#This Row],[rok]],$L$2:$M$11,2,FALSE)*cukier8[[#This Row],[sprzedany_cukier]]</f>
        <v>111.8</v>
      </c>
    </row>
    <row r="792" spans="1:5" x14ac:dyDescent="0.25">
      <c r="A792" s="1">
        <v>39714</v>
      </c>
      <c r="B792" t="s">
        <v>45</v>
      </c>
      <c r="C792">
        <v>203</v>
      </c>
      <c r="D792">
        <f>YEAR(cukier8[[#This Row],[data]])</f>
        <v>2008</v>
      </c>
      <c r="E792">
        <f>VLOOKUP(cukier8[[#This Row],[rok]],$L$2:$M$11,2,FALSE)*cukier8[[#This Row],[sprzedany_cukier]]</f>
        <v>436.45</v>
      </c>
    </row>
    <row r="793" spans="1:5" x14ac:dyDescent="0.25">
      <c r="A793" s="1">
        <v>39716</v>
      </c>
      <c r="B793" t="s">
        <v>30</v>
      </c>
      <c r="C793">
        <v>183</v>
      </c>
      <c r="D793">
        <f>YEAR(cukier8[[#This Row],[data]])</f>
        <v>2008</v>
      </c>
      <c r="E793">
        <f>VLOOKUP(cukier8[[#This Row],[rok]],$L$2:$M$11,2,FALSE)*cukier8[[#This Row],[sprzedany_cukier]]</f>
        <v>393.45</v>
      </c>
    </row>
    <row r="794" spans="1:5" x14ac:dyDescent="0.25">
      <c r="A794" s="1">
        <v>39717</v>
      </c>
      <c r="B794" t="s">
        <v>61</v>
      </c>
      <c r="C794">
        <v>182</v>
      </c>
      <c r="D794">
        <f>YEAR(cukier8[[#This Row],[data]])</f>
        <v>2008</v>
      </c>
      <c r="E794">
        <f>VLOOKUP(cukier8[[#This Row],[rok]],$L$2:$M$11,2,FALSE)*cukier8[[#This Row],[sprzedany_cukier]]</f>
        <v>391.3</v>
      </c>
    </row>
    <row r="795" spans="1:5" x14ac:dyDescent="0.25">
      <c r="A795" s="1">
        <v>39719</v>
      </c>
      <c r="B795" t="s">
        <v>45</v>
      </c>
      <c r="C795">
        <v>383</v>
      </c>
      <c r="D795">
        <f>YEAR(cukier8[[#This Row],[data]])</f>
        <v>2008</v>
      </c>
      <c r="E795">
        <f>VLOOKUP(cukier8[[#This Row],[rok]],$L$2:$M$11,2,FALSE)*cukier8[[#This Row],[sprzedany_cukier]]</f>
        <v>823.44999999999993</v>
      </c>
    </row>
    <row r="796" spans="1:5" x14ac:dyDescent="0.25">
      <c r="A796" s="1">
        <v>39722</v>
      </c>
      <c r="B796" t="s">
        <v>22</v>
      </c>
      <c r="C796">
        <v>113</v>
      </c>
      <c r="D796">
        <f>YEAR(cukier8[[#This Row],[data]])</f>
        <v>2008</v>
      </c>
      <c r="E796">
        <f>VLOOKUP(cukier8[[#This Row],[rok]],$L$2:$M$11,2,FALSE)*cukier8[[#This Row],[sprzedany_cukier]]</f>
        <v>242.95</v>
      </c>
    </row>
    <row r="797" spans="1:5" x14ac:dyDescent="0.25">
      <c r="A797" s="1">
        <v>39722</v>
      </c>
      <c r="B797" t="s">
        <v>63</v>
      </c>
      <c r="C797">
        <v>154</v>
      </c>
      <c r="D797">
        <f>YEAR(cukier8[[#This Row],[data]])</f>
        <v>2008</v>
      </c>
      <c r="E797">
        <f>VLOOKUP(cukier8[[#This Row],[rok]],$L$2:$M$11,2,FALSE)*cukier8[[#This Row],[sprzedany_cukier]]</f>
        <v>331.09999999999997</v>
      </c>
    </row>
    <row r="798" spans="1:5" x14ac:dyDescent="0.25">
      <c r="A798" s="1">
        <v>39722</v>
      </c>
      <c r="B798" t="s">
        <v>36</v>
      </c>
      <c r="C798">
        <v>8</v>
      </c>
      <c r="D798">
        <f>YEAR(cukier8[[#This Row],[data]])</f>
        <v>2008</v>
      </c>
      <c r="E798">
        <f>VLOOKUP(cukier8[[#This Row],[rok]],$L$2:$M$11,2,FALSE)*cukier8[[#This Row],[sprzedany_cukier]]</f>
        <v>17.2</v>
      </c>
    </row>
    <row r="799" spans="1:5" x14ac:dyDescent="0.25">
      <c r="A799" s="1">
        <v>39725</v>
      </c>
      <c r="B799" t="s">
        <v>116</v>
      </c>
      <c r="C799">
        <v>5</v>
      </c>
      <c r="D799">
        <f>YEAR(cukier8[[#This Row],[data]])</f>
        <v>2008</v>
      </c>
      <c r="E799">
        <f>VLOOKUP(cukier8[[#This Row],[rok]],$L$2:$M$11,2,FALSE)*cukier8[[#This Row],[sprzedany_cukier]]</f>
        <v>10.75</v>
      </c>
    </row>
    <row r="800" spans="1:5" x14ac:dyDescent="0.25">
      <c r="A800" s="1">
        <v>39725</v>
      </c>
      <c r="B800" t="s">
        <v>42</v>
      </c>
      <c r="C800">
        <v>14</v>
      </c>
      <c r="D800">
        <f>YEAR(cukier8[[#This Row],[data]])</f>
        <v>2008</v>
      </c>
      <c r="E800">
        <f>VLOOKUP(cukier8[[#This Row],[rok]],$L$2:$M$11,2,FALSE)*cukier8[[#This Row],[sprzedany_cukier]]</f>
        <v>30.099999999999998</v>
      </c>
    </row>
    <row r="801" spans="1:5" x14ac:dyDescent="0.25">
      <c r="A801" s="1">
        <v>39727</v>
      </c>
      <c r="B801" t="s">
        <v>71</v>
      </c>
      <c r="C801">
        <v>27</v>
      </c>
      <c r="D801">
        <f>YEAR(cukier8[[#This Row],[data]])</f>
        <v>2008</v>
      </c>
      <c r="E801">
        <f>VLOOKUP(cukier8[[#This Row],[rok]],$L$2:$M$11,2,FALSE)*cukier8[[#This Row],[sprzedany_cukier]]</f>
        <v>58.05</v>
      </c>
    </row>
    <row r="802" spans="1:5" x14ac:dyDescent="0.25">
      <c r="A802" s="1">
        <v>39727</v>
      </c>
      <c r="B802" t="s">
        <v>8</v>
      </c>
      <c r="C802">
        <v>141</v>
      </c>
      <c r="D802">
        <f>YEAR(cukier8[[#This Row],[data]])</f>
        <v>2008</v>
      </c>
      <c r="E802">
        <f>VLOOKUP(cukier8[[#This Row],[rok]],$L$2:$M$11,2,FALSE)*cukier8[[#This Row],[sprzedany_cukier]]</f>
        <v>303.14999999999998</v>
      </c>
    </row>
    <row r="803" spans="1:5" x14ac:dyDescent="0.25">
      <c r="A803" s="1">
        <v>39729</v>
      </c>
      <c r="B803" t="s">
        <v>175</v>
      </c>
      <c r="C803">
        <v>14</v>
      </c>
      <c r="D803">
        <f>YEAR(cukier8[[#This Row],[data]])</f>
        <v>2008</v>
      </c>
      <c r="E803">
        <f>VLOOKUP(cukier8[[#This Row],[rok]],$L$2:$M$11,2,FALSE)*cukier8[[#This Row],[sprzedany_cukier]]</f>
        <v>30.099999999999998</v>
      </c>
    </row>
    <row r="804" spans="1:5" x14ac:dyDescent="0.25">
      <c r="A804" s="1">
        <v>39729</v>
      </c>
      <c r="B804" t="s">
        <v>31</v>
      </c>
      <c r="C804">
        <v>136</v>
      </c>
      <c r="D804">
        <f>YEAR(cukier8[[#This Row],[data]])</f>
        <v>2008</v>
      </c>
      <c r="E804">
        <f>VLOOKUP(cukier8[[#This Row],[rok]],$L$2:$M$11,2,FALSE)*cukier8[[#This Row],[sprzedany_cukier]]</f>
        <v>292.39999999999998</v>
      </c>
    </row>
    <row r="805" spans="1:5" x14ac:dyDescent="0.25">
      <c r="A805" s="1">
        <v>39729</v>
      </c>
      <c r="B805" t="s">
        <v>5</v>
      </c>
      <c r="C805">
        <v>378</v>
      </c>
      <c r="D805">
        <f>YEAR(cukier8[[#This Row],[data]])</f>
        <v>2008</v>
      </c>
      <c r="E805">
        <f>VLOOKUP(cukier8[[#This Row],[rok]],$L$2:$M$11,2,FALSE)*cukier8[[#This Row],[sprzedany_cukier]]</f>
        <v>812.69999999999993</v>
      </c>
    </row>
    <row r="806" spans="1:5" x14ac:dyDescent="0.25">
      <c r="A806" s="1">
        <v>39729</v>
      </c>
      <c r="B806" t="s">
        <v>159</v>
      </c>
      <c r="C806">
        <v>12</v>
      </c>
      <c r="D806">
        <f>YEAR(cukier8[[#This Row],[data]])</f>
        <v>2008</v>
      </c>
      <c r="E806">
        <f>VLOOKUP(cukier8[[#This Row],[rok]],$L$2:$M$11,2,FALSE)*cukier8[[#This Row],[sprzedany_cukier]]</f>
        <v>25.799999999999997</v>
      </c>
    </row>
    <row r="807" spans="1:5" x14ac:dyDescent="0.25">
      <c r="A807" s="1">
        <v>39732</v>
      </c>
      <c r="B807" t="s">
        <v>45</v>
      </c>
      <c r="C807">
        <v>284</v>
      </c>
      <c r="D807">
        <f>YEAR(cukier8[[#This Row],[data]])</f>
        <v>2008</v>
      </c>
      <c r="E807">
        <f>VLOOKUP(cukier8[[#This Row],[rok]],$L$2:$M$11,2,FALSE)*cukier8[[#This Row],[sprzedany_cukier]]</f>
        <v>610.6</v>
      </c>
    </row>
    <row r="808" spans="1:5" x14ac:dyDescent="0.25">
      <c r="A808" s="1">
        <v>39733</v>
      </c>
      <c r="B808" t="s">
        <v>19</v>
      </c>
      <c r="C808">
        <v>54</v>
      </c>
      <c r="D808">
        <f>YEAR(cukier8[[#This Row],[data]])</f>
        <v>2008</v>
      </c>
      <c r="E808">
        <f>VLOOKUP(cukier8[[#This Row],[rok]],$L$2:$M$11,2,FALSE)*cukier8[[#This Row],[sprzedany_cukier]]</f>
        <v>116.1</v>
      </c>
    </row>
    <row r="809" spans="1:5" x14ac:dyDescent="0.25">
      <c r="A809" s="1">
        <v>39733</v>
      </c>
      <c r="B809" t="s">
        <v>31</v>
      </c>
      <c r="C809">
        <v>51</v>
      </c>
      <c r="D809">
        <f>YEAR(cukier8[[#This Row],[data]])</f>
        <v>2008</v>
      </c>
      <c r="E809">
        <f>VLOOKUP(cukier8[[#This Row],[rok]],$L$2:$M$11,2,FALSE)*cukier8[[#This Row],[sprzedany_cukier]]</f>
        <v>109.64999999999999</v>
      </c>
    </row>
    <row r="810" spans="1:5" x14ac:dyDescent="0.25">
      <c r="A810" s="1">
        <v>39733</v>
      </c>
      <c r="B810" t="s">
        <v>55</v>
      </c>
      <c r="C810">
        <v>159</v>
      </c>
      <c r="D810">
        <f>YEAR(cukier8[[#This Row],[data]])</f>
        <v>2008</v>
      </c>
      <c r="E810">
        <f>VLOOKUP(cukier8[[#This Row],[rok]],$L$2:$M$11,2,FALSE)*cukier8[[#This Row],[sprzedany_cukier]]</f>
        <v>341.84999999999997</v>
      </c>
    </row>
    <row r="811" spans="1:5" x14ac:dyDescent="0.25">
      <c r="A811" s="1">
        <v>39738</v>
      </c>
      <c r="B811" t="s">
        <v>9</v>
      </c>
      <c r="C811">
        <v>351</v>
      </c>
      <c r="D811">
        <f>YEAR(cukier8[[#This Row],[data]])</f>
        <v>2008</v>
      </c>
      <c r="E811">
        <f>VLOOKUP(cukier8[[#This Row],[rok]],$L$2:$M$11,2,FALSE)*cukier8[[#This Row],[sprzedany_cukier]]</f>
        <v>754.65</v>
      </c>
    </row>
    <row r="812" spans="1:5" x14ac:dyDescent="0.25">
      <c r="A812" s="1">
        <v>39738</v>
      </c>
      <c r="B812" t="s">
        <v>22</v>
      </c>
      <c r="C812">
        <v>390</v>
      </c>
      <c r="D812">
        <f>YEAR(cukier8[[#This Row],[data]])</f>
        <v>2008</v>
      </c>
      <c r="E812">
        <f>VLOOKUP(cukier8[[#This Row],[rok]],$L$2:$M$11,2,FALSE)*cukier8[[#This Row],[sprzedany_cukier]]</f>
        <v>838.5</v>
      </c>
    </row>
    <row r="813" spans="1:5" x14ac:dyDescent="0.25">
      <c r="A813" s="1">
        <v>39738</v>
      </c>
      <c r="B813" t="s">
        <v>33</v>
      </c>
      <c r="C813">
        <v>4</v>
      </c>
      <c r="D813">
        <f>YEAR(cukier8[[#This Row],[data]])</f>
        <v>2008</v>
      </c>
      <c r="E813">
        <f>VLOOKUP(cukier8[[#This Row],[rok]],$L$2:$M$11,2,FALSE)*cukier8[[#This Row],[sprzedany_cukier]]</f>
        <v>8.6</v>
      </c>
    </row>
    <row r="814" spans="1:5" x14ac:dyDescent="0.25">
      <c r="A814" s="1">
        <v>39739</v>
      </c>
      <c r="B814" t="s">
        <v>35</v>
      </c>
      <c r="C814">
        <v>140</v>
      </c>
      <c r="D814">
        <f>YEAR(cukier8[[#This Row],[data]])</f>
        <v>2008</v>
      </c>
      <c r="E814">
        <f>VLOOKUP(cukier8[[#This Row],[rok]],$L$2:$M$11,2,FALSE)*cukier8[[#This Row],[sprzedany_cukier]]</f>
        <v>301</v>
      </c>
    </row>
    <row r="815" spans="1:5" x14ac:dyDescent="0.25">
      <c r="A815" s="1">
        <v>39740</v>
      </c>
      <c r="B815" t="s">
        <v>50</v>
      </c>
      <c r="C815">
        <v>125</v>
      </c>
      <c r="D815">
        <f>YEAR(cukier8[[#This Row],[data]])</f>
        <v>2008</v>
      </c>
      <c r="E815">
        <f>VLOOKUP(cukier8[[#This Row],[rok]],$L$2:$M$11,2,FALSE)*cukier8[[#This Row],[sprzedany_cukier]]</f>
        <v>268.75</v>
      </c>
    </row>
    <row r="816" spans="1:5" x14ac:dyDescent="0.25">
      <c r="A816" s="1">
        <v>39740</v>
      </c>
      <c r="B816" t="s">
        <v>66</v>
      </c>
      <c r="C816">
        <v>97</v>
      </c>
      <c r="D816">
        <f>YEAR(cukier8[[#This Row],[data]])</f>
        <v>2008</v>
      </c>
      <c r="E816">
        <f>VLOOKUP(cukier8[[#This Row],[rok]],$L$2:$M$11,2,FALSE)*cukier8[[#This Row],[sprzedany_cukier]]</f>
        <v>208.54999999999998</v>
      </c>
    </row>
    <row r="817" spans="1:5" x14ac:dyDescent="0.25">
      <c r="A817" s="1">
        <v>39743</v>
      </c>
      <c r="B817" t="s">
        <v>66</v>
      </c>
      <c r="C817">
        <v>190</v>
      </c>
      <c r="D817">
        <f>YEAR(cukier8[[#This Row],[data]])</f>
        <v>2008</v>
      </c>
      <c r="E817">
        <f>VLOOKUP(cukier8[[#This Row],[rok]],$L$2:$M$11,2,FALSE)*cukier8[[#This Row],[sprzedany_cukier]]</f>
        <v>408.5</v>
      </c>
    </row>
    <row r="818" spans="1:5" x14ac:dyDescent="0.25">
      <c r="A818" s="1">
        <v>39745</v>
      </c>
      <c r="B818" t="s">
        <v>14</v>
      </c>
      <c r="C818">
        <v>415</v>
      </c>
      <c r="D818">
        <f>YEAR(cukier8[[#This Row],[data]])</f>
        <v>2008</v>
      </c>
      <c r="E818">
        <f>VLOOKUP(cukier8[[#This Row],[rok]],$L$2:$M$11,2,FALSE)*cukier8[[#This Row],[sprzedany_cukier]]</f>
        <v>892.25</v>
      </c>
    </row>
    <row r="819" spans="1:5" x14ac:dyDescent="0.25">
      <c r="A819" s="1">
        <v>39747</v>
      </c>
      <c r="B819" t="s">
        <v>9</v>
      </c>
      <c r="C819">
        <v>269</v>
      </c>
      <c r="D819">
        <f>YEAR(cukier8[[#This Row],[data]])</f>
        <v>2008</v>
      </c>
      <c r="E819">
        <f>VLOOKUP(cukier8[[#This Row],[rok]],$L$2:$M$11,2,FALSE)*cukier8[[#This Row],[sprzedany_cukier]]</f>
        <v>578.35</v>
      </c>
    </row>
    <row r="820" spans="1:5" x14ac:dyDescent="0.25">
      <c r="A820" s="1">
        <v>39747</v>
      </c>
      <c r="B820" t="s">
        <v>140</v>
      </c>
      <c r="C820">
        <v>11</v>
      </c>
      <c r="D820">
        <f>YEAR(cukier8[[#This Row],[data]])</f>
        <v>2008</v>
      </c>
      <c r="E820">
        <f>VLOOKUP(cukier8[[#This Row],[rok]],$L$2:$M$11,2,FALSE)*cukier8[[#This Row],[sprzedany_cukier]]</f>
        <v>23.65</v>
      </c>
    </row>
    <row r="821" spans="1:5" x14ac:dyDescent="0.25">
      <c r="A821" s="1">
        <v>39747</v>
      </c>
      <c r="B821" t="s">
        <v>45</v>
      </c>
      <c r="C821">
        <v>162</v>
      </c>
      <c r="D821">
        <f>YEAR(cukier8[[#This Row],[data]])</f>
        <v>2008</v>
      </c>
      <c r="E821">
        <f>VLOOKUP(cukier8[[#This Row],[rok]],$L$2:$M$11,2,FALSE)*cukier8[[#This Row],[sprzedany_cukier]]</f>
        <v>348.3</v>
      </c>
    </row>
    <row r="822" spans="1:5" x14ac:dyDescent="0.25">
      <c r="A822" s="1">
        <v>39757</v>
      </c>
      <c r="B822" t="s">
        <v>18</v>
      </c>
      <c r="C822">
        <v>75</v>
      </c>
      <c r="D822">
        <f>YEAR(cukier8[[#This Row],[data]])</f>
        <v>2008</v>
      </c>
      <c r="E822">
        <f>VLOOKUP(cukier8[[#This Row],[rok]],$L$2:$M$11,2,FALSE)*cukier8[[#This Row],[sprzedany_cukier]]</f>
        <v>161.25</v>
      </c>
    </row>
    <row r="823" spans="1:5" x14ac:dyDescent="0.25">
      <c r="A823" s="1">
        <v>39759</v>
      </c>
      <c r="B823" t="s">
        <v>22</v>
      </c>
      <c r="C823">
        <v>358</v>
      </c>
      <c r="D823">
        <f>YEAR(cukier8[[#This Row],[data]])</f>
        <v>2008</v>
      </c>
      <c r="E823">
        <f>VLOOKUP(cukier8[[#This Row],[rok]],$L$2:$M$11,2,FALSE)*cukier8[[#This Row],[sprzedany_cukier]]</f>
        <v>769.69999999999993</v>
      </c>
    </row>
    <row r="824" spans="1:5" x14ac:dyDescent="0.25">
      <c r="A824" s="1">
        <v>39760</v>
      </c>
      <c r="B824" t="s">
        <v>8</v>
      </c>
      <c r="C824">
        <v>198</v>
      </c>
      <c r="D824">
        <f>YEAR(cukier8[[#This Row],[data]])</f>
        <v>2008</v>
      </c>
      <c r="E824">
        <f>VLOOKUP(cukier8[[#This Row],[rok]],$L$2:$M$11,2,FALSE)*cukier8[[#This Row],[sprzedany_cukier]]</f>
        <v>425.7</v>
      </c>
    </row>
    <row r="825" spans="1:5" x14ac:dyDescent="0.25">
      <c r="A825" s="1">
        <v>39763</v>
      </c>
      <c r="B825" t="s">
        <v>22</v>
      </c>
      <c r="C825">
        <v>189</v>
      </c>
      <c r="D825">
        <f>YEAR(cukier8[[#This Row],[data]])</f>
        <v>2008</v>
      </c>
      <c r="E825">
        <f>VLOOKUP(cukier8[[#This Row],[rok]],$L$2:$M$11,2,FALSE)*cukier8[[#This Row],[sprzedany_cukier]]</f>
        <v>406.34999999999997</v>
      </c>
    </row>
    <row r="826" spans="1:5" x14ac:dyDescent="0.25">
      <c r="A826" s="1">
        <v>39764</v>
      </c>
      <c r="B826" t="s">
        <v>24</v>
      </c>
      <c r="C826">
        <v>226</v>
      </c>
      <c r="D826">
        <f>YEAR(cukier8[[#This Row],[data]])</f>
        <v>2008</v>
      </c>
      <c r="E826">
        <f>VLOOKUP(cukier8[[#This Row],[rok]],$L$2:$M$11,2,FALSE)*cukier8[[#This Row],[sprzedany_cukier]]</f>
        <v>485.9</v>
      </c>
    </row>
    <row r="827" spans="1:5" x14ac:dyDescent="0.25">
      <c r="A827" s="1">
        <v>39765</v>
      </c>
      <c r="B827" t="s">
        <v>55</v>
      </c>
      <c r="C827">
        <v>94</v>
      </c>
      <c r="D827">
        <f>YEAR(cukier8[[#This Row],[data]])</f>
        <v>2008</v>
      </c>
      <c r="E827">
        <f>VLOOKUP(cukier8[[#This Row],[rok]],$L$2:$M$11,2,FALSE)*cukier8[[#This Row],[sprzedany_cukier]]</f>
        <v>202.1</v>
      </c>
    </row>
    <row r="828" spans="1:5" x14ac:dyDescent="0.25">
      <c r="A828" s="1">
        <v>39770</v>
      </c>
      <c r="B828" t="s">
        <v>50</v>
      </c>
      <c r="C828">
        <v>401</v>
      </c>
      <c r="D828">
        <f>YEAR(cukier8[[#This Row],[data]])</f>
        <v>2008</v>
      </c>
      <c r="E828">
        <f>VLOOKUP(cukier8[[#This Row],[rok]],$L$2:$M$11,2,FALSE)*cukier8[[#This Row],[sprzedany_cukier]]</f>
        <v>862.15</v>
      </c>
    </row>
    <row r="829" spans="1:5" x14ac:dyDescent="0.25">
      <c r="A829" s="1">
        <v>39771</v>
      </c>
      <c r="B829" t="s">
        <v>69</v>
      </c>
      <c r="C829">
        <v>52</v>
      </c>
      <c r="D829">
        <f>YEAR(cukier8[[#This Row],[data]])</f>
        <v>2008</v>
      </c>
      <c r="E829">
        <f>VLOOKUP(cukier8[[#This Row],[rok]],$L$2:$M$11,2,FALSE)*cukier8[[#This Row],[sprzedany_cukier]]</f>
        <v>111.8</v>
      </c>
    </row>
    <row r="830" spans="1:5" x14ac:dyDescent="0.25">
      <c r="A830" s="1">
        <v>39772</v>
      </c>
      <c r="B830" t="s">
        <v>12</v>
      </c>
      <c r="C830">
        <v>189</v>
      </c>
      <c r="D830">
        <f>YEAR(cukier8[[#This Row],[data]])</f>
        <v>2008</v>
      </c>
      <c r="E830">
        <f>VLOOKUP(cukier8[[#This Row],[rok]],$L$2:$M$11,2,FALSE)*cukier8[[#This Row],[sprzedany_cukier]]</f>
        <v>406.34999999999997</v>
      </c>
    </row>
    <row r="831" spans="1:5" x14ac:dyDescent="0.25">
      <c r="A831" s="1">
        <v>39774</v>
      </c>
      <c r="B831" t="s">
        <v>17</v>
      </c>
      <c r="C831">
        <v>201</v>
      </c>
      <c r="D831">
        <f>YEAR(cukier8[[#This Row],[data]])</f>
        <v>2008</v>
      </c>
      <c r="E831">
        <f>VLOOKUP(cukier8[[#This Row],[rok]],$L$2:$M$11,2,FALSE)*cukier8[[#This Row],[sprzedany_cukier]]</f>
        <v>432.15</v>
      </c>
    </row>
    <row r="832" spans="1:5" x14ac:dyDescent="0.25">
      <c r="A832" s="1">
        <v>39775</v>
      </c>
      <c r="B832" t="s">
        <v>22</v>
      </c>
      <c r="C832">
        <v>235</v>
      </c>
      <c r="D832">
        <f>YEAR(cukier8[[#This Row],[data]])</f>
        <v>2008</v>
      </c>
      <c r="E832">
        <f>VLOOKUP(cukier8[[#This Row],[rok]],$L$2:$M$11,2,FALSE)*cukier8[[#This Row],[sprzedany_cukier]]</f>
        <v>505.25</v>
      </c>
    </row>
    <row r="833" spans="1:5" x14ac:dyDescent="0.25">
      <c r="A833" s="1">
        <v>39776</v>
      </c>
      <c r="B833" t="s">
        <v>55</v>
      </c>
      <c r="C833">
        <v>78</v>
      </c>
      <c r="D833">
        <f>YEAR(cukier8[[#This Row],[data]])</f>
        <v>2008</v>
      </c>
      <c r="E833">
        <f>VLOOKUP(cukier8[[#This Row],[rok]],$L$2:$M$11,2,FALSE)*cukier8[[#This Row],[sprzedany_cukier]]</f>
        <v>167.7</v>
      </c>
    </row>
    <row r="834" spans="1:5" x14ac:dyDescent="0.25">
      <c r="A834" s="1">
        <v>39776</v>
      </c>
      <c r="B834" t="s">
        <v>126</v>
      </c>
      <c r="C834">
        <v>13</v>
      </c>
      <c r="D834">
        <f>YEAR(cukier8[[#This Row],[data]])</f>
        <v>2008</v>
      </c>
      <c r="E834">
        <f>VLOOKUP(cukier8[[#This Row],[rok]],$L$2:$M$11,2,FALSE)*cukier8[[#This Row],[sprzedany_cukier]]</f>
        <v>27.95</v>
      </c>
    </row>
    <row r="835" spans="1:5" x14ac:dyDescent="0.25">
      <c r="A835" s="1">
        <v>39776</v>
      </c>
      <c r="B835" t="s">
        <v>20</v>
      </c>
      <c r="C835">
        <v>196</v>
      </c>
      <c r="D835">
        <f>YEAR(cukier8[[#This Row],[data]])</f>
        <v>2008</v>
      </c>
      <c r="E835">
        <f>VLOOKUP(cukier8[[#This Row],[rok]],$L$2:$M$11,2,FALSE)*cukier8[[#This Row],[sprzedany_cukier]]</f>
        <v>421.4</v>
      </c>
    </row>
    <row r="836" spans="1:5" x14ac:dyDescent="0.25">
      <c r="A836" s="1">
        <v>39780</v>
      </c>
      <c r="B836" t="s">
        <v>70</v>
      </c>
      <c r="C836">
        <v>11</v>
      </c>
      <c r="D836">
        <f>YEAR(cukier8[[#This Row],[data]])</f>
        <v>2008</v>
      </c>
      <c r="E836">
        <f>VLOOKUP(cukier8[[#This Row],[rok]],$L$2:$M$11,2,FALSE)*cukier8[[#This Row],[sprzedany_cukier]]</f>
        <v>23.65</v>
      </c>
    </row>
    <row r="837" spans="1:5" x14ac:dyDescent="0.25">
      <c r="A837" s="1">
        <v>39780</v>
      </c>
      <c r="B837" t="s">
        <v>176</v>
      </c>
      <c r="C837">
        <v>17</v>
      </c>
      <c r="D837">
        <f>YEAR(cukier8[[#This Row],[data]])</f>
        <v>2008</v>
      </c>
      <c r="E837">
        <f>VLOOKUP(cukier8[[#This Row],[rok]],$L$2:$M$11,2,FALSE)*cukier8[[#This Row],[sprzedany_cukier]]</f>
        <v>36.549999999999997</v>
      </c>
    </row>
    <row r="838" spans="1:5" x14ac:dyDescent="0.25">
      <c r="A838" s="1">
        <v>39781</v>
      </c>
      <c r="B838" t="s">
        <v>47</v>
      </c>
      <c r="C838">
        <v>4</v>
      </c>
      <c r="D838">
        <f>YEAR(cukier8[[#This Row],[data]])</f>
        <v>2008</v>
      </c>
      <c r="E838">
        <f>VLOOKUP(cukier8[[#This Row],[rok]],$L$2:$M$11,2,FALSE)*cukier8[[#This Row],[sprzedany_cukier]]</f>
        <v>8.6</v>
      </c>
    </row>
    <row r="839" spans="1:5" x14ac:dyDescent="0.25">
      <c r="A839" s="1">
        <v>39785</v>
      </c>
      <c r="B839" t="s">
        <v>54</v>
      </c>
      <c r="C839">
        <v>17</v>
      </c>
      <c r="D839">
        <f>YEAR(cukier8[[#This Row],[data]])</f>
        <v>2008</v>
      </c>
      <c r="E839">
        <f>VLOOKUP(cukier8[[#This Row],[rok]],$L$2:$M$11,2,FALSE)*cukier8[[#This Row],[sprzedany_cukier]]</f>
        <v>36.549999999999997</v>
      </c>
    </row>
    <row r="840" spans="1:5" x14ac:dyDescent="0.25">
      <c r="A840" s="1">
        <v>39785</v>
      </c>
      <c r="B840" t="s">
        <v>177</v>
      </c>
      <c r="C840">
        <v>1</v>
      </c>
      <c r="D840">
        <f>YEAR(cukier8[[#This Row],[data]])</f>
        <v>2008</v>
      </c>
      <c r="E840">
        <f>VLOOKUP(cukier8[[#This Row],[rok]],$L$2:$M$11,2,FALSE)*cukier8[[#This Row],[sprzedany_cukier]]</f>
        <v>2.15</v>
      </c>
    </row>
    <row r="841" spans="1:5" x14ac:dyDescent="0.25">
      <c r="A841" s="1">
        <v>39790</v>
      </c>
      <c r="B841" t="s">
        <v>13</v>
      </c>
      <c r="C841">
        <v>6</v>
      </c>
      <c r="D841">
        <f>YEAR(cukier8[[#This Row],[data]])</f>
        <v>2008</v>
      </c>
      <c r="E841">
        <f>VLOOKUP(cukier8[[#This Row],[rok]],$L$2:$M$11,2,FALSE)*cukier8[[#This Row],[sprzedany_cukier]]</f>
        <v>12.899999999999999</v>
      </c>
    </row>
    <row r="842" spans="1:5" x14ac:dyDescent="0.25">
      <c r="A842" s="1">
        <v>39790</v>
      </c>
      <c r="B842" t="s">
        <v>7</v>
      </c>
      <c r="C842">
        <v>496</v>
      </c>
      <c r="D842">
        <f>YEAR(cukier8[[#This Row],[data]])</f>
        <v>2008</v>
      </c>
      <c r="E842">
        <f>VLOOKUP(cukier8[[#This Row],[rok]],$L$2:$M$11,2,FALSE)*cukier8[[#This Row],[sprzedany_cukier]]</f>
        <v>1066.3999999999999</v>
      </c>
    </row>
    <row r="843" spans="1:5" x14ac:dyDescent="0.25">
      <c r="A843" s="1">
        <v>39794</v>
      </c>
      <c r="B843" t="s">
        <v>5</v>
      </c>
      <c r="C843">
        <v>363</v>
      </c>
      <c r="D843">
        <f>YEAR(cukier8[[#This Row],[data]])</f>
        <v>2008</v>
      </c>
      <c r="E843">
        <f>VLOOKUP(cukier8[[#This Row],[rok]],$L$2:$M$11,2,FALSE)*cukier8[[#This Row],[sprzedany_cukier]]</f>
        <v>780.44999999999993</v>
      </c>
    </row>
    <row r="844" spans="1:5" x14ac:dyDescent="0.25">
      <c r="A844" s="1">
        <v>39797</v>
      </c>
      <c r="B844" t="s">
        <v>5</v>
      </c>
      <c r="C844">
        <v>491</v>
      </c>
      <c r="D844">
        <f>YEAR(cukier8[[#This Row],[data]])</f>
        <v>2008</v>
      </c>
      <c r="E844">
        <f>VLOOKUP(cukier8[[#This Row],[rok]],$L$2:$M$11,2,FALSE)*cukier8[[#This Row],[sprzedany_cukier]]</f>
        <v>1055.6499999999999</v>
      </c>
    </row>
    <row r="845" spans="1:5" x14ac:dyDescent="0.25">
      <c r="A845" s="1">
        <v>39797</v>
      </c>
      <c r="B845" t="s">
        <v>17</v>
      </c>
      <c r="C845">
        <v>369</v>
      </c>
      <c r="D845">
        <f>YEAR(cukier8[[#This Row],[data]])</f>
        <v>2008</v>
      </c>
      <c r="E845">
        <f>VLOOKUP(cukier8[[#This Row],[rok]],$L$2:$M$11,2,FALSE)*cukier8[[#This Row],[sprzedany_cukier]]</f>
        <v>793.35</v>
      </c>
    </row>
    <row r="846" spans="1:5" x14ac:dyDescent="0.25">
      <c r="A846" s="1">
        <v>39799</v>
      </c>
      <c r="B846" t="s">
        <v>66</v>
      </c>
      <c r="C846">
        <v>60</v>
      </c>
      <c r="D846">
        <f>YEAR(cukier8[[#This Row],[data]])</f>
        <v>2008</v>
      </c>
      <c r="E846">
        <f>VLOOKUP(cukier8[[#This Row],[rok]],$L$2:$M$11,2,FALSE)*cukier8[[#This Row],[sprzedany_cukier]]</f>
        <v>129</v>
      </c>
    </row>
    <row r="847" spans="1:5" x14ac:dyDescent="0.25">
      <c r="A847" s="1">
        <v>39800</v>
      </c>
      <c r="B847" t="s">
        <v>20</v>
      </c>
      <c r="C847">
        <v>35</v>
      </c>
      <c r="D847">
        <f>YEAR(cukier8[[#This Row],[data]])</f>
        <v>2008</v>
      </c>
      <c r="E847">
        <f>VLOOKUP(cukier8[[#This Row],[rok]],$L$2:$M$11,2,FALSE)*cukier8[[#This Row],[sprzedany_cukier]]</f>
        <v>75.25</v>
      </c>
    </row>
    <row r="848" spans="1:5" x14ac:dyDescent="0.25">
      <c r="A848" s="1">
        <v>39803</v>
      </c>
      <c r="B848" t="s">
        <v>7</v>
      </c>
      <c r="C848">
        <v>121</v>
      </c>
      <c r="D848">
        <f>YEAR(cukier8[[#This Row],[data]])</f>
        <v>2008</v>
      </c>
      <c r="E848">
        <f>VLOOKUP(cukier8[[#This Row],[rok]],$L$2:$M$11,2,FALSE)*cukier8[[#This Row],[sprzedany_cukier]]</f>
        <v>260.14999999999998</v>
      </c>
    </row>
    <row r="849" spans="1:5" x14ac:dyDescent="0.25">
      <c r="A849" s="1">
        <v>39803</v>
      </c>
      <c r="B849" t="s">
        <v>50</v>
      </c>
      <c r="C849">
        <v>442</v>
      </c>
      <c r="D849">
        <f>YEAR(cukier8[[#This Row],[data]])</f>
        <v>2008</v>
      </c>
      <c r="E849">
        <f>VLOOKUP(cukier8[[#This Row],[rok]],$L$2:$M$11,2,FALSE)*cukier8[[#This Row],[sprzedany_cukier]]</f>
        <v>950.3</v>
      </c>
    </row>
    <row r="850" spans="1:5" x14ac:dyDescent="0.25">
      <c r="A850" s="1">
        <v>39804</v>
      </c>
      <c r="B850" t="s">
        <v>7</v>
      </c>
      <c r="C850">
        <v>338</v>
      </c>
      <c r="D850">
        <f>YEAR(cukier8[[#This Row],[data]])</f>
        <v>2008</v>
      </c>
      <c r="E850">
        <f>VLOOKUP(cukier8[[#This Row],[rok]],$L$2:$M$11,2,FALSE)*cukier8[[#This Row],[sprzedany_cukier]]</f>
        <v>726.69999999999993</v>
      </c>
    </row>
    <row r="851" spans="1:5" x14ac:dyDescent="0.25">
      <c r="A851" s="1">
        <v>39805</v>
      </c>
      <c r="B851" t="s">
        <v>31</v>
      </c>
      <c r="C851">
        <v>94</v>
      </c>
      <c r="D851">
        <f>YEAR(cukier8[[#This Row],[data]])</f>
        <v>2008</v>
      </c>
      <c r="E851">
        <f>VLOOKUP(cukier8[[#This Row],[rok]],$L$2:$M$11,2,FALSE)*cukier8[[#This Row],[sprzedany_cukier]]</f>
        <v>202.1</v>
      </c>
    </row>
    <row r="852" spans="1:5" x14ac:dyDescent="0.25">
      <c r="A852" s="1">
        <v>39808</v>
      </c>
      <c r="B852" t="s">
        <v>1</v>
      </c>
      <c r="C852">
        <v>14</v>
      </c>
      <c r="D852">
        <f>YEAR(cukier8[[#This Row],[data]])</f>
        <v>2008</v>
      </c>
      <c r="E852">
        <f>VLOOKUP(cukier8[[#This Row],[rok]],$L$2:$M$11,2,FALSE)*cukier8[[#This Row],[sprzedany_cukier]]</f>
        <v>30.099999999999998</v>
      </c>
    </row>
    <row r="853" spans="1:5" x14ac:dyDescent="0.25">
      <c r="A853" s="1">
        <v>39809</v>
      </c>
      <c r="B853" t="s">
        <v>94</v>
      </c>
      <c r="C853">
        <v>2</v>
      </c>
      <c r="D853">
        <f>YEAR(cukier8[[#This Row],[data]])</f>
        <v>2008</v>
      </c>
      <c r="E853">
        <f>VLOOKUP(cukier8[[#This Row],[rok]],$L$2:$M$11,2,FALSE)*cukier8[[#This Row],[sprzedany_cukier]]</f>
        <v>4.3</v>
      </c>
    </row>
    <row r="854" spans="1:5" x14ac:dyDescent="0.25">
      <c r="A854" s="1">
        <v>39811</v>
      </c>
      <c r="B854" t="s">
        <v>14</v>
      </c>
      <c r="C854">
        <v>110</v>
      </c>
      <c r="D854">
        <f>YEAR(cukier8[[#This Row],[data]])</f>
        <v>2008</v>
      </c>
      <c r="E854">
        <f>VLOOKUP(cukier8[[#This Row],[rok]],$L$2:$M$11,2,FALSE)*cukier8[[#This Row],[sprzedany_cukier]]</f>
        <v>236.5</v>
      </c>
    </row>
    <row r="855" spans="1:5" x14ac:dyDescent="0.25">
      <c r="A855" s="1">
        <v>39812</v>
      </c>
      <c r="B855" t="s">
        <v>87</v>
      </c>
      <c r="C855">
        <v>18</v>
      </c>
      <c r="D855">
        <f>YEAR(cukier8[[#This Row],[data]])</f>
        <v>2008</v>
      </c>
      <c r="E855">
        <f>VLOOKUP(cukier8[[#This Row],[rok]],$L$2:$M$11,2,FALSE)*cukier8[[#This Row],[sprzedany_cukier]]</f>
        <v>38.699999999999996</v>
      </c>
    </row>
    <row r="856" spans="1:5" x14ac:dyDescent="0.25">
      <c r="A856" s="1">
        <v>39812</v>
      </c>
      <c r="B856" t="s">
        <v>147</v>
      </c>
      <c r="C856">
        <v>7</v>
      </c>
      <c r="D856">
        <f>YEAR(cukier8[[#This Row],[data]])</f>
        <v>2008</v>
      </c>
      <c r="E856">
        <f>VLOOKUP(cukier8[[#This Row],[rok]],$L$2:$M$11,2,FALSE)*cukier8[[#This Row],[sprzedany_cukier]]</f>
        <v>15.049999999999999</v>
      </c>
    </row>
    <row r="857" spans="1:5" x14ac:dyDescent="0.25">
      <c r="A857" s="1">
        <v>39814</v>
      </c>
      <c r="B857" t="s">
        <v>178</v>
      </c>
      <c r="C857">
        <v>2</v>
      </c>
      <c r="D857">
        <f>YEAR(cukier8[[#This Row],[data]])</f>
        <v>2009</v>
      </c>
      <c r="E857">
        <f>VLOOKUP(cukier8[[#This Row],[rok]],$L$2:$M$11,2,FALSE)*cukier8[[#This Row],[sprzedany_cukier]]</f>
        <v>4.26</v>
      </c>
    </row>
    <row r="858" spans="1:5" x14ac:dyDescent="0.25">
      <c r="A858" s="1">
        <v>39815</v>
      </c>
      <c r="B858" t="s">
        <v>37</v>
      </c>
      <c r="C858">
        <v>188</v>
      </c>
      <c r="D858">
        <f>YEAR(cukier8[[#This Row],[data]])</f>
        <v>2009</v>
      </c>
      <c r="E858">
        <f>VLOOKUP(cukier8[[#This Row],[rok]],$L$2:$M$11,2,FALSE)*cukier8[[#This Row],[sprzedany_cukier]]</f>
        <v>400.44</v>
      </c>
    </row>
    <row r="859" spans="1:5" x14ac:dyDescent="0.25">
      <c r="A859" s="1">
        <v>39819</v>
      </c>
      <c r="B859" t="s">
        <v>92</v>
      </c>
      <c r="C859">
        <v>11</v>
      </c>
      <c r="D859">
        <f>YEAR(cukier8[[#This Row],[data]])</f>
        <v>2009</v>
      </c>
      <c r="E859">
        <f>VLOOKUP(cukier8[[#This Row],[rok]],$L$2:$M$11,2,FALSE)*cukier8[[#This Row],[sprzedany_cukier]]</f>
        <v>23.43</v>
      </c>
    </row>
    <row r="860" spans="1:5" x14ac:dyDescent="0.25">
      <c r="A860" s="1">
        <v>39819</v>
      </c>
      <c r="B860" t="s">
        <v>14</v>
      </c>
      <c r="C860">
        <v>129</v>
      </c>
      <c r="D860">
        <f>YEAR(cukier8[[#This Row],[data]])</f>
        <v>2009</v>
      </c>
      <c r="E860">
        <f>VLOOKUP(cukier8[[#This Row],[rok]],$L$2:$M$11,2,FALSE)*cukier8[[#This Row],[sprzedany_cukier]]</f>
        <v>274.77</v>
      </c>
    </row>
    <row r="861" spans="1:5" x14ac:dyDescent="0.25">
      <c r="A861" s="1">
        <v>39819</v>
      </c>
      <c r="B861" t="s">
        <v>61</v>
      </c>
      <c r="C861">
        <v>117</v>
      </c>
      <c r="D861">
        <f>YEAR(cukier8[[#This Row],[data]])</f>
        <v>2009</v>
      </c>
      <c r="E861">
        <f>VLOOKUP(cukier8[[#This Row],[rok]],$L$2:$M$11,2,FALSE)*cukier8[[#This Row],[sprzedany_cukier]]</f>
        <v>249.20999999999998</v>
      </c>
    </row>
    <row r="862" spans="1:5" x14ac:dyDescent="0.25">
      <c r="A862" s="1">
        <v>39821</v>
      </c>
      <c r="B862" t="s">
        <v>82</v>
      </c>
      <c r="C862">
        <v>11</v>
      </c>
      <c r="D862">
        <f>YEAR(cukier8[[#This Row],[data]])</f>
        <v>2009</v>
      </c>
      <c r="E862">
        <f>VLOOKUP(cukier8[[#This Row],[rok]],$L$2:$M$11,2,FALSE)*cukier8[[#This Row],[sprzedany_cukier]]</f>
        <v>23.43</v>
      </c>
    </row>
    <row r="863" spans="1:5" x14ac:dyDescent="0.25">
      <c r="A863" s="1">
        <v>39823</v>
      </c>
      <c r="B863" t="s">
        <v>61</v>
      </c>
      <c r="C863">
        <v>186</v>
      </c>
      <c r="D863">
        <f>YEAR(cukier8[[#This Row],[data]])</f>
        <v>2009</v>
      </c>
      <c r="E863">
        <f>VLOOKUP(cukier8[[#This Row],[rok]],$L$2:$M$11,2,FALSE)*cukier8[[#This Row],[sprzedany_cukier]]</f>
        <v>396.18</v>
      </c>
    </row>
    <row r="864" spans="1:5" x14ac:dyDescent="0.25">
      <c r="A864" s="1">
        <v>39824</v>
      </c>
      <c r="B864" t="s">
        <v>18</v>
      </c>
      <c r="C864">
        <v>40</v>
      </c>
      <c r="D864">
        <f>YEAR(cukier8[[#This Row],[data]])</f>
        <v>2009</v>
      </c>
      <c r="E864">
        <f>VLOOKUP(cukier8[[#This Row],[rok]],$L$2:$M$11,2,FALSE)*cukier8[[#This Row],[sprzedany_cukier]]</f>
        <v>85.199999999999989</v>
      </c>
    </row>
    <row r="865" spans="1:5" x14ac:dyDescent="0.25">
      <c r="A865" s="1">
        <v>39829</v>
      </c>
      <c r="B865" t="s">
        <v>47</v>
      </c>
      <c r="C865">
        <v>6</v>
      </c>
      <c r="D865">
        <f>YEAR(cukier8[[#This Row],[data]])</f>
        <v>2009</v>
      </c>
      <c r="E865">
        <f>VLOOKUP(cukier8[[#This Row],[rok]],$L$2:$M$11,2,FALSE)*cukier8[[#This Row],[sprzedany_cukier]]</f>
        <v>12.78</v>
      </c>
    </row>
    <row r="866" spans="1:5" x14ac:dyDescent="0.25">
      <c r="A866" s="1">
        <v>39831</v>
      </c>
      <c r="B866" t="s">
        <v>55</v>
      </c>
      <c r="C866">
        <v>153</v>
      </c>
      <c r="D866">
        <f>YEAR(cukier8[[#This Row],[data]])</f>
        <v>2009</v>
      </c>
      <c r="E866">
        <f>VLOOKUP(cukier8[[#This Row],[rok]],$L$2:$M$11,2,FALSE)*cukier8[[#This Row],[sprzedany_cukier]]</f>
        <v>325.89</v>
      </c>
    </row>
    <row r="867" spans="1:5" x14ac:dyDescent="0.25">
      <c r="A867" s="1">
        <v>39832</v>
      </c>
      <c r="B867" t="s">
        <v>45</v>
      </c>
      <c r="C867">
        <v>163</v>
      </c>
      <c r="D867">
        <f>YEAR(cukier8[[#This Row],[data]])</f>
        <v>2009</v>
      </c>
      <c r="E867">
        <f>VLOOKUP(cukier8[[#This Row],[rok]],$L$2:$M$11,2,FALSE)*cukier8[[#This Row],[sprzedany_cukier]]</f>
        <v>347.19</v>
      </c>
    </row>
    <row r="868" spans="1:5" x14ac:dyDescent="0.25">
      <c r="A868" s="1">
        <v>39834</v>
      </c>
      <c r="B868" t="s">
        <v>179</v>
      </c>
      <c r="C868">
        <v>16</v>
      </c>
      <c r="D868">
        <f>YEAR(cukier8[[#This Row],[data]])</f>
        <v>2009</v>
      </c>
      <c r="E868">
        <f>VLOOKUP(cukier8[[#This Row],[rok]],$L$2:$M$11,2,FALSE)*cukier8[[#This Row],[sprzedany_cukier]]</f>
        <v>34.08</v>
      </c>
    </row>
    <row r="869" spans="1:5" x14ac:dyDescent="0.25">
      <c r="A869" s="1">
        <v>39835</v>
      </c>
      <c r="B869" t="s">
        <v>25</v>
      </c>
      <c r="C869">
        <v>161</v>
      </c>
      <c r="D869">
        <f>YEAR(cukier8[[#This Row],[data]])</f>
        <v>2009</v>
      </c>
      <c r="E869">
        <f>VLOOKUP(cukier8[[#This Row],[rok]],$L$2:$M$11,2,FALSE)*cukier8[[#This Row],[sprzedany_cukier]]</f>
        <v>342.93</v>
      </c>
    </row>
    <row r="870" spans="1:5" x14ac:dyDescent="0.25">
      <c r="A870" s="1">
        <v>39836</v>
      </c>
      <c r="B870" t="s">
        <v>180</v>
      </c>
      <c r="C870">
        <v>5</v>
      </c>
      <c r="D870">
        <f>YEAR(cukier8[[#This Row],[data]])</f>
        <v>2009</v>
      </c>
      <c r="E870">
        <f>VLOOKUP(cukier8[[#This Row],[rok]],$L$2:$M$11,2,FALSE)*cukier8[[#This Row],[sprzedany_cukier]]</f>
        <v>10.649999999999999</v>
      </c>
    </row>
    <row r="871" spans="1:5" x14ac:dyDescent="0.25">
      <c r="A871" s="1">
        <v>39839</v>
      </c>
      <c r="B871" t="s">
        <v>30</v>
      </c>
      <c r="C871">
        <v>200</v>
      </c>
      <c r="D871">
        <f>YEAR(cukier8[[#This Row],[data]])</f>
        <v>2009</v>
      </c>
      <c r="E871">
        <f>VLOOKUP(cukier8[[#This Row],[rok]],$L$2:$M$11,2,FALSE)*cukier8[[#This Row],[sprzedany_cukier]]</f>
        <v>426</v>
      </c>
    </row>
    <row r="872" spans="1:5" x14ac:dyDescent="0.25">
      <c r="A872" s="1">
        <v>39843</v>
      </c>
      <c r="B872" t="s">
        <v>181</v>
      </c>
      <c r="C872">
        <v>11</v>
      </c>
      <c r="D872">
        <f>YEAR(cukier8[[#This Row],[data]])</f>
        <v>2009</v>
      </c>
      <c r="E872">
        <f>VLOOKUP(cukier8[[#This Row],[rok]],$L$2:$M$11,2,FALSE)*cukier8[[#This Row],[sprzedany_cukier]]</f>
        <v>23.43</v>
      </c>
    </row>
    <row r="873" spans="1:5" x14ac:dyDescent="0.25">
      <c r="A873" s="1">
        <v>39847</v>
      </c>
      <c r="B873" t="s">
        <v>96</v>
      </c>
      <c r="C873">
        <v>14</v>
      </c>
      <c r="D873">
        <f>YEAR(cukier8[[#This Row],[data]])</f>
        <v>2009</v>
      </c>
      <c r="E873">
        <f>VLOOKUP(cukier8[[#This Row],[rok]],$L$2:$M$11,2,FALSE)*cukier8[[#This Row],[sprzedany_cukier]]</f>
        <v>29.82</v>
      </c>
    </row>
    <row r="874" spans="1:5" x14ac:dyDescent="0.25">
      <c r="A874" s="1">
        <v>39849</v>
      </c>
      <c r="B874" t="s">
        <v>7</v>
      </c>
      <c r="C874">
        <v>469</v>
      </c>
      <c r="D874">
        <f>YEAR(cukier8[[#This Row],[data]])</f>
        <v>2009</v>
      </c>
      <c r="E874">
        <f>VLOOKUP(cukier8[[#This Row],[rok]],$L$2:$M$11,2,FALSE)*cukier8[[#This Row],[sprzedany_cukier]]</f>
        <v>998.96999999999991</v>
      </c>
    </row>
    <row r="875" spans="1:5" x14ac:dyDescent="0.25">
      <c r="A875" s="1">
        <v>39853</v>
      </c>
      <c r="B875" t="s">
        <v>166</v>
      </c>
      <c r="C875">
        <v>11</v>
      </c>
      <c r="D875">
        <f>YEAR(cukier8[[#This Row],[data]])</f>
        <v>2009</v>
      </c>
      <c r="E875">
        <f>VLOOKUP(cukier8[[#This Row],[rok]],$L$2:$M$11,2,FALSE)*cukier8[[#This Row],[sprzedany_cukier]]</f>
        <v>23.43</v>
      </c>
    </row>
    <row r="876" spans="1:5" x14ac:dyDescent="0.25">
      <c r="A876" s="1">
        <v>39853</v>
      </c>
      <c r="B876" t="s">
        <v>14</v>
      </c>
      <c r="C876">
        <v>423</v>
      </c>
      <c r="D876">
        <f>YEAR(cukier8[[#This Row],[data]])</f>
        <v>2009</v>
      </c>
      <c r="E876">
        <f>VLOOKUP(cukier8[[#This Row],[rok]],$L$2:$M$11,2,FALSE)*cukier8[[#This Row],[sprzedany_cukier]]</f>
        <v>900.99</v>
      </c>
    </row>
    <row r="877" spans="1:5" x14ac:dyDescent="0.25">
      <c r="A877" s="1">
        <v>39853</v>
      </c>
      <c r="B877" t="s">
        <v>172</v>
      </c>
      <c r="C877">
        <v>9</v>
      </c>
      <c r="D877">
        <f>YEAR(cukier8[[#This Row],[data]])</f>
        <v>2009</v>
      </c>
      <c r="E877">
        <f>VLOOKUP(cukier8[[#This Row],[rok]],$L$2:$M$11,2,FALSE)*cukier8[[#This Row],[sprzedany_cukier]]</f>
        <v>19.169999999999998</v>
      </c>
    </row>
    <row r="878" spans="1:5" x14ac:dyDescent="0.25">
      <c r="A878" s="1">
        <v>39853</v>
      </c>
      <c r="B878" t="s">
        <v>68</v>
      </c>
      <c r="C878">
        <v>3</v>
      </c>
      <c r="D878">
        <f>YEAR(cukier8[[#This Row],[data]])</f>
        <v>2009</v>
      </c>
      <c r="E878">
        <f>VLOOKUP(cukier8[[#This Row],[rok]],$L$2:$M$11,2,FALSE)*cukier8[[#This Row],[sprzedany_cukier]]</f>
        <v>6.39</v>
      </c>
    </row>
    <row r="879" spans="1:5" x14ac:dyDescent="0.25">
      <c r="A879" s="1">
        <v>39854</v>
      </c>
      <c r="B879" t="s">
        <v>22</v>
      </c>
      <c r="C879">
        <v>186</v>
      </c>
      <c r="D879">
        <f>YEAR(cukier8[[#This Row],[data]])</f>
        <v>2009</v>
      </c>
      <c r="E879">
        <f>VLOOKUP(cukier8[[#This Row],[rok]],$L$2:$M$11,2,FALSE)*cukier8[[#This Row],[sprzedany_cukier]]</f>
        <v>396.18</v>
      </c>
    </row>
    <row r="880" spans="1:5" x14ac:dyDescent="0.25">
      <c r="A880" s="1">
        <v>39854</v>
      </c>
      <c r="B880" t="s">
        <v>7</v>
      </c>
      <c r="C880">
        <v>390</v>
      </c>
      <c r="D880">
        <f>YEAR(cukier8[[#This Row],[data]])</f>
        <v>2009</v>
      </c>
      <c r="E880">
        <f>VLOOKUP(cukier8[[#This Row],[rok]],$L$2:$M$11,2,FALSE)*cukier8[[#This Row],[sprzedany_cukier]]</f>
        <v>830.69999999999993</v>
      </c>
    </row>
    <row r="881" spans="1:5" x14ac:dyDescent="0.25">
      <c r="A881" s="1">
        <v>39855</v>
      </c>
      <c r="B881" t="s">
        <v>5</v>
      </c>
      <c r="C881">
        <v>445</v>
      </c>
      <c r="D881">
        <f>YEAR(cukier8[[#This Row],[data]])</f>
        <v>2009</v>
      </c>
      <c r="E881">
        <f>VLOOKUP(cukier8[[#This Row],[rok]],$L$2:$M$11,2,FALSE)*cukier8[[#This Row],[sprzedany_cukier]]</f>
        <v>947.84999999999991</v>
      </c>
    </row>
    <row r="882" spans="1:5" x14ac:dyDescent="0.25">
      <c r="A882" s="1">
        <v>39856</v>
      </c>
      <c r="B882" t="s">
        <v>50</v>
      </c>
      <c r="C882">
        <v>241</v>
      </c>
      <c r="D882">
        <f>YEAR(cukier8[[#This Row],[data]])</f>
        <v>2009</v>
      </c>
      <c r="E882">
        <f>VLOOKUP(cukier8[[#This Row],[rok]],$L$2:$M$11,2,FALSE)*cukier8[[#This Row],[sprzedany_cukier]]</f>
        <v>513.32999999999993</v>
      </c>
    </row>
    <row r="883" spans="1:5" x14ac:dyDescent="0.25">
      <c r="A883" s="1">
        <v>39856</v>
      </c>
      <c r="B883" t="s">
        <v>29</v>
      </c>
      <c r="C883">
        <v>3</v>
      </c>
      <c r="D883">
        <f>YEAR(cukier8[[#This Row],[data]])</f>
        <v>2009</v>
      </c>
      <c r="E883">
        <f>VLOOKUP(cukier8[[#This Row],[rok]],$L$2:$M$11,2,FALSE)*cukier8[[#This Row],[sprzedany_cukier]]</f>
        <v>6.39</v>
      </c>
    </row>
    <row r="884" spans="1:5" x14ac:dyDescent="0.25">
      <c r="A884" s="1">
        <v>39858</v>
      </c>
      <c r="B884" t="s">
        <v>23</v>
      </c>
      <c r="C884">
        <v>50</v>
      </c>
      <c r="D884">
        <f>YEAR(cukier8[[#This Row],[data]])</f>
        <v>2009</v>
      </c>
      <c r="E884">
        <f>VLOOKUP(cukier8[[#This Row],[rok]],$L$2:$M$11,2,FALSE)*cukier8[[#This Row],[sprzedany_cukier]]</f>
        <v>106.5</v>
      </c>
    </row>
    <row r="885" spans="1:5" x14ac:dyDescent="0.25">
      <c r="A885" s="1">
        <v>39859</v>
      </c>
      <c r="B885" t="s">
        <v>24</v>
      </c>
      <c r="C885">
        <v>284</v>
      </c>
      <c r="D885">
        <f>YEAR(cukier8[[#This Row],[data]])</f>
        <v>2009</v>
      </c>
      <c r="E885">
        <f>VLOOKUP(cukier8[[#This Row],[rok]],$L$2:$M$11,2,FALSE)*cukier8[[#This Row],[sprzedany_cukier]]</f>
        <v>604.91999999999996</v>
      </c>
    </row>
    <row r="886" spans="1:5" x14ac:dyDescent="0.25">
      <c r="A886" s="1">
        <v>39860</v>
      </c>
      <c r="B886" t="s">
        <v>9</v>
      </c>
      <c r="C886">
        <v>395</v>
      </c>
      <c r="D886">
        <f>YEAR(cukier8[[#This Row],[data]])</f>
        <v>2009</v>
      </c>
      <c r="E886">
        <f>VLOOKUP(cukier8[[#This Row],[rok]],$L$2:$M$11,2,FALSE)*cukier8[[#This Row],[sprzedany_cukier]]</f>
        <v>841.34999999999991</v>
      </c>
    </row>
    <row r="887" spans="1:5" x14ac:dyDescent="0.25">
      <c r="A887" s="1">
        <v>39862</v>
      </c>
      <c r="B887" t="s">
        <v>5</v>
      </c>
      <c r="C887">
        <v>290</v>
      </c>
      <c r="D887">
        <f>YEAR(cukier8[[#This Row],[data]])</f>
        <v>2009</v>
      </c>
      <c r="E887">
        <f>VLOOKUP(cukier8[[#This Row],[rok]],$L$2:$M$11,2,FALSE)*cukier8[[#This Row],[sprzedany_cukier]]</f>
        <v>617.69999999999993</v>
      </c>
    </row>
    <row r="888" spans="1:5" x14ac:dyDescent="0.25">
      <c r="A888" s="1">
        <v>39863</v>
      </c>
      <c r="B888" t="s">
        <v>22</v>
      </c>
      <c r="C888">
        <v>361</v>
      </c>
      <c r="D888">
        <f>YEAR(cukier8[[#This Row],[data]])</f>
        <v>2009</v>
      </c>
      <c r="E888">
        <f>VLOOKUP(cukier8[[#This Row],[rok]],$L$2:$M$11,2,FALSE)*cukier8[[#This Row],[sprzedany_cukier]]</f>
        <v>768.93</v>
      </c>
    </row>
    <row r="889" spans="1:5" x14ac:dyDescent="0.25">
      <c r="A889" s="1">
        <v>39865</v>
      </c>
      <c r="B889" t="s">
        <v>17</v>
      </c>
      <c r="C889">
        <v>355</v>
      </c>
      <c r="D889">
        <f>YEAR(cukier8[[#This Row],[data]])</f>
        <v>2009</v>
      </c>
      <c r="E889">
        <f>VLOOKUP(cukier8[[#This Row],[rok]],$L$2:$M$11,2,FALSE)*cukier8[[#This Row],[sprzedany_cukier]]</f>
        <v>756.15</v>
      </c>
    </row>
    <row r="890" spans="1:5" x14ac:dyDescent="0.25">
      <c r="A890" s="1">
        <v>39866</v>
      </c>
      <c r="B890" t="s">
        <v>182</v>
      </c>
      <c r="C890">
        <v>19</v>
      </c>
      <c r="D890">
        <f>YEAR(cukier8[[#This Row],[data]])</f>
        <v>2009</v>
      </c>
      <c r="E890">
        <f>VLOOKUP(cukier8[[#This Row],[rok]],$L$2:$M$11,2,FALSE)*cukier8[[#This Row],[sprzedany_cukier]]</f>
        <v>40.47</v>
      </c>
    </row>
    <row r="891" spans="1:5" x14ac:dyDescent="0.25">
      <c r="A891" s="1">
        <v>39868</v>
      </c>
      <c r="B891" t="s">
        <v>52</v>
      </c>
      <c r="C891">
        <v>32</v>
      </c>
      <c r="D891">
        <f>YEAR(cukier8[[#This Row],[data]])</f>
        <v>2009</v>
      </c>
      <c r="E891">
        <f>VLOOKUP(cukier8[[#This Row],[rok]],$L$2:$M$11,2,FALSE)*cukier8[[#This Row],[sprzedany_cukier]]</f>
        <v>68.16</v>
      </c>
    </row>
    <row r="892" spans="1:5" x14ac:dyDescent="0.25">
      <c r="A892" s="1">
        <v>39871</v>
      </c>
      <c r="B892" t="s">
        <v>146</v>
      </c>
      <c r="C892">
        <v>13</v>
      </c>
      <c r="D892">
        <f>YEAR(cukier8[[#This Row],[data]])</f>
        <v>2009</v>
      </c>
      <c r="E892">
        <f>VLOOKUP(cukier8[[#This Row],[rok]],$L$2:$M$11,2,FALSE)*cukier8[[#This Row],[sprzedany_cukier]]</f>
        <v>27.689999999999998</v>
      </c>
    </row>
    <row r="893" spans="1:5" x14ac:dyDescent="0.25">
      <c r="A893" s="1">
        <v>39871</v>
      </c>
      <c r="B893" t="s">
        <v>45</v>
      </c>
      <c r="C893">
        <v>156</v>
      </c>
      <c r="D893">
        <f>YEAR(cukier8[[#This Row],[data]])</f>
        <v>2009</v>
      </c>
      <c r="E893">
        <f>VLOOKUP(cukier8[[#This Row],[rok]],$L$2:$M$11,2,FALSE)*cukier8[[#This Row],[sprzedany_cukier]]</f>
        <v>332.28</v>
      </c>
    </row>
    <row r="894" spans="1:5" x14ac:dyDescent="0.25">
      <c r="A894" s="1">
        <v>39873</v>
      </c>
      <c r="B894" t="s">
        <v>183</v>
      </c>
      <c r="C894">
        <v>20</v>
      </c>
      <c r="D894">
        <f>YEAR(cukier8[[#This Row],[data]])</f>
        <v>2009</v>
      </c>
      <c r="E894">
        <f>VLOOKUP(cukier8[[#This Row],[rok]],$L$2:$M$11,2,FALSE)*cukier8[[#This Row],[sprzedany_cukier]]</f>
        <v>42.599999999999994</v>
      </c>
    </row>
    <row r="895" spans="1:5" x14ac:dyDescent="0.25">
      <c r="A895" s="1">
        <v>39874</v>
      </c>
      <c r="B895" t="s">
        <v>12</v>
      </c>
      <c r="C895">
        <v>112</v>
      </c>
      <c r="D895">
        <f>YEAR(cukier8[[#This Row],[data]])</f>
        <v>2009</v>
      </c>
      <c r="E895">
        <f>VLOOKUP(cukier8[[#This Row],[rok]],$L$2:$M$11,2,FALSE)*cukier8[[#This Row],[sprzedany_cukier]]</f>
        <v>238.56</v>
      </c>
    </row>
    <row r="896" spans="1:5" x14ac:dyDescent="0.25">
      <c r="A896" s="1">
        <v>39877</v>
      </c>
      <c r="B896" t="s">
        <v>7</v>
      </c>
      <c r="C896">
        <v>110</v>
      </c>
      <c r="D896">
        <f>YEAR(cukier8[[#This Row],[data]])</f>
        <v>2009</v>
      </c>
      <c r="E896">
        <f>VLOOKUP(cukier8[[#This Row],[rok]],$L$2:$M$11,2,FALSE)*cukier8[[#This Row],[sprzedany_cukier]]</f>
        <v>234.29999999999998</v>
      </c>
    </row>
    <row r="897" spans="1:5" x14ac:dyDescent="0.25">
      <c r="A897" s="1">
        <v>39878</v>
      </c>
      <c r="B897" t="s">
        <v>184</v>
      </c>
      <c r="C897">
        <v>4</v>
      </c>
      <c r="D897">
        <f>YEAR(cukier8[[#This Row],[data]])</f>
        <v>2009</v>
      </c>
      <c r="E897">
        <f>VLOOKUP(cukier8[[#This Row],[rok]],$L$2:$M$11,2,FALSE)*cukier8[[#This Row],[sprzedany_cukier]]</f>
        <v>8.52</v>
      </c>
    </row>
    <row r="898" spans="1:5" x14ac:dyDescent="0.25">
      <c r="A898" s="1">
        <v>39885</v>
      </c>
      <c r="B898" t="s">
        <v>133</v>
      </c>
      <c r="C898">
        <v>18</v>
      </c>
      <c r="D898">
        <f>YEAR(cukier8[[#This Row],[data]])</f>
        <v>2009</v>
      </c>
      <c r="E898">
        <f>VLOOKUP(cukier8[[#This Row],[rok]],$L$2:$M$11,2,FALSE)*cukier8[[#This Row],[sprzedany_cukier]]</f>
        <v>38.339999999999996</v>
      </c>
    </row>
    <row r="899" spans="1:5" x14ac:dyDescent="0.25">
      <c r="A899" s="1">
        <v>39889</v>
      </c>
      <c r="B899" t="s">
        <v>20</v>
      </c>
      <c r="C899">
        <v>60</v>
      </c>
      <c r="D899">
        <f>YEAR(cukier8[[#This Row],[data]])</f>
        <v>2009</v>
      </c>
      <c r="E899">
        <f>VLOOKUP(cukier8[[#This Row],[rok]],$L$2:$M$11,2,FALSE)*cukier8[[#This Row],[sprzedany_cukier]]</f>
        <v>127.8</v>
      </c>
    </row>
    <row r="900" spans="1:5" x14ac:dyDescent="0.25">
      <c r="A900" s="1">
        <v>39889</v>
      </c>
      <c r="B900" t="s">
        <v>88</v>
      </c>
      <c r="C900">
        <v>14</v>
      </c>
      <c r="D900">
        <f>YEAR(cukier8[[#This Row],[data]])</f>
        <v>2009</v>
      </c>
      <c r="E900">
        <f>VLOOKUP(cukier8[[#This Row],[rok]],$L$2:$M$11,2,FALSE)*cukier8[[#This Row],[sprzedany_cukier]]</f>
        <v>29.82</v>
      </c>
    </row>
    <row r="901" spans="1:5" x14ac:dyDescent="0.25">
      <c r="A901" s="1">
        <v>39889</v>
      </c>
      <c r="B901" t="s">
        <v>28</v>
      </c>
      <c r="C901">
        <v>24</v>
      </c>
      <c r="D901">
        <f>YEAR(cukier8[[#This Row],[data]])</f>
        <v>2009</v>
      </c>
      <c r="E901">
        <f>VLOOKUP(cukier8[[#This Row],[rok]],$L$2:$M$11,2,FALSE)*cukier8[[#This Row],[sprzedany_cukier]]</f>
        <v>51.12</v>
      </c>
    </row>
    <row r="902" spans="1:5" x14ac:dyDescent="0.25">
      <c r="A902" s="1">
        <v>39891</v>
      </c>
      <c r="B902" t="s">
        <v>22</v>
      </c>
      <c r="C902">
        <v>145</v>
      </c>
      <c r="D902">
        <f>YEAR(cukier8[[#This Row],[data]])</f>
        <v>2009</v>
      </c>
      <c r="E902">
        <f>VLOOKUP(cukier8[[#This Row],[rok]],$L$2:$M$11,2,FALSE)*cukier8[[#This Row],[sprzedany_cukier]]</f>
        <v>308.84999999999997</v>
      </c>
    </row>
    <row r="903" spans="1:5" x14ac:dyDescent="0.25">
      <c r="A903" s="1">
        <v>39891</v>
      </c>
      <c r="B903" t="s">
        <v>50</v>
      </c>
      <c r="C903">
        <v>393</v>
      </c>
      <c r="D903">
        <f>YEAR(cukier8[[#This Row],[data]])</f>
        <v>2009</v>
      </c>
      <c r="E903">
        <f>VLOOKUP(cukier8[[#This Row],[rok]],$L$2:$M$11,2,FALSE)*cukier8[[#This Row],[sprzedany_cukier]]</f>
        <v>837.08999999999992</v>
      </c>
    </row>
    <row r="904" spans="1:5" x14ac:dyDescent="0.25">
      <c r="A904" s="1">
        <v>39893</v>
      </c>
      <c r="B904" t="s">
        <v>28</v>
      </c>
      <c r="C904">
        <v>73</v>
      </c>
      <c r="D904">
        <f>YEAR(cukier8[[#This Row],[data]])</f>
        <v>2009</v>
      </c>
      <c r="E904">
        <f>VLOOKUP(cukier8[[#This Row],[rok]],$L$2:$M$11,2,FALSE)*cukier8[[#This Row],[sprzedany_cukier]]</f>
        <v>155.48999999999998</v>
      </c>
    </row>
    <row r="905" spans="1:5" x14ac:dyDescent="0.25">
      <c r="A905" s="1">
        <v>39893</v>
      </c>
      <c r="B905" t="s">
        <v>8</v>
      </c>
      <c r="C905">
        <v>136</v>
      </c>
      <c r="D905">
        <f>YEAR(cukier8[[#This Row],[data]])</f>
        <v>2009</v>
      </c>
      <c r="E905">
        <f>VLOOKUP(cukier8[[#This Row],[rok]],$L$2:$M$11,2,FALSE)*cukier8[[#This Row],[sprzedany_cukier]]</f>
        <v>289.68</v>
      </c>
    </row>
    <row r="906" spans="1:5" x14ac:dyDescent="0.25">
      <c r="A906" s="1">
        <v>39894</v>
      </c>
      <c r="B906" t="s">
        <v>45</v>
      </c>
      <c r="C906">
        <v>422</v>
      </c>
      <c r="D906">
        <f>YEAR(cukier8[[#This Row],[data]])</f>
        <v>2009</v>
      </c>
      <c r="E906">
        <f>VLOOKUP(cukier8[[#This Row],[rok]],$L$2:$M$11,2,FALSE)*cukier8[[#This Row],[sprzedany_cukier]]</f>
        <v>898.8599999999999</v>
      </c>
    </row>
    <row r="907" spans="1:5" x14ac:dyDescent="0.25">
      <c r="A907" s="1">
        <v>39895</v>
      </c>
      <c r="B907" t="s">
        <v>9</v>
      </c>
      <c r="C907">
        <v>187</v>
      </c>
      <c r="D907">
        <f>YEAR(cukier8[[#This Row],[data]])</f>
        <v>2009</v>
      </c>
      <c r="E907">
        <f>VLOOKUP(cukier8[[#This Row],[rok]],$L$2:$M$11,2,FALSE)*cukier8[[#This Row],[sprzedany_cukier]]</f>
        <v>398.31</v>
      </c>
    </row>
    <row r="908" spans="1:5" x14ac:dyDescent="0.25">
      <c r="A908" s="1">
        <v>39897</v>
      </c>
      <c r="B908" t="s">
        <v>18</v>
      </c>
      <c r="C908">
        <v>58</v>
      </c>
      <c r="D908">
        <f>YEAR(cukier8[[#This Row],[data]])</f>
        <v>2009</v>
      </c>
      <c r="E908">
        <f>VLOOKUP(cukier8[[#This Row],[rok]],$L$2:$M$11,2,FALSE)*cukier8[[#This Row],[sprzedany_cukier]]</f>
        <v>123.53999999999999</v>
      </c>
    </row>
    <row r="909" spans="1:5" x14ac:dyDescent="0.25">
      <c r="A909" s="1">
        <v>39898</v>
      </c>
      <c r="B909" t="s">
        <v>45</v>
      </c>
      <c r="C909">
        <v>436</v>
      </c>
      <c r="D909">
        <f>YEAR(cukier8[[#This Row],[data]])</f>
        <v>2009</v>
      </c>
      <c r="E909">
        <f>VLOOKUP(cukier8[[#This Row],[rok]],$L$2:$M$11,2,FALSE)*cukier8[[#This Row],[sprzedany_cukier]]</f>
        <v>928.68</v>
      </c>
    </row>
    <row r="910" spans="1:5" x14ac:dyDescent="0.25">
      <c r="A910" s="1">
        <v>39902</v>
      </c>
      <c r="B910" t="s">
        <v>14</v>
      </c>
      <c r="C910">
        <v>406</v>
      </c>
      <c r="D910">
        <f>YEAR(cukier8[[#This Row],[data]])</f>
        <v>2009</v>
      </c>
      <c r="E910">
        <f>VLOOKUP(cukier8[[#This Row],[rok]],$L$2:$M$11,2,FALSE)*cukier8[[#This Row],[sprzedany_cukier]]</f>
        <v>864.78</v>
      </c>
    </row>
    <row r="911" spans="1:5" x14ac:dyDescent="0.25">
      <c r="A911" s="1">
        <v>39904</v>
      </c>
      <c r="B911" t="s">
        <v>14</v>
      </c>
      <c r="C911">
        <v>108</v>
      </c>
      <c r="D911">
        <f>YEAR(cukier8[[#This Row],[data]])</f>
        <v>2009</v>
      </c>
      <c r="E911">
        <f>VLOOKUP(cukier8[[#This Row],[rok]],$L$2:$M$11,2,FALSE)*cukier8[[#This Row],[sprzedany_cukier]]</f>
        <v>230.04</v>
      </c>
    </row>
    <row r="912" spans="1:5" x14ac:dyDescent="0.25">
      <c r="A912" s="1">
        <v>39905</v>
      </c>
      <c r="B912" t="s">
        <v>142</v>
      </c>
      <c r="C912">
        <v>10</v>
      </c>
      <c r="D912">
        <f>YEAR(cukier8[[#This Row],[data]])</f>
        <v>2009</v>
      </c>
      <c r="E912">
        <f>VLOOKUP(cukier8[[#This Row],[rok]],$L$2:$M$11,2,FALSE)*cukier8[[#This Row],[sprzedany_cukier]]</f>
        <v>21.299999999999997</v>
      </c>
    </row>
    <row r="913" spans="1:5" x14ac:dyDescent="0.25">
      <c r="A913" s="1">
        <v>39906</v>
      </c>
      <c r="B913" t="s">
        <v>37</v>
      </c>
      <c r="C913">
        <v>153</v>
      </c>
      <c r="D913">
        <f>YEAR(cukier8[[#This Row],[data]])</f>
        <v>2009</v>
      </c>
      <c r="E913">
        <f>VLOOKUP(cukier8[[#This Row],[rok]],$L$2:$M$11,2,FALSE)*cukier8[[#This Row],[sprzedany_cukier]]</f>
        <v>325.89</v>
      </c>
    </row>
    <row r="914" spans="1:5" x14ac:dyDescent="0.25">
      <c r="A914" s="1">
        <v>39908</v>
      </c>
      <c r="B914" t="s">
        <v>185</v>
      </c>
      <c r="C914">
        <v>3</v>
      </c>
      <c r="D914">
        <f>YEAR(cukier8[[#This Row],[data]])</f>
        <v>2009</v>
      </c>
      <c r="E914">
        <f>VLOOKUP(cukier8[[#This Row],[rok]],$L$2:$M$11,2,FALSE)*cukier8[[#This Row],[sprzedany_cukier]]</f>
        <v>6.39</v>
      </c>
    </row>
    <row r="915" spans="1:5" x14ac:dyDescent="0.25">
      <c r="A915" s="1">
        <v>39909</v>
      </c>
      <c r="B915" t="s">
        <v>31</v>
      </c>
      <c r="C915">
        <v>109</v>
      </c>
      <c r="D915">
        <f>YEAR(cukier8[[#This Row],[data]])</f>
        <v>2009</v>
      </c>
      <c r="E915">
        <f>VLOOKUP(cukier8[[#This Row],[rok]],$L$2:$M$11,2,FALSE)*cukier8[[#This Row],[sprzedany_cukier]]</f>
        <v>232.17</v>
      </c>
    </row>
    <row r="916" spans="1:5" x14ac:dyDescent="0.25">
      <c r="A916" s="1">
        <v>39911</v>
      </c>
      <c r="B916" t="s">
        <v>86</v>
      </c>
      <c r="C916">
        <v>9</v>
      </c>
      <c r="D916">
        <f>YEAR(cukier8[[#This Row],[data]])</f>
        <v>2009</v>
      </c>
      <c r="E916">
        <f>VLOOKUP(cukier8[[#This Row],[rok]],$L$2:$M$11,2,FALSE)*cukier8[[#This Row],[sprzedany_cukier]]</f>
        <v>19.169999999999998</v>
      </c>
    </row>
    <row r="917" spans="1:5" x14ac:dyDescent="0.25">
      <c r="A917" s="1">
        <v>39911</v>
      </c>
      <c r="B917" t="s">
        <v>52</v>
      </c>
      <c r="C917">
        <v>112</v>
      </c>
      <c r="D917">
        <f>YEAR(cukier8[[#This Row],[data]])</f>
        <v>2009</v>
      </c>
      <c r="E917">
        <f>VLOOKUP(cukier8[[#This Row],[rok]],$L$2:$M$11,2,FALSE)*cukier8[[#This Row],[sprzedany_cukier]]</f>
        <v>238.56</v>
      </c>
    </row>
    <row r="918" spans="1:5" x14ac:dyDescent="0.25">
      <c r="A918" s="1">
        <v>39916</v>
      </c>
      <c r="B918" t="s">
        <v>19</v>
      </c>
      <c r="C918">
        <v>29</v>
      </c>
      <c r="D918">
        <f>YEAR(cukier8[[#This Row],[data]])</f>
        <v>2009</v>
      </c>
      <c r="E918">
        <f>VLOOKUP(cukier8[[#This Row],[rok]],$L$2:$M$11,2,FALSE)*cukier8[[#This Row],[sprzedany_cukier]]</f>
        <v>61.769999999999996</v>
      </c>
    </row>
    <row r="919" spans="1:5" x14ac:dyDescent="0.25">
      <c r="A919" s="1">
        <v>39916</v>
      </c>
      <c r="B919" t="s">
        <v>50</v>
      </c>
      <c r="C919">
        <v>310</v>
      </c>
      <c r="D919">
        <f>YEAR(cukier8[[#This Row],[data]])</f>
        <v>2009</v>
      </c>
      <c r="E919">
        <f>VLOOKUP(cukier8[[#This Row],[rok]],$L$2:$M$11,2,FALSE)*cukier8[[#This Row],[sprzedany_cukier]]</f>
        <v>660.3</v>
      </c>
    </row>
    <row r="920" spans="1:5" x14ac:dyDescent="0.25">
      <c r="A920" s="1">
        <v>39918</v>
      </c>
      <c r="B920" t="s">
        <v>55</v>
      </c>
      <c r="C920">
        <v>107</v>
      </c>
      <c r="D920">
        <f>YEAR(cukier8[[#This Row],[data]])</f>
        <v>2009</v>
      </c>
      <c r="E920">
        <f>VLOOKUP(cukier8[[#This Row],[rok]],$L$2:$M$11,2,FALSE)*cukier8[[#This Row],[sprzedany_cukier]]</f>
        <v>227.91</v>
      </c>
    </row>
    <row r="921" spans="1:5" x14ac:dyDescent="0.25">
      <c r="A921" s="1">
        <v>39921</v>
      </c>
      <c r="B921" t="s">
        <v>8</v>
      </c>
      <c r="C921">
        <v>26</v>
      </c>
      <c r="D921">
        <f>YEAR(cukier8[[#This Row],[data]])</f>
        <v>2009</v>
      </c>
      <c r="E921">
        <f>VLOOKUP(cukier8[[#This Row],[rok]],$L$2:$M$11,2,FALSE)*cukier8[[#This Row],[sprzedany_cukier]]</f>
        <v>55.379999999999995</v>
      </c>
    </row>
    <row r="922" spans="1:5" x14ac:dyDescent="0.25">
      <c r="A922" s="1">
        <v>39923</v>
      </c>
      <c r="B922" t="s">
        <v>31</v>
      </c>
      <c r="C922">
        <v>114</v>
      </c>
      <c r="D922">
        <f>YEAR(cukier8[[#This Row],[data]])</f>
        <v>2009</v>
      </c>
      <c r="E922">
        <f>VLOOKUP(cukier8[[#This Row],[rok]],$L$2:$M$11,2,FALSE)*cukier8[[#This Row],[sprzedany_cukier]]</f>
        <v>242.82</v>
      </c>
    </row>
    <row r="923" spans="1:5" x14ac:dyDescent="0.25">
      <c r="A923" s="1">
        <v>39924</v>
      </c>
      <c r="B923" t="s">
        <v>169</v>
      </c>
      <c r="C923">
        <v>4</v>
      </c>
      <c r="D923">
        <f>YEAR(cukier8[[#This Row],[data]])</f>
        <v>2009</v>
      </c>
      <c r="E923">
        <f>VLOOKUP(cukier8[[#This Row],[rok]],$L$2:$M$11,2,FALSE)*cukier8[[#This Row],[sprzedany_cukier]]</f>
        <v>8.52</v>
      </c>
    </row>
    <row r="924" spans="1:5" x14ac:dyDescent="0.25">
      <c r="A924" s="1">
        <v>39925</v>
      </c>
      <c r="B924" t="s">
        <v>186</v>
      </c>
      <c r="C924">
        <v>15</v>
      </c>
      <c r="D924">
        <f>YEAR(cukier8[[#This Row],[data]])</f>
        <v>2009</v>
      </c>
      <c r="E924">
        <f>VLOOKUP(cukier8[[#This Row],[rok]],$L$2:$M$11,2,FALSE)*cukier8[[#This Row],[sprzedany_cukier]]</f>
        <v>31.95</v>
      </c>
    </row>
    <row r="925" spans="1:5" x14ac:dyDescent="0.25">
      <c r="A925" s="1">
        <v>39929</v>
      </c>
      <c r="B925" t="s">
        <v>66</v>
      </c>
      <c r="C925">
        <v>144</v>
      </c>
      <c r="D925">
        <f>YEAR(cukier8[[#This Row],[data]])</f>
        <v>2009</v>
      </c>
      <c r="E925">
        <f>VLOOKUP(cukier8[[#This Row],[rok]],$L$2:$M$11,2,FALSE)*cukier8[[#This Row],[sprzedany_cukier]]</f>
        <v>306.71999999999997</v>
      </c>
    </row>
    <row r="926" spans="1:5" x14ac:dyDescent="0.25">
      <c r="A926" s="1">
        <v>39933</v>
      </c>
      <c r="B926" t="s">
        <v>5</v>
      </c>
      <c r="C926">
        <v>110</v>
      </c>
      <c r="D926">
        <f>YEAR(cukier8[[#This Row],[data]])</f>
        <v>2009</v>
      </c>
      <c r="E926">
        <f>VLOOKUP(cukier8[[#This Row],[rok]],$L$2:$M$11,2,FALSE)*cukier8[[#This Row],[sprzedany_cukier]]</f>
        <v>234.29999999999998</v>
      </c>
    </row>
    <row r="927" spans="1:5" x14ac:dyDescent="0.25">
      <c r="A927" s="1">
        <v>39933</v>
      </c>
      <c r="B927" t="s">
        <v>37</v>
      </c>
      <c r="C927">
        <v>105</v>
      </c>
      <c r="D927">
        <f>YEAR(cukier8[[#This Row],[data]])</f>
        <v>2009</v>
      </c>
      <c r="E927">
        <f>VLOOKUP(cukier8[[#This Row],[rok]],$L$2:$M$11,2,FALSE)*cukier8[[#This Row],[sprzedany_cukier]]</f>
        <v>223.64999999999998</v>
      </c>
    </row>
    <row r="928" spans="1:5" x14ac:dyDescent="0.25">
      <c r="A928" s="1">
        <v>39935</v>
      </c>
      <c r="B928" t="s">
        <v>52</v>
      </c>
      <c r="C928">
        <v>51</v>
      </c>
      <c r="D928">
        <f>YEAR(cukier8[[#This Row],[data]])</f>
        <v>2009</v>
      </c>
      <c r="E928">
        <f>VLOOKUP(cukier8[[#This Row],[rok]],$L$2:$M$11,2,FALSE)*cukier8[[#This Row],[sprzedany_cukier]]</f>
        <v>108.63</v>
      </c>
    </row>
    <row r="929" spans="1:5" x14ac:dyDescent="0.25">
      <c r="A929" s="1">
        <v>39937</v>
      </c>
      <c r="B929" t="s">
        <v>145</v>
      </c>
      <c r="C929">
        <v>1</v>
      </c>
      <c r="D929">
        <f>YEAR(cukier8[[#This Row],[data]])</f>
        <v>2009</v>
      </c>
      <c r="E929">
        <f>VLOOKUP(cukier8[[#This Row],[rok]],$L$2:$M$11,2,FALSE)*cukier8[[#This Row],[sprzedany_cukier]]</f>
        <v>2.13</v>
      </c>
    </row>
    <row r="930" spans="1:5" x14ac:dyDescent="0.25">
      <c r="A930" s="1">
        <v>39937</v>
      </c>
      <c r="B930" t="s">
        <v>152</v>
      </c>
      <c r="C930">
        <v>8</v>
      </c>
      <c r="D930">
        <f>YEAR(cukier8[[#This Row],[data]])</f>
        <v>2009</v>
      </c>
      <c r="E930">
        <f>VLOOKUP(cukier8[[#This Row],[rok]],$L$2:$M$11,2,FALSE)*cukier8[[#This Row],[sprzedany_cukier]]</f>
        <v>17.04</v>
      </c>
    </row>
    <row r="931" spans="1:5" x14ac:dyDescent="0.25">
      <c r="A931" s="1">
        <v>39939</v>
      </c>
      <c r="B931" t="s">
        <v>9</v>
      </c>
      <c r="C931">
        <v>128</v>
      </c>
      <c r="D931">
        <f>YEAR(cukier8[[#This Row],[data]])</f>
        <v>2009</v>
      </c>
      <c r="E931">
        <f>VLOOKUP(cukier8[[#This Row],[rok]],$L$2:$M$11,2,FALSE)*cukier8[[#This Row],[sprzedany_cukier]]</f>
        <v>272.64</v>
      </c>
    </row>
    <row r="932" spans="1:5" x14ac:dyDescent="0.25">
      <c r="A932" s="1">
        <v>39942</v>
      </c>
      <c r="B932" t="s">
        <v>87</v>
      </c>
      <c r="C932">
        <v>9</v>
      </c>
      <c r="D932">
        <f>YEAR(cukier8[[#This Row],[data]])</f>
        <v>2009</v>
      </c>
      <c r="E932">
        <f>VLOOKUP(cukier8[[#This Row],[rok]],$L$2:$M$11,2,FALSE)*cukier8[[#This Row],[sprzedany_cukier]]</f>
        <v>19.169999999999998</v>
      </c>
    </row>
    <row r="933" spans="1:5" x14ac:dyDescent="0.25">
      <c r="A933" s="1">
        <v>39948</v>
      </c>
      <c r="B933" t="s">
        <v>9</v>
      </c>
      <c r="C933">
        <v>291</v>
      </c>
      <c r="D933">
        <f>YEAR(cukier8[[#This Row],[data]])</f>
        <v>2009</v>
      </c>
      <c r="E933">
        <f>VLOOKUP(cukier8[[#This Row],[rok]],$L$2:$M$11,2,FALSE)*cukier8[[#This Row],[sprzedany_cukier]]</f>
        <v>619.82999999999993</v>
      </c>
    </row>
    <row r="934" spans="1:5" x14ac:dyDescent="0.25">
      <c r="A934" s="1">
        <v>39949</v>
      </c>
      <c r="B934" t="s">
        <v>14</v>
      </c>
      <c r="C934">
        <v>261</v>
      </c>
      <c r="D934">
        <f>YEAR(cukier8[[#This Row],[data]])</f>
        <v>2009</v>
      </c>
      <c r="E934">
        <f>VLOOKUP(cukier8[[#This Row],[rok]],$L$2:$M$11,2,FALSE)*cukier8[[#This Row],[sprzedany_cukier]]</f>
        <v>555.92999999999995</v>
      </c>
    </row>
    <row r="935" spans="1:5" x14ac:dyDescent="0.25">
      <c r="A935" s="1">
        <v>39951</v>
      </c>
      <c r="B935" t="s">
        <v>52</v>
      </c>
      <c r="C935">
        <v>192</v>
      </c>
      <c r="D935">
        <f>YEAR(cukier8[[#This Row],[data]])</f>
        <v>2009</v>
      </c>
      <c r="E935">
        <f>VLOOKUP(cukier8[[#This Row],[rok]],$L$2:$M$11,2,FALSE)*cukier8[[#This Row],[sprzedany_cukier]]</f>
        <v>408.96</v>
      </c>
    </row>
    <row r="936" spans="1:5" x14ac:dyDescent="0.25">
      <c r="A936" s="1">
        <v>39951</v>
      </c>
      <c r="B936" t="s">
        <v>7</v>
      </c>
      <c r="C936">
        <v>319</v>
      </c>
      <c r="D936">
        <f>YEAR(cukier8[[#This Row],[data]])</f>
        <v>2009</v>
      </c>
      <c r="E936">
        <f>VLOOKUP(cukier8[[#This Row],[rok]],$L$2:$M$11,2,FALSE)*cukier8[[#This Row],[sprzedany_cukier]]</f>
        <v>679.46999999999991</v>
      </c>
    </row>
    <row r="937" spans="1:5" x14ac:dyDescent="0.25">
      <c r="A937" s="1">
        <v>39953</v>
      </c>
      <c r="B937" t="s">
        <v>45</v>
      </c>
      <c r="C937">
        <v>393</v>
      </c>
      <c r="D937">
        <f>YEAR(cukier8[[#This Row],[data]])</f>
        <v>2009</v>
      </c>
      <c r="E937">
        <f>VLOOKUP(cukier8[[#This Row],[rok]],$L$2:$M$11,2,FALSE)*cukier8[[#This Row],[sprzedany_cukier]]</f>
        <v>837.08999999999992</v>
      </c>
    </row>
    <row r="938" spans="1:5" x14ac:dyDescent="0.25">
      <c r="A938" s="1">
        <v>39957</v>
      </c>
      <c r="B938" t="s">
        <v>187</v>
      </c>
      <c r="C938">
        <v>13</v>
      </c>
      <c r="D938">
        <f>YEAR(cukier8[[#This Row],[data]])</f>
        <v>2009</v>
      </c>
      <c r="E938">
        <f>VLOOKUP(cukier8[[#This Row],[rok]],$L$2:$M$11,2,FALSE)*cukier8[[#This Row],[sprzedany_cukier]]</f>
        <v>27.689999999999998</v>
      </c>
    </row>
    <row r="939" spans="1:5" x14ac:dyDescent="0.25">
      <c r="A939" s="1">
        <v>39958</v>
      </c>
      <c r="B939" t="s">
        <v>50</v>
      </c>
      <c r="C939">
        <v>380</v>
      </c>
      <c r="D939">
        <f>YEAR(cukier8[[#This Row],[data]])</f>
        <v>2009</v>
      </c>
      <c r="E939">
        <f>VLOOKUP(cukier8[[#This Row],[rok]],$L$2:$M$11,2,FALSE)*cukier8[[#This Row],[sprzedany_cukier]]</f>
        <v>809.4</v>
      </c>
    </row>
    <row r="940" spans="1:5" x14ac:dyDescent="0.25">
      <c r="A940" s="1">
        <v>39959</v>
      </c>
      <c r="B940" t="s">
        <v>37</v>
      </c>
      <c r="C940">
        <v>36</v>
      </c>
      <c r="D940">
        <f>YEAR(cukier8[[#This Row],[data]])</f>
        <v>2009</v>
      </c>
      <c r="E940">
        <f>VLOOKUP(cukier8[[#This Row],[rok]],$L$2:$M$11,2,FALSE)*cukier8[[#This Row],[sprzedany_cukier]]</f>
        <v>76.679999999999993</v>
      </c>
    </row>
    <row r="941" spans="1:5" x14ac:dyDescent="0.25">
      <c r="A941" s="1">
        <v>39962</v>
      </c>
      <c r="B941" t="s">
        <v>173</v>
      </c>
      <c r="C941">
        <v>179</v>
      </c>
      <c r="D941">
        <f>YEAR(cukier8[[#This Row],[data]])</f>
        <v>2009</v>
      </c>
      <c r="E941">
        <f>VLOOKUP(cukier8[[#This Row],[rok]],$L$2:$M$11,2,FALSE)*cukier8[[#This Row],[sprzedany_cukier]]</f>
        <v>381.27</v>
      </c>
    </row>
    <row r="942" spans="1:5" x14ac:dyDescent="0.25">
      <c r="A942" s="1">
        <v>39964</v>
      </c>
      <c r="B942" t="s">
        <v>28</v>
      </c>
      <c r="C942">
        <v>111</v>
      </c>
      <c r="D942">
        <f>YEAR(cukier8[[#This Row],[data]])</f>
        <v>2009</v>
      </c>
      <c r="E942">
        <f>VLOOKUP(cukier8[[#This Row],[rok]],$L$2:$M$11,2,FALSE)*cukier8[[#This Row],[sprzedany_cukier]]</f>
        <v>236.42999999999998</v>
      </c>
    </row>
    <row r="943" spans="1:5" x14ac:dyDescent="0.25">
      <c r="A943" s="1">
        <v>39965</v>
      </c>
      <c r="B943" t="s">
        <v>8</v>
      </c>
      <c r="C943">
        <v>36</v>
      </c>
      <c r="D943">
        <f>YEAR(cukier8[[#This Row],[data]])</f>
        <v>2009</v>
      </c>
      <c r="E943">
        <f>VLOOKUP(cukier8[[#This Row],[rok]],$L$2:$M$11,2,FALSE)*cukier8[[#This Row],[sprzedany_cukier]]</f>
        <v>76.679999999999993</v>
      </c>
    </row>
    <row r="944" spans="1:5" x14ac:dyDescent="0.25">
      <c r="A944" s="1">
        <v>39965</v>
      </c>
      <c r="B944" t="s">
        <v>10</v>
      </c>
      <c r="C944">
        <v>120</v>
      </c>
      <c r="D944">
        <f>YEAR(cukier8[[#This Row],[data]])</f>
        <v>2009</v>
      </c>
      <c r="E944">
        <f>VLOOKUP(cukier8[[#This Row],[rok]],$L$2:$M$11,2,FALSE)*cukier8[[#This Row],[sprzedany_cukier]]</f>
        <v>255.6</v>
      </c>
    </row>
    <row r="945" spans="1:5" x14ac:dyDescent="0.25">
      <c r="A945" s="1">
        <v>39969</v>
      </c>
      <c r="B945" t="s">
        <v>188</v>
      </c>
      <c r="C945">
        <v>11</v>
      </c>
      <c r="D945">
        <f>YEAR(cukier8[[#This Row],[data]])</f>
        <v>2009</v>
      </c>
      <c r="E945">
        <f>VLOOKUP(cukier8[[#This Row],[rok]],$L$2:$M$11,2,FALSE)*cukier8[[#This Row],[sprzedany_cukier]]</f>
        <v>23.43</v>
      </c>
    </row>
    <row r="946" spans="1:5" x14ac:dyDescent="0.25">
      <c r="A946" s="1">
        <v>39971</v>
      </c>
      <c r="B946" t="s">
        <v>126</v>
      </c>
      <c r="C946">
        <v>15</v>
      </c>
      <c r="D946">
        <f>YEAR(cukier8[[#This Row],[data]])</f>
        <v>2009</v>
      </c>
      <c r="E946">
        <f>VLOOKUP(cukier8[[#This Row],[rok]],$L$2:$M$11,2,FALSE)*cukier8[[#This Row],[sprzedany_cukier]]</f>
        <v>31.95</v>
      </c>
    </row>
    <row r="947" spans="1:5" x14ac:dyDescent="0.25">
      <c r="A947" s="1">
        <v>39971</v>
      </c>
      <c r="B947" t="s">
        <v>43</v>
      </c>
      <c r="C947">
        <v>4</v>
      </c>
      <c r="D947">
        <f>YEAR(cukier8[[#This Row],[data]])</f>
        <v>2009</v>
      </c>
      <c r="E947">
        <f>VLOOKUP(cukier8[[#This Row],[rok]],$L$2:$M$11,2,FALSE)*cukier8[[#This Row],[sprzedany_cukier]]</f>
        <v>8.52</v>
      </c>
    </row>
    <row r="948" spans="1:5" x14ac:dyDescent="0.25">
      <c r="A948" s="1">
        <v>39974</v>
      </c>
      <c r="B948" t="s">
        <v>115</v>
      </c>
      <c r="C948">
        <v>11</v>
      </c>
      <c r="D948">
        <f>YEAR(cukier8[[#This Row],[data]])</f>
        <v>2009</v>
      </c>
      <c r="E948">
        <f>VLOOKUP(cukier8[[#This Row],[rok]],$L$2:$M$11,2,FALSE)*cukier8[[#This Row],[sprzedany_cukier]]</f>
        <v>23.43</v>
      </c>
    </row>
    <row r="949" spans="1:5" x14ac:dyDescent="0.25">
      <c r="A949" s="1">
        <v>39977</v>
      </c>
      <c r="B949" t="s">
        <v>189</v>
      </c>
      <c r="C949">
        <v>9</v>
      </c>
      <c r="D949">
        <f>YEAR(cukier8[[#This Row],[data]])</f>
        <v>2009</v>
      </c>
      <c r="E949">
        <f>VLOOKUP(cukier8[[#This Row],[rok]],$L$2:$M$11,2,FALSE)*cukier8[[#This Row],[sprzedany_cukier]]</f>
        <v>19.169999999999998</v>
      </c>
    </row>
    <row r="950" spans="1:5" x14ac:dyDescent="0.25">
      <c r="A950" s="1">
        <v>39978</v>
      </c>
      <c r="B950" t="s">
        <v>50</v>
      </c>
      <c r="C950">
        <v>498</v>
      </c>
      <c r="D950">
        <f>YEAR(cukier8[[#This Row],[data]])</f>
        <v>2009</v>
      </c>
      <c r="E950">
        <f>VLOOKUP(cukier8[[#This Row],[rok]],$L$2:$M$11,2,FALSE)*cukier8[[#This Row],[sprzedany_cukier]]</f>
        <v>1060.74</v>
      </c>
    </row>
    <row r="951" spans="1:5" x14ac:dyDescent="0.25">
      <c r="A951" s="1">
        <v>39980</v>
      </c>
      <c r="B951" t="s">
        <v>45</v>
      </c>
      <c r="C951">
        <v>350</v>
      </c>
      <c r="D951">
        <f>YEAR(cukier8[[#This Row],[data]])</f>
        <v>2009</v>
      </c>
      <c r="E951">
        <f>VLOOKUP(cukier8[[#This Row],[rok]],$L$2:$M$11,2,FALSE)*cukier8[[#This Row],[sprzedany_cukier]]</f>
        <v>745.5</v>
      </c>
    </row>
    <row r="952" spans="1:5" x14ac:dyDescent="0.25">
      <c r="A952" s="1">
        <v>39980</v>
      </c>
      <c r="B952" t="s">
        <v>8</v>
      </c>
      <c r="C952">
        <v>191</v>
      </c>
      <c r="D952">
        <f>YEAR(cukier8[[#This Row],[data]])</f>
        <v>2009</v>
      </c>
      <c r="E952">
        <f>VLOOKUP(cukier8[[#This Row],[rok]],$L$2:$M$11,2,FALSE)*cukier8[[#This Row],[sprzedany_cukier]]</f>
        <v>406.83</v>
      </c>
    </row>
    <row r="953" spans="1:5" x14ac:dyDescent="0.25">
      <c r="A953" s="1">
        <v>39980</v>
      </c>
      <c r="B953" t="s">
        <v>9</v>
      </c>
      <c r="C953">
        <v>402</v>
      </c>
      <c r="D953">
        <f>YEAR(cukier8[[#This Row],[data]])</f>
        <v>2009</v>
      </c>
      <c r="E953">
        <f>VLOOKUP(cukier8[[#This Row],[rok]],$L$2:$M$11,2,FALSE)*cukier8[[#This Row],[sprzedany_cukier]]</f>
        <v>856.26</v>
      </c>
    </row>
    <row r="954" spans="1:5" x14ac:dyDescent="0.25">
      <c r="A954" s="1">
        <v>39984</v>
      </c>
      <c r="B954" t="s">
        <v>69</v>
      </c>
      <c r="C954">
        <v>140</v>
      </c>
      <c r="D954">
        <f>YEAR(cukier8[[#This Row],[data]])</f>
        <v>2009</v>
      </c>
      <c r="E954">
        <f>VLOOKUP(cukier8[[#This Row],[rok]],$L$2:$M$11,2,FALSE)*cukier8[[#This Row],[sprzedany_cukier]]</f>
        <v>298.2</v>
      </c>
    </row>
    <row r="955" spans="1:5" x14ac:dyDescent="0.25">
      <c r="A955" s="1">
        <v>39985</v>
      </c>
      <c r="B955" t="s">
        <v>190</v>
      </c>
      <c r="C955">
        <v>3</v>
      </c>
      <c r="D955">
        <f>YEAR(cukier8[[#This Row],[data]])</f>
        <v>2009</v>
      </c>
      <c r="E955">
        <f>VLOOKUP(cukier8[[#This Row],[rok]],$L$2:$M$11,2,FALSE)*cukier8[[#This Row],[sprzedany_cukier]]</f>
        <v>6.39</v>
      </c>
    </row>
    <row r="956" spans="1:5" x14ac:dyDescent="0.25">
      <c r="A956" s="1">
        <v>39987</v>
      </c>
      <c r="B956" t="s">
        <v>52</v>
      </c>
      <c r="C956">
        <v>25</v>
      </c>
      <c r="D956">
        <f>YEAR(cukier8[[#This Row],[data]])</f>
        <v>2009</v>
      </c>
      <c r="E956">
        <f>VLOOKUP(cukier8[[#This Row],[rok]],$L$2:$M$11,2,FALSE)*cukier8[[#This Row],[sprzedany_cukier]]</f>
        <v>53.25</v>
      </c>
    </row>
    <row r="957" spans="1:5" x14ac:dyDescent="0.25">
      <c r="A957" s="1">
        <v>39992</v>
      </c>
      <c r="B957" t="s">
        <v>191</v>
      </c>
      <c r="C957">
        <v>7</v>
      </c>
      <c r="D957">
        <f>YEAR(cukier8[[#This Row],[data]])</f>
        <v>2009</v>
      </c>
      <c r="E957">
        <f>VLOOKUP(cukier8[[#This Row],[rok]],$L$2:$M$11,2,FALSE)*cukier8[[#This Row],[sprzedany_cukier]]</f>
        <v>14.91</v>
      </c>
    </row>
    <row r="958" spans="1:5" x14ac:dyDescent="0.25">
      <c r="A958" s="1">
        <v>39994</v>
      </c>
      <c r="B958" t="s">
        <v>192</v>
      </c>
      <c r="C958">
        <v>17</v>
      </c>
      <c r="D958">
        <f>YEAR(cukier8[[#This Row],[data]])</f>
        <v>2009</v>
      </c>
      <c r="E958">
        <f>VLOOKUP(cukier8[[#This Row],[rok]],$L$2:$M$11,2,FALSE)*cukier8[[#This Row],[sprzedany_cukier]]</f>
        <v>36.21</v>
      </c>
    </row>
    <row r="959" spans="1:5" x14ac:dyDescent="0.25">
      <c r="A959" s="1">
        <v>39994</v>
      </c>
      <c r="B959" t="s">
        <v>9</v>
      </c>
      <c r="C959">
        <v>479</v>
      </c>
      <c r="D959">
        <f>YEAR(cukier8[[#This Row],[data]])</f>
        <v>2009</v>
      </c>
      <c r="E959">
        <f>VLOOKUP(cukier8[[#This Row],[rok]],$L$2:$M$11,2,FALSE)*cukier8[[#This Row],[sprzedany_cukier]]</f>
        <v>1020.27</v>
      </c>
    </row>
    <row r="960" spans="1:5" x14ac:dyDescent="0.25">
      <c r="A960" s="1">
        <v>39994</v>
      </c>
      <c r="B960" t="s">
        <v>193</v>
      </c>
      <c r="C960">
        <v>6</v>
      </c>
      <c r="D960">
        <f>YEAR(cukier8[[#This Row],[data]])</f>
        <v>2009</v>
      </c>
      <c r="E960">
        <f>VLOOKUP(cukier8[[#This Row],[rok]],$L$2:$M$11,2,FALSE)*cukier8[[#This Row],[sprzedany_cukier]]</f>
        <v>12.78</v>
      </c>
    </row>
    <row r="961" spans="1:5" x14ac:dyDescent="0.25">
      <c r="A961" s="1">
        <v>39994</v>
      </c>
      <c r="B961" t="s">
        <v>16</v>
      </c>
      <c r="C961">
        <v>10</v>
      </c>
      <c r="D961">
        <f>YEAR(cukier8[[#This Row],[data]])</f>
        <v>2009</v>
      </c>
      <c r="E961">
        <f>VLOOKUP(cukier8[[#This Row],[rok]],$L$2:$M$11,2,FALSE)*cukier8[[#This Row],[sprzedany_cukier]]</f>
        <v>21.299999999999997</v>
      </c>
    </row>
    <row r="962" spans="1:5" x14ac:dyDescent="0.25">
      <c r="A962" s="1">
        <v>39995</v>
      </c>
      <c r="B962" t="s">
        <v>29</v>
      </c>
      <c r="C962">
        <v>2</v>
      </c>
      <c r="D962">
        <f>YEAR(cukier8[[#This Row],[data]])</f>
        <v>2009</v>
      </c>
      <c r="E962">
        <f>VLOOKUP(cukier8[[#This Row],[rok]],$L$2:$M$11,2,FALSE)*cukier8[[#This Row],[sprzedany_cukier]]</f>
        <v>4.26</v>
      </c>
    </row>
    <row r="963" spans="1:5" x14ac:dyDescent="0.25">
      <c r="A963" s="1">
        <v>39997</v>
      </c>
      <c r="B963" t="s">
        <v>194</v>
      </c>
      <c r="C963">
        <v>13</v>
      </c>
      <c r="D963">
        <f>YEAR(cukier8[[#This Row],[data]])</f>
        <v>2009</v>
      </c>
      <c r="E963">
        <f>VLOOKUP(cukier8[[#This Row],[rok]],$L$2:$M$11,2,FALSE)*cukier8[[#This Row],[sprzedany_cukier]]</f>
        <v>27.689999999999998</v>
      </c>
    </row>
    <row r="964" spans="1:5" x14ac:dyDescent="0.25">
      <c r="A964" s="1">
        <v>40000</v>
      </c>
      <c r="B964" t="s">
        <v>183</v>
      </c>
      <c r="C964">
        <v>12</v>
      </c>
      <c r="D964">
        <f>YEAR(cukier8[[#This Row],[data]])</f>
        <v>2009</v>
      </c>
      <c r="E964">
        <f>VLOOKUP(cukier8[[#This Row],[rok]],$L$2:$M$11,2,FALSE)*cukier8[[#This Row],[sprzedany_cukier]]</f>
        <v>25.56</v>
      </c>
    </row>
    <row r="965" spans="1:5" x14ac:dyDescent="0.25">
      <c r="A965" s="1">
        <v>40000</v>
      </c>
      <c r="B965" t="s">
        <v>5</v>
      </c>
      <c r="C965">
        <v>191</v>
      </c>
      <c r="D965">
        <f>YEAR(cukier8[[#This Row],[data]])</f>
        <v>2009</v>
      </c>
      <c r="E965">
        <f>VLOOKUP(cukier8[[#This Row],[rok]],$L$2:$M$11,2,FALSE)*cukier8[[#This Row],[sprzedany_cukier]]</f>
        <v>406.83</v>
      </c>
    </row>
    <row r="966" spans="1:5" x14ac:dyDescent="0.25">
      <c r="A966" s="1">
        <v>40000</v>
      </c>
      <c r="B966" t="s">
        <v>10</v>
      </c>
      <c r="C966">
        <v>123</v>
      </c>
      <c r="D966">
        <f>YEAR(cukier8[[#This Row],[data]])</f>
        <v>2009</v>
      </c>
      <c r="E966">
        <f>VLOOKUP(cukier8[[#This Row],[rok]],$L$2:$M$11,2,FALSE)*cukier8[[#This Row],[sprzedany_cukier]]</f>
        <v>261.99</v>
      </c>
    </row>
    <row r="967" spans="1:5" x14ac:dyDescent="0.25">
      <c r="A967" s="1">
        <v>40001</v>
      </c>
      <c r="B967" t="s">
        <v>18</v>
      </c>
      <c r="C967">
        <v>66</v>
      </c>
      <c r="D967">
        <f>YEAR(cukier8[[#This Row],[data]])</f>
        <v>2009</v>
      </c>
      <c r="E967">
        <f>VLOOKUP(cukier8[[#This Row],[rok]],$L$2:$M$11,2,FALSE)*cukier8[[#This Row],[sprzedany_cukier]]</f>
        <v>140.57999999999998</v>
      </c>
    </row>
    <row r="968" spans="1:5" x14ac:dyDescent="0.25">
      <c r="A968" s="1">
        <v>40002</v>
      </c>
      <c r="B968" t="s">
        <v>61</v>
      </c>
      <c r="C968">
        <v>132</v>
      </c>
      <c r="D968">
        <f>YEAR(cukier8[[#This Row],[data]])</f>
        <v>2009</v>
      </c>
      <c r="E968">
        <f>VLOOKUP(cukier8[[#This Row],[rok]],$L$2:$M$11,2,FALSE)*cukier8[[#This Row],[sprzedany_cukier]]</f>
        <v>281.15999999999997</v>
      </c>
    </row>
    <row r="969" spans="1:5" x14ac:dyDescent="0.25">
      <c r="A969" s="1">
        <v>40006</v>
      </c>
      <c r="B969" t="s">
        <v>195</v>
      </c>
      <c r="C969">
        <v>9</v>
      </c>
      <c r="D969">
        <f>YEAR(cukier8[[#This Row],[data]])</f>
        <v>2009</v>
      </c>
      <c r="E969">
        <f>VLOOKUP(cukier8[[#This Row],[rok]],$L$2:$M$11,2,FALSE)*cukier8[[#This Row],[sprzedany_cukier]]</f>
        <v>19.169999999999998</v>
      </c>
    </row>
    <row r="970" spans="1:5" x14ac:dyDescent="0.25">
      <c r="A970" s="1">
        <v>40006</v>
      </c>
      <c r="B970" t="s">
        <v>78</v>
      </c>
      <c r="C970">
        <v>111</v>
      </c>
      <c r="D970">
        <f>YEAR(cukier8[[#This Row],[data]])</f>
        <v>2009</v>
      </c>
      <c r="E970">
        <f>VLOOKUP(cukier8[[#This Row],[rok]],$L$2:$M$11,2,FALSE)*cukier8[[#This Row],[sprzedany_cukier]]</f>
        <v>236.42999999999998</v>
      </c>
    </row>
    <row r="971" spans="1:5" x14ac:dyDescent="0.25">
      <c r="A971" s="1">
        <v>40007</v>
      </c>
      <c r="B971" t="s">
        <v>19</v>
      </c>
      <c r="C971">
        <v>163</v>
      </c>
      <c r="D971">
        <f>YEAR(cukier8[[#This Row],[data]])</f>
        <v>2009</v>
      </c>
      <c r="E971">
        <f>VLOOKUP(cukier8[[#This Row],[rok]],$L$2:$M$11,2,FALSE)*cukier8[[#This Row],[sprzedany_cukier]]</f>
        <v>347.19</v>
      </c>
    </row>
    <row r="972" spans="1:5" x14ac:dyDescent="0.25">
      <c r="A972" s="1">
        <v>40007</v>
      </c>
      <c r="B972" t="s">
        <v>155</v>
      </c>
      <c r="C972">
        <v>4</v>
      </c>
      <c r="D972">
        <f>YEAR(cukier8[[#This Row],[data]])</f>
        <v>2009</v>
      </c>
      <c r="E972">
        <f>VLOOKUP(cukier8[[#This Row],[rok]],$L$2:$M$11,2,FALSE)*cukier8[[#This Row],[sprzedany_cukier]]</f>
        <v>8.52</v>
      </c>
    </row>
    <row r="973" spans="1:5" x14ac:dyDescent="0.25">
      <c r="A973" s="1">
        <v>40009</v>
      </c>
      <c r="B973" t="s">
        <v>145</v>
      </c>
      <c r="C973">
        <v>10</v>
      </c>
      <c r="D973">
        <f>YEAR(cukier8[[#This Row],[data]])</f>
        <v>2009</v>
      </c>
      <c r="E973">
        <f>VLOOKUP(cukier8[[#This Row],[rok]],$L$2:$M$11,2,FALSE)*cukier8[[#This Row],[sprzedany_cukier]]</f>
        <v>21.299999999999997</v>
      </c>
    </row>
    <row r="974" spans="1:5" x14ac:dyDescent="0.25">
      <c r="A974" s="1">
        <v>40010</v>
      </c>
      <c r="B974" t="s">
        <v>9</v>
      </c>
      <c r="C974">
        <v>457</v>
      </c>
      <c r="D974">
        <f>YEAR(cukier8[[#This Row],[data]])</f>
        <v>2009</v>
      </c>
      <c r="E974">
        <f>VLOOKUP(cukier8[[#This Row],[rok]],$L$2:$M$11,2,FALSE)*cukier8[[#This Row],[sprzedany_cukier]]</f>
        <v>973.41</v>
      </c>
    </row>
    <row r="975" spans="1:5" x14ac:dyDescent="0.25">
      <c r="A975" s="1">
        <v>40012</v>
      </c>
      <c r="B975" t="s">
        <v>50</v>
      </c>
      <c r="C975">
        <v>260</v>
      </c>
      <c r="D975">
        <f>YEAR(cukier8[[#This Row],[data]])</f>
        <v>2009</v>
      </c>
      <c r="E975">
        <f>VLOOKUP(cukier8[[#This Row],[rok]],$L$2:$M$11,2,FALSE)*cukier8[[#This Row],[sprzedany_cukier]]</f>
        <v>553.79999999999995</v>
      </c>
    </row>
    <row r="976" spans="1:5" x14ac:dyDescent="0.25">
      <c r="A976" s="1">
        <v>40013</v>
      </c>
      <c r="B976" t="s">
        <v>120</v>
      </c>
      <c r="C976">
        <v>181</v>
      </c>
      <c r="D976">
        <f>YEAR(cukier8[[#This Row],[data]])</f>
        <v>2009</v>
      </c>
      <c r="E976">
        <f>VLOOKUP(cukier8[[#This Row],[rok]],$L$2:$M$11,2,FALSE)*cukier8[[#This Row],[sprzedany_cukier]]</f>
        <v>385.53</v>
      </c>
    </row>
    <row r="977" spans="1:5" x14ac:dyDescent="0.25">
      <c r="A977" s="1">
        <v>40014</v>
      </c>
      <c r="B977" t="s">
        <v>50</v>
      </c>
      <c r="C977">
        <v>144</v>
      </c>
      <c r="D977">
        <f>YEAR(cukier8[[#This Row],[data]])</f>
        <v>2009</v>
      </c>
      <c r="E977">
        <f>VLOOKUP(cukier8[[#This Row],[rok]],$L$2:$M$11,2,FALSE)*cukier8[[#This Row],[sprzedany_cukier]]</f>
        <v>306.71999999999997</v>
      </c>
    </row>
    <row r="978" spans="1:5" x14ac:dyDescent="0.25">
      <c r="A978" s="1">
        <v>40015</v>
      </c>
      <c r="B978" t="s">
        <v>22</v>
      </c>
      <c r="C978">
        <v>246</v>
      </c>
      <c r="D978">
        <f>YEAR(cukier8[[#This Row],[data]])</f>
        <v>2009</v>
      </c>
      <c r="E978">
        <f>VLOOKUP(cukier8[[#This Row],[rok]],$L$2:$M$11,2,FALSE)*cukier8[[#This Row],[sprzedany_cukier]]</f>
        <v>523.98</v>
      </c>
    </row>
    <row r="979" spans="1:5" x14ac:dyDescent="0.25">
      <c r="A979" s="1">
        <v>40017</v>
      </c>
      <c r="B979" t="s">
        <v>196</v>
      </c>
      <c r="C979">
        <v>10</v>
      </c>
      <c r="D979">
        <f>YEAR(cukier8[[#This Row],[data]])</f>
        <v>2009</v>
      </c>
      <c r="E979">
        <f>VLOOKUP(cukier8[[#This Row],[rok]],$L$2:$M$11,2,FALSE)*cukier8[[#This Row],[sprzedany_cukier]]</f>
        <v>21.299999999999997</v>
      </c>
    </row>
    <row r="980" spans="1:5" x14ac:dyDescent="0.25">
      <c r="A980" s="1">
        <v>40019</v>
      </c>
      <c r="B980" t="s">
        <v>26</v>
      </c>
      <c r="C980">
        <v>148</v>
      </c>
      <c r="D980">
        <f>YEAR(cukier8[[#This Row],[data]])</f>
        <v>2009</v>
      </c>
      <c r="E980">
        <f>VLOOKUP(cukier8[[#This Row],[rok]],$L$2:$M$11,2,FALSE)*cukier8[[#This Row],[sprzedany_cukier]]</f>
        <v>315.24</v>
      </c>
    </row>
    <row r="981" spans="1:5" x14ac:dyDescent="0.25">
      <c r="A981" s="1">
        <v>40021</v>
      </c>
      <c r="B981" t="s">
        <v>35</v>
      </c>
      <c r="C981">
        <v>24</v>
      </c>
      <c r="D981">
        <f>YEAR(cukier8[[#This Row],[data]])</f>
        <v>2009</v>
      </c>
      <c r="E981">
        <f>VLOOKUP(cukier8[[#This Row],[rok]],$L$2:$M$11,2,FALSE)*cukier8[[#This Row],[sprzedany_cukier]]</f>
        <v>51.12</v>
      </c>
    </row>
    <row r="982" spans="1:5" x14ac:dyDescent="0.25">
      <c r="A982" s="1">
        <v>40024</v>
      </c>
      <c r="B982" t="s">
        <v>25</v>
      </c>
      <c r="C982">
        <v>66</v>
      </c>
      <c r="D982">
        <f>YEAR(cukier8[[#This Row],[data]])</f>
        <v>2009</v>
      </c>
      <c r="E982">
        <f>VLOOKUP(cukier8[[#This Row],[rok]],$L$2:$M$11,2,FALSE)*cukier8[[#This Row],[sprzedany_cukier]]</f>
        <v>140.57999999999998</v>
      </c>
    </row>
    <row r="983" spans="1:5" x14ac:dyDescent="0.25">
      <c r="A983" s="1">
        <v>40027</v>
      </c>
      <c r="B983" t="s">
        <v>45</v>
      </c>
      <c r="C983">
        <v>333</v>
      </c>
      <c r="D983">
        <f>YEAR(cukier8[[#This Row],[data]])</f>
        <v>2009</v>
      </c>
      <c r="E983">
        <f>VLOOKUP(cukier8[[#This Row],[rok]],$L$2:$M$11,2,FALSE)*cukier8[[#This Row],[sprzedany_cukier]]</f>
        <v>709.29</v>
      </c>
    </row>
    <row r="984" spans="1:5" x14ac:dyDescent="0.25">
      <c r="A984" s="1">
        <v>40027</v>
      </c>
      <c r="B984" t="s">
        <v>37</v>
      </c>
      <c r="C984">
        <v>194</v>
      </c>
      <c r="D984">
        <f>YEAR(cukier8[[#This Row],[data]])</f>
        <v>2009</v>
      </c>
      <c r="E984">
        <f>VLOOKUP(cukier8[[#This Row],[rok]],$L$2:$M$11,2,FALSE)*cukier8[[#This Row],[sprzedany_cukier]]</f>
        <v>413.21999999999997</v>
      </c>
    </row>
    <row r="985" spans="1:5" x14ac:dyDescent="0.25">
      <c r="A985" s="1">
        <v>40031</v>
      </c>
      <c r="B985" t="s">
        <v>18</v>
      </c>
      <c r="C985">
        <v>154</v>
      </c>
      <c r="D985">
        <f>YEAR(cukier8[[#This Row],[data]])</f>
        <v>2009</v>
      </c>
      <c r="E985">
        <f>VLOOKUP(cukier8[[#This Row],[rok]],$L$2:$M$11,2,FALSE)*cukier8[[#This Row],[sprzedany_cukier]]</f>
        <v>328.02</v>
      </c>
    </row>
    <row r="986" spans="1:5" x14ac:dyDescent="0.25">
      <c r="A986" s="1">
        <v>40031</v>
      </c>
      <c r="B986" t="s">
        <v>55</v>
      </c>
      <c r="C986">
        <v>100</v>
      </c>
      <c r="D986">
        <f>YEAR(cukier8[[#This Row],[data]])</f>
        <v>2009</v>
      </c>
      <c r="E986">
        <f>VLOOKUP(cukier8[[#This Row],[rok]],$L$2:$M$11,2,FALSE)*cukier8[[#This Row],[sprzedany_cukier]]</f>
        <v>213</v>
      </c>
    </row>
    <row r="987" spans="1:5" x14ac:dyDescent="0.25">
      <c r="A987" s="1">
        <v>40031</v>
      </c>
      <c r="B987" t="s">
        <v>1</v>
      </c>
      <c r="C987">
        <v>18</v>
      </c>
      <c r="D987">
        <f>YEAR(cukier8[[#This Row],[data]])</f>
        <v>2009</v>
      </c>
      <c r="E987">
        <f>VLOOKUP(cukier8[[#This Row],[rok]],$L$2:$M$11,2,FALSE)*cukier8[[#This Row],[sprzedany_cukier]]</f>
        <v>38.339999999999996</v>
      </c>
    </row>
    <row r="988" spans="1:5" x14ac:dyDescent="0.25">
      <c r="A988" s="1">
        <v>40031</v>
      </c>
      <c r="B988" t="s">
        <v>170</v>
      </c>
      <c r="C988">
        <v>20</v>
      </c>
      <c r="D988">
        <f>YEAR(cukier8[[#This Row],[data]])</f>
        <v>2009</v>
      </c>
      <c r="E988">
        <f>VLOOKUP(cukier8[[#This Row],[rok]],$L$2:$M$11,2,FALSE)*cukier8[[#This Row],[sprzedany_cukier]]</f>
        <v>42.599999999999994</v>
      </c>
    </row>
    <row r="989" spans="1:5" x14ac:dyDescent="0.25">
      <c r="A989" s="1">
        <v>40033</v>
      </c>
      <c r="B989" t="s">
        <v>55</v>
      </c>
      <c r="C989">
        <v>200</v>
      </c>
      <c r="D989">
        <f>YEAR(cukier8[[#This Row],[data]])</f>
        <v>2009</v>
      </c>
      <c r="E989">
        <f>VLOOKUP(cukier8[[#This Row],[rok]],$L$2:$M$11,2,FALSE)*cukier8[[#This Row],[sprzedany_cukier]]</f>
        <v>426</v>
      </c>
    </row>
    <row r="990" spans="1:5" x14ac:dyDescent="0.25">
      <c r="A990" s="1">
        <v>40034</v>
      </c>
      <c r="B990" t="s">
        <v>18</v>
      </c>
      <c r="C990">
        <v>48</v>
      </c>
      <c r="D990">
        <f>YEAR(cukier8[[#This Row],[data]])</f>
        <v>2009</v>
      </c>
      <c r="E990">
        <f>VLOOKUP(cukier8[[#This Row],[rok]],$L$2:$M$11,2,FALSE)*cukier8[[#This Row],[sprzedany_cukier]]</f>
        <v>102.24</v>
      </c>
    </row>
    <row r="991" spans="1:5" x14ac:dyDescent="0.25">
      <c r="A991" s="1">
        <v>40034</v>
      </c>
      <c r="B991" t="s">
        <v>61</v>
      </c>
      <c r="C991">
        <v>68</v>
      </c>
      <c r="D991">
        <f>YEAR(cukier8[[#This Row],[data]])</f>
        <v>2009</v>
      </c>
      <c r="E991">
        <f>VLOOKUP(cukier8[[#This Row],[rok]],$L$2:$M$11,2,FALSE)*cukier8[[#This Row],[sprzedany_cukier]]</f>
        <v>144.84</v>
      </c>
    </row>
    <row r="992" spans="1:5" x14ac:dyDescent="0.25">
      <c r="A992" s="1">
        <v>40035</v>
      </c>
      <c r="B992" t="s">
        <v>174</v>
      </c>
      <c r="C992">
        <v>9</v>
      </c>
      <c r="D992">
        <f>YEAR(cukier8[[#This Row],[data]])</f>
        <v>2009</v>
      </c>
      <c r="E992">
        <f>VLOOKUP(cukier8[[#This Row],[rok]],$L$2:$M$11,2,FALSE)*cukier8[[#This Row],[sprzedany_cukier]]</f>
        <v>19.169999999999998</v>
      </c>
    </row>
    <row r="993" spans="1:5" x14ac:dyDescent="0.25">
      <c r="A993" s="1">
        <v>40039</v>
      </c>
      <c r="B993" t="s">
        <v>50</v>
      </c>
      <c r="C993">
        <v>493</v>
      </c>
      <c r="D993">
        <f>YEAR(cukier8[[#This Row],[data]])</f>
        <v>2009</v>
      </c>
      <c r="E993">
        <f>VLOOKUP(cukier8[[#This Row],[rok]],$L$2:$M$11,2,FALSE)*cukier8[[#This Row],[sprzedany_cukier]]</f>
        <v>1050.0899999999999</v>
      </c>
    </row>
    <row r="994" spans="1:5" x14ac:dyDescent="0.25">
      <c r="A994" s="1">
        <v>40039</v>
      </c>
      <c r="B994" t="s">
        <v>14</v>
      </c>
      <c r="C994">
        <v>340</v>
      </c>
      <c r="D994">
        <f>YEAR(cukier8[[#This Row],[data]])</f>
        <v>2009</v>
      </c>
      <c r="E994">
        <f>VLOOKUP(cukier8[[#This Row],[rok]],$L$2:$M$11,2,FALSE)*cukier8[[#This Row],[sprzedany_cukier]]</f>
        <v>724.19999999999993</v>
      </c>
    </row>
    <row r="995" spans="1:5" x14ac:dyDescent="0.25">
      <c r="A995" s="1">
        <v>40041</v>
      </c>
      <c r="B995" t="s">
        <v>174</v>
      </c>
      <c r="C995">
        <v>2</v>
      </c>
      <c r="D995">
        <f>YEAR(cukier8[[#This Row],[data]])</f>
        <v>2009</v>
      </c>
      <c r="E995">
        <f>VLOOKUP(cukier8[[#This Row],[rok]],$L$2:$M$11,2,FALSE)*cukier8[[#This Row],[sprzedany_cukier]]</f>
        <v>4.26</v>
      </c>
    </row>
    <row r="996" spans="1:5" x14ac:dyDescent="0.25">
      <c r="A996" s="1">
        <v>40044</v>
      </c>
      <c r="B996" t="s">
        <v>28</v>
      </c>
      <c r="C996">
        <v>62</v>
      </c>
      <c r="D996">
        <f>YEAR(cukier8[[#This Row],[data]])</f>
        <v>2009</v>
      </c>
      <c r="E996">
        <f>VLOOKUP(cukier8[[#This Row],[rok]],$L$2:$M$11,2,FALSE)*cukier8[[#This Row],[sprzedany_cukier]]</f>
        <v>132.06</v>
      </c>
    </row>
    <row r="997" spans="1:5" x14ac:dyDescent="0.25">
      <c r="A997" s="1">
        <v>40044</v>
      </c>
      <c r="B997" t="s">
        <v>22</v>
      </c>
      <c r="C997">
        <v>164</v>
      </c>
      <c r="D997">
        <f>YEAR(cukier8[[#This Row],[data]])</f>
        <v>2009</v>
      </c>
      <c r="E997">
        <f>VLOOKUP(cukier8[[#This Row],[rok]],$L$2:$M$11,2,FALSE)*cukier8[[#This Row],[sprzedany_cukier]]</f>
        <v>349.32</v>
      </c>
    </row>
    <row r="998" spans="1:5" x14ac:dyDescent="0.25">
      <c r="A998" s="1">
        <v>40045</v>
      </c>
      <c r="B998" t="s">
        <v>28</v>
      </c>
      <c r="C998">
        <v>170</v>
      </c>
      <c r="D998">
        <f>YEAR(cukier8[[#This Row],[data]])</f>
        <v>2009</v>
      </c>
      <c r="E998">
        <f>VLOOKUP(cukier8[[#This Row],[rok]],$L$2:$M$11,2,FALSE)*cukier8[[#This Row],[sprzedany_cukier]]</f>
        <v>362.09999999999997</v>
      </c>
    </row>
    <row r="999" spans="1:5" x14ac:dyDescent="0.25">
      <c r="A999" s="1">
        <v>40047</v>
      </c>
      <c r="B999" t="s">
        <v>71</v>
      </c>
      <c r="C999">
        <v>164</v>
      </c>
      <c r="D999">
        <f>YEAR(cukier8[[#This Row],[data]])</f>
        <v>2009</v>
      </c>
      <c r="E999">
        <f>VLOOKUP(cukier8[[#This Row],[rok]],$L$2:$M$11,2,FALSE)*cukier8[[#This Row],[sprzedany_cukier]]</f>
        <v>349.32</v>
      </c>
    </row>
    <row r="1000" spans="1:5" x14ac:dyDescent="0.25">
      <c r="A1000" s="1">
        <v>40049</v>
      </c>
      <c r="B1000" t="s">
        <v>6</v>
      </c>
      <c r="C1000">
        <v>70</v>
      </c>
      <c r="D1000">
        <f>YEAR(cukier8[[#This Row],[data]])</f>
        <v>2009</v>
      </c>
      <c r="E1000">
        <f>VLOOKUP(cukier8[[#This Row],[rok]],$L$2:$M$11,2,FALSE)*cukier8[[#This Row],[sprzedany_cukier]]</f>
        <v>149.1</v>
      </c>
    </row>
    <row r="1001" spans="1:5" x14ac:dyDescent="0.25">
      <c r="A1001" s="1">
        <v>40056</v>
      </c>
      <c r="B1001" t="s">
        <v>50</v>
      </c>
      <c r="C1001">
        <v>133</v>
      </c>
      <c r="D1001">
        <f>YEAR(cukier8[[#This Row],[data]])</f>
        <v>2009</v>
      </c>
      <c r="E1001">
        <f>VLOOKUP(cukier8[[#This Row],[rok]],$L$2:$M$11,2,FALSE)*cukier8[[#This Row],[sprzedany_cukier]]</f>
        <v>283.28999999999996</v>
      </c>
    </row>
    <row r="1002" spans="1:5" x14ac:dyDescent="0.25">
      <c r="A1002" s="1">
        <v>40057</v>
      </c>
      <c r="B1002" t="s">
        <v>197</v>
      </c>
      <c r="C1002">
        <v>20</v>
      </c>
      <c r="D1002">
        <f>YEAR(cukier8[[#This Row],[data]])</f>
        <v>2009</v>
      </c>
      <c r="E1002">
        <f>VLOOKUP(cukier8[[#This Row],[rok]],$L$2:$M$11,2,FALSE)*cukier8[[#This Row],[sprzedany_cukier]]</f>
        <v>42.599999999999994</v>
      </c>
    </row>
    <row r="1003" spans="1:5" x14ac:dyDescent="0.25">
      <c r="A1003" s="1">
        <v>40059</v>
      </c>
      <c r="B1003" t="s">
        <v>198</v>
      </c>
      <c r="C1003">
        <v>15</v>
      </c>
      <c r="D1003">
        <f>YEAR(cukier8[[#This Row],[data]])</f>
        <v>2009</v>
      </c>
      <c r="E1003">
        <f>VLOOKUP(cukier8[[#This Row],[rok]],$L$2:$M$11,2,FALSE)*cukier8[[#This Row],[sprzedany_cukier]]</f>
        <v>31.95</v>
      </c>
    </row>
    <row r="1004" spans="1:5" x14ac:dyDescent="0.25">
      <c r="A1004" s="1">
        <v>40060</v>
      </c>
      <c r="B1004" t="s">
        <v>199</v>
      </c>
      <c r="C1004">
        <v>15</v>
      </c>
      <c r="D1004">
        <f>YEAR(cukier8[[#This Row],[data]])</f>
        <v>2009</v>
      </c>
      <c r="E1004">
        <f>VLOOKUP(cukier8[[#This Row],[rok]],$L$2:$M$11,2,FALSE)*cukier8[[#This Row],[sprzedany_cukier]]</f>
        <v>31.95</v>
      </c>
    </row>
    <row r="1005" spans="1:5" x14ac:dyDescent="0.25">
      <c r="A1005" s="1">
        <v>40061</v>
      </c>
      <c r="B1005" t="s">
        <v>58</v>
      </c>
      <c r="C1005">
        <v>105</v>
      </c>
      <c r="D1005">
        <f>YEAR(cukier8[[#This Row],[data]])</f>
        <v>2009</v>
      </c>
      <c r="E1005">
        <f>VLOOKUP(cukier8[[#This Row],[rok]],$L$2:$M$11,2,FALSE)*cukier8[[#This Row],[sprzedany_cukier]]</f>
        <v>223.64999999999998</v>
      </c>
    </row>
    <row r="1006" spans="1:5" x14ac:dyDescent="0.25">
      <c r="A1006" s="1">
        <v>40065</v>
      </c>
      <c r="B1006" t="s">
        <v>31</v>
      </c>
      <c r="C1006">
        <v>192</v>
      </c>
      <c r="D1006">
        <f>YEAR(cukier8[[#This Row],[data]])</f>
        <v>2009</v>
      </c>
      <c r="E1006">
        <f>VLOOKUP(cukier8[[#This Row],[rok]],$L$2:$M$11,2,FALSE)*cukier8[[#This Row],[sprzedany_cukier]]</f>
        <v>408.96</v>
      </c>
    </row>
    <row r="1007" spans="1:5" x14ac:dyDescent="0.25">
      <c r="A1007" s="1">
        <v>40065</v>
      </c>
      <c r="B1007" t="s">
        <v>80</v>
      </c>
      <c r="C1007">
        <v>142</v>
      </c>
      <c r="D1007">
        <f>YEAR(cukier8[[#This Row],[data]])</f>
        <v>2009</v>
      </c>
      <c r="E1007">
        <f>VLOOKUP(cukier8[[#This Row],[rok]],$L$2:$M$11,2,FALSE)*cukier8[[#This Row],[sprzedany_cukier]]</f>
        <v>302.45999999999998</v>
      </c>
    </row>
    <row r="1008" spans="1:5" x14ac:dyDescent="0.25">
      <c r="A1008" s="1">
        <v>40066</v>
      </c>
      <c r="B1008" t="s">
        <v>106</v>
      </c>
      <c r="C1008">
        <v>3</v>
      </c>
      <c r="D1008">
        <f>YEAR(cukier8[[#This Row],[data]])</f>
        <v>2009</v>
      </c>
      <c r="E1008">
        <f>VLOOKUP(cukier8[[#This Row],[rok]],$L$2:$M$11,2,FALSE)*cukier8[[#This Row],[sprzedany_cukier]]</f>
        <v>6.39</v>
      </c>
    </row>
    <row r="1009" spans="1:5" x14ac:dyDescent="0.25">
      <c r="A1009" s="1">
        <v>40066</v>
      </c>
      <c r="B1009" t="s">
        <v>17</v>
      </c>
      <c r="C1009">
        <v>219</v>
      </c>
      <c r="D1009">
        <f>YEAR(cukier8[[#This Row],[data]])</f>
        <v>2009</v>
      </c>
      <c r="E1009">
        <f>VLOOKUP(cukier8[[#This Row],[rok]],$L$2:$M$11,2,FALSE)*cukier8[[#This Row],[sprzedany_cukier]]</f>
        <v>466.46999999999997</v>
      </c>
    </row>
    <row r="1010" spans="1:5" x14ac:dyDescent="0.25">
      <c r="A1010" s="1">
        <v>40070</v>
      </c>
      <c r="B1010" t="s">
        <v>30</v>
      </c>
      <c r="C1010">
        <v>137</v>
      </c>
      <c r="D1010">
        <f>YEAR(cukier8[[#This Row],[data]])</f>
        <v>2009</v>
      </c>
      <c r="E1010">
        <f>VLOOKUP(cukier8[[#This Row],[rok]],$L$2:$M$11,2,FALSE)*cukier8[[#This Row],[sprzedany_cukier]]</f>
        <v>291.81</v>
      </c>
    </row>
    <row r="1011" spans="1:5" x14ac:dyDescent="0.25">
      <c r="A1011" s="1">
        <v>40071</v>
      </c>
      <c r="B1011" t="s">
        <v>20</v>
      </c>
      <c r="C1011">
        <v>108</v>
      </c>
      <c r="D1011">
        <f>YEAR(cukier8[[#This Row],[data]])</f>
        <v>2009</v>
      </c>
      <c r="E1011">
        <f>VLOOKUP(cukier8[[#This Row],[rok]],$L$2:$M$11,2,FALSE)*cukier8[[#This Row],[sprzedany_cukier]]</f>
        <v>230.04</v>
      </c>
    </row>
    <row r="1012" spans="1:5" x14ac:dyDescent="0.25">
      <c r="A1012" s="1">
        <v>40072</v>
      </c>
      <c r="B1012" t="s">
        <v>102</v>
      </c>
      <c r="C1012">
        <v>395</v>
      </c>
      <c r="D1012">
        <f>YEAR(cukier8[[#This Row],[data]])</f>
        <v>2009</v>
      </c>
      <c r="E1012">
        <f>VLOOKUP(cukier8[[#This Row],[rok]],$L$2:$M$11,2,FALSE)*cukier8[[#This Row],[sprzedany_cukier]]</f>
        <v>841.34999999999991</v>
      </c>
    </row>
    <row r="1013" spans="1:5" x14ac:dyDescent="0.25">
      <c r="A1013" s="1">
        <v>40073</v>
      </c>
      <c r="B1013" t="s">
        <v>200</v>
      </c>
      <c r="C1013">
        <v>3</v>
      </c>
      <c r="D1013">
        <f>YEAR(cukier8[[#This Row],[data]])</f>
        <v>2009</v>
      </c>
      <c r="E1013">
        <f>VLOOKUP(cukier8[[#This Row],[rok]],$L$2:$M$11,2,FALSE)*cukier8[[#This Row],[sprzedany_cukier]]</f>
        <v>6.39</v>
      </c>
    </row>
    <row r="1014" spans="1:5" x14ac:dyDescent="0.25">
      <c r="A1014" s="1">
        <v>40075</v>
      </c>
      <c r="B1014" t="s">
        <v>6</v>
      </c>
      <c r="C1014">
        <v>73</v>
      </c>
      <c r="D1014">
        <f>YEAR(cukier8[[#This Row],[data]])</f>
        <v>2009</v>
      </c>
      <c r="E1014">
        <f>VLOOKUP(cukier8[[#This Row],[rok]],$L$2:$M$11,2,FALSE)*cukier8[[#This Row],[sprzedany_cukier]]</f>
        <v>155.48999999999998</v>
      </c>
    </row>
    <row r="1015" spans="1:5" x14ac:dyDescent="0.25">
      <c r="A1015" s="1">
        <v>40075</v>
      </c>
      <c r="B1015" t="s">
        <v>45</v>
      </c>
      <c r="C1015">
        <v>209</v>
      </c>
      <c r="D1015">
        <f>YEAR(cukier8[[#This Row],[data]])</f>
        <v>2009</v>
      </c>
      <c r="E1015">
        <f>VLOOKUP(cukier8[[#This Row],[rok]],$L$2:$M$11,2,FALSE)*cukier8[[#This Row],[sprzedany_cukier]]</f>
        <v>445.16999999999996</v>
      </c>
    </row>
    <row r="1016" spans="1:5" x14ac:dyDescent="0.25">
      <c r="A1016" s="1">
        <v>40077</v>
      </c>
      <c r="B1016" t="s">
        <v>37</v>
      </c>
      <c r="C1016">
        <v>41</v>
      </c>
      <c r="D1016">
        <f>YEAR(cukier8[[#This Row],[data]])</f>
        <v>2009</v>
      </c>
      <c r="E1016">
        <f>VLOOKUP(cukier8[[#This Row],[rok]],$L$2:$M$11,2,FALSE)*cukier8[[#This Row],[sprzedany_cukier]]</f>
        <v>87.33</v>
      </c>
    </row>
    <row r="1017" spans="1:5" x14ac:dyDescent="0.25">
      <c r="A1017" s="1">
        <v>40083</v>
      </c>
      <c r="B1017" t="s">
        <v>17</v>
      </c>
      <c r="C1017">
        <v>488</v>
      </c>
      <c r="D1017">
        <f>YEAR(cukier8[[#This Row],[data]])</f>
        <v>2009</v>
      </c>
      <c r="E1017">
        <f>VLOOKUP(cukier8[[#This Row],[rok]],$L$2:$M$11,2,FALSE)*cukier8[[#This Row],[sprzedany_cukier]]</f>
        <v>1039.44</v>
      </c>
    </row>
    <row r="1018" spans="1:5" x14ac:dyDescent="0.25">
      <c r="A1018" s="1">
        <v>40084</v>
      </c>
      <c r="B1018" t="s">
        <v>97</v>
      </c>
      <c r="C1018">
        <v>5</v>
      </c>
      <c r="D1018">
        <f>YEAR(cukier8[[#This Row],[data]])</f>
        <v>2009</v>
      </c>
      <c r="E1018">
        <f>VLOOKUP(cukier8[[#This Row],[rok]],$L$2:$M$11,2,FALSE)*cukier8[[#This Row],[sprzedany_cukier]]</f>
        <v>10.649999999999999</v>
      </c>
    </row>
    <row r="1019" spans="1:5" x14ac:dyDescent="0.25">
      <c r="A1019" s="1">
        <v>40084</v>
      </c>
      <c r="B1019" t="s">
        <v>69</v>
      </c>
      <c r="C1019">
        <v>97</v>
      </c>
      <c r="D1019">
        <f>YEAR(cukier8[[#This Row],[data]])</f>
        <v>2009</v>
      </c>
      <c r="E1019">
        <f>VLOOKUP(cukier8[[#This Row],[rok]],$L$2:$M$11,2,FALSE)*cukier8[[#This Row],[sprzedany_cukier]]</f>
        <v>206.60999999999999</v>
      </c>
    </row>
    <row r="1020" spans="1:5" x14ac:dyDescent="0.25">
      <c r="A1020" s="1">
        <v>40085</v>
      </c>
      <c r="B1020" t="s">
        <v>8</v>
      </c>
      <c r="C1020">
        <v>58</v>
      </c>
      <c r="D1020">
        <f>YEAR(cukier8[[#This Row],[data]])</f>
        <v>2009</v>
      </c>
      <c r="E1020">
        <f>VLOOKUP(cukier8[[#This Row],[rok]],$L$2:$M$11,2,FALSE)*cukier8[[#This Row],[sprzedany_cukier]]</f>
        <v>123.53999999999999</v>
      </c>
    </row>
    <row r="1021" spans="1:5" x14ac:dyDescent="0.25">
      <c r="A1021" s="1">
        <v>40085</v>
      </c>
      <c r="B1021" t="s">
        <v>55</v>
      </c>
      <c r="C1021">
        <v>179</v>
      </c>
      <c r="D1021">
        <f>YEAR(cukier8[[#This Row],[data]])</f>
        <v>2009</v>
      </c>
      <c r="E1021">
        <f>VLOOKUP(cukier8[[#This Row],[rok]],$L$2:$M$11,2,FALSE)*cukier8[[#This Row],[sprzedany_cukier]]</f>
        <v>381.27</v>
      </c>
    </row>
    <row r="1022" spans="1:5" x14ac:dyDescent="0.25">
      <c r="A1022" s="1">
        <v>40087</v>
      </c>
      <c r="B1022" t="s">
        <v>38</v>
      </c>
      <c r="C1022">
        <v>18</v>
      </c>
      <c r="D1022">
        <f>YEAR(cukier8[[#This Row],[data]])</f>
        <v>2009</v>
      </c>
      <c r="E1022">
        <f>VLOOKUP(cukier8[[#This Row],[rok]],$L$2:$M$11,2,FALSE)*cukier8[[#This Row],[sprzedany_cukier]]</f>
        <v>38.339999999999996</v>
      </c>
    </row>
    <row r="1023" spans="1:5" x14ac:dyDescent="0.25">
      <c r="A1023" s="1">
        <v>40088</v>
      </c>
      <c r="B1023" t="s">
        <v>51</v>
      </c>
      <c r="C1023">
        <v>4</v>
      </c>
      <c r="D1023">
        <f>YEAR(cukier8[[#This Row],[data]])</f>
        <v>2009</v>
      </c>
      <c r="E1023">
        <f>VLOOKUP(cukier8[[#This Row],[rok]],$L$2:$M$11,2,FALSE)*cukier8[[#This Row],[sprzedany_cukier]]</f>
        <v>8.52</v>
      </c>
    </row>
    <row r="1024" spans="1:5" x14ac:dyDescent="0.25">
      <c r="A1024" s="1">
        <v>40088</v>
      </c>
      <c r="B1024" t="s">
        <v>33</v>
      </c>
      <c r="C1024">
        <v>1</v>
      </c>
      <c r="D1024">
        <f>YEAR(cukier8[[#This Row],[data]])</f>
        <v>2009</v>
      </c>
      <c r="E1024">
        <f>VLOOKUP(cukier8[[#This Row],[rok]],$L$2:$M$11,2,FALSE)*cukier8[[#This Row],[sprzedany_cukier]]</f>
        <v>2.13</v>
      </c>
    </row>
    <row r="1025" spans="1:5" x14ac:dyDescent="0.25">
      <c r="A1025" s="1">
        <v>40089</v>
      </c>
      <c r="B1025" t="s">
        <v>31</v>
      </c>
      <c r="C1025">
        <v>86</v>
      </c>
      <c r="D1025">
        <f>YEAR(cukier8[[#This Row],[data]])</f>
        <v>2009</v>
      </c>
      <c r="E1025">
        <f>VLOOKUP(cukier8[[#This Row],[rok]],$L$2:$M$11,2,FALSE)*cukier8[[#This Row],[sprzedany_cukier]]</f>
        <v>183.17999999999998</v>
      </c>
    </row>
    <row r="1026" spans="1:5" x14ac:dyDescent="0.25">
      <c r="A1026" s="1">
        <v>40090</v>
      </c>
      <c r="B1026" t="s">
        <v>14</v>
      </c>
      <c r="C1026">
        <v>290</v>
      </c>
      <c r="D1026">
        <f>YEAR(cukier8[[#This Row],[data]])</f>
        <v>2009</v>
      </c>
      <c r="E1026">
        <f>VLOOKUP(cukier8[[#This Row],[rok]],$L$2:$M$11,2,FALSE)*cukier8[[#This Row],[sprzedany_cukier]]</f>
        <v>617.69999999999993</v>
      </c>
    </row>
    <row r="1027" spans="1:5" x14ac:dyDescent="0.25">
      <c r="A1027" s="1">
        <v>40092</v>
      </c>
      <c r="B1027" t="s">
        <v>184</v>
      </c>
      <c r="C1027">
        <v>14</v>
      </c>
      <c r="D1027">
        <f>YEAR(cukier8[[#This Row],[data]])</f>
        <v>2009</v>
      </c>
      <c r="E1027">
        <f>VLOOKUP(cukier8[[#This Row],[rok]],$L$2:$M$11,2,FALSE)*cukier8[[#This Row],[sprzedany_cukier]]</f>
        <v>29.82</v>
      </c>
    </row>
    <row r="1028" spans="1:5" x14ac:dyDescent="0.25">
      <c r="A1028" s="1">
        <v>40094</v>
      </c>
      <c r="B1028" t="s">
        <v>39</v>
      </c>
      <c r="C1028">
        <v>120</v>
      </c>
      <c r="D1028">
        <f>YEAR(cukier8[[#This Row],[data]])</f>
        <v>2009</v>
      </c>
      <c r="E1028">
        <f>VLOOKUP(cukier8[[#This Row],[rok]],$L$2:$M$11,2,FALSE)*cukier8[[#This Row],[sprzedany_cukier]]</f>
        <v>255.6</v>
      </c>
    </row>
    <row r="1029" spans="1:5" x14ac:dyDescent="0.25">
      <c r="A1029" s="1">
        <v>40094</v>
      </c>
      <c r="B1029" t="s">
        <v>123</v>
      </c>
      <c r="C1029">
        <v>28</v>
      </c>
      <c r="D1029">
        <f>YEAR(cukier8[[#This Row],[data]])</f>
        <v>2009</v>
      </c>
      <c r="E1029">
        <f>VLOOKUP(cukier8[[#This Row],[rok]],$L$2:$M$11,2,FALSE)*cukier8[[#This Row],[sprzedany_cukier]]</f>
        <v>59.64</v>
      </c>
    </row>
    <row r="1030" spans="1:5" x14ac:dyDescent="0.25">
      <c r="A1030" s="1">
        <v>40095</v>
      </c>
      <c r="B1030" t="s">
        <v>9</v>
      </c>
      <c r="C1030">
        <v>213</v>
      </c>
      <c r="D1030">
        <f>YEAR(cukier8[[#This Row],[data]])</f>
        <v>2009</v>
      </c>
      <c r="E1030">
        <f>VLOOKUP(cukier8[[#This Row],[rok]],$L$2:$M$11,2,FALSE)*cukier8[[#This Row],[sprzedany_cukier]]</f>
        <v>453.69</v>
      </c>
    </row>
    <row r="1031" spans="1:5" x14ac:dyDescent="0.25">
      <c r="A1031" s="1">
        <v>40101</v>
      </c>
      <c r="B1031" t="s">
        <v>108</v>
      </c>
      <c r="C1031">
        <v>10</v>
      </c>
      <c r="D1031">
        <f>YEAR(cukier8[[#This Row],[data]])</f>
        <v>2009</v>
      </c>
      <c r="E1031">
        <f>VLOOKUP(cukier8[[#This Row],[rok]],$L$2:$M$11,2,FALSE)*cukier8[[#This Row],[sprzedany_cukier]]</f>
        <v>21.299999999999997</v>
      </c>
    </row>
    <row r="1032" spans="1:5" x14ac:dyDescent="0.25">
      <c r="A1032" s="1">
        <v>40102</v>
      </c>
      <c r="B1032" t="s">
        <v>69</v>
      </c>
      <c r="C1032">
        <v>53</v>
      </c>
      <c r="D1032">
        <f>YEAR(cukier8[[#This Row],[data]])</f>
        <v>2009</v>
      </c>
      <c r="E1032">
        <f>VLOOKUP(cukier8[[#This Row],[rok]],$L$2:$M$11,2,FALSE)*cukier8[[#This Row],[sprzedany_cukier]]</f>
        <v>112.89</v>
      </c>
    </row>
    <row r="1033" spans="1:5" x14ac:dyDescent="0.25">
      <c r="A1033" s="1">
        <v>40103</v>
      </c>
      <c r="B1033" t="s">
        <v>30</v>
      </c>
      <c r="C1033">
        <v>178</v>
      </c>
      <c r="D1033">
        <f>YEAR(cukier8[[#This Row],[data]])</f>
        <v>2009</v>
      </c>
      <c r="E1033">
        <f>VLOOKUP(cukier8[[#This Row],[rok]],$L$2:$M$11,2,FALSE)*cukier8[[#This Row],[sprzedany_cukier]]</f>
        <v>379.14</v>
      </c>
    </row>
    <row r="1034" spans="1:5" x14ac:dyDescent="0.25">
      <c r="A1034" s="1">
        <v>40103</v>
      </c>
      <c r="B1034" t="s">
        <v>74</v>
      </c>
      <c r="C1034">
        <v>6</v>
      </c>
      <c r="D1034">
        <f>YEAR(cukier8[[#This Row],[data]])</f>
        <v>2009</v>
      </c>
      <c r="E1034">
        <f>VLOOKUP(cukier8[[#This Row],[rok]],$L$2:$M$11,2,FALSE)*cukier8[[#This Row],[sprzedany_cukier]]</f>
        <v>12.78</v>
      </c>
    </row>
    <row r="1035" spans="1:5" x14ac:dyDescent="0.25">
      <c r="A1035" s="1">
        <v>40107</v>
      </c>
      <c r="B1035" t="s">
        <v>9</v>
      </c>
      <c r="C1035">
        <v>118</v>
      </c>
      <c r="D1035">
        <f>YEAR(cukier8[[#This Row],[data]])</f>
        <v>2009</v>
      </c>
      <c r="E1035">
        <f>VLOOKUP(cukier8[[#This Row],[rok]],$L$2:$M$11,2,FALSE)*cukier8[[#This Row],[sprzedany_cukier]]</f>
        <v>251.33999999999997</v>
      </c>
    </row>
    <row r="1036" spans="1:5" x14ac:dyDescent="0.25">
      <c r="A1036" s="1">
        <v>40107</v>
      </c>
      <c r="B1036" t="s">
        <v>70</v>
      </c>
      <c r="C1036">
        <v>5</v>
      </c>
      <c r="D1036">
        <f>YEAR(cukier8[[#This Row],[data]])</f>
        <v>2009</v>
      </c>
      <c r="E1036">
        <f>VLOOKUP(cukier8[[#This Row],[rok]],$L$2:$M$11,2,FALSE)*cukier8[[#This Row],[sprzedany_cukier]]</f>
        <v>10.649999999999999</v>
      </c>
    </row>
    <row r="1037" spans="1:5" x14ac:dyDescent="0.25">
      <c r="A1037" s="1">
        <v>40108</v>
      </c>
      <c r="B1037" t="s">
        <v>18</v>
      </c>
      <c r="C1037">
        <v>89</v>
      </c>
      <c r="D1037">
        <f>YEAR(cukier8[[#This Row],[data]])</f>
        <v>2009</v>
      </c>
      <c r="E1037">
        <f>VLOOKUP(cukier8[[#This Row],[rok]],$L$2:$M$11,2,FALSE)*cukier8[[#This Row],[sprzedany_cukier]]</f>
        <v>189.57</v>
      </c>
    </row>
    <row r="1038" spans="1:5" x14ac:dyDescent="0.25">
      <c r="A1038" s="1">
        <v>40113</v>
      </c>
      <c r="B1038" t="s">
        <v>35</v>
      </c>
      <c r="C1038">
        <v>22</v>
      </c>
      <c r="D1038">
        <f>YEAR(cukier8[[#This Row],[data]])</f>
        <v>2009</v>
      </c>
      <c r="E1038">
        <f>VLOOKUP(cukier8[[#This Row],[rok]],$L$2:$M$11,2,FALSE)*cukier8[[#This Row],[sprzedany_cukier]]</f>
        <v>46.86</v>
      </c>
    </row>
    <row r="1039" spans="1:5" x14ac:dyDescent="0.25">
      <c r="A1039" s="1">
        <v>40114</v>
      </c>
      <c r="B1039" t="s">
        <v>18</v>
      </c>
      <c r="C1039">
        <v>199</v>
      </c>
      <c r="D1039">
        <f>YEAR(cukier8[[#This Row],[data]])</f>
        <v>2009</v>
      </c>
      <c r="E1039">
        <f>VLOOKUP(cukier8[[#This Row],[rok]],$L$2:$M$11,2,FALSE)*cukier8[[#This Row],[sprzedany_cukier]]</f>
        <v>423.87</v>
      </c>
    </row>
    <row r="1040" spans="1:5" x14ac:dyDescent="0.25">
      <c r="A1040" s="1">
        <v>40120</v>
      </c>
      <c r="B1040" t="s">
        <v>109</v>
      </c>
      <c r="C1040">
        <v>8</v>
      </c>
      <c r="D1040">
        <f>YEAR(cukier8[[#This Row],[data]])</f>
        <v>2009</v>
      </c>
      <c r="E1040">
        <f>VLOOKUP(cukier8[[#This Row],[rok]],$L$2:$M$11,2,FALSE)*cukier8[[#This Row],[sprzedany_cukier]]</f>
        <v>17.04</v>
      </c>
    </row>
    <row r="1041" spans="1:5" x14ac:dyDescent="0.25">
      <c r="A1041" s="1">
        <v>40120</v>
      </c>
      <c r="B1041" t="s">
        <v>18</v>
      </c>
      <c r="C1041">
        <v>198</v>
      </c>
      <c r="D1041">
        <f>YEAR(cukier8[[#This Row],[data]])</f>
        <v>2009</v>
      </c>
      <c r="E1041">
        <f>VLOOKUP(cukier8[[#This Row],[rok]],$L$2:$M$11,2,FALSE)*cukier8[[#This Row],[sprzedany_cukier]]</f>
        <v>421.73999999999995</v>
      </c>
    </row>
    <row r="1042" spans="1:5" x14ac:dyDescent="0.25">
      <c r="A1042" s="1">
        <v>40121</v>
      </c>
      <c r="B1042" t="s">
        <v>95</v>
      </c>
      <c r="C1042">
        <v>6</v>
      </c>
      <c r="D1042">
        <f>YEAR(cukier8[[#This Row],[data]])</f>
        <v>2009</v>
      </c>
      <c r="E1042">
        <f>VLOOKUP(cukier8[[#This Row],[rok]],$L$2:$M$11,2,FALSE)*cukier8[[#This Row],[sprzedany_cukier]]</f>
        <v>12.78</v>
      </c>
    </row>
    <row r="1043" spans="1:5" x14ac:dyDescent="0.25">
      <c r="A1043" s="1">
        <v>40121</v>
      </c>
      <c r="B1043" t="s">
        <v>23</v>
      </c>
      <c r="C1043">
        <v>68</v>
      </c>
      <c r="D1043">
        <f>YEAR(cukier8[[#This Row],[data]])</f>
        <v>2009</v>
      </c>
      <c r="E1043">
        <f>VLOOKUP(cukier8[[#This Row],[rok]],$L$2:$M$11,2,FALSE)*cukier8[[#This Row],[sprzedany_cukier]]</f>
        <v>144.84</v>
      </c>
    </row>
    <row r="1044" spans="1:5" x14ac:dyDescent="0.25">
      <c r="A1044" s="1">
        <v>40121</v>
      </c>
      <c r="B1044" t="s">
        <v>102</v>
      </c>
      <c r="C1044">
        <v>200</v>
      </c>
      <c r="D1044">
        <f>YEAR(cukier8[[#This Row],[data]])</f>
        <v>2009</v>
      </c>
      <c r="E1044">
        <f>VLOOKUP(cukier8[[#This Row],[rok]],$L$2:$M$11,2,FALSE)*cukier8[[#This Row],[sprzedany_cukier]]</f>
        <v>426</v>
      </c>
    </row>
    <row r="1045" spans="1:5" x14ac:dyDescent="0.25">
      <c r="A1045" s="1">
        <v>40122</v>
      </c>
      <c r="B1045" t="s">
        <v>5</v>
      </c>
      <c r="C1045">
        <v>426</v>
      </c>
      <c r="D1045">
        <f>YEAR(cukier8[[#This Row],[data]])</f>
        <v>2009</v>
      </c>
      <c r="E1045">
        <f>VLOOKUP(cukier8[[#This Row],[rok]],$L$2:$M$11,2,FALSE)*cukier8[[#This Row],[sprzedany_cukier]]</f>
        <v>907.38</v>
      </c>
    </row>
    <row r="1046" spans="1:5" x14ac:dyDescent="0.25">
      <c r="A1046" s="1">
        <v>40122</v>
      </c>
      <c r="B1046" t="s">
        <v>78</v>
      </c>
      <c r="C1046">
        <v>142</v>
      </c>
      <c r="D1046">
        <f>YEAR(cukier8[[#This Row],[data]])</f>
        <v>2009</v>
      </c>
      <c r="E1046">
        <f>VLOOKUP(cukier8[[#This Row],[rok]],$L$2:$M$11,2,FALSE)*cukier8[[#This Row],[sprzedany_cukier]]</f>
        <v>302.45999999999998</v>
      </c>
    </row>
    <row r="1047" spans="1:5" x14ac:dyDescent="0.25">
      <c r="A1047" s="1">
        <v>40122</v>
      </c>
      <c r="B1047" t="s">
        <v>7</v>
      </c>
      <c r="C1047">
        <v>298</v>
      </c>
      <c r="D1047">
        <f>YEAR(cukier8[[#This Row],[data]])</f>
        <v>2009</v>
      </c>
      <c r="E1047">
        <f>VLOOKUP(cukier8[[#This Row],[rok]],$L$2:$M$11,2,FALSE)*cukier8[[#This Row],[sprzedany_cukier]]</f>
        <v>634.74</v>
      </c>
    </row>
    <row r="1048" spans="1:5" x14ac:dyDescent="0.25">
      <c r="A1048" s="1">
        <v>40124</v>
      </c>
      <c r="B1048" t="s">
        <v>17</v>
      </c>
      <c r="C1048">
        <v>224</v>
      </c>
      <c r="D1048">
        <f>YEAR(cukier8[[#This Row],[data]])</f>
        <v>2009</v>
      </c>
      <c r="E1048">
        <f>VLOOKUP(cukier8[[#This Row],[rok]],$L$2:$M$11,2,FALSE)*cukier8[[#This Row],[sprzedany_cukier]]</f>
        <v>477.12</v>
      </c>
    </row>
    <row r="1049" spans="1:5" x14ac:dyDescent="0.25">
      <c r="A1049" s="1">
        <v>40126</v>
      </c>
      <c r="B1049" t="s">
        <v>5</v>
      </c>
      <c r="C1049">
        <v>133</v>
      </c>
      <c r="D1049">
        <f>YEAR(cukier8[[#This Row],[data]])</f>
        <v>2009</v>
      </c>
      <c r="E1049">
        <f>VLOOKUP(cukier8[[#This Row],[rok]],$L$2:$M$11,2,FALSE)*cukier8[[#This Row],[sprzedany_cukier]]</f>
        <v>283.28999999999996</v>
      </c>
    </row>
    <row r="1050" spans="1:5" x14ac:dyDescent="0.25">
      <c r="A1050" s="1">
        <v>40128</v>
      </c>
      <c r="B1050" t="s">
        <v>45</v>
      </c>
      <c r="C1050">
        <v>326</v>
      </c>
      <c r="D1050">
        <f>YEAR(cukier8[[#This Row],[data]])</f>
        <v>2009</v>
      </c>
      <c r="E1050">
        <f>VLOOKUP(cukier8[[#This Row],[rok]],$L$2:$M$11,2,FALSE)*cukier8[[#This Row],[sprzedany_cukier]]</f>
        <v>694.38</v>
      </c>
    </row>
    <row r="1051" spans="1:5" x14ac:dyDescent="0.25">
      <c r="A1051" s="1">
        <v>40128</v>
      </c>
      <c r="B1051" t="s">
        <v>120</v>
      </c>
      <c r="C1051">
        <v>102</v>
      </c>
      <c r="D1051">
        <f>YEAR(cukier8[[#This Row],[data]])</f>
        <v>2009</v>
      </c>
      <c r="E1051">
        <f>VLOOKUP(cukier8[[#This Row],[rok]],$L$2:$M$11,2,FALSE)*cukier8[[#This Row],[sprzedany_cukier]]</f>
        <v>217.26</v>
      </c>
    </row>
    <row r="1052" spans="1:5" x14ac:dyDescent="0.25">
      <c r="A1052" s="1">
        <v>40129</v>
      </c>
      <c r="B1052" t="s">
        <v>7</v>
      </c>
      <c r="C1052">
        <v>332</v>
      </c>
      <c r="D1052">
        <f>YEAR(cukier8[[#This Row],[data]])</f>
        <v>2009</v>
      </c>
      <c r="E1052">
        <f>VLOOKUP(cukier8[[#This Row],[rok]],$L$2:$M$11,2,FALSE)*cukier8[[#This Row],[sprzedany_cukier]]</f>
        <v>707.16</v>
      </c>
    </row>
    <row r="1053" spans="1:5" x14ac:dyDescent="0.25">
      <c r="A1053" s="1">
        <v>40130</v>
      </c>
      <c r="B1053" t="s">
        <v>19</v>
      </c>
      <c r="C1053">
        <v>95</v>
      </c>
      <c r="D1053">
        <f>YEAR(cukier8[[#This Row],[data]])</f>
        <v>2009</v>
      </c>
      <c r="E1053">
        <f>VLOOKUP(cukier8[[#This Row],[rok]],$L$2:$M$11,2,FALSE)*cukier8[[#This Row],[sprzedany_cukier]]</f>
        <v>202.35</v>
      </c>
    </row>
    <row r="1054" spans="1:5" x14ac:dyDescent="0.25">
      <c r="A1054" s="1">
        <v>40134</v>
      </c>
      <c r="B1054" t="s">
        <v>136</v>
      </c>
      <c r="C1054">
        <v>7</v>
      </c>
      <c r="D1054">
        <f>YEAR(cukier8[[#This Row],[data]])</f>
        <v>2009</v>
      </c>
      <c r="E1054">
        <f>VLOOKUP(cukier8[[#This Row],[rok]],$L$2:$M$11,2,FALSE)*cukier8[[#This Row],[sprzedany_cukier]]</f>
        <v>14.91</v>
      </c>
    </row>
    <row r="1055" spans="1:5" x14ac:dyDescent="0.25">
      <c r="A1055" s="1">
        <v>40134</v>
      </c>
      <c r="B1055" t="s">
        <v>14</v>
      </c>
      <c r="C1055">
        <v>276</v>
      </c>
      <c r="D1055">
        <f>YEAR(cukier8[[#This Row],[data]])</f>
        <v>2009</v>
      </c>
      <c r="E1055">
        <f>VLOOKUP(cukier8[[#This Row],[rok]],$L$2:$M$11,2,FALSE)*cukier8[[#This Row],[sprzedany_cukier]]</f>
        <v>587.88</v>
      </c>
    </row>
    <row r="1056" spans="1:5" x14ac:dyDescent="0.25">
      <c r="A1056" s="1">
        <v>40134</v>
      </c>
      <c r="B1056" t="s">
        <v>139</v>
      </c>
      <c r="C1056">
        <v>6</v>
      </c>
      <c r="D1056">
        <f>YEAR(cukier8[[#This Row],[data]])</f>
        <v>2009</v>
      </c>
      <c r="E1056">
        <f>VLOOKUP(cukier8[[#This Row],[rok]],$L$2:$M$11,2,FALSE)*cukier8[[#This Row],[sprzedany_cukier]]</f>
        <v>12.78</v>
      </c>
    </row>
    <row r="1057" spans="1:5" x14ac:dyDescent="0.25">
      <c r="A1057" s="1">
        <v>40136</v>
      </c>
      <c r="B1057" t="s">
        <v>45</v>
      </c>
      <c r="C1057">
        <v>232</v>
      </c>
      <c r="D1057">
        <f>YEAR(cukier8[[#This Row],[data]])</f>
        <v>2009</v>
      </c>
      <c r="E1057">
        <f>VLOOKUP(cukier8[[#This Row],[rok]],$L$2:$M$11,2,FALSE)*cukier8[[#This Row],[sprzedany_cukier]]</f>
        <v>494.15999999999997</v>
      </c>
    </row>
    <row r="1058" spans="1:5" x14ac:dyDescent="0.25">
      <c r="A1058" s="1">
        <v>40136</v>
      </c>
      <c r="B1058" t="s">
        <v>66</v>
      </c>
      <c r="C1058">
        <v>162</v>
      </c>
      <c r="D1058">
        <f>YEAR(cukier8[[#This Row],[data]])</f>
        <v>2009</v>
      </c>
      <c r="E1058">
        <f>VLOOKUP(cukier8[[#This Row],[rok]],$L$2:$M$11,2,FALSE)*cukier8[[#This Row],[sprzedany_cukier]]</f>
        <v>345.06</v>
      </c>
    </row>
    <row r="1059" spans="1:5" x14ac:dyDescent="0.25">
      <c r="A1059" s="1">
        <v>40139</v>
      </c>
      <c r="B1059" t="s">
        <v>10</v>
      </c>
      <c r="C1059">
        <v>66</v>
      </c>
      <c r="D1059">
        <f>YEAR(cukier8[[#This Row],[data]])</f>
        <v>2009</v>
      </c>
      <c r="E1059">
        <f>VLOOKUP(cukier8[[#This Row],[rok]],$L$2:$M$11,2,FALSE)*cukier8[[#This Row],[sprzedany_cukier]]</f>
        <v>140.57999999999998</v>
      </c>
    </row>
    <row r="1060" spans="1:5" x14ac:dyDescent="0.25">
      <c r="A1060" s="1">
        <v>40139</v>
      </c>
      <c r="B1060" t="s">
        <v>157</v>
      </c>
      <c r="C1060">
        <v>2</v>
      </c>
      <c r="D1060">
        <f>YEAR(cukier8[[#This Row],[data]])</f>
        <v>2009</v>
      </c>
      <c r="E1060">
        <f>VLOOKUP(cukier8[[#This Row],[rok]],$L$2:$M$11,2,FALSE)*cukier8[[#This Row],[sprzedany_cukier]]</f>
        <v>4.26</v>
      </c>
    </row>
    <row r="1061" spans="1:5" x14ac:dyDescent="0.25">
      <c r="A1061" s="1">
        <v>40139</v>
      </c>
      <c r="B1061" t="s">
        <v>12</v>
      </c>
      <c r="C1061">
        <v>152</v>
      </c>
      <c r="D1061">
        <f>YEAR(cukier8[[#This Row],[data]])</f>
        <v>2009</v>
      </c>
      <c r="E1061">
        <f>VLOOKUP(cukier8[[#This Row],[rok]],$L$2:$M$11,2,FALSE)*cukier8[[#This Row],[sprzedany_cukier]]</f>
        <v>323.76</v>
      </c>
    </row>
    <row r="1062" spans="1:5" x14ac:dyDescent="0.25">
      <c r="A1062" s="1">
        <v>40139</v>
      </c>
      <c r="B1062" t="s">
        <v>201</v>
      </c>
      <c r="C1062">
        <v>2</v>
      </c>
      <c r="D1062">
        <f>YEAR(cukier8[[#This Row],[data]])</f>
        <v>2009</v>
      </c>
      <c r="E1062">
        <f>VLOOKUP(cukier8[[#This Row],[rok]],$L$2:$M$11,2,FALSE)*cukier8[[#This Row],[sprzedany_cukier]]</f>
        <v>4.26</v>
      </c>
    </row>
    <row r="1063" spans="1:5" x14ac:dyDescent="0.25">
      <c r="A1063" s="1">
        <v>40142</v>
      </c>
      <c r="B1063" t="s">
        <v>20</v>
      </c>
      <c r="C1063">
        <v>115</v>
      </c>
      <c r="D1063">
        <f>YEAR(cukier8[[#This Row],[data]])</f>
        <v>2009</v>
      </c>
      <c r="E1063">
        <f>VLOOKUP(cukier8[[#This Row],[rok]],$L$2:$M$11,2,FALSE)*cukier8[[#This Row],[sprzedany_cukier]]</f>
        <v>244.95</v>
      </c>
    </row>
    <row r="1064" spans="1:5" x14ac:dyDescent="0.25">
      <c r="A1064" s="1">
        <v>40142</v>
      </c>
      <c r="B1064" t="s">
        <v>37</v>
      </c>
      <c r="C1064">
        <v>29</v>
      </c>
      <c r="D1064">
        <f>YEAR(cukier8[[#This Row],[data]])</f>
        <v>2009</v>
      </c>
      <c r="E1064">
        <f>VLOOKUP(cukier8[[#This Row],[rok]],$L$2:$M$11,2,FALSE)*cukier8[[#This Row],[sprzedany_cukier]]</f>
        <v>61.769999999999996</v>
      </c>
    </row>
    <row r="1065" spans="1:5" x14ac:dyDescent="0.25">
      <c r="A1065" s="1">
        <v>40142</v>
      </c>
      <c r="B1065" t="s">
        <v>35</v>
      </c>
      <c r="C1065">
        <v>91</v>
      </c>
      <c r="D1065">
        <f>YEAR(cukier8[[#This Row],[data]])</f>
        <v>2009</v>
      </c>
      <c r="E1065">
        <f>VLOOKUP(cukier8[[#This Row],[rok]],$L$2:$M$11,2,FALSE)*cukier8[[#This Row],[sprzedany_cukier]]</f>
        <v>193.82999999999998</v>
      </c>
    </row>
    <row r="1066" spans="1:5" x14ac:dyDescent="0.25">
      <c r="A1066" s="1">
        <v>40144</v>
      </c>
      <c r="B1066" t="s">
        <v>19</v>
      </c>
      <c r="C1066">
        <v>125</v>
      </c>
      <c r="D1066">
        <f>YEAR(cukier8[[#This Row],[data]])</f>
        <v>2009</v>
      </c>
      <c r="E1066">
        <f>VLOOKUP(cukier8[[#This Row],[rok]],$L$2:$M$11,2,FALSE)*cukier8[[#This Row],[sprzedany_cukier]]</f>
        <v>266.25</v>
      </c>
    </row>
    <row r="1067" spans="1:5" x14ac:dyDescent="0.25">
      <c r="A1067" s="1">
        <v>40146</v>
      </c>
      <c r="B1067" t="s">
        <v>61</v>
      </c>
      <c r="C1067">
        <v>40</v>
      </c>
      <c r="D1067">
        <f>YEAR(cukier8[[#This Row],[data]])</f>
        <v>2009</v>
      </c>
      <c r="E1067">
        <f>VLOOKUP(cukier8[[#This Row],[rok]],$L$2:$M$11,2,FALSE)*cukier8[[#This Row],[sprzedany_cukier]]</f>
        <v>85.199999999999989</v>
      </c>
    </row>
    <row r="1068" spans="1:5" x14ac:dyDescent="0.25">
      <c r="A1068" s="1">
        <v>40146</v>
      </c>
      <c r="B1068" t="s">
        <v>9</v>
      </c>
      <c r="C1068">
        <v>279</v>
      </c>
      <c r="D1068">
        <f>YEAR(cukier8[[#This Row],[data]])</f>
        <v>2009</v>
      </c>
      <c r="E1068">
        <f>VLOOKUP(cukier8[[#This Row],[rok]],$L$2:$M$11,2,FALSE)*cukier8[[#This Row],[sprzedany_cukier]]</f>
        <v>594.27</v>
      </c>
    </row>
    <row r="1069" spans="1:5" x14ac:dyDescent="0.25">
      <c r="A1069" s="1">
        <v>40147</v>
      </c>
      <c r="B1069" t="s">
        <v>11</v>
      </c>
      <c r="C1069">
        <v>8</v>
      </c>
      <c r="D1069">
        <f>YEAR(cukier8[[#This Row],[data]])</f>
        <v>2009</v>
      </c>
      <c r="E1069">
        <f>VLOOKUP(cukier8[[#This Row],[rok]],$L$2:$M$11,2,FALSE)*cukier8[[#This Row],[sprzedany_cukier]]</f>
        <v>17.04</v>
      </c>
    </row>
    <row r="1070" spans="1:5" x14ac:dyDescent="0.25">
      <c r="A1070" s="1">
        <v>40151</v>
      </c>
      <c r="B1070" t="s">
        <v>71</v>
      </c>
      <c r="C1070">
        <v>194</v>
      </c>
      <c r="D1070">
        <f>YEAR(cukier8[[#This Row],[data]])</f>
        <v>2009</v>
      </c>
      <c r="E1070">
        <f>VLOOKUP(cukier8[[#This Row],[rok]],$L$2:$M$11,2,FALSE)*cukier8[[#This Row],[sprzedany_cukier]]</f>
        <v>413.21999999999997</v>
      </c>
    </row>
    <row r="1071" spans="1:5" x14ac:dyDescent="0.25">
      <c r="A1071" s="1">
        <v>40152</v>
      </c>
      <c r="B1071" t="s">
        <v>6</v>
      </c>
      <c r="C1071">
        <v>168</v>
      </c>
      <c r="D1071">
        <f>YEAR(cukier8[[#This Row],[data]])</f>
        <v>2009</v>
      </c>
      <c r="E1071">
        <f>VLOOKUP(cukier8[[#This Row],[rok]],$L$2:$M$11,2,FALSE)*cukier8[[#This Row],[sprzedany_cukier]]</f>
        <v>357.84</v>
      </c>
    </row>
    <row r="1072" spans="1:5" x14ac:dyDescent="0.25">
      <c r="A1072" s="1">
        <v>40153</v>
      </c>
      <c r="B1072" t="s">
        <v>14</v>
      </c>
      <c r="C1072">
        <v>211</v>
      </c>
      <c r="D1072">
        <f>YEAR(cukier8[[#This Row],[data]])</f>
        <v>2009</v>
      </c>
      <c r="E1072">
        <f>VLOOKUP(cukier8[[#This Row],[rok]],$L$2:$M$11,2,FALSE)*cukier8[[#This Row],[sprzedany_cukier]]</f>
        <v>449.42999999999995</v>
      </c>
    </row>
    <row r="1073" spans="1:5" x14ac:dyDescent="0.25">
      <c r="A1073" s="1">
        <v>40153</v>
      </c>
      <c r="B1073" t="s">
        <v>155</v>
      </c>
      <c r="C1073">
        <v>19</v>
      </c>
      <c r="D1073">
        <f>YEAR(cukier8[[#This Row],[data]])</f>
        <v>2009</v>
      </c>
      <c r="E1073">
        <f>VLOOKUP(cukier8[[#This Row],[rok]],$L$2:$M$11,2,FALSE)*cukier8[[#This Row],[sprzedany_cukier]]</f>
        <v>40.47</v>
      </c>
    </row>
    <row r="1074" spans="1:5" x14ac:dyDescent="0.25">
      <c r="A1074" s="1">
        <v>40155</v>
      </c>
      <c r="B1074" t="s">
        <v>153</v>
      </c>
      <c r="C1074">
        <v>16</v>
      </c>
      <c r="D1074">
        <f>YEAR(cukier8[[#This Row],[data]])</f>
        <v>2009</v>
      </c>
      <c r="E1074">
        <f>VLOOKUP(cukier8[[#This Row],[rok]],$L$2:$M$11,2,FALSE)*cukier8[[#This Row],[sprzedany_cukier]]</f>
        <v>34.08</v>
      </c>
    </row>
    <row r="1075" spans="1:5" x14ac:dyDescent="0.25">
      <c r="A1075" s="1">
        <v>40158</v>
      </c>
      <c r="B1075" t="s">
        <v>27</v>
      </c>
      <c r="C1075">
        <v>18</v>
      </c>
      <c r="D1075">
        <f>YEAR(cukier8[[#This Row],[data]])</f>
        <v>2009</v>
      </c>
      <c r="E1075">
        <f>VLOOKUP(cukier8[[#This Row],[rok]],$L$2:$M$11,2,FALSE)*cukier8[[#This Row],[sprzedany_cukier]]</f>
        <v>38.339999999999996</v>
      </c>
    </row>
    <row r="1076" spans="1:5" x14ac:dyDescent="0.25">
      <c r="A1076" s="1">
        <v>40158</v>
      </c>
      <c r="B1076" t="s">
        <v>7</v>
      </c>
      <c r="C1076">
        <v>399</v>
      </c>
      <c r="D1076">
        <f>YEAR(cukier8[[#This Row],[data]])</f>
        <v>2009</v>
      </c>
      <c r="E1076">
        <f>VLOOKUP(cukier8[[#This Row],[rok]],$L$2:$M$11,2,FALSE)*cukier8[[#This Row],[sprzedany_cukier]]</f>
        <v>849.87</v>
      </c>
    </row>
    <row r="1077" spans="1:5" x14ac:dyDescent="0.25">
      <c r="A1077" s="1">
        <v>40160</v>
      </c>
      <c r="B1077" t="s">
        <v>202</v>
      </c>
      <c r="C1077">
        <v>11</v>
      </c>
      <c r="D1077">
        <f>YEAR(cukier8[[#This Row],[data]])</f>
        <v>2009</v>
      </c>
      <c r="E1077">
        <f>VLOOKUP(cukier8[[#This Row],[rok]],$L$2:$M$11,2,FALSE)*cukier8[[#This Row],[sprzedany_cukier]]</f>
        <v>23.43</v>
      </c>
    </row>
    <row r="1078" spans="1:5" x14ac:dyDescent="0.25">
      <c r="A1078" s="1">
        <v>40164</v>
      </c>
      <c r="B1078" t="s">
        <v>23</v>
      </c>
      <c r="C1078">
        <v>131</v>
      </c>
      <c r="D1078">
        <f>YEAR(cukier8[[#This Row],[data]])</f>
        <v>2009</v>
      </c>
      <c r="E1078">
        <f>VLOOKUP(cukier8[[#This Row],[rok]],$L$2:$M$11,2,FALSE)*cukier8[[#This Row],[sprzedany_cukier]]</f>
        <v>279.02999999999997</v>
      </c>
    </row>
    <row r="1079" spans="1:5" x14ac:dyDescent="0.25">
      <c r="A1079" s="1">
        <v>40165</v>
      </c>
      <c r="B1079" t="s">
        <v>39</v>
      </c>
      <c r="C1079">
        <v>67</v>
      </c>
      <c r="D1079">
        <f>YEAR(cukier8[[#This Row],[data]])</f>
        <v>2009</v>
      </c>
      <c r="E1079">
        <f>VLOOKUP(cukier8[[#This Row],[rok]],$L$2:$M$11,2,FALSE)*cukier8[[#This Row],[sprzedany_cukier]]</f>
        <v>142.70999999999998</v>
      </c>
    </row>
    <row r="1080" spans="1:5" x14ac:dyDescent="0.25">
      <c r="A1080" s="1">
        <v>40166</v>
      </c>
      <c r="B1080" t="s">
        <v>10</v>
      </c>
      <c r="C1080">
        <v>151</v>
      </c>
      <c r="D1080">
        <f>YEAR(cukier8[[#This Row],[data]])</f>
        <v>2009</v>
      </c>
      <c r="E1080">
        <f>VLOOKUP(cukier8[[#This Row],[rok]],$L$2:$M$11,2,FALSE)*cukier8[[#This Row],[sprzedany_cukier]]</f>
        <v>321.63</v>
      </c>
    </row>
    <row r="1081" spans="1:5" x14ac:dyDescent="0.25">
      <c r="A1081" s="1">
        <v>40171</v>
      </c>
      <c r="B1081" t="s">
        <v>23</v>
      </c>
      <c r="C1081">
        <v>105</v>
      </c>
      <c r="D1081">
        <f>YEAR(cukier8[[#This Row],[data]])</f>
        <v>2009</v>
      </c>
      <c r="E1081">
        <f>VLOOKUP(cukier8[[#This Row],[rok]],$L$2:$M$11,2,FALSE)*cukier8[[#This Row],[sprzedany_cukier]]</f>
        <v>223.64999999999998</v>
      </c>
    </row>
    <row r="1082" spans="1:5" x14ac:dyDescent="0.25">
      <c r="A1082" s="1">
        <v>40172</v>
      </c>
      <c r="B1082" t="s">
        <v>71</v>
      </c>
      <c r="C1082">
        <v>132</v>
      </c>
      <c r="D1082">
        <f>YEAR(cukier8[[#This Row],[data]])</f>
        <v>2009</v>
      </c>
      <c r="E1082">
        <f>VLOOKUP(cukier8[[#This Row],[rok]],$L$2:$M$11,2,FALSE)*cukier8[[#This Row],[sprzedany_cukier]]</f>
        <v>281.15999999999997</v>
      </c>
    </row>
    <row r="1083" spans="1:5" x14ac:dyDescent="0.25">
      <c r="A1083" s="1">
        <v>40172</v>
      </c>
      <c r="B1083" t="s">
        <v>17</v>
      </c>
      <c r="C1083">
        <v>142</v>
      </c>
      <c r="D1083">
        <f>YEAR(cukier8[[#This Row],[data]])</f>
        <v>2009</v>
      </c>
      <c r="E1083">
        <f>VLOOKUP(cukier8[[#This Row],[rok]],$L$2:$M$11,2,FALSE)*cukier8[[#This Row],[sprzedany_cukier]]</f>
        <v>302.45999999999998</v>
      </c>
    </row>
    <row r="1084" spans="1:5" x14ac:dyDescent="0.25">
      <c r="A1084" s="1">
        <v>40172</v>
      </c>
      <c r="B1084" t="s">
        <v>203</v>
      </c>
      <c r="C1084">
        <v>17</v>
      </c>
      <c r="D1084">
        <f>YEAR(cukier8[[#This Row],[data]])</f>
        <v>2009</v>
      </c>
      <c r="E1084">
        <f>VLOOKUP(cukier8[[#This Row],[rok]],$L$2:$M$11,2,FALSE)*cukier8[[#This Row],[sprzedany_cukier]]</f>
        <v>36.21</v>
      </c>
    </row>
    <row r="1085" spans="1:5" x14ac:dyDescent="0.25">
      <c r="A1085" s="1">
        <v>40173</v>
      </c>
      <c r="B1085" t="s">
        <v>7</v>
      </c>
      <c r="C1085">
        <v>444</v>
      </c>
      <c r="D1085">
        <f>YEAR(cukier8[[#This Row],[data]])</f>
        <v>2009</v>
      </c>
      <c r="E1085">
        <f>VLOOKUP(cukier8[[#This Row],[rok]],$L$2:$M$11,2,FALSE)*cukier8[[#This Row],[sprzedany_cukier]]</f>
        <v>945.71999999999991</v>
      </c>
    </row>
    <row r="1086" spans="1:5" x14ac:dyDescent="0.25">
      <c r="A1086" s="1">
        <v>40173</v>
      </c>
      <c r="B1086" t="s">
        <v>50</v>
      </c>
      <c r="C1086">
        <v>294</v>
      </c>
      <c r="D1086">
        <f>YEAR(cukier8[[#This Row],[data]])</f>
        <v>2009</v>
      </c>
      <c r="E1086">
        <f>VLOOKUP(cukier8[[#This Row],[rok]],$L$2:$M$11,2,FALSE)*cukier8[[#This Row],[sprzedany_cukier]]</f>
        <v>626.21999999999991</v>
      </c>
    </row>
    <row r="1087" spans="1:5" x14ac:dyDescent="0.25">
      <c r="A1087" s="1">
        <v>40174</v>
      </c>
      <c r="B1087" t="s">
        <v>7</v>
      </c>
      <c r="C1087">
        <v>274</v>
      </c>
      <c r="D1087">
        <f>YEAR(cukier8[[#This Row],[data]])</f>
        <v>2009</v>
      </c>
      <c r="E1087">
        <f>VLOOKUP(cukier8[[#This Row],[rok]],$L$2:$M$11,2,FALSE)*cukier8[[#This Row],[sprzedany_cukier]]</f>
        <v>583.62</v>
      </c>
    </row>
    <row r="1088" spans="1:5" x14ac:dyDescent="0.25">
      <c r="A1088" s="1">
        <v>40176</v>
      </c>
      <c r="B1088" t="s">
        <v>35</v>
      </c>
      <c r="C1088">
        <v>168</v>
      </c>
      <c r="D1088">
        <f>YEAR(cukier8[[#This Row],[data]])</f>
        <v>2009</v>
      </c>
      <c r="E1088">
        <f>VLOOKUP(cukier8[[#This Row],[rok]],$L$2:$M$11,2,FALSE)*cukier8[[#This Row],[sprzedany_cukier]]</f>
        <v>357.84</v>
      </c>
    </row>
    <row r="1089" spans="1:5" x14ac:dyDescent="0.25">
      <c r="A1089" s="1">
        <v>40177</v>
      </c>
      <c r="B1089" t="s">
        <v>8</v>
      </c>
      <c r="C1089">
        <v>115</v>
      </c>
      <c r="D1089">
        <f>YEAR(cukier8[[#This Row],[data]])</f>
        <v>2009</v>
      </c>
      <c r="E1089">
        <f>VLOOKUP(cukier8[[#This Row],[rok]],$L$2:$M$11,2,FALSE)*cukier8[[#This Row],[sprzedany_cukier]]</f>
        <v>244.95</v>
      </c>
    </row>
    <row r="1090" spans="1:5" x14ac:dyDescent="0.25">
      <c r="A1090" s="1">
        <v>40177</v>
      </c>
      <c r="B1090" t="s">
        <v>30</v>
      </c>
      <c r="C1090">
        <v>126</v>
      </c>
      <c r="D1090">
        <f>YEAR(cukier8[[#This Row],[data]])</f>
        <v>2009</v>
      </c>
      <c r="E1090">
        <f>VLOOKUP(cukier8[[#This Row],[rok]],$L$2:$M$11,2,FALSE)*cukier8[[#This Row],[sprzedany_cukier]]</f>
        <v>268.38</v>
      </c>
    </row>
    <row r="1091" spans="1:5" x14ac:dyDescent="0.25">
      <c r="A1091" s="1">
        <v>40180</v>
      </c>
      <c r="B1091" t="s">
        <v>28</v>
      </c>
      <c r="C1091">
        <v>73</v>
      </c>
      <c r="D1091">
        <f>YEAR(cukier8[[#This Row],[data]])</f>
        <v>2010</v>
      </c>
      <c r="E1091">
        <f>VLOOKUP(cukier8[[#This Row],[rok]],$L$2:$M$11,2,FALSE)*cukier8[[#This Row],[sprzedany_cukier]]</f>
        <v>153.30000000000001</v>
      </c>
    </row>
    <row r="1092" spans="1:5" x14ac:dyDescent="0.25">
      <c r="A1092" s="1">
        <v>40180</v>
      </c>
      <c r="B1092" t="s">
        <v>22</v>
      </c>
      <c r="C1092">
        <v>413</v>
      </c>
      <c r="D1092">
        <f>YEAR(cukier8[[#This Row],[data]])</f>
        <v>2010</v>
      </c>
      <c r="E1092">
        <f>VLOOKUP(cukier8[[#This Row],[rok]],$L$2:$M$11,2,FALSE)*cukier8[[#This Row],[sprzedany_cukier]]</f>
        <v>867.30000000000007</v>
      </c>
    </row>
    <row r="1093" spans="1:5" x14ac:dyDescent="0.25">
      <c r="A1093" s="1">
        <v>40181</v>
      </c>
      <c r="B1093" t="s">
        <v>7</v>
      </c>
      <c r="C1093">
        <v>393</v>
      </c>
      <c r="D1093">
        <f>YEAR(cukier8[[#This Row],[data]])</f>
        <v>2010</v>
      </c>
      <c r="E1093">
        <f>VLOOKUP(cukier8[[#This Row],[rok]],$L$2:$M$11,2,FALSE)*cukier8[[#This Row],[sprzedany_cukier]]</f>
        <v>825.30000000000007</v>
      </c>
    </row>
    <row r="1094" spans="1:5" x14ac:dyDescent="0.25">
      <c r="A1094" s="1">
        <v>40184</v>
      </c>
      <c r="B1094" t="s">
        <v>143</v>
      </c>
      <c r="C1094">
        <v>13</v>
      </c>
      <c r="D1094">
        <f>YEAR(cukier8[[#This Row],[data]])</f>
        <v>2010</v>
      </c>
      <c r="E1094">
        <f>VLOOKUP(cukier8[[#This Row],[rok]],$L$2:$M$11,2,FALSE)*cukier8[[#This Row],[sprzedany_cukier]]</f>
        <v>27.3</v>
      </c>
    </row>
    <row r="1095" spans="1:5" x14ac:dyDescent="0.25">
      <c r="A1095" s="1">
        <v>40185</v>
      </c>
      <c r="B1095" t="s">
        <v>22</v>
      </c>
      <c r="C1095">
        <v>211</v>
      </c>
      <c r="D1095">
        <f>YEAR(cukier8[[#This Row],[data]])</f>
        <v>2010</v>
      </c>
      <c r="E1095">
        <f>VLOOKUP(cukier8[[#This Row],[rok]],$L$2:$M$11,2,FALSE)*cukier8[[#This Row],[sprzedany_cukier]]</f>
        <v>443.1</v>
      </c>
    </row>
    <row r="1096" spans="1:5" x14ac:dyDescent="0.25">
      <c r="A1096" s="1">
        <v>40189</v>
      </c>
      <c r="B1096" t="s">
        <v>61</v>
      </c>
      <c r="C1096">
        <v>116</v>
      </c>
      <c r="D1096">
        <f>YEAR(cukier8[[#This Row],[data]])</f>
        <v>2010</v>
      </c>
      <c r="E1096">
        <f>VLOOKUP(cukier8[[#This Row],[rok]],$L$2:$M$11,2,FALSE)*cukier8[[#This Row],[sprzedany_cukier]]</f>
        <v>243.60000000000002</v>
      </c>
    </row>
    <row r="1097" spans="1:5" x14ac:dyDescent="0.25">
      <c r="A1097" s="1">
        <v>40189</v>
      </c>
      <c r="B1097" t="s">
        <v>0</v>
      </c>
      <c r="C1097">
        <v>9</v>
      </c>
      <c r="D1097">
        <f>YEAR(cukier8[[#This Row],[data]])</f>
        <v>2010</v>
      </c>
      <c r="E1097">
        <f>VLOOKUP(cukier8[[#This Row],[rok]],$L$2:$M$11,2,FALSE)*cukier8[[#This Row],[sprzedany_cukier]]</f>
        <v>18.900000000000002</v>
      </c>
    </row>
    <row r="1098" spans="1:5" x14ac:dyDescent="0.25">
      <c r="A1098" s="1">
        <v>40193</v>
      </c>
      <c r="B1098" t="s">
        <v>45</v>
      </c>
      <c r="C1098">
        <v>117</v>
      </c>
      <c r="D1098">
        <f>YEAR(cukier8[[#This Row],[data]])</f>
        <v>2010</v>
      </c>
      <c r="E1098">
        <f>VLOOKUP(cukier8[[#This Row],[rok]],$L$2:$M$11,2,FALSE)*cukier8[[#This Row],[sprzedany_cukier]]</f>
        <v>245.70000000000002</v>
      </c>
    </row>
    <row r="1099" spans="1:5" x14ac:dyDescent="0.25">
      <c r="A1099" s="1">
        <v>40194</v>
      </c>
      <c r="B1099" t="s">
        <v>50</v>
      </c>
      <c r="C1099">
        <v>221</v>
      </c>
      <c r="D1099">
        <f>YEAR(cukier8[[#This Row],[data]])</f>
        <v>2010</v>
      </c>
      <c r="E1099">
        <f>VLOOKUP(cukier8[[#This Row],[rok]],$L$2:$M$11,2,FALSE)*cukier8[[#This Row],[sprzedany_cukier]]</f>
        <v>464.1</v>
      </c>
    </row>
    <row r="1100" spans="1:5" x14ac:dyDescent="0.25">
      <c r="A1100" s="1">
        <v>40198</v>
      </c>
      <c r="B1100" t="s">
        <v>152</v>
      </c>
      <c r="C1100">
        <v>9</v>
      </c>
      <c r="D1100">
        <f>YEAR(cukier8[[#This Row],[data]])</f>
        <v>2010</v>
      </c>
      <c r="E1100">
        <f>VLOOKUP(cukier8[[#This Row],[rok]],$L$2:$M$11,2,FALSE)*cukier8[[#This Row],[sprzedany_cukier]]</f>
        <v>18.900000000000002</v>
      </c>
    </row>
    <row r="1101" spans="1:5" x14ac:dyDescent="0.25">
      <c r="A1101" s="1">
        <v>40199</v>
      </c>
      <c r="B1101" t="s">
        <v>17</v>
      </c>
      <c r="C1101">
        <v>214</v>
      </c>
      <c r="D1101">
        <f>YEAR(cukier8[[#This Row],[data]])</f>
        <v>2010</v>
      </c>
      <c r="E1101">
        <f>VLOOKUP(cukier8[[#This Row],[rok]],$L$2:$M$11,2,FALSE)*cukier8[[#This Row],[sprzedany_cukier]]</f>
        <v>449.40000000000003</v>
      </c>
    </row>
    <row r="1102" spans="1:5" x14ac:dyDescent="0.25">
      <c r="A1102" s="1">
        <v>40200</v>
      </c>
      <c r="B1102" t="s">
        <v>37</v>
      </c>
      <c r="C1102">
        <v>138</v>
      </c>
      <c r="D1102">
        <f>YEAR(cukier8[[#This Row],[data]])</f>
        <v>2010</v>
      </c>
      <c r="E1102">
        <f>VLOOKUP(cukier8[[#This Row],[rok]],$L$2:$M$11,2,FALSE)*cukier8[[#This Row],[sprzedany_cukier]]</f>
        <v>289.8</v>
      </c>
    </row>
    <row r="1103" spans="1:5" x14ac:dyDescent="0.25">
      <c r="A1103" s="1">
        <v>40201</v>
      </c>
      <c r="B1103" t="s">
        <v>81</v>
      </c>
      <c r="C1103">
        <v>11</v>
      </c>
      <c r="D1103">
        <f>YEAR(cukier8[[#This Row],[data]])</f>
        <v>2010</v>
      </c>
      <c r="E1103">
        <f>VLOOKUP(cukier8[[#This Row],[rok]],$L$2:$M$11,2,FALSE)*cukier8[[#This Row],[sprzedany_cukier]]</f>
        <v>23.1</v>
      </c>
    </row>
    <row r="1104" spans="1:5" x14ac:dyDescent="0.25">
      <c r="A1104" s="1">
        <v>40201</v>
      </c>
      <c r="B1104" t="s">
        <v>52</v>
      </c>
      <c r="C1104">
        <v>128</v>
      </c>
      <c r="D1104">
        <f>YEAR(cukier8[[#This Row],[data]])</f>
        <v>2010</v>
      </c>
      <c r="E1104">
        <f>VLOOKUP(cukier8[[#This Row],[rok]],$L$2:$M$11,2,FALSE)*cukier8[[#This Row],[sprzedany_cukier]]</f>
        <v>268.8</v>
      </c>
    </row>
    <row r="1105" spans="1:5" x14ac:dyDescent="0.25">
      <c r="A1105" s="1">
        <v>40202</v>
      </c>
      <c r="B1105" t="s">
        <v>17</v>
      </c>
      <c r="C1105">
        <v>376</v>
      </c>
      <c r="D1105">
        <f>YEAR(cukier8[[#This Row],[data]])</f>
        <v>2010</v>
      </c>
      <c r="E1105">
        <f>VLOOKUP(cukier8[[#This Row],[rok]],$L$2:$M$11,2,FALSE)*cukier8[[#This Row],[sprzedany_cukier]]</f>
        <v>789.6</v>
      </c>
    </row>
    <row r="1106" spans="1:5" x14ac:dyDescent="0.25">
      <c r="A1106" s="1">
        <v>40203</v>
      </c>
      <c r="B1106" t="s">
        <v>17</v>
      </c>
      <c r="C1106">
        <v>121</v>
      </c>
      <c r="D1106">
        <f>YEAR(cukier8[[#This Row],[data]])</f>
        <v>2010</v>
      </c>
      <c r="E1106">
        <f>VLOOKUP(cukier8[[#This Row],[rok]],$L$2:$M$11,2,FALSE)*cukier8[[#This Row],[sprzedany_cukier]]</f>
        <v>254.10000000000002</v>
      </c>
    </row>
    <row r="1107" spans="1:5" x14ac:dyDescent="0.25">
      <c r="A1107" s="1">
        <v>40203</v>
      </c>
      <c r="B1107" t="s">
        <v>14</v>
      </c>
      <c r="C1107">
        <v>200</v>
      </c>
      <c r="D1107">
        <f>YEAR(cukier8[[#This Row],[data]])</f>
        <v>2010</v>
      </c>
      <c r="E1107">
        <f>VLOOKUP(cukier8[[#This Row],[rok]],$L$2:$M$11,2,FALSE)*cukier8[[#This Row],[sprzedany_cukier]]</f>
        <v>420</v>
      </c>
    </row>
    <row r="1108" spans="1:5" x14ac:dyDescent="0.25">
      <c r="A1108" s="1">
        <v>40204</v>
      </c>
      <c r="B1108" t="s">
        <v>17</v>
      </c>
      <c r="C1108">
        <v>500</v>
      </c>
      <c r="D1108">
        <f>YEAR(cukier8[[#This Row],[data]])</f>
        <v>2010</v>
      </c>
      <c r="E1108">
        <f>VLOOKUP(cukier8[[#This Row],[rok]],$L$2:$M$11,2,FALSE)*cukier8[[#This Row],[sprzedany_cukier]]</f>
        <v>1050</v>
      </c>
    </row>
    <row r="1109" spans="1:5" x14ac:dyDescent="0.25">
      <c r="A1109" s="1">
        <v>40206</v>
      </c>
      <c r="B1109" t="s">
        <v>71</v>
      </c>
      <c r="C1109">
        <v>108</v>
      </c>
      <c r="D1109">
        <f>YEAR(cukier8[[#This Row],[data]])</f>
        <v>2010</v>
      </c>
      <c r="E1109">
        <f>VLOOKUP(cukier8[[#This Row],[rok]],$L$2:$M$11,2,FALSE)*cukier8[[#This Row],[sprzedany_cukier]]</f>
        <v>226.8</v>
      </c>
    </row>
    <row r="1110" spans="1:5" x14ac:dyDescent="0.25">
      <c r="A1110" s="1">
        <v>40207</v>
      </c>
      <c r="B1110" t="s">
        <v>25</v>
      </c>
      <c r="C1110">
        <v>59</v>
      </c>
      <c r="D1110">
        <f>YEAR(cukier8[[#This Row],[data]])</f>
        <v>2010</v>
      </c>
      <c r="E1110">
        <f>VLOOKUP(cukier8[[#This Row],[rok]],$L$2:$M$11,2,FALSE)*cukier8[[#This Row],[sprzedany_cukier]]</f>
        <v>123.9</v>
      </c>
    </row>
    <row r="1111" spans="1:5" x14ac:dyDescent="0.25">
      <c r="A1111" s="1">
        <v>40208</v>
      </c>
      <c r="B1111" t="s">
        <v>10</v>
      </c>
      <c r="C1111">
        <v>191</v>
      </c>
      <c r="D1111">
        <f>YEAR(cukier8[[#This Row],[data]])</f>
        <v>2010</v>
      </c>
      <c r="E1111">
        <f>VLOOKUP(cukier8[[#This Row],[rok]],$L$2:$M$11,2,FALSE)*cukier8[[#This Row],[sprzedany_cukier]]</f>
        <v>401.1</v>
      </c>
    </row>
    <row r="1112" spans="1:5" x14ac:dyDescent="0.25">
      <c r="A1112" s="1">
        <v>40209</v>
      </c>
      <c r="B1112" t="s">
        <v>19</v>
      </c>
      <c r="C1112">
        <v>189</v>
      </c>
      <c r="D1112">
        <f>YEAR(cukier8[[#This Row],[data]])</f>
        <v>2010</v>
      </c>
      <c r="E1112">
        <f>VLOOKUP(cukier8[[#This Row],[rok]],$L$2:$M$11,2,FALSE)*cukier8[[#This Row],[sprzedany_cukier]]</f>
        <v>396.90000000000003</v>
      </c>
    </row>
    <row r="1113" spans="1:5" x14ac:dyDescent="0.25">
      <c r="A1113" s="1">
        <v>40211</v>
      </c>
      <c r="B1113" t="s">
        <v>45</v>
      </c>
      <c r="C1113">
        <v>247</v>
      </c>
      <c r="D1113">
        <f>YEAR(cukier8[[#This Row],[data]])</f>
        <v>2010</v>
      </c>
      <c r="E1113">
        <f>VLOOKUP(cukier8[[#This Row],[rok]],$L$2:$M$11,2,FALSE)*cukier8[[#This Row],[sprzedany_cukier]]</f>
        <v>518.70000000000005</v>
      </c>
    </row>
    <row r="1114" spans="1:5" x14ac:dyDescent="0.25">
      <c r="A1114" s="1">
        <v>40211</v>
      </c>
      <c r="B1114" t="s">
        <v>35</v>
      </c>
      <c r="C1114">
        <v>195</v>
      </c>
      <c r="D1114">
        <f>YEAR(cukier8[[#This Row],[data]])</f>
        <v>2010</v>
      </c>
      <c r="E1114">
        <f>VLOOKUP(cukier8[[#This Row],[rok]],$L$2:$M$11,2,FALSE)*cukier8[[#This Row],[sprzedany_cukier]]</f>
        <v>409.5</v>
      </c>
    </row>
    <row r="1115" spans="1:5" x14ac:dyDescent="0.25">
      <c r="A1115" s="1">
        <v>40212</v>
      </c>
      <c r="B1115" t="s">
        <v>204</v>
      </c>
      <c r="C1115">
        <v>6</v>
      </c>
      <c r="D1115">
        <f>YEAR(cukier8[[#This Row],[data]])</f>
        <v>2010</v>
      </c>
      <c r="E1115">
        <f>VLOOKUP(cukier8[[#This Row],[rok]],$L$2:$M$11,2,FALSE)*cukier8[[#This Row],[sprzedany_cukier]]</f>
        <v>12.600000000000001</v>
      </c>
    </row>
    <row r="1116" spans="1:5" x14ac:dyDescent="0.25">
      <c r="A1116" s="1">
        <v>40213</v>
      </c>
      <c r="B1116" t="s">
        <v>205</v>
      </c>
      <c r="C1116">
        <v>1</v>
      </c>
      <c r="D1116">
        <f>YEAR(cukier8[[#This Row],[data]])</f>
        <v>2010</v>
      </c>
      <c r="E1116">
        <f>VLOOKUP(cukier8[[#This Row],[rok]],$L$2:$M$11,2,FALSE)*cukier8[[#This Row],[sprzedany_cukier]]</f>
        <v>2.1</v>
      </c>
    </row>
    <row r="1117" spans="1:5" x14ac:dyDescent="0.25">
      <c r="A1117" s="1">
        <v>40214</v>
      </c>
      <c r="B1117" t="s">
        <v>50</v>
      </c>
      <c r="C1117">
        <v>347</v>
      </c>
      <c r="D1117">
        <f>YEAR(cukier8[[#This Row],[data]])</f>
        <v>2010</v>
      </c>
      <c r="E1117">
        <f>VLOOKUP(cukier8[[#This Row],[rok]],$L$2:$M$11,2,FALSE)*cukier8[[#This Row],[sprzedany_cukier]]</f>
        <v>728.7</v>
      </c>
    </row>
    <row r="1118" spans="1:5" x14ac:dyDescent="0.25">
      <c r="A1118" s="1">
        <v>40217</v>
      </c>
      <c r="B1118" t="s">
        <v>14</v>
      </c>
      <c r="C1118">
        <v>317</v>
      </c>
      <c r="D1118">
        <f>YEAR(cukier8[[#This Row],[data]])</f>
        <v>2010</v>
      </c>
      <c r="E1118">
        <f>VLOOKUP(cukier8[[#This Row],[rok]],$L$2:$M$11,2,FALSE)*cukier8[[#This Row],[sprzedany_cukier]]</f>
        <v>665.7</v>
      </c>
    </row>
    <row r="1119" spans="1:5" x14ac:dyDescent="0.25">
      <c r="A1119" s="1">
        <v>40218</v>
      </c>
      <c r="B1119" t="s">
        <v>45</v>
      </c>
      <c r="C1119">
        <v>271</v>
      </c>
      <c r="D1119">
        <f>YEAR(cukier8[[#This Row],[data]])</f>
        <v>2010</v>
      </c>
      <c r="E1119">
        <f>VLOOKUP(cukier8[[#This Row],[rok]],$L$2:$M$11,2,FALSE)*cukier8[[#This Row],[sprzedany_cukier]]</f>
        <v>569.1</v>
      </c>
    </row>
    <row r="1120" spans="1:5" x14ac:dyDescent="0.25">
      <c r="A1120" s="1">
        <v>40218</v>
      </c>
      <c r="B1120" t="s">
        <v>85</v>
      </c>
      <c r="C1120">
        <v>4</v>
      </c>
      <c r="D1120">
        <f>YEAR(cukier8[[#This Row],[data]])</f>
        <v>2010</v>
      </c>
      <c r="E1120">
        <f>VLOOKUP(cukier8[[#This Row],[rok]],$L$2:$M$11,2,FALSE)*cukier8[[#This Row],[sprzedany_cukier]]</f>
        <v>8.4</v>
      </c>
    </row>
    <row r="1121" spans="1:5" x14ac:dyDescent="0.25">
      <c r="A1121" s="1">
        <v>40220</v>
      </c>
      <c r="B1121" t="s">
        <v>28</v>
      </c>
      <c r="C1121">
        <v>121</v>
      </c>
      <c r="D1121">
        <f>YEAR(cukier8[[#This Row],[data]])</f>
        <v>2010</v>
      </c>
      <c r="E1121">
        <f>VLOOKUP(cukier8[[#This Row],[rok]],$L$2:$M$11,2,FALSE)*cukier8[[#This Row],[sprzedany_cukier]]</f>
        <v>254.10000000000002</v>
      </c>
    </row>
    <row r="1122" spans="1:5" x14ac:dyDescent="0.25">
      <c r="A1122" s="1">
        <v>40221</v>
      </c>
      <c r="B1122" t="s">
        <v>6</v>
      </c>
      <c r="C1122">
        <v>81</v>
      </c>
      <c r="D1122">
        <f>YEAR(cukier8[[#This Row],[data]])</f>
        <v>2010</v>
      </c>
      <c r="E1122">
        <f>VLOOKUP(cukier8[[#This Row],[rok]],$L$2:$M$11,2,FALSE)*cukier8[[#This Row],[sprzedany_cukier]]</f>
        <v>170.1</v>
      </c>
    </row>
    <row r="1123" spans="1:5" x14ac:dyDescent="0.25">
      <c r="A1123" s="1">
        <v>40221</v>
      </c>
      <c r="B1123" t="s">
        <v>84</v>
      </c>
      <c r="C1123">
        <v>1</v>
      </c>
      <c r="D1123">
        <f>YEAR(cukier8[[#This Row],[data]])</f>
        <v>2010</v>
      </c>
      <c r="E1123">
        <f>VLOOKUP(cukier8[[#This Row],[rok]],$L$2:$M$11,2,FALSE)*cukier8[[#This Row],[sprzedany_cukier]]</f>
        <v>2.1</v>
      </c>
    </row>
    <row r="1124" spans="1:5" x14ac:dyDescent="0.25">
      <c r="A1124" s="1">
        <v>40223</v>
      </c>
      <c r="B1124" t="s">
        <v>30</v>
      </c>
      <c r="C1124">
        <v>142</v>
      </c>
      <c r="D1124">
        <f>YEAR(cukier8[[#This Row],[data]])</f>
        <v>2010</v>
      </c>
      <c r="E1124">
        <f>VLOOKUP(cukier8[[#This Row],[rok]],$L$2:$M$11,2,FALSE)*cukier8[[#This Row],[sprzedany_cukier]]</f>
        <v>298.2</v>
      </c>
    </row>
    <row r="1125" spans="1:5" x14ac:dyDescent="0.25">
      <c r="A1125" s="1">
        <v>40224</v>
      </c>
      <c r="B1125" t="s">
        <v>22</v>
      </c>
      <c r="C1125">
        <v>265</v>
      </c>
      <c r="D1125">
        <f>YEAR(cukier8[[#This Row],[data]])</f>
        <v>2010</v>
      </c>
      <c r="E1125">
        <f>VLOOKUP(cukier8[[#This Row],[rok]],$L$2:$M$11,2,FALSE)*cukier8[[#This Row],[sprzedany_cukier]]</f>
        <v>556.5</v>
      </c>
    </row>
    <row r="1126" spans="1:5" x14ac:dyDescent="0.25">
      <c r="A1126" s="1">
        <v>40225</v>
      </c>
      <c r="B1126" t="s">
        <v>6</v>
      </c>
      <c r="C1126">
        <v>194</v>
      </c>
      <c r="D1126">
        <f>YEAR(cukier8[[#This Row],[data]])</f>
        <v>2010</v>
      </c>
      <c r="E1126">
        <f>VLOOKUP(cukier8[[#This Row],[rok]],$L$2:$M$11,2,FALSE)*cukier8[[#This Row],[sprzedany_cukier]]</f>
        <v>407.40000000000003</v>
      </c>
    </row>
    <row r="1127" spans="1:5" x14ac:dyDescent="0.25">
      <c r="A1127" s="1">
        <v>40225</v>
      </c>
      <c r="B1127" t="s">
        <v>161</v>
      </c>
      <c r="C1127">
        <v>15</v>
      </c>
      <c r="D1127">
        <f>YEAR(cukier8[[#This Row],[data]])</f>
        <v>2010</v>
      </c>
      <c r="E1127">
        <f>VLOOKUP(cukier8[[#This Row],[rok]],$L$2:$M$11,2,FALSE)*cukier8[[#This Row],[sprzedany_cukier]]</f>
        <v>31.5</v>
      </c>
    </row>
    <row r="1128" spans="1:5" x14ac:dyDescent="0.25">
      <c r="A1128" s="1">
        <v>40227</v>
      </c>
      <c r="B1128" t="s">
        <v>10</v>
      </c>
      <c r="C1128">
        <v>23</v>
      </c>
      <c r="D1128">
        <f>YEAR(cukier8[[#This Row],[data]])</f>
        <v>2010</v>
      </c>
      <c r="E1128">
        <f>VLOOKUP(cukier8[[#This Row],[rok]],$L$2:$M$11,2,FALSE)*cukier8[[#This Row],[sprzedany_cukier]]</f>
        <v>48.300000000000004</v>
      </c>
    </row>
    <row r="1129" spans="1:5" x14ac:dyDescent="0.25">
      <c r="A1129" s="1">
        <v>40227</v>
      </c>
      <c r="B1129" t="s">
        <v>22</v>
      </c>
      <c r="C1129">
        <v>279</v>
      </c>
      <c r="D1129">
        <f>YEAR(cukier8[[#This Row],[data]])</f>
        <v>2010</v>
      </c>
      <c r="E1129">
        <f>VLOOKUP(cukier8[[#This Row],[rok]],$L$2:$M$11,2,FALSE)*cukier8[[#This Row],[sprzedany_cukier]]</f>
        <v>585.9</v>
      </c>
    </row>
    <row r="1130" spans="1:5" x14ac:dyDescent="0.25">
      <c r="A1130" s="1">
        <v>40229</v>
      </c>
      <c r="B1130" t="s">
        <v>206</v>
      </c>
      <c r="C1130">
        <v>1</v>
      </c>
      <c r="D1130">
        <f>YEAR(cukier8[[#This Row],[data]])</f>
        <v>2010</v>
      </c>
      <c r="E1130">
        <f>VLOOKUP(cukier8[[#This Row],[rok]],$L$2:$M$11,2,FALSE)*cukier8[[#This Row],[sprzedany_cukier]]</f>
        <v>2.1</v>
      </c>
    </row>
    <row r="1131" spans="1:5" x14ac:dyDescent="0.25">
      <c r="A1131" s="1">
        <v>40234</v>
      </c>
      <c r="B1131" t="s">
        <v>22</v>
      </c>
      <c r="C1131">
        <v>487</v>
      </c>
      <c r="D1131">
        <f>YEAR(cukier8[[#This Row],[data]])</f>
        <v>2010</v>
      </c>
      <c r="E1131">
        <f>VLOOKUP(cukier8[[#This Row],[rok]],$L$2:$M$11,2,FALSE)*cukier8[[#This Row],[sprzedany_cukier]]</f>
        <v>1022.7</v>
      </c>
    </row>
    <row r="1132" spans="1:5" x14ac:dyDescent="0.25">
      <c r="A1132" s="1">
        <v>40234</v>
      </c>
      <c r="B1132" t="s">
        <v>7</v>
      </c>
      <c r="C1132">
        <v>395</v>
      </c>
      <c r="D1132">
        <f>YEAR(cukier8[[#This Row],[data]])</f>
        <v>2010</v>
      </c>
      <c r="E1132">
        <f>VLOOKUP(cukier8[[#This Row],[rok]],$L$2:$M$11,2,FALSE)*cukier8[[#This Row],[sprzedany_cukier]]</f>
        <v>829.5</v>
      </c>
    </row>
    <row r="1133" spans="1:5" x14ac:dyDescent="0.25">
      <c r="A1133" s="1">
        <v>40236</v>
      </c>
      <c r="B1133" t="s">
        <v>71</v>
      </c>
      <c r="C1133">
        <v>91</v>
      </c>
      <c r="D1133">
        <f>YEAR(cukier8[[#This Row],[data]])</f>
        <v>2010</v>
      </c>
      <c r="E1133">
        <f>VLOOKUP(cukier8[[#This Row],[rok]],$L$2:$M$11,2,FALSE)*cukier8[[#This Row],[sprzedany_cukier]]</f>
        <v>191.1</v>
      </c>
    </row>
    <row r="1134" spans="1:5" x14ac:dyDescent="0.25">
      <c r="A1134" s="1">
        <v>40236</v>
      </c>
      <c r="B1134" t="s">
        <v>25</v>
      </c>
      <c r="C1134">
        <v>39</v>
      </c>
      <c r="D1134">
        <f>YEAR(cukier8[[#This Row],[data]])</f>
        <v>2010</v>
      </c>
      <c r="E1134">
        <f>VLOOKUP(cukier8[[#This Row],[rok]],$L$2:$M$11,2,FALSE)*cukier8[[#This Row],[sprzedany_cukier]]</f>
        <v>81.900000000000006</v>
      </c>
    </row>
    <row r="1135" spans="1:5" x14ac:dyDescent="0.25">
      <c r="A1135" s="1">
        <v>40236</v>
      </c>
      <c r="B1135" t="s">
        <v>22</v>
      </c>
      <c r="C1135">
        <v>312</v>
      </c>
      <c r="D1135">
        <f>YEAR(cukier8[[#This Row],[data]])</f>
        <v>2010</v>
      </c>
      <c r="E1135">
        <f>VLOOKUP(cukier8[[#This Row],[rok]],$L$2:$M$11,2,FALSE)*cukier8[[#This Row],[sprzedany_cukier]]</f>
        <v>655.20000000000005</v>
      </c>
    </row>
    <row r="1136" spans="1:5" x14ac:dyDescent="0.25">
      <c r="A1136" s="1">
        <v>40237</v>
      </c>
      <c r="B1136" t="s">
        <v>207</v>
      </c>
      <c r="C1136">
        <v>20</v>
      </c>
      <c r="D1136">
        <f>YEAR(cukier8[[#This Row],[data]])</f>
        <v>2010</v>
      </c>
      <c r="E1136">
        <f>VLOOKUP(cukier8[[#This Row],[rok]],$L$2:$M$11,2,FALSE)*cukier8[[#This Row],[sprzedany_cukier]]</f>
        <v>42</v>
      </c>
    </row>
    <row r="1137" spans="1:5" x14ac:dyDescent="0.25">
      <c r="A1137" s="1">
        <v>40240</v>
      </c>
      <c r="B1137" t="s">
        <v>28</v>
      </c>
      <c r="C1137">
        <v>35</v>
      </c>
      <c r="D1137">
        <f>YEAR(cukier8[[#This Row],[data]])</f>
        <v>2010</v>
      </c>
      <c r="E1137">
        <f>VLOOKUP(cukier8[[#This Row],[rok]],$L$2:$M$11,2,FALSE)*cukier8[[#This Row],[sprzedany_cukier]]</f>
        <v>73.5</v>
      </c>
    </row>
    <row r="1138" spans="1:5" x14ac:dyDescent="0.25">
      <c r="A1138" s="1">
        <v>40242</v>
      </c>
      <c r="B1138" t="s">
        <v>203</v>
      </c>
      <c r="C1138">
        <v>20</v>
      </c>
      <c r="D1138">
        <f>YEAR(cukier8[[#This Row],[data]])</f>
        <v>2010</v>
      </c>
      <c r="E1138">
        <f>VLOOKUP(cukier8[[#This Row],[rok]],$L$2:$M$11,2,FALSE)*cukier8[[#This Row],[sprzedany_cukier]]</f>
        <v>42</v>
      </c>
    </row>
    <row r="1139" spans="1:5" x14ac:dyDescent="0.25">
      <c r="A1139" s="1">
        <v>40245</v>
      </c>
      <c r="B1139" t="s">
        <v>30</v>
      </c>
      <c r="C1139">
        <v>125</v>
      </c>
      <c r="D1139">
        <f>YEAR(cukier8[[#This Row],[data]])</f>
        <v>2010</v>
      </c>
      <c r="E1139">
        <f>VLOOKUP(cukier8[[#This Row],[rok]],$L$2:$M$11,2,FALSE)*cukier8[[#This Row],[sprzedany_cukier]]</f>
        <v>262.5</v>
      </c>
    </row>
    <row r="1140" spans="1:5" x14ac:dyDescent="0.25">
      <c r="A1140" s="1">
        <v>40245</v>
      </c>
      <c r="B1140" t="s">
        <v>45</v>
      </c>
      <c r="C1140">
        <v>396</v>
      </c>
      <c r="D1140">
        <f>YEAR(cukier8[[#This Row],[data]])</f>
        <v>2010</v>
      </c>
      <c r="E1140">
        <f>VLOOKUP(cukier8[[#This Row],[rok]],$L$2:$M$11,2,FALSE)*cukier8[[#This Row],[sprzedany_cukier]]</f>
        <v>831.6</v>
      </c>
    </row>
    <row r="1141" spans="1:5" x14ac:dyDescent="0.25">
      <c r="A1141" s="1">
        <v>40246</v>
      </c>
      <c r="B1141" t="s">
        <v>208</v>
      </c>
      <c r="C1141">
        <v>7</v>
      </c>
      <c r="D1141">
        <f>YEAR(cukier8[[#This Row],[data]])</f>
        <v>2010</v>
      </c>
      <c r="E1141">
        <f>VLOOKUP(cukier8[[#This Row],[rok]],$L$2:$M$11,2,FALSE)*cukier8[[#This Row],[sprzedany_cukier]]</f>
        <v>14.700000000000001</v>
      </c>
    </row>
    <row r="1142" spans="1:5" x14ac:dyDescent="0.25">
      <c r="A1142" s="1">
        <v>40247</v>
      </c>
      <c r="B1142" t="s">
        <v>78</v>
      </c>
      <c r="C1142">
        <v>59</v>
      </c>
      <c r="D1142">
        <f>YEAR(cukier8[[#This Row],[data]])</f>
        <v>2010</v>
      </c>
      <c r="E1142">
        <f>VLOOKUP(cukier8[[#This Row],[rok]],$L$2:$M$11,2,FALSE)*cukier8[[#This Row],[sprzedany_cukier]]</f>
        <v>123.9</v>
      </c>
    </row>
    <row r="1143" spans="1:5" x14ac:dyDescent="0.25">
      <c r="A1143" s="1">
        <v>40250</v>
      </c>
      <c r="B1143" t="s">
        <v>14</v>
      </c>
      <c r="C1143">
        <v>417</v>
      </c>
      <c r="D1143">
        <f>YEAR(cukier8[[#This Row],[data]])</f>
        <v>2010</v>
      </c>
      <c r="E1143">
        <f>VLOOKUP(cukier8[[#This Row],[rok]],$L$2:$M$11,2,FALSE)*cukier8[[#This Row],[sprzedany_cukier]]</f>
        <v>875.7</v>
      </c>
    </row>
    <row r="1144" spans="1:5" x14ac:dyDescent="0.25">
      <c r="A1144" s="1">
        <v>40250</v>
      </c>
      <c r="B1144" t="s">
        <v>45</v>
      </c>
      <c r="C1144">
        <v>115</v>
      </c>
      <c r="D1144">
        <f>YEAR(cukier8[[#This Row],[data]])</f>
        <v>2010</v>
      </c>
      <c r="E1144">
        <f>VLOOKUP(cukier8[[#This Row],[rok]],$L$2:$M$11,2,FALSE)*cukier8[[#This Row],[sprzedany_cukier]]</f>
        <v>241.5</v>
      </c>
    </row>
    <row r="1145" spans="1:5" x14ac:dyDescent="0.25">
      <c r="A1145" s="1">
        <v>40253</v>
      </c>
      <c r="B1145" t="s">
        <v>54</v>
      </c>
      <c r="C1145">
        <v>6</v>
      </c>
      <c r="D1145">
        <f>YEAR(cukier8[[#This Row],[data]])</f>
        <v>2010</v>
      </c>
      <c r="E1145">
        <f>VLOOKUP(cukier8[[#This Row],[rok]],$L$2:$M$11,2,FALSE)*cukier8[[#This Row],[sprzedany_cukier]]</f>
        <v>12.600000000000001</v>
      </c>
    </row>
    <row r="1146" spans="1:5" x14ac:dyDescent="0.25">
      <c r="A1146" s="1">
        <v>40254</v>
      </c>
      <c r="B1146" t="s">
        <v>19</v>
      </c>
      <c r="C1146">
        <v>69</v>
      </c>
      <c r="D1146">
        <f>YEAR(cukier8[[#This Row],[data]])</f>
        <v>2010</v>
      </c>
      <c r="E1146">
        <f>VLOOKUP(cukier8[[#This Row],[rok]],$L$2:$M$11,2,FALSE)*cukier8[[#This Row],[sprzedany_cukier]]</f>
        <v>144.9</v>
      </c>
    </row>
    <row r="1147" spans="1:5" x14ac:dyDescent="0.25">
      <c r="A1147" s="1">
        <v>40256</v>
      </c>
      <c r="B1147" t="s">
        <v>12</v>
      </c>
      <c r="C1147">
        <v>58</v>
      </c>
      <c r="D1147">
        <f>YEAR(cukier8[[#This Row],[data]])</f>
        <v>2010</v>
      </c>
      <c r="E1147">
        <f>VLOOKUP(cukier8[[#This Row],[rok]],$L$2:$M$11,2,FALSE)*cukier8[[#This Row],[sprzedany_cukier]]</f>
        <v>121.80000000000001</v>
      </c>
    </row>
    <row r="1148" spans="1:5" x14ac:dyDescent="0.25">
      <c r="A1148" s="1">
        <v>40256</v>
      </c>
      <c r="B1148" t="s">
        <v>25</v>
      </c>
      <c r="C1148">
        <v>159</v>
      </c>
      <c r="D1148">
        <f>YEAR(cukier8[[#This Row],[data]])</f>
        <v>2010</v>
      </c>
      <c r="E1148">
        <f>VLOOKUP(cukier8[[#This Row],[rok]],$L$2:$M$11,2,FALSE)*cukier8[[#This Row],[sprzedany_cukier]]</f>
        <v>333.90000000000003</v>
      </c>
    </row>
    <row r="1149" spans="1:5" x14ac:dyDescent="0.25">
      <c r="A1149" s="1">
        <v>40258</v>
      </c>
      <c r="B1149" t="s">
        <v>209</v>
      </c>
      <c r="C1149">
        <v>6</v>
      </c>
      <c r="D1149">
        <f>YEAR(cukier8[[#This Row],[data]])</f>
        <v>2010</v>
      </c>
      <c r="E1149">
        <f>VLOOKUP(cukier8[[#This Row],[rok]],$L$2:$M$11,2,FALSE)*cukier8[[#This Row],[sprzedany_cukier]]</f>
        <v>12.600000000000001</v>
      </c>
    </row>
    <row r="1150" spans="1:5" x14ac:dyDescent="0.25">
      <c r="A1150" s="1">
        <v>40259</v>
      </c>
      <c r="B1150" t="s">
        <v>12</v>
      </c>
      <c r="C1150">
        <v>103</v>
      </c>
      <c r="D1150">
        <f>YEAR(cukier8[[#This Row],[data]])</f>
        <v>2010</v>
      </c>
      <c r="E1150">
        <f>VLOOKUP(cukier8[[#This Row],[rok]],$L$2:$M$11,2,FALSE)*cukier8[[#This Row],[sprzedany_cukier]]</f>
        <v>216.3</v>
      </c>
    </row>
    <row r="1151" spans="1:5" x14ac:dyDescent="0.25">
      <c r="A1151" s="1">
        <v>40263</v>
      </c>
      <c r="B1151" t="s">
        <v>7</v>
      </c>
      <c r="C1151">
        <v>155</v>
      </c>
      <c r="D1151">
        <f>YEAR(cukier8[[#This Row],[data]])</f>
        <v>2010</v>
      </c>
      <c r="E1151">
        <f>VLOOKUP(cukier8[[#This Row],[rok]],$L$2:$M$11,2,FALSE)*cukier8[[#This Row],[sprzedany_cukier]]</f>
        <v>325.5</v>
      </c>
    </row>
    <row r="1152" spans="1:5" x14ac:dyDescent="0.25">
      <c r="A1152" s="1">
        <v>40263</v>
      </c>
      <c r="B1152" t="s">
        <v>81</v>
      </c>
      <c r="C1152">
        <v>10</v>
      </c>
      <c r="D1152">
        <f>YEAR(cukier8[[#This Row],[data]])</f>
        <v>2010</v>
      </c>
      <c r="E1152">
        <f>VLOOKUP(cukier8[[#This Row],[rok]],$L$2:$M$11,2,FALSE)*cukier8[[#This Row],[sprzedany_cukier]]</f>
        <v>21</v>
      </c>
    </row>
    <row r="1153" spans="1:5" x14ac:dyDescent="0.25">
      <c r="A1153" s="1">
        <v>40265</v>
      </c>
      <c r="B1153" t="s">
        <v>28</v>
      </c>
      <c r="C1153">
        <v>158</v>
      </c>
      <c r="D1153">
        <f>YEAR(cukier8[[#This Row],[data]])</f>
        <v>2010</v>
      </c>
      <c r="E1153">
        <f>VLOOKUP(cukier8[[#This Row],[rok]],$L$2:$M$11,2,FALSE)*cukier8[[#This Row],[sprzedany_cukier]]</f>
        <v>331.8</v>
      </c>
    </row>
    <row r="1154" spans="1:5" x14ac:dyDescent="0.25">
      <c r="A1154" s="1">
        <v>40267</v>
      </c>
      <c r="B1154" t="s">
        <v>55</v>
      </c>
      <c r="C1154">
        <v>146</v>
      </c>
      <c r="D1154">
        <f>YEAR(cukier8[[#This Row],[data]])</f>
        <v>2010</v>
      </c>
      <c r="E1154">
        <f>VLOOKUP(cukier8[[#This Row],[rok]],$L$2:$M$11,2,FALSE)*cukier8[[#This Row],[sprzedany_cukier]]</f>
        <v>306.60000000000002</v>
      </c>
    </row>
    <row r="1155" spans="1:5" x14ac:dyDescent="0.25">
      <c r="A1155" s="1">
        <v>40268</v>
      </c>
      <c r="B1155" t="s">
        <v>22</v>
      </c>
      <c r="C1155">
        <v>230</v>
      </c>
      <c r="D1155">
        <f>YEAR(cukier8[[#This Row],[data]])</f>
        <v>2010</v>
      </c>
      <c r="E1155">
        <f>VLOOKUP(cukier8[[#This Row],[rok]],$L$2:$M$11,2,FALSE)*cukier8[[#This Row],[sprzedany_cukier]]</f>
        <v>483</v>
      </c>
    </row>
    <row r="1156" spans="1:5" x14ac:dyDescent="0.25">
      <c r="A1156" s="1">
        <v>40270</v>
      </c>
      <c r="B1156" t="s">
        <v>39</v>
      </c>
      <c r="C1156">
        <v>143</v>
      </c>
      <c r="D1156">
        <f>YEAR(cukier8[[#This Row],[data]])</f>
        <v>2010</v>
      </c>
      <c r="E1156">
        <f>VLOOKUP(cukier8[[#This Row],[rok]],$L$2:$M$11,2,FALSE)*cukier8[[#This Row],[sprzedany_cukier]]</f>
        <v>300.3</v>
      </c>
    </row>
    <row r="1157" spans="1:5" x14ac:dyDescent="0.25">
      <c r="A1157" s="1">
        <v>40270</v>
      </c>
      <c r="B1157" t="s">
        <v>61</v>
      </c>
      <c r="C1157">
        <v>167</v>
      </c>
      <c r="D1157">
        <f>YEAR(cukier8[[#This Row],[data]])</f>
        <v>2010</v>
      </c>
      <c r="E1157">
        <f>VLOOKUP(cukier8[[#This Row],[rok]],$L$2:$M$11,2,FALSE)*cukier8[[#This Row],[sprzedany_cukier]]</f>
        <v>350.7</v>
      </c>
    </row>
    <row r="1158" spans="1:5" x14ac:dyDescent="0.25">
      <c r="A1158" s="1">
        <v>40270</v>
      </c>
      <c r="B1158" t="s">
        <v>52</v>
      </c>
      <c r="C1158">
        <v>119</v>
      </c>
      <c r="D1158">
        <f>YEAR(cukier8[[#This Row],[data]])</f>
        <v>2010</v>
      </c>
      <c r="E1158">
        <f>VLOOKUP(cukier8[[#This Row],[rok]],$L$2:$M$11,2,FALSE)*cukier8[[#This Row],[sprzedany_cukier]]</f>
        <v>249.9</v>
      </c>
    </row>
    <row r="1159" spans="1:5" x14ac:dyDescent="0.25">
      <c r="A1159" s="1">
        <v>40272</v>
      </c>
      <c r="B1159" t="s">
        <v>14</v>
      </c>
      <c r="C1159">
        <v>400</v>
      </c>
      <c r="D1159">
        <f>YEAR(cukier8[[#This Row],[data]])</f>
        <v>2010</v>
      </c>
      <c r="E1159">
        <f>VLOOKUP(cukier8[[#This Row],[rok]],$L$2:$M$11,2,FALSE)*cukier8[[#This Row],[sprzedany_cukier]]</f>
        <v>840</v>
      </c>
    </row>
    <row r="1160" spans="1:5" x14ac:dyDescent="0.25">
      <c r="A1160" s="1">
        <v>40274</v>
      </c>
      <c r="B1160" t="s">
        <v>37</v>
      </c>
      <c r="C1160">
        <v>172</v>
      </c>
      <c r="D1160">
        <f>YEAR(cukier8[[#This Row],[data]])</f>
        <v>2010</v>
      </c>
      <c r="E1160">
        <f>VLOOKUP(cukier8[[#This Row],[rok]],$L$2:$M$11,2,FALSE)*cukier8[[#This Row],[sprzedany_cukier]]</f>
        <v>361.2</v>
      </c>
    </row>
    <row r="1161" spans="1:5" x14ac:dyDescent="0.25">
      <c r="A1161" s="1">
        <v>40275</v>
      </c>
      <c r="B1161" t="s">
        <v>98</v>
      </c>
      <c r="C1161">
        <v>19</v>
      </c>
      <c r="D1161">
        <f>YEAR(cukier8[[#This Row],[data]])</f>
        <v>2010</v>
      </c>
      <c r="E1161">
        <f>VLOOKUP(cukier8[[#This Row],[rok]],$L$2:$M$11,2,FALSE)*cukier8[[#This Row],[sprzedany_cukier]]</f>
        <v>39.9</v>
      </c>
    </row>
    <row r="1162" spans="1:5" x14ac:dyDescent="0.25">
      <c r="A1162" s="1">
        <v>40277</v>
      </c>
      <c r="B1162" t="s">
        <v>7</v>
      </c>
      <c r="C1162">
        <v>116</v>
      </c>
      <c r="D1162">
        <f>YEAR(cukier8[[#This Row],[data]])</f>
        <v>2010</v>
      </c>
      <c r="E1162">
        <f>VLOOKUP(cukier8[[#This Row],[rok]],$L$2:$M$11,2,FALSE)*cukier8[[#This Row],[sprzedany_cukier]]</f>
        <v>243.60000000000002</v>
      </c>
    </row>
    <row r="1163" spans="1:5" x14ac:dyDescent="0.25">
      <c r="A1163" s="1">
        <v>40279</v>
      </c>
      <c r="B1163" t="s">
        <v>22</v>
      </c>
      <c r="C1163">
        <v>143</v>
      </c>
      <c r="D1163">
        <f>YEAR(cukier8[[#This Row],[data]])</f>
        <v>2010</v>
      </c>
      <c r="E1163">
        <f>VLOOKUP(cukier8[[#This Row],[rok]],$L$2:$M$11,2,FALSE)*cukier8[[#This Row],[sprzedany_cukier]]</f>
        <v>300.3</v>
      </c>
    </row>
    <row r="1164" spans="1:5" x14ac:dyDescent="0.25">
      <c r="A1164" s="1">
        <v>40280</v>
      </c>
      <c r="B1164" t="s">
        <v>9</v>
      </c>
      <c r="C1164">
        <v>222</v>
      </c>
      <c r="D1164">
        <f>YEAR(cukier8[[#This Row],[data]])</f>
        <v>2010</v>
      </c>
      <c r="E1164">
        <f>VLOOKUP(cukier8[[#This Row],[rok]],$L$2:$M$11,2,FALSE)*cukier8[[#This Row],[sprzedany_cukier]]</f>
        <v>466.20000000000005</v>
      </c>
    </row>
    <row r="1165" spans="1:5" x14ac:dyDescent="0.25">
      <c r="A1165" s="1">
        <v>40282</v>
      </c>
      <c r="B1165" t="s">
        <v>9</v>
      </c>
      <c r="C1165">
        <v>352</v>
      </c>
      <c r="D1165">
        <f>YEAR(cukier8[[#This Row],[data]])</f>
        <v>2010</v>
      </c>
      <c r="E1165">
        <f>VLOOKUP(cukier8[[#This Row],[rok]],$L$2:$M$11,2,FALSE)*cukier8[[#This Row],[sprzedany_cukier]]</f>
        <v>739.2</v>
      </c>
    </row>
    <row r="1166" spans="1:5" x14ac:dyDescent="0.25">
      <c r="A1166" s="1">
        <v>40282</v>
      </c>
      <c r="B1166" t="s">
        <v>52</v>
      </c>
      <c r="C1166">
        <v>69</v>
      </c>
      <c r="D1166">
        <f>YEAR(cukier8[[#This Row],[data]])</f>
        <v>2010</v>
      </c>
      <c r="E1166">
        <f>VLOOKUP(cukier8[[#This Row],[rok]],$L$2:$M$11,2,FALSE)*cukier8[[#This Row],[sprzedany_cukier]]</f>
        <v>144.9</v>
      </c>
    </row>
    <row r="1167" spans="1:5" x14ac:dyDescent="0.25">
      <c r="A1167" s="1">
        <v>40283</v>
      </c>
      <c r="B1167" t="s">
        <v>45</v>
      </c>
      <c r="C1167">
        <v>182</v>
      </c>
      <c r="D1167">
        <f>YEAR(cukier8[[#This Row],[data]])</f>
        <v>2010</v>
      </c>
      <c r="E1167">
        <f>VLOOKUP(cukier8[[#This Row],[rok]],$L$2:$M$11,2,FALSE)*cukier8[[#This Row],[sprzedany_cukier]]</f>
        <v>382.2</v>
      </c>
    </row>
    <row r="1168" spans="1:5" x14ac:dyDescent="0.25">
      <c r="A1168" s="1">
        <v>40285</v>
      </c>
      <c r="B1168" t="s">
        <v>9</v>
      </c>
      <c r="C1168">
        <v>182</v>
      </c>
      <c r="D1168">
        <f>YEAR(cukier8[[#This Row],[data]])</f>
        <v>2010</v>
      </c>
      <c r="E1168">
        <f>VLOOKUP(cukier8[[#This Row],[rok]],$L$2:$M$11,2,FALSE)*cukier8[[#This Row],[sprzedany_cukier]]</f>
        <v>382.2</v>
      </c>
    </row>
    <row r="1169" spans="1:5" x14ac:dyDescent="0.25">
      <c r="A1169" s="1">
        <v>40285</v>
      </c>
      <c r="B1169" t="s">
        <v>52</v>
      </c>
      <c r="C1169">
        <v>165</v>
      </c>
      <c r="D1169">
        <f>YEAR(cukier8[[#This Row],[data]])</f>
        <v>2010</v>
      </c>
      <c r="E1169">
        <f>VLOOKUP(cukier8[[#This Row],[rok]],$L$2:$M$11,2,FALSE)*cukier8[[#This Row],[sprzedany_cukier]]</f>
        <v>346.5</v>
      </c>
    </row>
    <row r="1170" spans="1:5" x14ac:dyDescent="0.25">
      <c r="A1170" s="1">
        <v>40286</v>
      </c>
      <c r="B1170" t="s">
        <v>40</v>
      </c>
      <c r="C1170">
        <v>18</v>
      </c>
      <c r="D1170">
        <f>YEAR(cukier8[[#This Row],[data]])</f>
        <v>2010</v>
      </c>
      <c r="E1170">
        <f>VLOOKUP(cukier8[[#This Row],[rok]],$L$2:$M$11,2,FALSE)*cukier8[[#This Row],[sprzedany_cukier]]</f>
        <v>37.800000000000004</v>
      </c>
    </row>
    <row r="1171" spans="1:5" x14ac:dyDescent="0.25">
      <c r="A1171" s="1">
        <v>40286</v>
      </c>
      <c r="B1171" t="s">
        <v>210</v>
      </c>
      <c r="C1171">
        <v>2</v>
      </c>
      <c r="D1171">
        <f>YEAR(cukier8[[#This Row],[data]])</f>
        <v>2010</v>
      </c>
      <c r="E1171">
        <f>VLOOKUP(cukier8[[#This Row],[rok]],$L$2:$M$11,2,FALSE)*cukier8[[#This Row],[sprzedany_cukier]]</f>
        <v>4.2</v>
      </c>
    </row>
    <row r="1172" spans="1:5" x14ac:dyDescent="0.25">
      <c r="A1172" s="1">
        <v>40287</v>
      </c>
      <c r="B1172" t="s">
        <v>184</v>
      </c>
      <c r="C1172">
        <v>15</v>
      </c>
      <c r="D1172">
        <f>YEAR(cukier8[[#This Row],[data]])</f>
        <v>2010</v>
      </c>
      <c r="E1172">
        <f>VLOOKUP(cukier8[[#This Row],[rok]],$L$2:$M$11,2,FALSE)*cukier8[[#This Row],[sprzedany_cukier]]</f>
        <v>31.5</v>
      </c>
    </row>
    <row r="1173" spans="1:5" x14ac:dyDescent="0.25">
      <c r="A1173" s="1">
        <v>40288</v>
      </c>
      <c r="B1173" t="s">
        <v>211</v>
      </c>
      <c r="C1173">
        <v>19</v>
      </c>
      <c r="D1173">
        <f>YEAR(cukier8[[#This Row],[data]])</f>
        <v>2010</v>
      </c>
      <c r="E1173">
        <f>VLOOKUP(cukier8[[#This Row],[rok]],$L$2:$M$11,2,FALSE)*cukier8[[#This Row],[sprzedany_cukier]]</f>
        <v>39.9</v>
      </c>
    </row>
    <row r="1174" spans="1:5" x14ac:dyDescent="0.25">
      <c r="A1174" s="1">
        <v>40289</v>
      </c>
      <c r="B1174" t="s">
        <v>37</v>
      </c>
      <c r="C1174">
        <v>66</v>
      </c>
      <c r="D1174">
        <f>YEAR(cukier8[[#This Row],[data]])</f>
        <v>2010</v>
      </c>
      <c r="E1174">
        <f>VLOOKUP(cukier8[[#This Row],[rok]],$L$2:$M$11,2,FALSE)*cukier8[[#This Row],[sprzedany_cukier]]</f>
        <v>138.6</v>
      </c>
    </row>
    <row r="1175" spans="1:5" x14ac:dyDescent="0.25">
      <c r="A1175" s="1">
        <v>40289</v>
      </c>
      <c r="B1175" t="s">
        <v>170</v>
      </c>
      <c r="C1175">
        <v>12</v>
      </c>
      <c r="D1175">
        <f>YEAR(cukier8[[#This Row],[data]])</f>
        <v>2010</v>
      </c>
      <c r="E1175">
        <f>VLOOKUP(cukier8[[#This Row],[rok]],$L$2:$M$11,2,FALSE)*cukier8[[#This Row],[sprzedany_cukier]]</f>
        <v>25.200000000000003</v>
      </c>
    </row>
    <row r="1176" spans="1:5" x14ac:dyDescent="0.25">
      <c r="A1176" s="1">
        <v>40290</v>
      </c>
      <c r="B1176" t="s">
        <v>118</v>
      </c>
      <c r="C1176">
        <v>19</v>
      </c>
      <c r="D1176">
        <f>YEAR(cukier8[[#This Row],[data]])</f>
        <v>2010</v>
      </c>
      <c r="E1176">
        <f>VLOOKUP(cukier8[[#This Row],[rok]],$L$2:$M$11,2,FALSE)*cukier8[[#This Row],[sprzedany_cukier]]</f>
        <v>39.9</v>
      </c>
    </row>
    <row r="1177" spans="1:5" x14ac:dyDescent="0.25">
      <c r="A1177" s="1">
        <v>40290</v>
      </c>
      <c r="B1177" t="s">
        <v>23</v>
      </c>
      <c r="C1177">
        <v>96</v>
      </c>
      <c r="D1177">
        <f>YEAR(cukier8[[#This Row],[data]])</f>
        <v>2010</v>
      </c>
      <c r="E1177">
        <f>VLOOKUP(cukier8[[#This Row],[rok]],$L$2:$M$11,2,FALSE)*cukier8[[#This Row],[sprzedany_cukier]]</f>
        <v>201.60000000000002</v>
      </c>
    </row>
    <row r="1178" spans="1:5" x14ac:dyDescent="0.25">
      <c r="A1178" s="1">
        <v>40293</v>
      </c>
      <c r="B1178" t="s">
        <v>9</v>
      </c>
      <c r="C1178">
        <v>240</v>
      </c>
      <c r="D1178">
        <f>YEAR(cukier8[[#This Row],[data]])</f>
        <v>2010</v>
      </c>
      <c r="E1178">
        <f>VLOOKUP(cukier8[[#This Row],[rok]],$L$2:$M$11,2,FALSE)*cukier8[[#This Row],[sprzedany_cukier]]</f>
        <v>504</v>
      </c>
    </row>
    <row r="1179" spans="1:5" x14ac:dyDescent="0.25">
      <c r="A1179" s="1">
        <v>40295</v>
      </c>
      <c r="B1179" t="s">
        <v>28</v>
      </c>
      <c r="C1179">
        <v>57</v>
      </c>
      <c r="D1179">
        <f>YEAR(cukier8[[#This Row],[data]])</f>
        <v>2010</v>
      </c>
      <c r="E1179">
        <f>VLOOKUP(cukier8[[#This Row],[rok]],$L$2:$M$11,2,FALSE)*cukier8[[#This Row],[sprzedany_cukier]]</f>
        <v>119.7</v>
      </c>
    </row>
    <row r="1180" spans="1:5" x14ac:dyDescent="0.25">
      <c r="A1180" s="1">
        <v>40299</v>
      </c>
      <c r="B1180" t="s">
        <v>14</v>
      </c>
      <c r="C1180">
        <v>475</v>
      </c>
      <c r="D1180">
        <f>YEAR(cukier8[[#This Row],[data]])</f>
        <v>2010</v>
      </c>
      <c r="E1180">
        <f>VLOOKUP(cukier8[[#This Row],[rok]],$L$2:$M$11,2,FALSE)*cukier8[[#This Row],[sprzedany_cukier]]</f>
        <v>997.5</v>
      </c>
    </row>
    <row r="1181" spans="1:5" x14ac:dyDescent="0.25">
      <c r="A1181" s="1">
        <v>40300</v>
      </c>
      <c r="B1181" t="s">
        <v>7</v>
      </c>
      <c r="C1181">
        <v>162</v>
      </c>
      <c r="D1181">
        <f>YEAR(cukier8[[#This Row],[data]])</f>
        <v>2010</v>
      </c>
      <c r="E1181">
        <f>VLOOKUP(cukier8[[#This Row],[rok]],$L$2:$M$11,2,FALSE)*cukier8[[#This Row],[sprzedany_cukier]]</f>
        <v>340.2</v>
      </c>
    </row>
    <row r="1182" spans="1:5" x14ac:dyDescent="0.25">
      <c r="A1182" s="1">
        <v>40302</v>
      </c>
      <c r="B1182" t="s">
        <v>7</v>
      </c>
      <c r="C1182">
        <v>150</v>
      </c>
      <c r="D1182">
        <f>YEAR(cukier8[[#This Row],[data]])</f>
        <v>2010</v>
      </c>
      <c r="E1182">
        <f>VLOOKUP(cukier8[[#This Row],[rok]],$L$2:$M$11,2,FALSE)*cukier8[[#This Row],[sprzedany_cukier]]</f>
        <v>315</v>
      </c>
    </row>
    <row r="1183" spans="1:5" x14ac:dyDescent="0.25">
      <c r="A1183" s="1">
        <v>40303</v>
      </c>
      <c r="B1183" t="s">
        <v>50</v>
      </c>
      <c r="C1183">
        <v>139</v>
      </c>
      <c r="D1183">
        <f>YEAR(cukier8[[#This Row],[data]])</f>
        <v>2010</v>
      </c>
      <c r="E1183">
        <f>VLOOKUP(cukier8[[#This Row],[rok]],$L$2:$M$11,2,FALSE)*cukier8[[#This Row],[sprzedany_cukier]]</f>
        <v>291.90000000000003</v>
      </c>
    </row>
    <row r="1184" spans="1:5" x14ac:dyDescent="0.25">
      <c r="A1184" s="1">
        <v>40305</v>
      </c>
      <c r="B1184" t="s">
        <v>19</v>
      </c>
      <c r="C1184">
        <v>183</v>
      </c>
      <c r="D1184">
        <f>YEAR(cukier8[[#This Row],[data]])</f>
        <v>2010</v>
      </c>
      <c r="E1184">
        <f>VLOOKUP(cukier8[[#This Row],[rok]],$L$2:$M$11,2,FALSE)*cukier8[[#This Row],[sprzedany_cukier]]</f>
        <v>384.3</v>
      </c>
    </row>
    <row r="1185" spans="1:5" x14ac:dyDescent="0.25">
      <c r="A1185" s="1">
        <v>40315</v>
      </c>
      <c r="B1185" t="s">
        <v>7</v>
      </c>
      <c r="C1185">
        <v>214</v>
      </c>
      <c r="D1185">
        <f>YEAR(cukier8[[#This Row],[data]])</f>
        <v>2010</v>
      </c>
      <c r="E1185">
        <f>VLOOKUP(cukier8[[#This Row],[rok]],$L$2:$M$11,2,FALSE)*cukier8[[#This Row],[sprzedany_cukier]]</f>
        <v>449.40000000000003</v>
      </c>
    </row>
    <row r="1186" spans="1:5" x14ac:dyDescent="0.25">
      <c r="A1186" s="1">
        <v>40318</v>
      </c>
      <c r="B1186" t="s">
        <v>175</v>
      </c>
      <c r="C1186">
        <v>14</v>
      </c>
      <c r="D1186">
        <f>YEAR(cukier8[[#This Row],[data]])</f>
        <v>2010</v>
      </c>
      <c r="E1186">
        <f>VLOOKUP(cukier8[[#This Row],[rok]],$L$2:$M$11,2,FALSE)*cukier8[[#This Row],[sprzedany_cukier]]</f>
        <v>29.400000000000002</v>
      </c>
    </row>
    <row r="1187" spans="1:5" x14ac:dyDescent="0.25">
      <c r="A1187" s="1">
        <v>40319</v>
      </c>
      <c r="B1187" t="s">
        <v>195</v>
      </c>
      <c r="C1187">
        <v>2</v>
      </c>
      <c r="D1187">
        <f>YEAR(cukier8[[#This Row],[data]])</f>
        <v>2010</v>
      </c>
      <c r="E1187">
        <f>VLOOKUP(cukier8[[#This Row],[rok]],$L$2:$M$11,2,FALSE)*cukier8[[#This Row],[sprzedany_cukier]]</f>
        <v>4.2</v>
      </c>
    </row>
    <row r="1188" spans="1:5" x14ac:dyDescent="0.25">
      <c r="A1188" s="1">
        <v>40320</v>
      </c>
      <c r="B1188" t="s">
        <v>22</v>
      </c>
      <c r="C1188">
        <v>383</v>
      </c>
      <c r="D1188">
        <f>YEAR(cukier8[[#This Row],[data]])</f>
        <v>2010</v>
      </c>
      <c r="E1188">
        <f>VLOOKUP(cukier8[[#This Row],[rok]],$L$2:$M$11,2,FALSE)*cukier8[[#This Row],[sprzedany_cukier]]</f>
        <v>804.30000000000007</v>
      </c>
    </row>
    <row r="1189" spans="1:5" x14ac:dyDescent="0.25">
      <c r="A1189" s="1">
        <v>40321</v>
      </c>
      <c r="B1189" t="s">
        <v>0</v>
      </c>
      <c r="C1189">
        <v>14</v>
      </c>
      <c r="D1189">
        <f>YEAR(cukier8[[#This Row],[data]])</f>
        <v>2010</v>
      </c>
      <c r="E1189">
        <f>VLOOKUP(cukier8[[#This Row],[rok]],$L$2:$M$11,2,FALSE)*cukier8[[#This Row],[sprzedany_cukier]]</f>
        <v>29.400000000000002</v>
      </c>
    </row>
    <row r="1190" spans="1:5" x14ac:dyDescent="0.25">
      <c r="A1190" s="1">
        <v>40321</v>
      </c>
      <c r="B1190" t="s">
        <v>52</v>
      </c>
      <c r="C1190">
        <v>127</v>
      </c>
      <c r="D1190">
        <f>YEAR(cukier8[[#This Row],[data]])</f>
        <v>2010</v>
      </c>
      <c r="E1190">
        <f>VLOOKUP(cukier8[[#This Row],[rok]],$L$2:$M$11,2,FALSE)*cukier8[[#This Row],[sprzedany_cukier]]</f>
        <v>266.7</v>
      </c>
    </row>
    <row r="1191" spans="1:5" x14ac:dyDescent="0.25">
      <c r="A1191" s="1">
        <v>40322</v>
      </c>
      <c r="B1191" t="s">
        <v>30</v>
      </c>
      <c r="C1191">
        <v>179</v>
      </c>
      <c r="D1191">
        <f>YEAR(cukier8[[#This Row],[data]])</f>
        <v>2010</v>
      </c>
      <c r="E1191">
        <f>VLOOKUP(cukier8[[#This Row],[rok]],$L$2:$M$11,2,FALSE)*cukier8[[#This Row],[sprzedany_cukier]]</f>
        <v>375.90000000000003</v>
      </c>
    </row>
    <row r="1192" spans="1:5" x14ac:dyDescent="0.25">
      <c r="A1192" s="1">
        <v>40323</v>
      </c>
      <c r="B1192" t="s">
        <v>23</v>
      </c>
      <c r="C1192">
        <v>74</v>
      </c>
      <c r="D1192">
        <f>YEAR(cukier8[[#This Row],[data]])</f>
        <v>2010</v>
      </c>
      <c r="E1192">
        <f>VLOOKUP(cukier8[[#This Row],[rok]],$L$2:$M$11,2,FALSE)*cukier8[[#This Row],[sprzedany_cukier]]</f>
        <v>155.4</v>
      </c>
    </row>
    <row r="1193" spans="1:5" x14ac:dyDescent="0.25">
      <c r="A1193" s="1">
        <v>40323</v>
      </c>
      <c r="B1193" t="s">
        <v>50</v>
      </c>
      <c r="C1193">
        <v>311</v>
      </c>
      <c r="D1193">
        <f>YEAR(cukier8[[#This Row],[data]])</f>
        <v>2010</v>
      </c>
      <c r="E1193">
        <f>VLOOKUP(cukier8[[#This Row],[rok]],$L$2:$M$11,2,FALSE)*cukier8[[#This Row],[sprzedany_cukier]]</f>
        <v>653.1</v>
      </c>
    </row>
    <row r="1194" spans="1:5" x14ac:dyDescent="0.25">
      <c r="A1194" s="1">
        <v>40327</v>
      </c>
      <c r="B1194" t="s">
        <v>66</v>
      </c>
      <c r="C1194">
        <v>190</v>
      </c>
      <c r="D1194">
        <f>YEAR(cukier8[[#This Row],[data]])</f>
        <v>2010</v>
      </c>
      <c r="E1194">
        <f>VLOOKUP(cukier8[[#This Row],[rok]],$L$2:$M$11,2,FALSE)*cukier8[[#This Row],[sprzedany_cukier]]</f>
        <v>399</v>
      </c>
    </row>
    <row r="1195" spans="1:5" x14ac:dyDescent="0.25">
      <c r="A1195" s="1">
        <v>40329</v>
      </c>
      <c r="B1195" t="s">
        <v>31</v>
      </c>
      <c r="C1195">
        <v>67</v>
      </c>
      <c r="D1195">
        <f>YEAR(cukier8[[#This Row],[data]])</f>
        <v>2010</v>
      </c>
      <c r="E1195">
        <f>VLOOKUP(cukier8[[#This Row],[rok]],$L$2:$M$11,2,FALSE)*cukier8[[#This Row],[sprzedany_cukier]]</f>
        <v>140.70000000000002</v>
      </c>
    </row>
    <row r="1196" spans="1:5" x14ac:dyDescent="0.25">
      <c r="A1196" s="1">
        <v>40331</v>
      </c>
      <c r="B1196" t="s">
        <v>7</v>
      </c>
      <c r="C1196">
        <v>331</v>
      </c>
      <c r="D1196">
        <f>YEAR(cukier8[[#This Row],[data]])</f>
        <v>2010</v>
      </c>
      <c r="E1196">
        <f>VLOOKUP(cukier8[[#This Row],[rok]],$L$2:$M$11,2,FALSE)*cukier8[[#This Row],[sprzedany_cukier]]</f>
        <v>695.1</v>
      </c>
    </row>
    <row r="1197" spans="1:5" x14ac:dyDescent="0.25">
      <c r="A1197" s="1">
        <v>40331</v>
      </c>
      <c r="B1197" t="s">
        <v>39</v>
      </c>
      <c r="C1197">
        <v>114</v>
      </c>
      <c r="D1197">
        <f>YEAR(cukier8[[#This Row],[data]])</f>
        <v>2010</v>
      </c>
      <c r="E1197">
        <f>VLOOKUP(cukier8[[#This Row],[rok]],$L$2:$M$11,2,FALSE)*cukier8[[#This Row],[sprzedany_cukier]]</f>
        <v>239.4</v>
      </c>
    </row>
    <row r="1198" spans="1:5" x14ac:dyDescent="0.25">
      <c r="A1198" s="1">
        <v>40332</v>
      </c>
      <c r="B1198" t="s">
        <v>52</v>
      </c>
      <c r="C1198">
        <v>79</v>
      </c>
      <c r="D1198">
        <f>YEAR(cukier8[[#This Row],[data]])</f>
        <v>2010</v>
      </c>
      <c r="E1198">
        <f>VLOOKUP(cukier8[[#This Row],[rok]],$L$2:$M$11,2,FALSE)*cukier8[[#This Row],[sprzedany_cukier]]</f>
        <v>165.9</v>
      </c>
    </row>
    <row r="1199" spans="1:5" x14ac:dyDescent="0.25">
      <c r="A1199" s="1">
        <v>40333</v>
      </c>
      <c r="B1199" t="s">
        <v>71</v>
      </c>
      <c r="C1199">
        <v>22</v>
      </c>
      <c r="D1199">
        <f>YEAR(cukier8[[#This Row],[data]])</f>
        <v>2010</v>
      </c>
      <c r="E1199">
        <f>VLOOKUP(cukier8[[#This Row],[rok]],$L$2:$M$11,2,FALSE)*cukier8[[#This Row],[sprzedany_cukier]]</f>
        <v>46.2</v>
      </c>
    </row>
    <row r="1200" spans="1:5" x14ac:dyDescent="0.25">
      <c r="A1200" s="1">
        <v>40333</v>
      </c>
      <c r="B1200" t="s">
        <v>92</v>
      </c>
      <c r="C1200">
        <v>5</v>
      </c>
      <c r="D1200">
        <f>YEAR(cukier8[[#This Row],[data]])</f>
        <v>2010</v>
      </c>
      <c r="E1200">
        <f>VLOOKUP(cukier8[[#This Row],[rok]],$L$2:$M$11,2,FALSE)*cukier8[[#This Row],[sprzedany_cukier]]</f>
        <v>10.5</v>
      </c>
    </row>
    <row r="1201" spans="1:5" x14ac:dyDescent="0.25">
      <c r="A1201" s="1">
        <v>40336</v>
      </c>
      <c r="B1201" t="s">
        <v>72</v>
      </c>
      <c r="C1201">
        <v>17</v>
      </c>
      <c r="D1201">
        <f>YEAR(cukier8[[#This Row],[data]])</f>
        <v>2010</v>
      </c>
      <c r="E1201">
        <f>VLOOKUP(cukier8[[#This Row],[rok]],$L$2:$M$11,2,FALSE)*cukier8[[#This Row],[sprzedany_cukier]]</f>
        <v>35.700000000000003</v>
      </c>
    </row>
    <row r="1202" spans="1:5" x14ac:dyDescent="0.25">
      <c r="A1202" s="1">
        <v>40337</v>
      </c>
      <c r="B1202" t="s">
        <v>45</v>
      </c>
      <c r="C1202">
        <v>344</v>
      </c>
      <c r="D1202">
        <f>YEAR(cukier8[[#This Row],[data]])</f>
        <v>2010</v>
      </c>
      <c r="E1202">
        <f>VLOOKUP(cukier8[[#This Row],[rok]],$L$2:$M$11,2,FALSE)*cukier8[[#This Row],[sprzedany_cukier]]</f>
        <v>722.4</v>
      </c>
    </row>
    <row r="1203" spans="1:5" x14ac:dyDescent="0.25">
      <c r="A1203" s="1">
        <v>40337</v>
      </c>
      <c r="B1203" t="s">
        <v>14</v>
      </c>
      <c r="C1203">
        <v>329</v>
      </c>
      <c r="D1203">
        <f>YEAR(cukier8[[#This Row],[data]])</f>
        <v>2010</v>
      </c>
      <c r="E1203">
        <f>VLOOKUP(cukier8[[#This Row],[rok]],$L$2:$M$11,2,FALSE)*cukier8[[#This Row],[sprzedany_cukier]]</f>
        <v>690.9</v>
      </c>
    </row>
    <row r="1204" spans="1:5" x14ac:dyDescent="0.25">
      <c r="A1204" s="1">
        <v>40337</v>
      </c>
      <c r="B1204" t="s">
        <v>112</v>
      </c>
      <c r="C1204">
        <v>10</v>
      </c>
      <c r="D1204">
        <f>YEAR(cukier8[[#This Row],[data]])</f>
        <v>2010</v>
      </c>
      <c r="E1204">
        <f>VLOOKUP(cukier8[[#This Row],[rok]],$L$2:$M$11,2,FALSE)*cukier8[[#This Row],[sprzedany_cukier]]</f>
        <v>21</v>
      </c>
    </row>
    <row r="1205" spans="1:5" x14ac:dyDescent="0.25">
      <c r="A1205" s="1">
        <v>40341</v>
      </c>
      <c r="B1205" t="s">
        <v>30</v>
      </c>
      <c r="C1205">
        <v>105</v>
      </c>
      <c r="D1205">
        <f>YEAR(cukier8[[#This Row],[data]])</f>
        <v>2010</v>
      </c>
      <c r="E1205">
        <f>VLOOKUP(cukier8[[#This Row],[rok]],$L$2:$M$11,2,FALSE)*cukier8[[#This Row],[sprzedany_cukier]]</f>
        <v>220.5</v>
      </c>
    </row>
    <row r="1206" spans="1:5" x14ac:dyDescent="0.25">
      <c r="A1206" s="1">
        <v>40342</v>
      </c>
      <c r="B1206" t="s">
        <v>69</v>
      </c>
      <c r="C1206">
        <v>26</v>
      </c>
      <c r="D1206">
        <f>YEAR(cukier8[[#This Row],[data]])</f>
        <v>2010</v>
      </c>
      <c r="E1206">
        <f>VLOOKUP(cukier8[[#This Row],[rok]],$L$2:$M$11,2,FALSE)*cukier8[[#This Row],[sprzedany_cukier]]</f>
        <v>54.6</v>
      </c>
    </row>
    <row r="1207" spans="1:5" x14ac:dyDescent="0.25">
      <c r="A1207" s="1">
        <v>40343</v>
      </c>
      <c r="B1207" t="s">
        <v>39</v>
      </c>
      <c r="C1207">
        <v>121</v>
      </c>
      <c r="D1207">
        <f>YEAR(cukier8[[#This Row],[data]])</f>
        <v>2010</v>
      </c>
      <c r="E1207">
        <f>VLOOKUP(cukier8[[#This Row],[rok]],$L$2:$M$11,2,FALSE)*cukier8[[#This Row],[sprzedany_cukier]]</f>
        <v>254.10000000000002</v>
      </c>
    </row>
    <row r="1208" spans="1:5" x14ac:dyDescent="0.25">
      <c r="A1208" s="1">
        <v>40345</v>
      </c>
      <c r="B1208" t="s">
        <v>8</v>
      </c>
      <c r="C1208">
        <v>174</v>
      </c>
      <c r="D1208">
        <f>YEAR(cukier8[[#This Row],[data]])</f>
        <v>2010</v>
      </c>
      <c r="E1208">
        <f>VLOOKUP(cukier8[[#This Row],[rok]],$L$2:$M$11,2,FALSE)*cukier8[[#This Row],[sprzedany_cukier]]</f>
        <v>365.40000000000003</v>
      </c>
    </row>
    <row r="1209" spans="1:5" x14ac:dyDescent="0.25">
      <c r="A1209" s="1">
        <v>40346</v>
      </c>
      <c r="B1209" t="s">
        <v>14</v>
      </c>
      <c r="C1209">
        <v>233</v>
      </c>
      <c r="D1209">
        <f>YEAR(cukier8[[#This Row],[data]])</f>
        <v>2010</v>
      </c>
      <c r="E1209">
        <f>VLOOKUP(cukier8[[#This Row],[rok]],$L$2:$M$11,2,FALSE)*cukier8[[#This Row],[sprzedany_cukier]]</f>
        <v>489.3</v>
      </c>
    </row>
    <row r="1210" spans="1:5" x14ac:dyDescent="0.25">
      <c r="A1210" s="1">
        <v>40347</v>
      </c>
      <c r="B1210" t="s">
        <v>10</v>
      </c>
      <c r="C1210">
        <v>117</v>
      </c>
      <c r="D1210">
        <f>YEAR(cukier8[[#This Row],[data]])</f>
        <v>2010</v>
      </c>
      <c r="E1210">
        <f>VLOOKUP(cukier8[[#This Row],[rok]],$L$2:$M$11,2,FALSE)*cukier8[[#This Row],[sprzedany_cukier]]</f>
        <v>245.70000000000002</v>
      </c>
    </row>
    <row r="1211" spans="1:5" x14ac:dyDescent="0.25">
      <c r="A1211" s="1">
        <v>40348</v>
      </c>
      <c r="B1211" t="s">
        <v>72</v>
      </c>
      <c r="C1211">
        <v>11</v>
      </c>
      <c r="D1211">
        <f>YEAR(cukier8[[#This Row],[data]])</f>
        <v>2010</v>
      </c>
      <c r="E1211">
        <f>VLOOKUP(cukier8[[#This Row],[rok]],$L$2:$M$11,2,FALSE)*cukier8[[#This Row],[sprzedany_cukier]]</f>
        <v>23.1</v>
      </c>
    </row>
    <row r="1212" spans="1:5" x14ac:dyDescent="0.25">
      <c r="A1212" s="1">
        <v>40348</v>
      </c>
      <c r="B1212" t="s">
        <v>212</v>
      </c>
      <c r="C1212">
        <v>18</v>
      </c>
      <c r="D1212">
        <f>YEAR(cukier8[[#This Row],[data]])</f>
        <v>2010</v>
      </c>
      <c r="E1212">
        <f>VLOOKUP(cukier8[[#This Row],[rok]],$L$2:$M$11,2,FALSE)*cukier8[[#This Row],[sprzedany_cukier]]</f>
        <v>37.800000000000004</v>
      </c>
    </row>
    <row r="1213" spans="1:5" x14ac:dyDescent="0.25">
      <c r="A1213" s="1">
        <v>40348</v>
      </c>
      <c r="B1213" t="s">
        <v>45</v>
      </c>
      <c r="C1213">
        <v>332</v>
      </c>
      <c r="D1213">
        <f>YEAR(cukier8[[#This Row],[data]])</f>
        <v>2010</v>
      </c>
      <c r="E1213">
        <f>VLOOKUP(cukier8[[#This Row],[rok]],$L$2:$M$11,2,FALSE)*cukier8[[#This Row],[sprzedany_cukier]]</f>
        <v>697.2</v>
      </c>
    </row>
    <row r="1214" spans="1:5" x14ac:dyDescent="0.25">
      <c r="A1214" s="1">
        <v>40349</v>
      </c>
      <c r="B1214" t="s">
        <v>156</v>
      </c>
      <c r="C1214">
        <v>6</v>
      </c>
      <c r="D1214">
        <f>YEAR(cukier8[[#This Row],[data]])</f>
        <v>2010</v>
      </c>
      <c r="E1214">
        <f>VLOOKUP(cukier8[[#This Row],[rok]],$L$2:$M$11,2,FALSE)*cukier8[[#This Row],[sprzedany_cukier]]</f>
        <v>12.600000000000001</v>
      </c>
    </row>
    <row r="1215" spans="1:5" x14ac:dyDescent="0.25">
      <c r="A1215" s="1">
        <v>40350</v>
      </c>
      <c r="B1215" t="s">
        <v>102</v>
      </c>
      <c r="C1215">
        <v>260</v>
      </c>
      <c r="D1215">
        <f>YEAR(cukier8[[#This Row],[data]])</f>
        <v>2010</v>
      </c>
      <c r="E1215">
        <f>VLOOKUP(cukier8[[#This Row],[rok]],$L$2:$M$11,2,FALSE)*cukier8[[#This Row],[sprzedany_cukier]]</f>
        <v>546</v>
      </c>
    </row>
    <row r="1216" spans="1:5" x14ac:dyDescent="0.25">
      <c r="A1216" s="1">
        <v>40350</v>
      </c>
      <c r="B1216" t="s">
        <v>80</v>
      </c>
      <c r="C1216">
        <v>22</v>
      </c>
      <c r="D1216">
        <f>YEAR(cukier8[[#This Row],[data]])</f>
        <v>2010</v>
      </c>
      <c r="E1216">
        <f>VLOOKUP(cukier8[[#This Row],[rok]],$L$2:$M$11,2,FALSE)*cukier8[[#This Row],[sprzedany_cukier]]</f>
        <v>46.2</v>
      </c>
    </row>
    <row r="1217" spans="1:5" x14ac:dyDescent="0.25">
      <c r="A1217" s="1">
        <v>40352</v>
      </c>
      <c r="B1217" t="s">
        <v>129</v>
      </c>
      <c r="C1217">
        <v>9</v>
      </c>
      <c r="D1217">
        <f>YEAR(cukier8[[#This Row],[data]])</f>
        <v>2010</v>
      </c>
      <c r="E1217">
        <f>VLOOKUP(cukier8[[#This Row],[rok]],$L$2:$M$11,2,FALSE)*cukier8[[#This Row],[sprzedany_cukier]]</f>
        <v>18.900000000000002</v>
      </c>
    </row>
    <row r="1218" spans="1:5" x14ac:dyDescent="0.25">
      <c r="A1218" s="1">
        <v>40353</v>
      </c>
      <c r="B1218" t="s">
        <v>66</v>
      </c>
      <c r="C1218">
        <v>79</v>
      </c>
      <c r="D1218">
        <f>YEAR(cukier8[[#This Row],[data]])</f>
        <v>2010</v>
      </c>
      <c r="E1218">
        <f>VLOOKUP(cukier8[[#This Row],[rok]],$L$2:$M$11,2,FALSE)*cukier8[[#This Row],[sprzedany_cukier]]</f>
        <v>165.9</v>
      </c>
    </row>
    <row r="1219" spans="1:5" x14ac:dyDescent="0.25">
      <c r="A1219" s="1">
        <v>40355</v>
      </c>
      <c r="B1219" t="s">
        <v>45</v>
      </c>
      <c r="C1219">
        <v>480</v>
      </c>
      <c r="D1219">
        <f>YEAR(cukier8[[#This Row],[data]])</f>
        <v>2010</v>
      </c>
      <c r="E1219">
        <f>VLOOKUP(cukier8[[#This Row],[rok]],$L$2:$M$11,2,FALSE)*cukier8[[#This Row],[sprzedany_cukier]]</f>
        <v>1008</v>
      </c>
    </row>
    <row r="1220" spans="1:5" x14ac:dyDescent="0.25">
      <c r="A1220" s="1">
        <v>40360</v>
      </c>
      <c r="B1220" t="s">
        <v>9</v>
      </c>
      <c r="C1220">
        <v>154</v>
      </c>
      <c r="D1220">
        <f>YEAR(cukier8[[#This Row],[data]])</f>
        <v>2010</v>
      </c>
      <c r="E1220">
        <f>VLOOKUP(cukier8[[#This Row],[rok]],$L$2:$M$11,2,FALSE)*cukier8[[#This Row],[sprzedany_cukier]]</f>
        <v>323.40000000000003</v>
      </c>
    </row>
    <row r="1221" spans="1:5" x14ac:dyDescent="0.25">
      <c r="A1221" s="1">
        <v>40360</v>
      </c>
      <c r="B1221" t="s">
        <v>35</v>
      </c>
      <c r="C1221">
        <v>170</v>
      </c>
      <c r="D1221">
        <f>YEAR(cukier8[[#This Row],[data]])</f>
        <v>2010</v>
      </c>
      <c r="E1221">
        <f>VLOOKUP(cukier8[[#This Row],[rok]],$L$2:$M$11,2,FALSE)*cukier8[[#This Row],[sprzedany_cukier]]</f>
        <v>357</v>
      </c>
    </row>
    <row r="1222" spans="1:5" x14ac:dyDescent="0.25">
      <c r="A1222" s="1">
        <v>40361</v>
      </c>
      <c r="B1222" t="s">
        <v>213</v>
      </c>
      <c r="C1222">
        <v>13</v>
      </c>
      <c r="D1222">
        <f>YEAR(cukier8[[#This Row],[data]])</f>
        <v>2010</v>
      </c>
      <c r="E1222">
        <f>VLOOKUP(cukier8[[#This Row],[rok]],$L$2:$M$11,2,FALSE)*cukier8[[#This Row],[sprzedany_cukier]]</f>
        <v>27.3</v>
      </c>
    </row>
    <row r="1223" spans="1:5" x14ac:dyDescent="0.25">
      <c r="A1223" s="1">
        <v>40364</v>
      </c>
      <c r="B1223" t="s">
        <v>18</v>
      </c>
      <c r="C1223">
        <v>29</v>
      </c>
      <c r="D1223">
        <f>YEAR(cukier8[[#This Row],[data]])</f>
        <v>2010</v>
      </c>
      <c r="E1223">
        <f>VLOOKUP(cukier8[[#This Row],[rok]],$L$2:$M$11,2,FALSE)*cukier8[[#This Row],[sprzedany_cukier]]</f>
        <v>60.900000000000006</v>
      </c>
    </row>
    <row r="1224" spans="1:5" x14ac:dyDescent="0.25">
      <c r="A1224" s="1">
        <v>40366</v>
      </c>
      <c r="B1224" t="s">
        <v>19</v>
      </c>
      <c r="C1224">
        <v>80</v>
      </c>
      <c r="D1224">
        <f>YEAR(cukier8[[#This Row],[data]])</f>
        <v>2010</v>
      </c>
      <c r="E1224">
        <f>VLOOKUP(cukier8[[#This Row],[rok]],$L$2:$M$11,2,FALSE)*cukier8[[#This Row],[sprzedany_cukier]]</f>
        <v>168</v>
      </c>
    </row>
    <row r="1225" spans="1:5" x14ac:dyDescent="0.25">
      <c r="A1225" s="1">
        <v>40370</v>
      </c>
      <c r="B1225" t="s">
        <v>176</v>
      </c>
      <c r="C1225">
        <v>20</v>
      </c>
      <c r="D1225">
        <f>YEAR(cukier8[[#This Row],[data]])</f>
        <v>2010</v>
      </c>
      <c r="E1225">
        <f>VLOOKUP(cukier8[[#This Row],[rok]],$L$2:$M$11,2,FALSE)*cukier8[[#This Row],[sprzedany_cukier]]</f>
        <v>42</v>
      </c>
    </row>
    <row r="1226" spans="1:5" x14ac:dyDescent="0.25">
      <c r="A1226" s="1">
        <v>40370</v>
      </c>
      <c r="B1226" t="s">
        <v>9</v>
      </c>
      <c r="C1226">
        <v>401</v>
      </c>
      <c r="D1226">
        <f>YEAR(cukier8[[#This Row],[data]])</f>
        <v>2010</v>
      </c>
      <c r="E1226">
        <f>VLOOKUP(cukier8[[#This Row],[rok]],$L$2:$M$11,2,FALSE)*cukier8[[#This Row],[sprzedany_cukier]]</f>
        <v>842.1</v>
      </c>
    </row>
    <row r="1227" spans="1:5" x14ac:dyDescent="0.25">
      <c r="A1227" s="1">
        <v>40372</v>
      </c>
      <c r="B1227" t="s">
        <v>39</v>
      </c>
      <c r="C1227">
        <v>134</v>
      </c>
      <c r="D1227">
        <f>YEAR(cukier8[[#This Row],[data]])</f>
        <v>2010</v>
      </c>
      <c r="E1227">
        <f>VLOOKUP(cukier8[[#This Row],[rok]],$L$2:$M$11,2,FALSE)*cukier8[[#This Row],[sprzedany_cukier]]</f>
        <v>281.40000000000003</v>
      </c>
    </row>
    <row r="1228" spans="1:5" x14ac:dyDescent="0.25">
      <c r="A1228" s="1">
        <v>40374</v>
      </c>
      <c r="B1228" t="s">
        <v>37</v>
      </c>
      <c r="C1228">
        <v>107</v>
      </c>
      <c r="D1228">
        <f>YEAR(cukier8[[#This Row],[data]])</f>
        <v>2010</v>
      </c>
      <c r="E1228">
        <f>VLOOKUP(cukier8[[#This Row],[rok]],$L$2:$M$11,2,FALSE)*cukier8[[#This Row],[sprzedany_cukier]]</f>
        <v>224.70000000000002</v>
      </c>
    </row>
    <row r="1229" spans="1:5" x14ac:dyDescent="0.25">
      <c r="A1229" s="1">
        <v>40379</v>
      </c>
      <c r="B1229" t="s">
        <v>10</v>
      </c>
      <c r="C1229">
        <v>30</v>
      </c>
      <c r="D1229">
        <f>YEAR(cukier8[[#This Row],[data]])</f>
        <v>2010</v>
      </c>
      <c r="E1229">
        <f>VLOOKUP(cukier8[[#This Row],[rok]],$L$2:$M$11,2,FALSE)*cukier8[[#This Row],[sprzedany_cukier]]</f>
        <v>63</v>
      </c>
    </row>
    <row r="1230" spans="1:5" x14ac:dyDescent="0.25">
      <c r="A1230" s="1">
        <v>40381</v>
      </c>
      <c r="B1230" t="s">
        <v>24</v>
      </c>
      <c r="C1230">
        <v>138</v>
      </c>
      <c r="D1230">
        <f>YEAR(cukier8[[#This Row],[data]])</f>
        <v>2010</v>
      </c>
      <c r="E1230">
        <f>VLOOKUP(cukier8[[#This Row],[rok]],$L$2:$M$11,2,FALSE)*cukier8[[#This Row],[sprzedany_cukier]]</f>
        <v>289.8</v>
      </c>
    </row>
    <row r="1231" spans="1:5" x14ac:dyDescent="0.25">
      <c r="A1231" s="1">
        <v>40382</v>
      </c>
      <c r="B1231" t="s">
        <v>22</v>
      </c>
      <c r="C1231">
        <v>404</v>
      </c>
      <c r="D1231">
        <f>YEAR(cukier8[[#This Row],[data]])</f>
        <v>2010</v>
      </c>
      <c r="E1231">
        <f>VLOOKUP(cukier8[[#This Row],[rok]],$L$2:$M$11,2,FALSE)*cukier8[[#This Row],[sprzedany_cukier]]</f>
        <v>848.40000000000009</v>
      </c>
    </row>
    <row r="1232" spans="1:5" x14ac:dyDescent="0.25">
      <c r="A1232" s="1">
        <v>40386</v>
      </c>
      <c r="B1232" t="s">
        <v>37</v>
      </c>
      <c r="C1232">
        <v>117</v>
      </c>
      <c r="D1232">
        <f>YEAR(cukier8[[#This Row],[data]])</f>
        <v>2010</v>
      </c>
      <c r="E1232">
        <f>VLOOKUP(cukier8[[#This Row],[rok]],$L$2:$M$11,2,FALSE)*cukier8[[#This Row],[sprzedany_cukier]]</f>
        <v>245.70000000000002</v>
      </c>
    </row>
    <row r="1233" spans="1:5" x14ac:dyDescent="0.25">
      <c r="A1233" s="1">
        <v>40389</v>
      </c>
      <c r="B1233" t="s">
        <v>9</v>
      </c>
      <c r="C1233">
        <v>124</v>
      </c>
      <c r="D1233">
        <f>YEAR(cukier8[[#This Row],[data]])</f>
        <v>2010</v>
      </c>
      <c r="E1233">
        <f>VLOOKUP(cukier8[[#This Row],[rok]],$L$2:$M$11,2,FALSE)*cukier8[[#This Row],[sprzedany_cukier]]</f>
        <v>260.40000000000003</v>
      </c>
    </row>
    <row r="1234" spans="1:5" x14ac:dyDescent="0.25">
      <c r="A1234" s="1">
        <v>40390</v>
      </c>
      <c r="B1234" t="s">
        <v>52</v>
      </c>
      <c r="C1234">
        <v>155</v>
      </c>
      <c r="D1234">
        <f>YEAR(cukier8[[#This Row],[data]])</f>
        <v>2010</v>
      </c>
      <c r="E1234">
        <f>VLOOKUP(cukier8[[#This Row],[rok]],$L$2:$M$11,2,FALSE)*cukier8[[#This Row],[sprzedany_cukier]]</f>
        <v>325.5</v>
      </c>
    </row>
    <row r="1235" spans="1:5" x14ac:dyDescent="0.25">
      <c r="A1235" s="1">
        <v>40391</v>
      </c>
      <c r="B1235" t="s">
        <v>28</v>
      </c>
      <c r="C1235">
        <v>161</v>
      </c>
      <c r="D1235">
        <f>YEAR(cukier8[[#This Row],[data]])</f>
        <v>2010</v>
      </c>
      <c r="E1235">
        <f>VLOOKUP(cukier8[[#This Row],[rok]],$L$2:$M$11,2,FALSE)*cukier8[[#This Row],[sprzedany_cukier]]</f>
        <v>338.1</v>
      </c>
    </row>
    <row r="1236" spans="1:5" x14ac:dyDescent="0.25">
      <c r="A1236" s="1">
        <v>40395</v>
      </c>
      <c r="B1236" t="s">
        <v>12</v>
      </c>
      <c r="C1236">
        <v>80</v>
      </c>
      <c r="D1236">
        <f>YEAR(cukier8[[#This Row],[data]])</f>
        <v>2010</v>
      </c>
      <c r="E1236">
        <f>VLOOKUP(cukier8[[#This Row],[rok]],$L$2:$M$11,2,FALSE)*cukier8[[#This Row],[sprzedany_cukier]]</f>
        <v>168</v>
      </c>
    </row>
    <row r="1237" spans="1:5" x14ac:dyDescent="0.25">
      <c r="A1237" s="1">
        <v>40395</v>
      </c>
      <c r="B1237" t="s">
        <v>172</v>
      </c>
      <c r="C1237">
        <v>9</v>
      </c>
      <c r="D1237">
        <f>YEAR(cukier8[[#This Row],[data]])</f>
        <v>2010</v>
      </c>
      <c r="E1237">
        <f>VLOOKUP(cukier8[[#This Row],[rok]],$L$2:$M$11,2,FALSE)*cukier8[[#This Row],[sprzedany_cukier]]</f>
        <v>18.900000000000002</v>
      </c>
    </row>
    <row r="1238" spans="1:5" x14ac:dyDescent="0.25">
      <c r="A1238" s="1">
        <v>40396</v>
      </c>
      <c r="B1238" t="s">
        <v>12</v>
      </c>
      <c r="C1238">
        <v>160</v>
      </c>
      <c r="D1238">
        <f>YEAR(cukier8[[#This Row],[data]])</f>
        <v>2010</v>
      </c>
      <c r="E1238">
        <f>VLOOKUP(cukier8[[#This Row],[rok]],$L$2:$M$11,2,FALSE)*cukier8[[#This Row],[sprzedany_cukier]]</f>
        <v>336</v>
      </c>
    </row>
    <row r="1239" spans="1:5" x14ac:dyDescent="0.25">
      <c r="A1239" s="1">
        <v>40399</v>
      </c>
      <c r="B1239" t="s">
        <v>113</v>
      </c>
      <c r="C1239">
        <v>18</v>
      </c>
      <c r="D1239">
        <f>YEAR(cukier8[[#This Row],[data]])</f>
        <v>2010</v>
      </c>
      <c r="E1239">
        <f>VLOOKUP(cukier8[[#This Row],[rok]],$L$2:$M$11,2,FALSE)*cukier8[[#This Row],[sprzedany_cukier]]</f>
        <v>37.800000000000004</v>
      </c>
    </row>
    <row r="1240" spans="1:5" x14ac:dyDescent="0.25">
      <c r="A1240" s="1">
        <v>40401</v>
      </c>
      <c r="B1240" t="s">
        <v>10</v>
      </c>
      <c r="C1240">
        <v>150</v>
      </c>
      <c r="D1240">
        <f>YEAR(cukier8[[#This Row],[data]])</f>
        <v>2010</v>
      </c>
      <c r="E1240">
        <f>VLOOKUP(cukier8[[#This Row],[rok]],$L$2:$M$11,2,FALSE)*cukier8[[#This Row],[sprzedany_cukier]]</f>
        <v>315</v>
      </c>
    </row>
    <row r="1241" spans="1:5" x14ac:dyDescent="0.25">
      <c r="A1241" s="1">
        <v>40405</v>
      </c>
      <c r="B1241" t="s">
        <v>214</v>
      </c>
      <c r="C1241">
        <v>16</v>
      </c>
      <c r="D1241">
        <f>YEAR(cukier8[[#This Row],[data]])</f>
        <v>2010</v>
      </c>
      <c r="E1241">
        <f>VLOOKUP(cukier8[[#This Row],[rok]],$L$2:$M$11,2,FALSE)*cukier8[[#This Row],[sprzedany_cukier]]</f>
        <v>33.6</v>
      </c>
    </row>
    <row r="1242" spans="1:5" x14ac:dyDescent="0.25">
      <c r="A1242" s="1">
        <v>40412</v>
      </c>
      <c r="B1242" t="s">
        <v>69</v>
      </c>
      <c r="C1242">
        <v>158</v>
      </c>
      <c r="D1242">
        <f>YEAR(cukier8[[#This Row],[data]])</f>
        <v>2010</v>
      </c>
      <c r="E1242">
        <f>VLOOKUP(cukier8[[#This Row],[rok]],$L$2:$M$11,2,FALSE)*cukier8[[#This Row],[sprzedany_cukier]]</f>
        <v>331.8</v>
      </c>
    </row>
    <row r="1243" spans="1:5" x14ac:dyDescent="0.25">
      <c r="A1243" s="1">
        <v>40414</v>
      </c>
      <c r="B1243" t="s">
        <v>61</v>
      </c>
      <c r="C1243">
        <v>29</v>
      </c>
      <c r="D1243">
        <f>YEAR(cukier8[[#This Row],[data]])</f>
        <v>2010</v>
      </c>
      <c r="E1243">
        <f>VLOOKUP(cukier8[[#This Row],[rok]],$L$2:$M$11,2,FALSE)*cukier8[[#This Row],[sprzedany_cukier]]</f>
        <v>60.900000000000006</v>
      </c>
    </row>
    <row r="1244" spans="1:5" x14ac:dyDescent="0.25">
      <c r="A1244" s="1">
        <v>40423</v>
      </c>
      <c r="B1244" t="s">
        <v>106</v>
      </c>
      <c r="C1244">
        <v>6</v>
      </c>
      <c r="D1244">
        <f>YEAR(cukier8[[#This Row],[data]])</f>
        <v>2010</v>
      </c>
      <c r="E1244">
        <f>VLOOKUP(cukier8[[#This Row],[rok]],$L$2:$M$11,2,FALSE)*cukier8[[#This Row],[sprzedany_cukier]]</f>
        <v>12.600000000000001</v>
      </c>
    </row>
    <row r="1245" spans="1:5" x14ac:dyDescent="0.25">
      <c r="A1245" s="1">
        <v>40423</v>
      </c>
      <c r="B1245" t="s">
        <v>9</v>
      </c>
      <c r="C1245">
        <v>489</v>
      </c>
      <c r="D1245">
        <f>YEAR(cukier8[[#This Row],[data]])</f>
        <v>2010</v>
      </c>
      <c r="E1245">
        <f>VLOOKUP(cukier8[[#This Row],[rok]],$L$2:$M$11,2,FALSE)*cukier8[[#This Row],[sprzedany_cukier]]</f>
        <v>1026.9000000000001</v>
      </c>
    </row>
    <row r="1246" spans="1:5" x14ac:dyDescent="0.25">
      <c r="A1246" s="1">
        <v>40425</v>
      </c>
      <c r="B1246" t="s">
        <v>35</v>
      </c>
      <c r="C1246">
        <v>200</v>
      </c>
      <c r="D1246">
        <f>YEAR(cukier8[[#This Row],[data]])</f>
        <v>2010</v>
      </c>
      <c r="E1246">
        <f>VLOOKUP(cukier8[[#This Row],[rok]],$L$2:$M$11,2,FALSE)*cukier8[[#This Row],[sprzedany_cukier]]</f>
        <v>420</v>
      </c>
    </row>
    <row r="1247" spans="1:5" x14ac:dyDescent="0.25">
      <c r="A1247" s="1">
        <v>40427</v>
      </c>
      <c r="B1247" t="s">
        <v>10</v>
      </c>
      <c r="C1247">
        <v>28</v>
      </c>
      <c r="D1247">
        <f>YEAR(cukier8[[#This Row],[data]])</f>
        <v>2010</v>
      </c>
      <c r="E1247">
        <f>VLOOKUP(cukier8[[#This Row],[rok]],$L$2:$M$11,2,FALSE)*cukier8[[#This Row],[sprzedany_cukier]]</f>
        <v>58.800000000000004</v>
      </c>
    </row>
    <row r="1248" spans="1:5" x14ac:dyDescent="0.25">
      <c r="A1248" s="1">
        <v>40431</v>
      </c>
      <c r="B1248" t="s">
        <v>10</v>
      </c>
      <c r="C1248">
        <v>28</v>
      </c>
      <c r="D1248">
        <f>YEAR(cukier8[[#This Row],[data]])</f>
        <v>2010</v>
      </c>
      <c r="E1248">
        <f>VLOOKUP(cukier8[[#This Row],[rok]],$L$2:$M$11,2,FALSE)*cukier8[[#This Row],[sprzedany_cukier]]</f>
        <v>58.800000000000004</v>
      </c>
    </row>
    <row r="1249" spans="1:5" x14ac:dyDescent="0.25">
      <c r="A1249" s="1">
        <v>40432</v>
      </c>
      <c r="B1249" t="s">
        <v>9</v>
      </c>
      <c r="C1249">
        <v>297</v>
      </c>
      <c r="D1249">
        <f>YEAR(cukier8[[#This Row],[data]])</f>
        <v>2010</v>
      </c>
      <c r="E1249">
        <f>VLOOKUP(cukier8[[#This Row],[rok]],$L$2:$M$11,2,FALSE)*cukier8[[#This Row],[sprzedany_cukier]]</f>
        <v>623.70000000000005</v>
      </c>
    </row>
    <row r="1250" spans="1:5" x14ac:dyDescent="0.25">
      <c r="A1250" s="1">
        <v>40434</v>
      </c>
      <c r="B1250" t="s">
        <v>17</v>
      </c>
      <c r="C1250">
        <v>227</v>
      </c>
      <c r="D1250">
        <f>YEAR(cukier8[[#This Row],[data]])</f>
        <v>2010</v>
      </c>
      <c r="E1250">
        <f>VLOOKUP(cukier8[[#This Row],[rok]],$L$2:$M$11,2,FALSE)*cukier8[[#This Row],[sprzedany_cukier]]</f>
        <v>476.70000000000005</v>
      </c>
    </row>
    <row r="1251" spans="1:5" x14ac:dyDescent="0.25">
      <c r="A1251" s="1">
        <v>40434</v>
      </c>
      <c r="B1251" t="s">
        <v>140</v>
      </c>
      <c r="C1251">
        <v>14</v>
      </c>
      <c r="D1251">
        <f>YEAR(cukier8[[#This Row],[data]])</f>
        <v>2010</v>
      </c>
      <c r="E1251">
        <f>VLOOKUP(cukier8[[#This Row],[rok]],$L$2:$M$11,2,FALSE)*cukier8[[#This Row],[sprzedany_cukier]]</f>
        <v>29.400000000000002</v>
      </c>
    </row>
    <row r="1252" spans="1:5" x14ac:dyDescent="0.25">
      <c r="A1252" s="1">
        <v>40437</v>
      </c>
      <c r="B1252" t="s">
        <v>98</v>
      </c>
      <c r="C1252">
        <v>20</v>
      </c>
      <c r="D1252">
        <f>YEAR(cukier8[[#This Row],[data]])</f>
        <v>2010</v>
      </c>
      <c r="E1252">
        <f>VLOOKUP(cukier8[[#This Row],[rok]],$L$2:$M$11,2,FALSE)*cukier8[[#This Row],[sprzedany_cukier]]</f>
        <v>42</v>
      </c>
    </row>
    <row r="1253" spans="1:5" x14ac:dyDescent="0.25">
      <c r="A1253" s="1">
        <v>40439</v>
      </c>
      <c r="B1253" t="s">
        <v>63</v>
      </c>
      <c r="C1253">
        <v>194</v>
      </c>
      <c r="D1253">
        <f>YEAR(cukier8[[#This Row],[data]])</f>
        <v>2010</v>
      </c>
      <c r="E1253">
        <f>VLOOKUP(cukier8[[#This Row],[rok]],$L$2:$M$11,2,FALSE)*cukier8[[#This Row],[sprzedany_cukier]]</f>
        <v>407.40000000000003</v>
      </c>
    </row>
    <row r="1254" spans="1:5" x14ac:dyDescent="0.25">
      <c r="A1254" s="1">
        <v>40439</v>
      </c>
      <c r="B1254" t="s">
        <v>35</v>
      </c>
      <c r="C1254">
        <v>58</v>
      </c>
      <c r="D1254">
        <f>YEAR(cukier8[[#This Row],[data]])</f>
        <v>2010</v>
      </c>
      <c r="E1254">
        <f>VLOOKUP(cukier8[[#This Row],[rok]],$L$2:$M$11,2,FALSE)*cukier8[[#This Row],[sprzedany_cukier]]</f>
        <v>121.80000000000001</v>
      </c>
    </row>
    <row r="1255" spans="1:5" x14ac:dyDescent="0.25">
      <c r="A1255" s="1">
        <v>40440</v>
      </c>
      <c r="B1255" t="s">
        <v>66</v>
      </c>
      <c r="C1255">
        <v>30</v>
      </c>
      <c r="D1255">
        <f>YEAR(cukier8[[#This Row],[data]])</f>
        <v>2010</v>
      </c>
      <c r="E1255">
        <f>VLOOKUP(cukier8[[#This Row],[rok]],$L$2:$M$11,2,FALSE)*cukier8[[#This Row],[sprzedany_cukier]]</f>
        <v>63</v>
      </c>
    </row>
    <row r="1256" spans="1:5" x14ac:dyDescent="0.25">
      <c r="A1256" s="1">
        <v>40440</v>
      </c>
      <c r="B1256" t="s">
        <v>17</v>
      </c>
      <c r="C1256">
        <v>159</v>
      </c>
      <c r="D1256">
        <f>YEAR(cukier8[[#This Row],[data]])</f>
        <v>2010</v>
      </c>
      <c r="E1256">
        <f>VLOOKUP(cukier8[[#This Row],[rok]],$L$2:$M$11,2,FALSE)*cukier8[[#This Row],[sprzedany_cukier]]</f>
        <v>333.90000000000003</v>
      </c>
    </row>
    <row r="1257" spans="1:5" x14ac:dyDescent="0.25">
      <c r="A1257" s="1">
        <v>40443</v>
      </c>
      <c r="B1257" t="s">
        <v>22</v>
      </c>
      <c r="C1257">
        <v>279</v>
      </c>
      <c r="D1257">
        <f>YEAR(cukier8[[#This Row],[data]])</f>
        <v>2010</v>
      </c>
      <c r="E1257">
        <f>VLOOKUP(cukier8[[#This Row],[rok]],$L$2:$M$11,2,FALSE)*cukier8[[#This Row],[sprzedany_cukier]]</f>
        <v>585.9</v>
      </c>
    </row>
    <row r="1258" spans="1:5" x14ac:dyDescent="0.25">
      <c r="A1258" s="1">
        <v>40444</v>
      </c>
      <c r="B1258" t="s">
        <v>26</v>
      </c>
      <c r="C1258">
        <v>38</v>
      </c>
      <c r="D1258">
        <f>YEAR(cukier8[[#This Row],[data]])</f>
        <v>2010</v>
      </c>
      <c r="E1258">
        <f>VLOOKUP(cukier8[[#This Row],[rok]],$L$2:$M$11,2,FALSE)*cukier8[[#This Row],[sprzedany_cukier]]</f>
        <v>79.8</v>
      </c>
    </row>
    <row r="1259" spans="1:5" x14ac:dyDescent="0.25">
      <c r="A1259" s="1">
        <v>40446</v>
      </c>
      <c r="B1259" t="s">
        <v>36</v>
      </c>
      <c r="C1259">
        <v>7</v>
      </c>
      <c r="D1259">
        <f>YEAR(cukier8[[#This Row],[data]])</f>
        <v>2010</v>
      </c>
      <c r="E1259">
        <f>VLOOKUP(cukier8[[#This Row],[rok]],$L$2:$M$11,2,FALSE)*cukier8[[#This Row],[sprzedany_cukier]]</f>
        <v>14.700000000000001</v>
      </c>
    </row>
    <row r="1260" spans="1:5" x14ac:dyDescent="0.25">
      <c r="A1260" s="1">
        <v>40447</v>
      </c>
      <c r="B1260" t="s">
        <v>22</v>
      </c>
      <c r="C1260">
        <v>154</v>
      </c>
      <c r="D1260">
        <f>YEAR(cukier8[[#This Row],[data]])</f>
        <v>2010</v>
      </c>
      <c r="E1260">
        <f>VLOOKUP(cukier8[[#This Row],[rok]],$L$2:$M$11,2,FALSE)*cukier8[[#This Row],[sprzedany_cukier]]</f>
        <v>323.40000000000003</v>
      </c>
    </row>
    <row r="1261" spans="1:5" x14ac:dyDescent="0.25">
      <c r="A1261" s="1">
        <v>40447</v>
      </c>
      <c r="B1261" t="s">
        <v>50</v>
      </c>
      <c r="C1261">
        <v>274</v>
      </c>
      <c r="D1261">
        <f>YEAR(cukier8[[#This Row],[data]])</f>
        <v>2010</v>
      </c>
      <c r="E1261">
        <f>VLOOKUP(cukier8[[#This Row],[rok]],$L$2:$M$11,2,FALSE)*cukier8[[#This Row],[sprzedany_cukier]]</f>
        <v>575.4</v>
      </c>
    </row>
    <row r="1262" spans="1:5" x14ac:dyDescent="0.25">
      <c r="A1262" s="1">
        <v>40448</v>
      </c>
      <c r="B1262" t="s">
        <v>14</v>
      </c>
      <c r="C1262">
        <v>219</v>
      </c>
      <c r="D1262">
        <f>YEAR(cukier8[[#This Row],[data]])</f>
        <v>2010</v>
      </c>
      <c r="E1262">
        <f>VLOOKUP(cukier8[[#This Row],[rok]],$L$2:$M$11,2,FALSE)*cukier8[[#This Row],[sprzedany_cukier]]</f>
        <v>459.90000000000003</v>
      </c>
    </row>
    <row r="1263" spans="1:5" x14ac:dyDescent="0.25">
      <c r="A1263" s="1">
        <v>40449</v>
      </c>
      <c r="B1263" t="s">
        <v>30</v>
      </c>
      <c r="C1263">
        <v>57</v>
      </c>
      <c r="D1263">
        <f>YEAR(cukier8[[#This Row],[data]])</f>
        <v>2010</v>
      </c>
      <c r="E1263">
        <f>VLOOKUP(cukier8[[#This Row],[rok]],$L$2:$M$11,2,FALSE)*cukier8[[#This Row],[sprzedany_cukier]]</f>
        <v>119.7</v>
      </c>
    </row>
    <row r="1264" spans="1:5" x14ac:dyDescent="0.25">
      <c r="A1264" s="1">
        <v>40449</v>
      </c>
      <c r="B1264" t="s">
        <v>12</v>
      </c>
      <c r="C1264">
        <v>152</v>
      </c>
      <c r="D1264">
        <f>YEAR(cukier8[[#This Row],[data]])</f>
        <v>2010</v>
      </c>
      <c r="E1264">
        <f>VLOOKUP(cukier8[[#This Row],[rok]],$L$2:$M$11,2,FALSE)*cukier8[[#This Row],[sprzedany_cukier]]</f>
        <v>319.2</v>
      </c>
    </row>
    <row r="1265" spans="1:5" x14ac:dyDescent="0.25">
      <c r="A1265" s="1">
        <v>40454</v>
      </c>
      <c r="B1265" t="s">
        <v>45</v>
      </c>
      <c r="C1265">
        <v>263</v>
      </c>
      <c r="D1265">
        <f>YEAR(cukier8[[#This Row],[data]])</f>
        <v>2010</v>
      </c>
      <c r="E1265">
        <f>VLOOKUP(cukier8[[#This Row],[rok]],$L$2:$M$11,2,FALSE)*cukier8[[#This Row],[sprzedany_cukier]]</f>
        <v>552.30000000000007</v>
      </c>
    </row>
    <row r="1266" spans="1:5" x14ac:dyDescent="0.25">
      <c r="A1266" s="1">
        <v>40456</v>
      </c>
      <c r="B1266" t="s">
        <v>28</v>
      </c>
      <c r="C1266">
        <v>61</v>
      </c>
      <c r="D1266">
        <f>YEAR(cukier8[[#This Row],[data]])</f>
        <v>2010</v>
      </c>
      <c r="E1266">
        <f>VLOOKUP(cukier8[[#This Row],[rok]],$L$2:$M$11,2,FALSE)*cukier8[[#This Row],[sprzedany_cukier]]</f>
        <v>128.1</v>
      </c>
    </row>
    <row r="1267" spans="1:5" x14ac:dyDescent="0.25">
      <c r="A1267" s="1">
        <v>40456</v>
      </c>
      <c r="B1267" t="s">
        <v>50</v>
      </c>
      <c r="C1267">
        <v>217</v>
      </c>
      <c r="D1267">
        <f>YEAR(cukier8[[#This Row],[data]])</f>
        <v>2010</v>
      </c>
      <c r="E1267">
        <f>VLOOKUP(cukier8[[#This Row],[rok]],$L$2:$M$11,2,FALSE)*cukier8[[#This Row],[sprzedany_cukier]]</f>
        <v>455.70000000000005</v>
      </c>
    </row>
    <row r="1268" spans="1:5" x14ac:dyDescent="0.25">
      <c r="A1268" s="1">
        <v>40457</v>
      </c>
      <c r="B1268" t="s">
        <v>61</v>
      </c>
      <c r="C1268">
        <v>28</v>
      </c>
      <c r="D1268">
        <f>YEAR(cukier8[[#This Row],[data]])</f>
        <v>2010</v>
      </c>
      <c r="E1268">
        <f>VLOOKUP(cukier8[[#This Row],[rok]],$L$2:$M$11,2,FALSE)*cukier8[[#This Row],[sprzedany_cukier]]</f>
        <v>58.800000000000004</v>
      </c>
    </row>
    <row r="1269" spans="1:5" x14ac:dyDescent="0.25">
      <c r="A1269" s="1">
        <v>40457</v>
      </c>
      <c r="B1269" t="s">
        <v>45</v>
      </c>
      <c r="C1269">
        <v>299</v>
      </c>
      <c r="D1269">
        <f>YEAR(cukier8[[#This Row],[data]])</f>
        <v>2010</v>
      </c>
      <c r="E1269">
        <f>VLOOKUP(cukier8[[#This Row],[rok]],$L$2:$M$11,2,FALSE)*cukier8[[#This Row],[sprzedany_cukier]]</f>
        <v>627.9</v>
      </c>
    </row>
    <row r="1270" spans="1:5" x14ac:dyDescent="0.25">
      <c r="A1270" s="1">
        <v>40460</v>
      </c>
      <c r="B1270" t="s">
        <v>14</v>
      </c>
      <c r="C1270">
        <v>429</v>
      </c>
      <c r="D1270">
        <f>YEAR(cukier8[[#This Row],[data]])</f>
        <v>2010</v>
      </c>
      <c r="E1270">
        <f>VLOOKUP(cukier8[[#This Row],[rok]],$L$2:$M$11,2,FALSE)*cukier8[[#This Row],[sprzedany_cukier]]</f>
        <v>900.90000000000009</v>
      </c>
    </row>
    <row r="1271" spans="1:5" x14ac:dyDescent="0.25">
      <c r="A1271" s="1">
        <v>40463</v>
      </c>
      <c r="B1271" t="s">
        <v>14</v>
      </c>
      <c r="C1271">
        <v>427</v>
      </c>
      <c r="D1271">
        <f>YEAR(cukier8[[#This Row],[data]])</f>
        <v>2010</v>
      </c>
      <c r="E1271">
        <f>VLOOKUP(cukier8[[#This Row],[rok]],$L$2:$M$11,2,FALSE)*cukier8[[#This Row],[sprzedany_cukier]]</f>
        <v>896.7</v>
      </c>
    </row>
    <row r="1272" spans="1:5" x14ac:dyDescent="0.25">
      <c r="A1272" s="1">
        <v>40463</v>
      </c>
      <c r="B1272" t="s">
        <v>12</v>
      </c>
      <c r="C1272">
        <v>87</v>
      </c>
      <c r="D1272">
        <f>YEAR(cukier8[[#This Row],[data]])</f>
        <v>2010</v>
      </c>
      <c r="E1272">
        <f>VLOOKUP(cukier8[[#This Row],[rok]],$L$2:$M$11,2,FALSE)*cukier8[[#This Row],[sprzedany_cukier]]</f>
        <v>182.70000000000002</v>
      </c>
    </row>
    <row r="1273" spans="1:5" x14ac:dyDescent="0.25">
      <c r="A1273" s="1">
        <v>40463</v>
      </c>
      <c r="B1273" t="s">
        <v>141</v>
      </c>
      <c r="C1273">
        <v>17</v>
      </c>
      <c r="D1273">
        <f>YEAR(cukier8[[#This Row],[data]])</f>
        <v>2010</v>
      </c>
      <c r="E1273">
        <f>VLOOKUP(cukier8[[#This Row],[rok]],$L$2:$M$11,2,FALSE)*cukier8[[#This Row],[sprzedany_cukier]]</f>
        <v>35.700000000000003</v>
      </c>
    </row>
    <row r="1274" spans="1:5" x14ac:dyDescent="0.25">
      <c r="A1274" s="1">
        <v>40465</v>
      </c>
      <c r="B1274" t="s">
        <v>35</v>
      </c>
      <c r="C1274">
        <v>124</v>
      </c>
      <c r="D1274">
        <f>YEAR(cukier8[[#This Row],[data]])</f>
        <v>2010</v>
      </c>
      <c r="E1274">
        <f>VLOOKUP(cukier8[[#This Row],[rok]],$L$2:$M$11,2,FALSE)*cukier8[[#This Row],[sprzedany_cukier]]</f>
        <v>260.40000000000003</v>
      </c>
    </row>
    <row r="1275" spans="1:5" x14ac:dyDescent="0.25">
      <c r="A1275" s="1">
        <v>40467</v>
      </c>
      <c r="B1275" t="s">
        <v>7</v>
      </c>
      <c r="C1275">
        <v>406</v>
      </c>
      <c r="D1275">
        <f>YEAR(cukier8[[#This Row],[data]])</f>
        <v>2010</v>
      </c>
      <c r="E1275">
        <f>VLOOKUP(cukier8[[#This Row],[rok]],$L$2:$M$11,2,FALSE)*cukier8[[#This Row],[sprzedany_cukier]]</f>
        <v>852.6</v>
      </c>
    </row>
    <row r="1276" spans="1:5" x14ac:dyDescent="0.25">
      <c r="A1276" s="1">
        <v>40467</v>
      </c>
      <c r="B1276" t="s">
        <v>52</v>
      </c>
      <c r="C1276">
        <v>136</v>
      </c>
      <c r="D1276">
        <f>YEAR(cukier8[[#This Row],[data]])</f>
        <v>2010</v>
      </c>
      <c r="E1276">
        <f>VLOOKUP(cukier8[[#This Row],[rok]],$L$2:$M$11,2,FALSE)*cukier8[[#This Row],[sprzedany_cukier]]</f>
        <v>285.60000000000002</v>
      </c>
    </row>
    <row r="1277" spans="1:5" x14ac:dyDescent="0.25">
      <c r="A1277" s="1">
        <v>40468</v>
      </c>
      <c r="B1277" t="s">
        <v>25</v>
      </c>
      <c r="C1277">
        <v>44</v>
      </c>
      <c r="D1277">
        <f>YEAR(cukier8[[#This Row],[data]])</f>
        <v>2010</v>
      </c>
      <c r="E1277">
        <f>VLOOKUP(cukier8[[#This Row],[rok]],$L$2:$M$11,2,FALSE)*cukier8[[#This Row],[sprzedany_cukier]]</f>
        <v>92.4</v>
      </c>
    </row>
    <row r="1278" spans="1:5" x14ac:dyDescent="0.25">
      <c r="A1278" s="1">
        <v>40470</v>
      </c>
      <c r="B1278" t="s">
        <v>39</v>
      </c>
      <c r="C1278">
        <v>76</v>
      </c>
      <c r="D1278">
        <f>YEAR(cukier8[[#This Row],[data]])</f>
        <v>2010</v>
      </c>
      <c r="E1278">
        <f>VLOOKUP(cukier8[[#This Row],[rok]],$L$2:$M$11,2,FALSE)*cukier8[[#This Row],[sprzedany_cukier]]</f>
        <v>159.6</v>
      </c>
    </row>
    <row r="1279" spans="1:5" x14ac:dyDescent="0.25">
      <c r="A1279" s="1">
        <v>40473</v>
      </c>
      <c r="B1279" t="s">
        <v>19</v>
      </c>
      <c r="C1279">
        <v>104</v>
      </c>
      <c r="D1279">
        <f>YEAR(cukier8[[#This Row],[data]])</f>
        <v>2010</v>
      </c>
      <c r="E1279">
        <f>VLOOKUP(cukier8[[#This Row],[rok]],$L$2:$M$11,2,FALSE)*cukier8[[#This Row],[sprzedany_cukier]]</f>
        <v>218.4</v>
      </c>
    </row>
    <row r="1280" spans="1:5" x14ac:dyDescent="0.25">
      <c r="A1280" s="1">
        <v>40474</v>
      </c>
      <c r="B1280" t="s">
        <v>12</v>
      </c>
      <c r="C1280">
        <v>107</v>
      </c>
      <c r="D1280">
        <f>YEAR(cukier8[[#This Row],[data]])</f>
        <v>2010</v>
      </c>
      <c r="E1280">
        <f>VLOOKUP(cukier8[[#This Row],[rok]],$L$2:$M$11,2,FALSE)*cukier8[[#This Row],[sprzedany_cukier]]</f>
        <v>224.70000000000002</v>
      </c>
    </row>
    <row r="1281" spans="1:5" x14ac:dyDescent="0.25">
      <c r="A1281" s="1">
        <v>40477</v>
      </c>
      <c r="B1281" t="s">
        <v>22</v>
      </c>
      <c r="C1281">
        <v>339</v>
      </c>
      <c r="D1281">
        <f>YEAR(cukier8[[#This Row],[data]])</f>
        <v>2010</v>
      </c>
      <c r="E1281">
        <f>VLOOKUP(cukier8[[#This Row],[rok]],$L$2:$M$11,2,FALSE)*cukier8[[#This Row],[sprzedany_cukier]]</f>
        <v>711.9</v>
      </c>
    </row>
    <row r="1282" spans="1:5" x14ac:dyDescent="0.25">
      <c r="A1282" s="1">
        <v>40480</v>
      </c>
      <c r="B1282" t="s">
        <v>45</v>
      </c>
      <c r="C1282">
        <v>313</v>
      </c>
      <c r="D1282">
        <f>YEAR(cukier8[[#This Row],[data]])</f>
        <v>2010</v>
      </c>
      <c r="E1282">
        <f>VLOOKUP(cukier8[[#This Row],[rok]],$L$2:$M$11,2,FALSE)*cukier8[[#This Row],[sprzedany_cukier]]</f>
        <v>657.30000000000007</v>
      </c>
    </row>
    <row r="1283" spans="1:5" x14ac:dyDescent="0.25">
      <c r="A1283" s="1">
        <v>40481</v>
      </c>
      <c r="B1283" t="s">
        <v>45</v>
      </c>
      <c r="C1283">
        <v>251</v>
      </c>
      <c r="D1283">
        <f>YEAR(cukier8[[#This Row],[data]])</f>
        <v>2010</v>
      </c>
      <c r="E1283">
        <f>VLOOKUP(cukier8[[#This Row],[rok]],$L$2:$M$11,2,FALSE)*cukier8[[#This Row],[sprzedany_cukier]]</f>
        <v>527.1</v>
      </c>
    </row>
    <row r="1284" spans="1:5" x14ac:dyDescent="0.25">
      <c r="A1284" s="1">
        <v>40481</v>
      </c>
      <c r="B1284" t="s">
        <v>14</v>
      </c>
      <c r="C1284">
        <v>126</v>
      </c>
      <c r="D1284">
        <f>YEAR(cukier8[[#This Row],[data]])</f>
        <v>2010</v>
      </c>
      <c r="E1284">
        <f>VLOOKUP(cukier8[[#This Row],[rok]],$L$2:$M$11,2,FALSE)*cukier8[[#This Row],[sprzedany_cukier]]</f>
        <v>264.60000000000002</v>
      </c>
    </row>
    <row r="1285" spans="1:5" x14ac:dyDescent="0.25">
      <c r="A1285" s="1">
        <v>40483</v>
      </c>
      <c r="B1285" t="s">
        <v>25</v>
      </c>
      <c r="C1285">
        <v>20</v>
      </c>
      <c r="D1285">
        <f>YEAR(cukier8[[#This Row],[data]])</f>
        <v>2010</v>
      </c>
      <c r="E1285">
        <f>VLOOKUP(cukier8[[#This Row],[rok]],$L$2:$M$11,2,FALSE)*cukier8[[#This Row],[sprzedany_cukier]]</f>
        <v>42</v>
      </c>
    </row>
    <row r="1286" spans="1:5" x14ac:dyDescent="0.25">
      <c r="A1286" s="1">
        <v>40484</v>
      </c>
      <c r="B1286" t="s">
        <v>69</v>
      </c>
      <c r="C1286">
        <v>80</v>
      </c>
      <c r="D1286">
        <f>YEAR(cukier8[[#This Row],[data]])</f>
        <v>2010</v>
      </c>
      <c r="E1286">
        <f>VLOOKUP(cukier8[[#This Row],[rok]],$L$2:$M$11,2,FALSE)*cukier8[[#This Row],[sprzedany_cukier]]</f>
        <v>168</v>
      </c>
    </row>
    <row r="1287" spans="1:5" x14ac:dyDescent="0.25">
      <c r="A1287" s="1">
        <v>40485</v>
      </c>
      <c r="B1287" t="s">
        <v>136</v>
      </c>
      <c r="C1287">
        <v>9</v>
      </c>
      <c r="D1287">
        <f>YEAR(cukier8[[#This Row],[data]])</f>
        <v>2010</v>
      </c>
      <c r="E1287">
        <f>VLOOKUP(cukier8[[#This Row],[rok]],$L$2:$M$11,2,FALSE)*cukier8[[#This Row],[sprzedany_cukier]]</f>
        <v>18.900000000000002</v>
      </c>
    </row>
    <row r="1288" spans="1:5" x14ac:dyDescent="0.25">
      <c r="A1288" s="1">
        <v>40487</v>
      </c>
      <c r="B1288" t="s">
        <v>19</v>
      </c>
      <c r="C1288">
        <v>50</v>
      </c>
      <c r="D1288">
        <f>YEAR(cukier8[[#This Row],[data]])</f>
        <v>2010</v>
      </c>
      <c r="E1288">
        <f>VLOOKUP(cukier8[[#This Row],[rok]],$L$2:$M$11,2,FALSE)*cukier8[[#This Row],[sprzedany_cukier]]</f>
        <v>105</v>
      </c>
    </row>
    <row r="1289" spans="1:5" x14ac:dyDescent="0.25">
      <c r="A1289" s="1">
        <v>40488</v>
      </c>
      <c r="B1289" t="s">
        <v>23</v>
      </c>
      <c r="C1289">
        <v>100</v>
      </c>
      <c r="D1289">
        <f>YEAR(cukier8[[#This Row],[data]])</f>
        <v>2010</v>
      </c>
      <c r="E1289">
        <f>VLOOKUP(cukier8[[#This Row],[rok]],$L$2:$M$11,2,FALSE)*cukier8[[#This Row],[sprzedany_cukier]]</f>
        <v>210</v>
      </c>
    </row>
    <row r="1290" spans="1:5" x14ac:dyDescent="0.25">
      <c r="A1290" s="1">
        <v>40489</v>
      </c>
      <c r="B1290" t="s">
        <v>142</v>
      </c>
      <c r="C1290">
        <v>2</v>
      </c>
      <c r="D1290">
        <f>YEAR(cukier8[[#This Row],[data]])</f>
        <v>2010</v>
      </c>
      <c r="E1290">
        <f>VLOOKUP(cukier8[[#This Row],[rok]],$L$2:$M$11,2,FALSE)*cukier8[[#This Row],[sprzedany_cukier]]</f>
        <v>4.2</v>
      </c>
    </row>
    <row r="1291" spans="1:5" x14ac:dyDescent="0.25">
      <c r="A1291" s="1">
        <v>40490</v>
      </c>
      <c r="B1291" t="s">
        <v>17</v>
      </c>
      <c r="C1291">
        <v>214</v>
      </c>
      <c r="D1291">
        <f>YEAR(cukier8[[#This Row],[data]])</f>
        <v>2010</v>
      </c>
      <c r="E1291">
        <f>VLOOKUP(cukier8[[#This Row],[rok]],$L$2:$M$11,2,FALSE)*cukier8[[#This Row],[sprzedany_cukier]]</f>
        <v>449.40000000000003</v>
      </c>
    </row>
    <row r="1292" spans="1:5" x14ac:dyDescent="0.25">
      <c r="A1292" s="1">
        <v>40491</v>
      </c>
      <c r="B1292" t="s">
        <v>70</v>
      </c>
      <c r="C1292">
        <v>17</v>
      </c>
      <c r="D1292">
        <f>YEAR(cukier8[[#This Row],[data]])</f>
        <v>2010</v>
      </c>
      <c r="E1292">
        <f>VLOOKUP(cukier8[[#This Row],[rok]],$L$2:$M$11,2,FALSE)*cukier8[[#This Row],[sprzedany_cukier]]</f>
        <v>35.700000000000003</v>
      </c>
    </row>
    <row r="1293" spans="1:5" x14ac:dyDescent="0.25">
      <c r="A1293" s="1">
        <v>40492</v>
      </c>
      <c r="B1293" t="s">
        <v>45</v>
      </c>
      <c r="C1293">
        <v>269</v>
      </c>
      <c r="D1293">
        <f>YEAR(cukier8[[#This Row],[data]])</f>
        <v>2010</v>
      </c>
      <c r="E1293">
        <f>VLOOKUP(cukier8[[#This Row],[rok]],$L$2:$M$11,2,FALSE)*cukier8[[#This Row],[sprzedany_cukier]]</f>
        <v>564.9</v>
      </c>
    </row>
    <row r="1294" spans="1:5" x14ac:dyDescent="0.25">
      <c r="A1294" s="1">
        <v>40496</v>
      </c>
      <c r="B1294" t="s">
        <v>172</v>
      </c>
      <c r="C1294">
        <v>2</v>
      </c>
      <c r="D1294">
        <f>YEAR(cukier8[[#This Row],[data]])</f>
        <v>2010</v>
      </c>
      <c r="E1294">
        <f>VLOOKUP(cukier8[[#This Row],[rok]],$L$2:$M$11,2,FALSE)*cukier8[[#This Row],[sprzedany_cukier]]</f>
        <v>4.2</v>
      </c>
    </row>
    <row r="1295" spans="1:5" x14ac:dyDescent="0.25">
      <c r="A1295" s="1">
        <v>40503</v>
      </c>
      <c r="B1295" t="s">
        <v>12</v>
      </c>
      <c r="C1295">
        <v>159</v>
      </c>
      <c r="D1295">
        <f>YEAR(cukier8[[#This Row],[data]])</f>
        <v>2010</v>
      </c>
      <c r="E1295">
        <f>VLOOKUP(cukier8[[#This Row],[rok]],$L$2:$M$11,2,FALSE)*cukier8[[#This Row],[sprzedany_cukier]]</f>
        <v>333.90000000000003</v>
      </c>
    </row>
    <row r="1296" spans="1:5" x14ac:dyDescent="0.25">
      <c r="A1296" s="1">
        <v>40504</v>
      </c>
      <c r="B1296" t="s">
        <v>28</v>
      </c>
      <c r="C1296">
        <v>167</v>
      </c>
      <c r="D1296">
        <f>YEAR(cukier8[[#This Row],[data]])</f>
        <v>2010</v>
      </c>
      <c r="E1296">
        <f>VLOOKUP(cukier8[[#This Row],[rok]],$L$2:$M$11,2,FALSE)*cukier8[[#This Row],[sprzedany_cukier]]</f>
        <v>350.7</v>
      </c>
    </row>
    <row r="1297" spans="1:5" x14ac:dyDescent="0.25">
      <c r="A1297" s="1">
        <v>40505</v>
      </c>
      <c r="B1297" t="s">
        <v>37</v>
      </c>
      <c r="C1297">
        <v>123</v>
      </c>
      <c r="D1297">
        <f>YEAR(cukier8[[#This Row],[data]])</f>
        <v>2010</v>
      </c>
      <c r="E1297">
        <f>VLOOKUP(cukier8[[#This Row],[rok]],$L$2:$M$11,2,FALSE)*cukier8[[#This Row],[sprzedany_cukier]]</f>
        <v>258.3</v>
      </c>
    </row>
    <row r="1298" spans="1:5" x14ac:dyDescent="0.25">
      <c r="A1298" s="1">
        <v>40505</v>
      </c>
      <c r="B1298" t="s">
        <v>28</v>
      </c>
      <c r="C1298">
        <v>32</v>
      </c>
      <c r="D1298">
        <f>YEAR(cukier8[[#This Row],[data]])</f>
        <v>2010</v>
      </c>
      <c r="E1298">
        <f>VLOOKUP(cukier8[[#This Row],[rok]],$L$2:$M$11,2,FALSE)*cukier8[[#This Row],[sprzedany_cukier]]</f>
        <v>67.2</v>
      </c>
    </row>
    <row r="1299" spans="1:5" x14ac:dyDescent="0.25">
      <c r="A1299" s="1">
        <v>40505</v>
      </c>
      <c r="B1299" t="s">
        <v>7</v>
      </c>
      <c r="C1299">
        <v>276</v>
      </c>
      <c r="D1299">
        <f>YEAR(cukier8[[#This Row],[data]])</f>
        <v>2010</v>
      </c>
      <c r="E1299">
        <f>VLOOKUP(cukier8[[#This Row],[rok]],$L$2:$M$11,2,FALSE)*cukier8[[#This Row],[sprzedany_cukier]]</f>
        <v>579.6</v>
      </c>
    </row>
    <row r="1300" spans="1:5" x14ac:dyDescent="0.25">
      <c r="A1300" s="1">
        <v>40508</v>
      </c>
      <c r="B1300" t="s">
        <v>14</v>
      </c>
      <c r="C1300">
        <v>191</v>
      </c>
      <c r="D1300">
        <f>YEAR(cukier8[[#This Row],[data]])</f>
        <v>2010</v>
      </c>
      <c r="E1300">
        <f>VLOOKUP(cukier8[[#This Row],[rok]],$L$2:$M$11,2,FALSE)*cukier8[[#This Row],[sprzedany_cukier]]</f>
        <v>401.1</v>
      </c>
    </row>
    <row r="1301" spans="1:5" x14ac:dyDescent="0.25">
      <c r="A1301" s="1">
        <v>40510</v>
      </c>
      <c r="B1301" t="s">
        <v>215</v>
      </c>
      <c r="C1301">
        <v>9</v>
      </c>
      <c r="D1301">
        <f>YEAR(cukier8[[#This Row],[data]])</f>
        <v>2010</v>
      </c>
      <c r="E1301">
        <f>VLOOKUP(cukier8[[#This Row],[rok]],$L$2:$M$11,2,FALSE)*cukier8[[#This Row],[sprzedany_cukier]]</f>
        <v>18.900000000000002</v>
      </c>
    </row>
    <row r="1302" spans="1:5" x14ac:dyDescent="0.25">
      <c r="A1302" s="1">
        <v>40511</v>
      </c>
      <c r="B1302" t="s">
        <v>30</v>
      </c>
      <c r="C1302">
        <v>174</v>
      </c>
      <c r="D1302">
        <f>YEAR(cukier8[[#This Row],[data]])</f>
        <v>2010</v>
      </c>
      <c r="E1302">
        <f>VLOOKUP(cukier8[[#This Row],[rok]],$L$2:$M$11,2,FALSE)*cukier8[[#This Row],[sprzedany_cukier]]</f>
        <v>365.40000000000003</v>
      </c>
    </row>
    <row r="1303" spans="1:5" x14ac:dyDescent="0.25">
      <c r="A1303" s="1">
        <v>40512</v>
      </c>
      <c r="B1303" t="s">
        <v>69</v>
      </c>
      <c r="C1303">
        <v>39</v>
      </c>
      <c r="D1303">
        <f>YEAR(cukier8[[#This Row],[data]])</f>
        <v>2010</v>
      </c>
      <c r="E1303">
        <f>VLOOKUP(cukier8[[#This Row],[rok]],$L$2:$M$11,2,FALSE)*cukier8[[#This Row],[sprzedany_cukier]]</f>
        <v>81.900000000000006</v>
      </c>
    </row>
    <row r="1304" spans="1:5" x14ac:dyDescent="0.25">
      <c r="A1304" s="1">
        <v>40513</v>
      </c>
      <c r="B1304" t="s">
        <v>7</v>
      </c>
      <c r="C1304">
        <v>330</v>
      </c>
      <c r="D1304">
        <f>YEAR(cukier8[[#This Row],[data]])</f>
        <v>2010</v>
      </c>
      <c r="E1304">
        <f>VLOOKUP(cukier8[[#This Row],[rok]],$L$2:$M$11,2,FALSE)*cukier8[[#This Row],[sprzedany_cukier]]</f>
        <v>693</v>
      </c>
    </row>
    <row r="1305" spans="1:5" x14ac:dyDescent="0.25">
      <c r="A1305" s="1">
        <v>40513</v>
      </c>
      <c r="B1305" t="s">
        <v>146</v>
      </c>
      <c r="C1305">
        <v>5</v>
      </c>
      <c r="D1305">
        <f>YEAR(cukier8[[#This Row],[data]])</f>
        <v>2010</v>
      </c>
      <c r="E1305">
        <f>VLOOKUP(cukier8[[#This Row],[rok]],$L$2:$M$11,2,FALSE)*cukier8[[#This Row],[sprzedany_cukier]]</f>
        <v>10.5</v>
      </c>
    </row>
    <row r="1306" spans="1:5" x14ac:dyDescent="0.25">
      <c r="A1306" s="1">
        <v>40516</v>
      </c>
      <c r="B1306" t="s">
        <v>14</v>
      </c>
      <c r="C1306">
        <v>175</v>
      </c>
      <c r="D1306">
        <f>YEAR(cukier8[[#This Row],[data]])</f>
        <v>2010</v>
      </c>
      <c r="E1306">
        <f>VLOOKUP(cukier8[[#This Row],[rok]],$L$2:$M$11,2,FALSE)*cukier8[[#This Row],[sprzedany_cukier]]</f>
        <v>367.5</v>
      </c>
    </row>
    <row r="1307" spans="1:5" x14ac:dyDescent="0.25">
      <c r="A1307" s="1">
        <v>40520</v>
      </c>
      <c r="B1307" t="s">
        <v>131</v>
      </c>
      <c r="C1307">
        <v>183</v>
      </c>
      <c r="D1307">
        <f>YEAR(cukier8[[#This Row],[data]])</f>
        <v>2010</v>
      </c>
      <c r="E1307">
        <f>VLOOKUP(cukier8[[#This Row],[rok]],$L$2:$M$11,2,FALSE)*cukier8[[#This Row],[sprzedany_cukier]]</f>
        <v>384.3</v>
      </c>
    </row>
    <row r="1308" spans="1:5" x14ac:dyDescent="0.25">
      <c r="A1308" s="1">
        <v>40520</v>
      </c>
      <c r="B1308" t="s">
        <v>45</v>
      </c>
      <c r="C1308">
        <v>423</v>
      </c>
      <c r="D1308">
        <f>YEAR(cukier8[[#This Row],[data]])</f>
        <v>2010</v>
      </c>
      <c r="E1308">
        <f>VLOOKUP(cukier8[[#This Row],[rok]],$L$2:$M$11,2,FALSE)*cukier8[[#This Row],[sprzedany_cukier]]</f>
        <v>888.30000000000007</v>
      </c>
    </row>
    <row r="1309" spans="1:5" x14ac:dyDescent="0.25">
      <c r="A1309" s="1">
        <v>40520</v>
      </c>
      <c r="B1309" t="s">
        <v>52</v>
      </c>
      <c r="C1309">
        <v>88</v>
      </c>
      <c r="D1309">
        <f>YEAR(cukier8[[#This Row],[data]])</f>
        <v>2010</v>
      </c>
      <c r="E1309">
        <f>VLOOKUP(cukier8[[#This Row],[rok]],$L$2:$M$11,2,FALSE)*cukier8[[#This Row],[sprzedany_cukier]]</f>
        <v>184.8</v>
      </c>
    </row>
    <row r="1310" spans="1:5" x14ac:dyDescent="0.25">
      <c r="A1310" s="1">
        <v>40521</v>
      </c>
      <c r="B1310" t="s">
        <v>17</v>
      </c>
      <c r="C1310">
        <v>241</v>
      </c>
      <c r="D1310">
        <f>YEAR(cukier8[[#This Row],[data]])</f>
        <v>2010</v>
      </c>
      <c r="E1310">
        <f>VLOOKUP(cukier8[[#This Row],[rok]],$L$2:$M$11,2,FALSE)*cukier8[[#This Row],[sprzedany_cukier]]</f>
        <v>506.1</v>
      </c>
    </row>
    <row r="1311" spans="1:5" x14ac:dyDescent="0.25">
      <c r="A1311" s="1">
        <v>40522</v>
      </c>
      <c r="B1311" t="s">
        <v>12</v>
      </c>
      <c r="C1311">
        <v>37</v>
      </c>
      <c r="D1311">
        <f>YEAR(cukier8[[#This Row],[data]])</f>
        <v>2010</v>
      </c>
      <c r="E1311">
        <f>VLOOKUP(cukier8[[#This Row],[rok]],$L$2:$M$11,2,FALSE)*cukier8[[#This Row],[sprzedany_cukier]]</f>
        <v>77.7</v>
      </c>
    </row>
    <row r="1312" spans="1:5" x14ac:dyDescent="0.25">
      <c r="A1312" s="1">
        <v>40528</v>
      </c>
      <c r="B1312" t="s">
        <v>78</v>
      </c>
      <c r="C1312">
        <v>164</v>
      </c>
      <c r="D1312">
        <f>YEAR(cukier8[[#This Row],[data]])</f>
        <v>2010</v>
      </c>
      <c r="E1312">
        <f>VLOOKUP(cukier8[[#This Row],[rok]],$L$2:$M$11,2,FALSE)*cukier8[[#This Row],[sprzedany_cukier]]</f>
        <v>344.40000000000003</v>
      </c>
    </row>
    <row r="1313" spans="1:5" x14ac:dyDescent="0.25">
      <c r="A1313" s="1">
        <v>40529</v>
      </c>
      <c r="B1313" t="s">
        <v>94</v>
      </c>
      <c r="C1313">
        <v>20</v>
      </c>
      <c r="D1313">
        <f>YEAR(cukier8[[#This Row],[data]])</f>
        <v>2010</v>
      </c>
      <c r="E1313">
        <f>VLOOKUP(cukier8[[#This Row],[rok]],$L$2:$M$11,2,FALSE)*cukier8[[#This Row],[sprzedany_cukier]]</f>
        <v>42</v>
      </c>
    </row>
    <row r="1314" spans="1:5" x14ac:dyDescent="0.25">
      <c r="A1314" s="1">
        <v>40533</v>
      </c>
      <c r="B1314" t="s">
        <v>182</v>
      </c>
      <c r="C1314">
        <v>8</v>
      </c>
      <c r="D1314">
        <f>YEAR(cukier8[[#This Row],[data]])</f>
        <v>2010</v>
      </c>
      <c r="E1314">
        <f>VLOOKUP(cukier8[[#This Row],[rok]],$L$2:$M$11,2,FALSE)*cukier8[[#This Row],[sprzedany_cukier]]</f>
        <v>16.8</v>
      </c>
    </row>
    <row r="1315" spans="1:5" x14ac:dyDescent="0.25">
      <c r="A1315" s="1">
        <v>40533</v>
      </c>
      <c r="B1315" t="s">
        <v>156</v>
      </c>
      <c r="C1315">
        <v>4</v>
      </c>
      <c r="D1315">
        <f>YEAR(cukier8[[#This Row],[data]])</f>
        <v>2010</v>
      </c>
      <c r="E1315">
        <f>VLOOKUP(cukier8[[#This Row],[rok]],$L$2:$M$11,2,FALSE)*cukier8[[#This Row],[sprzedany_cukier]]</f>
        <v>8.4</v>
      </c>
    </row>
    <row r="1316" spans="1:5" x14ac:dyDescent="0.25">
      <c r="A1316" s="1">
        <v>40538</v>
      </c>
      <c r="B1316" t="s">
        <v>22</v>
      </c>
      <c r="C1316">
        <v>408</v>
      </c>
      <c r="D1316">
        <f>YEAR(cukier8[[#This Row],[data]])</f>
        <v>2010</v>
      </c>
      <c r="E1316">
        <f>VLOOKUP(cukier8[[#This Row],[rok]],$L$2:$M$11,2,FALSE)*cukier8[[#This Row],[sprzedany_cukier]]</f>
        <v>856.80000000000007</v>
      </c>
    </row>
    <row r="1317" spans="1:5" x14ac:dyDescent="0.25">
      <c r="A1317" s="1">
        <v>40544</v>
      </c>
      <c r="B1317" t="s">
        <v>142</v>
      </c>
      <c r="C1317">
        <v>20</v>
      </c>
      <c r="D1317">
        <f>YEAR(cukier8[[#This Row],[data]])</f>
        <v>2011</v>
      </c>
      <c r="E1317">
        <f>VLOOKUP(cukier8[[#This Row],[rok]],$L$2:$M$11,2,FALSE)*cukier8[[#This Row],[sprzedany_cukier]]</f>
        <v>44</v>
      </c>
    </row>
    <row r="1318" spans="1:5" x14ac:dyDescent="0.25">
      <c r="A1318" s="1">
        <v>40545</v>
      </c>
      <c r="B1318" t="s">
        <v>31</v>
      </c>
      <c r="C1318">
        <v>102</v>
      </c>
      <c r="D1318">
        <f>YEAR(cukier8[[#This Row],[data]])</f>
        <v>2011</v>
      </c>
      <c r="E1318">
        <f>VLOOKUP(cukier8[[#This Row],[rok]],$L$2:$M$11,2,FALSE)*cukier8[[#This Row],[sprzedany_cukier]]</f>
        <v>224.4</v>
      </c>
    </row>
    <row r="1319" spans="1:5" x14ac:dyDescent="0.25">
      <c r="A1319" s="1">
        <v>40546</v>
      </c>
      <c r="B1319" t="s">
        <v>9</v>
      </c>
      <c r="C1319">
        <v>240</v>
      </c>
      <c r="D1319">
        <f>YEAR(cukier8[[#This Row],[data]])</f>
        <v>2011</v>
      </c>
      <c r="E1319">
        <f>VLOOKUP(cukier8[[#This Row],[rok]],$L$2:$M$11,2,FALSE)*cukier8[[#This Row],[sprzedany_cukier]]</f>
        <v>528</v>
      </c>
    </row>
    <row r="1320" spans="1:5" x14ac:dyDescent="0.25">
      <c r="A1320" s="1">
        <v>40548</v>
      </c>
      <c r="B1320" t="s">
        <v>10</v>
      </c>
      <c r="C1320">
        <v>124</v>
      </c>
      <c r="D1320">
        <f>YEAR(cukier8[[#This Row],[data]])</f>
        <v>2011</v>
      </c>
      <c r="E1320">
        <f>VLOOKUP(cukier8[[#This Row],[rok]],$L$2:$M$11,2,FALSE)*cukier8[[#This Row],[sprzedany_cukier]]</f>
        <v>272.8</v>
      </c>
    </row>
    <row r="1321" spans="1:5" x14ac:dyDescent="0.25">
      <c r="A1321" s="1">
        <v>40550</v>
      </c>
      <c r="B1321" t="s">
        <v>45</v>
      </c>
      <c r="C1321">
        <v>330</v>
      </c>
      <c r="D1321">
        <f>YEAR(cukier8[[#This Row],[data]])</f>
        <v>2011</v>
      </c>
      <c r="E1321">
        <f>VLOOKUP(cukier8[[#This Row],[rok]],$L$2:$M$11,2,FALSE)*cukier8[[#This Row],[sprzedany_cukier]]</f>
        <v>726.00000000000011</v>
      </c>
    </row>
    <row r="1322" spans="1:5" x14ac:dyDescent="0.25">
      <c r="A1322" s="1">
        <v>40554</v>
      </c>
      <c r="B1322" t="s">
        <v>26</v>
      </c>
      <c r="C1322">
        <v>187</v>
      </c>
      <c r="D1322">
        <f>YEAR(cukier8[[#This Row],[data]])</f>
        <v>2011</v>
      </c>
      <c r="E1322">
        <f>VLOOKUP(cukier8[[#This Row],[rok]],$L$2:$M$11,2,FALSE)*cukier8[[#This Row],[sprzedany_cukier]]</f>
        <v>411.40000000000003</v>
      </c>
    </row>
    <row r="1323" spans="1:5" x14ac:dyDescent="0.25">
      <c r="A1323" s="1">
        <v>40561</v>
      </c>
      <c r="B1323" t="s">
        <v>52</v>
      </c>
      <c r="C1323">
        <v>165</v>
      </c>
      <c r="D1323">
        <f>YEAR(cukier8[[#This Row],[data]])</f>
        <v>2011</v>
      </c>
      <c r="E1323">
        <f>VLOOKUP(cukier8[[#This Row],[rok]],$L$2:$M$11,2,FALSE)*cukier8[[#This Row],[sprzedany_cukier]]</f>
        <v>363.00000000000006</v>
      </c>
    </row>
    <row r="1324" spans="1:5" x14ac:dyDescent="0.25">
      <c r="A1324" s="1">
        <v>40562</v>
      </c>
      <c r="B1324" t="s">
        <v>5</v>
      </c>
      <c r="C1324">
        <v>371</v>
      </c>
      <c r="D1324">
        <f>YEAR(cukier8[[#This Row],[data]])</f>
        <v>2011</v>
      </c>
      <c r="E1324">
        <f>VLOOKUP(cukier8[[#This Row],[rok]],$L$2:$M$11,2,FALSE)*cukier8[[#This Row],[sprzedany_cukier]]</f>
        <v>816.2</v>
      </c>
    </row>
    <row r="1325" spans="1:5" x14ac:dyDescent="0.25">
      <c r="A1325" s="1">
        <v>40564</v>
      </c>
      <c r="B1325" t="s">
        <v>39</v>
      </c>
      <c r="C1325">
        <v>185</v>
      </c>
      <c r="D1325">
        <f>YEAR(cukier8[[#This Row],[data]])</f>
        <v>2011</v>
      </c>
      <c r="E1325">
        <f>VLOOKUP(cukier8[[#This Row],[rok]],$L$2:$M$11,2,FALSE)*cukier8[[#This Row],[sprzedany_cukier]]</f>
        <v>407.00000000000006</v>
      </c>
    </row>
    <row r="1326" spans="1:5" x14ac:dyDescent="0.25">
      <c r="A1326" s="1">
        <v>40566</v>
      </c>
      <c r="B1326" t="s">
        <v>9</v>
      </c>
      <c r="C1326">
        <v>401</v>
      </c>
      <c r="D1326">
        <f>YEAR(cukier8[[#This Row],[data]])</f>
        <v>2011</v>
      </c>
      <c r="E1326">
        <f>VLOOKUP(cukier8[[#This Row],[rok]],$L$2:$M$11,2,FALSE)*cukier8[[#This Row],[sprzedany_cukier]]</f>
        <v>882.2</v>
      </c>
    </row>
    <row r="1327" spans="1:5" x14ac:dyDescent="0.25">
      <c r="A1327" s="1">
        <v>40568</v>
      </c>
      <c r="B1327" t="s">
        <v>55</v>
      </c>
      <c r="C1327">
        <v>25</v>
      </c>
      <c r="D1327">
        <f>YEAR(cukier8[[#This Row],[data]])</f>
        <v>2011</v>
      </c>
      <c r="E1327">
        <f>VLOOKUP(cukier8[[#This Row],[rok]],$L$2:$M$11,2,FALSE)*cukier8[[#This Row],[sprzedany_cukier]]</f>
        <v>55.000000000000007</v>
      </c>
    </row>
    <row r="1328" spans="1:5" x14ac:dyDescent="0.25">
      <c r="A1328" s="1">
        <v>40568</v>
      </c>
      <c r="B1328" t="s">
        <v>93</v>
      </c>
      <c r="C1328">
        <v>3</v>
      </c>
      <c r="D1328">
        <f>YEAR(cukier8[[#This Row],[data]])</f>
        <v>2011</v>
      </c>
      <c r="E1328">
        <f>VLOOKUP(cukier8[[#This Row],[rok]],$L$2:$M$11,2,FALSE)*cukier8[[#This Row],[sprzedany_cukier]]</f>
        <v>6.6000000000000005</v>
      </c>
    </row>
    <row r="1329" spans="1:5" x14ac:dyDescent="0.25">
      <c r="A1329" s="1">
        <v>40568</v>
      </c>
      <c r="B1329" t="s">
        <v>170</v>
      </c>
      <c r="C1329">
        <v>11</v>
      </c>
      <c r="D1329">
        <f>YEAR(cukier8[[#This Row],[data]])</f>
        <v>2011</v>
      </c>
      <c r="E1329">
        <f>VLOOKUP(cukier8[[#This Row],[rok]],$L$2:$M$11,2,FALSE)*cukier8[[#This Row],[sprzedany_cukier]]</f>
        <v>24.200000000000003</v>
      </c>
    </row>
    <row r="1330" spans="1:5" x14ac:dyDescent="0.25">
      <c r="A1330" s="1">
        <v>40573</v>
      </c>
      <c r="B1330" t="s">
        <v>216</v>
      </c>
      <c r="C1330">
        <v>18</v>
      </c>
      <c r="D1330">
        <f>YEAR(cukier8[[#This Row],[data]])</f>
        <v>2011</v>
      </c>
      <c r="E1330">
        <f>VLOOKUP(cukier8[[#This Row],[rok]],$L$2:$M$11,2,FALSE)*cukier8[[#This Row],[sprzedany_cukier]]</f>
        <v>39.6</v>
      </c>
    </row>
    <row r="1331" spans="1:5" x14ac:dyDescent="0.25">
      <c r="A1331" s="1">
        <v>40573</v>
      </c>
      <c r="B1331" t="s">
        <v>45</v>
      </c>
      <c r="C1331">
        <v>154</v>
      </c>
      <c r="D1331">
        <f>YEAR(cukier8[[#This Row],[data]])</f>
        <v>2011</v>
      </c>
      <c r="E1331">
        <f>VLOOKUP(cukier8[[#This Row],[rok]],$L$2:$M$11,2,FALSE)*cukier8[[#This Row],[sprzedany_cukier]]</f>
        <v>338.8</v>
      </c>
    </row>
    <row r="1332" spans="1:5" x14ac:dyDescent="0.25">
      <c r="A1332" s="1">
        <v>40574</v>
      </c>
      <c r="B1332" t="s">
        <v>50</v>
      </c>
      <c r="C1332">
        <v>423</v>
      </c>
      <c r="D1332">
        <f>YEAR(cukier8[[#This Row],[data]])</f>
        <v>2011</v>
      </c>
      <c r="E1332">
        <f>VLOOKUP(cukier8[[#This Row],[rok]],$L$2:$M$11,2,FALSE)*cukier8[[#This Row],[sprzedany_cukier]]</f>
        <v>930.6</v>
      </c>
    </row>
    <row r="1333" spans="1:5" x14ac:dyDescent="0.25">
      <c r="A1333" s="1">
        <v>40576</v>
      </c>
      <c r="B1333" t="s">
        <v>127</v>
      </c>
      <c r="C1333">
        <v>6</v>
      </c>
      <c r="D1333">
        <f>YEAR(cukier8[[#This Row],[data]])</f>
        <v>2011</v>
      </c>
      <c r="E1333">
        <f>VLOOKUP(cukier8[[#This Row],[rok]],$L$2:$M$11,2,FALSE)*cukier8[[#This Row],[sprzedany_cukier]]</f>
        <v>13.200000000000001</v>
      </c>
    </row>
    <row r="1334" spans="1:5" x14ac:dyDescent="0.25">
      <c r="A1334" s="1">
        <v>40580</v>
      </c>
      <c r="B1334" t="s">
        <v>28</v>
      </c>
      <c r="C1334">
        <v>62</v>
      </c>
      <c r="D1334">
        <f>YEAR(cukier8[[#This Row],[data]])</f>
        <v>2011</v>
      </c>
      <c r="E1334">
        <f>VLOOKUP(cukier8[[#This Row],[rok]],$L$2:$M$11,2,FALSE)*cukier8[[#This Row],[sprzedany_cukier]]</f>
        <v>136.4</v>
      </c>
    </row>
    <row r="1335" spans="1:5" x14ac:dyDescent="0.25">
      <c r="A1335" s="1">
        <v>40581</v>
      </c>
      <c r="B1335" t="s">
        <v>136</v>
      </c>
      <c r="C1335">
        <v>15</v>
      </c>
      <c r="D1335">
        <f>YEAR(cukier8[[#This Row],[data]])</f>
        <v>2011</v>
      </c>
      <c r="E1335">
        <f>VLOOKUP(cukier8[[#This Row],[rok]],$L$2:$M$11,2,FALSE)*cukier8[[#This Row],[sprzedany_cukier]]</f>
        <v>33</v>
      </c>
    </row>
    <row r="1336" spans="1:5" x14ac:dyDescent="0.25">
      <c r="A1336" s="1">
        <v>40583</v>
      </c>
      <c r="B1336" t="s">
        <v>9</v>
      </c>
      <c r="C1336">
        <v>311</v>
      </c>
      <c r="D1336">
        <f>YEAR(cukier8[[#This Row],[data]])</f>
        <v>2011</v>
      </c>
      <c r="E1336">
        <f>VLOOKUP(cukier8[[#This Row],[rok]],$L$2:$M$11,2,FALSE)*cukier8[[#This Row],[sprzedany_cukier]]</f>
        <v>684.2</v>
      </c>
    </row>
    <row r="1337" spans="1:5" x14ac:dyDescent="0.25">
      <c r="A1337" s="1">
        <v>40584</v>
      </c>
      <c r="B1337" t="s">
        <v>19</v>
      </c>
      <c r="C1337">
        <v>127</v>
      </c>
      <c r="D1337">
        <f>YEAR(cukier8[[#This Row],[data]])</f>
        <v>2011</v>
      </c>
      <c r="E1337">
        <f>VLOOKUP(cukier8[[#This Row],[rok]],$L$2:$M$11,2,FALSE)*cukier8[[#This Row],[sprzedany_cukier]]</f>
        <v>279.40000000000003</v>
      </c>
    </row>
    <row r="1338" spans="1:5" x14ac:dyDescent="0.25">
      <c r="A1338" s="1">
        <v>40585</v>
      </c>
      <c r="B1338" t="s">
        <v>22</v>
      </c>
      <c r="C1338">
        <v>483</v>
      </c>
      <c r="D1338">
        <f>YEAR(cukier8[[#This Row],[data]])</f>
        <v>2011</v>
      </c>
      <c r="E1338">
        <f>VLOOKUP(cukier8[[#This Row],[rok]],$L$2:$M$11,2,FALSE)*cukier8[[#This Row],[sprzedany_cukier]]</f>
        <v>1062.6000000000001</v>
      </c>
    </row>
    <row r="1339" spans="1:5" x14ac:dyDescent="0.25">
      <c r="A1339" s="1">
        <v>40588</v>
      </c>
      <c r="B1339" t="s">
        <v>217</v>
      </c>
      <c r="C1339">
        <v>9</v>
      </c>
      <c r="D1339">
        <f>YEAR(cukier8[[#This Row],[data]])</f>
        <v>2011</v>
      </c>
      <c r="E1339">
        <f>VLOOKUP(cukier8[[#This Row],[rok]],$L$2:$M$11,2,FALSE)*cukier8[[#This Row],[sprzedany_cukier]]</f>
        <v>19.8</v>
      </c>
    </row>
    <row r="1340" spans="1:5" x14ac:dyDescent="0.25">
      <c r="A1340" s="1">
        <v>40593</v>
      </c>
      <c r="B1340" t="s">
        <v>20</v>
      </c>
      <c r="C1340">
        <v>75</v>
      </c>
      <c r="D1340">
        <f>YEAR(cukier8[[#This Row],[data]])</f>
        <v>2011</v>
      </c>
      <c r="E1340">
        <f>VLOOKUP(cukier8[[#This Row],[rok]],$L$2:$M$11,2,FALSE)*cukier8[[#This Row],[sprzedany_cukier]]</f>
        <v>165</v>
      </c>
    </row>
    <row r="1341" spans="1:5" x14ac:dyDescent="0.25">
      <c r="A1341" s="1">
        <v>40598</v>
      </c>
      <c r="B1341" t="s">
        <v>218</v>
      </c>
      <c r="C1341">
        <v>7</v>
      </c>
      <c r="D1341">
        <f>YEAR(cukier8[[#This Row],[data]])</f>
        <v>2011</v>
      </c>
      <c r="E1341">
        <f>VLOOKUP(cukier8[[#This Row],[rok]],$L$2:$M$11,2,FALSE)*cukier8[[#This Row],[sprzedany_cukier]]</f>
        <v>15.400000000000002</v>
      </c>
    </row>
    <row r="1342" spans="1:5" x14ac:dyDescent="0.25">
      <c r="A1342" s="1">
        <v>40602</v>
      </c>
      <c r="B1342" t="s">
        <v>35</v>
      </c>
      <c r="C1342">
        <v>114</v>
      </c>
      <c r="D1342">
        <f>YEAR(cukier8[[#This Row],[data]])</f>
        <v>2011</v>
      </c>
      <c r="E1342">
        <f>VLOOKUP(cukier8[[#This Row],[rok]],$L$2:$M$11,2,FALSE)*cukier8[[#This Row],[sprzedany_cukier]]</f>
        <v>250.8</v>
      </c>
    </row>
    <row r="1343" spans="1:5" x14ac:dyDescent="0.25">
      <c r="A1343" s="1">
        <v>40605</v>
      </c>
      <c r="B1343" t="s">
        <v>123</v>
      </c>
      <c r="C1343">
        <v>151</v>
      </c>
      <c r="D1343">
        <f>YEAR(cukier8[[#This Row],[data]])</f>
        <v>2011</v>
      </c>
      <c r="E1343">
        <f>VLOOKUP(cukier8[[#This Row],[rok]],$L$2:$M$11,2,FALSE)*cukier8[[#This Row],[sprzedany_cukier]]</f>
        <v>332.20000000000005</v>
      </c>
    </row>
    <row r="1344" spans="1:5" x14ac:dyDescent="0.25">
      <c r="A1344" s="1">
        <v>40608</v>
      </c>
      <c r="B1344" t="s">
        <v>10</v>
      </c>
      <c r="C1344">
        <v>116</v>
      </c>
      <c r="D1344">
        <f>YEAR(cukier8[[#This Row],[data]])</f>
        <v>2011</v>
      </c>
      <c r="E1344">
        <f>VLOOKUP(cukier8[[#This Row],[rok]],$L$2:$M$11,2,FALSE)*cukier8[[#This Row],[sprzedany_cukier]]</f>
        <v>255.20000000000002</v>
      </c>
    </row>
    <row r="1345" spans="1:5" x14ac:dyDescent="0.25">
      <c r="A1345" s="1">
        <v>40609</v>
      </c>
      <c r="B1345" t="s">
        <v>12</v>
      </c>
      <c r="C1345">
        <v>76</v>
      </c>
      <c r="D1345">
        <f>YEAR(cukier8[[#This Row],[data]])</f>
        <v>2011</v>
      </c>
      <c r="E1345">
        <f>VLOOKUP(cukier8[[#This Row],[rok]],$L$2:$M$11,2,FALSE)*cukier8[[#This Row],[sprzedany_cukier]]</f>
        <v>167.20000000000002</v>
      </c>
    </row>
    <row r="1346" spans="1:5" x14ac:dyDescent="0.25">
      <c r="A1346" s="1">
        <v>40610</v>
      </c>
      <c r="B1346" t="s">
        <v>6</v>
      </c>
      <c r="C1346">
        <v>25</v>
      </c>
      <c r="D1346">
        <f>YEAR(cukier8[[#This Row],[data]])</f>
        <v>2011</v>
      </c>
      <c r="E1346">
        <f>VLOOKUP(cukier8[[#This Row],[rok]],$L$2:$M$11,2,FALSE)*cukier8[[#This Row],[sprzedany_cukier]]</f>
        <v>55.000000000000007</v>
      </c>
    </row>
    <row r="1347" spans="1:5" x14ac:dyDescent="0.25">
      <c r="A1347" s="1">
        <v>40614</v>
      </c>
      <c r="B1347" t="s">
        <v>31</v>
      </c>
      <c r="C1347">
        <v>37</v>
      </c>
      <c r="D1347">
        <f>YEAR(cukier8[[#This Row],[data]])</f>
        <v>2011</v>
      </c>
      <c r="E1347">
        <f>VLOOKUP(cukier8[[#This Row],[rok]],$L$2:$M$11,2,FALSE)*cukier8[[#This Row],[sprzedany_cukier]]</f>
        <v>81.400000000000006</v>
      </c>
    </row>
    <row r="1348" spans="1:5" x14ac:dyDescent="0.25">
      <c r="A1348" s="1">
        <v>40616</v>
      </c>
      <c r="B1348" t="s">
        <v>80</v>
      </c>
      <c r="C1348">
        <v>108</v>
      </c>
      <c r="D1348">
        <f>YEAR(cukier8[[#This Row],[data]])</f>
        <v>2011</v>
      </c>
      <c r="E1348">
        <f>VLOOKUP(cukier8[[#This Row],[rok]],$L$2:$M$11,2,FALSE)*cukier8[[#This Row],[sprzedany_cukier]]</f>
        <v>237.60000000000002</v>
      </c>
    </row>
    <row r="1349" spans="1:5" x14ac:dyDescent="0.25">
      <c r="A1349" s="1">
        <v>40617</v>
      </c>
      <c r="B1349" t="s">
        <v>7</v>
      </c>
      <c r="C1349">
        <v>199</v>
      </c>
      <c r="D1349">
        <f>YEAR(cukier8[[#This Row],[data]])</f>
        <v>2011</v>
      </c>
      <c r="E1349">
        <f>VLOOKUP(cukier8[[#This Row],[rok]],$L$2:$M$11,2,FALSE)*cukier8[[#This Row],[sprzedany_cukier]]</f>
        <v>437.8</v>
      </c>
    </row>
    <row r="1350" spans="1:5" x14ac:dyDescent="0.25">
      <c r="A1350" s="1">
        <v>40617</v>
      </c>
      <c r="B1350" t="s">
        <v>45</v>
      </c>
      <c r="C1350">
        <v>128</v>
      </c>
      <c r="D1350">
        <f>YEAR(cukier8[[#This Row],[data]])</f>
        <v>2011</v>
      </c>
      <c r="E1350">
        <f>VLOOKUP(cukier8[[#This Row],[rok]],$L$2:$M$11,2,FALSE)*cukier8[[#This Row],[sprzedany_cukier]]</f>
        <v>281.60000000000002</v>
      </c>
    </row>
    <row r="1351" spans="1:5" x14ac:dyDescent="0.25">
      <c r="A1351" s="1">
        <v>40618</v>
      </c>
      <c r="B1351" t="s">
        <v>58</v>
      </c>
      <c r="C1351">
        <v>32</v>
      </c>
      <c r="D1351">
        <f>YEAR(cukier8[[#This Row],[data]])</f>
        <v>2011</v>
      </c>
      <c r="E1351">
        <f>VLOOKUP(cukier8[[#This Row],[rok]],$L$2:$M$11,2,FALSE)*cukier8[[#This Row],[sprzedany_cukier]]</f>
        <v>70.400000000000006</v>
      </c>
    </row>
    <row r="1352" spans="1:5" x14ac:dyDescent="0.25">
      <c r="A1352" s="1">
        <v>40625</v>
      </c>
      <c r="B1352" t="s">
        <v>30</v>
      </c>
      <c r="C1352">
        <v>151</v>
      </c>
      <c r="D1352">
        <f>YEAR(cukier8[[#This Row],[data]])</f>
        <v>2011</v>
      </c>
      <c r="E1352">
        <f>VLOOKUP(cukier8[[#This Row],[rok]],$L$2:$M$11,2,FALSE)*cukier8[[#This Row],[sprzedany_cukier]]</f>
        <v>332.20000000000005</v>
      </c>
    </row>
    <row r="1353" spans="1:5" x14ac:dyDescent="0.25">
      <c r="A1353" s="1">
        <v>40626</v>
      </c>
      <c r="B1353" t="s">
        <v>153</v>
      </c>
      <c r="C1353">
        <v>8</v>
      </c>
      <c r="D1353">
        <f>YEAR(cukier8[[#This Row],[data]])</f>
        <v>2011</v>
      </c>
      <c r="E1353">
        <f>VLOOKUP(cukier8[[#This Row],[rok]],$L$2:$M$11,2,FALSE)*cukier8[[#This Row],[sprzedany_cukier]]</f>
        <v>17.600000000000001</v>
      </c>
    </row>
    <row r="1354" spans="1:5" x14ac:dyDescent="0.25">
      <c r="A1354" s="1">
        <v>40627</v>
      </c>
      <c r="B1354" t="s">
        <v>14</v>
      </c>
      <c r="C1354">
        <v>411</v>
      </c>
      <c r="D1354">
        <f>YEAR(cukier8[[#This Row],[data]])</f>
        <v>2011</v>
      </c>
      <c r="E1354">
        <f>VLOOKUP(cukier8[[#This Row],[rok]],$L$2:$M$11,2,FALSE)*cukier8[[#This Row],[sprzedany_cukier]]</f>
        <v>904.2</v>
      </c>
    </row>
    <row r="1355" spans="1:5" x14ac:dyDescent="0.25">
      <c r="A1355" s="1">
        <v>40628</v>
      </c>
      <c r="B1355" t="s">
        <v>52</v>
      </c>
      <c r="C1355">
        <v>119</v>
      </c>
      <c r="D1355">
        <f>YEAR(cukier8[[#This Row],[data]])</f>
        <v>2011</v>
      </c>
      <c r="E1355">
        <f>VLOOKUP(cukier8[[#This Row],[rok]],$L$2:$M$11,2,FALSE)*cukier8[[#This Row],[sprzedany_cukier]]</f>
        <v>261.8</v>
      </c>
    </row>
    <row r="1356" spans="1:5" x14ac:dyDescent="0.25">
      <c r="A1356" s="1">
        <v>40630</v>
      </c>
      <c r="B1356" t="s">
        <v>17</v>
      </c>
      <c r="C1356">
        <v>366</v>
      </c>
      <c r="D1356">
        <f>YEAR(cukier8[[#This Row],[data]])</f>
        <v>2011</v>
      </c>
      <c r="E1356">
        <f>VLOOKUP(cukier8[[#This Row],[rok]],$L$2:$M$11,2,FALSE)*cukier8[[#This Row],[sprzedany_cukier]]</f>
        <v>805.2</v>
      </c>
    </row>
    <row r="1357" spans="1:5" x14ac:dyDescent="0.25">
      <c r="A1357" s="1">
        <v>40633</v>
      </c>
      <c r="B1357" t="s">
        <v>69</v>
      </c>
      <c r="C1357">
        <v>20</v>
      </c>
      <c r="D1357">
        <f>YEAR(cukier8[[#This Row],[data]])</f>
        <v>2011</v>
      </c>
      <c r="E1357">
        <f>VLOOKUP(cukier8[[#This Row],[rok]],$L$2:$M$11,2,FALSE)*cukier8[[#This Row],[sprzedany_cukier]]</f>
        <v>44</v>
      </c>
    </row>
    <row r="1358" spans="1:5" x14ac:dyDescent="0.25">
      <c r="A1358" s="1">
        <v>40635</v>
      </c>
      <c r="B1358" t="s">
        <v>123</v>
      </c>
      <c r="C1358">
        <v>124</v>
      </c>
      <c r="D1358">
        <f>YEAR(cukier8[[#This Row],[data]])</f>
        <v>2011</v>
      </c>
      <c r="E1358">
        <f>VLOOKUP(cukier8[[#This Row],[rok]],$L$2:$M$11,2,FALSE)*cukier8[[#This Row],[sprzedany_cukier]]</f>
        <v>272.8</v>
      </c>
    </row>
    <row r="1359" spans="1:5" x14ac:dyDescent="0.25">
      <c r="A1359" s="1">
        <v>40635</v>
      </c>
      <c r="B1359" t="s">
        <v>10</v>
      </c>
      <c r="C1359">
        <v>30</v>
      </c>
      <c r="D1359">
        <f>YEAR(cukier8[[#This Row],[data]])</f>
        <v>2011</v>
      </c>
      <c r="E1359">
        <f>VLOOKUP(cukier8[[#This Row],[rok]],$L$2:$M$11,2,FALSE)*cukier8[[#This Row],[sprzedany_cukier]]</f>
        <v>66</v>
      </c>
    </row>
    <row r="1360" spans="1:5" x14ac:dyDescent="0.25">
      <c r="A1360" s="1">
        <v>40636</v>
      </c>
      <c r="B1360" t="s">
        <v>14</v>
      </c>
      <c r="C1360">
        <v>237</v>
      </c>
      <c r="D1360">
        <f>YEAR(cukier8[[#This Row],[data]])</f>
        <v>2011</v>
      </c>
      <c r="E1360">
        <f>VLOOKUP(cukier8[[#This Row],[rok]],$L$2:$M$11,2,FALSE)*cukier8[[#This Row],[sprzedany_cukier]]</f>
        <v>521.40000000000009</v>
      </c>
    </row>
    <row r="1361" spans="1:5" x14ac:dyDescent="0.25">
      <c r="A1361" s="1">
        <v>40638</v>
      </c>
      <c r="B1361" t="s">
        <v>22</v>
      </c>
      <c r="C1361">
        <v>355</v>
      </c>
      <c r="D1361">
        <f>YEAR(cukier8[[#This Row],[data]])</f>
        <v>2011</v>
      </c>
      <c r="E1361">
        <f>VLOOKUP(cukier8[[#This Row],[rok]],$L$2:$M$11,2,FALSE)*cukier8[[#This Row],[sprzedany_cukier]]</f>
        <v>781.00000000000011</v>
      </c>
    </row>
    <row r="1362" spans="1:5" x14ac:dyDescent="0.25">
      <c r="A1362" s="1">
        <v>40642</v>
      </c>
      <c r="B1362" t="s">
        <v>45</v>
      </c>
      <c r="C1362">
        <v>162</v>
      </c>
      <c r="D1362">
        <f>YEAR(cukier8[[#This Row],[data]])</f>
        <v>2011</v>
      </c>
      <c r="E1362">
        <f>VLOOKUP(cukier8[[#This Row],[rok]],$L$2:$M$11,2,FALSE)*cukier8[[#This Row],[sprzedany_cukier]]</f>
        <v>356.40000000000003</v>
      </c>
    </row>
    <row r="1363" spans="1:5" x14ac:dyDescent="0.25">
      <c r="A1363" s="1">
        <v>40647</v>
      </c>
      <c r="B1363" t="s">
        <v>35</v>
      </c>
      <c r="C1363">
        <v>46</v>
      </c>
      <c r="D1363">
        <f>YEAR(cukier8[[#This Row],[data]])</f>
        <v>2011</v>
      </c>
      <c r="E1363">
        <f>VLOOKUP(cukier8[[#This Row],[rok]],$L$2:$M$11,2,FALSE)*cukier8[[#This Row],[sprzedany_cukier]]</f>
        <v>101.2</v>
      </c>
    </row>
    <row r="1364" spans="1:5" x14ac:dyDescent="0.25">
      <c r="A1364" s="1">
        <v>40647</v>
      </c>
      <c r="B1364" t="s">
        <v>219</v>
      </c>
      <c r="C1364">
        <v>13</v>
      </c>
      <c r="D1364">
        <f>YEAR(cukier8[[#This Row],[data]])</f>
        <v>2011</v>
      </c>
      <c r="E1364">
        <f>VLOOKUP(cukier8[[#This Row],[rok]],$L$2:$M$11,2,FALSE)*cukier8[[#This Row],[sprzedany_cukier]]</f>
        <v>28.6</v>
      </c>
    </row>
    <row r="1365" spans="1:5" x14ac:dyDescent="0.25">
      <c r="A1365" s="1">
        <v>40647</v>
      </c>
      <c r="B1365" t="s">
        <v>118</v>
      </c>
      <c r="C1365">
        <v>14</v>
      </c>
      <c r="D1365">
        <f>YEAR(cukier8[[#This Row],[data]])</f>
        <v>2011</v>
      </c>
      <c r="E1365">
        <f>VLOOKUP(cukier8[[#This Row],[rok]],$L$2:$M$11,2,FALSE)*cukier8[[#This Row],[sprzedany_cukier]]</f>
        <v>30.800000000000004</v>
      </c>
    </row>
    <row r="1366" spans="1:5" x14ac:dyDescent="0.25">
      <c r="A1366" s="1">
        <v>40647</v>
      </c>
      <c r="B1366" t="s">
        <v>220</v>
      </c>
      <c r="C1366">
        <v>4</v>
      </c>
      <c r="D1366">
        <f>YEAR(cukier8[[#This Row],[data]])</f>
        <v>2011</v>
      </c>
      <c r="E1366">
        <f>VLOOKUP(cukier8[[#This Row],[rok]],$L$2:$M$11,2,FALSE)*cukier8[[#This Row],[sprzedany_cukier]]</f>
        <v>8.8000000000000007</v>
      </c>
    </row>
    <row r="1367" spans="1:5" x14ac:dyDescent="0.25">
      <c r="A1367" s="1">
        <v>40651</v>
      </c>
      <c r="B1367" t="s">
        <v>9</v>
      </c>
      <c r="C1367">
        <v>470</v>
      </c>
      <c r="D1367">
        <f>YEAR(cukier8[[#This Row],[data]])</f>
        <v>2011</v>
      </c>
      <c r="E1367">
        <f>VLOOKUP(cukier8[[#This Row],[rok]],$L$2:$M$11,2,FALSE)*cukier8[[#This Row],[sprzedany_cukier]]</f>
        <v>1034</v>
      </c>
    </row>
    <row r="1368" spans="1:5" x14ac:dyDescent="0.25">
      <c r="A1368" s="1">
        <v>40651</v>
      </c>
      <c r="B1368" t="s">
        <v>221</v>
      </c>
      <c r="C1368">
        <v>9</v>
      </c>
      <c r="D1368">
        <f>YEAR(cukier8[[#This Row],[data]])</f>
        <v>2011</v>
      </c>
      <c r="E1368">
        <f>VLOOKUP(cukier8[[#This Row],[rok]],$L$2:$M$11,2,FALSE)*cukier8[[#This Row],[sprzedany_cukier]]</f>
        <v>19.8</v>
      </c>
    </row>
    <row r="1369" spans="1:5" x14ac:dyDescent="0.25">
      <c r="A1369" s="1">
        <v>40651</v>
      </c>
      <c r="B1369" t="s">
        <v>58</v>
      </c>
      <c r="C1369">
        <v>37</v>
      </c>
      <c r="D1369">
        <f>YEAR(cukier8[[#This Row],[data]])</f>
        <v>2011</v>
      </c>
      <c r="E1369">
        <f>VLOOKUP(cukier8[[#This Row],[rok]],$L$2:$M$11,2,FALSE)*cukier8[[#This Row],[sprzedany_cukier]]</f>
        <v>81.400000000000006</v>
      </c>
    </row>
    <row r="1370" spans="1:5" x14ac:dyDescent="0.25">
      <c r="A1370" s="1">
        <v>40652</v>
      </c>
      <c r="B1370" t="s">
        <v>28</v>
      </c>
      <c r="C1370">
        <v>55</v>
      </c>
      <c r="D1370">
        <f>YEAR(cukier8[[#This Row],[data]])</f>
        <v>2011</v>
      </c>
      <c r="E1370">
        <f>VLOOKUP(cukier8[[#This Row],[rok]],$L$2:$M$11,2,FALSE)*cukier8[[#This Row],[sprzedany_cukier]]</f>
        <v>121.00000000000001</v>
      </c>
    </row>
    <row r="1371" spans="1:5" x14ac:dyDescent="0.25">
      <c r="A1371" s="1">
        <v>40654</v>
      </c>
      <c r="B1371" t="s">
        <v>55</v>
      </c>
      <c r="C1371">
        <v>140</v>
      </c>
      <c r="D1371">
        <f>YEAR(cukier8[[#This Row],[data]])</f>
        <v>2011</v>
      </c>
      <c r="E1371">
        <f>VLOOKUP(cukier8[[#This Row],[rok]],$L$2:$M$11,2,FALSE)*cukier8[[#This Row],[sprzedany_cukier]]</f>
        <v>308</v>
      </c>
    </row>
    <row r="1372" spans="1:5" x14ac:dyDescent="0.25">
      <c r="A1372" s="1">
        <v>40656</v>
      </c>
      <c r="B1372" t="s">
        <v>222</v>
      </c>
      <c r="C1372">
        <v>12</v>
      </c>
      <c r="D1372">
        <f>YEAR(cukier8[[#This Row],[data]])</f>
        <v>2011</v>
      </c>
      <c r="E1372">
        <f>VLOOKUP(cukier8[[#This Row],[rok]],$L$2:$M$11,2,FALSE)*cukier8[[#This Row],[sprzedany_cukier]]</f>
        <v>26.400000000000002</v>
      </c>
    </row>
    <row r="1373" spans="1:5" x14ac:dyDescent="0.25">
      <c r="A1373" s="1">
        <v>40658</v>
      </c>
      <c r="B1373" t="s">
        <v>12</v>
      </c>
      <c r="C1373">
        <v>20</v>
      </c>
      <c r="D1373">
        <f>YEAR(cukier8[[#This Row],[data]])</f>
        <v>2011</v>
      </c>
      <c r="E1373">
        <f>VLOOKUP(cukier8[[#This Row],[rok]],$L$2:$M$11,2,FALSE)*cukier8[[#This Row],[sprzedany_cukier]]</f>
        <v>44</v>
      </c>
    </row>
    <row r="1374" spans="1:5" x14ac:dyDescent="0.25">
      <c r="A1374" s="1">
        <v>40662</v>
      </c>
      <c r="B1374" t="s">
        <v>50</v>
      </c>
      <c r="C1374">
        <v>478</v>
      </c>
      <c r="D1374">
        <f>YEAR(cukier8[[#This Row],[data]])</f>
        <v>2011</v>
      </c>
      <c r="E1374">
        <f>VLOOKUP(cukier8[[#This Row],[rok]],$L$2:$M$11,2,FALSE)*cukier8[[#This Row],[sprzedany_cukier]]</f>
        <v>1051.6000000000001</v>
      </c>
    </row>
    <row r="1375" spans="1:5" x14ac:dyDescent="0.25">
      <c r="A1375" s="1">
        <v>40664</v>
      </c>
      <c r="B1375" t="s">
        <v>22</v>
      </c>
      <c r="C1375">
        <v>289</v>
      </c>
      <c r="D1375">
        <f>YEAR(cukier8[[#This Row],[data]])</f>
        <v>2011</v>
      </c>
      <c r="E1375">
        <f>VLOOKUP(cukier8[[#This Row],[rok]],$L$2:$M$11,2,FALSE)*cukier8[[#This Row],[sprzedany_cukier]]</f>
        <v>635.80000000000007</v>
      </c>
    </row>
    <row r="1376" spans="1:5" x14ac:dyDescent="0.25">
      <c r="A1376" s="1">
        <v>40665</v>
      </c>
      <c r="B1376" t="s">
        <v>57</v>
      </c>
      <c r="C1376">
        <v>1</v>
      </c>
      <c r="D1376">
        <f>YEAR(cukier8[[#This Row],[data]])</f>
        <v>2011</v>
      </c>
      <c r="E1376">
        <f>VLOOKUP(cukier8[[#This Row],[rok]],$L$2:$M$11,2,FALSE)*cukier8[[#This Row],[sprzedany_cukier]]</f>
        <v>2.2000000000000002</v>
      </c>
    </row>
    <row r="1377" spans="1:5" x14ac:dyDescent="0.25">
      <c r="A1377" s="1">
        <v>40665</v>
      </c>
      <c r="B1377" t="s">
        <v>149</v>
      </c>
      <c r="C1377">
        <v>15</v>
      </c>
      <c r="D1377">
        <f>YEAR(cukier8[[#This Row],[data]])</f>
        <v>2011</v>
      </c>
      <c r="E1377">
        <f>VLOOKUP(cukier8[[#This Row],[rok]],$L$2:$M$11,2,FALSE)*cukier8[[#This Row],[sprzedany_cukier]]</f>
        <v>33</v>
      </c>
    </row>
    <row r="1378" spans="1:5" x14ac:dyDescent="0.25">
      <c r="A1378" s="1">
        <v>40668</v>
      </c>
      <c r="B1378" t="s">
        <v>7</v>
      </c>
      <c r="C1378">
        <v>400</v>
      </c>
      <c r="D1378">
        <f>YEAR(cukier8[[#This Row],[data]])</f>
        <v>2011</v>
      </c>
      <c r="E1378">
        <f>VLOOKUP(cukier8[[#This Row],[rok]],$L$2:$M$11,2,FALSE)*cukier8[[#This Row],[sprzedany_cukier]]</f>
        <v>880.00000000000011</v>
      </c>
    </row>
    <row r="1379" spans="1:5" x14ac:dyDescent="0.25">
      <c r="A1379" s="1">
        <v>40669</v>
      </c>
      <c r="B1379" t="s">
        <v>108</v>
      </c>
      <c r="C1379">
        <v>1</v>
      </c>
      <c r="D1379">
        <f>YEAR(cukier8[[#This Row],[data]])</f>
        <v>2011</v>
      </c>
      <c r="E1379">
        <f>VLOOKUP(cukier8[[#This Row],[rok]],$L$2:$M$11,2,FALSE)*cukier8[[#This Row],[sprzedany_cukier]]</f>
        <v>2.2000000000000002</v>
      </c>
    </row>
    <row r="1380" spans="1:5" x14ac:dyDescent="0.25">
      <c r="A1380" s="1">
        <v>40670</v>
      </c>
      <c r="B1380" t="s">
        <v>8</v>
      </c>
      <c r="C1380">
        <v>184</v>
      </c>
      <c r="D1380">
        <f>YEAR(cukier8[[#This Row],[data]])</f>
        <v>2011</v>
      </c>
      <c r="E1380">
        <f>VLOOKUP(cukier8[[#This Row],[rok]],$L$2:$M$11,2,FALSE)*cukier8[[#This Row],[sprzedany_cukier]]</f>
        <v>404.8</v>
      </c>
    </row>
    <row r="1381" spans="1:5" x14ac:dyDescent="0.25">
      <c r="A1381" s="1">
        <v>40670</v>
      </c>
      <c r="B1381" t="s">
        <v>6</v>
      </c>
      <c r="C1381">
        <v>99</v>
      </c>
      <c r="D1381">
        <f>YEAR(cukier8[[#This Row],[data]])</f>
        <v>2011</v>
      </c>
      <c r="E1381">
        <f>VLOOKUP(cukier8[[#This Row],[rok]],$L$2:$M$11,2,FALSE)*cukier8[[#This Row],[sprzedany_cukier]]</f>
        <v>217.8</v>
      </c>
    </row>
    <row r="1382" spans="1:5" x14ac:dyDescent="0.25">
      <c r="A1382" s="1">
        <v>40671</v>
      </c>
      <c r="B1382" t="s">
        <v>10</v>
      </c>
      <c r="C1382">
        <v>143</v>
      </c>
      <c r="D1382">
        <f>YEAR(cukier8[[#This Row],[data]])</f>
        <v>2011</v>
      </c>
      <c r="E1382">
        <f>VLOOKUP(cukier8[[#This Row],[rok]],$L$2:$M$11,2,FALSE)*cukier8[[#This Row],[sprzedany_cukier]]</f>
        <v>314.60000000000002</v>
      </c>
    </row>
    <row r="1383" spans="1:5" x14ac:dyDescent="0.25">
      <c r="A1383" s="1">
        <v>40672</v>
      </c>
      <c r="B1383" t="s">
        <v>30</v>
      </c>
      <c r="C1383">
        <v>184</v>
      </c>
      <c r="D1383">
        <f>YEAR(cukier8[[#This Row],[data]])</f>
        <v>2011</v>
      </c>
      <c r="E1383">
        <f>VLOOKUP(cukier8[[#This Row],[rok]],$L$2:$M$11,2,FALSE)*cukier8[[#This Row],[sprzedany_cukier]]</f>
        <v>404.8</v>
      </c>
    </row>
    <row r="1384" spans="1:5" x14ac:dyDescent="0.25">
      <c r="A1384" s="1">
        <v>40676</v>
      </c>
      <c r="B1384" t="s">
        <v>163</v>
      </c>
      <c r="C1384">
        <v>3</v>
      </c>
      <c r="D1384">
        <f>YEAR(cukier8[[#This Row],[data]])</f>
        <v>2011</v>
      </c>
      <c r="E1384">
        <f>VLOOKUP(cukier8[[#This Row],[rok]],$L$2:$M$11,2,FALSE)*cukier8[[#This Row],[sprzedany_cukier]]</f>
        <v>6.6000000000000005</v>
      </c>
    </row>
    <row r="1385" spans="1:5" x14ac:dyDescent="0.25">
      <c r="A1385" s="1">
        <v>40676</v>
      </c>
      <c r="B1385" t="s">
        <v>18</v>
      </c>
      <c r="C1385">
        <v>197</v>
      </c>
      <c r="D1385">
        <f>YEAR(cukier8[[#This Row],[data]])</f>
        <v>2011</v>
      </c>
      <c r="E1385">
        <f>VLOOKUP(cukier8[[#This Row],[rok]],$L$2:$M$11,2,FALSE)*cukier8[[#This Row],[sprzedany_cukier]]</f>
        <v>433.40000000000003</v>
      </c>
    </row>
    <row r="1386" spans="1:5" x14ac:dyDescent="0.25">
      <c r="A1386" s="1">
        <v>40680</v>
      </c>
      <c r="B1386" t="s">
        <v>4</v>
      </c>
      <c r="C1386">
        <v>18</v>
      </c>
      <c r="D1386">
        <f>YEAR(cukier8[[#This Row],[data]])</f>
        <v>2011</v>
      </c>
      <c r="E1386">
        <f>VLOOKUP(cukier8[[#This Row],[rok]],$L$2:$M$11,2,FALSE)*cukier8[[#This Row],[sprzedany_cukier]]</f>
        <v>39.6</v>
      </c>
    </row>
    <row r="1387" spans="1:5" x14ac:dyDescent="0.25">
      <c r="A1387" s="1">
        <v>40685</v>
      </c>
      <c r="B1387" t="s">
        <v>0</v>
      </c>
      <c r="C1387">
        <v>7</v>
      </c>
      <c r="D1387">
        <f>YEAR(cukier8[[#This Row],[data]])</f>
        <v>2011</v>
      </c>
      <c r="E1387">
        <f>VLOOKUP(cukier8[[#This Row],[rok]],$L$2:$M$11,2,FALSE)*cukier8[[#This Row],[sprzedany_cukier]]</f>
        <v>15.400000000000002</v>
      </c>
    </row>
    <row r="1388" spans="1:5" x14ac:dyDescent="0.25">
      <c r="A1388" s="1">
        <v>40686</v>
      </c>
      <c r="B1388" t="s">
        <v>9</v>
      </c>
      <c r="C1388">
        <v>381</v>
      </c>
      <c r="D1388">
        <f>YEAR(cukier8[[#This Row],[data]])</f>
        <v>2011</v>
      </c>
      <c r="E1388">
        <f>VLOOKUP(cukier8[[#This Row],[rok]],$L$2:$M$11,2,FALSE)*cukier8[[#This Row],[sprzedany_cukier]]</f>
        <v>838.2</v>
      </c>
    </row>
    <row r="1389" spans="1:5" x14ac:dyDescent="0.25">
      <c r="A1389" s="1">
        <v>40689</v>
      </c>
      <c r="B1389" t="s">
        <v>61</v>
      </c>
      <c r="C1389">
        <v>45</v>
      </c>
      <c r="D1389">
        <f>YEAR(cukier8[[#This Row],[data]])</f>
        <v>2011</v>
      </c>
      <c r="E1389">
        <f>VLOOKUP(cukier8[[#This Row],[rok]],$L$2:$M$11,2,FALSE)*cukier8[[#This Row],[sprzedany_cukier]]</f>
        <v>99.000000000000014</v>
      </c>
    </row>
    <row r="1390" spans="1:5" x14ac:dyDescent="0.25">
      <c r="A1390" s="1">
        <v>40691</v>
      </c>
      <c r="B1390" t="s">
        <v>17</v>
      </c>
      <c r="C1390">
        <v>499</v>
      </c>
      <c r="D1390">
        <f>YEAR(cukier8[[#This Row],[data]])</f>
        <v>2011</v>
      </c>
      <c r="E1390">
        <f>VLOOKUP(cukier8[[#This Row],[rok]],$L$2:$M$11,2,FALSE)*cukier8[[#This Row],[sprzedany_cukier]]</f>
        <v>1097.8000000000002</v>
      </c>
    </row>
    <row r="1391" spans="1:5" x14ac:dyDescent="0.25">
      <c r="A1391" s="1">
        <v>40695</v>
      </c>
      <c r="B1391" t="s">
        <v>17</v>
      </c>
      <c r="C1391">
        <v>134</v>
      </c>
      <c r="D1391">
        <f>YEAR(cukier8[[#This Row],[data]])</f>
        <v>2011</v>
      </c>
      <c r="E1391">
        <f>VLOOKUP(cukier8[[#This Row],[rok]],$L$2:$M$11,2,FALSE)*cukier8[[#This Row],[sprzedany_cukier]]</f>
        <v>294.8</v>
      </c>
    </row>
    <row r="1392" spans="1:5" x14ac:dyDescent="0.25">
      <c r="A1392" s="1">
        <v>40695</v>
      </c>
      <c r="B1392" t="s">
        <v>52</v>
      </c>
      <c r="C1392">
        <v>132</v>
      </c>
      <c r="D1392">
        <f>YEAR(cukier8[[#This Row],[data]])</f>
        <v>2011</v>
      </c>
      <c r="E1392">
        <f>VLOOKUP(cukier8[[#This Row],[rok]],$L$2:$M$11,2,FALSE)*cukier8[[#This Row],[sprzedany_cukier]]</f>
        <v>290.40000000000003</v>
      </c>
    </row>
    <row r="1393" spans="1:5" x14ac:dyDescent="0.25">
      <c r="A1393" s="1">
        <v>40696</v>
      </c>
      <c r="B1393" t="s">
        <v>19</v>
      </c>
      <c r="C1393">
        <v>180</v>
      </c>
      <c r="D1393">
        <f>YEAR(cukier8[[#This Row],[data]])</f>
        <v>2011</v>
      </c>
      <c r="E1393">
        <f>VLOOKUP(cukier8[[#This Row],[rok]],$L$2:$M$11,2,FALSE)*cukier8[[#This Row],[sprzedany_cukier]]</f>
        <v>396.00000000000006</v>
      </c>
    </row>
    <row r="1394" spans="1:5" x14ac:dyDescent="0.25">
      <c r="A1394" s="1">
        <v>40699</v>
      </c>
      <c r="B1394" t="s">
        <v>221</v>
      </c>
      <c r="C1394">
        <v>5</v>
      </c>
      <c r="D1394">
        <f>YEAR(cukier8[[#This Row],[data]])</f>
        <v>2011</v>
      </c>
      <c r="E1394">
        <f>VLOOKUP(cukier8[[#This Row],[rok]],$L$2:$M$11,2,FALSE)*cukier8[[#This Row],[sprzedany_cukier]]</f>
        <v>11</v>
      </c>
    </row>
    <row r="1395" spans="1:5" x14ac:dyDescent="0.25">
      <c r="A1395" s="1">
        <v>40701</v>
      </c>
      <c r="B1395" t="s">
        <v>24</v>
      </c>
      <c r="C1395">
        <v>110</v>
      </c>
      <c r="D1395">
        <f>YEAR(cukier8[[#This Row],[data]])</f>
        <v>2011</v>
      </c>
      <c r="E1395">
        <f>VLOOKUP(cukier8[[#This Row],[rok]],$L$2:$M$11,2,FALSE)*cukier8[[#This Row],[sprzedany_cukier]]</f>
        <v>242.00000000000003</v>
      </c>
    </row>
    <row r="1396" spans="1:5" x14ac:dyDescent="0.25">
      <c r="A1396" s="1">
        <v>40702</v>
      </c>
      <c r="B1396" t="s">
        <v>52</v>
      </c>
      <c r="C1396">
        <v>54</v>
      </c>
      <c r="D1396">
        <f>YEAR(cukier8[[#This Row],[data]])</f>
        <v>2011</v>
      </c>
      <c r="E1396">
        <f>VLOOKUP(cukier8[[#This Row],[rok]],$L$2:$M$11,2,FALSE)*cukier8[[#This Row],[sprzedany_cukier]]</f>
        <v>118.80000000000001</v>
      </c>
    </row>
    <row r="1397" spans="1:5" x14ac:dyDescent="0.25">
      <c r="A1397" s="1">
        <v>40703</v>
      </c>
      <c r="B1397" t="s">
        <v>209</v>
      </c>
      <c r="C1397">
        <v>6</v>
      </c>
      <c r="D1397">
        <f>YEAR(cukier8[[#This Row],[data]])</f>
        <v>2011</v>
      </c>
      <c r="E1397">
        <f>VLOOKUP(cukier8[[#This Row],[rok]],$L$2:$M$11,2,FALSE)*cukier8[[#This Row],[sprzedany_cukier]]</f>
        <v>13.200000000000001</v>
      </c>
    </row>
    <row r="1398" spans="1:5" x14ac:dyDescent="0.25">
      <c r="A1398" s="1">
        <v>40704</v>
      </c>
      <c r="B1398" t="s">
        <v>50</v>
      </c>
      <c r="C1398">
        <v>476</v>
      </c>
      <c r="D1398">
        <f>YEAR(cukier8[[#This Row],[data]])</f>
        <v>2011</v>
      </c>
      <c r="E1398">
        <f>VLOOKUP(cukier8[[#This Row],[rok]],$L$2:$M$11,2,FALSE)*cukier8[[#This Row],[sprzedany_cukier]]</f>
        <v>1047.2</v>
      </c>
    </row>
    <row r="1399" spans="1:5" x14ac:dyDescent="0.25">
      <c r="A1399" s="1">
        <v>40704</v>
      </c>
      <c r="B1399" t="s">
        <v>19</v>
      </c>
      <c r="C1399">
        <v>104</v>
      </c>
      <c r="D1399">
        <f>YEAR(cukier8[[#This Row],[data]])</f>
        <v>2011</v>
      </c>
      <c r="E1399">
        <f>VLOOKUP(cukier8[[#This Row],[rok]],$L$2:$M$11,2,FALSE)*cukier8[[#This Row],[sprzedany_cukier]]</f>
        <v>228.8</v>
      </c>
    </row>
    <row r="1400" spans="1:5" x14ac:dyDescent="0.25">
      <c r="A1400" s="1">
        <v>40704</v>
      </c>
      <c r="B1400" t="s">
        <v>31</v>
      </c>
      <c r="C1400">
        <v>104</v>
      </c>
      <c r="D1400">
        <f>YEAR(cukier8[[#This Row],[data]])</f>
        <v>2011</v>
      </c>
      <c r="E1400">
        <f>VLOOKUP(cukier8[[#This Row],[rok]],$L$2:$M$11,2,FALSE)*cukier8[[#This Row],[sprzedany_cukier]]</f>
        <v>228.8</v>
      </c>
    </row>
    <row r="1401" spans="1:5" x14ac:dyDescent="0.25">
      <c r="A1401" s="1">
        <v>40706</v>
      </c>
      <c r="B1401" t="s">
        <v>18</v>
      </c>
      <c r="C1401">
        <v>47</v>
      </c>
      <c r="D1401">
        <f>YEAR(cukier8[[#This Row],[data]])</f>
        <v>2011</v>
      </c>
      <c r="E1401">
        <f>VLOOKUP(cukier8[[#This Row],[rok]],$L$2:$M$11,2,FALSE)*cukier8[[#This Row],[sprzedany_cukier]]</f>
        <v>103.4</v>
      </c>
    </row>
    <row r="1402" spans="1:5" x14ac:dyDescent="0.25">
      <c r="A1402" s="1">
        <v>40706</v>
      </c>
      <c r="B1402" t="s">
        <v>35</v>
      </c>
      <c r="C1402">
        <v>127</v>
      </c>
      <c r="D1402">
        <f>YEAR(cukier8[[#This Row],[data]])</f>
        <v>2011</v>
      </c>
      <c r="E1402">
        <f>VLOOKUP(cukier8[[#This Row],[rok]],$L$2:$M$11,2,FALSE)*cukier8[[#This Row],[sprzedany_cukier]]</f>
        <v>279.40000000000003</v>
      </c>
    </row>
    <row r="1403" spans="1:5" x14ac:dyDescent="0.25">
      <c r="A1403" s="1">
        <v>40708</v>
      </c>
      <c r="B1403" t="s">
        <v>25</v>
      </c>
      <c r="C1403">
        <v>143</v>
      </c>
      <c r="D1403">
        <f>YEAR(cukier8[[#This Row],[data]])</f>
        <v>2011</v>
      </c>
      <c r="E1403">
        <f>VLOOKUP(cukier8[[#This Row],[rok]],$L$2:$M$11,2,FALSE)*cukier8[[#This Row],[sprzedany_cukier]]</f>
        <v>314.60000000000002</v>
      </c>
    </row>
    <row r="1404" spans="1:5" x14ac:dyDescent="0.25">
      <c r="A1404" s="1">
        <v>40711</v>
      </c>
      <c r="B1404" t="s">
        <v>58</v>
      </c>
      <c r="C1404">
        <v>181</v>
      </c>
      <c r="D1404">
        <f>YEAR(cukier8[[#This Row],[data]])</f>
        <v>2011</v>
      </c>
      <c r="E1404">
        <f>VLOOKUP(cukier8[[#This Row],[rok]],$L$2:$M$11,2,FALSE)*cukier8[[#This Row],[sprzedany_cukier]]</f>
        <v>398.20000000000005</v>
      </c>
    </row>
    <row r="1405" spans="1:5" x14ac:dyDescent="0.25">
      <c r="A1405" s="1">
        <v>40714</v>
      </c>
      <c r="B1405" t="s">
        <v>19</v>
      </c>
      <c r="C1405">
        <v>139</v>
      </c>
      <c r="D1405">
        <f>YEAR(cukier8[[#This Row],[data]])</f>
        <v>2011</v>
      </c>
      <c r="E1405">
        <f>VLOOKUP(cukier8[[#This Row],[rok]],$L$2:$M$11,2,FALSE)*cukier8[[#This Row],[sprzedany_cukier]]</f>
        <v>305.8</v>
      </c>
    </row>
    <row r="1406" spans="1:5" x14ac:dyDescent="0.25">
      <c r="A1406" s="1">
        <v>40717</v>
      </c>
      <c r="B1406" t="s">
        <v>52</v>
      </c>
      <c r="C1406">
        <v>187</v>
      </c>
      <c r="D1406">
        <f>YEAR(cukier8[[#This Row],[data]])</f>
        <v>2011</v>
      </c>
      <c r="E1406">
        <f>VLOOKUP(cukier8[[#This Row],[rok]],$L$2:$M$11,2,FALSE)*cukier8[[#This Row],[sprzedany_cukier]]</f>
        <v>411.40000000000003</v>
      </c>
    </row>
    <row r="1407" spans="1:5" x14ac:dyDescent="0.25">
      <c r="A1407" s="1">
        <v>40717</v>
      </c>
      <c r="B1407" t="s">
        <v>201</v>
      </c>
      <c r="C1407">
        <v>11</v>
      </c>
      <c r="D1407">
        <f>YEAR(cukier8[[#This Row],[data]])</f>
        <v>2011</v>
      </c>
      <c r="E1407">
        <f>VLOOKUP(cukier8[[#This Row],[rok]],$L$2:$M$11,2,FALSE)*cukier8[[#This Row],[sprzedany_cukier]]</f>
        <v>24.200000000000003</v>
      </c>
    </row>
    <row r="1408" spans="1:5" x14ac:dyDescent="0.25">
      <c r="A1408" s="1">
        <v>40718</v>
      </c>
      <c r="B1408" t="s">
        <v>55</v>
      </c>
      <c r="C1408">
        <v>170</v>
      </c>
      <c r="D1408">
        <f>YEAR(cukier8[[#This Row],[data]])</f>
        <v>2011</v>
      </c>
      <c r="E1408">
        <f>VLOOKUP(cukier8[[#This Row],[rok]],$L$2:$M$11,2,FALSE)*cukier8[[#This Row],[sprzedany_cukier]]</f>
        <v>374.00000000000006</v>
      </c>
    </row>
    <row r="1409" spans="1:5" x14ac:dyDescent="0.25">
      <c r="A1409" s="1">
        <v>40723</v>
      </c>
      <c r="B1409" t="s">
        <v>116</v>
      </c>
      <c r="C1409">
        <v>7</v>
      </c>
      <c r="D1409">
        <f>YEAR(cukier8[[#This Row],[data]])</f>
        <v>2011</v>
      </c>
      <c r="E1409">
        <f>VLOOKUP(cukier8[[#This Row],[rok]],$L$2:$M$11,2,FALSE)*cukier8[[#This Row],[sprzedany_cukier]]</f>
        <v>15.400000000000002</v>
      </c>
    </row>
    <row r="1410" spans="1:5" x14ac:dyDescent="0.25">
      <c r="A1410" s="1">
        <v>40727</v>
      </c>
      <c r="B1410" t="s">
        <v>12</v>
      </c>
      <c r="C1410">
        <v>168</v>
      </c>
      <c r="D1410">
        <f>YEAR(cukier8[[#This Row],[data]])</f>
        <v>2011</v>
      </c>
      <c r="E1410">
        <f>VLOOKUP(cukier8[[#This Row],[rok]],$L$2:$M$11,2,FALSE)*cukier8[[#This Row],[sprzedany_cukier]]</f>
        <v>369.6</v>
      </c>
    </row>
    <row r="1411" spans="1:5" x14ac:dyDescent="0.25">
      <c r="A1411" s="1">
        <v>40727</v>
      </c>
      <c r="B1411" t="s">
        <v>205</v>
      </c>
      <c r="C1411">
        <v>4</v>
      </c>
      <c r="D1411">
        <f>YEAR(cukier8[[#This Row],[data]])</f>
        <v>2011</v>
      </c>
      <c r="E1411">
        <f>VLOOKUP(cukier8[[#This Row],[rok]],$L$2:$M$11,2,FALSE)*cukier8[[#This Row],[sprzedany_cukier]]</f>
        <v>8.8000000000000007</v>
      </c>
    </row>
    <row r="1412" spans="1:5" x14ac:dyDescent="0.25">
      <c r="A1412" s="1">
        <v>40727</v>
      </c>
      <c r="B1412" t="s">
        <v>9</v>
      </c>
      <c r="C1412">
        <v>145</v>
      </c>
      <c r="D1412">
        <f>YEAR(cukier8[[#This Row],[data]])</f>
        <v>2011</v>
      </c>
      <c r="E1412">
        <f>VLOOKUP(cukier8[[#This Row],[rok]],$L$2:$M$11,2,FALSE)*cukier8[[#This Row],[sprzedany_cukier]]</f>
        <v>319</v>
      </c>
    </row>
    <row r="1413" spans="1:5" x14ac:dyDescent="0.25">
      <c r="A1413" s="1">
        <v>40730</v>
      </c>
      <c r="B1413" t="s">
        <v>19</v>
      </c>
      <c r="C1413">
        <v>103</v>
      </c>
      <c r="D1413">
        <f>YEAR(cukier8[[#This Row],[data]])</f>
        <v>2011</v>
      </c>
      <c r="E1413">
        <f>VLOOKUP(cukier8[[#This Row],[rok]],$L$2:$M$11,2,FALSE)*cukier8[[#This Row],[sprzedany_cukier]]</f>
        <v>226.60000000000002</v>
      </c>
    </row>
    <row r="1414" spans="1:5" x14ac:dyDescent="0.25">
      <c r="A1414" s="1">
        <v>40732</v>
      </c>
      <c r="B1414" t="s">
        <v>17</v>
      </c>
      <c r="C1414">
        <v>101</v>
      </c>
      <c r="D1414">
        <f>YEAR(cukier8[[#This Row],[data]])</f>
        <v>2011</v>
      </c>
      <c r="E1414">
        <f>VLOOKUP(cukier8[[#This Row],[rok]],$L$2:$M$11,2,FALSE)*cukier8[[#This Row],[sprzedany_cukier]]</f>
        <v>222.20000000000002</v>
      </c>
    </row>
    <row r="1415" spans="1:5" x14ac:dyDescent="0.25">
      <c r="A1415" s="1">
        <v>40733</v>
      </c>
      <c r="B1415" t="s">
        <v>35</v>
      </c>
      <c r="C1415">
        <v>141</v>
      </c>
      <c r="D1415">
        <f>YEAR(cukier8[[#This Row],[data]])</f>
        <v>2011</v>
      </c>
      <c r="E1415">
        <f>VLOOKUP(cukier8[[#This Row],[rok]],$L$2:$M$11,2,FALSE)*cukier8[[#This Row],[sprzedany_cukier]]</f>
        <v>310.20000000000005</v>
      </c>
    </row>
    <row r="1416" spans="1:5" x14ac:dyDescent="0.25">
      <c r="A1416" s="1">
        <v>40733</v>
      </c>
      <c r="B1416" t="s">
        <v>194</v>
      </c>
      <c r="C1416">
        <v>6</v>
      </c>
      <c r="D1416">
        <f>YEAR(cukier8[[#This Row],[data]])</f>
        <v>2011</v>
      </c>
      <c r="E1416">
        <f>VLOOKUP(cukier8[[#This Row],[rok]],$L$2:$M$11,2,FALSE)*cukier8[[#This Row],[sprzedany_cukier]]</f>
        <v>13.200000000000001</v>
      </c>
    </row>
    <row r="1417" spans="1:5" x14ac:dyDescent="0.25">
      <c r="A1417" s="1">
        <v>40733</v>
      </c>
      <c r="B1417" t="s">
        <v>178</v>
      </c>
      <c r="C1417">
        <v>16</v>
      </c>
      <c r="D1417">
        <f>YEAR(cukier8[[#This Row],[data]])</f>
        <v>2011</v>
      </c>
      <c r="E1417">
        <f>VLOOKUP(cukier8[[#This Row],[rok]],$L$2:$M$11,2,FALSE)*cukier8[[#This Row],[sprzedany_cukier]]</f>
        <v>35.200000000000003</v>
      </c>
    </row>
    <row r="1418" spans="1:5" x14ac:dyDescent="0.25">
      <c r="A1418" s="1">
        <v>40735</v>
      </c>
      <c r="B1418" t="s">
        <v>17</v>
      </c>
      <c r="C1418">
        <v>276</v>
      </c>
      <c r="D1418">
        <f>YEAR(cukier8[[#This Row],[data]])</f>
        <v>2011</v>
      </c>
      <c r="E1418">
        <f>VLOOKUP(cukier8[[#This Row],[rok]],$L$2:$M$11,2,FALSE)*cukier8[[#This Row],[sprzedany_cukier]]</f>
        <v>607.20000000000005</v>
      </c>
    </row>
    <row r="1419" spans="1:5" x14ac:dyDescent="0.25">
      <c r="A1419" s="1">
        <v>40736</v>
      </c>
      <c r="B1419" t="s">
        <v>102</v>
      </c>
      <c r="C1419">
        <v>329</v>
      </c>
      <c r="D1419">
        <f>YEAR(cukier8[[#This Row],[data]])</f>
        <v>2011</v>
      </c>
      <c r="E1419">
        <f>VLOOKUP(cukier8[[#This Row],[rok]],$L$2:$M$11,2,FALSE)*cukier8[[#This Row],[sprzedany_cukier]]</f>
        <v>723.80000000000007</v>
      </c>
    </row>
    <row r="1420" spans="1:5" x14ac:dyDescent="0.25">
      <c r="A1420" s="1">
        <v>40737</v>
      </c>
      <c r="B1420" t="s">
        <v>52</v>
      </c>
      <c r="C1420">
        <v>200</v>
      </c>
      <c r="D1420">
        <f>YEAR(cukier8[[#This Row],[data]])</f>
        <v>2011</v>
      </c>
      <c r="E1420">
        <f>VLOOKUP(cukier8[[#This Row],[rok]],$L$2:$M$11,2,FALSE)*cukier8[[#This Row],[sprzedany_cukier]]</f>
        <v>440.00000000000006</v>
      </c>
    </row>
    <row r="1421" spans="1:5" x14ac:dyDescent="0.25">
      <c r="A1421" s="1">
        <v>40740</v>
      </c>
      <c r="B1421" t="s">
        <v>10</v>
      </c>
      <c r="C1421">
        <v>82</v>
      </c>
      <c r="D1421">
        <f>YEAR(cukier8[[#This Row],[data]])</f>
        <v>2011</v>
      </c>
      <c r="E1421">
        <f>VLOOKUP(cukier8[[#This Row],[rok]],$L$2:$M$11,2,FALSE)*cukier8[[#This Row],[sprzedany_cukier]]</f>
        <v>180.4</v>
      </c>
    </row>
    <row r="1422" spans="1:5" x14ac:dyDescent="0.25">
      <c r="A1422" s="1">
        <v>40740</v>
      </c>
      <c r="B1422" t="s">
        <v>37</v>
      </c>
      <c r="C1422">
        <v>66</v>
      </c>
      <c r="D1422">
        <f>YEAR(cukier8[[#This Row],[data]])</f>
        <v>2011</v>
      </c>
      <c r="E1422">
        <f>VLOOKUP(cukier8[[#This Row],[rok]],$L$2:$M$11,2,FALSE)*cukier8[[#This Row],[sprzedany_cukier]]</f>
        <v>145.20000000000002</v>
      </c>
    </row>
    <row r="1423" spans="1:5" x14ac:dyDescent="0.25">
      <c r="A1423" s="1">
        <v>40745</v>
      </c>
      <c r="B1423" t="s">
        <v>22</v>
      </c>
      <c r="C1423">
        <v>150</v>
      </c>
      <c r="D1423">
        <f>YEAR(cukier8[[#This Row],[data]])</f>
        <v>2011</v>
      </c>
      <c r="E1423">
        <f>VLOOKUP(cukier8[[#This Row],[rok]],$L$2:$M$11,2,FALSE)*cukier8[[#This Row],[sprzedany_cukier]]</f>
        <v>330</v>
      </c>
    </row>
    <row r="1424" spans="1:5" x14ac:dyDescent="0.25">
      <c r="A1424" s="1">
        <v>40745</v>
      </c>
      <c r="B1424" t="s">
        <v>69</v>
      </c>
      <c r="C1424">
        <v>63</v>
      </c>
      <c r="D1424">
        <f>YEAR(cukier8[[#This Row],[data]])</f>
        <v>2011</v>
      </c>
      <c r="E1424">
        <f>VLOOKUP(cukier8[[#This Row],[rok]],$L$2:$M$11,2,FALSE)*cukier8[[#This Row],[sprzedany_cukier]]</f>
        <v>138.60000000000002</v>
      </c>
    </row>
    <row r="1425" spans="1:5" x14ac:dyDescent="0.25">
      <c r="A1425" s="1">
        <v>40746</v>
      </c>
      <c r="B1425" t="s">
        <v>66</v>
      </c>
      <c r="C1425">
        <v>120</v>
      </c>
      <c r="D1425">
        <f>YEAR(cukier8[[#This Row],[data]])</f>
        <v>2011</v>
      </c>
      <c r="E1425">
        <f>VLOOKUP(cukier8[[#This Row],[rok]],$L$2:$M$11,2,FALSE)*cukier8[[#This Row],[sprzedany_cukier]]</f>
        <v>264</v>
      </c>
    </row>
    <row r="1426" spans="1:5" x14ac:dyDescent="0.25">
      <c r="A1426" s="1">
        <v>40747</v>
      </c>
      <c r="B1426" t="s">
        <v>7</v>
      </c>
      <c r="C1426">
        <v>155</v>
      </c>
      <c r="D1426">
        <f>YEAR(cukier8[[#This Row],[data]])</f>
        <v>2011</v>
      </c>
      <c r="E1426">
        <f>VLOOKUP(cukier8[[#This Row],[rok]],$L$2:$M$11,2,FALSE)*cukier8[[#This Row],[sprzedany_cukier]]</f>
        <v>341</v>
      </c>
    </row>
    <row r="1427" spans="1:5" x14ac:dyDescent="0.25">
      <c r="A1427" s="1">
        <v>40748</v>
      </c>
      <c r="B1427" t="s">
        <v>19</v>
      </c>
      <c r="C1427">
        <v>30</v>
      </c>
      <c r="D1427">
        <f>YEAR(cukier8[[#This Row],[data]])</f>
        <v>2011</v>
      </c>
      <c r="E1427">
        <f>VLOOKUP(cukier8[[#This Row],[rok]],$L$2:$M$11,2,FALSE)*cukier8[[#This Row],[sprzedany_cukier]]</f>
        <v>66</v>
      </c>
    </row>
    <row r="1428" spans="1:5" x14ac:dyDescent="0.25">
      <c r="A1428" s="1">
        <v>40748</v>
      </c>
      <c r="B1428" t="s">
        <v>71</v>
      </c>
      <c r="C1428">
        <v>34</v>
      </c>
      <c r="D1428">
        <f>YEAR(cukier8[[#This Row],[data]])</f>
        <v>2011</v>
      </c>
      <c r="E1428">
        <f>VLOOKUP(cukier8[[#This Row],[rok]],$L$2:$M$11,2,FALSE)*cukier8[[#This Row],[sprzedany_cukier]]</f>
        <v>74.800000000000011</v>
      </c>
    </row>
    <row r="1429" spans="1:5" x14ac:dyDescent="0.25">
      <c r="A1429" s="1">
        <v>40753</v>
      </c>
      <c r="B1429" t="s">
        <v>12</v>
      </c>
      <c r="C1429">
        <v>30</v>
      </c>
      <c r="D1429">
        <f>YEAR(cukier8[[#This Row],[data]])</f>
        <v>2011</v>
      </c>
      <c r="E1429">
        <f>VLOOKUP(cukier8[[#This Row],[rok]],$L$2:$M$11,2,FALSE)*cukier8[[#This Row],[sprzedany_cukier]]</f>
        <v>66</v>
      </c>
    </row>
    <row r="1430" spans="1:5" x14ac:dyDescent="0.25">
      <c r="A1430" s="1">
        <v>40753</v>
      </c>
      <c r="B1430" t="s">
        <v>6</v>
      </c>
      <c r="C1430">
        <v>162</v>
      </c>
      <c r="D1430">
        <f>YEAR(cukier8[[#This Row],[data]])</f>
        <v>2011</v>
      </c>
      <c r="E1430">
        <f>VLOOKUP(cukier8[[#This Row],[rok]],$L$2:$M$11,2,FALSE)*cukier8[[#This Row],[sprzedany_cukier]]</f>
        <v>356.40000000000003</v>
      </c>
    </row>
    <row r="1431" spans="1:5" x14ac:dyDescent="0.25">
      <c r="A1431" s="1">
        <v>40754</v>
      </c>
      <c r="B1431" t="s">
        <v>63</v>
      </c>
      <c r="C1431">
        <v>71</v>
      </c>
      <c r="D1431">
        <f>YEAR(cukier8[[#This Row],[data]])</f>
        <v>2011</v>
      </c>
      <c r="E1431">
        <f>VLOOKUP(cukier8[[#This Row],[rok]],$L$2:$M$11,2,FALSE)*cukier8[[#This Row],[sprzedany_cukier]]</f>
        <v>156.20000000000002</v>
      </c>
    </row>
    <row r="1432" spans="1:5" x14ac:dyDescent="0.25">
      <c r="A1432" s="1">
        <v>40755</v>
      </c>
      <c r="B1432" t="s">
        <v>155</v>
      </c>
      <c r="C1432">
        <v>16</v>
      </c>
      <c r="D1432">
        <f>YEAR(cukier8[[#This Row],[data]])</f>
        <v>2011</v>
      </c>
      <c r="E1432">
        <f>VLOOKUP(cukier8[[#This Row],[rok]],$L$2:$M$11,2,FALSE)*cukier8[[#This Row],[sprzedany_cukier]]</f>
        <v>35.200000000000003</v>
      </c>
    </row>
    <row r="1433" spans="1:5" x14ac:dyDescent="0.25">
      <c r="A1433" s="1">
        <v>40759</v>
      </c>
      <c r="B1433" t="s">
        <v>35</v>
      </c>
      <c r="C1433">
        <v>165</v>
      </c>
      <c r="D1433">
        <f>YEAR(cukier8[[#This Row],[data]])</f>
        <v>2011</v>
      </c>
      <c r="E1433">
        <f>VLOOKUP(cukier8[[#This Row],[rok]],$L$2:$M$11,2,FALSE)*cukier8[[#This Row],[sprzedany_cukier]]</f>
        <v>363.00000000000006</v>
      </c>
    </row>
    <row r="1434" spans="1:5" x14ac:dyDescent="0.25">
      <c r="A1434" s="1">
        <v>40760</v>
      </c>
      <c r="B1434" t="s">
        <v>35</v>
      </c>
      <c r="C1434">
        <v>180</v>
      </c>
      <c r="D1434">
        <f>YEAR(cukier8[[#This Row],[data]])</f>
        <v>2011</v>
      </c>
      <c r="E1434">
        <f>VLOOKUP(cukier8[[#This Row],[rok]],$L$2:$M$11,2,FALSE)*cukier8[[#This Row],[sprzedany_cukier]]</f>
        <v>396.00000000000006</v>
      </c>
    </row>
    <row r="1435" spans="1:5" x14ac:dyDescent="0.25">
      <c r="A1435" s="1">
        <v>40761</v>
      </c>
      <c r="B1435" t="s">
        <v>84</v>
      </c>
      <c r="C1435">
        <v>2</v>
      </c>
      <c r="D1435">
        <f>YEAR(cukier8[[#This Row],[data]])</f>
        <v>2011</v>
      </c>
      <c r="E1435">
        <f>VLOOKUP(cukier8[[#This Row],[rok]],$L$2:$M$11,2,FALSE)*cukier8[[#This Row],[sprzedany_cukier]]</f>
        <v>4.4000000000000004</v>
      </c>
    </row>
    <row r="1436" spans="1:5" x14ac:dyDescent="0.25">
      <c r="A1436" s="1">
        <v>40766</v>
      </c>
      <c r="B1436" t="s">
        <v>37</v>
      </c>
      <c r="C1436">
        <v>111</v>
      </c>
      <c r="D1436">
        <f>YEAR(cukier8[[#This Row],[data]])</f>
        <v>2011</v>
      </c>
      <c r="E1436">
        <f>VLOOKUP(cukier8[[#This Row],[rok]],$L$2:$M$11,2,FALSE)*cukier8[[#This Row],[sprzedany_cukier]]</f>
        <v>244.20000000000002</v>
      </c>
    </row>
    <row r="1437" spans="1:5" x14ac:dyDescent="0.25">
      <c r="A1437" s="1">
        <v>40767</v>
      </c>
      <c r="B1437" t="s">
        <v>35</v>
      </c>
      <c r="C1437">
        <v>128</v>
      </c>
      <c r="D1437">
        <f>YEAR(cukier8[[#This Row],[data]])</f>
        <v>2011</v>
      </c>
      <c r="E1437">
        <f>VLOOKUP(cukier8[[#This Row],[rok]],$L$2:$M$11,2,FALSE)*cukier8[[#This Row],[sprzedany_cukier]]</f>
        <v>281.60000000000002</v>
      </c>
    </row>
    <row r="1438" spans="1:5" x14ac:dyDescent="0.25">
      <c r="A1438" s="1">
        <v>40768</v>
      </c>
      <c r="B1438" t="s">
        <v>110</v>
      </c>
      <c r="C1438">
        <v>7</v>
      </c>
      <c r="D1438">
        <f>YEAR(cukier8[[#This Row],[data]])</f>
        <v>2011</v>
      </c>
      <c r="E1438">
        <f>VLOOKUP(cukier8[[#This Row],[rok]],$L$2:$M$11,2,FALSE)*cukier8[[#This Row],[sprzedany_cukier]]</f>
        <v>15.400000000000002</v>
      </c>
    </row>
    <row r="1439" spans="1:5" x14ac:dyDescent="0.25">
      <c r="A1439" s="1">
        <v>40768</v>
      </c>
      <c r="B1439" t="s">
        <v>9</v>
      </c>
      <c r="C1439">
        <v>211</v>
      </c>
      <c r="D1439">
        <f>YEAR(cukier8[[#This Row],[data]])</f>
        <v>2011</v>
      </c>
      <c r="E1439">
        <f>VLOOKUP(cukier8[[#This Row],[rok]],$L$2:$M$11,2,FALSE)*cukier8[[#This Row],[sprzedany_cukier]]</f>
        <v>464.20000000000005</v>
      </c>
    </row>
    <row r="1440" spans="1:5" x14ac:dyDescent="0.25">
      <c r="A1440" s="1">
        <v>40768</v>
      </c>
      <c r="B1440" t="s">
        <v>6</v>
      </c>
      <c r="C1440">
        <v>184</v>
      </c>
      <c r="D1440">
        <f>YEAR(cukier8[[#This Row],[data]])</f>
        <v>2011</v>
      </c>
      <c r="E1440">
        <f>VLOOKUP(cukier8[[#This Row],[rok]],$L$2:$M$11,2,FALSE)*cukier8[[#This Row],[sprzedany_cukier]]</f>
        <v>404.8</v>
      </c>
    </row>
    <row r="1441" spans="1:5" x14ac:dyDescent="0.25">
      <c r="A1441" s="1">
        <v>40771</v>
      </c>
      <c r="B1441" t="s">
        <v>14</v>
      </c>
      <c r="C1441">
        <v>450</v>
      </c>
      <c r="D1441">
        <f>YEAR(cukier8[[#This Row],[data]])</f>
        <v>2011</v>
      </c>
      <c r="E1441">
        <f>VLOOKUP(cukier8[[#This Row],[rok]],$L$2:$M$11,2,FALSE)*cukier8[[#This Row],[sprzedany_cukier]]</f>
        <v>990.00000000000011</v>
      </c>
    </row>
    <row r="1442" spans="1:5" x14ac:dyDescent="0.25">
      <c r="A1442" s="1">
        <v>40771</v>
      </c>
      <c r="B1442" t="s">
        <v>120</v>
      </c>
      <c r="C1442">
        <v>140</v>
      </c>
      <c r="D1442">
        <f>YEAR(cukier8[[#This Row],[data]])</f>
        <v>2011</v>
      </c>
      <c r="E1442">
        <f>VLOOKUP(cukier8[[#This Row],[rok]],$L$2:$M$11,2,FALSE)*cukier8[[#This Row],[sprzedany_cukier]]</f>
        <v>308</v>
      </c>
    </row>
    <row r="1443" spans="1:5" x14ac:dyDescent="0.25">
      <c r="A1443" s="1">
        <v>40775</v>
      </c>
      <c r="B1443" t="s">
        <v>8</v>
      </c>
      <c r="C1443">
        <v>52</v>
      </c>
      <c r="D1443">
        <f>YEAR(cukier8[[#This Row],[data]])</f>
        <v>2011</v>
      </c>
      <c r="E1443">
        <f>VLOOKUP(cukier8[[#This Row],[rok]],$L$2:$M$11,2,FALSE)*cukier8[[#This Row],[sprzedany_cukier]]</f>
        <v>114.4</v>
      </c>
    </row>
    <row r="1444" spans="1:5" x14ac:dyDescent="0.25">
      <c r="A1444" s="1">
        <v>40777</v>
      </c>
      <c r="B1444" t="s">
        <v>181</v>
      </c>
      <c r="C1444">
        <v>2</v>
      </c>
      <c r="D1444">
        <f>YEAR(cukier8[[#This Row],[data]])</f>
        <v>2011</v>
      </c>
      <c r="E1444">
        <f>VLOOKUP(cukier8[[#This Row],[rok]],$L$2:$M$11,2,FALSE)*cukier8[[#This Row],[sprzedany_cukier]]</f>
        <v>4.4000000000000004</v>
      </c>
    </row>
    <row r="1445" spans="1:5" x14ac:dyDescent="0.25">
      <c r="A1445" s="1">
        <v>40777</v>
      </c>
      <c r="B1445" t="s">
        <v>96</v>
      </c>
      <c r="C1445">
        <v>13</v>
      </c>
      <c r="D1445">
        <f>YEAR(cukier8[[#This Row],[data]])</f>
        <v>2011</v>
      </c>
      <c r="E1445">
        <f>VLOOKUP(cukier8[[#This Row],[rok]],$L$2:$M$11,2,FALSE)*cukier8[[#This Row],[sprzedany_cukier]]</f>
        <v>28.6</v>
      </c>
    </row>
    <row r="1446" spans="1:5" x14ac:dyDescent="0.25">
      <c r="A1446" s="1">
        <v>40777</v>
      </c>
      <c r="B1446" t="s">
        <v>37</v>
      </c>
      <c r="C1446">
        <v>73</v>
      </c>
      <c r="D1446">
        <f>YEAR(cukier8[[#This Row],[data]])</f>
        <v>2011</v>
      </c>
      <c r="E1446">
        <f>VLOOKUP(cukier8[[#This Row],[rok]],$L$2:$M$11,2,FALSE)*cukier8[[#This Row],[sprzedany_cukier]]</f>
        <v>160.60000000000002</v>
      </c>
    </row>
    <row r="1447" spans="1:5" x14ac:dyDescent="0.25">
      <c r="A1447" s="1">
        <v>40781</v>
      </c>
      <c r="B1447" t="s">
        <v>18</v>
      </c>
      <c r="C1447">
        <v>123</v>
      </c>
      <c r="D1447">
        <f>YEAR(cukier8[[#This Row],[data]])</f>
        <v>2011</v>
      </c>
      <c r="E1447">
        <f>VLOOKUP(cukier8[[#This Row],[rok]],$L$2:$M$11,2,FALSE)*cukier8[[#This Row],[sprzedany_cukier]]</f>
        <v>270.60000000000002</v>
      </c>
    </row>
    <row r="1448" spans="1:5" x14ac:dyDescent="0.25">
      <c r="A1448" s="1">
        <v>40783</v>
      </c>
      <c r="B1448" t="s">
        <v>68</v>
      </c>
      <c r="C1448">
        <v>3</v>
      </c>
      <c r="D1448">
        <f>YEAR(cukier8[[#This Row],[data]])</f>
        <v>2011</v>
      </c>
      <c r="E1448">
        <f>VLOOKUP(cukier8[[#This Row],[rok]],$L$2:$M$11,2,FALSE)*cukier8[[#This Row],[sprzedany_cukier]]</f>
        <v>6.6000000000000005</v>
      </c>
    </row>
    <row r="1449" spans="1:5" x14ac:dyDescent="0.25">
      <c r="A1449" s="1">
        <v>40784</v>
      </c>
      <c r="B1449" t="s">
        <v>12</v>
      </c>
      <c r="C1449">
        <v>93</v>
      </c>
      <c r="D1449">
        <f>YEAR(cukier8[[#This Row],[data]])</f>
        <v>2011</v>
      </c>
      <c r="E1449">
        <f>VLOOKUP(cukier8[[#This Row],[rok]],$L$2:$M$11,2,FALSE)*cukier8[[#This Row],[sprzedany_cukier]]</f>
        <v>204.60000000000002</v>
      </c>
    </row>
    <row r="1450" spans="1:5" x14ac:dyDescent="0.25">
      <c r="A1450" s="1">
        <v>40789</v>
      </c>
      <c r="B1450" t="s">
        <v>24</v>
      </c>
      <c r="C1450">
        <v>310</v>
      </c>
      <c r="D1450">
        <f>YEAR(cukier8[[#This Row],[data]])</f>
        <v>2011</v>
      </c>
      <c r="E1450">
        <f>VLOOKUP(cukier8[[#This Row],[rok]],$L$2:$M$11,2,FALSE)*cukier8[[#This Row],[sprzedany_cukier]]</f>
        <v>682</v>
      </c>
    </row>
    <row r="1451" spans="1:5" x14ac:dyDescent="0.25">
      <c r="A1451" s="1">
        <v>40789</v>
      </c>
      <c r="B1451" t="s">
        <v>6</v>
      </c>
      <c r="C1451">
        <v>77</v>
      </c>
      <c r="D1451">
        <f>YEAR(cukier8[[#This Row],[data]])</f>
        <v>2011</v>
      </c>
      <c r="E1451">
        <f>VLOOKUP(cukier8[[#This Row],[rok]],$L$2:$M$11,2,FALSE)*cukier8[[#This Row],[sprzedany_cukier]]</f>
        <v>169.4</v>
      </c>
    </row>
    <row r="1452" spans="1:5" x14ac:dyDescent="0.25">
      <c r="A1452" s="1">
        <v>40793</v>
      </c>
      <c r="B1452" t="s">
        <v>10</v>
      </c>
      <c r="C1452">
        <v>21</v>
      </c>
      <c r="D1452">
        <f>YEAR(cukier8[[#This Row],[data]])</f>
        <v>2011</v>
      </c>
      <c r="E1452">
        <f>VLOOKUP(cukier8[[#This Row],[rok]],$L$2:$M$11,2,FALSE)*cukier8[[#This Row],[sprzedany_cukier]]</f>
        <v>46.2</v>
      </c>
    </row>
    <row r="1453" spans="1:5" x14ac:dyDescent="0.25">
      <c r="A1453" s="1">
        <v>40797</v>
      </c>
      <c r="B1453" t="s">
        <v>21</v>
      </c>
      <c r="C1453">
        <v>3</v>
      </c>
      <c r="D1453">
        <f>YEAR(cukier8[[#This Row],[data]])</f>
        <v>2011</v>
      </c>
      <c r="E1453">
        <f>VLOOKUP(cukier8[[#This Row],[rok]],$L$2:$M$11,2,FALSE)*cukier8[[#This Row],[sprzedany_cukier]]</f>
        <v>6.6000000000000005</v>
      </c>
    </row>
    <row r="1454" spans="1:5" x14ac:dyDescent="0.25">
      <c r="A1454" s="1">
        <v>40799</v>
      </c>
      <c r="B1454" t="s">
        <v>28</v>
      </c>
      <c r="C1454">
        <v>176</v>
      </c>
      <c r="D1454">
        <f>YEAR(cukier8[[#This Row],[data]])</f>
        <v>2011</v>
      </c>
      <c r="E1454">
        <f>VLOOKUP(cukier8[[#This Row],[rok]],$L$2:$M$11,2,FALSE)*cukier8[[#This Row],[sprzedany_cukier]]</f>
        <v>387.20000000000005</v>
      </c>
    </row>
    <row r="1455" spans="1:5" x14ac:dyDescent="0.25">
      <c r="A1455" s="1">
        <v>40799</v>
      </c>
      <c r="B1455" t="s">
        <v>13</v>
      </c>
      <c r="C1455">
        <v>20</v>
      </c>
      <c r="D1455">
        <f>YEAR(cukier8[[#This Row],[data]])</f>
        <v>2011</v>
      </c>
      <c r="E1455">
        <f>VLOOKUP(cukier8[[#This Row],[rok]],$L$2:$M$11,2,FALSE)*cukier8[[#This Row],[sprzedany_cukier]]</f>
        <v>44</v>
      </c>
    </row>
    <row r="1456" spans="1:5" x14ac:dyDescent="0.25">
      <c r="A1456" s="1">
        <v>40800</v>
      </c>
      <c r="B1456" t="s">
        <v>24</v>
      </c>
      <c r="C1456">
        <v>230</v>
      </c>
      <c r="D1456">
        <f>YEAR(cukier8[[#This Row],[data]])</f>
        <v>2011</v>
      </c>
      <c r="E1456">
        <f>VLOOKUP(cukier8[[#This Row],[rok]],$L$2:$M$11,2,FALSE)*cukier8[[#This Row],[sprzedany_cukier]]</f>
        <v>506.00000000000006</v>
      </c>
    </row>
    <row r="1457" spans="1:5" x14ac:dyDescent="0.25">
      <c r="A1457" s="1">
        <v>40800</v>
      </c>
      <c r="B1457" t="s">
        <v>155</v>
      </c>
      <c r="C1457">
        <v>10</v>
      </c>
      <c r="D1457">
        <f>YEAR(cukier8[[#This Row],[data]])</f>
        <v>2011</v>
      </c>
      <c r="E1457">
        <f>VLOOKUP(cukier8[[#This Row],[rok]],$L$2:$M$11,2,FALSE)*cukier8[[#This Row],[sprzedany_cukier]]</f>
        <v>22</v>
      </c>
    </row>
    <row r="1458" spans="1:5" x14ac:dyDescent="0.25">
      <c r="A1458" s="1">
        <v>40802</v>
      </c>
      <c r="B1458" t="s">
        <v>163</v>
      </c>
      <c r="C1458">
        <v>12</v>
      </c>
      <c r="D1458">
        <f>YEAR(cukier8[[#This Row],[data]])</f>
        <v>2011</v>
      </c>
      <c r="E1458">
        <f>VLOOKUP(cukier8[[#This Row],[rok]],$L$2:$M$11,2,FALSE)*cukier8[[#This Row],[sprzedany_cukier]]</f>
        <v>26.400000000000002</v>
      </c>
    </row>
    <row r="1459" spans="1:5" x14ac:dyDescent="0.25">
      <c r="A1459" s="1">
        <v>40802</v>
      </c>
      <c r="B1459" t="s">
        <v>152</v>
      </c>
      <c r="C1459">
        <v>11</v>
      </c>
      <c r="D1459">
        <f>YEAR(cukier8[[#This Row],[data]])</f>
        <v>2011</v>
      </c>
      <c r="E1459">
        <f>VLOOKUP(cukier8[[#This Row],[rok]],$L$2:$M$11,2,FALSE)*cukier8[[#This Row],[sprzedany_cukier]]</f>
        <v>24.200000000000003</v>
      </c>
    </row>
    <row r="1460" spans="1:5" x14ac:dyDescent="0.25">
      <c r="A1460" s="1">
        <v>40803</v>
      </c>
      <c r="B1460" t="s">
        <v>9</v>
      </c>
      <c r="C1460">
        <v>383</v>
      </c>
      <c r="D1460">
        <f>YEAR(cukier8[[#This Row],[data]])</f>
        <v>2011</v>
      </c>
      <c r="E1460">
        <f>VLOOKUP(cukier8[[#This Row],[rok]],$L$2:$M$11,2,FALSE)*cukier8[[#This Row],[sprzedany_cukier]]</f>
        <v>842.6</v>
      </c>
    </row>
    <row r="1461" spans="1:5" x14ac:dyDescent="0.25">
      <c r="A1461" s="1">
        <v>40807</v>
      </c>
      <c r="B1461" t="s">
        <v>102</v>
      </c>
      <c r="C1461">
        <v>249</v>
      </c>
      <c r="D1461">
        <f>YEAR(cukier8[[#This Row],[data]])</f>
        <v>2011</v>
      </c>
      <c r="E1461">
        <f>VLOOKUP(cukier8[[#This Row],[rok]],$L$2:$M$11,2,FALSE)*cukier8[[#This Row],[sprzedany_cukier]]</f>
        <v>547.80000000000007</v>
      </c>
    </row>
    <row r="1462" spans="1:5" x14ac:dyDescent="0.25">
      <c r="A1462" s="1">
        <v>40810</v>
      </c>
      <c r="B1462" t="s">
        <v>164</v>
      </c>
      <c r="C1462">
        <v>8</v>
      </c>
      <c r="D1462">
        <f>YEAR(cukier8[[#This Row],[data]])</f>
        <v>2011</v>
      </c>
      <c r="E1462">
        <f>VLOOKUP(cukier8[[#This Row],[rok]],$L$2:$M$11,2,FALSE)*cukier8[[#This Row],[sprzedany_cukier]]</f>
        <v>17.600000000000001</v>
      </c>
    </row>
    <row r="1463" spans="1:5" x14ac:dyDescent="0.25">
      <c r="A1463" s="1">
        <v>40812</v>
      </c>
      <c r="B1463" t="s">
        <v>30</v>
      </c>
      <c r="C1463">
        <v>42</v>
      </c>
      <c r="D1463">
        <f>YEAR(cukier8[[#This Row],[data]])</f>
        <v>2011</v>
      </c>
      <c r="E1463">
        <f>VLOOKUP(cukier8[[#This Row],[rok]],$L$2:$M$11,2,FALSE)*cukier8[[#This Row],[sprzedany_cukier]]</f>
        <v>92.4</v>
      </c>
    </row>
    <row r="1464" spans="1:5" x14ac:dyDescent="0.25">
      <c r="A1464" s="1">
        <v>40815</v>
      </c>
      <c r="B1464" t="s">
        <v>223</v>
      </c>
      <c r="C1464">
        <v>1</v>
      </c>
      <c r="D1464">
        <f>YEAR(cukier8[[#This Row],[data]])</f>
        <v>2011</v>
      </c>
      <c r="E1464">
        <f>VLOOKUP(cukier8[[#This Row],[rok]],$L$2:$M$11,2,FALSE)*cukier8[[#This Row],[sprzedany_cukier]]</f>
        <v>2.2000000000000002</v>
      </c>
    </row>
    <row r="1465" spans="1:5" x14ac:dyDescent="0.25">
      <c r="A1465" s="1">
        <v>40815</v>
      </c>
      <c r="B1465" t="s">
        <v>22</v>
      </c>
      <c r="C1465">
        <v>340</v>
      </c>
      <c r="D1465">
        <f>YEAR(cukier8[[#This Row],[data]])</f>
        <v>2011</v>
      </c>
      <c r="E1465">
        <f>VLOOKUP(cukier8[[#This Row],[rok]],$L$2:$M$11,2,FALSE)*cukier8[[#This Row],[sprzedany_cukier]]</f>
        <v>748.00000000000011</v>
      </c>
    </row>
    <row r="1466" spans="1:5" x14ac:dyDescent="0.25">
      <c r="A1466" s="1">
        <v>40817</v>
      </c>
      <c r="B1466" t="s">
        <v>17</v>
      </c>
      <c r="C1466">
        <v>394</v>
      </c>
      <c r="D1466">
        <f>YEAR(cukier8[[#This Row],[data]])</f>
        <v>2011</v>
      </c>
      <c r="E1466">
        <f>VLOOKUP(cukier8[[#This Row],[rok]],$L$2:$M$11,2,FALSE)*cukier8[[#This Row],[sprzedany_cukier]]</f>
        <v>866.80000000000007</v>
      </c>
    </row>
    <row r="1467" spans="1:5" x14ac:dyDescent="0.25">
      <c r="A1467" s="1">
        <v>40817</v>
      </c>
      <c r="B1467" t="s">
        <v>5</v>
      </c>
      <c r="C1467">
        <v>176</v>
      </c>
      <c r="D1467">
        <f>YEAR(cukier8[[#This Row],[data]])</f>
        <v>2011</v>
      </c>
      <c r="E1467">
        <f>VLOOKUP(cukier8[[#This Row],[rok]],$L$2:$M$11,2,FALSE)*cukier8[[#This Row],[sprzedany_cukier]]</f>
        <v>387.20000000000005</v>
      </c>
    </row>
    <row r="1468" spans="1:5" x14ac:dyDescent="0.25">
      <c r="A1468" s="1">
        <v>40818</v>
      </c>
      <c r="B1468" t="s">
        <v>28</v>
      </c>
      <c r="C1468">
        <v>181</v>
      </c>
      <c r="D1468">
        <f>YEAR(cukier8[[#This Row],[data]])</f>
        <v>2011</v>
      </c>
      <c r="E1468">
        <f>VLOOKUP(cukier8[[#This Row],[rok]],$L$2:$M$11,2,FALSE)*cukier8[[#This Row],[sprzedany_cukier]]</f>
        <v>398.20000000000005</v>
      </c>
    </row>
    <row r="1469" spans="1:5" x14ac:dyDescent="0.25">
      <c r="A1469" s="1">
        <v>40822</v>
      </c>
      <c r="B1469" t="s">
        <v>55</v>
      </c>
      <c r="C1469">
        <v>26</v>
      </c>
      <c r="D1469">
        <f>YEAR(cukier8[[#This Row],[data]])</f>
        <v>2011</v>
      </c>
      <c r="E1469">
        <f>VLOOKUP(cukier8[[#This Row],[rok]],$L$2:$M$11,2,FALSE)*cukier8[[#This Row],[sprzedany_cukier]]</f>
        <v>57.2</v>
      </c>
    </row>
    <row r="1470" spans="1:5" x14ac:dyDescent="0.25">
      <c r="A1470" s="1">
        <v>40826</v>
      </c>
      <c r="B1470" t="s">
        <v>25</v>
      </c>
      <c r="C1470">
        <v>73</v>
      </c>
      <c r="D1470">
        <f>YEAR(cukier8[[#This Row],[data]])</f>
        <v>2011</v>
      </c>
      <c r="E1470">
        <f>VLOOKUP(cukier8[[#This Row],[rok]],$L$2:$M$11,2,FALSE)*cukier8[[#This Row],[sprzedany_cukier]]</f>
        <v>160.60000000000002</v>
      </c>
    </row>
    <row r="1471" spans="1:5" x14ac:dyDescent="0.25">
      <c r="A1471" s="1">
        <v>40830</v>
      </c>
      <c r="B1471" t="s">
        <v>50</v>
      </c>
      <c r="C1471">
        <v>274</v>
      </c>
      <c r="D1471">
        <f>YEAR(cukier8[[#This Row],[data]])</f>
        <v>2011</v>
      </c>
      <c r="E1471">
        <f>VLOOKUP(cukier8[[#This Row],[rok]],$L$2:$M$11,2,FALSE)*cukier8[[#This Row],[sprzedany_cukier]]</f>
        <v>602.80000000000007</v>
      </c>
    </row>
    <row r="1472" spans="1:5" x14ac:dyDescent="0.25">
      <c r="A1472" s="1">
        <v>40833</v>
      </c>
      <c r="B1472" t="s">
        <v>212</v>
      </c>
      <c r="C1472">
        <v>8</v>
      </c>
      <c r="D1472">
        <f>YEAR(cukier8[[#This Row],[data]])</f>
        <v>2011</v>
      </c>
      <c r="E1472">
        <f>VLOOKUP(cukier8[[#This Row],[rok]],$L$2:$M$11,2,FALSE)*cukier8[[#This Row],[sprzedany_cukier]]</f>
        <v>17.600000000000001</v>
      </c>
    </row>
    <row r="1473" spans="1:5" x14ac:dyDescent="0.25">
      <c r="A1473" s="1">
        <v>40833</v>
      </c>
      <c r="B1473" t="s">
        <v>21</v>
      </c>
      <c r="C1473">
        <v>12</v>
      </c>
      <c r="D1473">
        <f>YEAR(cukier8[[#This Row],[data]])</f>
        <v>2011</v>
      </c>
      <c r="E1473">
        <f>VLOOKUP(cukier8[[#This Row],[rok]],$L$2:$M$11,2,FALSE)*cukier8[[#This Row],[sprzedany_cukier]]</f>
        <v>26.400000000000002</v>
      </c>
    </row>
    <row r="1474" spans="1:5" x14ac:dyDescent="0.25">
      <c r="A1474" s="1">
        <v>40837</v>
      </c>
      <c r="B1474" t="s">
        <v>50</v>
      </c>
      <c r="C1474">
        <v>496</v>
      </c>
      <c r="D1474">
        <f>YEAR(cukier8[[#This Row],[data]])</f>
        <v>2011</v>
      </c>
      <c r="E1474">
        <f>VLOOKUP(cukier8[[#This Row],[rok]],$L$2:$M$11,2,FALSE)*cukier8[[#This Row],[sprzedany_cukier]]</f>
        <v>1091.2</v>
      </c>
    </row>
    <row r="1475" spans="1:5" x14ac:dyDescent="0.25">
      <c r="A1475" s="1">
        <v>40838</v>
      </c>
      <c r="B1475" t="s">
        <v>184</v>
      </c>
      <c r="C1475">
        <v>5</v>
      </c>
      <c r="D1475">
        <f>YEAR(cukier8[[#This Row],[data]])</f>
        <v>2011</v>
      </c>
      <c r="E1475">
        <f>VLOOKUP(cukier8[[#This Row],[rok]],$L$2:$M$11,2,FALSE)*cukier8[[#This Row],[sprzedany_cukier]]</f>
        <v>11</v>
      </c>
    </row>
    <row r="1476" spans="1:5" x14ac:dyDescent="0.25">
      <c r="A1476" s="1">
        <v>40839</v>
      </c>
      <c r="B1476" t="s">
        <v>75</v>
      </c>
      <c r="C1476">
        <v>2</v>
      </c>
      <c r="D1476">
        <f>YEAR(cukier8[[#This Row],[data]])</f>
        <v>2011</v>
      </c>
      <c r="E1476">
        <f>VLOOKUP(cukier8[[#This Row],[rok]],$L$2:$M$11,2,FALSE)*cukier8[[#This Row],[sprzedany_cukier]]</f>
        <v>4.4000000000000004</v>
      </c>
    </row>
    <row r="1477" spans="1:5" x14ac:dyDescent="0.25">
      <c r="A1477" s="1">
        <v>40839</v>
      </c>
      <c r="B1477" t="s">
        <v>66</v>
      </c>
      <c r="C1477">
        <v>77</v>
      </c>
      <c r="D1477">
        <f>YEAR(cukier8[[#This Row],[data]])</f>
        <v>2011</v>
      </c>
      <c r="E1477">
        <f>VLOOKUP(cukier8[[#This Row],[rok]],$L$2:$M$11,2,FALSE)*cukier8[[#This Row],[sprzedany_cukier]]</f>
        <v>169.4</v>
      </c>
    </row>
    <row r="1478" spans="1:5" x14ac:dyDescent="0.25">
      <c r="A1478" s="1">
        <v>40847</v>
      </c>
      <c r="B1478" t="s">
        <v>25</v>
      </c>
      <c r="C1478">
        <v>134</v>
      </c>
      <c r="D1478">
        <f>YEAR(cukier8[[#This Row],[data]])</f>
        <v>2011</v>
      </c>
      <c r="E1478">
        <f>VLOOKUP(cukier8[[#This Row],[rok]],$L$2:$M$11,2,FALSE)*cukier8[[#This Row],[sprzedany_cukier]]</f>
        <v>294.8</v>
      </c>
    </row>
    <row r="1479" spans="1:5" x14ac:dyDescent="0.25">
      <c r="A1479" s="1">
        <v>40848</v>
      </c>
      <c r="B1479" t="s">
        <v>197</v>
      </c>
      <c r="C1479">
        <v>4</v>
      </c>
      <c r="D1479">
        <f>YEAR(cukier8[[#This Row],[data]])</f>
        <v>2011</v>
      </c>
      <c r="E1479">
        <f>VLOOKUP(cukier8[[#This Row],[rok]],$L$2:$M$11,2,FALSE)*cukier8[[#This Row],[sprzedany_cukier]]</f>
        <v>8.8000000000000007</v>
      </c>
    </row>
    <row r="1480" spans="1:5" x14ac:dyDescent="0.25">
      <c r="A1480" s="1">
        <v>40850</v>
      </c>
      <c r="B1480" t="s">
        <v>55</v>
      </c>
      <c r="C1480">
        <v>46</v>
      </c>
      <c r="D1480">
        <f>YEAR(cukier8[[#This Row],[data]])</f>
        <v>2011</v>
      </c>
      <c r="E1480">
        <f>VLOOKUP(cukier8[[#This Row],[rok]],$L$2:$M$11,2,FALSE)*cukier8[[#This Row],[sprzedany_cukier]]</f>
        <v>101.2</v>
      </c>
    </row>
    <row r="1481" spans="1:5" x14ac:dyDescent="0.25">
      <c r="A1481" s="1">
        <v>40852</v>
      </c>
      <c r="B1481" t="s">
        <v>123</v>
      </c>
      <c r="C1481">
        <v>43</v>
      </c>
      <c r="D1481">
        <f>YEAR(cukier8[[#This Row],[data]])</f>
        <v>2011</v>
      </c>
      <c r="E1481">
        <f>VLOOKUP(cukier8[[#This Row],[rok]],$L$2:$M$11,2,FALSE)*cukier8[[#This Row],[sprzedany_cukier]]</f>
        <v>94.600000000000009</v>
      </c>
    </row>
    <row r="1482" spans="1:5" x14ac:dyDescent="0.25">
      <c r="A1482" s="1">
        <v>40855</v>
      </c>
      <c r="B1482" t="s">
        <v>21</v>
      </c>
      <c r="C1482">
        <v>2</v>
      </c>
      <c r="D1482">
        <f>YEAR(cukier8[[#This Row],[data]])</f>
        <v>2011</v>
      </c>
      <c r="E1482">
        <f>VLOOKUP(cukier8[[#This Row],[rok]],$L$2:$M$11,2,FALSE)*cukier8[[#This Row],[sprzedany_cukier]]</f>
        <v>4.4000000000000004</v>
      </c>
    </row>
    <row r="1483" spans="1:5" x14ac:dyDescent="0.25">
      <c r="A1483" s="1">
        <v>40857</v>
      </c>
      <c r="B1483" t="s">
        <v>19</v>
      </c>
      <c r="C1483">
        <v>100</v>
      </c>
      <c r="D1483">
        <f>YEAR(cukier8[[#This Row],[data]])</f>
        <v>2011</v>
      </c>
      <c r="E1483">
        <f>VLOOKUP(cukier8[[#This Row],[rok]],$L$2:$M$11,2,FALSE)*cukier8[[#This Row],[sprzedany_cukier]]</f>
        <v>220.00000000000003</v>
      </c>
    </row>
    <row r="1484" spans="1:5" x14ac:dyDescent="0.25">
      <c r="A1484" s="1">
        <v>40857</v>
      </c>
      <c r="B1484" t="s">
        <v>22</v>
      </c>
      <c r="C1484">
        <v>438</v>
      </c>
      <c r="D1484">
        <f>YEAR(cukier8[[#This Row],[data]])</f>
        <v>2011</v>
      </c>
      <c r="E1484">
        <f>VLOOKUP(cukier8[[#This Row],[rok]],$L$2:$M$11,2,FALSE)*cukier8[[#This Row],[sprzedany_cukier]]</f>
        <v>963.6</v>
      </c>
    </row>
    <row r="1485" spans="1:5" x14ac:dyDescent="0.25">
      <c r="A1485" s="1">
        <v>40859</v>
      </c>
      <c r="B1485" t="s">
        <v>26</v>
      </c>
      <c r="C1485">
        <v>69</v>
      </c>
      <c r="D1485">
        <f>YEAR(cukier8[[#This Row],[data]])</f>
        <v>2011</v>
      </c>
      <c r="E1485">
        <f>VLOOKUP(cukier8[[#This Row],[rok]],$L$2:$M$11,2,FALSE)*cukier8[[#This Row],[sprzedany_cukier]]</f>
        <v>151.80000000000001</v>
      </c>
    </row>
    <row r="1486" spans="1:5" x14ac:dyDescent="0.25">
      <c r="A1486" s="1">
        <v>40864</v>
      </c>
      <c r="B1486" t="s">
        <v>8</v>
      </c>
      <c r="C1486">
        <v>22</v>
      </c>
      <c r="D1486">
        <f>YEAR(cukier8[[#This Row],[data]])</f>
        <v>2011</v>
      </c>
      <c r="E1486">
        <f>VLOOKUP(cukier8[[#This Row],[rok]],$L$2:$M$11,2,FALSE)*cukier8[[#This Row],[sprzedany_cukier]]</f>
        <v>48.400000000000006</v>
      </c>
    </row>
    <row r="1487" spans="1:5" x14ac:dyDescent="0.25">
      <c r="A1487" s="1">
        <v>40865</v>
      </c>
      <c r="B1487" t="s">
        <v>55</v>
      </c>
      <c r="C1487">
        <v>130</v>
      </c>
      <c r="D1487">
        <f>YEAR(cukier8[[#This Row],[data]])</f>
        <v>2011</v>
      </c>
      <c r="E1487">
        <f>VLOOKUP(cukier8[[#This Row],[rok]],$L$2:$M$11,2,FALSE)*cukier8[[#This Row],[sprzedany_cukier]]</f>
        <v>286</v>
      </c>
    </row>
    <row r="1488" spans="1:5" x14ac:dyDescent="0.25">
      <c r="A1488" s="1">
        <v>40869</v>
      </c>
      <c r="B1488" t="s">
        <v>177</v>
      </c>
      <c r="C1488">
        <v>5</v>
      </c>
      <c r="D1488">
        <f>YEAR(cukier8[[#This Row],[data]])</f>
        <v>2011</v>
      </c>
      <c r="E1488">
        <f>VLOOKUP(cukier8[[#This Row],[rok]],$L$2:$M$11,2,FALSE)*cukier8[[#This Row],[sprzedany_cukier]]</f>
        <v>11</v>
      </c>
    </row>
    <row r="1489" spans="1:5" x14ac:dyDescent="0.25">
      <c r="A1489" s="1">
        <v>40872</v>
      </c>
      <c r="B1489" t="s">
        <v>58</v>
      </c>
      <c r="C1489">
        <v>62</v>
      </c>
      <c r="D1489">
        <f>YEAR(cukier8[[#This Row],[data]])</f>
        <v>2011</v>
      </c>
      <c r="E1489">
        <f>VLOOKUP(cukier8[[#This Row],[rok]],$L$2:$M$11,2,FALSE)*cukier8[[#This Row],[sprzedany_cukier]]</f>
        <v>136.4</v>
      </c>
    </row>
    <row r="1490" spans="1:5" x14ac:dyDescent="0.25">
      <c r="A1490" s="1">
        <v>40874</v>
      </c>
      <c r="B1490" t="s">
        <v>220</v>
      </c>
      <c r="C1490">
        <v>8</v>
      </c>
      <c r="D1490">
        <f>YEAR(cukier8[[#This Row],[data]])</f>
        <v>2011</v>
      </c>
      <c r="E1490">
        <f>VLOOKUP(cukier8[[#This Row],[rok]],$L$2:$M$11,2,FALSE)*cukier8[[#This Row],[sprzedany_cukier]]</f>
        <v>17.600000000000001</v>
      </c>
    </row>
    <row r="1491" spans="1:5" x14ac:dyDescent="0.25">
      <c r="A1491" s="1">
        <v>40876</v>
      </c>
      <c r="B1491" t="s">
        <v>56</v>
      </c>
      <c r="C1491">
        <v>18</v>
      </c>
      <c r="D1491">
        <f>YEAR(cukier8[[#This Row],[data]])</f>
        <v>2011</v>
      </c>
      <c r="E1491">
        <f>VLOOKUP(cukier8[[#This Row],[rok]],$L$2:$M$11,2,FALSE)*cukier8[[#This Row],[sprzedany_cukier]]</f>
        <v>39.6</v>
      </c>
    </row>
    <row r="1492" spans="1:5" x14ac:dyDescent="0.25">
      <c r="A1492" s="1">
        <v>40881</v>
      </c>
      <c r="B1492" t="s">
        <v>25</v>
      </c>
      <c r="C1492">
        <v>146</v>
      </c>
      <c r="D1492">
        <f>YEAR(cukier8[[#This Row],[data]])</f>
        <v>2011</v>
      </c>
      <c r="E1492">
        <f>VLOOKUP(cukier8[[#This Row],[rok]],$L$2:$M$11,2,FALSE)*cukier8[[#This Row],[sprzedany_cukier]]</f>
        <v>321.20000000000005</v>
      </c>
    </row>
    <row r="1493" spans="1:5" x14ac:dyDescent="0.25">
      <c r="A1493" s="1">
        <v>40881</v>
      </c>
      <c r="B1493" t="s">
        <v>118</v>
      </c>
      <c r="C1493">
        <v>5</v>
      </c>
      <c r="D1493">
        <f>YEAR(cukier8[[#This Row],[data]])</f>
        <v>2011</v>
      </c>
      <c r="E1493">
        <f>VLOOKUP(cukier8[[#This Row],[rok]],$L$2:$M$11,2,FALSE)*cukier8[[#This Row],[sprzedany_cukier]]</f>
        <v>11</v>
      </c>
    </row>
    <row r="1494" spans="1:5" x14ac:dyDescent="0.25">
      <c r="A1494" s="1">
        <v>40889</v>
      </c>
      <c r="B1494" t="s">
        <v>19</v>
      </c>
      <c r="C1494">
        <v>20</v>
      </c>
      <c r="D1494">
        <f>YEAR(cukier8[[#This Row],[data]])</f>
        <v>2011</v>
      </c>
      <c r="E1494">
        <f>VLOOKUP(cukier8[[#This Row],[rok]],$L$2:$M$11,2,FALSE)*cukier8[[#This Row],[sprzedany_cukier]]</f>
        <v>44</v>
      </c>
    </row>
    <row r="1495" spans="1:5" x14ac:dyDescent="0.25">
      <c r="A1495" s="1">
        <v>40889</v>
      </c>
      <c r="B1495" t="s">
        <v>22</v>
      </c>
      <c r="C1495">
        <v>153</v>
      </c>
      <c r="D1495">
        <f>YEAR(cukier8[[#This Row],[data]])</f>
        <v>2011</v>
      </c>
      <c r="E1495">
        <f>VLOOKUP(cukier8[[#This Row],[rok]],$L$2:$M$11,2,FALSE)*cukier8[[#This Row],[sprzedany_cukier]]</f>
        <v>336.6</v>
      </c>
    </row>
    <row r="1496" spans="1:5" x14ac:dyDescent="0.25">
      <c r="A1496" s="1">
        <v>40890</v>
      </c>
      <c r="B1496" t="s">
        <v>45</v>
      </c>
      <c r="C1496">
        <v>227</v>
      </c>
      <c r="D1496">
        <f>YEAR(cukier8[[#This Row],[data]])</f>
        <v>2011</v>
      </c>
      <c r="E1496">
        <f>VLOOKUP(cukier8[[#This Row],[rok]],$L$2:$M$11,2,FALSE)*cukier8[[#This Row],[sprzedany_cukier]]</f>
        <v>499.40000000000003</v>
      </c>
    </row>
    <row r="1497" spans="1:5" x14ac:dyDescent="0.25">
      <c r="A1497" s="1">
        <v>40891</v>
      </c>
      <c r="B1497" t="s">
        <v>12</v>
      </c>
      <c r="C1497">
        <v>52</v>
      </c>
      <c r="D1497">
        <f>YEAR(cukier8[[#This Row],[data]])</f>
        <v>2011</v>
      </c>
      <c r="E1497">
        <f>VLOOKUP(cukier8[[#This Row],[rok]],$L$2:$M$11,2,FALSE)*cukier8[[#This Row],[sprzedany_cukier]]</f>
        <v>114.4</v>
      </c>
    </row>
    <row r="1498" spans="1:5" x14ac:dyDescent="0.25">
      <c r="A1498" s="1">
        <v>40892</v>
      </c>
      <c r="B1498" t="s">
        <v>6</v>
      </c>
      <c r="C1498">
        <v>108</v>
      </c>
      <c r="D1498">
        <f>YEAR(cukier8[[#This Row],[data]])</f>
        <v>2011</v>
      </c>
      <c r="E1498">
        <f>VLOOKUP(cukier8[[#This Row],[rok]],$L$2:$M$11,2,FALSE)*cukier8[[#This Row],[sprzedany_cukier]]</f>
        <v>237.60000000000002</v>
      </c>
    </row>
    <row r="1499" spans="1:5" x14ac:dyDescent="0.25">
      <c r="A1499" s="1">
        <v>40895</v>
      </c>
      <c r="B1499" t="s">
        <v>24</v>
      </c>
      <c r="C1499">
        <v>236</v>
      </c>
      <c r="D1499">
        <f>YEAR(cukier8[[#This Row],[data]])</f>
        <v>2011</v>
      </c>
      <c r="E1499">
        <f>VLOOKUP(cukier8[[#This Row],[rok]],$L$2:$M$11,2,FALSE)*cukier8[[#This Row],[sprzedany_cukier]]</f>
        <v>519.20000000000005</v>
      </c>
    </row>
    <row r="1500" spans="1:5" x14ac:dyDescent="0.25">
      <c r="A1500" s="1">
        <v>40897</v>
      </c>
      <c r="B1500" t="s">
        <v>30</v>
      </c>
      <c r="C1500">
        <v>125</v>
      </c>
      <c r="D1500">
        <f>YEAR(cukier8[[#This Row],[data]])</f>
        <v>2011</v>
      </c>
      <c r="E1500">
        <f>VLOOKUP(cukier8[[#This Row],[rok]],$L$2:$M$11,2,FALSE)*cukier8[[#This Row],[sprzedany_cukier]]</f>
        <v>275</v>
      </c>
    </row>
    <row r="1501" spans="1:5" x14ac:dyDescent="0.25">
      <c r="A1501" s="1">
        <v>40898</v>
      </c>
      <c r="B1501" t="s">
        <v>10</v>
      </c>
      <c r="C1501">
        <v>183</v>
      </c>
      <c r="D1501">
        <f>YEAR(cukier8[[#This Row],[data]])</f>
        <v>2011</v>
      </c>
      <c r="E1501">
        <f>VLOOKUP(cukier8[[#This Row],[rok]],$L$2:$M$11,2,FALSE)*cukier8[[#This Row],[sprzedany_cukier]]</f>
        <v>402.6</v>
      </c>
    </row>
    <row r="1502" spans="1:5" x14ac:dyDescent="0.25">
      <c r="A1502" s="1">
        <v>40899</v>
      </c>
      <c r="B1502" t="s">
        <v>8</v>
      </c>
      <c r="C1502">
        <v>130</v>
      </c>
      <c r="D1502">
        <f>YEAR(cukier8[[#This Row],[data]])</f>
        <v>2011</v>
      </c>
      <c r="E1502">
        <f>VLOOKUP(cukier8[[#This Row],[rok]],$L$2:$M$11,2,FALSE)*cukier8[[#This Row],[sprzedany_cukier]]</f>
        <v>286</v>
      </c>
    </row>
    <row r="1503" spans="1:5" x14ac:dyDescent="0.25">
      <c r="A1503" s="1">
        <v>40899</v>
      </c>
      <c r="B1503" t="s">
        <v>224</v>
      </c>
      <c r="C1503">
        <v>4</v>
      </c>
      <c r="D1503">
        <f>YEAR(cukier8[[#This Row],[data]])</f>
        <v>2011</v>
      </c>
      <c r="E1503">
        <f>VLOOKUP(cukier8[[#This Row],[rok]],$L$2:$M$11,2,FALSE)*cukier8[[#This Row],[sprzedany_cukier]]</f>
        <v>8.8000000000000007</v>
      </c>
    </row>
    <row r="1504" spans="1:5" x14ac:dyDescent="0.25">
      <c r="A1504" s="1">
        <v>40900</v>
      </c>
      <c r="B1504" t="s">
        <v>225</v>
      </c>
      <c r="C1504">
        <v>3</v>
      </c>
      <c r="D1504">
        <f>YEAR(cukier8[[#This Row],[data]])</f>
        <v>2011</v>
      </c>
      <c r="E1504">
        <f>VLOOKUP(cukier8[[#This Row],[rok]],$L$2:$M$11,2,FALSE)*cukier8[[#This Row],[sprzedany_cukier]]</f>
        <v>6.6000000000000005</v>
      </c>
    </row>
    <row r="1505" spans="1:5" x14ac:dyDescent="0.25">
      <c r="A1505" s="1">
        <v>40901</v>
      </c>
      <c r="B1505" t="s">
        <v>226</v>
      </c>
      <c r="C1505">
        <v>16</v>
      </c>
      <c r="D1505">
        <f>YEAR(cukier8[[#This Row],[data]])</f>
        <v>2011</v>
      </c>
      <c r="E1505">
        <f>VLOOKUP(cukier8[[#This Row],[rok]],$L$2:$M$11,2,FALSE)*cukier8[[#This Row],[sprzedany_cukier]]</f>
        <v>35.200000000000003</v>
      </c>
    </row>
    <row r="1506" spans="1:5" x14ac:dyDescent="0.25">
      <c r="A1506" s="1">
        <v>40903</v>
      </c>
      <c r="B1506" t="s">
        <v>6</v>
      </c>
      <c r="C1506">
        <v>197</v>
      </c>
      <c r="D1506">
        <f>YEAR(cukier8[[#This Row],[data]])</f>
        <v>2011</v>
      </c>
      <c r="E1506">
        <f>VLOOKUP(cukier8[[#This Row],[rok]],$L$2:$M$11,2,FALSE)*cukier8[[#This Row],[sprzedany_cukier]]</f>
        <v>433.40000000000003</v>
      </c>
    </row>
    <row r="1507" spans="1:5" x14ac:dyDescent="0.25">
      <c r="A1507" s="1">
        <v>40903</v>
      </c>
      <c r="B1507" t="s">
        <v>152</v>
      </c>
      <c r="C1507">
        <v>4</v>
      </c>
      <c r="D1507">
        <f>YEAR(cukier8[[#This Row],[data]])</f>
        <v>2011</v>
      </c>
      <c r="E1507">
        <f>VLOOKUP(cukier8[[#This Row],[rok]],$L$2:$M$11,2,FALSE)*cukier8[[#This Row],[sprzedany_cukier]]</f>
        <v>8.8000000000000007</v>
      </c>
    </row>
    <row r="1508" spans="1:5" x14ac:dyDescent="0.25">
      <c r="A1508" s="1">
        <v>40904</v>
      </c>
      <c r="B1508" t="s">
        <v>52</v>
      </c>
      <c r="C1508">
        <v>57</v>
      </c>
      <c r="D1508">
        <f>YEAR(cukier8[[#This Row],[data]])</f>
        <v>2011</v>
      </c>
      <c r="E1508">
        <f>VLOOKUP(cukier8[[#This Row],[rok]],$L$2:$M$11,2,FALSE)*cukier8[[#This Row],[sprzedany_cukier]]</f>
        <v>125.4</v>
      </c>
    </row>
    <row r="1509" spans="1:5" x14ac:dyDescent="0.25">
      <c r="A1509" s="1">
        <v>40906</v>
      </c>
      <c r="B1509" t="s">
        <v>92</v>
      </c>
      <c r="C1509">
        <v>16</v>
      </c>
      <c r="D1509">
        <f>YEAR(cukier8[[#This Row],[data]])</f>
        <v>2011</v>
      </c>
      <c r="E1509">
        <f>VLOOKUP(cukier8[[#This Row],[rok]],$L$2:$M$11,2,FALSE)*cukier8[[#This Row],[sprzedany_cukier]]</f>
        <v>35.200000000000003</v>
      </c>
    </row>
    <row r="1510" spans="1:5" x14ac:dyDescent="0.25">
      <c r="A1510" s="1">
        <v>40907</v>
      </c>
      <c r="B1510" t="s">
        <v>63</v>
      </c>
      <c r="C1510">
        <v>89</v>
      </c>
      <c r="D1510">
        <f>YEAR(cukier8[[#This Row],[data]])</f>
        <v>2011</v>
      </c>
      <c r="E1510">
        <f>VLOOKUP(cukier8[[#This Row],[rok]],$L$2:$M$11,2,FALSE)*cukier8[[#This Row],[sprzedany_cukier]]</f>
        <v>195.8</v>
      </c>
    </row>
    <row r="1511" spans="1:5" x14ac:dyDescent="0.25">
      <c r="A1511" s="1">
        <v>40912</v>
      </c>
      <c r="B1511" t="s">
        <v>66</v>
      </c>
      <c r="C1511">
        <v>74</v>
      </c>
      <c r="D1511">
        <f>YEAR(cukier8[[#This Row],[data]])</f>
        <v>2012</v>
      </c>
      <c r="E1511">
        <f>VLOOKUP(cukier8[[#This Row],[rok]],$L$2:$M$11,2,FALSE)*cukier8[[#This Row],[sprzedany_cukier]]</f>
        <v>166.5</v>
      </c>
    </row>
    <row r="1512" spans="1:5" x14ac:dyDescent="0.25">
      <c r="A1512" s="1">
        <v>40913</v>
      </c>
      <c r="B1512" t="s">
        <v>9</v>
      </c>
      <c r="C1512">
        <v>243</v>
      </c>
      <c r="D1512">
        <f>YEAR(cukier8[[#This Row],[data]])</f>
        <v>2012</v>
      </c>
      <c r="E1512">
        <f>VLOOKUP(cukier8[[#This Row],[rok]],$L$2:$M$11,2,FALSE)*cukier8[[#This Row],[sprzedany_cukier]]</f>
        <v>546.75</v>
      </c>
    </row>
    <row r="1513" spans="1:5" x14ac:dyDescent="0.25">
      <c r="A1513" s="1">
        <v>40915</v>
      </c>
      <c r="B1513" t="s">
        <v>22</v>
      </c>
      <c r="C1513">
        <v>460</v>
      </c>
      <c r="D1513">
        <f>YEAR(cukier8[[#This Row],[data]])</f>
        <v>2012</v>
      </c>
      <c r="E1513">
        <f>VLOOKUP(cukier8[[#This Row],[rok]],$L$2:$M$11,2,FALSE)*cukier8[[#This Row],[sprzedany_cukier]]</f>
        <v>1035</v>
      </c>
    </row>
    <row r="1514" spans="1:5" x14ac:dyDescent="0.25">
      <c r="A1514" s="1">
        <v>40915</v>
      </c>
      <c r="B1514" t="s">
        <v>227</v>
      </c>
      <c r="C1514">
        <v>20</v>
      </c>
      <c r="D1514">
        <f>YEAR(cukier8[[#This Row],[data]])</f>
        <v>2012</v>
      </c>
      <c r="E1514">
        <f>VLOOKUP(cukier8[[#This Row],[rok]],$L$2:$M$11,2,FALSE)*cukier8[[#This Row],[sprzedany_cukier]]</f>
        <v>45</v>
      </c>
    </row>
    <row r="1515" spans="1:5" x14ac:dyDescent="0.25">
      <c r="A1515" s="1">
        <v>40917</v>
      </c>
      <c r="B1515" t="s">
        <v>22</v>
      </c>
      <c r="C1515">
        <v>250</v>
      </c>
      <c r="D1515">
        <f>YEAR(cukier8[[#This Row],[data]])</f>
        <v>2012</v>
      </c>
      <c r="E1515">
        <f>VLOOKUP(cukier8[[#This Row],[rok]],$L$2:$M$11,2,FALSE)*cukier8[[#This Row],[sprzedany_cukier]]</f>
        <v>562.5</v>
      </c>
    </row>
    <row r="1516" spans="1:5" x14ac:dyDescent="0.25">
      <c r="A1516" s="1">
        <v>40923</v>
      </c>
      <c r="B1516" t="s">
        <v>10</v>
      </c>
      <c r="C1516">
        <v>78</v>
      </c>
      <c r="D1516">
        <f>YEAR(cukier8[[#This Row],[data]])</f>
        <v>2012</v>
      </c>
      <c r="E1516">
        <f>VLOOKUP(cukier8[[#This Row],[rok]],$L$2:$M$11,2,FALSE)*cukier8[[#This Row],[sprzedany_cukier]]</f>
        <v>175.5</v>
      </c>
    </row>
    <row r="1517" spans="1:5" x14ac:dyDescent="0.25">
      <c r="A1517" s="1">
        <v>40925</v>
      </c>
      <c r="B1517" t="s">
        <v>8</v>
      </c>
      <c r="C1517">
        <v>170</v>
      </c>
      <c r="D1517">
        <f>YEAR(cukier8[[#This Row],[data]])</f>
        <v>2012</v>
      </c>
      <c r="E1517">
        <f>VLOOKUP(cukier8[[#This Row],[rok]],$L$2:$M$11,2,FALSE)*cukier8[[#This Row],[sprzedany_cukier]]</f>
        <v>382.5</v>
      </c>
    </row>
    <row r="1518" spans="1:5" x14ac:dyDescent="0.25">
      <c r="A1518" s="1">
        <v>40927</v>
      </c>
      <c r="B1518" t="s">
        <v>52</v>
      </c>
      <c r="C1518">
        <v>128</v>
      </c>
      <c r="D1518">
        <f>YEAR(cukier8[[#This Row],[data]])</f>
        <v>2012</v>
      </c>
      <c r="E1518">
        <f>VLOOKUP(cukier8[[#This Row],[rok]],$L$2:$M$11,2,FALSE)*cukier8[[#This Row],[sprzedany_cukier]]</f>
        <v>288</v>
      </c>
    </row>
    <row r="1519" spans="1:5" x14ac:dyDescent="0.25">
      <c r="A1519" s="1">
        <v>40927</v>
      </c>
      <c r="B1519" t="s">
        <v>61</v>
      </c>
      <c r="C1519">
        <v>53</v>
      </c>
      <c r="D1519">
        <f>YEAR(cukier8[[#This Row],[data]])</f>
        <v>2012</v>
      </c>
      <c r="E1519">
        <f>VLOOKUP(cukier8[[#This Row],[rok]],$L$2:$M$11,2,FALSE)*cukier8[[#This Row],[sprzedany_cukier]]</f>
        <v>119.25</v>
      </c>
    </row>
    <row r="1520" spans="1:5" x14ac:dyDescent="0.25">
      <c r="A1520" s="1">
        <v>40928</v>
      </c>
      <c r="B1520" t="s">
        <v>14</v>
      </c>
      <c r="C1520">
        <v>223</v>
      </c>
      <c r="D1520">
        <f>YEAR(cukier8[[#This Row],[data]])</f>
        <v>2012</v>
      </c>
      <c r="E1520">
        <f>VLOOKUP(cukier8[[#This Row],[rok]],$L$2:$M$11,2,FALSE)*cukier8[[#This Row],[sprzedany_cukier]]</f>
        <v>501.75</v>
      </c>
    </row>
    <row r="1521" spans="1:5" x14ac:dyDescent="0.25">
      <c r="A1521" s="1">
        <v>40933</v>
      </c>
      <c r="B1521" t="s">
        <v>52</v>
      </c>
      <c r="C1521">
        <v>47</v>
      </c>
      <c r="D1521">
        <f>YEAR(cukier8[[#This Row],[data]])</f>
        <v>2012</v>
      </c>
      <c r="E1521">
        <f>VLOOKUP(cukier8[[#This Row],[rok]],$L$2:$M$11,2,FALSE)*cukier8[[#This Row],[sprzedany_cukier]]</f>
        <v>105.75</v>
      </c>
    </row>
    <row r="1522" spans="1:5" x14ac:dyDescent="0.25">
      <c r="A1522" s="1">
        <v>40933</v>
      </c>
      <c r="B1522" t="s">
        <v>37</v>
      </c>
      <c r="C1522">
        <v>112</v>
      </c>
      <c r="D1522">
        <f>YEAR(cukier8[[#This Row],[data]])</f>
        <v>2012</v>
      </c>
      <c r="E1522">
        <f>VLOOKUP(cukier8[[#This Row],[rok]],$L$2:$M$11,2,FALSE)*cukier8[[#This Row],[sprzedany_cukier]]</f>
        <v>252</v>
      </c>
    </row>
    <row r="1523" spans="1:5" x14ac:dyDescent="0.25">
      <c r="A1523" s="1">
        <v>40935</v>
      </c>
      <c r="B1523" t="s">
        <v>50</v>
      </c>
      <c r="C1523">
        <v>201</v>
      </c>
      <c r="D1523">
        <f>YEAR(cukier8[[#This Row],[data]])</f>
        <v>2012</v>
      </c>
      <c r="E1523">
        <f>VLOOKUP(cukier8[[#This Row],[rok]],$L$2:$M$11,2,FALSE)*cukier8[[#This Row],[sprzedany_cukier]]</f>
        <v>452.25</v>
      </c>
    </row>
    <row r="1524" spans="1:5" x14ac:dyDescent="0.25">
      <c r="A1524" s="1">
        <v>40936</v>
      </c>
      <c r="B1524" t="s">
        <v>25</v>
      </c>
      <c r="C1524">
        <v>121</v>
      </c>
      <c r="D1524">
        <f>YEAR(cukier8[[#This Row],[data]])</f>
        <v>2012</v>
      </c>
      <c r="E1524">
        <f>VLOOKUP(cukier8[[#This Row],[rok]],$L$2:$M$11,2,FALSE)*cukier8[[#This Row],[sprzedany_cukier]]</f>
        <v>272.25</v>
      </c>
    </row>
    <row r="1525" spans="1:5" x14ac:dyDescent="0.25">
      <c r="A1525" s="1">
        <v>40939</v>
      </c>
      <c r="B1525" t="s">
        <v>7</v>
      </c>
      <c r="C1525">
        <v>462</v>
      </c>
      <c r="D1525">
        <f>YEAR(cukier8[[#This Row],[data]])</f>
        <v>2012</v>
      </c>
      <c r="E1525">
        <f>VLOOKUP(cukier8[[#This Row],[rok]],$L$2:$M$11,2,FALSE)*cukier8[[#This Row],[sprzedany_cukier]]</f>
        <v>1039.5</v>
      </c>
    </row>
    <row r="1526" spans="1:5" x14ac:dyDescent="0.25">
      <c r="A1526" s="1">
        <v>40941</v>
      </c>
      <c r="B1526" t="s">
        <v>22</v>
      </c>
      <c r="C1526">
        <v>333</v>
      </c>
      <c r="D1526">
        <f>YEAR(cukier8[[#This Row],[data]])</f>
        <v>2012</v>
      </c>
      <c r="E1526">
        <f>VLOOKUP(cukier8[[#This Row],[rok]],$L$2:$M$11,2,FALSE)*cukier8[[#This Row],[sprzedany_cukier]]</f>
        <v>749.25</v>
      </c>
    </row>
    <row r="1527" spans="1:5" x14ac:dyDescent="0.25">
      <c r="A1527" s="1">
        <v>40943</v>
      </c>
      <c r="B1527" t="s">
        <v>108</v>
      </c>
      <c r="C1527">
        <v>9</v>
      </c>
      <c r="D1527">
        <f>YEAR(cukier8[[#This Row],[data]])</f>
        <v>2012</v>
      </c>
      <c r="E1527">
        <f>VLOOKUP(cukier8[[#This Row],[rok]],$L$2:$M$11,2,FALSE)*cukier8[[#This Row],[sprzedany_cukier]]</f>
        <v>20.25</v>
      </c>
    </row>
    <row r="1528" spans="1:5" x14ac:dyDescent="0.25">
      <c r="A1528" s="1">
        <v>40945</v>
      </c>
      <c r="B1528" t="s">
        <v>25</v>
      </c>
      <c r="C1528">
        <v>104</v>
      </c>
      <c r="D1528">
        <f>YEAR(cukier8[[#This Row],[data]])</f>
        <v>2012</v>
      </c>
      <c r="E1528">
        <f>VLOOKUP(cukier8[[#This Row],[rok]],$L$2:$M$11,2,FALSE)*cukier8[[#This Row],[sprzedany_cukier]]</f>
        <v>234</v>
      </c>
    </row>
    <row r="1529" spans="1:5" x14ac:dyDescent="0.25">
      <c r="A1529" s="1">
        <v>40945</v>
      </c>
      <c r="B1529" t="s">
        <v>173</v>
      </c>
      <c r="C1529">
        <v>104</v>
      </c>
      <c r="D1529">
        <f>YEAR(cukier8[[#This Row],[data]])</f>
        <v>2012</v>
      </c>
      <c r="E1529">
        <f>VLOOKUP(cukier8[[#This Row],[rok]],$L$2:$M$11,2,FALSE)*cukier8[[#This Row],[sprzedany_cukier]]</f>
        <v>234</v>
      </c>
    </row>
    <row r="1530" spans="1:5" x14ac:dyDescent="0.25">
      <c r="A1530" s="1">
        <v>40947</v>
      </c>
      <c r="B1530" t="s">
        <v>18</v>
      </c>
      <c r="C1530">
        <v>78</v>
      </c>
      <c r="D1530">
        <f>YEAR(cukier8[[#This Row],[data]])</f>
        <v>2012</v>
      </c>
      <c r="E1530">
        <f>VLOOKUP(cukier8[[#This Row],[rok]],$L$2:$M$11,2,FALSE)*cukier8[[#This Row],[sprzedany_cukier]]</f>
        <v>175.5</v>
      </c>
    </row>
    <row r="1531" spans="1:5" x14ac:dyDescent="0.25">
      <c r="A1531" s="1">
        <v>40950</v>
      </c>
      <c r="B1531" t="s">
        <v>30</v>
      </c>
      <c r="C1531">
        <v>53</v>
      </c>
      <c r="D1531">
        <f>YEAR(cukier8[[#This Row],[data]])</f>
        <v>2012</v>
      </c>
      <c r="E1531">
        <f>VLOOKUP(cukier8[[#This Row],[rok]],$L$2:$M$11,2,FALSE)*cukier8[[#This Row],[sprzedany_cukier]]</f>
        <v>119.25</v>
      </c>
    </row>
    <row r="1532" spans="1:5" x14ac:dyDescent="0.25">
      <c r="A1532" s="1">
        <v>40951</v>
      </c>
      <c r="B1532" t="s">
        <v>45</v>
      </c>
      <c r="C1532">
        <v>305</v>
      </c>
      <c r="D1532">
        <f>YEAR(cukier8[[#This Row],[data]])</f>
        <v>2012</v>
      </c>
      <c r="E1532">
        <f>VLOOKUP(cukier8[[#This Row],[rok]],$L$2:$M$11,2,FALSE)*cukier8[[#This Row],[sprzedany_cukier]]</f>
        <v>686.25</v>
      </c>
    </row>
    <row r="1533" spans="1:5" x14ac:dyDescent="0.25">
      <c r="A1533" s="1">
        <v>40953</v>
      </c>
      <c r="B1533" t="s">
        <v>9</v>
      </c>
      <c r="C1533">
        <v>363</v>
      </c>
      <c r="D1533">
        <f>YEAR(cukier8[[#This Row],[data]])</f>
        <v>2012</v>
      </c>
      <c r="E1533">
        <f>VLOOKUP(cukier8[[#This Row],[rok]],$L$2:$M$11,2,FALSE)*cukier8[[#This Row],[sprzedany_cukier]]</f>
        <v>816.75</v>
      </c>
    </row>
    <row r="1534" spans="1:5" x14ac:dyDescent="0.25">
      <c r="A1534" s="1">
        <v>40955</v>
      </c>
      <c r="B1534" t="s">
        <v>228</v>
      </c>
      <c r="C1534">
        <v>19</v>
      </c>
      <c r="D1534">
        <f>YEAR(cukier8[[#This Row],[data]])</f>
        <v>2012</v>
      </c>
      <c r="E1534">
        <f>VLOOKUP(cukier8[[#This Row],[rok]],$L$2:$M$11,2,FALSE)*cukier8[[#This Row],[sprzedany_cukier]]</f>
        <v>42.75</v>
      </c>
    </row>
    <row r="1535" spans="1:5" x14ac:dyDescent="0.25">
      <c r="A1535" s="1">
        <v>40955</v>
      </c>
      <c r="B1535" t="s">
        <v>102</v>
      </c>
      <c r="C1535">
        <v>248</v>
      </c>
      <c r="D1535">
        <f>YEAR(cukier8[[#This Row],[data]])</f>
        <v>2012</v>
      </c>
      <c r="E1535">
        <f>VLOOKUP(cukier8[[#This Row],[rok]],$L$2:$M$11,2,FALSE)*cukier8[[#This Row],[sprzedany_cukier]]</f>
        <v>558</v>
      </c>
    </row>
    <row r="1536" spans="1:5" x14ac:dyDescent="0.25">
      <c r="A1536" s="1">
        <v>40955</v>
      </c>
      <c r="B1536" t="s">
        <v>19</v>
      </c>
      <c r="C1536">
        <v>64</v>
      </c>
      <c r="D1536">
        <f>YEAR(cukier8[[#This Row],[data]])</f>
        <v>2012</v>
      </c>
      <c r="E1536">
        <f>VLOOKUP(cukier8[[#This Row],[rok]],$L$2:$M$11,2,FALSE)*cukier8[[#This Row],[sprzedany_cukier]]</f>
        <v>144</v>
      </c>
    </row>
    <row r="1537" spans="1:5" x14ac:dyDescent="0.25">
      <c r="A1537" s="1">
        <v>40956</v>
      </c>
      <c r="B1537" t="s">
        <v>50</v>
      </c>
      <c r="C1537">
        <v>288</v>
      </c>
      <c r="D1537">
        <f>YEAR(cukier8[[#This Row],[data]])</f>
        <v>2012</v>
      </c>
      <c r="E1537">
        <f>VLOOKUP(cukier8[[#This Row],[rok]],$L$2:$M$11,2,FALSE)*cukier8[[#This Row],[sprzedany_cukier]]</f>
        <v>648</v>
      </c>
    </row>
    <row r="1538" spans="1:5" x14ac:dyDescent="0.25">
      <c r="A1538" s="1">
        <v>40957</v>
      </c>
      <c r="B1538" t="s">
        <v>144</v>
      </c>
      <c r="C1538">
        <v>18</v>
      </c>
      <c r="D1538">
        <f>YEAR(cukier8[[#This Row],[data]])</f>
        <v>2012</v>
      </c>
      <c r="E1538">
        <f>VLOOKUP(cukier8[[#This Row],[rok]],$L$2:$M$11,2,FALSE)*cukier8[[#This Row],[sprzedany_cukier]]</f>
        <v>40.5</v>
      </c>
    </row>
    <row r="1539" spans="1:5" x14ac:dyDescent="0.25">
      <c r="A1539" s="1">
        <v>40959</v>
      </c>
      <c r="B1539" t="s">
        <v>31</v>
      </c>
      <c r="C1539">
        <v>54</v>
      </c>
      <c r="D1539">
        <f>YEAR(cukier8[[#This Row],[data]])</f>
        <v>2012</v>
      </c>
      <c r="E1539">
        <f>VLOOKUP(cukier8[[#This Row],[rok]],$L$2:$M$11,2,FALSE)*cukier8[[#This Row],[sprzedany_cukier]]</f>
        <v>121.5</v>
      </c>
    </row>
    <row r="1540" spans="1:5" x14ac:dyDescent="0.25">
      <c r="A1540" s="1">
        <v>40959</v>
      </c>
      <c r="B1540" t="s">
        <v>201</v>
      </c>
      <c r="C1540">
        <v>3</v>
      </c>
      <c r="D1540">
        <f>YEAR(cukier8[[#This Row],[data]])</f>
        <v>2012</v>
      </c>
      <c r="E1540">
        <f>VLOOKUP(cukier8[[#This Row],[rok]],$L$2:$M$11,2,FALSE)*cukier8[[#This Row],[sprzedany_cukier]]</f>
        <v>6.75</v>
      </c>
    </row>
    <row r="1541" spans="1:5" x14ac:dyDescent="0.25">
      <c r="A1541" s="1">
        <v>40960</v>
      </c>
      <c r="B1541" t="s">
        <v>65</v>
      </c>
      <c r="C1541">
        <v>9</v>
      </c>
      <c r="D1541">
        <f>YEAR(cukier8[[#This Row],[data]])</f>
        <v>2012</v>
      </c>
      <c r="E1541">
        <f>VLOOKUP(cukier8[[#This Row],[rok]],$L$2:$M$11,2,FALSE)*cukier8[[#This Row],[sprzedany_cukier]]</f>
        <v>20.25</v>
      </c>
    </row>
    <row r="1542" spans="1:5" x14ac:dyDescent="0.25">
      <c r="A1542" s="1">
        <v>40961</v>
      </c>
      <c r="B1542" t="s">
        <v>149</v>
      </c>
      <c r="C1542">
        <v>19</v>
      </c>
      <c r="D1542">
        <f>YEAR(cukier8[[#This Row],[data]])</f>
        <v>2012</v>
      </c>
      <c r="E1542">
        <f>VLOOKUP(cukier8[[#This Row],[rok]],$L$2:$M$11,2,FALSE)*cukier8[[#This Row],[sprzedany_cukier]]</f>
        <v>42.75</v>
      </c>
    </row>
    <row r="1543" spans="1:5" x14ac:dyDescent="0.25">
      <c r="A1543" s="1">
        <v>40961</v>
      </c>
      <c r="B1543" t="s">
        <v>26</v>
      </c>
      <c r="C1543">
        <v>198</v>
      </c>
      <c r="D1543">
        <f>YEAR(cukier8[[#This Row],[data]])</f>
        <v>2012</v>
      </c>
      <c r="E1543">
        <f>VLOOKUP(cukier8[[#This Row],[rok]],$L$2:$M$11,2,FALSE)*cukier8[[#This Row],[sprzedany_cukier]]</f>
        <v>445.5</v>
      </c>
    </row>
    <row r="1544" spans="1:5" x14ac:dyDescent="0.25">
      <c r="A1544" s="1">
        <v>40966</v>
      </c>
      <c r="B1544" t="s">
        <v>5</v>
      </c>
      <c r="C1544">
        <v>417</v>
      </c>
      <c r="D1544">
        <f>YEAR(cukier8[[#This Row],[data]])</f>
        <v>2012</v>
      </c>
      <c r="E1544">
        <f>VLOOKUP(cukier8[[#This Row],[rok]],$L$2:$M$11,2,FALSE)*cukier8[[#This Row],[sprzedany_cukier]]</f>
        <v>938.25</v>
      </c>
    </row>
    <row r="1545" spans="1:5" x14ac:dyDescent="0.25">
      <c r="A1545" s="1">
        <v>40971</v>
      </c>
      <c r="B1545" t="s">
        <v>102</v>
      </c>
      <c r="C1545">
        <v>221</v>
      </c>
      <c r="D1545">
        <f>YEAR(cukier8[[#This Row],[data]])</f>
        <v>2012</v>
      </c>
      <c r="E1545">
        <f>VLOOKUP(cukier8[[#This Row],[rok]],$L$2:$M$11,2,FALSE)*cukier8[[#This Row],[sprzedany_cukier]]</f>
        <v>497.25</v>
      </c>
    </row>
    <row r="1546" spans="1:5" x14ac:dyDescent="0.25">
      <c r="A1546" s="1">
        <v>40971</v>
      </c>
      <c r="B1546" t="s">
        <v>18</v>
      </c>
      <c r="C1546">
        <v>53</v>
      </c>
      <c r="D1546">
        <f>YEAR(cukier8[[#This Row],[data]])</f>
        <v>2012</v>
      </c>
      <c r="E1546">
        <f>VLOOKUP(cukier8[[#This Row],[rok]],$L$2:$M$11,2,FALSE)*cukier8[[#This Row],[sprzedany_cukier]]</f>
        <v>119.25</v>
      </c>
    </row>
    <row r="1547" spans="1:5" x14ac:dyDescent="0.25">
      <c r="A1547" s="1">
        <v>40973</v>
      </c>
      <c r="B1547" t="s">
        <v>69</v>
      </c>
      <c r="C1547">
        <v>127</v>
      </c>
      <c r="D1547">
        <f>YEAR(cukier8[[#This Row],[data]])</f>
        <v>2012</v>
      </c>
      <c r="E1547">
        <f>VLOOKUP(cukier8[[#This Row],[rok]],$L$2:$M$11,2,FALSE)*cukier8[[#This Row],[sprzedany_cukier]]</f>
        <v>285.75</v>
      </c>
    </row>
    <row r="1548" spans="1:5" x14ac:dyDescent="0.25">
      <c r="A1548" s="1">
        <v>40974</v>
      </c>
      <c r="B1548" t="s">
        <v>14</v>
      </c>
      <c r="C1548">
        <v>340</v>
      </c>
      <c r="D1548">
        <f>YEAR(cukier8[[#This Row],[data]])</f>
        <v>2012</v>
      </c>
      <c r="E1548">
        <f>VLOOKUP(cukier8[[#This Row],[rok]],$L$2:$M$11,2,FALSE)*cukier8[[#This Row],[sprzedany_cukier]]</f>
        <v>765</v>
      </c>
    </row>
    <row r="1549" spans="1:5" x14ac:dyDescent="0.25">
      <c r="A1549" s="1">
        <v>40977</v>
      </c>
      <c r="B1549" t="s">
        <v>7</v>
      </c>
      <c r="C1549">
        <v>310</v>
      </c>
      <c r="D1549">
        <f>YEAR(cukier8[[#This Row],[data]])</f>
        <v>2012</v>
      </c>
      <c r="E1549">
        <f>VLOOKUP(cukier8[[#This Row],[rok]],$L$2:$M$11,2,FALSE)*cukier8[[#This Row],[sprzedany_cukier]]</f>
        <v>697.5</v>
      </c>
    </row>
    <row r="1550" spans="1:5" x14ac:dyDescent="0.25">
      <c r="A1550" s="1">
        <v>40979</v>
      </c>
      <c r="B1550" t="s">
        <v>222</v>
      </c>
      <c r="C1550">
        <v>8</v>
      </c>
      <c r="D1550">
        <f>YEAR(cukier8[[#This Row],[data]])</f>
        <v>2012</v>
      </c>
      <c r="E1550">
        <f>VLOOKUP(cukier8[[#This Row],[rok]],$L$2:$M$11,2,FALSE)*cukier8[[#This Row],[sprzedany_cukier]]</f>
        <v>18</v>
      </c>
    </row>
    <row r="1551" spans="1:5" x14ac:dyDescent="0.25">
      <c r="A1551" s="1">
        <v>40980</v>
      </c>
      <c r="B1551" t="s">
        <v>61</v>
      </c>
      <c r="C1551">
        <v>132</v>
      </c>
      <c r="D1551">
        <f>YEAR(cukier8[[#This Row],[data]])</f>
        <v>2012</v>
      </c>
      <c r="E1551">
        <f>VLOOKUP(cukier8[[#This Row],[rok]],$L$2:$M$11,2,FALSE)*cukier8[[#This Row],[sprzedany_cukier]]</f>
        <v>297</v>
      </c>
    </row>
    <row r="1552" spans="1:5" x14ac:dyDescent="0.25">
      <c r="A1552" s="1">
        <v>40980</v>
      </c>
      <c r="B1552" t="s">
        <v>26</v>
      </c>
      <c r="C1552">
        <v>168</v>
      </c>
      <c r="D1552">
        <f>YEAR(cukier8[[#This Row],[data]])</f>
        <v>2012</v>
      </c>
      <c r="E1552">
        <f>VLOOKUP(cukier8[[#This Row],[rok]],$L$2:$M$11,2,FALSE)*cukier8[[#This Row],[sprzedany_cukier]]</f>
        <v>378</v>
      </c>
    </row>
    <row r="1553" spans="1:5" x14ac:dyDescent="0.25">
      <c r="A1553" s="1">
        <v>40982</v>
      </c>
      <c r="B1553" t="s">
        <v>26</v>
      </c>
      <c r="C1553">
        <v>49</v>
      </c>
      <c r="D1553">
        <f>YEAR(cukier8[[#This Row],[data]])</f>
        <v>2012</v>
      </c>
      <c r="E1553">
        <f>VLOOKUP(cukier8[[#This Row],[rok]],$L$2:$M$11,2,FALSE)*cukier8[[#This Row],[sprzedany_cukier]]</f>
        <v>110.25</v>
      </c>
    </row>
    <row r="1554" spans="1:5" x14ac:dyDescent="0.25">
      <c r="A1554" s="1">
        <v>40984</v>
      </c>
      <c r="B1554" t="s">
        <v>37</v>
      </c>
      <c r="C1554">
        <v>140</v>
      </c>
      <c r="D1554">
        <f>YEAR(cukier8[[#This Row],[data]])</f>
        <v>2012</v>
      </c>
      <c r="E1554">
        <f>VLOOKUP(cukier8[[#This Row],[rok]],$L$2:$M$11,2,FALSE)*cukier8[[#This Row],[sprzedany_cukier]]</f>
        <v>315</v>
      </c>
    </row>
    <row r="1555" spans="1:5" x14ac:dyDescent="0.25">
      <c r="A1555" s="1">
        <v>40986</v>
      </c>
      <c r="B1555" t="s">
        <v>35</v>
      </c>
      <c r="C1555">
        <v>140</v>
      </c>
      <c r="D1555">
        <f>YEAR(cukier8[[#This Row],[data]])</f>
        <v>2012</v>
      </c>
      <c r="E1555">
        <f>VLOOKUP(cukier8[[#This Row],[rok]],$L$2:$M$11,2,FALSE)*cukier8[[#This Row],[sprzedany_cukier]]</f>
        <v>315</v>
      </c>
    </row>
    <row r="1556" spans="1:5" x14ac:dyDescent="0.25">
      <c r="A1556" s="1">
        <v>40986</v>
      </c>
      <c r="B1556" t="s">
        <v>23</v>
      </c>
      <c r="C1556">
        <v>194</v>
      </c>
      <c r="D1556">
        <f>YEAR(cukier8[[#This Row],[data]])</f>
        <v>2012</v>
      </c>
      <c r="E1556">
        <f>VLOOKUP(cukier8[[#This Row],[rok]],$L$2:$M$11,2,FALSE)*cukier8[[#This Row],[sprzedany_cukier]]</f>
        <v>436.5</v>
      </c>
    </row>
    <row r="1557" spans="1:5" x14ac:dyDescent="0.25">
      <c r="A1557" s="1">
        <v>40992</v>
      </c>
      <c r="B1557" t="s">
        <v>23</v>
      </c>
      <c r="C1557">
        <v>123</v>
      </c>
      <c r="D1557">
        <f>YEAR(cukier8[[#This Row],[data]])</f>
        <v>2012</v>
      </c>
      <c r="E1557">
        <f>VLOOKUP(cukier8[[#This Row],[rok]],$L$2:$M$11,2,FALSE)*cukier8[[#This Row],[sprzedany_cukier]]</f>
        <v>276.75</v>
      </c>
    </row>
    <row r="1558" spans="1:5" x14ac:dyDescent="0.25">
      <c r="A1558" s="1">
        <v>40992</v>
      </c>
      <c r="B1558" t="s">
        <v>74</v>
      </c>
      <c r="C1558">
        <v>11</v>
      </c>
      <c r="D1558">
        <f>YEAR(cukier8[[#This Row],[data]])</f>
        <v>2012</v>
      </c>
      <c r="E1558">
        <f>VLOOKUP(cukier8[[#This Row],[rok]],$L$2:$M$11,2,FALSE)*cukier8[[#This Row],[sprzedany_cukier]]</f>
        <v>24.75</v>
      </c>
    </row>
    <row r="1559" spans="1:5" x14ac:dyDescent="0.25">
      <c r="A1559" s="1">
        <v>40994</v>
      </c>
      <c r="B1559" t="s">
        <v>150</v>
      </c>
      <c r="C1559">
        <v>1</v>
      </c>
      <c r="D1559">
        <f>YEAR(cukier8[[#This Row],[data]])</f>
        <v>2012</v>
      </c>
      <c r="E1559">
        <f>VLOOKUP(cukier8[[#This Row],[rok]],$L$2:$M$11,2,FALSE)*cukier8[[#This Row],[sprzedany_cukier]]</f>
        <v>2.25</v>
      </c>
    </row>
    <row r="1560" spans="1:5" x14ac:dyDescent="0.25">
      <c r="A1560" s="1">
        <v>40995</v>
      </c>
      <c r="B1560" t="s">
        <v>9</v>
      </c>
      <c r="C1560">
        <v>267</v>
      </c>
      <c r="D1560">
        <f>YEAR(cukier8[[#This Row],[data]])</f>
        <v>2012</v>
      </c>
      <c r="E1560">
        <f>VLOOKUP(cukier8[[#This Row],[rok]],$L$2:$M$11,2,FALSE)*cukier8[[#This Row],[sprzedany_cukier]]</f>
        <v>600.75</v>
      </c>
    </row>
    <row r="1561" spans="1:5" x14ac:dyDescent="0.25">
      <c r="A1561" s="1">
        <v>40998</v>
      </c>
      <c r="B1561" t="s">
        <v>149</v>
      </c>
      <c r="C1561">
        <v>14</v>
      </c>
      <c r="D1561">
        <f>YEAR(cukier8[[#This Row],[data]])</f>
        <v>2012</v>
      </c>
      <c r="E1561">
        <f>VLOOKUP(cukier8[[#This Row],[rok]],$L$2:$M$11,2,FALSE)*cukier8[[#This Row],[sprzedany_cukier]]</f>
        <v>31.5</v>
      </c>
    </row>
    <row r="1562" spans="1:5" x14ac:dyDescent="0.25">
      <c r="A1562" s="1">
        <v>40999</v>
      </c>
      <c r="B1562" t="s">
        <v>20</v>
      </c>
      <c r="C1562">
        <v>160</v>
      </c>
      <c r="D1562">
        <f>YEAR(cukier8[[#This Row],[data]])</f>
        <v>2012</v>
      </c>
      <c r="E1562">
        <f>VLOOKUP(cukier8[[#This Row],[rok]],$L$2:$M$11,2,FALSE)*cukier8[[#This Row],[sprzedany_cukier]]</f>
        <v>360</v>
      </c>
    </row>
    <row r="1563" spans="1:5" x14ac:dyDescent="0.25">
      <c r="A1563" s="1">
        <v>40999</v>
      </c>
      <c r="B1563" t="s">
        <v>9</v>
      </c>
      <c r="C1563">
        <v>437</v>
      </c>
      <c r="D1563">
        <f>YEAR(cukier8[[#This Row],[data]])</f>
        <v>2012</v>
      </c>
      <c r="E1563">
        <f>VLOOKUP(cukier8[[#This Row],[rok]],$L$2:$M$11,2,FALSE)*cukier8[[#This Row],[sprzedany_cukier]]</f>
        <v>983.25</v>
      </c>
    </row>
    <row r="1564" spans="1:5" x14ac:dyDescent="0.25">
      <c r="A1564" s="1">
        <v>41003</v>
      </c>
      <c r="B1564" t="s">
        <v>123</v>
      </c>
      <c r="C1564">
        <v>71</v>
      </c>
      <c r="D1564">
        <f>YEAR(cukier8[[#This Row],[data]])</f>
        <v>2012</v>
      </c>
      <c r="E1564">
        <f>VLOOKUP(cukier8[[#This Row],[rok]],$L$2:$M$11,2,FALSE)*cukier8[[#This Row],[sprzedany_cukier]]</f>
        <v>159.75</v>
      </c>
    </row>
    <row r="1565" spans="1:5" x14ac:dyDescent="0.25">
      <c r="A1565" s="1">
        <v>41004</v>
      </c>
      <c r="B1565" t="s">
        <v>66</v>
      </c>
      <c r="C1565">
        <v>35</v>
      </c>
      <c r="D1565">
        <f>YEAR(cukier8[[#This Row],[data]])</f>
        <v>2012</v>
      </c>
      <c r="E1565">
        <f>VLOOKUP(cukier8[[#This Row],[rok]],$L$2:$M$11,2,FALSE)*cukier8[[#This Row],[sprzedany_cukier]]</f>
        <v>78.75</v>
      </c>
    </row>
    <row r="1566" spans="1:5" x14ac:dyDescent="0.25">
      <c r="A1566" s="1">
        <v>41005</v>
      </c>
      <c r="B1566" t="s">
        <v>22</v>
      </c>
      <c r="C1566">
        <v>116</v>
      </c>
      <c r="D1566">
        <f>YEAR(cukier8[[#This Row],[data]])</f>
        <v>2012</v>
      </c>
      <c r="E1566">
        <f>VLOOKUP(cukier8[[#This Row],[rok]],$L$2:$M$11,2,FALSE)*cukier8[[#This Row],[sprzedany_cukier]]</f>
        <v>261</v>
      </c>
    </row>
    <row r="1567" spans="1:5" x14ac:dyDescent="0.25">
      <c r="A1567" s="1">
        <v>41006</v>
      </c>
      <c r="B1567" t="s">
        <v>6</v>
      </c>
      <c r="C1567">
        <v>152</v>
      </c>
      <c r="D1567">
        <f>YEAR(cukier8[[#This Row],[data]])</f>
        <v>2012</v>
      </c>
      <c r="E1567">
        <f>VLOOKUP(cukier8[[#This Row],[rok]],$L$2:$M$11,2,FALSE)*cukier8[[#This Row],[sprzedany_cukier]]</f>
        <v>342</v>
      </c>
    </row>
    <row r="1568" spans="1:5" x14ac:dyDescent="0.25">
      <c r="A1568" s="1">
        <v>41011</v>
      </c>
      <c r="B1568" t="s">
        <v>7</v>
      </c>
      <c r="C1568">
        <v>309</v>
      </c>
      <c r="D1568">
        <f>YEAR(cukier8[[#This Row],[data]])</f>
        <v>2012</v>
      </c>
      <c r="E1568">
        <f>VLOOKUP(cukier8[[#This Row],[rok]],$L$2:$M$11,2,FALSE)*cukier8[[#This Row],[sprzedany_cukier]]</f>
        <v>695.25</v>
      </c>
    </row>
    <row r="1569" spans="1:5" x14ac:dyDescent="0.25">
      <c r="A1569" s="1">
        <v>41011</v>
      </c>
      <c r="B1569" t="s">
        <v>81</v>
      </c>
      <c r="C1569">
        <v>7</v>
      </c>
      <c r="D1569">
        <f>YEAR(cukier8[[#This Row],[data]])</f>
        <v>2012</v>
      </c>
      <c r="E1569">
        <f>VLOOKUP(cukier8[[#This Row],[rok]],$L$2:$M$11,2,FALSE)*cukier8[[#This Row],[sprzedany_cukier]]</f>
        <v>15.75</v>
      </c>
    </row>
    <row r="1570" spans="1:5" x14ac:dyDescent="0.25">
      <c r="A1570" s="1">
        <v>41011</v>
      </c>
      <c r="B1570" t="s">
        <v>102</v>
      </c>
      <c r="C1570">
        <v>353</v>
      </c>
      <c r="D1570">
        <f>YEAR(cukier8[[#This Row],[data]])</f>
        <v>2012</v>
      </c>
      <c r="E1570">
        <f>VLOOKUP(cukier8[[#This Row],[rok]],$L$2:$M$11,2,FALSE)*cukier8[[#This Row],[sprzedany_cukier]]</f>
        <v>794.25</v>
      </c>
    </row>
    <row r="1571" spans="1:5" x14ac:dyDescent="0.25">
      <c r="A1571" s="1">
        <v>41012</v>
      </c>
      <c r="B1571" t="s">
        <v>187</v>
      </c>
      <c r="C1571">
        <v>3</v>
      </c>
      <c r="D1571">
        <f>YEAR(cukier8[[#This Row],[data]])</f>
        <v>2012</v>
      </c>
      <c r="E1571">
        <f>VLOOKUP(cukier8[[#This Row],[rok]],$L$2:$M$11,2,FALSE)*cukier8[[#This Row],[sprzedany_cukier]]</f>
        <v>6.75</v>
      </c>
    </row>
    <row r="1572" spans="1:5" x14ac:dyDescent="0.25">
      <c r="A1572" s="1">
        <v>41013</v>
      </c>
      <c r="B1572" t="s">
        <v>14</v>
      </c>
      <c r="C1572">
        <v>166</v>
      </c>
      <c r="D1572">
        <f>YEAR(cukier8[[#This Row],[data]])</f>
        <v>2012</v>
      </c>
      <c r="E1572">
        <f>VLOOKUP(cukier8[[#This Row],[rok]],$L$2:$M$11,2,FALSE)*cukier8[[#This Row],[sprzedany_cukier]]</f>
        <v>373.5</v>
      </c>
    </row>
    <row r="1573" spans="1:5" x14ac:dyDescent="0.25">
      <c r="A1573" s="1">
        <v>41014</v>
      </c>
      <c r="B1573" t="s">
        <v>224</v>
      </c>
      <c r="C1573">
        <v>14</v>
      </c>
      <c r="D1573">
        <f>YEAR(cukier8[[#This Row],[data]])</f>
        <v>2012</v>
      </c>
      <c r="E1573">
        <f>VLOOKUP(cukier8[[#This Row],[rok]],$L$2:$M$11,2,FALSE)*cukier8[[#This Row],[sprzedany_cukier]]</f>
        <v>31.5</v>
      </c>
    </row>
    <row r="1574" spans="1:5" x14ac:dyDescent="0.25">
      <c r="A1574" s="1">
        <v>41014</v>
      </c>
      <c r="B1574" t="s">
        <v>6</v>
      </c>
      <c r="C1574">
        <v>141</v>
      </c>
      <c r="D1574">
        <f>YEAR(cukier8[[#This Row],[data]])</f>
        <v>2012</v>
      </c>
      <c r="E1574">
        <f>VLOOKUP(cukier8[[#This Row],[rok]],$L$2:$M$11,2,FALSE)*cukier8[[#This Row],[sprzedany_cukier]]</f>
        <v>317.25</v>
      </c>
    </row>
    <row r="1575" spans="1:5" x14ac:dyDescent="0.25">
      <c r="A1575" s="1">
        <v>41014</v>
      </c>
      <c r="B1575" t="s">
        <v>229</v>
      </c>
      <c r="C1575">
        <v>15</v>
      </c>
      <c r="D1575">
        <f>YEAR(cukier8[[#This Row],[data]])</f>
        <v>2012</v>
      </c>
      <c r="E1575">
        <f>VLOOKUP(cukier8[[#This Row],[rok]],$L$2:$M$11,2,FALSE)*cukier8[[#This Row],[sprzedany_cukier]]</f>
        <v>33.75</v>
      </c>
    </row>
    <row r="1576" spans="1:5" x14ac:dyDescent="0.25">
      <c r="A1576" s="1">
        <v>41020</v>
      </c>
      <c r="B1576" t="s">
        <v>22</v>
      </c>
      <c r="C1576">
        <v>157</v>
      </c>
      <c r="D1576">
        <f>YEAR(cukier8[[#This Row],[data]])</f>
        <v>2012</v>
      </c>
      <c r="E1576">
        <f>VLOOKUP(cukier8[[#This Row],[rok]],$L$2:$M$11,2,FALSE)*cukier8[[#This Row],[sprzedany_cukier]]</f>
        <v>353.25</v>
      </c>
    </row>
    <row r="1577" spans="1:5" x14ac:dyDescent="0.25">
      <c r="A1577" s="1">
        <v>41025</v>
      </c>
      <c r="B1577" t="s">
        <v>9</v>
      </c>
      <c r="C1577">
        <v>191</v>
      </c>
      <c r="D1577">
        <f>YEAR(cukier8[[#This Row],[data]])</f>
        <v>2012</v>
      </c>
      <c r="E1577">
        <f>VLOOKUP(cukier8[[#This Row],[rok]],$L$2:$M$11,2,FALSE)*cukier8[[#This Row],[sprzedany_cukier]]</f>
        <v>429.75</v>
      </c>
    </row>
    <row r="1578" spans="1:5" x14ac:dyDescent="0.25">
      <c r="A1578" s="1">
        <v>41026</v>
      </c>
      <c r="B1578" t="s">
        <v>36</v>
      </c>
      <c r="C1578">
        <v>7</v>
      </c>
      <c r="D1578">
        <f>YEAR(cukier8[[#This Row],[data]])</f>
        <v>2012</v>
      </c>
      <c r="E1578">
        <f>VLOOKUP(cukier8[[#This Row],[rok]],$L$2:$M$11,2,FALSE)*cukier8[[#This Row],[sprzedany_cukier]]</f>
        <v>15.75</v>
      </c>
    </row>
    <row r="1579" spans="1:5" x14ac:dyDescent="0.25">
      <c r="A1579" s="1">
        <v>41027</v>
      </c>
      <c r="B1579" t="s">
        <v>26</v>
      </c>
      <c r="C1579">
        <v>200</v>
      </c>
      <c r="D1579">
        <f>YEAR(cukier8[[#This Row],[data]])</f>
        <v>2012</v>
      </c>
      <c r="E1579">
        <f>VLOOKUP(cukier8[[#This Row],[rok]],$L$2:$M$11,2,FALSE)*cukier8[[#This Row],[sprzedany_cukier]]</f>
        <v>450</v>
      </c>
    </row>
    <row r="1580" spans="1:5" x14ac:dyDescent="0.25">
      <c r="A1580" s="1">
        <v>41033</v>
      </c>
      <c r="B1580" t="s">
        <v>149</v>
      </c>
      <c r="C1580">
        <v>15</v>
      </c>
      <c r="D1580">
        <f>YEAR(cukier8[[#This Row],[data]])</f>
        <v>2012</v>
      </c>
      <c r="E1580">
        <f>VLOOKUP(cukier8[[#This Row],[rok]],$L$2:$M$11,2,FALSE)*cukier8[[#This Row],[sprzedany_cukier]]</f>
        <v>33.75</v>
      </c>
    </row>
    <row r="1581" spans="1:5" x14ac:dyDescent="0.25">
      <c r="A1581" s="1">
        <v>41033</v>
      </c>
      <c r="B1581" t="s">
        <v>171</v>
      </c>
      <c r="C1581">
        <v>7</v>
      </c>
      <c r="D1581">
        <f>YEAR(cukier8[[#This Row],[data]])</f>
        <v>2012</v>
      </c>
      <c r="E1581">
        <f>VLOOKUP(cukier8[[#This Row],[rok]],$L$2:$M$11,2,FALSE)*cukier8[[#This Row],[sprzedany_cukier]]</f>
        <v>15.75</v>
      </c>
    </row>
    <row r="1582" spans="1:5" x14ac:dyDescent="0.25">
      <c r="A1582" s="1">
        <v>41033</v>
      </c>
      <c r="B1582" t="s">
        <v>14</v>
      </c>
      <c r="C1582">
        <v>235</v>
      </c>
      <c r="D1582">
        <f>YEAR(cukier8[[#This Row],[data]])</f>
        <v>2012</v>
      </c>
      <c r="E1582">
        <f>VLOOKUP(cukier8[[#This Row],[rok]],$L$2:$M$11,2,FALSE)*cukier8[[#This Row],[sprzedany_cukier]]</f>
        <v>528.75</v>
      </c>
    </row>
    <row r="1583" spans="1:5" x14ac:dyDescent="0.25">
      <c r="A1583" s="1">
        <v>41034</v>
      </c>
      <c r="B1583" t="s">
        <v>50</v>
      </c>
      <c r="C1583">
        <v>301</v>
      </c>
      <c r="D1583">
        <f>YEAR(cukier8[[#This Row],[data]])</f>
        <v>2012</v>
      </c>
      <c r="E1583">
        <f>VLOOKUP(cukier8[[#This Row],[rok]],$L$2:$M$11,2,FALSE)*cukier8[[#This Row],[sprzedany_cukier]]</f>
        <v>677.25</v>
      </c>
    </row>
    <row r="1584" spans="1:5" x14ac:dyDescent="0.25">
      <c r="A1584" s="1">
        <v>41036</v>
      </c>
      <c r="B1584" t="s">
        <v>5</v>
      </c>
      <c r="C1584">
        <v>136</v>
      </c>
      <c r="D1584">
        <f>YEAR(cukier8[[#This Row],[data]])</f>
        <v>2012</v>
      </c>
      <c r="E1584">
        <f>VLOOKUP(cukier8[[#This Row],[rok]],$L$2:$M$11,2,FALSE)*cukier8[[#This Row],[sprzedany_cukier]]</f>
        <v>306</v>
      </c>
    </row>
    <row r="1585" spans="1:5" x14ac:dyDescent="0.25">
      <c r="A1585" s="1">
        <v>41036</v>
      </c>
      <c r="B1585" t="s">
        <v>126</v>
      </c>
      <c r="C1585">
        <v>5</v>
      </c>
      <c r="D1585">
        <f>YEAR(cukier8[[#This Row],[data]])</f>
        <v>2012</v>
      </c>
      <c r="E1585">
        <f>VLOOKUP(cukier8[[#This Row],[rok]],$L$2:$M$11,2,FALSE)*cukier8[[#This Row],[sprzedany_cukier]]</f>
        <v>11.25</v>
      </c>
    </row>
    <row r="1586" spans="1:5" x14ac:dyDescent="0.25">
      <c r="A1586" s="1">
        <v>41037</v>
      </c>
      <c r="B1586" t="s">
        <v>7</v>
      </c>
      <c r="C1586">
        <v>280</v>
      </c>
      <c r="D1586">
        <f>YEAR(cukier8[[#This Row],[data]])</f>
        <v>2012</v>
      </c>
      <c r="E1586">
        <f>VLOOKUP(cukier8[[#This Row],[rok]],$L$2:$M$11,2,FALSE)*cukier8[[#This Row],[sprzedany_cukier]]</f>
        <v>630</v>
      </c>
    </row>
    <row r="1587" spans="1:5" x14ac:dyDescent="0.25">
      <c r="A1587" s="1">
        <v>41037</v>
      </c>
      <c r="B1587" t="s">
        <v>65</v>
      </c>
      <c r="C1587">
        <v>3</v>
      </c>
      <c r="D1587">
        <f>YEAR(cukier8[[#This Row],[data]])</f>
        <v>2012</v>
      </c>
      <c r="E1587">
        <f>VLOOKUP(cukier8[[#This Row],[rok]],$L$2:$M$11,2,FALSE)*cukier8[[#This Row],[sprzedany_cukier]]</f>
        <v>6.75</v>
      </c>
    </row>
    <row r="1588" spans="1:5" x14ac:dyDescent="0.25">
      <c r="A1588" s="1">
        <v>41040</v>
      </c>
      <c r="B1588" t="s">
        <v>206</v>
      </c>
      <c r="C1588">
        <v>14</v>
      </c>
      <c r="D1588">
        <f>YEAR(cukier8[[#This Row],[data]])</f>
        <v>2012</v>
      </c>
      <c r="E1588">
        <f>VLOOKUP(cukier8[[#This Row],[rok]],$L$2:$M$11,2,FALSE)*cukier8[[#This Row],[sprzedany_cukier]]</f>
        <v>31.5</v>
      </c>
    </row>
    <row r="1589" spans="1:5" x14ac:dyDescent="0.25">
      <c r="A1589" s="1">
        <v>41041</v>
      </c>
      <c r="B1589" t="s">
        <v>10</v>
      </c>
      <c r="C1589">
        <v>79</v>
      </c>
      <c r="D1589">
        <f>YEAR(cukier8[[#This Row],[data]])</f>
        <v>2012</v>
      </c>
      <c r="E1589">
        <f>VLOOKUP(cukier8[[#This Row],[rok]],$L$2:$M$11,2,FALSE)*cukier8[[#This Row],[sprzedany_cukier]]</f>
        <v>177.75</v>
      </c>
    </row>
    <row r="1590" spans="1:5" x14ac:dyDescent="0.25">
      <c r="A1590" s="1">
        <v>41042</v>
      </c>
      <c r="B1590" t="s">
        <v>173</v>
      </c>
      <c r="C1590">
        <v>86</v>
      </c>
      <c r="D1590">
        <f>YEAR(cukier8[[#This Row],[data]])</f>
        <v>2012</v>
      </c>
      <c r="E1590">
        <f>VLOOKUP(cukier8[[#This Row],[rok]],$L$2:$M$11,2,FALSE)*cukier8[[#This Row],[sprzedany_cukier]]</f>
        <v>193.5</v>
      </c>
    </row>
    <row r="1591" spans="1:5" x14ac:dyDescent="0.25">
      <c r="A1591" s="1">
        <v>41042</v>
      </c>
      <c r="B1591" t="s">
        <v>23</v>
      </c>
      <c r="C1591">
        <v>70</v>
      </c>
      <c r="D1591">
        <f>YEAR(cukier8[[#This Row],[data]])</f>
        <v>2012</v>
      </c>
      <c r="E1591">
        <f>VLOOKUP(cukier8[[#This Row],[rok]],$L$2:$M$11,2,FALSE)*cukier8[[#This Row],[sprzedany_cukier]]</f>
        <v>157.5</v>
      </c>
    </row>
    <row r="1592" spans="1:5" x14ac:dyDescent="0.25">
      <c r="A1592" s="1">
        <v>41043</v>
      </c>
      <c r="B1592" t="s">
        <v>20</v>
      </c>
      <c r="C1592">
        <v>189</v>
      </c>
      <c r="D1592">
        <f>YEAR(cukier8[[#This Row],[data]])</f>
        <v>2012</v>
      </c>
      <c r="E1592">
        <f>VLOOKUP(cukier8[[#This Row],[rok]],$L$2:$M$11,2,FALSE)*cukier8[[#This Row],[sprzedany_cukier]]</f>
        <v>425.25</v>
      </c>
    </row>
    <row r="1593" spans="1:5" x14ac:dyDescent="0.25">
      <c r="A1593" s="1">
        <v>41043</v>
      </c>
      <c r="B1593" t="s">
        <v>55</v>
      </c>
      <c r="C1593">
        <v>111</v>
      </c>
      <c r="D1593">
        <f>YEAR(cukier8[[#This Row],[data]])</f>
        <v>2012</v>
      </c>
      <c r="E1593">
        <f>VLOOKUP(cukier8[[#This Row],[rok]],$L$2:$M$11,2,FALSE)*cukier8[[#This Row],[sprzedany_cukier]]</f>
        <v>249.75</v>
      </c>
    </row>
    <row r="1594" spans="1:5" x14ac:dyDescent="0.25">
      <c r="A1594" s="1">
        <v>41046</v>
      </c>
      <c r="B1594" t="s">
        <v>19</v>
      </c>
      <c r="C1594">
        <v>158</v>
      </c>
      <c r="D1594">
        <f>YEAR(cukier8[[#This Row],[data]])</f>
        <v>2012</v>
      </c>
      <c r="E1594">
        <f>VLOOKUP(cukier8[[#This Row],[rok]],$L$2:$M$11,2,FALSE)*cukier8[[#This Row],[sprzedany_cukier]]</f>
        <v>355.5</v>
      </c>
    </row>
    <row r="1595" spans="1:5" x14ac:dyDescent="0.25">
      <c r="A1595" s="1">
        <v>41051</v>
      </c>
      <c r="B1595" t="s">
        <v>66</v>
      </c>
      <c r="C1595">
        <v>172</v>
      </c>
      <c r="D1595">
        <f>YEAR(cukier8[[#This Row],[data]])</f>
        <v>2012</v>
      </c>
      <c r="E1595">
        <f>VLOOKUP(cukier8[[#This Row],[rok]],$L$2:$M$11,2,FALSE)*cukier8[[#This Row],[sprzedany_cukier]]</f>
        <v>387</v>
      </c>
    </row>
    <row r="1596" spans="1:5" x14ac:dyDescent="0.25">
      <c r="A1596" s="1">
        <v>41052</v>
      </c>
      <c r="B1596" t="s">
        <v>50</v>
      </c>
      <c r="C1596">
        <v>179</v>
      </c>
      <c r="D1596">
        <f>YEAR(cukier8[[#This Row],[data]])</f>
        <v>2012</v>
      </c>
      <c r="E1596">
        <f>VLOOKUP(cukier8[[#This Row],[rok]],$L$2:$M$11,2,FALSE)*cukier8[[#This Row],[sprzedany_cukier]]</f>
        <v>402.75</v>
      </c>
    </row>
    <row r="1597" spans="1:5" x14ac:dyDescent="0.25">
      <c r="A1597" s="1">
        <v>41053</v>
      </c>
      <c r="B1597" t="s">
        <v>104</v>
      </c>
      <c r="C1597">
        <v>19</v>
      </c>
      <c r="D1597">
        <f>YEAR(cukier8[[#This Row],[data]])</f>
        <v>2012</v>
      </c>
      <c r="E1597">
        <f>VLOOKUP(cukier8[[#This Row],[rok]],$L$2:$M$11,2,FALSE)*cukier8[[#This Row],[sprzedany_cukier]]</f>
        <v>42.75</v>
      </c>
    </row>
    <row r="1598" spans="1:5" x14ac:dyDescent="0.25">
      <c r="A1598" s="1">
        <v>41053</v>
      </c>
      <c r="B1598" t="s">
        <v>28</v>
      </c>
      <c r="C1598">
        <v>57</v>
      </c>
      <c r="D1598">
        <f>YEAR(cukier8[[#This Row],[data]])</f>
        <v>2012</v>
      </c>
      <c r="E1598">
        <f>VLOOKUP(cukier8[[#This Row],[rok]],$L$2:$M$11,2,FALSE)*cukier8[[#This Row],[sprzedany_cukier]]</f>
        <v>128.25</v>
      </c>
    </row>
    <row r="1599" spans="1:5" x14ac:dyDescent="0.25">
      <c r="A1599" s="1">
        <v>41054</v>
      </c>
      <c r="B1599" t="s">
        <v>50</v>
      </c>
      <c r="C1599">
        <v>335</v>
      </c>
      <c r="D1599">
        <f>YEAR(cukier8[[#This Row],[data]])</f>
        <v>2012</v>
      </c>
      <c r="E1599">
        <f>VLOOKUP(cukier8[[#This Row],[rok]],$L$2:$M$11,2,FALSE)*cukier8[[#This Row],[sprzedany_cukier]]</f>
        <v>753.75</v>
      </c>
    </row>
    <row r="1600" spans="1:5" x14ac:dyDescent="0.25">
      <c r="A1600" s="1">
        <v>41060</v>
      </c>
      <c r="B1600" t="s">
        <v>164</v>
      </c>
      <c r="C1600">
        <v>12</v>
      </c>
      <c r="D1600">
        <f>YEAR(cukier8[[#This Row],[data]])</f>
        <v>2012</v>
      </c>
      <c r="E1600">
        <f>VLOOKUP(cukier8[[#This Row],[rok]],$L$2:$M$11,2,FALSE)*cukier8[[#This Row],[sprzedany_cukier]]</f>
        <v>27</v>
      </c>
    </row>
    <row r="1601" spans="1:5" x14ac:dyDescent="0.25">
      <c r="A1601" s="1">
        <v>41061</v>
      </c>
      <c r="B1601" t="s">
        <v>125</v>
      </c>
      <c r="C1601">
        <v>2</v>
      </c>
      <c r="D1601">
        <f>YEAR(cukier8[[#This Row],[data]])</f>
        <v>2012</v>
      </c>
      <c r="E1601">
        <f>VLOOKUP(cukier8[[#This Row],[rok]],$L$2:$M$11,2,FALSE)*cukier8[[#This Row],[sprzedany_cukier]]</f>
        <v>4.5</v>
      </c>
    </row>
    <row r="1602" spans="1:5" x14ac:dyDescent="0.25">
      <c r="A1602" s="1">
        <v>41061</v>
      </c>
      <c r="B1602" t="s">
        <v>50</v>
      </c>
      <c r="C1602">
        <v>237</v>
      </c>
      <c r="D1602">
        <f>YEAR(cukier8[[#This Row],[data]])</f>
        <v>2012</v>
      </c>
      <c r="E1602">
        <f>VLOOKUP(cukier8[[#This Row],[rok]],$L$2:$M$11,2,FALSE)*cukier8[[#This Row],[sprzedany_cukier]]</f>
        <v>533.25</v>
      </c>
    </row>
    <row r="1603" spans="1:5" x14ac:dyDescent="0.25">
      <c r="A1603" s="1">
        <v>41064</v>
      </c>
      <c r="B1603" t="s">
        <v>7</v>
      </c>
      <c r="C1603">
        <v>482</v>
      </c>
      <c r="D1603">
        <f>YEAR(cukier8[[#This Row],[data]])</f>
        <v>2012</v>
      </c>
      <c r="E1603">
        <f>VLOOKUP(cukier8[[#This Row],[rok]],$L$2:$M$11,2,FALSE)*cukier8[[#This Row],[sprzedany_cukier]]</f>
        <v>1084.5</v>
      </c>
    </row>
    <row r="1604" spans="1:5" x14ac:dyDescent="0.25">
      <c r="A1604" s="1">
        <v>41064</v>
      </c>
      <c r="B1604" t="s">
        <v>125</v>
      </c>
      <c r="C1604">
        <v>8</v>
      </c>
      <c r="D1604">
        <f>YEAR(cukier8[[#This Row],[data]])</f>
        <v>2012</v>
      </c>
      <c r="E1604">
        <f>VLOOKUP(cukier8[[#This Row],[rok]],$L$2:$M$11,2,FALSE)*cukier8[[#This Row],[sprzedany_cukier]]</f>
        <v>18</v>
      </c>
    </row>
    <row r="1605" spans="1:5" x14ac:dyDescent="0.25">
      <c r="A1605" s="1">
        <v>41067</v>
      </c>
      <c r="B1605" t="s">
        <v>35</v>
      </c>
      <c r="C1605">
        <v>147</v>
      </c>
      <c r="D1605">
        <f>YEAR(cukier8[[#This Row],[data]])</f>
        <v>2012</v>
      </c>
      <c r="E1605">
        <f>VLOOKUP(cukier8[[#This Row],[rok]],$L$2:$M$11,2,FALSE)*cukier8[[#This Row],[sprzedany_cukier]]</f>
        <v>330.75</v>
      </c>
    </row>
    <row r="1606" spans="1:5" x14ac:dyDescent="0.25">
      <c r="A1606" s="1">
        <v>41069</v>
      </c>
      <c r="B1606" t="s">
        <v>22</v>
      </c>
      <c r="C1606">
        <v>224</v>
      </c>
      <c r="D1606">
        <f>YEAR(cukier8[[#This Row],[data]])</f>
        <v>2012</v>
      </c>
      <c r="E1606">
        <f>VLOOKUP(cukier8[[#This Row],[rok]],$L$2:$M$11,2,FALSE)*cukier8[[#This Row],[sprzedany_cukier]]</f>
        <v>504</v>
      </c>
    </row>
    <row r="1607" spans="1:5" x14ac:dyDescent="0.25">
      <c r="A1607" s="1">
        <v>41070</v>
      </c>
      <c r="B1607" t="s">
        <v>177</v>
      </c>
      <c r="C1607">
        <v>11</v>
      </c>
      <c r="D1607">
        <f>YEAR(cukier8[[#This Row],[data]])</f>
        <v>2012</v>
      </c>
      <c r="E1607">
        <f>VLOOKUP(cukier8[[#This Row],[rok]],$L$2:$M$11,2,FALSE)*cukier8[[#This Row],[sprzedany_cukier]]</f>
        <v>24.75</v>
      </c>
    </row>
    <row r="1608" spans="1:5" x14ac:dyDescent="0.25">
      <c r="A1608" s="1">
        <v>41074</v>
      </c>
      <c r="B1608" t="s">
        <v>37</v>
      </c>
      <c r="C1608">
        <v>184</v>
      </c>
      <c r="D1608">
        <f>YEAR(cukier8[[#This Row],[data]])</f>
        <v>2012</v>
      </c>
      <c r="E1608">
        <f>VLOOKUP(cukier8[[#This Row],[rok]],$L$2:$M$11,2,FALSE)*cukier8[[#This Row],[sprzedany_cukier]]</f>
        <v>414</v>
      </c>
    </row>
    <row r="1609" spans="1:5" x14ac:dyDescent="0.25">
      <c r="A1609" s="1">
        <v>41076</v>
      </c>
      <c r="B1609" t="s">
        <v>168</v>
      </c>
      <c r="C1609">
        <v>20</v>
      </c>
      <c r="D1609">
        <f>YEAR(cukier8[[#This Row],[data]])</f>
        <v>2012</v>
      </c>
      <c r="E1609">
        <f>VLOOKUP(cukier8[[#This Row],[rok]],$L$2:$M$11,2,FALSE)*cukier8[[#This Row],[sprzedany_cukier]]</f>
        <v>45</v>
      </c>
    </row>
    <row r="1610" spans="1:5" x14ac:dyDescent="0.25">
      <c r="A1610" s="1">
        <v>41076</v>
      </c>
      <c r="B1610" t="s">
        <v>50</v>
      </c>
      <c r="C1610">
        <v>221</v>
      </c>
      <c r="D1610">
        <f>YEAR(cukier8[[#This Row],[data]])</f>
        <v>2012</v>
      </c>
      <c r="E1610">
        <f>VLOOKUP(cukier8[[#This Row],[rok]],$L$2:$M$11,2,FALSE)*cukier8[[#This Row],[sprzedany_cukier]]</f>
        <v>497.25</v>
      </c>
    </row>
    <row r="1611" spans="1:5" x14ac:dyDescent="0.25">
      <c r="A1611" s="1">
        <v>41079</v>
      </c>
      <c r="B1611" t="s">
        <v>37</v>
      </c>
      <c r="C1611">
        <v>162</v>
      </c>
      <c r="D1611">
        <f>YEAR(cukier8[[#This Row],[data]])</f>
        <v>2012</v>
      </c>
      <c r="E1611">
        <f>VLOOKUP(cukier8[[#This Row],[rok]],$L$2:$M$11,2,FALSE)*cukier8[[#This Row],[sprzedany_cukier]]</f>
        <v>364.5</v>
      </c>
    </row>
    <row r="1612" spans="1:5" x14ac:dyDescent="0.25">
      <c r="A1612" s="1">
        <v>41083</v>
      </c>
      <c r="B1612" t="s">
        <v>91</v>
      </c>
      <c r="C1612">
        <v>19</v>
      </c>
      <c r="D1612">
        <f>YEAR(cukier8[[#This Row],[data]])</f>
        <v>2012</v>
      </c>
      <c r="E1612">
        <f>VLOOKUP(cukier8[[#This Row],[rok]],$L$2:$M$11,2,FALSE)*cukier8[[#This Row],[sprzedany_cukier]]</f>
        <v>42.75</v>
      </c>
    </row>
    <row r="1613" spans="1:5" x14ac:dyDescent="0.25">
      <c r="A1613" s="1">
        <v>41088</v>
      </c>
      <c r="B1613" t="s">
        <v>178</v>
      </c>
      <c r="C1613">
        <v>1</v>
      </c>
      <c r="D1613">
        <f>YEAR(cukier8[[#This Row],[data]])</f>
        <v>2012</v>
      </c>
      <c r="E1613">
        <f>VLOOKUP(cukier8[[#This Row],[rok]],$L$2:$M$11,2,FALSE)*cukier8[[#This Row],[sprzedany_cukier]]</f>
        <v>2.25</v>
      </c>
    </row>
    <row r="1614" spans="1:5" x14ac:dyDescent="0.25">
      <c r="A1614" s="1">
        <v>41090</v>
      </c>
      <c r="B1614" t="s">
        <v>12</v>
      </c>
      <c r="C1614">
        <v>122</v>
      </c>
      <c r="D1614">
        <f>YEAR(cukier8[[#This Row],[data]])</f>
        <v>2012</v>
      </c>
      <c r="E1614">
        <f>VLOOKUP(cukier8[[#This Row],[rok]],$L$2:$M$11,2,FALSE)*cukier8[[#This Row],[sprzedany_cukier]]</f>
        <v>274.5</v>
      </c>
    </row>
    <row r="1615" spans="1:5" x14ac:dyDescent="0.25">
      <c r="A1615" s="1">
        <v>41090</v>
      </c>
      <c r="B1615" t="s">
        <v>17</v>
      </c>
      <c r="C1615">
        <v>163</v>
      </c>
      <c r="D1615">
        <f>YEAR(cukier8[[#This Row],[data]])</f>
        <v>2012</v>
      </c>
      <c r="E1615">
        <f>VLOOKUP(cukier8[[#This Row],[rok]],$L$2:$M$11,2,FALSE)*cukier8[[#This Row],[sprzedany_cukier]]</f>
        <v>366.75</v>
      </c>
    </row>
    <row r="1616" spans="1:5" x14ac:dyDescent="0.25">
      <c r="A1616" s="1">
        <v>41091</v>
      </c>
      <c r="B1616" t="s">
        <v>66</v>
      </c>
      <c r="C1616">
        <v>29</v>
      </c>
      <c r="D1616">
        <f>YEAR(cukier8[[#This Row],[data]])</f>
        <v>2012</v>
      </c>
      <c r="E1616">
        <f>VLOOKUP(cukier8[[#This Row],[rok]],$L$2:$M$11,2,FALSE)*cukier8[[#This Row],[sprzedany_cukier]]</f>
        <v>65.25</v>
      </c>
    </row>
    <row r="1617" spans="1:5" x14ac:dyDescent="0.25">
      <c r="A1617" s="1">
        <v>41095</v>
      </c>
      <c r="B1617" t="s">
        <v>55</v>
      </c>
      <c r="C1617">
        <v>106</v>
      </c>
      <c r="D1617">
        <f>YEAR(cukier8[[#This Row],[data]])</f>
        <v>2012</v>
      </c>
      <c r="E1617">
        <f>VLOOKUP(cukier8[[#This Row],[rok]],$L$2:$M$11,2,FALSE)*cukier8[[#This Row],[sprzedany_cukier]]</f>
        <v>238.5</v>
      </c>
    </row>
    <row r="1618" spans="1:5" x14ac:dyDescent="0.25">
      <c r="A1618" s="1">
        <v>41096</v>
      </c>
      <c r="B1618" t="s">
        <v>14</v>
      </c>
      <c r="C1618">
        <v>112</v>
      </c>
      <c r="D1618">
        <f>YEAR(cukier8[[#This Row],[data]])</f>
        <v>2012</v>
      </c>
      <c r="E1618">
        <f>VLOOKUP(cukier8[[#This Row],[rok]],$L$2:$M$11,2,FALSE)*cukier8[[#This Row],[sprzedany_cukier]]</f>
        <v>252</v>
      </c>
    </row>
    <row r="1619" spans="1:5" x14ac:dyDescent="0.25">
      <c r="A1619" s="1">
        <v>41097</v>
      </c>
      <c r="B1619" t="s">
        <v>28</v>
      </c>
      <c r="C1619">
        <v>90</v>
      </c>
      <c r="D1619">
        <f>YEAR(cukier8[[#This Row],[data]])</f>
        <v>2012</v>
      </c>
      <c r="E1619">
        <f>VLOOKUP(cukier8[[#This Row],[rok]],$L$2:$M$11,2,FALSE)*cukier8[[#This Row],[sprzedany_cukier]]</f>
        <v>202.5</v>
      </c>
    </row>
    <row r="1620" spans="1:5" x14ac:dyDescent="0.25">
      <c r="A1620" s="1">
        <v>41099</v>
      </c>
      <c r="B1620" t="s">
        <v>16</v>
      </c>
      <c r="C1620">
        <v>7</v>
      </c>
      <c r="D1620">
        <f>YEAR(cukier8[[#This Row],[data]])</f>
        <v>2012</v>
      </c>
      <c r="E1620">
        <f>VLOOKUP(cukier8[[#This Row],[rok]],$L$2:$M$11,2,FALSE)*cukier8[[#This Row],[sprzedany_cukier]]</f>
        <v>15.75</v>
      </c>
    </row>
    <row r="1621" spans="1:5" x14ac:dyDescent="0.25">
      <c r="A1621" s="1">
        <v>41099</v>
      </c>
      <c r="B1621" t="s">
        <v>23</v>
      </c>
      <c r="C1621">
        <v>27</v>
      </c>
      <c r="D1621">
        <f>YEAR(cukier8[[#This Row],[data]])</f>
        <v>2012</v>
      </c>
      <c r="E1621">
        <f>VLOOKUP(cukier8[[#This Row],[rok]],$L$2:$M$11,2,FALSE)*cukier8[[#This Row],[sprzedany_cukier]]</f>
        <v>60.75</v>
      </c>
    </row>
    <row r="1622" spans="1:5" x14ac:dyDescent="0.25">
      <c r="A1622" s="1">
        <v>41099</v>
      </c>
      <c r="B1622" t="s">
        <v>61</v>
      </c>
      <c r="C1622">
        <v>185</v>
      </c>
      <c r="D1622">
        <f>YEAR(cukier8[[#This Row],[data]])</f>
        <v>2012</v>
      </c>
      <c r="E1622">
        <f>VLOOKUP(cukier8[[#This Row],[rok]],$L$2:$M$11,2,FALSE)*cukier8[[#This Row],[sprzedany_cukier]]</f>
        <v>416.25</v>
      </c>
    </row>
    <row r="1623" spans="1:5" x14ac:dyDescent="0.25">
      <c r="A1623" s="1">
        <v>41100</v>
      </c>
      <c r="B1623" t="s">
        <v>22</v>
      </c>
      <c r="C1623">
        <v>153</v>
      </c>
      <c r="D1623">
        <f>YEAR(cukier8[[#This Row],[data]])</f>
        <v>2012</v>
      </c>
      <c r="E1623">
        <f>VLOOKUP(cukier8[[#This Row],[rok]],$L$2:$M$11,2,FALSE)*cukier8[[#This Row],[sprzedany_cukier]]</f>
        <v>344.25</v>
      </c>
    </row>
    <row r="1624" spans="1:5" x14ac:dyDescent="0.25">
      <c r="A1624" s="1">
        <v>41102</v>
      </c>
      <c r="B1624" t="s">
        <v>61</v>
      </c>
      <c r="C1624">
        <v>109</v>
      </c>
      <c r="D1624">
        <f>YEAR(cukier8[[#This Row],[data]])</f>
        <v>2012</v>
      </c>
      <c r="E1624">
        <f>VLOOKUP(cukier8[[#This Row],[rok]],$L$2:$M$11,2,FALSE)*cukier8[[#This Row],[sprzedany_cukier]]</f>
        <v>245.25</v>
      </c>
    </row>
    <row r="1625" spans="1:5" x14ac:dyDescent="0.25">
      <c r="A1625" s="1">
        <v>41104</v>
      </c>
      <c r="B1625" t="s">
        <v>211</v>
      </c>
      <c r="C1625">
        <v>10</v>
      </c>
      <c r="D1625">
        <f>YEAR(cukier8[[#This Row],[data]])</f>
        <v>2012</v>
      </c>
      <c r="E1625">
        <f>VLOOKUP(cukier8[[#This Row],[rok]],$L$2:$M$11,2,FALSE)*cukier8[[#This Row],[sprzedany_cukier]]</f>
        <v>22.5</v>
      </c>
    </row>
    <row r="1626" spans="1:5" x14ac:dyDescent="0.25">
      <c r="A1626" s="1">
        <v>41104</v>
      </c>
      <c r="B1626" t="s">
        <v>79</v>
      </c>
      <c r="C1626">
        <v>10</v>
      </c>
      <c r="D1626">
        <f>YEAR(cukier8[[#This Row],[data]])</f>
        <v>2012</v>
      </c>
      <c r="E1626">
        <f>VLOOKUP(cukier8[[#This Row],[rok]],$L$2:$M$11,2,FALSE)*cukier8[[#This Row],[sprzedany_cukier]]</f>
        <v>22.5</v>
      </c>
    </row>
    <row r="1627" spans="1:5" x14ac:dyDescent="0.25">
      <c r="A1627" s="1">
        <v>41106</v>
      </c>
      <c r="B1627" t="s">
        <v>131</v>
      </c>
      <c r="C1627">
        <v>90</v>
      </c>
      <c r="D1627">
        <f>YEAR(cukier8[[#This Row],[data]])</f>
        <v>2012</v>
      </c>
      <c r="E1627">
        <f>VLOOKUP(cukier8[[#This Row],[rok]],$L$2:$M$11,2,FALSE)*cukier8[[#This Row],[sprzedany_cukier]]</f>
        <v>202.5</v>
      </c>
    </row>
    <row r="1628" spans="1:5" x14ac:dyDescent="0.25">
      <c r="A1628" s="1">
        <v>41106</v>
      </c>
      <c r="B1628" t="s">
        <v>58</v>
      </c>
      <c r="C1628">
        <v>34</v>
      </c>
      <c r="D1628">
        <f>YEAR(cukier8[[#This Row],[data]])</f>
        <v>2012</v>
      </c>
      <c r="E1628">
        <f>VLOOKUP(cukier8[[#This Row],[rok]],$L$2:$M$11,2,FALSE)*cukier8[[#This Row],[sprzedany_cukier]]</f>
        <v>76.5</v>
      </c>
    </row>
    <row r="1629" spans="1:5" x14ac:dyDescent="0.25">
      <c r="A1629" s="1">
        <v>41108</v>
      </c>
      <c r="B1629" t="s">
        <v>9</v>
      </c>
      <c r="C1629">
        <v>106</v>
      </c>
      <c r="D1629">
        <f>YEAR(cukier8[[#This Row],[data]])</f>
        <v>2012</v>
      </c>
      <c r="E1629">
        <f>VLOOKUP(cukier8[[#This Row],[rok]],$L$2:$M$11,2,FALSE)*cukier8[[#This Row],[sprzedany_cukier]]</f>
        <v>238.5</v>
      </c>
    </row>
    <row r="1630" spans="1:5" x14ac:dyDescent="0.25">
      <c r="A1630" s="1">
        <v>41109</v>
      </c>
      <c r="B1630" t="s">
        <v>9</v>
      </c>
      <c r="C1630">
        <v>229</v>
      </c>
      <c r="D1630">
        <f>YEAR(cukier8[[#This Row],[data]])</f>
        <v>2012</v>
      </c>
      <c r="E1630">
        <f>VLOOKUP(cukier8[[#This Row],[rok]],$L$2:$M$11,2,FALSE)*cukier8[[#This Row],[sprzedany_cukier]]</f>
        <v>515.25</v>
      </c>
    </row>
    <row r="1631" spans="1:5" x14ac:dyDescent="0.25">
      <c r="A1631" s="1">
        <v>41115</v>
      </c>
      <c r="B1631" t="s">
        <v>17</v>
      </c>
      <c r="C1631">
        <v>229</v>
      </c>
      <c r="D1631">
        <f>YEAR(cukier8[[#This Row],[data]])</f>
        <v>2012</v>
      </c>
      <c r="E1631">
        <f>VLOOKUP(cukier8[[#This Row],[rok]],$L$2:$M$11,2,FALSE)*cukier8[[#This Row],[sprzedany_cukier]]</f>
        <v>515.25</v>
      </c>
    </row>
    <row r="1632" spans="1:5" x14ac:dyDescent="0.25">
      <c r="A1632" s="1">
        <v>41115</v>
      </c>
      <c r="B1632" t="s">
        <v>47</v>
      </c>
      <c r="C1632">
        <v>20</v>
      </c>
      <c r="D1632">
        <f>YEAR(cukier8[[#This Row],[data]])</f>
        <v>2012</v>
      </c>
      <c r="E1632">
        <f>VLOOKUP(cukier8[[#This Row],[rok]],$L$2:$M$11,2,FALSE)*cukier8[[#This Row],[sprzedany_cukier]]</f>
        <v>45</v>
      </c>
    </row>
    <row r="1633" spans="1:5" x14ac:dyDescent="0.25">
      <c r="A1633" s="1">
        <v>41115</v>
      </c>
      <c r="B1633" t="s">
        <v>45</v>
      </c>
      <c r="C1633">
        <v>261</v>
      </c>
      <c r="D1633">
        <f>YEAR(cukier8[[#This Row],[data]])</f>
        <v>2012</v>
      </c>
      <c r="E1633">
        <f>VLOOKUP(cukier8[[#This Row],[rok]],$L$2:$M$11,2,FALSE)*cukier8[[#This Row],[sprzedany_cukier]]</f>
        <v>587.25</v>
      </c>
    </row>
    <row r="1634" spans="1:5" x14ac:dyDescent="0.25">
      <c r="A1634" s="1">
        <v>41118</v>
      </c>
      <c r="B1634" t="s">
        <v>147</v>
      </c>
      <c r="C1634">
        <v>10</v>
      </c>
      <c r="D1634">
        <f>YEAR(cukier8[[#This Row],[data]])</f>
        <v>2012</v>
      </c>
      <c r="E1634">
        <f>VLOOKUP(cukier8[[#This Row],[rok]],$L$2:$M$11,2,FALSE)*cukier8[[#This Row],[sprzedany_cukier]]</f>
        <v>22.5</v>
      </c>
    </row>
    <row r="1635" spans="1:5" x14ac:dyDescent="0.25">
      <c r="A1635" s="1">
        <v>41118</v>
      </c>
      <c r="B1635" t="s">
        <v>7</v>
      </c>
      <c r="C1635">
        <v>400</v>
      </c>
      <c r="D1635">
        <f>YEAR(cukier8[[#This Row],[data]])</f>
        <v>2012</v>
      </c>
      <c r="E1635">
        <f>VLOOKUP(cukier8[[#This Row],[rok]],$L$2:$M$11,2,FALSE)*cukier8[[#This Row],[sprzedany_cukier]]</f>
        <v>900</v>
      </c>
    </row>
    <row r="1636" spans="1:5" x14ac:dyDescent="0.25">
      <c r="A1636" s="1">
        <v>41122</v>
      </c>
      <c r="B1636" t="s">
        <v>14</v>
      </c>
      <c r="C1636">
        <v>401</v>
      </c>
      <c r="D1636">
        <f>YEAR(cukier8[[#This Row],[data]])</f>
        <v>2012</v>
      </c>
      <c r="E1636">
        <f>VLOOKUP(cukier8[[#This Row],[rok]],$L$2:$M$11,2,FALSE)*cukier8[[#This Row],[sprzedany_cukier]]</f>
        <v>902.25</v>
      </c>
    </row>
    <row r="1637" spans="1:5" x14ac:dyDescent="0.25">
      <c r="A1637" s="1">
        <v>41124</v>
      </c>
      <c r="B1637" t="s">
        <v>55</v>
      </c>
      <c r="C1637">
        <v>170</v>
      </c>
      <c r="D1637">
        <f>YEAR(cukier8[[#This Row],[data]])</f>
        <v>2012</v>
      </c>
      <c r="E1637">
        <f>VLOOKUP(cukier8[[#This Row],[rok]],$L$2:$M$11,2,FALSE)*cukier8[[#This Row],[sprzedany_cukier]]</f>
        <v>382.5</v>
      </c>
    </row>
    <row r="1638" spans="1:5" x14ac:dyDescent="0.25">
      <c r="A1638" s="1">
        <v>41125</v>
      </c>
      <c r="B1638" t="s">
        <v>22</v>
      </c>
      <c r="C1638">
        <v>124</v>
      </c>
      <c r="D1638">
        <f>YEAR(cukier8[[#This Row],[data]])</f>
        <v>2012</v>
      </c>
      <c r="E1638">
        <f>VLOOKUP(cukier8[[#This Row],[rok]],$L$2:$M$11,2,FALSE)*cukier8[[#This Row],[sprzedany_cukier]]</f>
        <v>279</v>
      </c>
    </row>
    <row r="1639" spans="1:5" x14ac:dyDescent="0.25">
      <c r="A1639" s="1">
        <v>41127</v>
      </c>
      <c r="B1639" t="s">
        <v>201</v>
      </c>
      <c r="C1639">
        <v>13</v>
      </c>
      <c r="D1639">
        <f>YEAR(cukier8[[#This Row],[data]])</f>
        <v>2012</v>
      </c>
      <c r="E1639">
        <f>VLOOKUP(cukier8[[#This Row],[rok]],$L$2:$M$11,2,FALSE)*cukier8[[#This Row],[sprzedany_cukier]]</f>
        <v>29.25</v>
      </c>
    </row>
    <row r="1640" spans="1:5" x14ac:dyDescent="0.25">
      <c r="A1640" s="1">
        <v>41130</v>
      </c>
      <c r="B1640" t="s">
        <v>19</v>
      </c>
      <c r="C1640">
        <v>87</v>
      </c>
      <c r="D1640">
        <f>YEAR(cukier8[[#This Row],[data]])</f>
        <v>2012</v>
      </c>
      <c r="E1640">
        <f>VLOOKUP(cukier8[[#This Row],[rok]],$L$2:$M$11,2,FALSE)*cukier8[[#This Row],[sprzedany_cukier]]</f>
        <v>195.75</v>
      </c>
    </row>
    <row r="1641" spans="1:5" x14ac:dyDescent="0.25">
      <c r="A1641" s="1">
        <v>41130</v>
      </c>
      <c r="B1641" t="s">
        <v>24</v>
      </c>
      <c r="C1641">
        <v>190</v>
      </c>
      <c r="D1641">
        <f>YEAR(cukier8[[#This Row],[data]])</f>
        <v>2012</v>
      </c>
      <c r="E1641">
        <f>VLOOKUP(cukier8[[#This Row],[rok]],$L$2:$M$11,2,FALSE)*cukier8[[#This Row],[sprzedany_cukier]]</f>
        <v>427.5</v>
      </c>
    </row>
    <row r="1642" spans="1:5" x14ac:dyDescent="0.25">
      <c r="A1642" s="1">
        <v>41130</v>
      </c>
      <c r="B1642" t="s">
        <v>50</v>
      </c>
      <c r="C1642">
        <v>349</v>
      </c>
      <c r="D1642">
        <f>YEAR(cukier8[[#This Row],[data]])</f>
        <v>2012</v>
      </c>
      <c r="E1642">
        <f>VLOOKUP(cukier8[[#This Row],[rok]],$L$2:$M$11,2,FALSE)*cukier8[[#This Row],[sprzedany_cukier]]</f>
        <v>785.25</v>
      </c>
    </row>
    <row r="1643" spans="1:5" x14ac:dyDescent="0.25">
      <c r="A1643" s="1">
        <v>41132</v>
      </c>
      <c r="B1643" t="s">
        <v>181</v>
      </c>
      <c r="C1643">
        <v>16</v>
      </c>
      <c r="D1643">
        <f>YEAR(cukier8[[#This Row],[data]])</f>
        <v>2012</v>
      </c>
      <c r="E1643">
        <f>VLOOKUP(cukier8[[#This Row],[rok]],$L$2:$M$11,2,FALSE)*cukier8[[#This Row],[sprzedany_cukier]]</f>
        <v>36</v>
      </c>
    </row>
    <row r="1644" spans="1:5" x14ac:dyDescent="0.25">
      <c r="A1644" s="1">
        <v>41133</v>
      </c>
      <c r="B1644" t="s">
        <v>71</v>
      </c>
      <c r="C1644">
        <v>42</v>
      </c>
      <c r="D1644">
        <f>YEAR(cukier8[[#This Row],[data]])</f>
        <v>2012</v>
      </c>
      <c r="E1644">
        <f>VLOOKUP(cukier8[[#This Row],[rok]],$L$2:$M$11,2,FALSE)*cukier8[[#This Row],[sprzedany_cukier]]</f>
        <v>94.5</v>
      </c>
    </row>
    <row r="1645" spans="1:5" x14ac:dyDescent="0.25">
      <c r="A1645" s="1">
        <v>41134</v>
      </c>
      <c r="B1645" t="s">
        <v>23</v>
      </c>
      <c r="C1645">
        <v>70</v>
      </c>
      <c r="D1645">
        <f>YEAR(cukier8[[#This Row],[data]])</f>
        <v>2012</v>
      </c>
      <c r="E1645">
        <f>VLOOKUP(cukier8[[#This Row],[rok]],$L$2:$M$11,2,FALSE)*cukier8[[#This Row],[sprzedany_cukier]]</f>
        <v>157.5</v>
      </c>
    </row>
    <row r="1646" spans="1:5" x14ac:dyDescent="0.25">
      <c r="A1646" s="1">
        <v>41136</v>
      </c>
      <c r="B1646" t="s">
        <v>52</v>
      </c>
      <c r="C1646">
        <v>189</v>
      </c>
      <c r="D1646">
        <f>YEAR(cukier8[[#This Row],[data]])</f>
        <v>2012</v>
      </c>
      <c r="E1646">
        <f>VLOOKUP(cukier8[[#This Row],[rok]],$L$2:$M$11,2,FALSE)*cukier8[[#This Row],[sprzedany_cukier]]</f>
        <v>425.25</v>
      </c>
    </row>
    <row r="1647" spans="1:5" x14ac:dyDescent="0.25">
      <c r="A1647" s="1">
        <v>41137</v>
      </c>
      <c r="B1647" t="s">
        <v>55</v>
      </c>
      <c r="C1647">
        <v>64</v>
      </c>
      <c r="D1647">
        <f>YEAR(cukier8[[#This Row],[data]])</f>
        <v>2012</v>
      </c>
      <c r="E1647">
        <f>VLOOKUP(cukier8[[#This Row],[rok]],$L$2:$M$11,2,FALSE)*cukier8[[#This Row],[sprzedany_cukier]]</f>
        <v>144</v>
      </c>
    </row>
    <row r="1648" spans="1:5" x14ac:dyDescent="0.25">
      <c r="A1648" s="1">
        <v>41141</v>
      </c>
      <c r="B1648" t="s">
        <v>35</v>
      </c>
      <c r="C1648">
        <v>76</v>
      </c>
      <c r="D1648">
        <f>YEAR(cukier8[[#This Row],[data]])</f>
        <v>2012</v>
      </c>
      <c r="E1648">
        <f>VLOOKUP(cukier8[[#This Row],[rok]],$L$2:$M$11,2,FALSE)*cukier8[[#This Row],[sprzedany_cukier]]</f>
        <v>171</v>
      </c>
    </row>
    <row r="1649" spans="1:5" x14ac:dyDescent="0.25">
      <c r="A1649" s="1">
        <v>41142</v>
      </c>
      <c r="B1649" t="s">
        <v>49</v>
      </c>
      <c r="C1649">
        <v>11</v>
      </c>
      <c r="D1649">
        <f>YEAR(cukier8[[#This Row],[data]])</f>
        <v>2012</v>
      </c>
      <c r="E1649">
        <f>VLOOKUP(cukier8[[#This Row],[rok]],$L$2:$M$11,2,FALSE)*cukier8[[#This Row],[sprzedany_cukier]]</f>
        <v>24.75</v>
      </c>
    </row>
    <row r="1650" spans="1:5" x14ac:dyDescent="0.25">
      <c r="A1650" s="1">
        <v>41142</v>
      </c>
      <c r="B1650" t="s">
        <v>66</v>
      </c>
      <c r="C1650">
        <v>96</v>
      </c>
      <c r="D1650">
        <f>YEAR(cukier8[[#This Row],[data]])</f>
        <v>2012</v>
      </c>
      <c r="E1650">
        <f>VLOOKUP(cukier8[[#This Row],[rok]],$L$2:$M$11,2,FALSE)*cukier8[[#This Row],[sprzedany_cukier]]</f>
        <v>216</v>
      </c>
    </row>
    <row r="1651" spans="1:5" x14ac:dyDescent="0.25">
      <c r="A1651" s="1">
        <v>41143</v>
      </c>
      <c r="B1651" t="s">
        <v>111</v>
      </c>
      <c r="C1651">
        <v>17</v>
      </c>
      <c r="D1651">
        <f>YEAR(cukier8[[#This Row],[data]])</f>
        <v>2012</v>
      </c>
      <c r="E1651">
        <f>VLOOKUP(cukier8[[#This Row],[rok]],$L$2:$M$11,2,FALSE)*cukier8[[#This Row],[sprzedany_cukier]]</f>
        <v>38.25</v>
      </c>
    </row>
    <row r="1652" spans="1:5" x14ac:dyDescent="0.25">
      <c r="A1652" s="1">
        <v>41143</v>
      </c>
      <c r="B1652" t="s">
        <v>18</v>
      </c>
      <c r="C1652">
        <v>92</v>
      </c>
      <c r="D1652">
        <f>YEAR(cukier8[[#This Row],[data]])</f>
        <v>2012</v>
      </c>
      <c r="E1652">
        <f>VLOOKUP(cukier8[[#This Row],[rok]],$L$2:$M$11,2,FALSE)*cukier8[[#This Row],[sprzedany_cukier]]</f>
        <v>207</v>
      </c>
    </row>
    <row r="1653" spans="1:5" x14ac:dyDescent="0.25">
      <c r="A1653" s="1">
        <v>41144</v>
      </c>
      <c r="B1653" t="s">
        <v>8</v>
      </c>
      <c r="C1653">
        <v>76</v>
      </c>
      <c r="D1653">
        <f>YEAR(cukier8[[#This Row],[data]])</f>
        <v>2012</v>
      </c>
      <c r="E1653">
        <f>VLOOKUP(cukier8[[#This Row],[rok]],$L$2:$M$11,2,FALSE)*cukier8[[#This Row],[sprzedany_cukier]]</f>
        <v>171</v>
      </c>
    </row>
    <row r="1654" spans="1:5" x14ac:dyDescent="0.25">
      <c r="A1654" s="1">
        <v>41146</v>
      </c>
      <c r="B1654" t="s">
        <v>10</v>
      </c>
      <c r="C1654">
        <v>77</v>
      </c>
      <c r="D1654">
        <f>YEAR(cukier8[[#This Row],[data]])</f>
        <v>2012</v>
      </c>
      <c r="E1654">
        <f>VLOOKUP(cukier8[[#This Row],[rok]],$L$2:$M$11,2,FALSE)*cukier8[[#This Row],[sprzedany_cukier]]</f>
        <v>173.25</v>
      </c>
    </row>
    <row r="1655" spans="1:5" x14ac:dyDescent="0.25">
      <c r="A1655" s="1">
        <v>41147</v>
      </c>
      <c r="B1655" t="s">
        <v>102</v>
      </c>
      <c r="C1655">
        <v>344</v>
      </c>
      <c r="D1655">
        <f>YEAR(cukier8[[#This Row],[data]])</f>
        <v>2012</v>
      </c>
      <c r="E1655">
        <f>VLOOKUP(cukier8[[#This Row],[rok]],$L$2:$M$11,2,FALSE)*cukier8[[#This Row],[sprzedany_cukier]]</f>
        <v>774</v>
      </c>
    </row>
    <row r="1656" spans="1:5" x14ac:dyDescent="0.25">
      <c r="A1656" s="1">
        <v>41147</v>
      </c>
      <c r="B1656" t="s">
        <v>7</v>
      </c>
      <c r="C1656">
        <v>218</v>
      </c>
      <c r="D1656">
        <f>YEAR(cukier8[[#This Row],[data]])</f>
        <v>2012</v>
      </c>
      <c r="E1656">
        <f>VLOOKUP(cukier8[[#This Row],[rok]],$L$2:$M$11,2,FALSE)*cukier8[[#This Row],[sprzedany_cukier]]</f>
        <v>490.5</v>
      </c>
    </row>
    <row r="1657" spans="1:5" x14ac:dyDescent="0.25">
      <c r="A1657" s="1">
        <v>41148</v>
      </c>
      <c r="B1657" t="s">
        <v>50</v>
      </c>
      <c r="C1657">
        <v>115</v>
      </c>
      <c r="D1657">
        <f>YEAR(cukier8[[#This Row],[data]])</f>
        <v>2012</v>
      </c>
      <c r="E1657">
        <f>VLOOKUP(cukier8[[#This Row],[rok]],$L$2:$M$11,2,FALSE)*cukier8[[#This Row],[sprzedany_cukier]]</f>
        <v>258.75</v>
      </c>
    </row>
    <row r="1658" spans="1:5" x14ac:dyDescent="0.25">
      <c r="A1658" s="1">
        <v>41149</v>
      </c>
      <c r="B1658" t="s">
        <v>80</v>
      </c>
      <c r="C1658">
        <v>143</v>
      </c>
      <c r="D1658">
        <f>YEAR(cukier8[[#This Row],[data]])</f>
        <v>2012</v>
      </c>
      <c r="E1658">
        <f>VLOOKUP(cukier8[[#This Row],[rok]],$L$2:$M$11,2,FALSE)*cukier8[[#This Row],[sprzedany_cukier]]</f>
        <v>321.75</v>
      </c>
    </row>
    <row r="1659" spans="1:5" x14ac:dyDescent="0.25">
      <c r="A1659" s="1">
        <v>41149</v>
      </c>
      <c r="B1659" t="s">
        <v>137</v>
      </c>
      <c r="C1659">
        <v>1</v>
      </c>
      <c r="D1659">
        <f>YEAR(cukier8[[#This Row],[data]])</f>
        <v>2012</v>
      </c>
      <c r="E1659">
        <f>VLOOKUP(cukier8[[#This Row],[rok]],$L$2:$M$11,2,FALSE)*cukier8[[#This Row],[sprzedany_cukier]]</f>
        <v>2.25</v>
      </c>
    </row>
    <row r="1660" spans="1:5" x14ac:dyDescent="0.25">
      <c r="A1660" s="1">
        <v>41154</v>
      </c>
      <c r="B1660" t="s">
        <v>69</v>
      </c>
      <c r="C1660">
        <v>133</v>
      </c>
      <c r="D1660">
        <f>YEAR(cukier8[[#This Row],[data]])</f>
        <v>2012</v>
      </c>
      <c r="E1660">
        <f>VLOOKUP(cukier8[[#This Row],[rok]],$L$2:$M$11,2,FALSE)*cukier8[[#This Row],[sprzedany_cukier]]</f>
        <v>299.25</v>
      </c>
    </row>
    <row r="1661" spans="1:5" x14ac:dyDescent="0.25">
      <c r="A1661" s="1">
        <v>41154</v>
      </c>
      <c r="B1661" t="s">
        <v>17</v>
      </c>
      <c r="C1661">
        <v>496</v>
      </c>
      <c r="D1661">
        <f>YEAR(cukier8[[#This Row],[data]])</f>
        <v>2012</v>
      </c>
      <c r="E1661">
        <f>VLOOKUP(cukier8[[#This Row],[rok]],$L$2:$M$11,2,FALSE)*cukier8[[#This Row],[sprzedany_cukier]]</f>
        <v>1116</v>
      </c>
    </row>
    <row r="1662" spans="1:5" x14ac:dyDescent="0.25">
      <c r="A1662" s="1">
        <v>41154</v>
      </c>
      <c r="B1662" t="s">
        <v>108</v>
      </c>
      <c r="C1662">
        <v>5</v>
      </c>
      <c r="D1662">
        <f>YEAR(cukier8[[#This Row],[data]])</f>
        <v>2012</v>
      </c>
      <c r="E1662">
        <f>VLOOKUP(cukier8[[#This Row],[rok]],$L$2:$M$11,2,FALSE)*cukier8[[#This Row],[sprzedany_cukier]]</f>
        <v>11.25</v>
      </c>
    </row>
    <row r="1663" spans="1:5" x14ac:dyDescent="0.25">
      <c r="A1663" s="1">
        <v>41156</v>
      </c>
      <c r="B1663" t="s">
        <v>172</v>
      </c>
      <c r="C1663">
        <v>8</v>
      </c>
      <c r="D1663">
        <f>YEAR(cukier8[[#This Row],[data]])</f>
        <v>2012</v>
      </c>
      <c r="E1663">
        <f>VLOOKUP(cukier8[[#This Row],[rok]],$L$2:$M$11,2,FALSE)*cukier8[[#This Row],[sprzedany_cukier]]</f>
        <v>18</v>
      </c>
    </row>
    <row r="1664" spans="1:5" x14ac:dyDescent="0.25">
      <c r="A1664" s="1">
        <v>41157</v>
      </c>
      <c r="B1664" t="s">
        <v>52</v>
      </c>
      <c r="C1664">
        <v>59</v>
      </c>
      <c r="D1664">
        <f>YEAR(cukier8[[#This Row],[data]])</f>
        <v>2012</v>
      </c>
      <c r="E1664">
        <f>VLOOKUP(cukier8[[#This Row],[rok]],$L$2:$M$11,2,FALSE)*cukier8[[#This Row],[sprzedany_cukier]]</f>
        <v>132.75</v>
      </c>
    </row>
    <row r="1665" spans="1:5" x14ac:dyDescent="0.25">
      <c r="A1665" s="1">
        <v>41157</v>
      </c>
      <c r="B1665" t="s">
        <v>17</v>
      </c>
      <c r="C1665">
        <v>273</v>
      </c>
      <c r="D1665">
        <f>YEAR(cukier8[[#This Row],[data]])</f>
        <v>2012</v>
      </c>
      <c r="E1665">
        <f>VLOOKUP(cukier8[[#This Row],[rok]],$L$2:$M$11,2,FALSE)*cukier8[[#This Row],[sprzedany_cukier]]</f>
        <v>614.25</v>
      </c>
    </row>
    <row r="1666" spans="1:5" x14ac:dyDescent="0.25">
      <c r="A1666" s="1">
        <v>41158</v>
      </c>
      <c r="B1666" t="s">
        <v>9</v>
      </c>
      <c r="C1666">
        <v>165</v>
      </c>
      <c r="D1666">
        <f>YEAR(cukier8[[#This Row],[data]])</f>
        <v>2012</v>
      </c>
      <c r="E1666">
        <f>VLOOKUP(cukier8[[#This Row],[rok]],$L$2:$M$11,2,FALSE)*cukier8[[#This Row],[sprzedany_cukier]]</f>
        <v>371.25</v>
      </c>
    </row>
    <row r="1667" spans="1:5" x14ac:dyDescent="0.25">
      <c r="A1667" s="1">
        <v>41162</v>
      </c>
      <c r="B1667" t="s">
        <v>48</v>
      </c>
      <c r="C1667">
        <v>13</v>
      </c>
      <c r="D1667">
        <f>YEAR(cukier8[[#This Row],[data]])</f>
        <v>2012</v>
      </c>
      <c r="E1667">
        <f>VLOOKUP(cukier8[[#This Row],[rok]],$L$2:$M$11,2,FALSE)*cukier8[[#This Row],[sprzedany_cukier]]</f>
        <v>29.25</v>
      </c>
    </row>
    <row r="1668" spans="1:5" x14ac:dyDescent="0.25">
      <c r="A1668" s="1">
        <v>41163</v>
      </c>
      <c r="B1668" t="s">
        <v>69</v>
      </c>
      <c r="C1668">
        <v>143</v>
      </c>
      <c r="D1668">
        <f>YEAR(cukier8[[#This Row],[data]])</f>
        <v>2012</v>
      </c>
      <c r="E1668">
        <f>VLOOKUP(cukier8[[#This Row],[rok]],$L$2:$M$11,2,FALSE)*cukier8[[#This Row],[sprzedany_cukier]]</f>
        <v>321.75</v>
      </c>
    </row>
    <row r="1669" spans="1:5" x14ac:dyDescent="0.25">
      <c r="A1669" s="1">
        <v>41167</v>
      </c>
      <c r="B1669" t="s">
        <v>230</v>
      </c>
      <c r="C1669">
        <v>20</v>
      </c>
      <c r="D1669">
        <f>YEAR(cukier8[[#This Row],[data]])</f>
        <v>2012</v>
      </c>
      <c r="E1669">
        <f>VLOOKUP(cukier8[[#This Row],[rok]],$L$2:$M$11,2,FALSE)*cukier8[[#This Row],[sprzedany_cukier]]</f>
        <v>45</v>
      </c>
    </row>
    <row r="1670" spans="1:5" x14ac:dyDescent="0.25">
      <c r="A1670" s="1">
        <v>41171</v>
      </c>
      <c r="B1670" t="s">
        <v>54</v>
      </c>
      <c r="C1670">
        <v>4</v>
      </c>
      <c r="D1670">
        <f>YEAR(cukier8[[#This Row],[data]])</f>
        <v>2012</v>
      </c>
      <c r="E1670">
        <f>VLOOKUP(cukier8[[#This Row],[rok]],$L$2:$M$11,2,FALSE)*cukier8[[#This Row],[sprzedany_cukier]]</f>
        <v>9</v>
      </c>
    </row>
    <row r="1671" spans="1:5" x14ac:dyDescent="0.25">
      <c r="A1671" s="1">
        <v>41175</v>
      </c>
      <c r="B1671" t="s">
        <v>131</v>
      </c>
      <c r="C1671">
        <v>102</v>
      </c>
      <c r="D1671">
        <f>YEAR(cukier8[[#This Row],[data]])</f>
        <v>2012</v>
      </c>
      <c r="E1671">
        <f>VLOOKUP(cukier8[[#This Row],[rok]],$L$2:$M$11,2,FALSE)*cukier8[[#This Row],[sprzedany_cukier]]</f>
        <v>229.5</v>
      </c>
    </row>
    <row r="1672" spans="1:5" x14ac:dyDescent="0.25">
      <c r="A1672" s="1">
        <v>41177</v>
      </c>
      <c r="B1672" t="s">
        <v>6</v>
      </c>
      <c r="C1672">
        <v>155</v>
      </c>
      <c r="D1672">
        <f>YEAR(cukier8[[#This Row],[data]])</f>
        <v>2012</v>
      </c>
      <c r="E1672">
        <f>VLOOKUP(cukier8[[#This Row],[rok]],$L$2:$M$11,2,FALSE)*cukier8[[#This Row],[sprzedany_cukier]]</f>
        <v>348.75</v>
      </c>
    </row>
    <row r="1673" spans="1:5" x14ac:dyDescent="0.25">
      <c r="A1673" s="1">
        <v>41179</v>
      </c>
      <c r="B1673" t="s">
        <v>7</v>
      </c>
      <c r="C1673">
        <v>226</v>
      </c>
      <c r="D1673">
        <f>YEAR(cukier8[[#This Row],[data]])</f>
        <v>2012</v>
      </c>
      <c r="E1673">
        <f>VLOOKUP(cukier8[[#This Row],[rok]],$L$2:$M$11,2,FALSE)*cukier8[[#This Row],[sprzedany_cukier]]</f>
        <v>508.5</v>
      </c>
    </row>
    <row r="1674" spans="1:5" x14ac:dyDescent="0.25">
      <c r="A1674" s="1">
        <v>41179</v>
      </c>
      <c r="B1674" t="s">
        <v>14</v>
      </c>
      <c r="C1674">
        <v>346</v>
      </c>
      <c r="D1674">
        <f>YEAR(cukier8[[#This Row],[data]])</f>
        <v>2012</v>
      </c>
      <c r="E1674">
        <f>VLOOKUP(cukier8[[#This Row],[rok]],$L$2:$M$11,2,FALSE)*cukier8[[#This Row],[sprzedany_cukier]]</f>
        <v>778.5</v>
      </c>
    </row>
    <row r="1675" spans="1:5" x14ac:dyDescent="0.25">
      <c r="A1675" s="1">
        <v>41180</v>
      </c>
      <c r="B1675" t="s">
        <v>52</v>
      </c>
      <c r="C1675">
        <v>45</v>
      </c>
      <c r="D1675">
        <f>YEAR(cukier8[[#This Row],[data]])</f>
        <v>2012</v>
      </c>
      <c r="E1675">
        <f>VLOOKUP(cukier8[[#This Row],[rok]],$L$2:$M$11,2,FALSE)*cukier8[[#This Row],[sprzedany_cukier]]</f>
        <v>101.25</v>
      </c>
    </row>
    <row r="1676" spans="1:5" x14ac:dyDescent="0.25">
      <c r="A1676" s="1">
        <v>41182</v>
      </c>
      <c r="B1676" t="s">
        <v>151</v>
      </c>
      <c r="C1676">
        <v>11</v>
      </c>
      <c r="D1676">
        <f>YEAR(cukier8[[#This Row],[data]])</f>
        <v>2012</v>
      </c>
      <c r="E1676">
        <f>VLOOKUP(cukier8[[#This Row],[rok]],$L$2:$M$11,2,FALSE)*cukier8[[#This Row],[sprzedany_cukier]]</f>
        <v>24.75</v>
      </c>
    </row>
    <row r="1677" spans="1:5" x14ac:dyDescent="0.25">
      <c r="A1677" s="1">
        <v>41185</v>
      </c>
      <c r="B1677" t="s">
        <v>130</v>
      </c>
      <c r="C1677">
        <v>14</v>
      </c>
      <c r="D1677">
        <f>YEAR(cukier8[[#This Row],[data]])</f>
        <v>2012</v>
      </c>
      <c r="E1677">
        <f>VLOOKUP(cukier8[[#This Row],[rok]],$L$2:$M$11,2,FALSE)*cukier8[[#This Row],[sprzedany_cukier]]</f>
        <v>31.5</v>
      </c>
    </row>
    <row r="1678" spans="1:5" x14ac:dyDescent="0.25">
      <c r="A1678" s="1">
        <v>41190</v>
      </c>
      <c r="B1678" t="s">
        <v>51</v>
      </c>
      <c r="C1678">
        <v>12</v>
      </c>
      <c r="D1678">
        <f>YEAR(cukier8[[#This Row],[data]])</f>
        <v>2012</v>
      </c>
      <c r="E1678">
        <f>VLOOKUP(cukier8[[#This Row],[rok]],$L$2:$M$11,2,FALSE)*cukier8[[#This Row],[sprzedany_cukier]]</f>
        <v>27</v>
      </c>
    </row>
    <row r="1679" spans="1:5" x14ac:dyDescent="0.25">
      <c r="A1679" s="1">
        <v>41195</v>
      </c>
      <c r="B1679" t="s">
        <v>154</v>
      </c>
      <c r="C1679">
        <v>11</v>
      </c>
      <c r="D1679">
        <f>YEAR(cukier8[[#This Row],[data]])</f>
        <v>2012</v>
      </c>
      <c r="E1679">
        <f>VLOOKUP(cukier8[[#This Row],[rok]],$L$2:$M$11,2,FALSE)*cukier8[[#This Row],[sprzedany_cukier]]</f>
        <v>24.75</v>
      </c>
    </row>
    <row r="1680" spans="1:5" x14ac:dyDescent="0.25">
      <c r="A1680" s="1">
        <v>41195</v>
      </c>
      <c r="B1680" t="s">
        <v>26</v>
      </c>
      <c r="C1680">
        <v>142</v>
      </c>
      <c r="D1680">
        <f>YEAR(cukier8[[#This Row],[data]])</f>
        <v>2012</v>
      </c>
      <c r="E1680">
        <f>VLOOKUP(cukier8[[#This Row],[rok]],$L$2:$M$11,2,FALSE)*cukier8[[#This Row],[sprzedany_cukier]]</f>
        <v>319.5</v>
      </c>
    </row>
    <row r="1681" spans="1:5" x14ac:dyDescent="0.25">
      <c r="A1681" s="1">
        <v>41201</v>
      </c>
      <c r="B1681" t="s">
        <v>71</v>
      </c>
      <c r="C1681">
        <v>184</v>
      </c>
      <c r="D1681">
        <f>YEAR(cukier8[[#This Row],[data]])</f>
        <v>2012</v>
      </c>
      <c r="E1681">
        <f>VLOOKUP(cukier8[[#This Row],[rok]],$L$2:$M$11,2,FALSE)*cukier8[[#This Row],[sprzedany_cukier]]</f>
        <v>414</v>
      </c>
    </row>
    <row r="1682" spans="1:5" x14ac:dyDescent="0.25">
      <c r="A1682" s="1">
        <v>41202</v>
      </c>
      <c r="B1682" t="s">
        <v>45</v>
      </c>
      <c r="C1682">
        <v>390</v>
      </c>
      <c r="D1682">
        <f>YEAR(cukier8[[#This Row],[data]])</f>
        <v>2012</v>
      </c>
      <c r="E1682">
        <f>VLOOKUP(cukier8[[#This Row],[rok]],$L$2:$M$11,2,FALSE)*cukier8[[#This Row],[sprzedany_cukier]]</f>
        <v>877.5</v>
      </c>
    </row>
    <row r="1683" spans="1:5" x14ac:dyDescent="0.25">
      <c r="A1683" s="1">
        <v>41206</v>
      </c>
      <c r="B1683" t="s">
        <v>37</v>
      </c>
      <c r="C1683">
        <v>110</v>
      </c>
      <c r="D1683">
        <f>YEAR(cukier8[[#This Row],[data]])</f>
        <v>2012</v>
      </c>
      <c r="E1683">
        <f>VLOOKUP(cukier8[[#This Row],[rok]],$L$2:$M$11,2,FALSE)*cukier8[[#This Row],[sprzedany_cukier]]</f>
        <v>247.5</v>
      </c>
    </row>
    <row r="1684" spans="1:5" x14ac:dyDescent="0.25">
      <c r="A1684" s="1">
        <v>41207</v>
      </c>
      <c r="B1684" t="s">
        <v>19</v>
      </c>
      <c r="C1684">
        <v>92</v>
      </c>
      <c r="D1684">
        <f>YEAR(cukier8[[#This Row],[data]])</f>
        <v>2012</v>
      </c>
      <c r="E1684">
        <f>VLOOKUP(cukier8[[#This Row],[rok]],$L$2:$M$11,2,FALSE)*cukier8[[#This Row],[sprzedany_cukier]]</f>
        <v>207</v>
      </c>
    </row>
    <row r="1685" spans="1:5" x14ac:dyDescent="0.25">
      <c r="A1685" s="1">
        <v>41208</v>
      </c>
      <c r="B1685" t="s">
        <v>68</v>
      </c>
      <c r="C1685">
        <v>5</v>
      </c>
      <c r="D1685">
        <f>YEAR(cukier8[[#This Row],[data]])</f>
        <v>2012</v>
      </c>
      <c r="E1685">
        <f>VLOOKUP(cukier8[[#This Row],[rok]],$L$2:$M$11,2,FALSE)*cukier8[[#This Row],[sprzedany_cukier]]</f>
        <v>11.25</v>
      </c>
    </row>
    <row r="1686" spans="1:5" x14ac:dyDescent="0.25">
      <c r="A1686" s="1">
        <v>41208</v>
      </c>
      <c r="B1686" t="s">
        <v>229</v>
      </c>
      <c r="C1686">
        <v>2</v>
      </c>
      <c r="D1686">
        <f>YEAR(cukier8[[#This Row],[data]])</f>
        <v>2012</v>
      </c>
      <c r="E1686">
        <f>VLOOKUP(cukier8[[#This Row],[rok]],$L$2:$M$11,2,FALSE)*cukier8[[#This Row],[sprzedany_cukier]]</f>
        <v>4.5</v>
      </c>
    </row>
    <row r="1687" spans="1:5" x14ac:dyDescent="0.25">
      <c r="A1687" s="1">
        <v>41210</v>
      </c>
      <c r="B1687" t="s">
        <v>175</v>
      </c>
      <c r="C1687">
        <v>14</v>
      </c>
      <c r="D1687">
        <f>YEAR(cukier8[[#This Row],[data]])</f>
        <v>2012</v>
      </c>
      <c r="E1687">
        <f>VLOOKUP(cukier8[[#This Row],[rok]],$L$2:$M$11,2,FALSE)*cukier8[[#This Row],[sprzedany_cukier]]</f>
        <v>31.5</v>
      </c>
    </row>
    <row r="1688" spans="1:5" x14ac:dyDescent="0.25">
      <c r="A1688" s="1">
        <v>41213</v>
      </c>
      <c r="B1688" t="s">
        <v>84</v>
      </c>
      <c r="C1688">
        <v>6</v>
      </c>
      <c r="D1688">
        <f>YEAR(cukier8[[#This Row],[data]])</f>
        <v>2012</v>
      </c>
      <c r="E1688">
        <f>VLOOKUP(cukier8[[#This Row],[rok]],$L$2:$M$11,2,FALSE)*cukier8[[#This Row],[sprzedany_cukier]]</f>
        <v>13.5</v>
      </c>
    </row>
    <row r="1689" spans="1:5" x14ac:dyDescent="0.25">
      <c r="A1689" s="1">
        <v>41214</v>
      </c>
      <c r="B1689" t="s">
        <v>18</v>
      </c>
      <c r="C1689">
        <v>65</v>
      </c>
      <c r="D1689">
        <f>YEAR(cukier8[[#This Row],[data]])</f>
        <v>2012</v>
      </c>
      <c r="E1689">
        <f>VLOOKUP(cukier8[[#This Row],[rok]],$L$2:$M$11,2,FALSE)*cukier8[[#This Row],[sprzedany_cukier]]</f>
        <v>146.25</v>
      </c>
    </row>
    <row r="1690" spans="1:5" x14ac:dyDescent="0.25">
      <c r="A1690" s="1">
        <v>41214</v>
      </c>
      <c r="B1690" t="s">
        <v>69</v>
      </c>
      <c r="C1690">
        <v>45</v>
      </c>
      <c r="D1690">
        <f>YEAR(cukier8[[#This Row],[data]])</f>
        <v>2012</v>
      </c>
      <c r="E1690">
        <f>VLOOKUP(cukier8[[#This Row],[rok]],$L$2:$M$11,2,FALSE)*cukier8[[#This Row],[sprzedany_cukier]]</f>
        <v>101.25</v>
      </c>
    </row>
    <row r="1691" spans="1:5" x14ac:dyDescent="0.25">
      <c r="A1691" s="1">
        <v>41214</v>
      </c>
      <c r="B1691" t="s">
        <v>7</v>
      </c>
      <c r="C1691">
        <v>108</v>
      </c>
      <c r="D1691">
        <f>YEAR(cukier8[[#This Row],[data]])</f>
        <v>2012</v>
      </c>
      <c r="E1691">
        <f>VLOOKUP(cukier8[[#This Row],[rok]],$L$2:$M$11,2,FALSE)*cukier8[[#This Row],[sprzedany_cukier]]</f>
        <v>243</v>
      </c>
    </row>
    <row r="1692" spans="1:5" x14ac:dyDescent="0.25">
      <c r="A1692" s="1">
        <v>41215</v>
      </c>
      <c r="B1692" t="s">
        <v>37</v>
      </c>
      <c r="C1692">
        <v>159</v>
      </c>
      <c r="D1692">
        <f>YEAR(cukier8[[#This Row],[data]])</f>
        <v>2012</v>
      </c>
      <c r="E1692">
        <f>VLOOKUP(cukier8[[#This Row],[rok]],$L$2:$M$11,2,FALSE)*cukier8[[#This Row],[sprzedany_cukier]]</f>
        <v>357.75</v>
      </c>
    </row>
    <row r="1693" spans="1:5" x14ac:dyDescent="0.25">
      <c r="A1693" s="1">
        <v>41219</v>
      </c>
      <c r="B1693" t="s">
        <v>19</v>
      </c>
      <c r="C1693">
        <v>141</v>
      </c>
      <c r="D1693">
        <f>YEAR(cukier8[[#This Row],[data]])</f>
        <v>2012</v>
      </c>
      <c r="E1693">
        <f>VLOOKUP(cukier8[[#This Row],[rok]],$L$2:$M$11,2,FALSE)*cukier8[[#This Row],[sprzedany_cukier]]</f>
        <v>317.25</v>
      </c>
    </row>
    <row r="1694" spans="1:5" x14ac:dyDescent="0.25">
      <c r="A1694" s="1">
        <v>41219</v>
      </c>
      <c r="B1694" t="s">
        <v>38</v>
      </c>
      <c r="C1694">
        <v>14</v>
      </c>
      <c r="D1694">
        <f>YEAR(cukier8[[#This Row],[data]])</f>
        <v>2012</v>
      </c>
      <c r="E1694">
        <f>VLOOKUP(cukier8[[#This Row],[rok]],$L$2:$M$11,2,FALSE)*cukier8[[#This Row],[sprzedany_cukier]]</f>
        <v>31.5</v>
      </c>
    </row>
    <row r="1695" spans="1:5" x14ac:dyDescent="0.25">
      <c r="A1695" s="1">
        <v>41222</v>
      </c>
      <c r="B1695" t="s">
        <v>10</v>
      </c>
      <c r="C1695">
        <v>142</v>
      </c>
      <c r="D1695">
        <f>YEAR(cukier8[[#This Row],[data]])</f>
        <v>2012</v>
      </c>
      <c r="E1695">
        <f>VLOOKUP(cukier8[[#This Row],[rok]],$L$2:$M$11,2,FALSE)*cukier8[[#This Row],[sprzedany_cukier]]</f>
        <v>319.5</v>
      </c>
    </row>
    <row r="1696" spans="1:5" x14ac:dyDescent="0.25">
      <c r="A1696" s="1">
        <v>41223</v>
      </c>
      <c r="B1696" t="s">
        <v>9</v>
      </c>
      <c r="C1696">
        <v>167</v>
      </c>
      <c r="D1696">
        <f>YEAR(cukier8[[#This Row],[data]])</f>
        <v>2012</v>
      </c>
      <c r="E1696">
        <f>VLOOKUP(cukier8[[#This Row],[rok]],$L$2:$M$11,2,FALSE)*cukier8[[#This Row],[sprzedany_cukier]]</f>
        <v>375.75</v>
      </c>
    </row>
    <row r="1697" spans="1:5" x14ac:dyDescent="0.25">
      <c r="A1697" s="1">
        <v>41224</v>
      </c>
      <c r="B1697" t="s">
        <v>175</v>
      </c>
      <c r="C1697">
        <v>12</v>
      </c>
      <c r="D1697">
        <f>YEAR(cukier8[[#This Row],[data]])</f>
        <v>2012</v>
      </c>
      <c r="E1697">
        <f>VLOOKUP(cukier8[[#This Row],[rok]],$L$2:$M$11,2,FALSE)*cukier8[[#This Row],[sprzedany_cukier]]</f>
        <v>27</v>
      </c>
    </row>
    <row r="1698" spans="1:5" x14ac:dyDescent="0.25">
      <c r="A1698" s="1">
        <v>41229</v>
      </c>
      <c r="B1698" t="s">
        <v>28</v>
      </c>
      <c r="C1698">
        <v>187</v>
      </c>
      <c r="D1698">
        <f>YEAR(cukier8[[#This Row],[data]])</f>
        <v>2012</v>
      </c>
      <c r="E1698">
        <f>VLOOKUP(cukier8[[#This Row],[rok]],$L$2:$M$11,2,FALSE)*cukier8[[#This Row],[sprzedany_cukier]]</f>
        <v>420.75</v>
      </c>
    </row>
    <row r="1699" spans="1:5" x14ac:dyDescent="0.25">
      <c r="A1699" s="1">
        <v>41232</v>
      </c>
      <c r="B1699" t="s">
        <v>41</v>
      </c>
      <c r="C1699">
        <v>14</v>
      </c>
      <c r="D1699">
        <f>YEAR(cukier8[[#This Row],[data]])</f>
        <v>2012</v>
      </c>
      <c r="E1699">
        <f>VLOOKUP(cukier8[[#This Row],[rok]],$L$2:$M$11,2,FALSE)*cukier8[[#This Row],[sprzedany_cukier]]</f>
        <v>31.5</v>
      </c>
    </row>
    <row r="1700" spans="1:5" x14ac:dyDescent="0.25">
      <c r="A1700" s="1">
        <v>41235</v>
      </c>
      <c r="B1700" t="s">
        <v>165</v>
      </c>
      <c r="C1700">
        <v>10</v>
      </c>
      <c r="D1700">
        <f>YEAR(cukier8[[#This Row],[data]])</f>
        <v>2012</v>
      </c>
      <c r="E1700">
        <f>VLOOKUP(cukier8[[#This Row],[rok]],$L$2:$M$11,2,FALSE)*cukier8[[#This Row],[sprzedany_cukier]]</f>
        <v>22.5</v>
      </c>
    </row>
    <row r="1701" spans="1:5" x14ac:dyDescent="0.25">
      <c r="A1701" s="1">
        <v>41236</v>
      </c>
      <c r="B1701" t="s">
        <v>22</v>
      </c>
      <c r="C1701">
        <v>269</v>
      </c>
      <c r="D1701">
        <f>YEAR(cukier8[[#This Row],[data]])</f>
        <v>2012</v>
      </c>
      <c r="E1701">
        <f>VLOOKUP(cukier8[[#This Row],[rok]],$L$2:$M$11,2,FALSE)*cukier8[[#This Row],[sprzedany_cukier]]</f>
        <v>605.25</v>
      </c>
    </row>
    <row r="1702" spans="1:5" x14ac:dyDescent="0.25">
      <c r="A1702" s="1">
        <v>41236</v>
      </c>
      <c r="B1702" t="s">
        <v>5</v>
      </c>
      <c r="C1702">
        <v>328</v>
      </c>
      <c r="D1702">
        <f>YEAR(cukier8[[#This Row],[data]])</f>
        <v>2012</v>
      </c>
      <c r="E1702">
        <f>VLOOKUP(cukier8[[#This Row],[rok]],$L$2:$M$11,2,FALSE)*cukier8[[#This Row],[sprzedany_cukier]]</f>
        <v>738</v>
      </c>
    </row>
    <row r="1703" spans="1:5" x14ac:dyDescent="0.25">
      <c r="A1703" s="1">
        <v>41237</v>
      </c>
      <c r="B1703" t="s">
        <v>9</v>
      </c>
      <c r="C1703">
        <v>228</v>
      </c>
      <c r="D1703">
        <f>YEAR(cukier8[[#This Row],[data]])</f>
        <v>2012</v>
      </c>
      <c r="E1703">
        <f>VLOOKUP(cukier8[[#This Row],[rok]],$L$2:$M$11,2,FALSE)*cukier8[[#This Row],[sprzedany_cukier]]</f>
        <v>513</v>
      </c>
    </row>
    <row r="1704" spans="1:5" x14ac:dyDescent="0.25">
      <c r="A1704" s="1">
        <v>41239</v>
      </c>
      <c r="B1704" t="s">
        <v>2</v>
      </c>
      <c r="C1704">
        <v>12</v>
      </c>
      <c r="D1704">
        <f>YEAR(cukier8[[#This Row],[data]])</f>
        <v>2012</v>
      </c>
      <c r="E1704">
        <f>VLOOKUP(cukier8[[#This Row],[rok]],$L$2:$M$11,2,FALSE)*cukier8[[#This Row],[sprzedany_cukier]]</f>
        <v>27</v>
      </c>
    </row>
    <row r="1705" spans="1:5" x14ac:dyDescent="0.25">
      <c r="A1705" s="1">
        <v>41244</v>
      </c>
      <c r="B1705" t="s">
        <v>93</v>
      </c>
      <c r="C1705">
        <v>16</v>
      </c>
      <c r="D1705">
        <f>YEAR(cukier8[[#This Row],[data]])</f>
        <v>2012</v>
      </c>
      <c r="E1705">
        <f>VLOOKUP(cukier8[[#This Row],[rok]],$L$2:$M$11,2,FALSE)*cukier8[[#This Row],[sprzedany_cukier]]</f>
        <v>36</v>
      </c>
    </row>
    <row r="1706" spans="1:5" x14ac:dyDescent="0.25">
      <c r="A1706" s="1">
        <v>41247</v>
      </c>
      <c r="B1706" t="s">
        <v>17</v>
      </c>
      <c r="C1706">
        <v>233</v>
      </c>
      <c r="D1706">
        <f>YEAR(cukier8[[#This Row],[data]])</f>
        <v>2012</v>
      </c>
      <c r="E1706">
        <f>VLOOKUP(cukier8[[#This Row],[rok]],$L$2:$M$11,2,FALSE)*cukier8[[#This Row],[sprzedany_cukier]]</f>
        <v>524.25</v>
      </c>
    </row>
    <row r="1707" spans="1:5" x14ac:dyDescent="0.25">
      <c r="A1707" s="1">
        <v>41248</v>
      </c>
      <c r="B1707" t="s">
        <v>132</v>
      </c>
      <c r="C1707">
        <v>10</v>
      </c>
      <c r="D1707">
        <f>YEAR(cukier8[[#This Row],[data]])</f>
        <v>2012</v>
      </c>
      <c r="E1707">
        <f>VLOOKUP(cukier8[[#This Row],[rok]],$L$2:$M$11,2,FALSE)*cukier8[[#This Row],[sprzedany_cukier]]</f>
        <v>22.5</v>
      </c>
    </row>
    <row r="1708" spans="1:5" x14ac:dyDescent="0.25">
      <c r="A1708" s="1">
        <v>41251</v>
      </c>
      <c r="B1708" t="s">
        <v>10</v>
      </c>
      <c r="C1708">
        <v>168</v>
      </c>
      <c r="D1708">
        <f>YEAR(cukier8[[#This Row],[data]])</f>
        <v>2012</v>
      </c>
      <c r="E1708">
        <f>VLOOKUP(cukier8[[#This Row],[rok]],$L$2:$M$11,2,FALSE)*cukier8[[#This Row],[sprzedany_cukier]]</f>
        <v>378</v>
      </c>
    </row>
    <row r="1709" spans="1:5" x14ac:dyDescent="0.25">
      <c r="A1709" s="1">
        <v>41251</v>
      </c>
      <c r="B1709" t="s">
        <v>5</v>
      </c>
      <c r="C1709">
        <v>388</v>
      </c>
      <c r="D1709">
        <f>YEAR(cukier8[[#This Row],[data]])</f>
        <v>2012</v>
      </c>
      <c r="E1709">
        <f>VLOOKUP(cukier8[[#This Row],[rok]],$L$2:$M$11,2,FALSE)*cukier8[[#This Row],[sprzedany_cukier]]</f>
        <v>873</v>
      </c>
    </row>
    <row r="1710" spans="1:5" x14ac:dyDescent="0.25">
      <c r="A1710" s="1">
        <v>41252</v>
      </c>
      <c r="B1710" t="s">
        <v>50</v>
      </c>
      <c r="C1710">
        <v>319</v>
      </c>
      <c r="D1710">
        <f>YEAR(cukier8[[#This Row],[data]])</f>
        <v>2012</v>
      </c>
      <c r="E1710">
        <f>VLOOKUP(cukier8[[#This Row],[rok]],$L$2:$M$11,2,FALSE)*cukier8[[#This Row],[sprzedany_cukier]]</f>
        <v>717.75</v>
      </c>
    </row>
    <row r="1711" spans="1:5" x14ac:dyDescent="0.25">
      <c r="A1711" s="1">
        <v>41254</v>
      </c>
      <c r="B1711" t="s">
        <v>67</v>
      </c>
      <c r="C1711">
        <v>12</v>
      </c>
      <c r="D1711">
        <f>YEAR(cukier8[[#This Row],[data]])</f>
        <v>2012</v>
      </c>
      <c r="E1711">
        <f>VLOOKUP(cukier8[[#This Row],[rok]],$L$2:$M$11,2,FALSE)*cukier8[[#This Row],[sprzedany_cukier]]</f>
        <v>27</v>
      </c>
    </row>
    <row r="1712" spans="1:5" x14ac:dyDescent="0.25">
      <c r="A1712" s="1">
        <v>41256</v>
      </c>
      <c r="B1712" t="s">
        <v>173</v>
      </c>
      <c r="C1712">
        <v>150</v>
      </c>
      <c r="D1712">
        <f>YEAR(cukier8[[#This Row],[data]])</f>
        <v>2012</v>
      </c>
      <c r="E1712">
        <f>VLOOKUP(cukier8[[#This Row],[rok]],$L$2:$M$11,2,FALSE)*cukier8[[#This Row],[sprzedany_cukier]]</f>
        <v>337.5</v>
      </c>
    </row>
    <row r="1713" spans="1:5" x14ac:dyDescent="0.25">
      <c r="A1713" s="1">
        <v>41258</v>
      </c>
      <c r="B1713" t="s">
        <v>9</v>
      </c>
      <c r="C1713">
        <v>347</v>
      </c>
      <c r="D1713">
        <f>YEAR(cukier8[[#This Row],[data]])</f>
        <v>2012</v>
      </c>
      <c r="E1713">
        <f>VLOOKUP(cukier8[[#This Row],[rok]],$L$2:$M$11,2,FALSE)*cukier8[[#This Row],[sprzedany_cukier]]</f>
        <v>780.75</v>
      </c>
    </row>
    <row r="1714" spans="1:5" x14ac:dyDescent="0.25">
      <c r="A1714" s="1">
        <v>41259</v>
      </c>
      <c r="B1714" t="s">
        <v>23</v>
      </c>
      <c r="C1714">
        <v>177</v>
      </c>
      <c r="D1714">
        <f>YEAR(cukier8[[#This Row],[data]])</f>
        <v>2012</v>
      </c>
      <c r="E1714">
        <f>VLOOKUP(cukier8[[#This Row],[rok]],$L$2:$M$11,2,FALSE)*cukier8[[#This Row],[sprzedany_cukier]]</f>
        <v>398.25</v>
      </c>
    </row>
    <row r="1715" spans="1:5" x14ac:dyDescent="0.25">
      <c r="A1715" s="1">
        <v>41262</v>
      </c>
      <c r="B1715" t="s">
        <v>45</v>
      </c>
      <c r="C1715">
        <v>222</v>
      </c>
      <c r="D1715">
        <f>YEAR(cukier8[[#This Row],[data]])</f>
        <v>2012</v>
      </c>
      <c r="E1715">
        <f>VLOOKUP(cukier8[[#This Row],[rok]],$L$2:$M$11,2,FALSE)*cukier8[[#This Row],[sprzedany_cukier]]</f>
        <v>499.5</v>
      </c>
    </row>
    <row r="1716" spans="1:5" x14ac:dyDescent="0.25">
      <c r="A1716" s="1">
        <v>41273</v>
      </c>
      <c r="B1716" t="s">
        <v>49</v>
      </c>
      <c r="C1716">
        <v>9</v>
      </c>
      <c r="D1716">
        <f>YEAR(cukier8[[#This Row],[data]])</f>
        <v>2012</v>
      </c>
      <c r="E1716">
        <f>VLOOKUP(cukier8[[#This Row],[rok]],$L$2:$M$11,2,FALSE)*cukier8[[#This Row],[sprzedany_cukier]]</f>
        <v>20.25</v>
      </c>
    </row>
    <row r="1717" spans="1:5" x14ac:dyDescent="0.25">
      <c r="A1717" s="1">
        <v>41273</v>
      </c>
      <c r="B1717" t="s">
        <v>231</v>
      </c>
      <c r="C1717">
        <v>14</v>
      </c>
      <c r="D1717">
        <f>YEAR(cukier8[[#This Row],[data]])</f>
        <v>2012</v>
      </c>
      <c r="E1717">
        <f>VLOOKUP(cukier8[[#This Row],[rok]],$L$2:$M$11,2,FALSE)*cukier8[[#This Row],[sprzedany_cukier]]</f>
        <v>31.5</v>
      </c>
    </row>
    <row r="1718" spans="1:5" x14ac:dyDescent="0.25">
      <c r="A1718" s="1">
        <v>41275</v>
      </c>
      <c r="B1718" t="s">
        <v>3</v>
      </c>
      <c r="C1718">
        <v>7</v>
      </c>
      <c r="D1718">
        <f>YEAR(cukier8[[#This Row],[data]])</f>
        <v>2013</v>
      </c>
      <c r="E1718">
        <f>VLOOKUP(cukier8[[#This Row],[rok]],$L$2:$M$11,2,FALSE)*cukier8[[#This Row],[sprzedany_cukier]]</f>
        <v>15.540000000000001</v>
      </c>
    </row>
    <row r="1719" spans="1:5" x14ac:dyDescent="0.25">
      <c r="A1719" s="1">
        <v>41279</v>
      </c>
      <c r="B1719" t="s">
        <v>66</v>
      </c>
      <c r="C1719">
        <v>171</v>
      </c>
      <c r="D1719">
        <f>YEAR(cukier8[[#This Row],[data]])</f>
        <v>2013</v>
      </c>
      <c r="E1719">
        <f>VLOOKUP(cukier8[[#This Row],[rok]],$L$2:$M$11,2,FALSE)*cukier8[[#This Row],[sprzedany_cukier]]</f>
        <v>379.62000000000006</v>
      </c>
    </row>
    <row r="1720" spans="1:5" x14ac:dyDescent="0.25">
      <c r="A1720" s="1">
        <v>41283</v>
      </c>
      <c r="B1720" t="s">
        <v>208</v>
      </c>
      <c r="C1720">
        <v>16</v>
      </c>
      <c r="D1720">
        <f>YEAR(cukier8[[#This Row],[data]])</f>
        <v>2013</v>
      </c>
      <c r="E1720">
        <f>VLOOKUP(cukier8[[#This Row],[rok]],$L$2:$M$11,2,FALSE)*cukier8[[#This Row],[sprzedany_cukier]]</f>
        <v>35.520000000000003</v>
      </c>
    </row>
    <row r="1721" spans="1:5" x14ac:dyDescent="0.25">
      <c r="A1721" s="1">
        <v>41284</v>
      </c>
      <c r="B1721" t="s">
        <v>18</v>
      </c>
      <c r="C1721">
        <v>176</v>
      </c>
      <c r="D1721">
        <f>YEAR(cukier8[[#This Row],[data]])</f>
        <v>2013</v>
      </c>
      <c r="E1721">
        <f>VLOOKUP(cukier8[[#This Row],[rok]],$L$2:$M$11,2,FALSE)*cukier8[[#This Row],[sprzedany_cukier]]</f>
        <v>390.72</v>
      </c>
    </row>
    <row r="1722" spans="1:5" x14ac:dyDescent="0.25">
      <c r="A1722" s="1">
        <v>41287</v>
      </c>
      <c r="B1722" t="s">
        <v>55</v>
      </c>
      <c r="C1722">
        <v>37</v>
      </c>
      <c r="D1722">
        <f>YEAR(cukier8[[#This Row],[data]])</f>
        <v>2013</v>
      </c>
      <c r="E1722">
        <f>VLOOKUP(cukier8[[#This Row],[rok]],$L$2:$M$11,2,FALSE)*cukier8[[#This Row],[sprzedany_cukier]]</f>
        <v>82.14</v>
      </c>
    </row>
    <row r="1723" spans="1:5" x14ac:dyDescent="0.25">
      <c r="A1723" s="1">
        <v>41290</v>
      </c>
      <c r="B1723" t="s">
        <v>18</v>
      </c>
      <c r="C1723">
        <v>186</v>
      </c>
      <c r="D1723">
        <f>YEAR(cukier8[[#This Row],[data]])</f>
        <v>2013</v>
      </c>
      <c r="E1723">
        <f>VLOOKUP(cukier8[[#This Row],[rok]],$L$2:$M$11,2,FALSE)*cukier8[[#This Row],[sprzedany_cukier]]</f>
        <v>412.92</v>
      </c>
    </row>
    <row r="1724" spans="1:5" x14ac:dyDescent="0.25">
      <c r="A1724" s="1">
        <v>41290</v>
      </c>
      <c r="B1724" t="s">
        <v>61</v>
      </c>
      <c r="C1724">
        <v>45</v>
      </c>
      <c r="D1724">
        <f>YEAR(cukier8[[#This Row],[data]])</f>
        <v>2013</v>
      </c>
      <c r="E1724">
        <f>VLOOKUP(cukier8[[#This Row],[rok]],$L$2:$M$11,2,FALSE)*cukier8[[#This Row],[sprzedany_cukier]]</f>
        <v>99.9</v>
      </c>
    </row>
    <row r="1725" spans="1:5" x14ac:dyDescent="0.25">
      <c r="A1725" s="1">
        <v>41294</v>
      </c>
      <c r="B1725" t="s">
        <v>52</v>
      </c>
      <c r="C1725">
        <v>186</v>
      </c>
      <c r="D1725">
        <f>YEAR(cukier8[[#This Row],[data]])</f>
        <v>2013</v>
      </c>
      <c r="E1725">
        <f>VLOOKUP(cukier8[[#This Row],[rok]],$L$2:$M$11,2,FALSE)*cukier8[[#This Row],[sprzedany_cukier]]</f>
        <v>412.92</v>
      </c>
    </row>
    <row r="1726" spans="1:5" x14ac:dyDescent="0.25">
      <c r="A1726" s="1">
        <v>41294</v>
      </c>
      <c r="B1726" t="s">
        <v>14</v>
      </c>
      <c r="C1726">
        <v>211</v>
      </c>
      <c r="D1726">
        <f>YEAR(cukier8[[#This Row],[data]])</f>
        <v>2013</v>
      </c>
      <c r="E1726">
        <f>VLOOKUP(cukier8[[#This Row],[rok]],$L$2:$M$11,2,FALSE)*cukier8[[#This Row],[sprzedany_cukier]]</f>
        <v>468.42</v>
      </c>
    </row>
    <row r="1727" spans="1:5" x14ac:dyDescent="0.25">
      <c r="A1727" s="1">
        <v>41300</v>
      </c>
      <c r="B1727" t="s">
        <v>9</v>
      </c>
      <c r="C1727">
        <v>330</v>
      </c>
      <c r="D1727">
        <f>YEAR(cukier8[[#This Row],[data]])</f>
        <v>2013</v>
      </c>
      <c r="E1727">
        <f>VLOOKUP(cukier8[[#This Row],[rok]],$L$2:$M$11,2,FALSE)*cukier8[[#This Row],[sprzedany_cukier]]</f>
        <v>732.6</v>
      </c>
    </row>
    <row r="1728" spans="1:5" x14ac:dyDescent="0.25">
      <c r="A1728" s="1">
        <v>41301</v>
      </c>
      <c r="B1728" t="s">
        <v>14</v>
      </c>
      <c r="C1728">
        <v>134</v>
      </c>
      <c r="D1728">
        <f>YEAR(cukier8[[#This Row],[data]])</f>
        <v>2013</v>
      </c>
      <c r="E1728">
        <f>VLOOKUP(cukier8[[#This Row],[rok]],$L$2:$M$11,2,FALSE)*cukier8[[#This Row],[sprzedany_cukier]]</f>
        <v>297.48</v>
      </c>
    </row>
    <row r="1729" spans="1:5" x14ac:dyDescent="0.25">
      <c r="A1729" s="1">
        <v>41301</v>
      </c>
      <c r="B1729" t="s">
        <v>9</v>
      </c>
      <c r="C1729">
        <v>459</v>
      </c>
      <c r="D1729">
        <f>YEAR(cukier8[[#This Row],[data]])</f>
        <v>2013</v>
      </c>
      <c r="E1729">
        <f>VLOOKUP(cukier8[[#This Row],[rok]],$L$2:$M$11,2,FALSE)*cukier8[[#This Row],[sprzedany_cukier]]</f>
        <v>1018.9800000000001</v>
      </c>
    </row>
    <row r="1730" spans="1:5" x14ac:dyDescent="0.25">
      <c r="A1730" s="1">
        <v>41302</v>
      </c>
      <c r="B1730" t="s">
        <v>26</v>
      </c>
      <c r="C1730">
        <v>185</v>
      </c>
      <c r="D1730">
        <f>YEAR(cukier8[[#This Row],[data]])</f>
        <v>2013</v>
      </c>
      <c r="E1730">
        <f>VLOOKUP(cukier8[[#This Row],[rok]],$L$2:$M$11,2,FALSE)*cukier8[[#This Row],[sprzedany_cukier]]</f>
        <v>410.70000000000005</v>
      </c>
    </row>
    <row r="1731" spans="1:5" x14ac:dyDescent="0.25">
      <c r="A1731" s="1">
        <v>41303</v>
      </c>
      <c r="B1731" t="s">
        <v>67</v>
      </c>
      <c r="C1731">
        <v>3</v>
      </c>
      <c r="D1731">
        <f>YEAR(cukier8[[#This Row],[data]])</f>
        <v>2013</v>
      </c>
      <c r="E1731">
        <f>VLOOKUP(cukier8[[#This Row],[rok]],$L$2:$M$11,2,FALSE)*cukier8[[#This Row],[sprzedany_cukier]]</f>
        <v>6.66</v>
      </c>
    </row>
    <row r="1732" spans="1:5" x14ac:dyDescent="0.25">
      <c r="A1732" s="1">
        <v>41305</v>
      </c>
      <c r="B1732" t="s">
        <v>30</v>
      </c>
      <c r="C1732">
        <v>181</v>
      </c>
      <c r="D1732">
        <f>YEAR(cukier8[[#This Row],[data]])</f>
        <v>2013</v>
      </c>
      <c r="E1732">
        <f>VLOOKUP(cukier8[[#This Row],[rok]],$L$2:$M$11,2,FALSE)*cukier8[[#This Row],[sprzedany_cukier]]</f>
        <v>401.82000000000005</v>
      </c>
    </row>
    <row r="1733" spans="1:5" x14ac:dyDescent="0.25">
      <c r="A1733" s="1">
        <v>41309</v>
      </c>
      <c r="B1733" t="s">
        <v>17</v>
      </c>
      <c r="C1733">
        <v>441</v>
      </c>
      <c r="D1733">
        <f>YEAR(cukier8[[#This Row],[data]])</f>
        <v>2013</v>
      </c>
      <c r="E1733">
        <f>VLOOKUP(cukier8[[#This Row],[rok]],$L$2:$M$11,2,FALSE)*cukier8[[#This Row],[sprzedany_cukier]]</f>
        <v>979.0200000000001</v>
      </c>
    </row>
    <row r="1734" spans="1:5" x14ac:dyDescent="0.25">
      <c r="A1734" s="1">
        <v>41310</v>
      </c>
      <c r="B1734" t="s">
        <v>45</v>
      </c>
      <c r="C1734">
        <v>487</v>
      </c>
      <c r="D1734">
        <f>YEAR(cukier8[[#This Row],[data]])</f>
        <v>2013</v>
      </c>
      <c r="E1734">
        <f>VLOOKUP(cukier8[[#This Row],[rok]],$L$2:$M$11,2,FALSE)*cukier8[[#This Row],[sprzedany_cukier]]</f>
        <v>1081.1400000000001</v>
      </c>
    </row>
    <row r="1735" spans="1:5" x14ac:dyDescent="0.25">
      <c r="A1735" s="1">
        <v>41310</v>
      </c>
      <c r="B1735" t="s">
        <v>52</v>
      </c>
      <c r="C1735">
        <v>56</v>
      </c>
      <c r="D1735">
        <f>YEAR(cukier8[[#This Row],[data]])</f>
        <v>2013</v>
      </c>
      <c r="E1735">
        <f>VLOOKUP(cukier8[[#This Row],[rok]],$L$2:$M$11,2,FALSE)*cukier8[[#This Row],[sprzedany_cukier]]</f>
        <v>124.32000000000001</v>
      </c>
    </row>
    <row r="1736" spans="1:5" x14ac:dyDescent="0.25">
      <c r="A1736" s="1">
        <v>41314</v>
      </c>
      <c r="B1736" t="s">
        <v>12</v>
      </c>
      <c r="C1736">
        <v>23</v>
      </c>
      <c r="D1736">
        <f>YEAR(cukier8[[#This Row],[data]])</f>
        <v>2013</v>
      </c>
      <c r="E1736">
        <f>VLOOKUP(cukier8[[#This Row],[rok]],$L$2:$M$11,2,FALSE)*cukier8[[#This Row],[sprzedany_cukier]]</f>
        <v>51.06</v>
      </c>
    </row>
    <row r="1737" spans="1:5" x14ac:dyDescent="0.25">
      <c r="A1737" s="1">
        <v>41314</v>
      </c>
      <c r="B1737" t="s">
        <v>131</v>
      </c>
      <c r="C1737">
        <v>113</v>
      </c>
      <c r="D1737">
        <f>YEAR(cukier8[[#This Row],[data]])</f>
        <v>2013</v>
      </c>
      <c r="E1737">
        <f>VLOOKUP(cukier8[[#This Row],[rok]],$L$2:$M$11,2,FALSE)*cukier8[[#This Row],[sprzedany_cukier]]</f>
        <v>250.86</v>
      </c>
    </row>
    <row r="1738" spans="1:5" x14ac:dyDescent="0.25">
      <c r="A1738" s="1">
        <v>41315</v>
      </c>
      <c r="B1738" t="s">
        <v>200</v>
      </c>
      <c r="C1738">
        <v>19</v>
      </c>
      <c r="D1738">
        <f>YEAR(cukier8[[#This Row],[data]])</f>
        <v>2013</v>
      </c>
      <c r="E1738">
        <f>VLOOKUP(cukier8[[#This Row],[rok]],$L$2:$M$11,2,FALSE)*cukier8[[#This Row],[sprzedany_cukier]]</f>
        <v>42.180000000000007</v>
      </c>
    </row>
    <row r="1739" spans="1:5" x14ac:dyDescent="0.25">
      <c r="A1739" s="1">
        <v>41316</v>
      </c>
      <c r="B1739" t="s">
        <v>78</v>
      </c>
      <c r="C1739">
        <v>188</v>
      </c>
      <c r="D1739">
        <f>YEAR(cukier8[[#This Row],[data]])</f>
        <v>2013</v>
      </c>
      <c r="E1739">
        <f>VLOOKUP(cukier8[[#This Row],[rok]],$L$2:$M$11,2,FALSE)*cukier8[[#This Row],[sprzedany_cukier]]</f>
        <v>417.36</v>
      </c>
    </row>
    <row r="1740" spans="1:5" x14ac:dyDescent="0.25">
      <c r="A1740" s="1">
        <v>41316</v>
      </c>
      <c r="B1740" t="s">
        <v>7</v>
      </c>
      <c r="C1740">
        <v>338</v>
      </c>
      <c r="D1740">
        <f>YEAR(cukier8[[#This Row],[data]])</f>
        <v>2013</v>
      </c>
      <c r="E1740">
        <f>VLOOKUP(cukier8[[#This Row],[rok]],$L$2:$M$11,2,FALSE)*cukier8[[#This Row],[sprzedany_cukier]]</f>
        <v>750.36</v>
      </c>
    </row>
    <row r="1741" spans="1:5" x14ac:dyDescent="0.25">
      <c r="A1741" s="1">
        <v>41317</v>
      </c>
      <c r="B1741" t="s">
        <v>31</v>
      </c>
      <c r="C1741">
        <v>80</v>
      </c>
      <c r="D1741">
        <f>YEAR(cukier8[[#This Row],[data]])</f>
        <v>2013</v>
      </c>
      <c r="E1741">
        <f>VLOOKUP(cukier8[[#This Row],[rok]],$L$2:$M$11,2,FALSE)*cukier8[[#This Row],[sprzedany_cukier]]</f>
        <v>177.60000000000002</v>
      </c>
    </row>
    <row r="1742" spans="1:5" x14ac:dyDescent="0.25">
      <c r="A1742" s="1">
        <v>41318</v>
      </c>
      <c r="B1742" t="s">
        <v>171</v>
      </c>
      <c r="C1742">
        <v>20</v>
      </c>
      <c r="D1742">
        <f>YEAR(cukier8[[#This Row],[data]])</f>
        <v>2013</v>
      </c>
      <c r="E1742">
        <f>VLOOKUP(cukier8[[#This Row],[rok]],$L$2:$M$11,2,FALSE)*cukier8[[#This Row],[sprzedany_cukier]]</f>
        <v>44.400000000000006</v>
      </c>
    </row>
    <row r="1743" spans="1:5" x14ac:dyDescent="0.25">
      <c r="A1743" s="1">
        <v>41321</v>
      </c>
      <c r="B1743" t="s">
        <v>159</v>
      </c>
      <c r="C1743">
        <v>1</v>
      </c>
      <c r="D1743">
        <f>YEAR(cukier8[[#This Row],[data]])</f>
        <v>2013</v>
      </c>
      <c r="E1743">
        <f>VLOOKUP(cukier8[[#This Row],[rok]],$L$2:$M$11,2,FALSE)*cukier8[[#This Row],[sprzedany_cukier]]</f>
        <v>2.2200000000000002</v>
      </c>
    </row>
    <row r="1744" spans="1:5" x14ac:dyDescent="0.25">
      <c r="A1744" s="1">
        <v>41322</v>
      </c>
      <c r="B1744" t="s">
        <v>52</v>
      </c>
      <c r="C1744">
        <v>200</v>
      </c>
      <c r="D1744">
        <f>YEAR(cukier8[[#This Row],[data]])</f>
        <v>2013</v>
      </c>
      <c r="E1744">
        <f>VLOOKUP(cukier8[[#This Row],[rok]],$L$2:$M$11,2,FALSE)*cukier8[[#This Row],[sprzedany_cukier]]</f>
        <v>444.00000000000006</v>
      </c>
    </row>
    <row r="1745" spans="1:5" x14ac:dyDescent="0.25">
      <c r="A1745" s="1">
        <v>41323</v>
      </c>
      <c r="B1745" t="s">
        <v>5</v>
      </c>
      <c r="C1745">
        <v>429</v>
      </c>
      <c r="D1745">
        <f>YEAR(cukier8[[#This Row],[data]])</f>
        <v>2013</v>
      </c>
      <c r="E1745">
        <f>VLOOKUP(cukier8[[#This Row],[rok]],$L$2:$M$11,2,FALSE)*cukier8[[#This Row],[sprzedany_cukier]]</f>
        <v>952.38000000000011</v>
      </c>
    </row>
    <row r="1746" spans="1:5" x14ac:dyDescent="0.25">
      <c r="A1746" s="1">
        <v>41324</v>
      </c>
      <c r="B1746" t="s">
        <v>12</v>
      </c>
      <c r="C1746">
        <v>183</v>
      </c>
      <c r="D1746">
        <f>YEAR(cukier8[[#This Row],[data]])</f>
        <v>2013</v>
      </c>
      <c r="E1746">
        <f>VLOOKUP(cukier8[[#This Row],[rok]],$L$2:$M$11,2,FALSE)*cukier8[[#This Row],[sprzedany_cukier]]</f>
        <v>406.26000000000005</v>
      </c>
    </row>
    <row r="1747" spans="1:5" x14ac:dyDescent="0.25">
      <c r="A1747" s="1">
        <v>41325</v>
      </c>
      <c r="B1747" t="s">
        <v>10</v>
      </c>
      <c r="C1747">
        <v>26</v>
      </c>
      <c r="D1747">
        <f>YEAR(cukier8[[#This Row],[data]])</f>
        <v>2013</v>
      </c>
      <c r="E1747">
        <f>VLOOKUP(cukier8[[#This Row],[rok]],$L$2:$M$11,2,FALSE)*cukier8[[#This Row],[sprzedany_cukier]]</f>
        <v>57.720000000000006</v>
      </c>
    </row>
    <row r="1748" spans="1:5" x14ac:dyDescent="0.25">
      <c r="A1748" s="1">
        <v>41326</v>
      </c>
      <c r="B1748" t="s">
        <v>180</v>
      </c>
      <c r="C1748">
        <v>2</v>
      </c>
      <c r="D1748">
        <f>YEAR(cukier8[[#This Row],[data]])</f>
        <v>2013</v>
      </c>
      <c r="E1748">
        <f>VLOOKUP(cukier8[[#This Row],[rok]],$L$2:$M$11,2,FALSE)*cukier8[[#This Row],[sprzedany_cukier]]</f>
        <v>4.4400000000000004</v>
      </c>
    </row>
    <row r="1749" spans="1:5" x14ac:dyDescent="0.25">
      <c r="A1749" s="1">
        <v>41328</v>
      </c>
      <c r="B1749" t="s">
        <v>7</v>
      </c>
      <c r="C1749">
        <v>174</v>
      </c>
      <c r="D1749">
        <f>YEAR(cukier8[[#This Row],[data]])</f>
        <v>2013</v>
      </c>
      <c r="E1749">
        <f>VLOOKUP(cukier8[[#This Row],[rok]],$L$2:$M$11,2,FALSE)*cukier8[[#This Row],[sprzedany_cukier]]</f>
        <v>386.28000000000003</v>
      </c>
    </row>
    <row r="1750" spans="1:5" x14ac:dyDescent="0.25">
      <c r="A1750" s="1">
        <v>41329</v>
      </c>
      <c r="B1750" t="s">
        <v>52</v>
      </c>
      <c r="C1750">
        <v>98</v>
      </c>
      <c r="D1750">
        <f>YEAR(cukier8[[#This Row],[data]])</f>
        <v>2013</v>
      </c>
      <c r="E1750">
        <f>VLOOKUP(cukier8[[#This Row],[rok]],$L$2:$M$11,2,FALSE)*cukier8[[#This Row],[sprzedany_cukier]]</f>
        <v>217.56000000000003</v>
      </c>
    </row>
    <row r="1751" spans="1:5" x14ac:dyDescent="0.25">
      <c r="A1751" s="1">
        <v>41329</v>
      </c>
      <c r="B1751" t="s">
        <v>185</v>
      </c>
      <c r="C1751">
        <v>11</v>
      </c>
      <c r="D1751">
        <f>YEAR(cukier8[[#This Row],[data]])</f>
        <v>2013</v>
      </c>
      <c r="E1751">
        <f>VLOOKUP(cukier8[[#This Row],[rok]],$L$2:$M$11,2,FALSE)*cukier8[[#This Row],[sprzedany_cukier]]</f>
        <v>24.42</v>
      </c>
    </row>
    <row r="1752" spans="1:5" x14ac:dyDescent="0.25">
      <c r="A1752" s="1">
        <v>41332</v>
      </c>
      <c r="B1752" t="s">
        <v>28</v>
      </c>
      <c r="C1752">
        <v>58</v>
      </c>
      <c r="D1752">
        <f>YEAR(cukier8[[#This Row],[data]])</f>
        <v>2013</v>
      </c>
      <c r="E1752">
        <f>VLOOKUP(cukier8[[#This Row],[rok]],$L$2:$M$11,2,FALSE)*cukier8[[#This Row],[sprzedany_cukier]]</f>
        <v>128.76000000000002</v>
      </c>
    </row>
    <row r="1753" spans="1:5" x14ac:dyDescent="0.25">
      <c r="A1753" s="1">
        <v>41336</v>
      </c>
      <c r="B1753" t="s">
        <v>15</v>
      </c>
      <c r="C1753">
        <v>17</v>
      </c>
      <c r="D1753">
        <f>YEAR(cukier8[[#This Row],[data]])</f>
        <v>2013</v>
      </c>
      <c r="E1753">
        <f>VLOOKUP(cukier8[[#This Row],[rok]],$L$2:$M$11,2,FALSE)*cukier8[[#This Row],[sprzedany_cukier]]</f>
        <v>37.74</v>
      </c>
    </row>
    <row r="1754" spans="1:5" x14ac:dyDescent="0.25">
      <c r="A1754" s="1">
        <v>41337</v>
      </c>
      <c r="B1754" t="s">
        <v>17</v>
      </c>
      <c r="C1754">
        <v>143</v>
      </c>
      <c r="D1754">
        <f>YEAR(cukier8[[#This Row],[data]])</f>
        <v>2013</v>
      </c>
      <c r="E1754">
        <f>VLOOKUP(cukier8[[#This Row],[rok]],$L$2:$M$11,2,FALSE)*cukier8[[#This Row],[sprzedany_cukier]]</f>
        <v>317.46000000000004</v>
      </c>
    </row>
    <row r="1755" spans="1:5" x14ac:dyDescent="0.25">
      <c r="A1755" s="1">
        <v>41339</v>
      </c>
      <c r="B1755" t="s">
        <v>52</v>
      </c>
      <c r="C1755">
        <v>108</v>
      </c>
      <c r="D1755">
        <f>YEAR(cukier8[[#This Row],[data]])</f>
        <v>2013</v>
      </c>
      <c r="E1755">
        <f>VLOOKUP(cukier8[[#This Row],[rok]],$L$2:$M$11,2,FALSE)*cukier8[[#This Row],[sprzedany_cukier]]</f>
        <v>239.76000000000002</v>
      </c>
    </row>
    <row r="1756" spans="1:5" x14ac:dyDescent="0.25">
      <c r="A1756" s="1">
        <v>41346</v>
      </c>
      <c r="B1756" t="s">
        <v>102</v>
      </c>
      <c r="C1756">
        <v>424</v>
      </c>
      <c r="D1756">
        <f>YEAR(cukier8[[#This Row],[data]])</f>
        <v>2013</v>
      </c>
      <c r="E1756">
        <f>VLOOKUP(cukier8[[#This Row],[rok]],$L$2:$M$11,2,FALSE)*cukier8[[#This Row],[sprzedany_cukier]]</f>
        <v>941.28000000000009</v>
      </c>
    </row>
    <row r="1757" spans="1:5" x14ac:dyDescent="0.25">
      <c r="A1757" s="1">
        <v>41351</v>
      </c>
      <c r="B1757" t="s">
        <v>221</v>
      </c>
      <c r="C1757">
        <v>9</v>
      </c>
      <c r="D1757">
        <f>YEAR(cukier8[[#This Row],[data]])</f>
        <v>2013</v>
      </c>
      <c r="E1757">
        <f>VLOOKUP(cukier8[[#This Row],[rok]],$L$2:$M$11,2,FALSE)*cukier8[[#This Row],[sprzedany_cukier]]</f>
        <v>19.98</v>
      </c>
    </row>
    <row r="1758" spans="1:5" x14ac:dyDescent="0.25">
      <c r="A1758" s="1">
        <v>41352</v>
      </c>
      <c r="B1758" t="s">
        <v>28</v>
      </c>
      <c r="C1758">
        <v>135</v>
      </c>
      <c r="D1758">
        <f>YEAR(cukier8[[#This Row],[data]])</f>
        <v>2013</v>
      </c>
      <c r="E1758">
        <f>VLOOKUP(cukier8[[#This Row],[rok]],$L$2:$M$11,2,FALSE)*cukier8[[#This Row],[sprzedany_cukier]]</f>
        <v>299.70000000000005</v>
      </c>
    </row>
    <row r="1759" spans="1:5" x14ac:dyDescent="0.25">
      <c r="A1759" s="1">
        <v>41356</v>
      </c>
      <c r="B1759" t="s">
        <v>14</v>
      </c>
      <c r="C1759">
        <v>202</v>
      </c>
      <c r="D1759">
        <f>YEAR(cukier8[[#This Row],[data]])</f>
        <v>2013</v>
      </c>
      <c r="E1759">
        <f>VLOOKUP(cukier8[[#This Row],[rok]],$L$2:$M$11,2,FALSE)*cukier8[[#This Row],[sprzedany_cukier]]</f>
        <v>448.44000000000005</v>
      </c>
    </row>
    <row r="1760" spans="1:5" x14ac:dyDescent="0.25">
      <c r="A1760" s="1">
        <v>41357</v>
      </c>
      <c r="B1760" t="s">
        <v>45</v>
      </c>
      <c r="C1760">
        <v>459</v>
      </c>
      <c r="D1760">
        <f>YEAR(cukier8[[#This Row],[data]])</f>
        <v>2013</v>
      </c>
      <c r="E1760">
        <f>VLOOKUP(cukier8[[#This Row],[rok]],$L$2:$M$11,2,FALSE)*cukier8[[#This Row],[sprzedany_cukier]]</f>
        <v>1018.9800000000001</v>
      </c>
    </row>
    <row r="1761" spans="1:5" x14ac:dyDescent="0.25">
      <c r="A1761" s="1">
        <v>41361</v>
      </c>
      <c r="B1761" t="s">
        <v>58</v>
      </c>
      <c r="C1761">
        <v>107</v>
      </c>
      <c r="D1761">
        <f>YEAR(cukier8[[#This Row],[data]])</f>
        <v>2013</v>
      </c>
      <c r="E1761">
        <f>VLOOKUP(cukier8[[#This Row],[rok]],$L$2:$M$11,2,FALSE)*cukier8[[#This Row],[sprzedany_cukier]]</f>
        <v>237.54000000000002</v>
      </c>
    </row>
    <row r="1762" spans="1:5" x14ac:dyDescent="0.25">
      <c r="A1762" s="1">
        <v>41362</v>
      </c>
      <c r="B1762" t="s">
        <v>35</v>
      </c>
      <c r="C1762">
        <v>37</v>
      </c>
      <c r="D1762">
        <f>YEAR(cukier8[[#This Row],[data]])</f>
        <v>2013</v>
      </c>
      <c r="E1762">
        <f>VLOOKUP(cukier8[[#This Row],[rok]],$L$2:$M$11,2,FALSE)*cukier8[[#This Row],[sprzedany_cukier]]</f>
        <v>82.14</v>
      </c>
    </row>
    <row r="1763" spans="1:5" x14ac:dyDescent="0.25">
      <c r="A1763" s="1">
        <v>41363</v>
      </c>
      <c r="B1763" t="s">
        <v>61</v>
      </c>
      <c r="C1763">
        <v>43</v>
      </c>
      <c r="D1763">
        <f>YEAR(cukier8[[#This Row],[data]])</f>
        <v>2013</v>
      </c>
      <c r="E1763">
        <f>VLOOKUP(cukier8[[#This Row],[rok]],$L$2:$M$11,2,FALSE)*cukier8[[#This Row],[sprzedany_cukier]]</f>
        <v>95.460000000000008</v>
      </c>
    </row>
    <row r="1764" spans="1:5" x14ac:dyDescent="0.25">
      <c r="A1764" s="1">
        <v>41365</v>
      </c>
      <c r="B1764" t="s">
        <v>9</v>
      </c>
      <c r="C1764">
        <v>352</v>
      </c>
      <c r="D1764">
        <f>YEAR(cukier8[[#This Row],[data]])</f>
        <v>2013</v>
      </c>
      <c r="E1764">
        <f>VLOOKUP(cukier8[[#This Row],[rok]],$L$2:$M$11,2,FALSE)*cukier8[[#This Row],[sprzedany_cukier]]</f>
        <v>781.44</v>
      </c>
    </row>
    <row r="1765" spans="1:5" x14ac:dyDescent="0.25">
      <c r="A1765" s="1">
        <v>41368</v>
      </c>
      <c r="B1765" t="s">
        <v>18</v>
      </c>
      <c r="C1765">
        <v>94</v>
      </c>
      <c r="D1765">
        <f>YEAR(cukier8[[#This Row],[data]])</f>
        <v>2013</v>
      </c>
      <c r="E1765">
        <f>VLOOKUP(cukier8[[#This Row],[rok]],$L$2:$M$11,2,FALSE)*cukier8[[#This Row],[sprzedany_cukier]]</f>
        <v>208.68</v>
      </c>
    </row>
    <row r="1766" spans="1:5" x14ac:dyDescent="0.25">
      <c r="A1766" s="1">
        <v>41368</v>
      </c>
      <c r="B1766" t="s">
        <v>66</v>
      </c>
      <c r="C1766">
        <v>112</v>
      </c>
      <c r="D1766">
        <f>YEAR(cukier8[[#This Row],[data]])</f>
        <v>2013</v>
      </c>
      <c r="E1766">
        <f>VLOOKUP(cukier8[[#This Row],[rok]],$L$2:$M$11,2,FALSE)*cukier8[[#This Row],[sprzedany_cukier]]</f>
        <v>248.64000000000001</v>
      </c>
    </row>
    <row r="1767" spans="1:5" x14ac:dyDescent="0.25">
      <c r="A1767" s="1">
        <v>41369</v>
      </c>
      <c r="B1767" t="s">
        <v>61</v>
      </c>
      <c r="C1767">
        <v>136</v>
      </c>
      <c r="D1767">
        <f>YEAR(cukier8[[#This Row],[data]])</f>
        <v>2013</v>
      </c>
      <c r="E1767">
        <f>VLOOKUP(cukier8[[#This Row],[rok]],$L$2:$M$11,2,FALSE)*cukier8[[#This Row],[sprzedany_cukier]]</f>
        <v>301.92</v>
      </c>
    </row>
    <row r="1768" spans="1:5" x14ac:dyDescent="0.25">
      <c r="A1768" s="1">
        <v>41370</v>
      </c>
      <c r="B1768" t="s">
        <v>78</v>
      </c>
      <c r="C1768">
        <v>56</v>
      </c>
      <c r="D1768">
        <f>YEAR(cukier8[[#This Row],[data]])</f>
        <v>2013</v>
      </c>
      <c r="E1768">
        <f>VLOOKUP(cukier8[[#This Row],[rok]],$L$2:$M$11,2,FALSE)*cukier8[[#This Row],[sprzedany_cukier]]</f>
        <v>124.32000000000001</v>
      </c>
    </row>
    <row r="1769" spans="1:5" x14ac:dyDescent="0.25">
      <c r="A1769" s="1">
        <v>41372</v>
      </c>
      <c r="B1769" t="s">
        <v>14</v>
      </c>
      <c r="C1769">
        <v>286</v>
      </c>
      <c r="D1769">
        <f>YEAR(cukier8[[#This Row],[data]])</f>
        <v>2013</v>
      </c>
      <c r="E1769">
        <f>VLOOKUP(cukier8[[#This Row],[rok]],$L$2:$M$11,2,FALSE)*cukier8[[#This Row],[sprzedany_cukier]]</f>
        <v>634.92000000000007</v>
      </c>
    </row>
    <row r="1770" spans="1:5" x14ac:dyDescent="0.25">
      <c r="A1770" s="1">
        <v>41373</v>
      </c>
      <c r="B1770" t="s">
        <v>7</v>
      </c>
      <c r="C1770">
        <v>296</v>
      </c>
      <c r="D1770">
        <f>YEAR(cukier8[[#This Row],[data]])</f>
        <v>2013</v>
      </c>
      <c r="E1770">
        <f>VLOOKUP(cukier8[[#This Row],[rok]],$L$2:$M$11,2,FALSE)*cukier8[[#This Row],[sprzedany_cukier]]</f>
        <v>657.12</v>
      </c>
    </row>
    <row r="1771" spans="1:5" x14ac:dyDescent="0.25">
      <c r="A1771" s="1">
        <v>41373</v>
      </c>
      <c r="B1771" t="s">
        <v>25</v>
      </c>
      <c r="C1771">
        <v>81</v>
      </c>
      <c r="D1771">
        <f>YEAR(cukier8[[#This Row],[data]])</f>
        <v>2013</v>
      </c>
      <c r="E1771">
        <f>VLOOKUP(cukier8[[#This Row],[rok]],$L$2:$M$11,2,FALSE)*cukier8[[#This Row],[sprzedany_cukier]]</f>
        <v>179.82000000000002</v>
      </c>
    </row>
    <row r="1772" spans="1:5" x14ac:dyDescent="0.25">
      <c r="A1772" s="1">
        <v>41374</v>
      </c>
      <c r="B1772" t="s">
        <v>14</v>
      </c>
      <c r="C1772">
        <v>231</v>
      </c>
      <c r="D1772">
        <f>YEAR(cukier8[[#This Row],[data]])</f>
        <v>2013</v>
      </c>
      <c r="E1772">
        <f>VLOOKUP(cukier8[[#This Row],[rok]],$L$2:$M$11,2,FALSE)*cukier8[[#This Row],[sprzedany_cukier]]</f>
        <v>512.82000000000005</v>
      </c>
    </row>
    <row r="1773" spans="1:5" x14ac:dyDescent="0.25">
      <c r="A1773" s="1">
        <v>41375</v>
      </c>
      <c r="B1773" t="s">
        <v>17</v>
      </c>
      <c r="C1773">
        <v>149</v>
      </c>
      <c r="D1773">
        <f>YEAR(cukier8[[#This Row],[data]])</f>
        <v>2013</v>
      </c>
      <c r="E1773">
        <f>VLOOKUP(cukier8[[#This Row],[rok]],$L$2:$M$11,2,FALSE)*cukier8[[#This Row],[sprzedany_cukier]]</f>
        <v>330.78000000000003</v>
      </c>
    </row>
    <row r="1774" spans="1:5" x14ac:dyDescent="0.25">
      <c r="A1774" s="1">
        <v>41375</v>
      </c>
      <c r="B1774" t="s">
        <v>132</v>
      </c>
      <c r="C1774">
        <v>3</v>
      </c>
      <c r="D1774">
        <f>YEAR(cukier8[[#This Row],[data]])</f>
        <v>2013</v>
      </c>
      <c r="E1774">
        <f>VLOOKUP(cukier8[[#This Row],[rok]],$L$2:$M$11,2,FALSE)*cukier8[[#This Row],[sprzedany_cukier]]</f>
        <v>6.66</v>
      </c>
    </row>
    <row r="1775" spans="1:5" x14ac:dyDescent="0.25">
      <c r="A1775" s="1">
        <v>41376</v>
      </c>
      <c r="B1775" t="s">
        <v>14</v>
      </c>
      <c r="C1775">
        <v>311</v>
      </c>
      <c r="D1775">
        <f>YEAR(cukier8[[#This Row],[data]])</f>
        <v>2013</v>
      </c>
      <c r="E1775">
        <f>VLOOKUP(cukier8[[#This Row],[rok]],$L$2:$M$11,2,FALSE)*cukier8[[#This Row],[sprzedany_cukier]]</f>
        <v>690.42000000000007</v>
      </c>
    </row>
    <row r="1776" spans="1:5" x14ac:dyDescent="0.25">
      <c r="A1776" s="1">
        <v>41379</v>
      </c>
      <c r="B1776" t="s">
        <v>66</v>
      </c>
      <c r="C1776">
        <v>121</v>
      </c>
      <c r="D1776">
        <f>YEAR(cukier8[[#This Row],[data]])</f>
        <v>2013</v>
      </c>
      <c r="E1776">
        <f>VLOOKUP(cukier8[[#This Row],[rok]],$L$2:$M$11,2,FALSE)*cukier8[[#This Row],[sprzedany_cukier]]</f>
        <v>268.62</v>
      </c>
    </row>
    <row r="1777" spans="1:5" x14ac:dyDescent="0.25">
      <c r="A1777" s="1">
        <v>41380</v>
      </c>
      <c r="B1777" t="s">
        <v>153</v>
      </c>
      <c r="C1777">
        <v>15</v>
      </c>
      <c r="D1777">
        <f>YEAR(cukier8[[#This Row],[data]])</f>
        <v>2013</v>
      </c>
      <c r="E1777">
        <f>VLOOKUP(cukier8[[#This Row],[rok]],$L$2:$M$11,2,FALSE)*cukier8[[#This Row],[sprzedany_cukier]]</f>
        <v>33.300000000000004</v>
      </c>
    </row>
    <row r="1778" spans="1:5" x14ac:dyDescent="0.25">
      <c r="A1778" s="1">
        <v>41381</v>
      </c>
      <c r="B1778" t="s">
        <v>136</v>
      </c>
      <c r="C1778">
        <v>14</v>
      </c>
      <c r="D1778">
        <f>YEAR(cukier8[[#This Row],[data]])</f>
        <v>2013</v>
      </c>
      <c r="E1778">
        <f>VLOOKUP(cukier8[[#This Row],[rok]],$L$2:$M$11,2,FALSE)*cukier8[[#This Row],[sprzedany_cukier]]</f>
        <v>31.080000000000002</v>
      </c>
    </row>
    <row r="1779" spans="1:5" x14ac:dyDescent="0.25">
      <c r="A1779" s="1">
        <v>41381</v>
      </c>
      <c r="B1779" t="s">
        <v>7</v>
      </c>
      <c r="C1779">
        <v>240</v>
      </c>
      <c r="D1779">
        <f>YEAR(cukier8[[#This Row],[data]])</f>
        <v>2013</v>
      </c>
      <c r="E1779">
        <f>VLOOKUP(cukier8[[#This Row],[rok]],$L$2:$M$11,2,FALSE)*cukier8[[#This Row],[sprzedany_cukier]]</f>
        <v>532.80000000000007</v>
      </c>
    </row>
    <row r="1780" spans="1:5" x14ac:dyDescent="0.25">
      <c r="A1780" s="1">
        <v>41383</v>
      </c>
      <c r="B1780" t="s">
        <v>56</v>
      </c>
      <c r="C1780">
        <v>12</v>
      </c>
      <c r="D1780">
        <f>YEAR(cukier8[[#This Row],[data]])</f>
        <v>2013</v>
      </c>
      <c r="E1780">
        <f>VLOOKUP(cukier8[[#This Row],[rok]],$L$2:$M$11,2,FALSE)*cukier8[[#This Row],[sprzedany_cukier]]</f>
        <v>26.64</v>
      </c>
    </row>
    <row r="1781" spans="1:5" x14ac:dyDescent="0.25">
      <c r="A1781" s="1">
        <v>41385</v>
      </c>
      <c r="B1781" t="s">
        <v>199</v>
      </c>
      <c r="C1781">
        <v>1</v>
      </c>
      <c r="D1781">
        <f>YEAR(cukier8[[#This Row],[data]])</f>
        <v>2013</v>
      </c>
      <c r="E1781">
        <f>VLOOKUP(cukier8[[#This Row],[rok]],$L$2:$M$11,2,FALSE)*cukier8[[#This Row],[sprzedany_cukier]]</f>
        <v>2.2200000000000002</v>
      </c>
    </row>
    <row r="1782" spans="1:5" x14ac:dyDescent="0.25">
      <c r="A1782" s="1">
        <v>41388</v>
      </c>
      <c r="B1782" t="s">
        <v>232</v>
      </c>
      <c r="C1782">
        <v>12</v>
      </c>
      <c r="D1782">
        <f>YEAR(cukier8[[#This Row],[data]])</f>
        <v>2013</v>
      </c>
      <c r="E1782">
        <f>VLOOKUP(cukier8[[#This Row],[rok]],$L$2:$M$11,2,FALSE)*cukier8[[#This Row],[sprzedany_cukier]]</f>
        <v>26.64</v>
      </c>
    </row>
    <row r="1783" spans="1:5" x14ac:dyDescent="0.25">
      <c r="A1783" s="1">
        <v>41391</v>
      </c>
      <c r="B1783" t="s">
        <v>18</v>
      </c>
      <c r="C1783">
        <v>190</v>
      </c>
      <c r="D1783">
        <f>YEAR(cukier8[[#This Row],[data]])</f>
        <v>2013</v>
      </c>
      <c r="E1783">
        <f>VLOOKUP(cukier8[[#This Row],[rok]],$L$2:$M$11,2,FALSE)*cukier8[[#This Row],[sprzedany_cukier]]</f>
        <v>421.8</v>
      </c>
    </row>
    <row r="1784" spans="1:5" x14ac:dyDescent="0.25">
      <c r="A1784" s="1">
        <v>41392</v>
      </c>
      <c r="B1784" t="s">
        <v>63</v>
      </c>
      <c r="C1784">
        <v>179</v>
      </c>
      <c r="D1784">
        <f>YEAR(cukier8[[#This Row],[data]])</f>
        <v>2013</v>
      </c>
      <c r="E1784">
        <f>VLOOKUP(cukier8[[#This Row],[rok]],$L$2:$M$11,2,FALSE)*cukier8[[#This Row],[sprzedany_cukier]]</f>
        <v>397.38000000000005</v>
      </c>
    </row>
    <row r="1785" spans="1:5" x14ac:dyDescent="0.25">
      <c r="A1785" s="1">
        <v>41394</v>
      </c>
      <c r="B1785" t="s">
        <v>22</v>
      </c>
      <c r="C1785">
        <v>106</v>
      </c>
      <c r="D1785">
        <f>YEAR(cukier8[[#This Row],[data]])</f>
        <v>2013</v>
      </c>
      <c r="E1785">
        <f>VLOOKUP(cukier8[[#This Row],[rok]],$L$2:$M$11,2,FALSE)*cukier8[[#This Row],[sprzedany_cukier]]</f>
        <v>235.32000000000002</v>
      </c>
    </row>
    <row r="1786" spans="1:5" x14ac:dyDescent="0.25">
      <c r="A1786" s="1">
        <v>41396</v>
      </c>
      <c r="B1786" t="s">
        <v>7</v>
      </c>
      <c r="C1786">
        <v>267</v>
      </c>
      <c r="D1786">
        <f>YEAR(cukier8[[#This Row],[data]])</f>
        <v>2013</v>
      </c>
      <c r="E1786">
        <f>VLOOKUP(cukier8[[#This Row],[rok]],$L$2:$M$11,2,FALSE)*cukier8[[#This Row],[sprzedany_cukier]]</f>
        <v>592.74</v>
      </c>
    </row>
    <row r="1787" spans="1:5" x14ac:dyDescent="0.25">
      <c r="A1787" s="1">
        <v>41396</v>
      </c>
      <c r="B1787" t="s">
        <v>123</v>
      </c>
      <c r="C1787">
        <v>66</v>
      </c>
      <c r="D1787">
        <f>YEAR(cukier8[[#This Row],[data]])</f>
        <v>2013</v>
      </c>
      <c r="E1787">
        <f>VLOOKUP(cukier8[[#This Row],[rok]],$L$2:$M$11,2,FALSE)*cukier8[[#This Row],[sprzedany_cukier]]</f>
        <v>146.52000000000001</v>
      </c>
    </row>
    <row r="1788" spans="1:5" x14ac:dyDescent="0.25">
      <c r="A1788" s="1">
        <v>41398</v>
      </c>
      <c r="B1788" t="s">
        <v>14</v>
      </c>
      <c r="C1788">
        <v>471</v>
      </c>
      <c r="D1788">
        <f>YEAR(cukier8[[#This Row],[data]])</f>
        <v>2013</v>
      </c>
      <c r="E1788">
        <f>VLOOKUP(cukier8[[#This Row],[rok]],$L$2:$M$11,2,FALSE)*cukier8[[#This Row],[sprzedany_cukier]]</f>
        <v>1045.6200000000001</v>
      </c>
    </row>
    <row r="1789" spans="1:5" x14ac:dyDescent="0.25">
      <c r="A1789" s="1">
        <v>41399</v>
      </c>
      <c r="B1789" t="s">
        <v>60</v>
      </c>
      <c r="C1789">
        <v>5</v>
      </c>
      <c r="D1789">
        <f>YEAR(cukier8[[#This Row],[data]])</f>
        <v>2013</v>
      </c>
      <c r="E1789">
        <f>VLOOKUP(cukier8[[#This Row],[rok]],$L$2:$M$11,2,FALSE)*cukier8[[#This Row],[sprzedany_cukier]]</f>
        <v>11.100000000000001</v>
      </c>
    </row>
    <row r="1790" spans="1:5" x14ac:dyDescent="0.25">
      <c r="A1790" s="1">
        <v>41401</v>
      </c>
      <c r="B1790" t="s">
        <v>221</v>
      </c>
      <c r="C1790">
        <v>11</v>
      </c>
      <c r="D1790">
        <f>YEAR(cukier8[[#This Row],[data]])</f>
        <v>2013</v>
      </c>
      <c r="E1790">
        <f>VLOOKUP(cukier8[[#This Row],[rok]],$L$2:$M$11,2,FALSE)*cukier8[[#This Row],[sprzedany_cukier]]</f>
        <v>24.42</v>
      </c>
    </row>
    <row r="1791" spans="1:5" x14ac:dyDescent="0.25">
      <c r="A1791" s="1">
        <v>41403</v>
      </c>
      <c r="B1791" t="s">
        <v>71</v>
      </c>
      <c r="C1791">
        <v>103</v>
      </c>
      <c r="D1791">
        <f>YEAR(cukier8[[#This Row],[data]])</f>
        <v>2013</v>
      </c>
      <c r="E1791">
        <f>VLOOKUP(cukier8[[#This Row],[rok]],$L$2:$M$11,2,FALSE)*cukier8[[#This Row],[sprzedany_cukier]]</f>
        <v>228.66000000000003</v>
      </c>
    </row>
    <row r="1792" spans="1:5" x14ac:dyDescent="0.25">
      <c r="A1792" s="1">
        <v>41403</v>
      </c>
      <c r="B1792" t="s">
        <v>19</v>
      </c>
      <c r="C1792">
        <v>92</v>
      </c>
      <c r="D1792">
        <f>YEAR(cukier8[[#This Row],[data]])</f>
        <v>2013</v>
      </c>
      <c r="E1792">
        <f>VLOOKUP(cukier8[[#This Row],[rok]],$L$2:$M$11,2,FALSE)*cukier8[[#This Row],[sprzedany_cukier]]</f>
        <v>204.24</v>
      </c>
    </row>
    <row r="1793" spans="1:5" x14ac:dyDescent="0.25">
      <c r="A1793" s="1">
        <v>41405</v>
      </c>
      <c r="B1793" t="s">
        <v>10</v>
      </c>
      <c r="C1793">
        <v>115</v>
      </c>
      <c r="D1793">
        <f>YEAR(cukier8[[#This Row],[data]])</f>
        <v>2013</v>
      </c>
      <c r="E1793">
        <f>VLOOKUP(cukier8[[#This Row],[rok]],$L$2:$M$11,2,FALSE)*cukier8[[#This Row],[sprzedany_cukier]]</f>
        <v>255.3</v>
      </c>
    </row>
    <row r="1794" spans="1:5" x14ac:dyDescent="0.25">
      <c r="A1794" s="1">
        <v>41406</v>
      </c>
      <c r="B1794" t="s">
        <v>52</v>
      </c>
      <c r="C1794">
        <v>62</v>
      </c>
      <c r="D1794">
        <f>YEAR(cukier8[[#This Row],[data]])</f>
        <v>2013</v>
      </c>
      <c r="E1794">
        <f>VLOOKUP(cukier8[[#This Row],[rok]],$L$2:$M$11,2,FALSE)*cukier8[[#This Row],[sprzedany_cukier]]</f>
        <v>137.64000000000001</v>
      </c>
    </row>
    <row r="1795" spans="1:5" x14ac:dyDescent="0.25">
      <c r="A1795" s="1">
        <v>41406</v>
      </c>
      <c r="B1795" t="s">
        <v>5</v>
      </c>
      <c r="C1795">
        <v>420</v>
      </c>
      <c r="D1795">
        <f>YEAR(cukier8[[#This Row],[data]])</f>
        <v>2013</v>
      </c>
      <c r="E1795">
        <f>VLOOKUP(cukier8[[#This Row],[rok]],$L$2:$M$11,2,FALSE)*cukier8[[#This Row],[sprzedany_cukier]]</f>
        <v>932.40000000000009</v>
      </c>
    </row>
    <row r="1796" spans="1:5" x14ac:dyDescent="0.25">
      <c r="A1796" s="1">
        <v>41406</v>
      </c>
      <c r="B1796" t="s">
        <v>30</v>
      </c>
      <c r="C1796">
        <v>81</v>
      </c>
      <c r="D1796">
        <f>YEAR(cukier8[[#This Row],[data]])</f>
        <v>2013</v>
      </c>
      <c r="E1796">
        <f>VLOOKUP(cukier8[[#This Row],[rok]],$L$2:$M$11,2,FALSE)*cukier8[[#This Row],[sprzedany_cukier]]</f>
        <v>179.82000000000002</v>
      </c>
    </row>
    <row r="1797" spans="1:5" x14ac:dyDescent="0.25">
      <c r="A1797" s="1">
        <v>41407</v>
      </c>
      <c r="B1797" t="s">
        <v>9</v>
      </c>
      <c r="C1797">
        <v>412</v>
      </c>
      <c r="D1797">
        <f>YEAR(cukier8[[#This Row],[data]])</f>
        <v>2013</v>
      </c>
      <c r="E1797">
        <f>VLOOKUP(cukier8[[#This Row],[rok]],$L$2:$M$11,2,FALSE)*cukier8[[#This Row],[sprzedany_cukier]]</f>
        <v>914.6400000000001</v>
      </c>
    </row>
    <row r="1798" spans="1:5" x14ac:dyDescent="0.25">
      <c r="A1798" s="1">
        <v>41409</v>
      </c>
      <c r="B1798" t="s">
        <v>45</v>
      </c>
      <c r="C1798">
        <v>377</v>
      </c>
      <c r="D1798">
        <f>YEAR(cukier8[[#This Row],[data]])</f>
        <v>2013</v>
      </c>
      <c r="E1798">
        <f>VLOOKUP(cukier8[[#This Row],[rok]],$L$2:$M$11,2,FALSE)*cukier8[[#This Row],[sprzedany_cukier]]</f>
        <v>836.94</v>
      </c>
    </row>
    <row r="1799" spans="1:5" x14ac:dyDescent="0.25">
      <c r="A1799" s="1">
        <v>41414</v>
      </c>
      <c r="B1799" t="s">
        <v>45</v>
      </c>
      <c r="C1799">
        <v>461</v>
      </c>
      <c r="D1799">
        <f>YEAR(cukier8[[#This Row],[data]])</f>
        <v>2013</v>
      </c>
      <c r="E1799">
        <f>VLOOKUP(cukier8[[#This Row],[rok]],$L$2:$M$11,2,FALSE)*cukier8[[#This Row],[sprzedany_cukier]]</f>
        <v>1023.4200000000001</v>
      </c>
    </row>
    <row r="1800" spans="1:5" x14ac:dyDescent="0.25">
      <c r="A1800" s="1">
        <v>41414</v>
      </c>
      <c r="B1800" t="s">
        <v>71</v>
      </c>
      <c r="C1800">
        <v>138</v>
      </c>
      <c r="D1800">
        <f>YEAR(cukier8[[#This Row],[data]])</f>
        <v>2013</v>
      </c>
      <c r="E1800">
        <f>VLOOKUP(cukier8[[#This Row],[rok]],$L$2:$M$11,2,FALSE)*cukier8[[#This Row],[sprzedany_cukier]]</f>
        <v>306.36</v>
      </c>
    </row>
    <row r="1801" spans="1:5" x14ac:dyDescent="0.25">
      <c r="A1801" s="1">
        <v>41418</v>
      </c>
      <c r="B1801" t="s">
        <v>47</v>
      </c>
      <c r="C1801">
        <v>17</v>
      </c>
      <c r="D1801">
        <f>YEAR(cukier8[[#This Row],[data]])</f>
        <v>2013</v>
      </c>
      <c r="E1801">
        <f>VLOOKUP(cukier8[[#This Row],[rok]],$L$2:$M$11,2,FALSE)*cukier8[[#This Row],[sprzedany_cukier]]</f>
        <v>37.74</v>
      </c>
    </row>
    <row r="1802" spans="1:5" x14ac:dyDescent="0.25">
      <c r="A1802" s="1">
        <v>41422</v>
      </c>
      <c r="B1802" t="s">
        <v>197</v>
      </c>
      <c r="C1802">
        <v>8</v>
      </c>
      <c r="D1802">
        <f>YEAR(cukier8[[#This Row],[data]])</f>
        <v>2013</v>
      </c>
      <c r="E1802">
        <f>VLOOKUP(cukier8[[#This Row],[rok]],$L$2:$M$11,2,FALSE)*cukier8[[#This Row],[sprzedany_cukier]]</f>
        <v>17.760000000000002</v>
      </c>
    </row>
    <row r="1803" spans="1:5" x14ac:dyDescent="0.25">
      <c r="A1803" s="1">
        <v>41424</v>
      </c>
      <c r="B1803" t="s">
        <v>9</v>
      </c>
      <c r="C1803">
        <v>448</v>
      </c>
      <c r="D1803">
        <f>YEAR(cukier8[[#This Row],[data]])</f>
        <v>2013</v>
      </c>
      <c r="E1803">
        <f>VLOOKUP(cukier8[[#This Row],[rok]],$L$2:$M$11,2,FALSE)*cukier8[[#This Row],[sprzedany_cukier]]</f>
        <v>994.56000000000006</v>
      </c>
    </row>
    <row r="1804" spans="1:5" x14ac:dyDescent="0.25">
      <c r="A1804" s="1">
        <v>41426</v>
      </c>
      <c r="B1804" t="s">
        <v>9</v>
      </c>
      <c r="C1804">
        <v>240</v>
      </c>
      <c r="D1804">
        <f>YEAR(cukier8[[#This Row],[data]])</f>
        <v>2013</v>
      </c>
      <c r="E1804">
        <f>VLOOKUP(cukier8[[#This Row],[rok]],$L$2:$M$11,2,FALSE)*cukier8[[#This Row],[sprzedany_cukier]]</f>
        <v>532.80000000000007</v>
      </c>
    </row>
    <row r="1805" spans="1:5" x14ac:dyDescent="0.25">
      <c r="A1805" s="1">
        <v>41427</v>
      </c>
      <c r="B1805" t="s">
        <v>22</v>
      </c>
      <c r="C1805">
        <v>388</v>
      </c>
      <c r="D1805">
        <f>YEAR(cukier8[[#This Row],[data]])</f>
        <v>2013</v>
      </c>
      <c r="E1805">
        <f>VLOOKUP(cukier8[[#This Row],[rok]],$L$2:$M$11,2,FALSE)*cukier8[[#This Row],[sprzedany_cukier]]</f>
        <v>861.36000000000013</v>
      </c>
    </row>
    <row r="1806" spans="1:5" x14ac:dyDescent="0.25">
      <c r="A1806" s="1">
        <v>41429</v>
      </c>
      <c r="B1806" t="s">
        <v>7</v>
      </c>
      <c r="C1806">
        <v>455</v>
      </c>
      <c r="D1806">
        <f>YEAR(cukier8[[#This Row],[data]])</f>
        <v>2013</v>
      </c>
      <c r="E1806">
        <f>VLOOKUP(cukier8[[#This Row],[rok]],$L$2:$M$11,2,FALSE)*cukier8[[#This Row],[sprzedany_cukier]]</f>
        <v>1010.1000000000001</v>
      </c>
    </row>
    <row r="1807" spans="1:5" x14ac:dyDescent="0.25">
      <c r="A1807" s="1">
        <v>41429</v>
      </c>
      <c r="B1807" t="s">
        <v>17</v>
      </c>
      <c r="C1807">
        <v>269</v>
      </c>
      <c r="D1807">
        <f>YEAR(cukier8[[#This Row],[data]])</f>
        <v>2013</v>
      </c>
      <c r="E1807">
        <f>VLOOKUP(cukier8[[#This Row],[rok]],$L$2:$M$11,2,FALSE)*cukier8[[#This Row],[sprzedany_cukier]]</f>
        <v>597.18000000000006</v>
      </c>
    </row>
    <row r="1808" spans="1:5" x14ac:dyDescent="0.25">
      <c r="A1808" s="1">
        <v>41432</v>
      </c>
      <c r="B1808" t="s">
        <v>6</v>
      </c>
      <c r="C1808">
        <v>81</v>
      </c>
      <c r="D1808">
        <f>YEAR(cukier8[[#This Row],[data]])</f>
        <v>2013</v>
      </c>
      <c r="E1808">
        <f>VLOOKUP(cukier8[[#This Row],[rok]],$L$2:$M$11,2,FALSE)*cukier8[[#This Row],[sprzedany_cukier]]</f>
        <v>179.82000000000002</v>
      </c>
    </row>
    <row r="1809" spans="1:5" x14ac:dyDescent="0.25">
      <c r="A1809" s="1">
        <v>41432</v>
      </c>
      <c r="B1809" t="s">
        <v>10</v>
      </c>
      <c r="C1809">
        <v>99</v>
      </c>
      <c r="D1809">
        <f>YEAR(cukier8[[#This Row],[data]])</f>
        <v>2013</v>
      </c>
      <c r="E1809">
        <f>VLOOKUP(cukier8[[#This Row],[rok]],$L$2:$M$11,2,FALSE)*cukier8[[#This Row],[sprzedany_cukier]]</f>
        <v>219.78000000000003</v>
      </c>
    </row>
    <row r="1810" spans="1:5" x14ac:dyDescent="0.25">
      <c r="A1810" s="1">
        <v>41437</v>
      </c>
      <c r="B1810" t="s">
        <v>170</v>
      </c>
      <c r="C1810">
        <v>12</v>
      </c>
      <c r="D1810">
        <f>YEAR(cukier8[[#This Row],[data]])</f>
        <v>2013</v>
      </c>
      <c r="E1810">
        <f>VLOOKUP(cukier8[[#This Row],[rok]],$L$2:$M$11,2,FALSE)*cukier8[[#This Row],[sprzedany_cukier]]</f>
        <v>26.64</v>
      </c>
    </row>
    <row r="1811" spans="1:5" x14ac:dyDescent="0.25">
      <c r="A1811" s="1">
        <v>41439</v>
      </c>
      <c r="B1811" t="s">
        <v>233</v>
      </c>
      <c r="C1811">
        <v>4</v>
      </c>
      <c r="D1811">
        <f>YEAR(cukier8[[#This Row],[data]])</f>
        <v>2013</v>
      </c>
      <c r="E1811">
        <f>VLOOKUP(cukier8[[#This Row],[rok]],$L$2:$M$11,2,FALSE)*cukier8[[#This Row],[sprzedany_cukier]]</f>
        <v>8.8800000000000008</v>
      </c>
    </row>
    <row r="1812" spans="1:5" x14ac:dyDescent="0.25">
      <c r="A1812" s="1">
        <v>41440</v>
      </c>
      <c r="B1812" t="s">
        <v>30</v>
      </c>
      <c r="C1812">
        <v>132</v>
      </c>
      <c r="D1812">
        <f>YEAR(cukier8[[#This Row],[data]])</f>
        <v>2013</v>
      </c>
      <c r="E1812">
        <f>VLOOKUP(cukier8[[#This Row],[rok]],$L$2:$M$11,2,FALSE)*cukier8[[#This Row],[sprzedany_cukier]]</f>
        <v>293.04000000000002</v>
      </c>
    </row>
    <row r="1813" spans="1:5" x14ac:dyDescent="0.25">
      <c r="A1813" s="1">
        <v>41441</v>
      </c>
      <c r="B1813" t="s">
        <v>131</v>
      </c>
      <c r="C1813">
        <v>83</v>
      </c>
      <c r="D1813">
        <f>YEAR(cukier8[[#This Row],[data]])</f>
        <v>2013</v>
      </c>
      <c r="E1813">
        <f>VLOOKUP(cukier8[[#This Row],[rok]],$L$2:$M$11,2,FALSE)*cukier8[[#This Row],[sprzedany_cukier]]</f>
        <v>184.26000000000002</v>
      </c>
    </row>
    <row r="1814" spans="1:5" x14ac:dyDescent="0.25">
      <c r="A1814" s="1">
        <v>41446</v>
      </c>
      <c r="B1814" t="s">
        <v>205</v>
      </c>
      <c r="C1814">
        <v>7</v>
      </c>
      <c r="D1814">
        <f>YEAR(cukier8[[#This Row],[data]])</f>
        <v>2013</v>
      </c>
      <c r="E1814">
        <f>VLOOKUP(cukier8[[#This Row],[rok]],$L$2:$M$11,2,FALSE)*cukier8[[#This Row],[sprzedany_cukier]]</f>
        <v>15.540000000000001</v>
      </c>
    </row>
    <row r="1815" spans="1:5" x14ac:dyDescent="0.25">
      <c r="A1815" s="1">
        <v>41447</v>
      </c>
      <c r="B1815" t="s">
        <v>154</v>
      </c>
      <c r="C1815">
        <v>9</v>
      </c>
      <c r="D1815">
        <f>YEAR(cukier8[[#This Row],[data]])</f>
        <v>2013</v>
      </c>
      <c r="E1815">
        <f>VLOOKUP(cukier8[[#This Row],[rok]],$L$2:$M$11,2,FALSE)*cukier8[[#This Row],[sprzedany_cukier]]</f>
        <v>19.98</v>
      </c>
    </row>
    <row r="1816" spans="1:5" x14ac:dyDescent="0.25">
      <c r="A1816" s="1">
        <v>41448</v>
      </c>
      <c r="B1816" t="s">
        <v>159</v>
      </c>
      <c r="C1816">
        <v>20</v>
      </c>
      <c r="D1816">
        <f>YEAR(cukier8[[#This Row],[data]])</f>
        <v>2013</v>
      </c>
      <c r="E1816">
        <f>VLOOKUP(cukier8[[#This Row],[rok]],$L$2:$M$11,2,FALSE)*cukier8[[#This Row],[sprzedany_cukier]]</f>
        <v>44.400000000000006</v>
      </c>
    </row>
    <row r="1817" spans="1:5" x14ac:dyDescent="0.25">
      <c r="A1817" s="1">
        <v>41449</v>
      </c>
      <c r="B1817" t="s">
        <v>10</v>
      </c>
      <c r="C1817">
        <v>98</v>
      </c>
      <c r="D1817">
        <f>YEAR(cukier8[[#This Row],[data]])</f>
        <v>2013</v>
      </c>
      <c r="E1817">
        <f>VLOOKUP(cukier8[[#This Row],[rok]],$L$2:$M$11,2,FALSE)*cukier8[[#This Row],[sprzedany_cukier]]</f>
        <v>217.56000000000003</v>
      </c>
    </row>
    <row r="1818" spans="1:5" x14ac:dyDescent="0.25">
      <c r="A1818" s="1">
        <v>41451</v>
      </c>
      <c r="B1818" t="s">
        <v>137</v>
      </c>
      <c r="C1818">
        <v>9</v>
      </c>
      <c r="D1818">
        <f>YEAR(cukier8[[#This Row],[data]])</f>
        <v>2013</v>
      </c>
      <c r="E1818">
        <f>VLOOKUP(cukier8[[#This Row],[rok]],$L$2:$M$11,2,FALSE)*cukier8[[#This Row],[sprzedany_cukier]]</f>
        <v>19.98</v>
      </c>
    </row>
    <row r="1819" spans="1:5" x14ac:dyDescent="0.25">
      <c r="A1819" s="1">
        <v>41453</v>
      </c>
      <c r="B1819" t="s">
        <v>64</v>
      </c>
      <c r="C1819">
        <v>13</v>
      </c>
      <c r="D1819">
        <f>YEAR(cukier8[[#This Row],[data]])</f>
        <v>2013</v>
      </c>
      <c r="E1819">
        <f>VLOOKUP(cukier8[[#This Row],[rok]],$L$2:$M$11,2,FALSE)*cukier8[[#This Row],[sprzedany_cukier]]</f>
        <v>28.860000000000003</v>
      </c>
    </row>
    <row r="1820" spans="1:5" x14ac:dyDescent="0.25">
      <c r="A1820" s="1">
        <v>41456</v>
      </c>
      <c r="B1820" t="s">
        <v>50</v>
      </c>
      <c r="C1820">
        <v>424</v>
      </c>
      <c r="D1820">
        <f>YEAR(cukier8[[#This Row],[data]])</f>
        <v>2013</v>
      </c>
      <c r="E1820">
        <f>VLOOKUP(cukier8[[#This Row],[rok]],$L$2:$M$11,2,FALSE)*cukier8[[#This Row],[sprzedany_cukier]]</f>
        <v>941.28000000000009</v>
      </c>
    </row>
    <row r="1821" spans="1:5" x14ac:dyDescent="0.25">
      <c r="A1821" s="1">
        <v>41461</v>
      </c>
      <c r="B1821" t="s">
        <v>39</v>
      </c>
      <c r="C1821">
        <v>31</v>
      </c>
      <c r="D1821">
        <f>YEAR(cukier8[[#This Row],[data]])</f>
        <v>2013</v>
      </c>
      <c r="E1821">
        <f>VLOOKUP(cukier8[[#This Row],[rok]],$L$2:$M$11,2,FALSE)*cukier8[[#This Row],[sprzedany_cukier]]</f>
        <v>68.820000000000007</v>
      </c>
    </row>
    <row r="1822" spans="1:5" x14ac:dyDescent="0.25">
      <c r="A1822" s="1">
        <v>41462</v>
      </c>
      <c r="B1822" t="s">
        <v>57</v>
      </c>
      <c r="C1822">
        <v>18</v>
      </c>
      <c r="D1822">
        <f>YEAR(cukier8[[#This Row],[data]])</f>
        <v>2013</v>
      </c>
      <c r="E1822">
        <f>VLOOKUP(cukier8[[#This Row],[rok]],$L$2:$M$11,2,FALSE)*cukier8[[#This Row],[sprzedany_cukier]]</f>
        <v>39.96</v>
      </c>
    </row>
    <row r="1823" spans="1:5" x14ac:dyDescent="0.25">
      <c r="A1823" s="1">
        <v>41464</v>
      </c>
      <c r="B1823" t="s">
        <v>6</v>
      </c>
      <c r="C1823">
        <v>172</v>
      </c>
      <c r="D1823">
        <f>YEAR(cukier8[[#This Row],[data]])</f>
        <v>2013</v>
      </c>
      <c r="E1823">
        <f>VLOOKUP(cukier8[[#This Row],[rok]],$L$2:$M$11,2,FALSE)*cukier8[[#This Row],[sprzedany_cukier]]</f>
        <v>381.84000000000003</v>
      </c>
    </row>
    <row r="1824" spans="1:5" x14ac:dyDescent="0.25">
      <c r="A1824" s="1">
        <v>41464</v>
      </c>
      <c r="B1824" t="s">
        <v>45</v>
      </c>
      <c r="C1824">
        <v>373</v>
      </c>
      <c r="D1824">
        <f>YEAR(cukier8[[#This Row],[data]])</f>
        <v>2013</v>
      </c>
      <c r="E1824">
        <f>VLOOKUP(cukier8[[#This Row],[rok]],$L$2:$M$11,2,FALSE)*cukier8[[#This Row],[sprzedany_cukier]]</f>
        <v>828.06000000000006</v>
      </c>
    </row>
    <row r="1825" spans="1:5" x14ac:dyDescent="0.25">
      <c r="A1825" s="1">
        <v>41465</v>
      </c>
      <c r="B1825" t="s">
        <v>17</v>
      </c>
      <c r="C1825">
        <v>299</v>
      </c>
      <c r="D1825">
        <f>YEAR(cukier8[[#This Row],[data]])</f>
        <v>2013</v>
      </c>
      <c r="E1825">
        <f>VLOOKUP(cukier8[[#This Row],[rok]],$L$2:$M$11,2,FALSE)*cukier8[[#This Row],[sprzedany_cukier]]</f>
        <v>663.78000000000009</v>
      </c>
    </row>
    <row r="1826" spans="1:5" x14ac:dyDescent="0.25">
      <c r="A1826" s="1">
        <v>41471</v>
      </c>
      <c r="B1826" t="s">
        <v>37</v>
      </c>
      <c r="C1826">
        <v>20</v>
      </c>
      <c r="D1826">
        <f>YEAR(cukier8[[#This Row],[data]])</f>
        <v>2013</v>
      </c>
      <c r="E1826">
        <f>VLOOKUP(cukier8[[#This Row],[rok]],$L$2:$M$11,2,FALSE)*cukier8[[#This Row],[sprzedany_cukier]]</f>
        <v>44.400000000000006</v>
      </c>
    </row>
    <row r="1827" spans="1:5" x14ac:dyDescent="0.25">
      <c r="A1827" s="1">
        <v>41472</v>
      </c>
      <c r="B1827" t="s">
        <v>69</v>
      </c>
      <c r="C1827">
        <v>89</v>
      </c>
      <c r="D1827">
        <f>YEAR(cukier8[[#This Row],[data]])</f>
        <v>2013</v>
      </c>
      <c r="E1827">
        <f>VLOOKUP(cukier8[[#This Row],[rok]],$L$2:$M$11,2,FALSE)*cukier8[[#This Row],[sprzedany_cukier]]</f>
        <v>197.58</v>
      </c>
    </row>
    <row r="1828" spans="1:5" x14ac:dyDescent="0.25">
      <c r="A1828" s="1">
        <v>41472</v>
      </c>
      <c r="B1828" t="s">
        <v>35</v>
      </c>
      <c r="C1828">
        <v>60</v>
      </c>
      <c r="D1828">
        <f>YEAR(cukier8[[#This Row],[data]])</f>
        <v>2013</v>
      </c>
      <c r="E1828">
        <f>VLOOKUP(cukier8[[#This Row],[rok]],$L$2:$M$11,2,FALSE)*cukier8[[#This Row],[sprzedany_cukier]]</f>
        <v>133.20000000000002</v>
      </c>
    </row>
    <row r="1829" spans="1:5" x14ac:dyDescent="0.25">
      <c r="A1829" s="1">
        <v>41475</v>
      </c>
      <c r="B1829" t="s">
        <v>3</v>
      </c>
      <c r="C1829">
        <v>5</v>
      </c>
      <c r="D1829">
        <f>YEAR(cukier8[[#This Row],[data]])</f>
        <v>2013</v>
      </c>
      <c r="E1829">
        <f>VLOOKUP(cukier8[[#This Row],[rok]],$L$2:$M$11,2,FALSE)*cukier8[[#This Row],[sprzedany_cukier]]</f>
        <v>11.100000000000001</v>
      </c>
    </row>
    <row r="1830" spans="1:5" x14ac:dyDescent="0.25">
      <c r="A1830" s="1">
        <v>41476</v>
      </c>
      <c r="B1830" t="s">
        <v>102</v>
      </c>
      <c r="C1830">
        <v>125</v>
      </c>
      <c r="D1830">
        <f>YEAR(cukier8[[#This Row],[data]])</f>
        <v>2013</v>
      </c>
      <c r="E1830">
        <f>VLOOKUP(cukier8[[#This Row],[rok]],$L$2:$M$11,2,FALSE)*cukier8[[#This Row],[sprzedany_cukier]]</f>
        <v>277.5</v>
      </c>
    </row>
    <row r="1831" spans="1:5" x14ac:dyDescent="0.25">
      <c r="A1831" s="1">
        <v>41476</v>
      </c>
      <c r="B1831" t="s">
        <v>12</v>
      </c>
      <c r="C1831">
        <v>177</v>
      </c>
      <c r="D1831">
        <f>YEAR(cukier8[[#This Row],[data]])</f>
        <v>2013</v>
      </c>
      <c r="E1831">
        <f>VLOOKUP(cukier8[[#This Row],[rok]],$L$2:$M$11,2,FALSE)*cukier8[[#This Row],[sprzedany_cukier]]</f>
        <v>392.94000000000005</v>
      </c>
    </row>
    <row r="1832" spans="1:5" x14ac:dyDescent="0.25">
      <c r="A1832" s="1">
        <v>41477</v>
      </c>
      <c r="B1832" t="s">
        <v>20</v>
      </c>
      <c r="C1832">
        <v>58</v>
      </c>
      <c r="D1832">
        <f>YEAR(cukier8[[#This Row],[data]])</f>
        <v>2013</v>
      </c>
      <c r="E1832">
        <f>VLOOKUP(cukier8[[#This Row],[rok]],$L$2:$M$11,2,FALSE)*cukier8[[#This Row],[sprzedany_cukier]]</f>
        <v>128.76000000000002</v>
      </c>
    </row>
    <row r="1833" spans="1:5" x14ac:dyDescent="0.25">
      <c r="A1833" s="1">
        <v>41478</v>
      </c>
      <c r="B1833" t="s">
        <v>19</v>
      </c>
      <c r="C1833">
        <v>174</v>
      </c>
      <c r="D1833">
        <f>YEAR(cukier8[[#This Row],[data]])</f>
        <v>2013</v>
      </c>
      <c r="E1833">
        <f>VLOOKUP(cukier8[[#This Row],[rok]],$L$2:$M$11,2,FALSE)*cukier8[[#This Row],[sprzedany_cukier]]</f>
        <v>386.28000000000003</v>
      </c>
    </row>
    <row r="1834" spans="1:5" x14ac:dyDescent="0.25">
      <c r="A1834" s="1">
        <v>41479</v>
      </c>
      <c r="B1834" t="s">
        <v>7</v>
      </c>
      <c r="C1834">
        <v>485</v>
      </c>
      <c r="D1834">
        <f>YEAR(cukier8[[#This Row],[data]])</f>
        <v>2013</v>
      </c>
      <c r="E1834">
        <f>VLOOKUP(cukier8[[#This Row],[rok]],$L$2:$M$11,2,FALSE)*cukier8[[#This Row],[sprzedany_cukier]]</f>
        <v>1076.7</v>
      </c>
    </row>
    <row r="1835" spans="1:5" x14ac:dyDescent="0.25">
      <c r="A1835" s="1">
        <v>41481</v>
      </c>
      <c r="B1835" t="s">
        <v>232</v>
      </c>
      <c r="C1835">
        <v>7</v>
      </c>
      <c r="D1835">
        <f>YEAR(cukier8[[#This Row],[data]])</f>
        <v>2013</v>
      </c>
      <c r="E1835">
        <f>VLOOKUP(cukier8[[#This Row],[rok]],$L$2:$M$11,2,FALSE)*cukier8[[#This Row],[sprzedany_cukier]]</f>
        <v>15.540000000000001</v>
      </c>
    </row>
    <row r="1836" spans="1:5" x14ac:dyDescent="0.25">
      <c r="A1836" s="1">
        <v>41482</v>
      </c>
      <c r="B1836" t="s">
        <v>9</v>
      </c>
      <c r="C1836">
        <v>109</v>
      </c>
      <c r="D1836">
        <f>YEAR(cukier8[[#This Row],[data]])</f>
        <v>2013</v>
      </c>
      <c r="E1836">
        <f>VLOOKUP(cukier8[[#This Row],[rok]],$L$2:$M$11,2,FALSE)*cukier8[[#This Row],[sprzedany_cukier]]</f>
        <v>241.98000000000002</v>
      </c>
    </row>
    <row r="1837" spans="1:5" x14ac:dyDescent="0.25">
      <c r="A1837" s="1">
        <v>41485</v>
      </c>
      <c r="B1837" t="s">
        <v>6</v>
      </c>
      <c r="C1837">
        <v>116</v>
      </c>
      <c r="D1837">
        <f>YEAR(cukier8[[#This Row],[data]])</f>
        <v>2013</v>
      </c>
      <c r="E1837">
        <f>VLOOKUP(cukier8[[#This Row],[rok]],$L$2:$M$11,2,FALSE)*cukier8[[#This Row],[sprzedany_cukier]]</f>
        <v>257.52000000000004</v>
      </c>
    </row>
    <row r="1838" spans="1:5" x14ac:dyDescent="0.25">
      <c r="A1838" s="1">
        <v>41486</v>
      </c>
      <c r="B1838" t="s">
        <v>39</v>
      </c>
      <c r="C1838">
        <v>125</v>
      </c>
      <c r="D1838">
        <f>YEAR(cukier8[[#This Row],[data]])</f>
        <v>2013</v>
      </c>
      <c r="E1838">
        <f>VLOOKUP(cukier8[[#This Row],[rok]],$L$2:$M$11,2,FALSE)*cukier8[[#This Row],[sprzedany_cukier]]</f>
        <v>277.5</v>
      </c>
    </row>
    <row r="1839" spans="1:5" x14ac:dyDescent="0.25">
      <c r="A1839" s="1">
        <v>41486</v>
      </c>
      <c r="B1839" t="s">
        <v>222</v>
      </c>
      <c r="C1839">
        <v>15</v>
      </c>
      <c r="D1839">
        <f>YEAR(cukier8[[#This Row],[data]])</f>
        <v>2013</v>
      </c>
      <c r="E1839">
        <f>VLOOKUP(cukier8[[#This Row],[rok]],$L$2:$M$11,2,FALSE)*cukier8[[#This Row],[sprzedany_cukier]]</f>
        <v>33.300000000000004</v>
      </c>
    </row>
    <row r="1840" spans="1:5" x14ac:dyDescent="0.25">
      <c r="A1840" s="1">
        <v>41488</v>
      </c>
      <c r="B1840" t="s">
        <v>177</v>
      </c>
      <c r="C1840">
        <v>4</v>
      </c>
      <c r="D1840">
        <f>YEAR(cukier8[[#This Row],[data]])</f>
        <v>2013</v>
      </c>
      <c r="E1840">
        <f>VLOOKUP(cukier8[[#This Row],[rok]],$L$2:$M$11,2,FALSE)*cukier8[[#This Row],[sprzedany_cukier]]</f>
        <v>8.8800000000000008</v>
      </c>
    </row>
    <row r="1841" spans="1:5" x14ac:dyDescent="0.25">
      <c r="A1841" s="1">
        <v>41489</v>
      </c>
      <c r="B1841" t="s">
        <v>144</v>
      </c>
      <c r="C1841">
        <v>13</v>
      </c>
      <c r="D1841">
        <f>YEAR(cukier8[[#This Row],[data]])</f>
        <v>2013</v>
      </c>
      <c r="E1841">
        <f>VLOOKUP(cukier8[[#This Row],[rok]],$L$2:$M$11,2,FALSE)*cukier8[[#This Row],[sprzedany_cukier]]</f>
        <v>28.860000000000003</v>
      </c>
    </row>
    <row r="1842" spans="1:5" x14ac:dyDescent="0.25">
      <c r="A1842" s="1">
        <v>41491</v>
      </c>
      <c r="B1842" t="s">
        <v>102</v>
      </c>
      <c r="C1842">
        <v>338</v>
      </c>
      <c r="D1842">
        <f>YEAR(cukier8[[#This Row],[data]])</f>
        <v>2013</v>
      </c>
      <c r="E1842">
        <f>VLOOKUP(cukier8[[#This Row],[rok]],$L$2:$M$11,2,FALSE)*cukier8[[#This Row],[sprzedany_cukier]]</f>
        <v>750.36</v>
      </c>
    </row>
    <row r="1843" spans="1:5" x14ac:dyDescent="0.25">
      <c r="A1843" s="1">
        <v>41492</v>
      </c>
      <c r="B1843" t="s">
        <v>167</v>
      </c>
      <c r="C1843">
        <v>2</v>
      </c>
      <c r="D1843">
        <f>YEAR(cukier8[[#This Row],[data]])</f>
        <v>2013</v>
      </c>
      <c r="E1843">
        <f>VLOOKUP(cukier8[[#This Row],[rok]],$L$2:$M$11,2,FALSE)*cukier8[[#This Row],[sprzedany_cukier]]</f>
        <v>4.4400000000000004</v>
      </c>
    </row>
    <row r="1844" spans="1:5" x14ac:dyDescent="0.25">
      <c r="A1844" s="1">
        <v>41493</v>
      </c>
      <c r="B1844" t="s">
        <v>37</v>
      </c>
      <c r="C1844">
        <v>108</v>
      </c>
      <c r="D1844">
        <f>YEAR(cukier8[[#This Row],[data]])</f>
        <v>2013</v>
      </c>
      <c r="E1844">
        <f>VLOOKUP(cukier8[[#This Row],[rok]],$L$2:$M$11,2,FALSE)*cukier8[[#This Row],[sprzedany_cukier]]</f>
        <v>239.76000000000002</v>
      </c>
    </row>
    <row r="1845" spans="1:5" x14ac:dyDescent="0.25">
      <c r="A1845" s="1">
        <v>41494</v>
      </c>
      <c r="B1845" t="s">
        <v>61</v>
      </c>
      <c r="C1845">
        <v>119</v>
      </c>
      <c r="D1845">
        <f>YEAR(cukier8[[#This Row],[data]])</f>
        <v>2013</v>
      </c>
      <c r="E1845">
        <f>VLOOKUP(cukier8[[#This Row],[rok]],$L$2:$M$11,2,FALSE)*cukier8[[#This Row],[sprzedany_cukier]]</f>
        <v>264.18</v>
      </c>
    </row>
    <row r="1846" spans="1:5" x14ac:dyDescent="0.25">
      <c r="A1846" s="1">
        <v>41495</v>
      </c>
      <c r="B1846" t="s">
        <v>7</v>
      </c>
      <c r="C1846">
        <v>385</v>
      </c>
      <c r="D1846">
        <f>YEAR(cukier8[[#This Row],[data]])</f>
        <v>2013</v>
      </c>
      <c r="E1846">
        <f>VLOOKUP(cukier8[[#This Row],[rok]],$L$2:$M$11,2,FALSE)*cukier8[[#This Row],[sprzedany_cukier]]</f>
        <v>854.7</v>
      </c>
    </row>
    <row r="1847" spans="1:5" x14ac:dyDescent="0.25">
      <c r="A1847" s="1">
        <v>41495</v>
      </c>
      <c r="B1847" t="s">
        <v>45</v>
      </c>
      <c r="C1847">
        <v>239</v>
      </c>
      <c r="D1847">
        <f>YEAR(cukier8[[#This Row],[data]])</f>
        <v>2013</v>
      </c>
      <c r="E1847">
        <f>VLOOKUP(cukier8[[#This Row],[rok]],$L$2:$M$11,2,FALSE)*cukier8[[#This Row],[sprzedany_cukier]]</f>
        <v>530.58000000000004</v>
      </c>
    </row>
    <row r="1848" spans="1:5" x14ac:dyDescent="0.25">
      <c r="A1848" s="1">
        <v>41498</v>
      </c>
      <c r="B1848" t="s">
        <v>229</v>
      </c>
      <c r="C1848">
        <v>8</v>
      </c>
      <c r="D1848">
        <f>YEAR(cukier8[[#This Row],[data]])</f>
        <v>2013</v>
      </c>
      <c r="E1848">
        <f>VLOOKUP(cukier8[[#This Row],[rok]],$L$2:$M$11,2,FALSE)*cukier8[[#This Row],[sprzedany_cukier]]</f>
        <v>17.760000000000002</v>
      </c>
    </row>
    <row r="1849" spans="1:5" x14ac:dyDescent="0.25">
      <c r="A1849" s="1">
        <v>41499</v>
      </c>
      <c r="B1849" t="s">
        <v>17</v>
      </c>
      <c r="C1849">
        <v>219</v>
      </c>
      <c r="D1849">
        <f>YEAR(cukier8[[#This Row],[data]])</f>
        <v>2013</v>
      </c>
      <c r="E1849">
        <f>VLOOKUP(cukier8[[#This Row],[rok]],$L$2:$M$11,2,FALSE)*cukier8[[#This Row],[sprzedany_cukier]]</f>
        <v>486.18000000000006</v>
      </c>
    </row>
    <row r="1850" spans="1:5" x14ac:dyDescent="0.25">
      <c r="A1850" s="1">
        <v>41503</v>
      </c>
      <c r="B1850" t="s">
        <v>25</v>
      </c>
      <c r="C1850">
        <v>40</v>
      </c>
      <c r="D1850">
        <f>YEAR(cukier8[[#This Row],[data]])</f>
        <v>2013</v>
      </c>
      <c r="E1850">
        <f>VLOOKUP(cukier8[[#This Row],[rok]],$L$2:$M$11,2,FALSE)*cukier8[[#This Row],[sprzedany_cukier]]</f>
        <v>88.800000000000011</v>
      </c>
    </row>
    <row r="1851" spans="1:5" x14ac:dyDescent="0.25">
      <c r="A1851" s="1">
        <v>41503</v>
      </c>
      <c r="B1851" t="s">
        <v>102</v>
      </c>
      <c r="C1851">
        <v>166</v>
      </c>
      <c r="D1851">
        <f>YEAR(cukier8[[#This Row],[data]])</f>
        <v>2013</v>
      </c>
      <c r="E1851">
        <f>VLOOKUP(cukier8[[#This Row],[rok]],$L$2:$M$11,2,FALSE)*cukier8[[#This Row],[sprzedany_cukier]]</f>
        <v>368.52000000000004</v>
      </c>
    </row>
    <row r="1852" spans="1:5" x14ac:dyDescent="0.25">
      <c r="A1852" s="1">
        <v>41504</v>
      </c>
      <c r="B1852" t="s">
        <v>66</v>
      </c>
      <c r="C1852">
        <v>168</v>
      </c>
      <c r="D1852">
        <f>YEAR(cukier8[[#This Row],[data]])</f>
        <v>2013</v>
      </c>
      <c r="E1852">
        <f>VLOOKUP(cukier8[[#This Row],[rok]],$L$2:$M$11,2,FALSE)*cukier8[[#This Row],[sprzedany_cukier]]</f>
        <v>372.96000000000004</v>
      </c>
    </row>
    <row r="1853" spans="1:5" x14ac:dyDescent="0.25">
      <c r="A1853" s="1">
        <v>41505</v>
      </c>
      <c r="B1853" t="s">
        <v>131</v>
      </c>
      <c r="C1853">
        <v>96</v>
      </c>
      <c r="D1853">
        <f>YEAR(cukier8[[#This Row],[data]])</f>
        <v>2013</v>
      </c>
      <c r="E1853">
        <f>VLOOKUP(cukier8[[#This Row],[rok]],$L$2:$M$11,2,FALSE)*cukier8[[#This Row],[sprzedany_cukier]]</f>
        <v>213.12</v>
      </c>
    </row>
    <row r="1854" spans="1:5" x14ac:dyDescent="0.25">
      <c r="A1854" s="1">
        <v>41506</v>
      </c>
      <c r="B1854" t="s">
        <v>10</v>
      </c>
      <c r="C1854">
        <v>23</v>
      </c>
      <c r="D1854">
        <f>YEAR(cukier8[[#This Row],[data]])</f>
        <v>2013</v>
      </c>
      <c r="E1854">
        <f>VLOOKUP(cukier8[[#This Row],[rok]],$L$2:$M$11,2,FALSE)*cukier8[[#This Row],[sprzedany_cukier]]</f>
        <v>51.06</v>
      </c>
    </row>
    <row r="1855" spans="1:5" x14ac:dyDescent="0.25">
      <c r="A1855" s="1">
        <v>41509</v>
      </c>
      <c r="B1855" t="s">
        <v>177</v>
      </c>
      <c r="C1855">
        <v>8</v>
      </c>
      <c r="D1855">
        <f>YEAR(cukier8[[#This Row],[data]])</f>
        <v>2013</v>
      </c>
      <c r="E1855">
        <f>VLOOKUP(cukier8[[#This Row],[rok]],$L$2:$M$11,2,FALSE)*cukier8[[#This Row],[sprzedany_cukier]]</f>
        <v>17.760000000000002</v>
      </c>
    </row>
    <row r="1856" spans="1:5" x14ac:dyDescent="0.25">
      <c r="A1856" s="1">
        <v>41509</v>
      </c>
      <c r="B1856" t="s">
        <v>106</v>
      </c>
      <c r="C1856">
        <v>1</v>
      </c>
      <c r="D1856">
        <f>YEAR(cukier8[[#This Row],[data]])</f>
        <v>2013</v>
      </c>
      <c r="E1856">
        <f>VLOOKUP(cukier8[[#This Row],[rok]],$L$2:$M$11,2,FALSE)*cukier8[[#This Row],[sprzedany_cukier]]</f>
        <v>2.2200000000000002</v>
      </c>
    </row>
    <row r="1857" spans="1:5" x14ac:dyDescent="0.25">
      <c r="A1857" s="1">
        <v>41509</v>
      </c>
      <c r="B1857" t="s">
        <v>15</v>
      </c>
      <c r="C1857">
        <v>4</v>
      </c>
      <c r="D1857">
        <f>YEAR(cukier8[[#This Row],[data]])</f>
        <v>2013</v>
      </c>
      <c r="E1857">
        <f>VLOOKUP(cukier8[[#This Row],[rok]],$L$2:$M$11,2,FALSE)*cukier8[[#This Row],[sprzedany_cukier]]</f>
        <v>8.8800000000000008</v>
      </c>
    </row>
    <row r="1858" spans="1:5" x14ac:dyDescent="0.25">
      <c r="A1858" s="1">
        <v>41512</v>
      </c>
      <c r="B1858" t="s">
        <v>120</v>
      </c>
      <c r="C1858">
        <v>170</v>
      </c>
      <c r="D1858">
        <f>YEAR(cukier8[[#This Row],[data]])</f>
        <v>2013</v>
      </c>
      <c r="E1858">
        <f>VLOOKUP(cukier8[[#This Row],[rok]],$L$2:$M$11,2,FALSE)*cukier8[[#This Row],[sprzedany_cukier]]</f>
        <v>377.40000000000003</v>
      </c>
    </row>
    <row r="1859" spans="1:5" x14ac:dyDescent="0.25">
      <c r="A1859" s="1">
        <v>41514</v>
      </c>
      <c r="B1859" t="s">
        <v>45</v>
      </c>
      <c r="C1859">
        <v>193</v>
      </c>
      <c r="D1859">
        <f>YEAR(cukier8[[#This Row],[data]])</f>
        <v>2013</v>
      </c>
      <c r="E1859">
        <f>VLOOKUP(cukier8[[#This Row],[rok]],$L$2:$M$11,2,FALSE)*cukier8[[#This Row],[sprzedany_cukier]]</f>
        <v>428.46000000000004</v>
      </c>
    </row>
    <row r="1860" spans="1:5" x14ac:dyDescent="0.25">
      <c r="A1860" s="1">
        <v>41517</v>
      </c>
      <c r="B1860" t="s">
        <v>234</v>
      </c>
      <c r="C1860">
        <v>5</v>
      </c>
      <c r="D1860">
        <f>YEAR(cukier8[[#This Row],[data]])</f>
        <v>2013</v>
      </c>
      <c r="E1860">
        <f>VLOOKUP(cukier8[[#This Row],[rok]],$L$2:$M$11,2,FALSE)*cukier8[[#This Row],[sprzedany_cukier]]</f>
        <v>11.100000000000001</v>
      </c>
    </row>
    <row r="1861" spans="1:5" x14ac:dyDescent="0.25">
      <c r="A1861" s="1">
        <v>41520</v>
      </c>
      <c r="B1861" t="s">
        <v>62</v>
      </c>
      <c r="C1861">
        <v>5</v>
      </c>
      <c r="D1861">
        <f>YEAR(cukier8[[#This Row],[data]])</f>
        <v>2013</v>
      </c>
      <c r="E1861">
        <f>VLOOKUP(cukier8[[#This Row],[rok]],$L$2:$M$11,2,FALSE)*cukier8[[#This Row],[sprzedany_cukier]]</f>
        <v>11.100000000000001</v>
      </c>
    </row>
    <row r="1862" spans="1:5" x14ac:dyDescent="0.25">
      <c r="A1862" s="1">
        <v>41520</v>
      </c>
      <c r="B1862" t="s">
        <v>64</v>
      </c>
      <c r="C1862">
        <v>15</v>
      </c>
      <c r="D1862">
        <f>YEAR(cukier8[[#This Row],[data]])</f>
        <v>2013</v>
      </c>
      <c r="E1862">
        <f>VLOOKUP(cukier8[[#This Row],[rok]],$L$2:$M$11,2,FALSE)*cukier8[[#This Row],[sprzedany_cukier]]</f>
        <v>33.300000000000004</v>
      </c>
    </row>
    <row r="1863" spans="1:5" x14ac:dyDescent="0.25">
      <c r="A1863" s="1">
        <v>41525</v>
      </c>
      <c r="B1863" t="s">
        <v>109</v>
      </c>
      <c r="C1863">
        <v>14</v>
      </c>
      <c r="D1863">
        <f>YEAR(cukier8[[#This Row],[data]])</f>
        <v>2013</v>
      </c>
      <c r="E1863">
        <f>VLOOKUP(cukier8[[#This Row],[rok]],$L$2:$M$11,2,FALSE)*cukier8[[#This Row],[sprzedany_cukier]]</f>
        <v>31.080000000000002</v>
      </c>
    </row>
    <row r="1864" spans="1:5" x14ac:dyDescent="0.25">
      <c r="A1864" s="1">
        <v>41525</v>
      </c>
      <c r="B1864" t="s">
        <v>37</v>
      </c>
      <c r="C1864">
        <v>96</v>
      </c>
      <c r="D1864">
        <f>YEAR(cukier8[[#This Row],[data]])</f>
        <v>2013</v>
      </c>
      <c r="E1864">
        <f>VLOOKUP(cukier8[[#This Row],[rok]],$L$2:$M$11,2,FALSE)*cukier8[[#This Row],[sprzedany_cukier]]</f>
        <v>213.12</v>
      </c>
    </row>
    <row r="1865" spans="1:5" x14ac:dyDescent="0.25">
      <c r="A1865" s="1">
        <v>41529</v>
      </c>
      <c r="B1865" t="s">
        <v>162</v>
      </c>
      <c r="C1865">
        <v>1</v>
      </c>
      <c r="D1865">
        <f>YEAR(cukier8[[#This Row],[data]])</f>
        <v>2013</v>
      </c>
      <c r="E1865">
        <f>VLOOKUP(cukier8[[#This Row],[rok]],$L$2:$M$11,2,FALSE)*cukier8[[#This Row],[sprzedany_cukier]]</f>
        <v>2.2200000000000002</v>
      </c>
    </row>
    <row r="1866" spans="1:5" x14ac:dyDescent="0.25">
      <c r="A1866" s="1">
        <v>41533</v>
      </c>
      <c r="B1866" t="s">
        <v>69</v>
      </c>
      <c r="C1866">
        <v>164</v>
      </c>
      <c r="D1866">
        <f>YEAR(cukier8[[#This Row],[data]])</f>
        <v>2013</v>
      </c>
      <c r="E1866">
        <f>VLOOKUP(cukier8[[#This Row],[rok]],$L$2:$M$11,2,FALSE)*cukier8[[#This Row],[sprzedany_cukier]]</f>
        <v>364.08000000000004</v>
      </c>
    </row>
    <row r="1867" spans="1:5" x14ac:dyDescent="0.25">
      <c r="A1867" s="1">
        <v>41534</v>
      </c>
      <c r="B1867" t="s">
        <v>22</v>
      </c>
      <c r="C1867">
        <v>105</v>
      </c>
      <c r="D1867">
        <f>YEAR(cukier8[[#This Row],[data]])</f>
        <v>2013</v>
      </c>
      <c r="E1867">
        <f>VLOOKUP(cukier8[[#This Row],[rok]],$L$2:$M$11,2,FALSE)*cukier8[[#This Row],[sprzedany_cukier]]</f>
        <v>233.10000000000002</v>
      </c>
    </row>
    <row r="1868" spans="1:5" x14ac:dyDescent="0.25">
      <c r="A1868" s="1">
        <v>41536</v>
      </c>
      <c r="B1868" t="s">
        <v>210</v>
      </c>
      <c r="C1868">
        <v>17</v>
      </c>
      <c r="D1868">
        <f>YEAR(cukier8[[#This Row],[data]])</f>
        <v>2013</v>
      </c>
      <c r="E1868">
        <f>VLOOKUP(cukier8[[#This Row],[rok]],$L$2:$M$11,2,FALSE)*cukier8[[#This Row],[sprzedany_cukier]]</f>
        <v>37.74</v>
      </c>
    </row>
    <row r="1869" spans="1:5" x14ac:dyDescent="0.25">
      <c r="A1869" s="1">
        <v>41538</v>
      </c>
      <c r="B1869" t="s">
        <v>200</v>
      </c>
      <c r="C1869">
        <v>5</v>
      </c>
      <c r="D1869">
        <f>YEAR(cukier8[[#This Row],[data]])</f>
        <v>2013</v>
      </c>
      <c r="E1869">
        <f>VLOOKUP(cukier8[[#This Row],[rok]],$L$2:$M$11,2,FALSE)*cukier8[[#This Row],[sprzedany_cukier]]</f>
        <v>11.100000000000001</v>
      </c>
    </row>
    <row r="1870" spans="1:5" x14ac:dyDescent="0.25">
      <c r="A1870" s="1">
        <v>41543</v>
      </c>
      <c r="B1870" t="s">
        <v>45</v>
      </c>
      <c r="C1870">
        <v>212</v>
      </c>
      <c r="D1870">
        <f>YEAR(cukier8[[#This Row],[data]])</f>
        <v>2013</v>
      </c>
      <c r="E1870">
        <f>VLOOKUP(cukier8[[#This Row],[rok]],$L$2:$M$11,2,FALSE)*cukier8[[#This Row],[sprzedany_cukier]]</f>
        <v>470.64000000000004</v>
      </c>
    </row>
    <row r="1871" spans="1:5" x14ac:dyDescent="0.25">
      <c r="A1871" s="1">
        <v>41543</v>
      </c>
      <c r="B1871" t="s">
        <v>9</v>
      </c>
      <c r="C1871">
        <v>128</v>
      </c>
      <c r="D1871">
        <f>YEAR(cukier8[[#This Row],[data]])</f>
        <v>2013</v>
      </c>
      <c r="E1871">
        <f>VLOOKUP(cukier8[[#This Row],[rok]],$L$2:$M$11,2,FALSE)*cukier8[[#This Row],[sprzedany_cukier]]</f>
        <v>284.16000000000003</v>
      </c>
    </row>
    <row r="1872" spans="1:5" x14ac:dyDescent="0.25">
      <c r="A1872" s="1">
        <v>41543</v>
      </c>
      <c r="B1872" t="s">
        <v>28</v>
      </c>
      <c r="C1872">
        <v>147</v>
      </c>
      <c r="D1872">
        <f>YEAR(cukier8[[#This Row],[data]])</f>
        <v>2013</v>
      </c>
      <c r="E1872">
        <f>VLOOKUP(cukier8[[#This Row],[rok]],$L$2:$M$11,2,FALSE)*cukier8[[#This Row],[sprzedany_cukier]]</f>
        <v>326.34000000000003</v>
      </c>
    </row>
    <row r="1873" spans="1:5" x14ac:dyDescent="0.25">
      <c r="A1873" s="1">
        <v>41544</v>
      </c>
      <c r="B1873" t="s">
        <v>14</v>
      </c>
      <c r="C1873">
        <v>436</v>
      </c>
      <c r="D1873">
        <f>YEAR(cukier8[[#This Row],[data]])</f>
        <v>2013</v>
      </c>
      <c r="E1873">
        <f>VLOOKUP(cukier8[[#This Row],[rok]],$L$2:$M$11,2,FALSE)*cukier8[[#This Row],[sprzedany_cukier]]</f>
        <v>967.92000000000007</v>
      </c>
    </row>
    <row r="1874" spans="1:5" x14ac:dyDescent="0.25">
      <c r="A1874" s="1">
        <v>41545</v>
      </c>
      <c r="B1874" t="s">
        <v>235</v>
      </c>
      <c r="C1874">
        <v>4</v>
      </c>
      <c r="D1874">
        <f>YEAR(cukier8[[#This Row],[data]])</f>
        <v>2013</v>
      </c>
      <c r="E1874">
        <f>VLOOKUP(cukier8[[#This Row],[rok]],$L$2:$M$11,2,FALSE)*cukier8[[#This Row],[sprzedany_cukier]]</f>
        <v>8.8800000000000008</v>
      </c>
    </row>
    <row r="1875" spans="1:5" x14ac:dyDescent="0.25">
      <c r="A1875" s="1">
        <v>41545</v>
      </c>
      <c r="B1875" t="s">
        <v>154</v>
      </c>
      <c r="C1875">
        <v>4</v>
      </c>
      <c r="D1875">
        <f>YEAR(cukier8[[#This Row],[data]])</f>
        <v>2013</v>
      </c>
      <c r="E1875">
        <f>VLOOKUP(cukier8[[#This Row],[rok]],$L$2:$M$11,2,FALSE)*cukier8[[#This Row],[sprzedany_cukier]]</f>
        <v>8.8800000000000008</v>
      </c>
    </row>
    <row r="1876" spans="1:5" x14ac:dyDescent="0.25">
      <c r="A1876" s="1">
        <v>41551</v>
      </c>
      <c r="B1876" t="s">
        <v>131</v>
      </c>
      <c r="C1876">
        <v>78</v>
      </c>
      <c r="D1876">
        <f>YEAR(cukier8[[#This Row],[data]])</f>
        <v>2013</v>
      </c>
      <c r="E1876">
        <f>VLOOKUP(cukier8[[#This Row],[rok]],$L$2:$M$11,2,FALSE)*cukier8[[#This Row],[sprzedany_cukier]]</f>
        <v>173.16000000000003</v>
      </c>
    </row>
    <row r="1877" spans="1:5" x14ac:dyDescent="0.25">
      <c r="A1877" s="1">
        <v>41558</v>
      </c>
      <c r="B1877" t="s">
        <v>10</v>
      </c>
      <c r="C1877">
        <v>159</v>
      </c>
      <c r="D1877">
        <f>YEAR(cukier8[[#This Row],[data]])</f>
        <v>2013</v>
      </c>
      <c r="E1877">
        <f>VLOOKUP(cukier8[[#This Row],[rok]],$L$2:$M$11,2,FALSE)*cukier8[[#This Row],[sprzedany_cukier]]</f>
        <v>352.98</v>
      </c>
    </row>
    <row r="1878" spans="1:5" x14ac:dyDescent="0.25">
      <c r="A1878" s="1">
        <v>41558</v>
      </c>
      <c r="B1878" t="s">
        <v>8</v>
      </c>
      <c r="C1878">
        <v>103</v>
      </c>
      <c r="D1878">
        <f>YEAR(cukier8[[#This Row],[data]])</f>
        <v>2013</v>
      </c>
      <c r="E1878">
        <f>VLOOKUP(cukier8[[#This Row],[rok]],$L$2:$M$11,2,FALSE)*cukier8[[#This Row],[sprzedany_cukier]]</f>
        <v>228.66000000000003</v>
      </c>
    </row>
    <row r="1879" spans="1:5" x14ac:dyDescent="0.25">
      <c r="A1879" s="1">
        <v>41559</v>
      </c>
      <c r="B1879" t="s">
        <v>52</v>
      </c>
      <c r="C1879">
        <v>57</v>
      </c>
      <c r="D1879">
        <f>YEAR(cukier8[[#This Row],[data]])</f>
        <v>2013</v>
      </c>
      <c r="E1879">
        <f>VLOOKUP(cukier8[[#This Row],[rok]],$L$2:$M$11,2,FALSE)*cukier8[[#This Row],[sprzedany_cukier]]</f>
        <v>126.54</v>
      </c>
    </row>
    <row r="1880" spans="1:5" x14ac:dyDescent="0.25">
      <c r="A1880" s="1">
        <v>41559</v>
      </c>
      <c r="B1880" t="s">
        <v>20</v>
      </c>
      <c r="C1880">
        <v>121</v>
      </c>
      <c r="D1880">
        <f>YEAR(cukier8[[#This Row],[data]])</f>
        <v>2013</v>
      </c>
      <c r="E1880">
        <f>VLOOKUP(cukier8[[#This Row],[rok]],$L$2:$M$11,2,FALSE)*cukier8[[#This Row],[sprzedany_cukier]]</f>
        <v>268.62</v>
      </c>
    </row>
    <row r="1881" spans="1:5" x14ac:dyDescent="0.25">
      <c r="A1881" s="1">
        <v>41559</v>
      </c>
      <c r="B1881" t="s">
        <v>77</v>
      </c>
      <c r="C1881">
        <v>14</v>
      </c>
      <c r="D1881">
        <f>YEAR(cukier8[[#This Row],[data]])</f>
        <v>2013</v>
      </c>
      <c r="E1881">
        <f>VLOOKUP(cukier8[[#This Row],[rok]],$L$2:$M$11,2,FALSE)*cukier8[[#This Row],[sprzedany_cukier]]</f>
        <v>31.080000000000002</v>
      </c>
    </row>
    <row r="1882" spans="1:5" x14ac:dyDescent="0.25">
      <c r="A1882" s="1">
        <v>41560</v>
      </c>
      <c r="B1882" t="s">
        <v>44</v>
      </c>
      <c r="C1882">
        <v>2</v>
      </c>
      <c r="D1882">
        <f>YEAR(cukier8[[#This Row],[data]])</f>
        <v>2013</v>
      </c>
      <c r="E1882">
        <f>VLOOKUP(cukier8[[#This Row],[rok]],$L$2:$M$11,2,FALSE)*cukier8[[#This Row],[sprzedany_cukier]]</f>
        <v>4.4400000000000004</v>
      </c>
    </row>
    <row r="1883" spans="1:5" x14ac:dyDescent="0.25">
      <c r="A1883" s="1">
        <v>41560</v>
      </c>
      <c r="B1883" t="s">
        <v>53</v>
      </c>
      <c r="C1883">
        <v>19</v>
      </c>
      <c r="D1883">
        <f>YEAR(cukier8[[#This Row],[data]])</f>
        <v>2013</v>
      </c>
      <c r="E1883">
        <f>VLOOKUP(cukier8[[#This Row],[rok]],$L$2:$M$11,2,FALSE)*cukier8[[#This Row],[sprzedany_cukier]]</f>
        <v>42.180000000000007</v>
      </c>
    </row>
    <row r="1884" spans="1:5" x14ac:dyDescent="0.25">
      <c r="A1884" s="1">
        <v>41561</v>
      </c>
      <c r="B1884" t="s">
        <v>236</v>
      </c>
      <c r="C1884">
        <v>20</v>
      </c>
      <c r="D1884">
        <f>YEAR(cukier8[[#This Row],[data]])</f>
        <v>2013</v>
      </c>
      <c r="E1884">
        <f>VLOOKUP(cukier8[[#This Row],[rok]],$L$2:$M$11,2,FALSE)*cukier8[[#This Row],[sprzedany_cukier]]</f>
        <v>44.400000000000006</v>
      </c>
    </row>
    <row r="1885" spans="1:5" x14ac:dyDescent="0.25">
      <c r="A1885" s="1">
        <v>41562</v>
      </c>
      <c r="B1885" t="s">
        <v>14</v>
      </c>
      <c r="C1885">
        <v>367</v>
      </c>
      <c r="D1885">
        <f>YEAR(cukier8[[#This Row],[data]])</f>
        <v>2013</v>
      </c>
      <c r="E1885">
        <f>VLOOKUP(cukier8[[#This Row],[rok]],$L$2:$M$11,2,FALSE)*cukier8[[#This Row],[sprzedany_cukier]]</f>
        <v>814.74000000000012</v>
      </c>
    </row>
    <row r="1886" spans="1:5" x14ac:dyDescent="0.25">
      <c r="A1886" s="1">
        <v>41562</v>
      </c>
      <c r="B1886" t="s">
        <v>9</v>
      </c>
      <c r="C1886">
        <v>458</v>
      </c>
      <c r="D1886">
        <f>YEAR(cukier8[[#This Row],[data]])</f>
        <v>2013</v>
      </c>
      <c r="E1886">
        <f>VLOOKUP(cukier8[[#This Row],[rok]],$L$2:$M$11,2,FALSE)*cukier8[[#This Row],[sprzedany_cukier]]</f>
        <v>1016.7600000000001</v>
      </c>
    </row>
    <row r="1887" spans="1:5" x14ac:dyDescent="0.25">
      <c r="A1887" s="1">
        <v>41563</v>
      </c>
      <c r="B1887" t="s">
        <v>45</v>
      </c>
      <c r="C1887">
        <v>100</v>
      </c>
      <c r="D1887">
        <f>YEAR(cukier8[[#This Row],[data]])</f>
        <v>2013</v>
      </c>
      <c r="E1887">
        <f>VLOOKUP(cukier8[[#This Row],[rok]],$L$2:$M$11,2,FALSE)*cukier8[[#This Row],[sprzedany_cukier]]</f>
        <v>222.00000000000003</v>
      </c>
    </row>
    <row r="1888" spans="1:5" x14ac:dyDescent="0.25">
      <c r="A1888" s="1">
        <v>41563</v>
      </c>
      <c r="B1888" t="s">
        <v>6</v>
      </c>
      <c r="C1888">
        <v>62</v>
      </c>
      <c r="D1888">
        <f>YEAR(cukier8[[#This Row],[data]])</f>
        <v>2013</v>
      </c>
      <c r="E1888">
        <f>VLOOKUP(cukier8[[#This Row],[rok]],$L$2:$M$11,2,FALSE)*cukier8[[#This Row],[sprzedany_cukier]]</f>
        <v>137.64000000000001</v>
      </c>
    </row>
    <row r="1889" spans="1:5" x14ac:dyDescent="0.25">
      <c r="A1889" s="1">
        <v>41567</v>
      </c>
      <c r="B1889" t="s">
        <v>6</v>
      </c>
      <c r="C1889">
        <v>184</v>
      </c>
      <c r="D1889">
        <f>YEAR(cukier8[[#This Row],[data]])</f>
        <v>2013</v>
      </c>
      <c r="E1889">
        <f>VLOOKUP(cukier8[[#This Row],[rok]],$L$2:$M$11,2,FALSE)*cukier8[[#This Row],[sprzedany_cukier]]</f>
        <v>408.48</v>
      </c>
    </row>
    <row r="1890" spans="1:5" x14ac:dyDescent="0.25">
      <c r="A1890" s="1">
        <v>41568</v>
      </c>
      <c r="B1890" t="s">
        <v>19</v>
      </c>
      <c r="C1890">
        <v>156</v>
      </c>
      <c r="D1890">
        <f>YEAR(cukier8[[#This Row],[data]])</f>
        <v>2013</v>
      </c>
      <c r="E1890">
        <f>VLOOKUP(cukier8[[#This Row],[rok]],$L$2:$M$11,2,FALSE)*cukier8[[#This Row],[sprzedany_cukier]]</f>
        <v>346.32000000000005</v>
      </c>
    </row>
    <row r="1891" spans="1:5" x14ac:dyDescent="0.25">
      <c r="A1891" s="1">
        <v>41569</v>
      </c>
      <c r="B1891" t="s">
        <v>7</v>
      </c>
      <c r="C1891">
        <v>142</v>
      </c>
      <c r="D1891">
        <f>YEAR(cukier8[[#This Row],[data]])</f>
        <v>2013</v>
      </c>
      <c r="E1891">
        <f>VLOOKUP(cukier8[[#This Row],[rok]],$L$2:$M$11,2,FALSE)*cukier8[[#This Row],[sprzedany_cukier]]</f>
        <v>315.24</v>
      </c>
    </row>
    <row r="1892" spans="1:5" x14ac:dyDescent="0.25">
      <c r="A1892" s="1">
        <v>41570</v>
      </c>
      <c r="B1892" t="s">
        <v>6</v>
      </c>
      <c r="C1892">
        <v>97</v>
      </c>
      <c r="D1892">
        <f>YEAR(cukier8[[#This Row],[data]])</f>
        <v>2013</v>
      </c>
      <c r="E1892">
        <f>VLOOKUP(cukier8[[#This Row],[rok]],$L$2:$M$11,2,FALSE)*cukier8[[#This Row],[sprzedany_cukier]]</f>
        <v>215.34000000000003</v>
      </c>
    </row>
    <row r="1893" spans="1:5" x14ac:dyDescent="0.25">
      <c r="A1893" s="1">
        <v>41570</v>
      </c>
      <c r="B1893" t="s">
        <v>7</v>
      </c>
      <c r="C1893">
        <v>136</v>
      </c>
      <c r="D1893">
        <f>YEAR(cukier8[[#This Row],[data]])</f>
        <v>2013</v>
      </c>
      <c r="E1893">
        <f>VLOOKUP(cukier8[[#This Row],[rok]],$L$2:$M$11,2,FALSE)*cukier8[[#This Row],[sprzedany_cukier]]</f>
        <v>301.92</v>
      </c>
    </row>
    <row r="1894" spans="1:5" x14ac:dyDescent="0.25">
      <c r="A1894" s="1">
        <v>41570</v>
      </c>
      <c r="B1894" t="s">
        <v>131</v>
      </c>
      <c r="C1894">
        <v>108</v>
      </c>
      <c r="D1894">
        <f>YEAR(cukier8[[#This Row],[data]])</f>
        <v>2013</v>
      </c>
      <c r="E1894">
        <f>VLOOKUP(cukier8[[#This Row],[rok]],$L$2:$M$11,2,FALSE)*cukier8[[#This Row],[sprzedany_cukier]]</f>
        <v>239.76000000000002</v>
      </c>
    </row>
    <row r="1895" spans="1:5" x14ac:dyDescent="0.25">
      <c r="A1895" s="1">
        <v>41572</v>
      </c>
      <c r="B1895" t="s">
        <v>25</v>
      </c>
      <c r="C1895">
        <v>51</v>
      </c>
      <c r="D1895">
        <f>YEAR(cukier8[[#This Row],[data]])</f>
        <v>2013</v>
      </c>
      <c r="E1895">
        <f>VLOOKUP(cukier8[[#This Row],[rok]],$L$2:$M$11,2,FALSE)*cukier8[[#This Row],[sprzedany_cukier]]</f>
        <v>113.22000000000001</v>
      </c>
    </row>
    <row r="1896" spans="1:5" x14ac:dyDescent="0.25">
      <c r="A1896" s="1">
        <v>41574</v>
      </c>
      <c r="B1896" t="s">
        <v>130</v>
      </c>
      <c r="C1896">
        <v>7</v>
      </c>
      <c r="D1896">
        <f>YEAR(cukier8[[#This Row],[data]])</f>
        <v>2013</v>
      </c>
      <c r="E1896">
        <f>VLOOKUP(cukier8[[#This Row],[rok]],$L$2:$M$11,2,FALSE)*cukier8[[#This Row],[sprzedany_cukier]]</f>
        <v>15.540000000000001</v>
      </c>
    </row>
    <row r="1897" spans="1:5" x14ac:dyDescent="0.25">
      <c r="A1897" s="1">
        <v>41576</v>
      </c>
      <c r="B1897" t="s">
        <v>99</v>
      </c>
      <c r="C1897">
        <v>19</v>
      </c>
      <c r="D1897">
        <f>YEAR(cukier8[[#This Row],[data]])</f>
        <v>2013</v>
      </c>
      <c r="E1897">
        <f>VLOOKUP(cukier8[[#This Row],[rok]],$L$2:$M$11,2,FALSE)*cukier8[[#This Row],[sprzedany_cukier]]</f>
        <v>42.180000000000007</v>
      </c>
    </row>
    <row r="1898" spans="1:5" x14ac:dyDescent="0.25">
      <c r="A1898" s="1">
        <v>41577</v>
      </c>
      <c r="B1898" t="s">
        <v>75</v>
      </c>
      <c r="C1898">
        <v>4</v>
      </c>
      <c r="D1898">
        <f>YEAR(cukier8[[#This Row],[data]])</f>
        <v>2013</v>
      </c>
      <c r="E1898">
        <f>VLOOKUP(cukier8[[#This Row],[rok]],$L$2:$M$11,2,FALSE)*cukier8[[#This Row],[sprzedany_cukier]]</f>
        <v>8.8800000000000008</v>
      </c>
    </row>
    <row r="1899" spans="1:5" x14ac:dyDescent="0.25">
      <c r="A1899" s="1">
        <v>41580</v>
      </c>
      <c r="B1899" t="s">
        <v>45</v>
      </c>
      <c r="C1899">
        <v>163</v>
      </c>
      <c r="D1899">
        <f>YEAR(cukier8[[#This Row],[data]])</f>
        <v>2013</v>
      </c>
      <c r="E1899">
        <f>VLOOKUP(cukier8[[#This Row],[rok]],$L$2:$M$11,2,FALSE)*cukier8[[#This Row],[sprzedany_cukier]]</f>
        <v>361.86</v>
      </c>
    </row>
    <row r="1900" spans="1:5" x14ac:dyDescent="0.25">
      <c r="A1900" s="1">
        <v>41580</v>
      </c>
      <c r="B1900" t="s">
        <v>30</v>
      </c>
      <c r="C1900">
        <v>165</v>
      </c>
      <c r="D1900">
        <f>YEAR(cukier8[[#This Row],[data]])</f>
        <v>2013</v>
      </c>
      <c r="E1900">
        <f>VLOOKUP(cukier8[[#This Row],[rok]],$L$2:$M$11,2,FALSE)*cukier8[[#This Row],[sprzedany_cukier]]</f>
        <v>366.3</v>
      </c>
    </row>
    <row r="1901" spans="1:5" x14ac:dyDescent="0.25">
      <c r="A1901" s="1">
        <v>41581</v>
      </c>
      <c r="B1901" t="s">
        <v>210</v>
      </c>
      <c r="C1901">
        <v>14</v>
      </c>
      <c r="D1901">
        <f>YEAR(cukier8[[#This Row],[data]])</f>
        <v>2013</v>
      </c>
      <c r="E1901">
        <f>VLOOKUP(cukier8[[#This Row],[rok]],$L$2:$M$11,2,FALSE)*cukier8[[#This Row],[sprzedany_cukier]]</f>
        <v>31.080000000000002</v>
      </c>
    </row>
    <row r="1902" spans="1:5" x14ac:dyDescent="0.25">
      <c r="A1902" s="1">
        <v>41583</v>
      </c>
      <c r="B1902" t="s">
        <v>28</v>
      </c>
      <c r="C1902">
        <v>177</v>
      </c>
      <c r="D1902">
        <f>YEAR(cukier8[[#This Row],[data]])</f>
        <v>2013</v>
      </c>
      <c r="E1902">
        <f>VLOOKUP(cukier8[[#This Row],[rok]],$L$2:$M$11,2,FALSE)*cukier8[[#This Row],[sprzedany_cukier]]</f>
        <v>392.94000000000005</v>
      </c>
    </row>
    <row r="1903" spans="1:5" x14ac:dyDescent="0.25">
      <c r="A1903" s="1">
        <v>41584</v>
      </c>
      <c r="B1903" t="s">
        <v>147</v>
      </c>
      <c r="C1903">
        <v>1</v>
      </c>
      <c r="D1903">
        <f>YEAR(cukier8[[#This Row],[data]])</f>
        <v>2013</v>
      </c>
      <c r="E1903">
        <f>VLOOKUP(cukier8[[#This Row],[rok]],$L$2:$M$11,2,FALSE)*cukier8[[#This Row],[sprzedany_cukier]]</f>
        <v>2.2200000000000002</v>
      </c>
    </row>
    <row r="1904" spans="1:5" x14ac:dyDescent="0.25">
      <c r="A1904" s="1">
        <v>41585</v>
      </c>
      <c r="B1904" t="s">
        <v>131</v>
      </c>
      <c r="C1904">
        <v>193</v>
      </c>
      <c r="D1904">
        <f>YEAR(cukier8[[#This Row],[data]])</f>
        <v>2013</v>
      </c>
      <c r="E1904">
        <f>VLOOKUP(cukier8[[#This Row],[rok]],$L$2:$M$11,2,FALSE)*cukier8[[#This Row],[sprzedany_cukier]]</f>
        <v>428.46000000000004</v>
      </c>
    </row>
    <row r="1905" spans="1:5" x14ac:dyDescent="0.25">
      <c r="A1905" s="1">
        <v>41585</v>
      </c>
      <c r="B1905" t="s">
        <v>110</v>
      </c>
      <c r="C1905">
        <v>8</v>
      </c>
      <c r="D1905">
        <f>YEAR(cukier8[[#This Row],[data]])</f>
        <v>2013</v>
      </c>
      <c r="E1905">
        <f>VLOOKUP(cukier8[[#This Row],[rok]],$L$2:$M$11,2,FALSE)*cukier8[[#This Row],[sprzedany_cukier]]</f>
        <v>17.760000000000002</v>
      </c>
    </row>
    <row r="1906" spans="1:5" x14ac:dyDescent="0.25">
      <c r="A1906" s="1">
        <v>41588</v>
      </c>
      <c r="B1906" t="s">
        <v>233</v>
      </c>
      <c r="C1906">
        <v>11</v>
      </c>
      <c r="D1906">
        <f>YEAR(cukier8[[#This Row],[data]])</f>
        <v>2013</v>
      </c>
      <c r="E1906">
        <f>VLOOKUP(cukier8[[#This Row],[rok]],$L$2:$M$11,2,FALSE)*cukier8[[#This Row],[sprzedany_cukier]]</f>
        <v>24.42</v>
      </c>
    </row>
    <row r="1907" spans="1:5" x14ac:dyDescent="0.25">
      <c r="A1907" s="1">
        <v>41594</v>
      </c>
      <c r="B1907" t="s">
        <v>22</v>
      </c>
      <c r="C1907">
        <v>249</v>
      </c>
      <c r="D1907">
        <f>YEAR(cukier8[[#This Row],[data]])</f>
        <v>2013</v>
      </c>
      <c r="E1907">
        <f>VLOOKUP(cukier8[[#This Row],[rok]],$L$2:$M$11,2,FALSE)*cukier8[[#This Row],[sprzedany_cukier]]</f>
        <v>552.78000000000009</v>
      </c>
    </row>
    <row r="1908" spans="1:5" x14ac:dyDescent="0.25">
      <c r="A1908" s="1">
        <v>41598</v>
      </c>
      <c r="B1908" t="s">
        <v>5</v>
      </c>
      <c r="C1908">
        <v>360</v>
      </c>
      <c r="D1908">
        <f>YEAR(cukier8[[#This Row],[data]])</f>
        <v>2013</v>
      </c>
      <c r="E1908">
        <f>VLOOKUP(cukier8[[#This Row],[rok]],$L$2:$M$11,2,FALSE)*cukier8[[#This Row],[sprzedany_cukier]]</f>
        <v>799.2</v>
      </c>
    </row>
    <row r="1909" spans="1:5" x14ac:dyDescent="0.25">
      <c r="A1909" s="1">
        <v>41602</v>
      </c>
      <c r="B1909" t="s">
        <v>26</v>
      </c>
      <c r="C1909">
        <v>186</v>
      </c>
      <c r="D1909">
        <f>YEAR(cukier8[[#This Row],[data]])</f>
        <v>2013</v>
      </c>
      <c r="E1909">
        <f>VLOOKUP(cukier8[[#This Row],[rok]],$L$2:$M$11,2,FALSE)*cukier8[[#This Row],[sprzedany_cukier]]</f>
        <v>412.92</v>
      </c>
    </row>
    <row r="1910" spans="1:5" x14ac:dyDescent="0.25">
      <c r="A1910" s="1">
        <v>41603</v>
      </c>
      <c r="B1910" t="s">
        <v>52</v>
      </c>
      <c r="C1910">
        <v>29</v>
      </c>
      <c r="D1910">
        <f>YEAR(cukier8[[#This Row],[data]])</f>
        <v>2013</v>
      </c>
      <c r="E1910">
        <f>VLOOKUP(cukier8[[#This Row],[rok]],$L$2:$M$11,2,FALSE)*cukier8[[#This Row],[sprzedany_cukier]]</f>
        <v>64.38000000000001</v>
      </c>
    </row>
    <row r="1911" spans="1:5" x14ac:dyDescent="0.25">
      <c r="A1911" s="1">
        <v>41606</v>
      </c>
      <c r="B1911" t="s">
        <v>30</v>
      </c>
      <c r="C1911">
        <v>174</v>
      </c>
      <c r="D1911">
        <f>YEAR(cukier8[[#This Row],[data]])</f>
        <v>2013</v>
      </c>
      <c r="E1911">
        <f>VLOOKUP(cukier8[[#This Row],[rok]],$L$2:$M$11,2,FALSE)*cukier8[[#This Row],[sprzedany_cukier]]</f>
        <v>386.28000000000003</v>
      </c>
    </row>
    <row r="1912" spans="1:5" x14ac:dyDescent="0.25">
      <c r="A1912" s="1">
        <v>41607</v>
      </c>
      <c r="B1912" t="s">
        <v>7</v>
      </c>
      <c r="C1912">
        <v>131</v>
      </c>
      <c r="D1912">
        <f>YEAR(cukier8[[#This Row],[data]])</f>
        <v>2013</v>
      </c>
      <c r="E1912">
        <f>VLOOKUP(cukier8[[#This Row],[rok]],$L$2:$M$11,2,FALSE)*cukier8[[#This Row],[sprzedany_cukier]]</f>
        <v>290.82000000000005</v>
      </c>
    </row>
    <row r="1913" spans="1:5" x14ac:dyDescent="0.25">
      <c r="A1913" s="1">
        <v>41609</v>
      </c>
      <c r="B1913" t="s">
        <v>7</v>
      </c>
      <c r="C1913">
        <v>157</v>
      </c>
      <c r="D1913">
        <f>YEAR(cukier8[[#This Row],[data]])</f>
        <v>2013</v>
      </c>
      <c r="E1913">
        <f>VLOOKUP(cukier8[[#This Row],[rok]],$L$2:$M$11,2,FALSE)*cukier8[[#This Row],[sprzedany_cukier]]</f>
        <v>348.54</v>
      </c>
    </row>
    <row r="1914" spans="1:5" x14ac:dyDescent="0.25">
      <c r="A1914" s="1">
        <v>41609</v>
      </c>
      <c r="B1914" t="s">
        <v>14</v>
      </c>
      <c r="C1914">
        <v>284</v>
      </c>
      <c r="D1914">
        <f>YEAR(cukier8[[#This Row],[data]])</f>
        <v>2013</v>
      </c>
      <c r="E1914">
        <f>VLOOKUP(cukier8[[#This Row],[rok]],$L$2:$M$11,2,FALSE)*cukier8[[#This Row],[sprzedany_cukier]]</f>
        <v>630.48</v>
      </c>
    </row>
    <row r="1915" spans="1:5" x14ac:dyDescent="0.25">
      <c r="A1915" s="1">
        <v>41610</v>
      </c>
      <c r="B1915" t="s">
        <v>17</v>
      </c>
      <c r="C1915">
        <v>292</v>
      </c>
      <c r="D1915">
        <f>YEAR(cukier8[[#This Row],[data]])</f>
        <v>2013</v>
      </c>
      <c r="E1915">
        <f>VLOOKUP(cukier8[[#This Row],[rok]],$L$2:$M$11,2,FALSE)*cukier8[[#This Row],[sprzedany_cukier]]</f>
        <v>648.24</v>
      </c>
    </row>
    <row r="1916" spans="1:5" x14ac:dyDescent="0.25">
      <c r="A1916" s="1">
        <v>41612</v>
      </c>
      <c r="B1916" t="s">
        <v>81</v>
      </c>
      <c r="C1916">
        <v>13</v>
      </c>
      <c r="D1916">
        <f>YEAR(cukier8[[#This Row],[data]])</f>
        <v>2013</v>
      </c>
      <c r="E1916">
        <f>VLOOKUP(cukier8[[#This Row],[rok]],$L$2:$M$11,2,FALSE)*cukier8[[#This Row],[sprzedany_cukier]]</f>
        <v>28.860000000000003</v>
      </c>
    </row>
    <row r="1917" spans="1:5" x14ac:dyDescent="0.25">
      <c r="A1917" s="1">
        <v>41614</v>
      </c>
      <c r="B1917" t="s">
        <v>85</v>
      </c>
      <c r="C1917">
        <v>16</v>
      </c>
      <c r="D1917">
        <f>YEAR(cukier8[[#This Row],[data]])</f>
        <v>2013</v>
      </c>
      <c r="E1917">
        <f>VLOOKUP(cukier8[[#This Row],[rok]],$L$2:$M$11,2,FALSE)*cukier8[[#This Row],[sprzedany_cukier]]</f>
        <v>35.520000000000003</v>
      </c>
    </row>
    <row r="1918" spans="1:5" x14ac:dyDescent="0.25">
      <c r="A1918" s="1">
        <v>41614</v>
      </c>
      <c r="B1918" t="s">
        <v>22</v>
      </c>
      <c r="C1918">
        <v>364</v>
      </c>
      <c r="D1918">
        <f>YEAR(cukier8[[#This Row],[data]])</f>
        <v>2013</v>
      </c>
      <c r="E1918">
        <f>VLOOKUP(cukier8[[#This Row],[rok]],$L$2:$M$11,2,FALSE)*cukier8[[#This Row],[sprzedany_cukier]]</f>
        <v>808.08</v>
      </c>
    </row>
    <row r="1919" spans="1:5" x14ac:dyDescent="0.25">
      <c r="A1919" s="1">
        <v>41615</v>
      </c>
      <c r="B1919" t="s">
        <v>44</v>
      </c>
      <c r="C1919">
        <v>16</v>
      </c>
      <c r="D1919">
        <f>YEAR(cukier8[[#This Row],[data]])</f>
        <v>2013</v>
      </c>
      <c r="E1919">
        <f>VLOOKUP(cukier8[[#This Row],[rok]],$L$2:$M$11,2,FALSE)*cukier8[[#This Row],[sprzedany_cukier]]</f>
        <v>35.520000000000003</v>
      </c>
    </row>
    <row r="1920" spans="1:5" x14ac:dyDescent="0.25">
      <c r="A1920" s="1">
        <v>41615</v>
      </c>
      <c r="B1920" t="s">
        <v>49</v>
      </c>
      <c r="C1920">
        <v>3</v>
      </c>
      <c r="D1920">
        <f>YEAR(cukier8[[#This Row],[data]])</f>
        <v>2013</v>
      </c>
      <c r="E1920">
        <f>VLOOKUP(cukier8[[#This Row],[rok]],$L$2:$M$11,2,FALSE)*cukier8[[#This Row],[sprzedany_cukier]]</f>
        <v>6.66</v>
      </c>
    </row>
    <row r="1921" spans="1:5" x14ac:dyDescent="0.25">
      <c r="A1921" s="1">
        <v>41616</v>
      </c>
      <c r="B1921" t="s">
        <v>207</v>
      </c>
      <c r="C1921">
        <v>9</v>
      </c>
      <c r="D1921">
        <f>YEAR(cukier8[[#This Row],[data]])</f>
        <v>2013</v>
      </c>
      <c r="E1921">
        <f>VLOOKUP(cukier8[[#This Row],[rok]],$L$2:$M$11,2,FALSE)*cukier8[[#This Row],[sprzedany_cukier]]</f>
        <v>19.98</v>
      </c>
    </row>
    <row r="1922" spans="1:5" x14ac:dyDescent="0.25">
      <c r="A1922" s="1">
        <v>41617</v>
      </c>
      <c r="B1922" t="s">
        <v>206</v>
      </c>
      <c r="C1922">
        <v>6</v>
      </c>
      <c r="D1922">
        <f>YEAR(cukier8[[#This Row],[data]])</f>
        <v>2013</v>
      </c>
      <c r="E1922">
        <f>VLOOKUP(cukier8[[#This Row],[rok]],$L$2:$M$11,2,FALSE)*cukier8[[#This Row],[sprzedany_cukier]]</f>
        <v>13.32</v>
      </c>
    </row>
    <row r="1923" spans="1:5" x14ac:dyDescent="0.25">
      <c r="A1923" s="1">
        <v>41621</v>
      </c>
      <c r="B1923" t="s">
        <v>71</v>
      </c>
      <c r="C1923">
        <v>117</v>
      </c>
      <c r="D1923">
        <f>YEAR(cukier8[[#This Row],[data]])</f>
        <v>2013</v>
      </c>
      <c r="E1923">
        <f>VLOOKUP(cukier8[[#This Row],[rok]],$L$2:$M$11,2,FALSE)*cukier8[[#This Row],[sprzedany_cukier]]</f>
        <v>259.74</v>
      </c>
    </row>
    <row r="1924" spans="1:5" x14ac:dyDescent="0.25">
      <c r="A1924" s="1">
        <v>41622</v>
      </c>
      <c r="B1924" t="s">
        <v>42</v>
      </c>
      <c r="C1924">
        <v>6</v>
      </c>
      <c r="D1924">
        <f>YEAR(cukier8[[#This Row],[data]])</f>
        <v>2013</v>
      </c>
      <c r="E1924">
        <f>VLOOKUP(cukier8[[#This Row],[rok]],$L$2:$M$11,2,FALSE)*cukier8[[#This Row],[sprzedany_cukier]]</f>
        <v>13.32</v>
      </c>
    </row>
    <row r="1925" spans="1:5" x14ac:dyDescent="0.25">
      <c r="A1925" s="1">
        <v>41623</v>
      </c>
      <c r="B1925" t="s">
        <v>9</v>
      </c>
      <c r="C1925">
        <v>186</v>
      </c>
      <c r="D1925">
        <f>YEAR(cukier8[[#This Row],[data]])</f>
        <v>2013</v>
      </c>
      <c r="E1925">
        <f>VLOOKUP(cukier8[[#This Row],[rok]],$L$2:$M$11,2,FALSE)*cukier8[[#This Row],[sprzedany_cukier]]</f>
        <v>412.92</v>
      </c>
    </row>
    <row r="1926" spans="1:5" x14ac:dyDescent="0.25">
      <c r="A1926" s="1">
        <v>41623</v>
      </c>
      <c r="B1926" t="s">
        <v>42</v>
      </c>
      <c r="C1926">
        <v>16</v>
      </c>
      <c r="D1926">
        <f>YEAR(cukier8[[#This Row],[data]])</f>
        <v>2013</v>
      </c>
      <c r="E1926">
        <f>VLOOKUP(cukier8[[#This Row],[rok]],$L$2:$M$11,2,FALSE)*cukier8[[#This Row],[sprzedany_cukier]]</f>
        <v>35.520000000000003</v>
      </c>
    </row>
    <row r="1927" spans="1:5" x14ac:dyDescent="0.25">
      <c r="A1927" s="1">
        <v>41624</v>
      </c>
      <c r="B1927" t="s">
        <v>6</v>
      </c>
      <c r="C1927">
        <v>100</v>
      </c>
      <c r="D1927">
        <f>YEAR(cukier8[[#This Row],[data]])</f>
        <v>2013</v>
      </c>
      <c r="E1927">
        <f>VLOOKUP(cukier8[[#This Row],[rok]],$L$2:$M$11,2,FALSE)*cukier8[[#This Row],[sprzedany_cukier]]</f>
        <v>222.00000000000003</v>
      </c>
    </row>
    <row r="1928" spans="1:5" x14ac:dyDescent="0.25">
      <c r="A1928" s="1">
        <v>41629</v>
      </c>
      <c r="B1928" t="s">
        <v>1</v>
      </c>
      <c r="C1928">
        <v>20</v>
      </c>
      <c r="D1928">
        <f>YEAR(cukier8[[#This Row],[data]])</f>
        <v>2013</v>
      </c>
      <c r="E1928">
        <f>VLOOKUP(cukier8[[#This Row],[rok]],$L$2:$M$11,2,FALSE)*cukier8[[#This Row],[sprzedany_cukier]]</f>
        <v>44.400000000000006</v>
      </c>
    </row>
    <row r="1929" spans="1:5" x14ac:dyDescent="0.25">
      <c r="A1929" s="1">
        <v>41629</v>
      </c>
      <c r="B1929" t="s">
        <v>35</v>
      </c>
      <c r="C1929">
        <v>192</v>
      </c>
      <c r="D1929">
        <f>YEAR(cukier8[[#This Row],[data]])</f>
        <v>2013</v>
      </c>
      <c r="E1929">
        <f>VLOOKUP(cukier8[[#This Row],[rok]],$L$2:$M$11,2,FALSE)*cukier8[[#This Row],[sprzedany_cukier]]</f>
        <v>426.24</v>
      </c>
    </row>
    <row r="1930" spans="1:5" x14ac:dyDescent="0.25">
      <c r="A1930" s="1">
        <v>41630</v>
      </c>
      <c r="B1930" t="s">
        <v>35</v>
      </c>
      <c r="C1930">
        <v>92</v>
      </c>
      <c r="D1930">
        <f>YEAR(cukier8[[#This Row],[data]])</f>
        <v>2013</v>
      </c>
      <c r="E1930">
        <f>VLOOKUP(cukier8[[#This Row],[rok]],$L$2:$M$11,2,FALSE)*cukier8[[#This Row],[sprzedany_cukier]]</f>
        <v>204.24</v>
      </c>
    </row>
    <row r="1931" spans="1:5" x14ac:dyDescent="0.25">
      <c r="A1931" s="1">
        <v>41631</v>
      </c>
      <c r="B1931" t="s">
        <v>118</v>
      </c>
      <c r="C1931">
        <v>11</v>
      </c>
      <c r="D1931">
        <f>YEAR(cukier8[[#This Row],[data]])</f>
        <v>2013</v>
      </c>
      <c r="E1931">
        <f>VLOOKUP(cukier8[[#This Row],[rok]],$L$2:$M$11,2,FALSE)*cukier8[[#This Row],[sprzedany_cukier]]</f>
        <v>24.42</v>
      </c>
    </row>
    <row r="1932" spans="1:5" x14ac:dyDescent="0.25">
      <c r="A1932" s="1">
        <v>41633</v>
      </c>
      <c r="B1932" t="s">
        <v>237</v>
      </c>
      <c r="C1932">
        <v>10</v>
      </c>
      <c r="D1932">
        <f>YEAR(cukier8[[#This Row],[data]])</f>
        <v>2013</v>
      </c>
      <c r="E1932">
        <f>VLOOKUP(cukier8[[#This Row],[rok]],$L$2:$M$11,2,FALSE)*cukier8[[#This Row],[sprzedany_cukier]]</f>
        <v>22.200000000000003</v>
      </c>
    </row>
    <row r="1933" spans="1:5" x14ac:dyDescent="0.25">
      <c r="A1933" s="1">
        <v>41634</v>
      </c>
      <c r="B1933" t="s">
        <v>71</v>
      </c>
      <c r="C1933">
        <v>180</v>
      </c>
      <c r="D1933">
        <f>YEAR(cukier8[[#This Row],[data]])</f>
        <v>2013</v>
      </c>
      <c r="E1933">
        <f>VLOOKUP(cukier8[[#This Row],[rok]],$L$2:$M$11,2,FALSE)*cukier8[[#This Row],[sprzedany_cukier]]</f>
        <v>399.6</v>
      </c>
    </row>
    <row r="1934" spans="1:5" x14ac:dyDescent="0.25">
      <c r="A1934" s="1">
        <v>41637</v>
      </c>
      <c r="B1934" t="s">
        <v>38</v>
      </c>
      <c r="C1934">
        <v>12</v>
      </c>
      <c r="D1934">
        <f>YEAR(cukier8[[#This Row],[data]])</f>
        <v>2013</v>
      </c>
      <c r="E1934">
        <f>VLOOKUP(cukier8[[#This Row],[rok]],$L$2:$M$11,2,FALSE)*cukier8[[#This Row],[sprzedany_cukier]]</f>
        <v>26.64</v>
      </c>
    </row>
    <row r="1935" spans="1:5" x14ac:dyDescent="0.25">
      <c r="A1935" s="1">
        <v>41638</v>
      </c>
      <c r="B1935" t="s">
        <v>222</v>
      </c>
      <c r="C1935">
        <v>12</v>
      </c>
      <c r="D1935">
        <f>YEAR(cukier8[[#This Row],[data]])</f>
        <v>2013</v>
      </c>
      <c r="E1935">
        <f>VLOOKUP(cukier8[[#This Row],[rok]],$L$2:$M$11,2,FALSE)*cukier8[[#This Row],[sprzedany_cukier]]</f>
        <v>26.64</v>
      </c>
    </row>
    <row r="1936" spans="1:5" x14ac:dyDescent="0.25">
      <c r="A1936" s="1">
        <v>41639</v>
      </c>
      <c r="B1936" t="s">
        <v>97</v>
      </c>
      <c r="C1936">
        <v>8</v>
      </c>
      <c r="D1936">
        <f>YEAR(cukier8[[#This Row],[data]])</f>
        <v>2013</v>
      </c>
      <c r="E1936">
        <f>VLOOKUP(cukier8[[#This Row],[rok]],$L$2:$M$11,2,FALSE)*cukier8[[#This Row],[sprzedany_cukier]]</f>
        <v>17.760000000000002</v>
      </c>
    </row>
    <row r="1937" spans="1:5" x14ac:dyDescent="0.25">
      <c r="A1937" s="1">
        <v>41641</v>
      </c>
      <c r="B1937" t="s">
        <v>12</v>
      </c>
      <c r="C1937">
        <v>56</v>
      </c>
      <c r="D1937">
        <f>YEAR(cukier8[[#This Row],[data]])</f>
        <v>2014</v>
      </c>
      <c r="E1937">
        <f>VLOOKUP(cukier8[[#This Row],[rok]],$L$2:$M$11,2,FALSE)*cukier8[[#This Row],[sprzedany_cukier]]</f>
        <v>124.88</v>
      </c>
    </row>
    <row r="1938" spans="1:5" x14ac:dyDescent="0.25">
      <c r="A1938" s="1">
        <v>41642</v>
      </c>
      <c r="B1938" t="s">
        <v>82</v>
      </c>
      <c r="C1938">
        <v>18</v>
      </c>
      <c r="D1938">
        <f>YEAR(cukier8[[#This Row],[data]])</f>
        <v>2014</v>
      </c>
      <c r="E1938">
        <f>VLOOKUP(cukier8[[#This Row],[rok]],$L$2:$M$11,2,FALSE)*cukier8[[#This Row],[sprzedany_cukier]]</f>
        <v>40.14</v>
      </c>
    </row>
    <row r="1939" spans="1:5" x14ac:dyDescent="0.25">
      <c r="A1939" s="1">
        <v>41642</v>
      </c>
      <c r="B1939" t="s">
        <v>14</v>
      </c>
      <c r="C1939">
        <v>164</v>
      </c>
      <c r="D1939">
        <f>YEAR(cukier8[[#This Row],[data]])</f>
        <v>2014</v>
      </c>
      <c r="E1939">
        <f>VLOOKUP(cukier8[[#This Row],[rok]],$L$2:$M$11,2,FALSE)*cukier8[[#This Row],[sprzedany_cukier]]</f>
        <v>365.71999999999997</v>
      </c>
    </row>
    <row r="1940" spans="1:5" x14ac:dyDescent="0.25">
      <c r="A1940" s="1">
        <v>41645</v>
      </c>
      <c r="B1940" t="s">
        <v>30</v>
      </c>
      <c r="C1940">
        <v>111</v>
      </c>
      <c r="D1940">
        <f>YEAR(cukier8[[#This Row],[data]])</f>
        <v>2014</v>
      </c>
      <c r="E1940">
        <f>VLOOKUP(cukier8[[#This Row],[rok]],$L$2:$M$11,2,FALSE)*cukier8[[#This Row],[sprzedany_cukier]]</f>
        <v>247.53</v>
      </c>
    </row>
    <row r="1941" spans="1:5" x14ac:dyDescent="0.25">
      <c r="A1941" s="1">
        <v>41646</v>
      </c>
      <c r="B1941" t="s">
        <v>190</v>
      </c>
      <c r="C1941">
        <v>14</v>
      </c>
      <c r="D1941">
        <f>YEAR(cukier8[[#This Row],[data]])</f>
        <v>2014</v>
      </c>
      <c r="E1941">
        <f>VLOOKUP(cukier8[[#This Row],[rok]],$L$2:$M$11,2,FALSE)*cukier8[[#This Row],[sprzedany_cukier]]</f>
        <v>31.22</v>
      </c>
    </row>
    <row r="1942" spans="1:5" x14ac:dyDescent="0.25">
      <c r="A1942" s="1">
        <v>41647</v>
      </c>
      <c r="B1942" t="s">
        <v>102</v>
      </c>
      <c r="C1942">
        <v>143</v>
      </c>
      <c r="D1942">
        <f>YEAR(cukier8[[#This Row],[data]])</f>
        <v>2014</v>
      </c>
      <c r="E1942">
        <f>VLOOKUP(cukier8[[#This Row],[rok]],$L$2:$M$11,2,FALSE)*cukier8[[#This Row],[sprzedany_cukier]]</f>
        <v>318.89</v>
      </c>
    </row>
    <row r="1943" spans="1:5" x14ac:dyDescent="0.25">
      <c r="A1943" s="1">
        <v>41648</v>
      </c>
      <c r="B1943" t="s">
        <v>10</v>
      </c>
      <c r="C1943">
        <v>64</v>
      </c>
      <c r="D1943">
        <f>YEAR(cukier8[[#This Row],[data]])</f>
        <v>2014</v>
      </c>
      <c r="E1943">
        <f>VLOOKUP(cukier8[[#This Row],[rok]],$L$2:$M$11,2,FALSE)*cukier8[[#This Row],[sprzedany_cukier]]</f>
        <v>142.72</v>
      </c>
    </row>
    <row r="1944" spans="1:5" x14ac:dyDescent="0.25">
      <c r="A1944" s="1">
        <v>41651</v>
      </c>
      <c r="B1944" t="s">
        <v>234</v>
      </c>
      <c r="C1944">
        <v>3</v>
      </c>
      <c r="D1944">
        <f>YEAR(cukier8[[#This Row],[data]])</f>
        <v>2014</v>
      </c>
      <c r="E1944">
        <f>VLOOKUP(cukier8[[#This Row],[rok]],$L$2:$M$11,2,FALSE)*cukier8[[#This Row],[sprzedany_cukier]]</f>
        <v>6.6899999999999995</v>
      </c>
    </row>
    <row r="1945" spans="1:5" x14ac:dyDescent="0.25">
      <c r="A1945" s="1">
        <v>41652</v>
      </c>
      <c r="B1945" t="s">
        <v>45</v>
      </c>
      <c r="C1945">
        <v>152</v>
      </c>
      <c r="D1945">
        <f>YEAR(cukier8[[#This Row],[data]])</f>
        <v>2014</v>
      </c>
      <c r="E1945">
        <f>VLOOKUP(cukier8[[#This Row],[rok]],$L$2:$M$11,2,FALSE)*cukier8[[#This Row],[sprzedany_cukier]]</f>
        <v>338.96</v>
      </c>
    </row>
    <row r="1946" spans="1:5" x14ac:dyDescent="0.25">
      <c r="A1946" s="1">
        <v>41653</v>
      </c>
      <c r="B1946" t="s">
        <v>10</v>
      </c>
      <c r="C1946">
        <v>152</v>
      </c>
      <c r="D1946">
        <f>YEAR(cukier8[[#This Row],[data]])</f>
        <v>2014</v>
      </c>
      <c r="E1946">
        <f>VLOOKUP(cukier8[[#This Row],[rok]],$L$2:$M$11,2,FALSE)*cukier8[[#This Row],[sprzedany_cukier]]</f>
        <v>338.96</v>
      </c>
    </row>
    <row r="1947" spans="1:5" x14ac:dyDescent="0.25">
      <c r="A1947" s="1">
        <v>41655</v>
      </c>
      <c r="B1947" t="s">
        <v>221</v>
      </c>
      <c r="C1947">
        <v>15</v>
      </c>
      <c r="D1947">
        <f>YEAR(cukier8[[#This Row],[data]])</f>
        <v>2014</v>
      </c>
      <c r="E1947">
        <f>VLOOKUP(cukier8[[#This Row],[rok]],$L$2:$M$11,2,FALSE)*cukier8[[#This Row],[sprzedany_cukier]]</f>
        <v>33.450000000000003</v>
      </c>
    </row>
    <row r="1948" spans="1:5" x14ac:dyDescent="0.25">
      <c r="A1948" s="1">
        <v>41656</v>
      </c>
      <c r="B1948" t="s">
        <v>71</v>
      </c>
      <c r="C1948">
        <v>117</v>
      </c>
      <c r="D1948">
        <f>YEAR(cukier8[[#This Row],[data]])</f>
        <v>2014</v>
      </c>
      <c r="E1948">
        <f>VLOOKUP(cukier8[[#This Row],[rok]],$L$2:$M$11,2,FALSE)*cukier8[[#This Row],[sprzedany_cukier]]</f>
        <v>260.91000000000003</v>
      </c>
    </row>
    <row r="1949" spans="1:5" x14ac:dyDescent="0.25">
      <c r="A1949" s="1">
        <v>41656</v>
      </c>
      <c r="B1949" t="s">
        <v>215</v>
      </c>
      <c r="C1949">
        <v>14</v>
      </c>
      <c r="D1949">
        <f>YEAR(cukier8[[#This Row],[data]])</f>
        <v>2014</v>
      </c>
      <c r="E1949">
        <f>VLOOKUP(cukier8[[#This Row],[rok]],$L$2:$M$11,2,FALSE)*cukier8[[#This Row],[sprzedany_cukier]]</f>
        <v>31.22</v>
      </c>
    </row>
    <row r="1950" spans="1:5" x14ac:dyDescent="0.25">
      <c r="A1950" s="1">
        <v>41656</v>
      </c>
      <c r="B1950" t="s">
        <v>45</v>
      </c>
      <c r="C1950">
        <v>431</v>
      </c>
      <c r="D1950">
        <f>YEAR(cukier8[[#This Row],[data]])</f>
        <v>2014</v>
      </c>
      <c r="E1950">
        <f>VLOOKUP(cukier8[[#This Row],[rok]],$L$2:$M$11,2,FALSE)*cukier8[[#This Row],[sprzedany_cukier]]</f>
        <v>961.13</v>
      </c>
    </row>
    <row r="1951" spans="1:5" x14ac:dyDescent="0.25">
      <c r="A1951" s="1">
        <v>41658</v>
      </c>
      <c r="B1951" t="s">
        <v>22</v>
      </c>
      <c r="C1951">
        <v>390</v>
      </c>
      <c r="D1951">
        <f>YEAR(cukier8[[#This Row],[data]])</f>
        <v>2014</v>
      </c>
      <c r="E1951">
        <f>VLOOKUP(cukier8[[#This Row],[rok]],$L$2:$M$11,2,FALSE)*cukier8[[#This Row],[sprzedany_cukier]]</f>
        <v>869.7</v>
      </c>
    </row>
    <row r="1952" spans="1:5" x14ac:dyDescent="0.25">
      <c r="A1952" s="1">
        <v>41663</v>
      </c>
      <c r="B1952" t="s">
        <v>222</v>
      </c>
      <c r="C1952">
        <v>1</v>
      </c>
      <c r="D1952">
        <f>YEAR(cukier8[[#This Row],[data]])</f>
        <v>2014</v>
      </c>
      <c r="E1952">
        <f>VLOOKUP(cukier8[[#This Row],[rok]],$L$2:$M$11,2,FALSE)*cukier8[[#This Row],[sprzedany_cukier]]</f>
        <v>2.23</v>
      </c>
    </row>
    <row r="1953" spans="1:5" x14ac:dyDescent="0.25">
      <c r="A1953" s="1">
        <v>41666</v>
      </c>
      <c r="B1953" t="s">
        <v>17</v>
      </c>
      <c r="C1953">
        <v>392</v>
      </c>
      <c r="D1953">
        <f>YEAR(cukier8[[#This Row],[data]])</f>
        <v>2014</v>
      </c>
      <c r="E1953">
        <f>VLOOKUP(cukier8[[#This Row],[rok]],$L$2:$M$11,2,FALSE)*cukier8[[#This Row],[sprzedany_cukier]]</f>
        <v>874.16</v>
      </c>
    </row>
    <row r="1954" spans="1:5" x14ac:dyDescent="0.25">
      <c r="A1954" s="1">
        <v>41668</v>
      </c>
      <c r="B1954" t="s">
        <v>37</v>
      </c>
      <c r="C1954">
        <v>175</v>
      </c>
      <c r="D1954">
        <f>YEAR(cukier8[[#This Row],[data]])</f>
        <v>2014</v>
      </c>
      <c r="E1954">
        <f>VLOOKUP(cukier8[[#This Row],[rok]],$L$2:$M$11,2,FALSE)*cukier8[[#This Row],[sprzedany_cukier]]</f>
        <v>390.25</v>
      </c>
    </row>
    <row r="1955" spans="1:5" x14ac:dyDescent="0.25">
      <c r="A1955" s="1">
        <v>41668</v>
      </c>
      <c r="B1955" t="s">
        <v>55</v>
      </c>
      <c r="C1955">
        <v>118</v>
      </c>
      <c r="D1955">
        <f>YEAR(cukier8[[#This Row],[data]])</f>
        <v>2014</v>
      </c>
      <c r="E1955">
        <f>VLOOKUP(cukier8[[#This Row],[rok]],$L$2:$M$11,2,FALSE)*cukier8[[#This Row],[sprzedany_cukier]]</f>
        <v>263.14</v>
      </c>
    </row>
    <row r="1956" spans="1:5" x14ac:dyDescent="0.25">
      <c r="A1956" s="1">
        <v>41672</v>
      </c>
      <c r="B1956" t="s">
        <v>9</v>
      </c>
      <c r="C1956">
        <v>297</v>
      </c>
      <c r="D1956">
        <f>YEAR(cukier8[[#This Row],[data]])</f>
        <v>2014</v>
      </c>
      <c r="E1956">
        <f>VLOOKUP(cukier8[[#This Row],[rok]],$L$2:$M$11,2,FALSE)*cukier8[[#This Row],[sprzedany_cukier]]</f>
        <v>662.31</v>
      </c>
    </row>
    <row r="1957" spans="1:5" x14ac:dyDescent="0.25">
      <c r="A1957" s="1">
        <v>41676</v>
      </c>
      <c r="B1957" t="s">
        <v>23</v>
      </c>
      <c r="C1957">
        <v>89</v>
      </c>
      <c r="D1957">
        <f>YEAR(cukier8[[#This Row],[data]])</f>
        <v>2014</v>
      </c>
      <c r="E1957">
        <f>VLOOKUP(cukier8[[#This Row],[rok]],$L$2:$M$11,2,FALSE)*cukier8[[#This Row],[sprzedany_cukier]]</f>
        <v>198.47</v>
      </c>
    </row>
    <row r="1958" spans="1:5" x14ac:dyDescent="0.25">
      <c r="A1958" s="1">
        <v>41676</v>
      </c>
      <c r="B1958" t="s">
        <v>22</v>
      </c>
      <c r="C1958">
        <v>182</v>
      </c>
      <c r="D1958">
        <f>YEAR(cukier8[[#This Row],[data]])</f>
        <v>2014</v>
      </c>
      <c r="E1958">
        <f>VLOOKUP(cukier8[[#This Row],[rok]],$L$2:$M$11,2,FALSE)*cukier8[[#This Row],[sprzedany_cukier]]</f>
        <v>405.86</v>
      </c>
    </row>
    <row r="1959" spans="1:5" x14ac:dyDescent="0.25">
      <c r="A1959" s="1">
        <v>41677</v>
      </c>
      <c r="B1959" t="s">
        <v>10</v>
      </c>
      <c r="C1959">
        <v>130</v>
      </c>
      <c r="D1959">
        <f>YEAR(cukier8[[#This Row],[data]])</f>
        <v>2014</v>
      </c>
      <c r="E1959">
        <f>VLOOKUP(cukier8[[#This Row],[rok]],$L$2:$M$11,2,FALSE)*cukier8[[#This Row],[sprzedany_cukier]]</f>
        <v>289.89999999999998</v>
      </c>
    </row>
    <row r="1960" spans="1:5" x14ac:dyDescent="0.25">
      <c r="A1960" s="1">
        <v>41680</v>
      </c>
      <c r="B1960" t="s">
        <v>26</v>
      </c>
      <c r="C1960">
        <v>187</v>
      </c>
      <c r="D1960">
        <f>YEAR(cukier8[[#This Row],[data]])</f>
        <v>2014</v>
      </c>
      <c r="E1960">
        <f>VLOOKUP(cukier8[[#This Row],[rok]],$L$2:$M$11,2,FALSE)*cukier8[[#This Row],[sprzedany_cukier]]</f>
        <v>417.01</v>
      </c>
    </row>
    <row r="1961" spans="1:5" x14ac:dyDescent="0.25">
      <c r="A1961" s="1">
        <v>41681</v>
      </c>
      <c r="B1961" t="s">
        <v>50</v>
      </c>
      <c r="C1961">
        <v>166</v>
      </c>
      <c r="D1961">
        <f>YEAR(cukier8[[#This Row],[data]])</f>
        <v>2014</v>
      </c>
      <c r="E1961">
        <f>VLOOKUP(cukier8[[#This Row],[rok]],$L$2:$M$11,2,FALSE)*cukier8[[#This Row],[sprzedany_cukier]]</f>
        <v>370.18</v>
      </c>
    </row>
    <row r="1962" spans="1:5" x14ac:dyDescent="0.25">
      <c r="A1962" s="1">
        <v>41682</v>
      </c>
      <c r="B1962" t="s">
        <v>23</v>
      </c>
      <c r="C1962">
        <v>58</v>
      </c>
      <c r="D1962">
        <f>YEAR(cukier8[[#This Row],[data]])</f>
        <v>2014</v>
      </c>
      <c r="E1962">
        <f>VLOOKUP(cukier8[[#This Row],[rok]],$L$2:$M$11,2,FALSE)*cukier8[[#This Row],[sprzedany_cukier]]</f>
        <v>129.34</v>
      </c>
    </row>
    <row r="1963" spans="1:5" x14ac:dyDescent="0.25">
      <c r="A1963" s="1">
        <v>41686</v>
      </c>
      <c r="B1963" t="s">
        <v>25</v>
      </c>
      <c r="C1963">
        <v>187</v>
      </c>
      <c r="D1963">
        <f>YEAR(cukier8[[#This Row],[data]])</f>
        <v>2014</v>
      </c>
      <c r="E1963">
        <f>VLOOKUP(cukier8[[#This Row],[rok]],$L$2:$M$11,2,FALSE)*cukier8[[#This Row],[sprzedany_cukier]]</f>
        <v>417.01</v>
      </c>
    </row>
    <row r="1964" spans="1:5" x14ac:dyDescent="0.25">
      <c r="A1964" s="1">
        <v>41687</v>
      </c>
      <c r="B1964" t="s">
        <v>23</v>
      </c>
      <c r="C1964">
        <v>58</v>
      </c>
      <c r="D1964">
        <f>YEAR(cukier8[[#This Row],[data]])</f>
        <v>2014</v>
      </c>
      <c r="E1964">
        <f>VLOOKUP(cukier8[[#This Row],[rok]],$L$2:$M$11,2,FALSE)*cukier8[[#This Row],[sprzedany_cukier]]</f>
        <v>129.34</v>
      </c>
    </row>
    <row r="1965" spans="1:5" x14ac:dyDescent="0.25">
      <c r="A1965" s="1">
        <v>41689</v>
      </c>
      <c r="B1965" t="s">
        <v>60</v>
      </c>
      <c r="C1965">
        <v>19</v>
      </c>
      <c r="D1965">
        <f>YEAR(cukier8[[#This Row],[data]])</f>
        <v>2014</v>
      </c>
      <c r="E1965">
        <f>VLOOKUP(cukier8[[#This Row],[rok]],$L$2:$M$11,2,FALSE)*cukier8[[#This Row],[sprzedany_cukier]]</f>
        <v>42.37</v>
      </c>
    </row>
    <row r="1966" spans="1:5" x14ac:dyDescent="0.25">
      <c r="A1966" s="1">
        <v>41689</v>
      </c>
      <c r="B1966" t="s">
        <v>9</v>
      </c>
      <c r="C1966">
        <v>388</v>
      </c>
      <c r="D1966">
        <f>YEAR(cukier8[[#This Row],[data]])</f>
        <v>2014</v>
      </c>
      <c r="E1966">
        <f>VLOOKUP(cukier8[[#This Row],[rok]],$L$2:$M$11,2,FALSE)*cukier8[[#This Row],[sprzedany_cukier]]</f>
        <v>865.24</v>
      </c>
    </row>
    <row r="1967" spans="1:5" x14ac:dyDescent="0.25">
      <c r="A1967" s="1">
        <v>41690</v>
      </c>
      <c r="B1967" t="s">
        <v>105</v>
      </c>
      <c r="C1967">
        <v>20</v>
      </c>
      <c r="D1967">
        <f>YEAR(cukier8[[#This Row],[data]])</f>
        <v>2014</v>
      </c>
      <c r="E1967">
        <f>VLOOKUP(cukier8[[#This Row],[rok]],$L$2:$M$11,2,FALSE)*cukier8[[#This Row],[sprzedany_cukier]]</f>
        <v>44.6</v>
      </c>
    </row>
    <row r="1968" spans="1:5" x14ac:dyDescent="0.25">
      <c r="A1968" s="1">
        <v>41690</v>
      </c>
      <c r="B1968" t="s">
        <v>6</v>
      </c>
      <c r="C1968">
        <v>185</v>
      </c>
      <c r="D1968">
        <f>YEAR(cukier8[[#This Row],[data]])</f>
        <v>2014</v>
      </c>
      <c r="E1968">
        <f>VLOOKUP(cukier8[[#This Row],[rok]],$L$2:$M$11,2,FALSE)*cukier8[[#This Row],[sprzedany_cukier]]</f>
        <v>412.55</v>
      </c>
    </row>
    <row r="1969" spans="1:5" x14ac:dyDescent="0.25">
      <c r="A1969" s="1">
        <v>41690</v>
      </c>
      <c r="B1969" t="s">
        <v>66</v>
      </c>
      <c r="C1969">
        <v>191</v>
      </c>
      <c r="D1969">
        <f>YEAR(cukier8[[#This Row],[data]])</f>
        <v>2014</v>
      </c>
      <c r="E1969">
        <f>VLOOKUP(cukier8[[#This Row],[rok]],$L$2:$M$11,2,FALSE)*cukier8[[#This Row],[sprzedany_cukier]]</f>
        <v>425.93</v>
      </c>
    </row>
    <row r="1970" spans="1:5" x14ac:dyDescent="0.25">
      <c r="A1970" s="1">
        <v>41691</v>
      </c>
      <c r="B1970" t="s">
        <v>87</v>
      </c>
      <c r="C1970">
        <v>1</v>
      </c>
      <c r="D1970">
        <f>YEAR(cukier8[[#This Row],[data]])</f>
        <v>2014</v>
      </c>
      <c r="E1970">
        <f>VLOOKUP(cukier8[[#This Row],[rok]],$L$2:$M$11,2,FALSE)*cukier8[[#This Row],[sprzedany_cukier]]</f>
        <v>2.23</v>
      </c>
    </row>
    <row r="1971" spans="1:5" x14ac:dyDescent="0.25">
      <c r="A1971" s="1">
        <v>41692</v>
      </c>
      <c r="B1971" t="s">
        <v>71</v>
      </c>
      <c r="C1971">
        <v>90</v>
      </c>
      <c r="D1971">
        <f>YEAR(cukier8[[#This Row],[data]])</f>
        <v>2014</v>
      </c>
      <c r="E1971">
        <f>VLOOKUP(cukier8[[#This Row],[rok]],$L$2:$M$11,2,FALSE)*cukier8[[#This Row],[sprzedany_cukier]]</f>
        <v>200.7</v>
      </c>
    </row>
    <row r="1972" spans="1:5" x14ac:dyDescent="0.25">
      <c r="A1972" s="1">
        <v>41696</v>
      </c>
      <c r="B1972" t="s">
        <v>9</v>
      </c>
      <c r="C1972">
        <v>234</v>
      </c>
      <c r="D1972">
        <f>YEAR(cukier8[[#This Row],[data]])</f>
        <v>2014</v>
      </c>
      <c r="E1972">
        <f>VLOOKUP(cukier8[[#This Row],[rok]],$L$2:$M$11,2,FALSE)*cukier8[[#This Row],[sprzedany_cukier]]</f>
        <v>521.82000000000005</v>
      </c>
    </row>
    <row r="1973" spans="1:5" x14ac:dyDescent="0.25">
      <c r="A1973" s="1">
        <v>41699</v>
      </c>
      <c r="B1973" t="s">
        <v>45</v>
      </c>
      <c r="C1973">
        <v>212</v>
      </c>
      <c r="D1973">
        <f>YEAR(cukier8[[#This Row],[data]])</f>
        <v>2014</v>
      </c>
      <c r="E1973">
        <f>VLOOKUP(cukier8[[#This Row],[rok]],$L$2:$M$11,2,FALSE)*cukier8[[#This Row],[sprzedany_cukier]]</f>
        <v>472.76</v>
      </c>
    </row>
    <row r="1974" spans="1:5" x14ac:dyDescent="0.25">
      <c r="A1974" s="1">
        <v>41701</v>
      </c>
      <c r="B1974" t="s">
        <v>45</v>
      </c>
      <c r="C1974">
        <v>372</v>
      </c>
      <c r="D1974">
        <f>YEAR(cukier8[[#This Row],[data]])</f>
        <v>2014</v>
      </c>
      <c r="E1974">
        <f>VLOOKUP(cukier8[[#This Row],[rok]],$L$2:$M$11,2,FALSE)*cukier8[[#This Row],[sprzedany_cukier]]</f>
        <v>829.56</v>
      </c>
    </row>
    <row r="1975" spans="1:5" x14ac:dyDescent="0.25">
      <c r="A1975" s="1">
        <v>41701</v>
      </c>
      <c r="B1975" t="s">
        <v>35</v>
      </c>
      <c r="C1975">
        <v>102</v>
      </c>
      <c r="D1975">
        <f>YEAR(cukier8[[#This Row],[data]])</f>
        <v>2014</v>
      </c>
      <c r="E1975">
        <f>VLOOKUP(cukier8[[#This Row],[rok]],$L$2:$M$11,2,FALSE)*cukier8[[#This Row],[sprzedany_cukier]]</f>
        <v>227.46</v>
      </c>
    </row>
    <row r="1976" spans="1:5" x14ac:dyDescent="0.25">
      <c r="A1976" s="1">
        <v>41701</v>
      </c>
      <c r="B1976" t="s">
        <v>10</v>
      </c>
      <c r="C1976">
        <v>69</v>
      </c>
      <c r="D1976">
        <f>YEAR(cukier8[[#This Row],[data]])</f>
        <v>2014</v>
      </c>
      <c r="E1976">
        <f>VLOOKUP(cukier8[[#This Row],[rok]],$L$2:$M$11,2,FALSE)*cukier8[[#This Row],[sprzedany_cukier]]</f>
        <v>153.87</v>
      </c>
    </row>
    <row r="1977" spans="1:5" x14ac:dyDescent="0.25">
      <c r="A1977" s="1">
        <v>41708</v>
      </c>
      <c r="B1977" t="s">
        <v>175</v>
      </c>
      <c r="C1977">
        <v>5</v>
      </c>
      <c r="D1977">
        <f>YEAR(cukier8[[#This Row],[data]])</f>
        <v>2014</v>
      </c>
      <c r="E1977">
        <f>VLOOKUP(cukier8[[#This Row],[rok]],$L$2:$M$11,2,FALSE)*cukier8[[#This Row],[sprzedany_cukier]]</f>
        <v>11.15</v>
      </c>
    </row>
    <row r="1978" spans="1:5" x14ac:dyDescent="0.25">
      <c r="A1978" s="1">
        <v>41713</v>
      </c>
      <c r="B1978" t="s">
        <v>69</v>
      </c>
      <c r="C1978">
        <v>146</v>
      </c>
      <c r="D1978">
        <f>YEAR(cukier8[[#This Row],[data]])</f>
        <v>2014</v>
      </c>
      <c r="E1978">
        <f>VLOOKUP(cukier8[[#This Row],[rok]],$L$2:$M$11,2,FALSE)*cukier8[[#This Row],[sprzedany_cukier]]</f>
        <v>325.58</v>
      </c>
    </row>
    <row r="1979" spans="1:5" x14ac:dyDescent="0.25">
      <c r="A1979" s="1">
        <v>41714</v>
      </c>
      <c r="B1979" t="s">
        <v>20</v>
      </c>
      <c r="C1979">
        <v>114</v>
      </c>
      <c r="D1979">
        <f>YEAR(cukier8[[#This Row],[data]])</f>
        <v>2014</v>
      </c>
      <c r="E1979">
        <f>VLOOKUP(cukier8[[#This Row],[rok]],$L$2:$M$11,2,FALSE)*cukier8[[#This Row],[sprzedany_cukier]]</f>
        <v>254.22</v>
      </c>
    </row>
    <row r="1980" spans="1:5" x14ac:dyDescent="0.25">
      <c r="A1980" s="1">
        <v>41716</v>
      </c>
      <c r="B1980" t="s">
        <v>14</v>
      </c>
      <c r="C1980">
        <v>265</v>
      </c>
      <c r="D1980">
        <f>YEAR(cukier8[[#This Row],[data]])</f>
        <v>2014</v>
      </c>
      <c r="E1980">
        <f>VLOOKUP(cukier8[[#This Row],[rok]],$L$2:$M$11,2,FALSE)*cukier8[[#This Row],[sprzedany_cukier]]</f>
        <v>590.95000000000005</v>
      </c>
    </row>
    <row r="1981" spans="1:5" x14ac:dyDescent="0.25">
      <c r="A1981" s="1">
        <v>41716</v>
      </c>
      <c r="B1981" t="s">
        <v>128</v>
      </c>
      <c r="C1981">
        <v>1</v>
      </c>
      <c r="D1981">
        <f>YEAR(cukier8[[#This Row],[data]])</f>
        <v>2014</v>
      </c>
      <c r="E1981">
        <f>VLOOKUP(cukier8[[#This Row],[rok]],$L$2:$M$11,2,FALSE)*cukier8[[#This Row],[sprzedany_cukier]]</f>
        <v>2.23</v>
      </c>
    </row>
    <row r="1982" spans="1:5" x14ac:dyDescent="0.25">
      <c r="A1982" s="1">
        <v>41719</v>
      </c>
      <c r="B1982" t="s">
        <v>156</v>
      </c>
      <c r="C1982">
        <v>16</v>
      </c>
      <c r="D1982">
        <f>YEAR(cukier8[[#This Row],[data]])</f>
        <v>2014</v>
      </c>
      <c r="E1982">
        <f>VLOOKUP(cukier8[[#This Row],[rok]],$L$2:$M$11,2,FALSE)*cukier8[[#This Row],[sprzedany_cukier]]</f>
        <v>35.68</v>
      </c>
    </row>
    <row r="1983" spans="1:5" x14ac:dyDescent="0.25">
      <c r="A1983" s="1">
        <v>41721</v>
      </c>
      <c r="B1983" t="s">
        <v>191</v>
      </c>
      <c r="C1983">
        <v>11</v>
      </c>
      <c r="D1983">
        <f>YEAR(cukier8[[#This Row],[data]])</f>
        <v>2014</v>
      </c>
      <c r="E1983">
        <f>VLOOKUP(cukier8[[#This Row],[rok]],$L$2:$M$11,2,FALSE)*cukier8[[#This Row],[sprzedany_cukier]]</f>
        <v>24.53</v>
      </c>
    </row>
    <row r="1984" spans="1:5" x14ac:dyDescent="0.25">
      <c r="A1984" s="1">
        <v>41721</v>
      </c>
      <c r="B1984" t="s">
        <v>22</v>
      </c>
      <c r="C1984">
        <v>118</v>
      </c>
      <c r="D1984">
        <f>YEAR(cukier8[[#This Row],[data]])</f>
        <v>2014</v>
      </c>
      <c r="E1984">
        <f>VLOOKUP(cukier8[[#This Row],[rok]],$L$2:$M$11,2,FALSE)*cukier8[[#This Row],[sprzedany_cukier]]</f>
        <v>263.14</v>
      </c>
    </row>
    <row r="1985" spans="1:5" x14ac:dyDescent="0.25">
      <c r="A1985" s="1">
        <v>41728</v>
      </c>
      <c r="B1985" t="s">
        <v>45</v>
      </c>
      <c r="C1985">
        <v>213</v>
      </c>
      <c r="D1985">
        <f>YEAR(cukier8[[#This Row],[data]])</f>
        <v>2014</v>
      </c>
      <c r="E1985">
        <f>VLOOKUP(cukier8[[#This Row],[rok]],$L$2:$M$11,2,FALSE)*cukier8[[#This Row],[sprzedany_cukier]]</f>
        <v>474.99</v>
      </c>
    </row>
    <row r="1986" spans="1:5" x14ac:dyDescent="0.25">
      <c r="A1986" s="1">
        <v>41732</v>
      </c>
      <c r="B1986" t="s">
        <v>9</v>
      </c>
      <c r="C1986">
        <v>146</v>
      </c>
      <c r="D1986">
        <f>YEAR(cukier8[[#This Row],[data]])</f>
        <v>2014</v>
      </c>
      <c r="E1986">
        <f>VLOOKUP(cukier8[[#This Row],[rok]],$L$2:$M$11,2,FALSE)*cukier8[[#This Row],[sprzedany_cukier]]</f>
        <v>325.58</v>
      </c>
    </row>
    <row r="1987" spans="1:5" x14ac:dyDescent="0.25">
      <c r="A1987" s="1">
        <v>41734</v>
      </c>
      <c r="B1987" t="s">
        <v>124</v>
      </c>
      <c r="C1987">
        <v>6</v>
      </c>
      <c r="D1987">
        <f>YEAR(cukier8[[#This Row],[data]])</f>
        <v>2014</v>
      </c>
      <c r="E1987">
        <f>VLOOKUP(cukier8[[#This Row],[rok]],$L$2:$M$11,2,FALSE)*cukier8[[#This Row],[sprzedany_cukier]]</f>
        <v>13.379999999999999</v>
      </c>
    </row>
    <row r="1988" spans="1:5" x14ac:dyDescent="0.25">
      <c r="A1988" s="1">
        <v>41736</v>
      </c>
      <c r="B1988" t="s">
        <v>45</v>
      </c>
      <c r="C1988">
        <v>392</v>
      </c>
      <c r="D1988">
        <f>YEAR(cukier8[[#This Row],[data]])</f>
        <v>2014</v>
      </c>
      <c r="E1988">
        <f>VLOOKUP(cukier8[[#This Row],[rok]],$L$2:$M$11,2,FALSE)*cukier8[[#This Row],[sprzedany_cukier]]</f>
        <v>874.16</v>
      </c>
    </row>
    <row r="1989" spans="1:5" x14ac:dyDescent="0.25">
      <c r="A1989" s="1">
        <v>41736</v>
      </c>
      <c r="B1989" t="s">
        <v>102</v>
      </c>
      <c r="C1989">
        <v>422</v>
      </c>
      <c r="D1989">
        <f>YEAR(cukier8[[#This Row],[data]])</f>
        <v>2014</v>
      </c>
      <c r="E1989">
        <f>VLOOKUP(cukier8[[#This Row],[rok]],$L$2:$M$11,2,FALSE)*cukier8[[#This Row],[sprzedany_cukier]]</f>
        <v>941.06</v>
      </c>
    </row>
    <row r="1990" spans="1:5" x14ac:dyDescent="0.25">
      <c r="A1990" s="1">
        <v>41740</v>
      </c>
      <c r="B1990" t="s">
        <v>22</v>
      </c>
      <c r="C1990">
        <v>474</v>
      </c>
      <c r="D1990">
        <f>YEAR(cukier8[[#This Row],[data]])</f>
        <v>2014</v>
      </c>
      <c r="E1990">
        <f>VLOOKUP(cukier8[[#This Row],[rok]],$L$2:$M$11,2,FALSE)*cukier8[[#This Row],[sprzedany_cukier]]</f>
        <v>1057.02</v>
      </c>
    </row>
    <row r="1991" spans="1:5" x14ac:dyDescent="0.25">
      <c r="A1991" s="1">
        <v>41741</v>
      </c>
      <c r="B1991" t="s">
        <v>55</v>
      </c>
      <c r="C1991">
        <v>166</v>
      </c>
      <c r="D1991">
        <f>YEAR(cukier8[[#This Row],[data]])</f>
        <v>2014</v>
      </c>
      <c r="E1991">
        <f>VLOOKUP(cukier8[[#This Row],[rok]],$L$2:$M$11,2,FALSE)*cukier8[[#This Row],[sprzedany_cukier]]</f>
        <v>370.18</v>
      </c>
    </row>
    <row r="1992" spans="1:5" x14ac:dyDescent="0.25">
      <c r="A1992" s="1">
        <v>41743</v>
      </c>
      <c r="B1992" t="s">
        <v>55</v>
      </c>
      <c r="C1992">
        <v>121</v>
      </c>
      <c r="D1992">
        <f>YEAR(cukier8[[#This Row],[data]])</f>
        <v>2014</v>
      </c>
      <c r="E1992">
        <f>VLOOKUP(cukier8[[#This Row],[rok]],$L$2:$M$11,2,FALSE)*cukier8[[#This Row],[sprzedany_cukier]]</f>
        <v>269.83</v>
      </c>
    </row>
    <row r="1993" spans="1:5" x14ac:dyDescent="0.25">
      <c r="A1993" s="1">
        <v>41744</v>
      </c>
      <c r="B1993" t="s">
        <v>17</v>
      </c>
      <c r="C1993">
        <v>406</v>
      </c>
      <c r="D1993">
        <f>YEAR(cukier8[[#This Row],[data]])</f>
        <v>2014</v>
      </c>
      <c r="E1993">
        <f>VLOOKUP(cukier8[[#This Row],[rok]],$L$2:$M$11,2,FALSE)*cukier8[[#This Row],[sprzedany_cukier]]</f>
        <v>905.38</v>
      </c>
    </row>
    <row r="1994" spans="1:5" x14ac:dyDescent="0.25">
      <c r="A1994" s="1">
        <v>41746</v>
      </c>
      <c r="B1994" t="s">
        <v>26</v>
      </c>
      <c r="C1994">
        <v>41</v>
      </c>
      <c r="D1994">
        <f>YEAR(cukier8[[#This Row],[data]])</f>
        <v>2014</v>
      </c>
      <c r="E1994">
        <f>VLOOKUP(cukier8[[#This Row],[rok]],$L$2:$M$11,2,FALSE)*cukier8[[#This Row],[sprzedany_cukier]]</f>
        <v>91.429999999999993</v>
      </c>
    </row>
    <row r="1995" spans="1:5" x14ac:dyDescent="0.25">
      <c r="A1995" s="1">
        <v>41750</v>
      </c>
      <c r="B1995" t="s">
        <v>50</v>
      </c>
      <c r="C1995">
        <v>254</v>
      </c>
      <c r="D1995">
        <f>YEAR(cukier8[[#This Row],[data]])</f>
        <v>2014</v>
      </c>
      <c r="E1995">
        <f>VLOOKUP(cukier8[[#This Row],[rok]],$L$2:$M$11,2,FALSE)*cukier8[[#This Row],[sprzedany_cukier]]</f>
        <v>566.41999999999996</v>
      </c>
    </row>
    <row r="1996" spans="1:5" x14ac:dyDescent="0.25">
      <c r="A1996" s="1">
        <v>41750</v>
      </c>
      <c r="B1996" t="s">
        <v>9</v>
      </c>
      <c r="C1996">
        <v>246</v>
      </c>
      <c r="D1996">
        <f>YEAR(cukier8[[#This Row],[data]])</f>
        <v>2014</v>
      </c>
      <c r="E1996">
        <f>VLOOKUP(cukier8[[#This Row],[rok]],$L$2:$M$11,2,FALSE)*cukier8[[#This Row],[sprzedany_cukier]]</f>
        <v>548.58000000000004</v>
      </c>
    </row>
    <row r="1997" spans="1:5" x14ac:dyDescent="0.25">
      <c r="A1997" s="1">
        <v>41755</v>
      </c>
      <c r="B1997" t="s">
        <v>19</v>
      </c>
      <c r="C1997">
        <v>148</v>
      </c>
      <c r="D1997">
        <f>YEAR(cukier8[[#This Row],[data]])</f>
        <v>2014</v>
      </c>
      <c r="E1997">
        <f>VLOOKUP(cukier8[[#This Row],[rok]],$L$2:$M$11,2,FALSE)*cukier8[[#This Row],[sprzedany_cukier]]</f>
        <v>330.04</v>
      </c>
    </row>
    <row r="1998" spans="1:5" x14ac:dyDescent="0.25">
      <c r="A1998" s="1">
        <v>41755</v>
      </c>
      <c r="B1998" t="s">
        <v>5</v>
      </c>
      <c r="C1998">
        <v>365</v>
      </c>
      <c r="D1998">
        <f>YEAR(cukier8[[#This Row],[data]])</f>
        <v>2014</v>
      </c>
      <c r="E1998">
        <f>VLOOKUP(cukier8[[#This Row],[rok]],$L$2:$M$11,2,FALSE)*cukier8[[#This Row],[sprzedany_cukier]]</f>
        <v>813.95</v>
      </c>
    </row>
    <row r="1999" spans="1:5" x14ac:dyDescent="0.25">
      <c r="A1999" s="1">
        <v>41756</v>
      </c>
      <c r="B1999" t="s">
        <v>20</v>
      </c>
      <c r="C1999">
        <v>20</v>
      </c>
      <c r="D1999">
        <f>YEAR(cukier8[[#This Row],[data]])</f>
        <v>2014</v>
      </c>
      <c r="E1999">
        <f>VLOOKUP(cukier8[[#This Row],[rok]],$L$2:$M$11,2,FALSE)*cukier8[[#This Row],[sprzedany_cukier]]</f>
        <v>44.6</v>
      </c>
    </row>
    <row r="2000" spans="1:5" x14ac:dyDescent="0.25">
      <c r="A2000" s="1">
        <v>41761</v>
      </c>
      <c r="B2000" t="s">
        <v>137</v>
      </c>
      <c r="C2000">
        <v>4</v>
      </c>
      <c r="D2000">
        <f>YEAR(cukier8[[#This Row],[data]])</f>
        <v>2014</v>
      </c>
      <c r="E2000">
        <f>VLOOKUP(cukier8[[#This Row],[rok]],$L$2:$M$11,2,FALSE)*cukier8[[#This Row],[sprzedany_cukier]]</f>
        <v>8.92</v>
      </c>
    </row>
    <row r="2001" spans="1:5" x14ac:dyDescent="0.25">
      <c r="A2001" s="1">
        <v>41764</v>
      </c>
      <c r="B2001" t="s">
        <v>45</v>
      </c>
      <c r="C2001">
        <v>215</v>
      </c>
      <c r="D2001">
        <f>YEAR(cukier8[[#This Row],[data]])</f>
        <v>2014</v>
      </c>
      <c r="E2001">
        <f>VLOOKUP(cukier8[[#This Row],[rok]],$L$2:$M$11,2,FALSE)*cukier8[[#This Row],[sprzedany_cukier]]</f>
        <v>479.45</v>
      </c>
    </row>
    <row r="2002" spans="1:5" x14ac:dyDescent="0.25">
      <c r="A2002" s="1">
        <v>41766</v>
      </c>
      <c r="B2002" t="s">
        <v>12</v>
      </c>
      <c r="C2002">
        <v>138</v>
      </c>
      <c r="D2002">
        <f>YEAR(cukier8[[#This Row],[data]])</f>
        <v>2014</v>
      </c>
      <c r="E2002">
        <f>VLOOKUP(cukier8[[#This Row],[rok]],$L$2:$M$11,2,FALSE)*cukier8[[#This Row],[sprzedany_cukier]]</f>
        <v>307.74</v>
      </c>
    </row>
    <row r="2003" spans="1:5" x14ac:dyDescent="0.25">
      <c r="A2003" s="1">
        <v>41766</v>
      </c>
      <c r="B2003" t="s">
        <v>7</v>
      </c>
      <c r="C2003">
        <v>496</v>
      </c>
      <c r="D2003">
        <f>YEAR(cukier8[[#This Row],[data]])</f>
        <v>2014</v>
      </c>
      <c r="E2003">
        <f>VLOOKUP(cukier8[[#This Row],[rok]],$L$2:$M$11,2,FALSE)*cukier8[[#This Row],[sprzedany_cukier]]</f>
        <v>1106.08</v>
      </c>
    </row>
    <row r="2004" spans="1:5" x14ac:dyDescent="0.25">
      <c r="A2004" s="1">
        <v>41767</v>
      </c>
      <c r="B2004" t="s">
        <v>37</v>
      </c>
      <c r="C2004">
        <v>155</v>
      </c>
      <c r="D2004">
        <f>YEAR(cukier8[[#This Row],[data]])</f>
        <v>2014</v>
      </c>
      <c r="E2004">
        <f>VLOOKUP(cukier8[[#This Row],[rok]],$L$2:$M$11,2,FALSE)*cukier8[[#This Row],[sprzedany_cukier]]</f>
        <v>345.65</v>
      </c>
    </row>
    <row r="2005" spans="1:5" x14ac:dyDescent="0.25">
      <c r="A2005" s="1">
        <v>41770</v>
      </c>
      <c r="B2005" t="s">
        <v>24</v>
      </c>
      <c r="C2005">
        <v>386</v>
      </c>
      <c r="D2005">
        <f>YEAR(cukier8[[#This Row],[data]])</f>
        <v>2014</v>
      </c>
      <c r="E2005">
        <f>VLOOKUP(cukier8[[#This Row],[rok]],$L$2:$M$11,2,FALSE)*cukier8[[#This Row],[sprzedany_cukier]]</f>
        <v>860.78</v>
      </c>
    </row>
    <row r="2006" spans="1:5" x14ac:dyDescent="0.25">
      <c r="A2006" s="1">
        <v>41773</v>
      </c>
      <c r="B2006" t="s">
        <v>71</v>
      </c>
      <c r="C2006">
        <v>124</v>
      </c>
      <c r="D2006">
        <f>YEAR(cukier8[[#This Row],[data]])</f>
        <v>2014</v>
      </c>
      <c r="E2006">
        <f>VLOOKUP(cukier8[[#This Row],[rok]],$L$2:$M$11,2,FALSE)*cukier8[[#This Row],[sprzedany_cukier]]</f>
        <v>276.52</v>
      </c>
    </row>
    <row r="2007" spans="1:5" x14ac:dyDescent="0.25">
      <c r="A2007" s="1">
        <v>41774</v>
      </c>
      <c r="B2007" t="s">
        <v>14</v>
      </c>
      <c r="C2007">
        <v>173</v>
      </c>
      <c r="D2007">
        <f>YEAR(cukier8[[#This Row],[data]])</f>
        <v>2014</v>
      </c>
      <c r="E2007">
        <f>VLOOKUP(cukier8[[#This Row],[rok]],$L$2:$M$11,2,FALSE)*cukier8[[#This Row],[sprzedany_cukier]]</f>
        <v>385.79</v>
      </c>
    </row>
    <row r="2008" spans="1:5" x14ac:dyDescent="0.25">
      <c r="A2008" s="1">
        <v>41776</v>
      </c>
      <c r="B2008" t="s">
        <v>35</v>
      </c>
      <c r="C2008">
        <v>161</v>
      </c>
      <c r="D2008">
        <f>YEAR(cukier8[[#This Row],[data]])</f>
        <v>2014</v>
      </c>
      <c r="E2008">
        <f>VLOOKUP(cukier8[[#This Row],[rok]],$L$2:$M$11,2,FALSE)*cukier8[[#This Row],[sprzedany_cukier]]</f>
        <v>359.03</v>
      </c>
    </row>
    <row r="2009" spans="1:5" x14ac:dyDescent="0.25">
      <c r="A2009" s="1">
        <v>41778</v>
      </c>
      <c r="B2009" t="s">
        <v>69</v>
      </c>
      <c r="C2009">
        <v>147</v>
      </c>
      <c r="D2009">
        <f>YEAR(cukier8[[#This Row],[data]])</f>
        <v>2014</v>
      </c>
      <c r="E2009">
        <f>VLOOKUP(cukier8[[#This Row],[rok]],$L$2:$M$11,2,FALSE)*cukier8[[#This Row],[sprzedany_cukier]]</f>
        <v>327.81</v>
      </c>
    </row>
    <row r="2010" spans="1:5" x14ac:dyDescent="0.25">
      <c r="A2010" s="1">
        <v>41784</v>
      </c>
      <c r="B2010" t="s">
        <v>22</v>
      </c>
      <c r="C2010">
        <v>401</v>
      </c>
      <c r="D2010">
        <f>YEAR(cukier8[[#This Row],[data]])</f>
        <v>2014</v>
      </c>
      <c r="E2010">
        <f>VLOOKUP(cukier8[[#This Row],[rok]],$L$2:$M$11,2,FALSE)*cukier8[[#This Row],[sprzedany_cukier]]</f>
        <v>894.23</v>
      </c>
    </row>
    <row r="2011" spans="1:5" x14ac:dyDescent="0.25">
      <c r="A2011" s="1">
        <v>41784</v>
      </c>
      <c r="B2011" t="s">
        <v>50</v>
      </c>
      <c r="C2011">
        <v>101</v>
      </c>
      <c r="D2011">
        <f>YEAR(cukier8[[#This Row],[data]])</f>
        <v>2014</v>
      </c>
      <c r="E2011">
        <f>VLOOKUP(cukier8[[#This Row],[rok]],$L$2:$M$11,2,FALSE)*cukier8[[#This Row],[sprzedany_cukier]]</f>
        <v>225.23</v>
      </c>
    </row>
    <row r="2012" spans="1:5" x14ac:dyDescent="0.25">
      <c r="A2012" s="1">
        <v>41785</v>
      </c>
      <c r="B2012" t="s">
        <v>22</v>
      </c>
      <c r="C2012">
        <v>169</v>
      </c>
      <c r="D2012">
        <f>YEAR(cukier8[[#This Row],[data]])</f>
        <v>2014</v>
      </c>
      <c r="E2012">
        <f>VLOOKUP(cukier8[[#This Row],[rok]],$L$2:$M$11,2,FALSE)*cukier8[[#This Row],[sprzedany_cukier]]</f>
        <v>376.87</v>
      </c>
    </row>
    <row r="2013" spans="1:5" x14ac:dyDescent="0.25">
      <c r="A2013" s="1">
        <v>41786</v>
      </c>
      <c r="B2013" t="s">
        <v>14</v>
      </c>
      <c r="C2013">
        <v>324</v>
      </c>
      <c r="D2013">
        <f>YEAR(cukier8[[#This Row],[data]])</f>
        <v>2014</v>
      </c>
      <c r="E2013">
        <f>VLOOKUP(cukier8[[#This Row],[rok]],$L$2:$M$11,2,FALSE)*cukier8[[#This Row],[sprzedany_cukier]]</f>
        <v>722.52</v>
      </c>
    </row>
    <row r="2014" spans="1:5" x14ac:dyDescent="0.25">
      <c r="A2014" s="1">
        <v>41787</v>
      </c>
      <c r="B2014" t="s">
        <v>219</v>
      </c>
      <c r="C2014">
        <v>16</v>
      </c>
      <c r="D2014">
        <f>YEAR(cukier8[[#This Row],[data]])</f>
        <v>2014</v>
      </c>
      <c r="E2014">
        <f>VLOOKUP(cukier8[[#This Row],[rok]],$L$2:$M$11,2,FALSE)*cukier8[[#This Row],[sprzedany_cukier]]</f>
        <v>35.68</v>
      </c>
    </row>
    <row r="2015" spans="1:5" x14ac:dyDescent="0.25">
      <c r="A2015" s="1">
        <v>41788</v>
      </c>
      <c r="B2015" t="s">
        <v>71</v>
      </c>
      <c r="C2015">
        <v>194</v>
      </c>
      <c r="D2015">
        <f>YEAR(cukier8[[#This Row],[data]])</f>
        <v>2014</v>
      </c>
      <c r="E2015">
        <f>VLOOKUP(cukier8[[#This Row],[rok]],$L$2:$M$11,2,FALSE)*cukier8[[#This Row],[sprzedany_cukier]]</f>
        <v>432.62</v>
      </c>
    </row>
    <row r="2016" spans="1:5" x14ac:dyDescent="0.25">
      <c r="A2016" s="1">
        <v>41789</v>
      </c>
      <c r="B2016" t="s">
        <v>102</v>
      </c>
      <c r="C2016">
        <v>197</v>
      </c>
      <c r="D2016">
        <f>YEAR(cukier8[[#This Row],[data]])</f>
        <v>2014</v>
      </c>
      <c r="E2016">
        <f>VLOOKUP(cukier8[[#This Row],[rok]],$L$2:$M$11,2,FALSE)*cukier8[[#This Row],[sprzedany_cukier]]</f>
        <v>439.31</v>
      </c>
    </row>
    <row r="2017" spans="1:5" x14ac:dyDescent="0.25">
      <c r="A2017" s="1">
        <v>41789</v>
      </c>
      <c r="B2017" t="s">
        <v>23</v>
      </c>
      <c r="C2017">
        <v>23</v>
      </c>
      <c r="D2017">
        <f>YEAR(cukier8[[#This Row],[data]])</f>
        <v>2014</v>
      </c>
      <c r="E2017">
        <f>VLOOKUP(cukier8[[#This Row],[rok]],$L$2:$M$11,2,FALSE)*cukier8[[#This Row],[sprzedany_cukier]]</f>
        <v>51.29</v>
      </c>
    </row>
    <row r="2018" spans="1:5" x14ac:dyDescent="0.25">
      <c r="A2018" s="1">
        <v>41790</v>
      </c>
      <c r="B2018" t="s">
        <v>12</v>
      </c>
      <c r="C2018">
        <v>138</v>
      </c>
      <c r="D2018">
        <f>YEAR(cukier8[[#This Row],[data]])</f>
        <v>2014</v>
      </c>
      <c r="E2018">
        <f>VLOOKUP(cukier8[[#This Row],[rok]],$L$2:$M$11,2,FALSE)*cukier8[[#This Row],[sprzedany_cukier]]</f>
        <v>307.74</v>
      </c>
    </row>
    <row r="2019" spans="1:5" x14ac:dyDescent="0.25">
      <c r="A2019" s="1">
        <v>41791</v>
      </c>
      <c r="B2019" t="s">
        <v>61</v>
      </c>
      <c r="C2019">
        <v>121</v>
      </c>
      <c r="D2019">
        <f>YEAR(cukier8[[#This Row],[data]])</f>
        <v>2014</v>
      </c>
      <c r="E2019">
        <f>VLOOKUP(cukier8[[#This Row],[rok]],$L$2:$M$11,2,FALSE)*cukier8[[#This Row],[sprzedany_cukier]]</f>
        <v>269.83</v>
      </c>
    </row>
    <row r="2020" spans="1:5" x14ac:dyDescent="0.25">
      <c r="A2020" s="1">
        <v>41793</v>
      </c>
      <c r="B2020" t="s">
        <v>204</v>
      </c>
      <c r="C2020">
        <v>10</v>
      </c>
      <c r="D2020">
        <f>YEAR(cukier8[[#This Row],[data]])</f>
        <v>2014</v>
      </c>
      <c r="E2020">
        <f>VLOOKUP(cukier8[[#This Row],[rok]],$L$2:$M$11,2,FALSE)*cukier8[[#This Row],[sprzedany_cukier]]</f>
        <v>22.3</v>
      </c>
    </row>
    <row r="2021" spans="1:5" x14ac:dyDescent="0.25">
      <c r="A2021" s="1">
        <v>41795</v>
      </c>
      <c r="B2021" t="s">
        <v>130</v>
      </c>
      <c r="C2021">
        <v>9</v>
      </c>
      <c r="D2021">
        <f>YEAR(cukier8[[#This Row],[data]])</f>
        <v>2014</v>
      </c>
      <c r="E2021">
        <f>VLOOKUP(cukier8[[#This Row],[rok]],$L$2:$M$11,2,FALSE)*cukier8[[#This Row],[sprzedany_cukier]]</f>
        <v>20.07</v>
      </c>
    </row>
    <row r="2022" spans="1:5" x14ac:dyDescent="0.25">
      <c r="A2022" s="1">
        <v>41798</v>
      </c>
      <c r="B2022" t="s">
        <v>52</v>
      </c>
      <c r="C2022">
        <v>35</v>
      </c>
      <c r="D2022">
        <f>YEAR(cukier8[[#This Row],[data]])</f>
        <v>2014</v>
      </c>
      <c r="E2022">
        <f>VLOOKUP(cukier8[[#This Row],[rok]],$L$2:$M$11,2,FALSE)*cukier8[[#This Row],[sprzedany_cukier]]</f>
        <v>78.05</v>
      </c>
    </row>
    <row r="2023" spans="1:5" x14ac:dyDescent="0.25">
      <c r="A2023" s="1">
        <v>41802</v>
      </c>
      <c r="B2023" t="s">
        <v>35</v>
      </c>
      <c r="C2023">
        <v>154</v>
      </c>
      <c r="D2023">
        <f>YEAR(cukier8[[#This Row],[data]])</f>
        <v>2014</v>
      </c>
      <c r="E2023">
        <f>VLOOKUP(cukier8[[#This Row],[rok]],$L$2:$M$11,2,FALSE)*cukier8[[#This Row],[sprzedany_cukier]]</f>
        <v>343.42</v>
      </c>
    </row>
    <row r="2024" spans="1:5" x14ac:dyDescent="0.25">
      <c r="A2024" s="1">
        <v>41806</v>
      </c>
      <c r="B2024" t="s">
        <v>113</v>
      </c>
      <c r="C2024">
        <v>1</v>
      </c>
      <c r="D2024">
        <f>YEAR(cukier8[[#This Row],[data]])</f>
        <v>2014</v>
      </c>
      <c r="E2024">
        <f>VLOOKUP(cukier8[[#This Row],[rok]],$L$2:$M$11,2,FALSE)*cukier8[[#This Row],[sprzedany_cukier]]</f>
        <v>2.23</v>
      </c>
    </row>
    <row r="2025" spans="1:5" x14ac:dyDescent="0.25">
      <c r="A2025" s="1">
        <v>41807</v>
      </c>
      <c r="B2025" t="s">
        <v>14</v>
      </c>
      <c r="C2025">
        <v>249</v>
      </c>
      <c r="D2025">
        <f>YEAR(cukier8[[#This Row],[data]])</f>
        <v>2014</v>
      </c>
      <c r="E2025">
        <f>VLOOKUP(cukier8[[#This Row],[rok]],$L$2:$M$11,2,FALSE)*cukier8[[#This Row],[sprzedany_cukier]]</f>
        <v>555.27</v>
      </c>
    </row>
    <row r="2026" spans="1:5" x14ac:dyDescent="0.25">
      <c r="A2026" s="1">
        <v>41807</v>
      </c>
      <c r="B2026" t="s">
        <v>37</v>
      </c>
      <c r="C2026">
        <v>27</v>
      </c>
      <c r="D2026">
        <f>YEAR(cukier8[[#This Row],[data]])</f>
        <v>2014</v>
      </c>
      <c r="E2026">
        <f>VLOOKUP(cukier8[[#This Row],[rok]],$L$2:$M$11,2,FALSE)*cukier8[[#This Row],[sprzedany_cukier]]</f>
        <v>60.21</v>
      </c>
    </row>
    <row r="2027" spans="1:5" x14ac:dyDescent="0.25">
      <c r="A2027" s="1">
        <v>41809</v>
      </c>
      <c r="B2027" t="s">
        <v>12</v>
      </c>
      <c r="C2027">
        <v>167</v>
      </c>
      <c r="D2027">
        <f>YEAR(cukier8[[#This Row],[data]])</f>
        <v>2014</v>
      </c>
      <c r="E2027">
        <f>VLOOKUP(cukier8[[#This Row],[rok]],$L$2:$M$11,2,FALSE)*cukier8[[#This Row],[sprzedany_cukier]]</f>
        <v>372.41</v>
      </c>
    </row>
    <row r="2028" spans="1:5" x14ac:dyDescent="0.25">
      <c r="A2028" s="1">
        <v>41810</v>
      </c>
      <c r="B2028" t="s">
        <v>12</v>
      </c>
      <c r="C2028">
        <v>71</v>
      </c>
      <c r="D2028">
        <f>YEAR(cukier8[[#This Row],[data]])</f>
        <v>2014</v>
      </c>
      <c r="E2028">
        <f>VLOOKUP(cukier8[[#This Row],[rok]],$L$2:$M$11,2,FALSE)*cukier8[[#This Row],[sprzedany_cukier]]</f>
        <v>158.33000000000001</v>
      </c>
    </row>
    <row r="2029" spans="1:5" x14ac:dyDescent="0.25">
      <c r="A2029" s="1">
        <v>41810</v>
      </c>
      <c r="B2029" t="s">
        <v>83</v>
      </c>
      <c r="C2029">
        <v>13</v>
      </c>
      <c r="D2029">
        <f>YEAR(cukier8[[#This Row],[data]])</f>
        <v>2014</v>
      </c>
      <c r="E2029">
        <f>VLOOKUP(cukier8[[#This Row],[rok]],$L$2:$M$11,2,FALSE)*cukier8[[#This Row],[sprzedany_cukier]]</f>
        <v>28.99</v>
      </c>
    </row>
    <row r="2030" spans="1:5" x14ac:dyDescent="0.25">
      <c r="A2030" s="1">
        <v>41811</v>
      </c>
      <c r="B2030" t="s">
        <v>30</v>
      </c>
      <c r="C2030">
        <v>90</v>
      </c>
      <c r="D2030">
        <f>YEAR(cukier8[[#This Row],[data]])</f>
        <v>2014</v>
      </c>
      <c r="E2030">
        <f>VLOOKUP(cukier8[[#This Row],[rok]],$L$2:$M$11,2,FALSE)*cukier8[[#This Row],[sprzedany_cukier]]</f>
        <v>200.7</v>
      </c>
    </row>
    <row r="2031" spans="1:5" x14ac:dyDescent="0.25">
      <c r="A2031" s="1">
        <v>41814</v>
      </c>
      <c r="B2031" t="s">
        <v>9</v>
      </c>
      <c r="C2031">
        <v>106</v>
      </c>
      <c r="D2031">
        <f>YEAR(cukier8[[#This Row],[data]])</f>
        <v>2014</v>
      </c>
      <c r="E2031">
        <f>VLOOKUP(cukier8[[#This Row],[rok]],$L$2:$M$11,2,FALSE)*cukier8[[#This Row],[sprzedany_cukier]]</f>
        <v>236.38</v>
      </c>
    </row>
    <row r="2032" spans="1:5" x14ac:dyDescent="0.25">
      <c r="A2032" s="1">
        <v>41815</v>
      </c>
      <c r="B2032" t="s">
        <v>66</v>
      </c>
      <c r="C2032">
        <v>57</v>
      </c>
      <c r="D2032">
        <f>YEAR(cukier8[[#This Row],[data]])</f>
        <v>2014</v>
      </c>
      <c r="E2032">
        <f>VLOOKUP(cukier8[[#This Row],[rok]],$L$2:$M$11,2,FALSE)*cukier8[[#This Row],[sprzedany_cukier]]</f>
        <v>127.11</v>
      </c>
    </row>
    <row r="2033" spans="1:5" x14ac:dyDescent="0.25">
      <c r="A2033" s="1">
        <v>41815</v>
      </c>
      <c r="B2033" t="s">
        <v>18</v>
      </c>
      <c r="C2033">
        <v>59</v>
      </c>
      <c r="D2033">
        <f>YEAR(cukier8[[#This Row],[data]])</f>
        <v>2014</v>
      </c>
      <c r="E2033">
        <f>VLOOKUP(cukier8[[#This Row],[rok]],$L$2:$M$11,2,FALSE)*cukier8[[#This Row],[sprzedany_cukier]]</f>
        <v>131.57</v>
      </c>
    </row>
    <row r="2034" spans="1:5" x14ac:dyDescent="0.25">
      <c r="A2034" s="1">
        <v>41817</v>
      </c>
      <c r="B2034" t="s">
        <v>79</v>
      </c>
      <c r="C2034">
        <v>11</v>
      </c>
      <c r="D2034">
        <f>YEAR(cukier8[[#This Row],[data]])</f>
        <v>2014</v>
      </c>
      <c r="E2034">
        <f>VLOOKUP(cukier8[[#This Row],[rok]],$L$2:$M$11,2,FALSE)*cukier8[[#This Row],[sprzedany_cukier]]</f>
        <v>24.53</v>
      </c>
    </row>
    <row r="2035" spans="1:5" x14ac:dyDescent="0.25">
      <c r="A2035" s="1">
        <v>41818</v>
      </c>
      <c r="B2035" t="s">
        <v>102</v>
      </c>
      <c r="C2035">
        <v>361</v>
      </c>
      <c r="D2035">
        <f>YEAR(cukier8[[#This Row],[data]])</f>
        <v>2014</v>
      </c>
      <c r="E2035">
        <f>VLOOKUP(cukier8[[#This Row],[rok]],$L$2:$M$11,2,FALSE)*cukier8[[#This Row],[sprzedany_cukier]]</f>
        <v>805.03</v>
      </c>
    </row>
    <row r="2036" spans="1:5" x14ac:dyDescent="0.25">
      <c r="A2036" s="1">
        <v>41819</v>
      </c>
      <c r="B2036" t="s">
        <v>8</v>
      </c>
      <c r="C2036">
        <v>153</v>
      </c>
      <c r="D2036">
        <f>YEAR(cukier8[[#This Row],[data]])</f>
        <v>2014</v>
      </c>
      <c r="E2036">
        <f>VLOOKUP(cukier8[[#This Row],[rok]],$L$2:$M$11,2,FALSE)*cukier8[[#This Row],[sprzedany_cukier]]</f>
        <v>341.19</v>
      </c>
    </row>
    <row r="2037" spans="1:5" x14ac:dyDescent="0.25">
      <c r="A2037" s="1">
        <v>41820</v>
      </c>
      <c r="B2037" t="s">
        <v>147</v>
      </c>
      <c r="C2037">
        <v>7</v>
      </c>
      <c r="D2037">
        <f>YEAR(cukier8[[#This Row],[data]])</f>
        <v>2014</v>
      </c>
      <c r="E2037">
        <f>VLOOKUP(cukier8[[#This Row],[rok]],$L$2:$M$11,2,FALSE)*cukier8[[#This Row],[sprzedany_cukier]]</f>
        <v>15.61</v>
      </c>
    </row>
    <row r="2038" spans="1:5" x14ac:dyDescent="0.25">
      <c r="A2038" s="1">
        <v>41821</v>
      </c>
      <c r="B2038" t="s">
        <v>71</v>
      </c>
      <c r="C2038">
        <v>65</v>
      </c>
      <c r="D2038">
        <f>YEAR(cukier8[[#This Row],[data]])</f>
        <v>2014</v>
      </c>
      <c r="E2038">
        <f>VLOOKUP(cukier8[[#This Row],[rok]],$L$2:$M$11,2,FALSE)*cukier8[[#This Row],[sprzedany_cukier]]</f>
        <v>144.94999999999999</v>
      </c>
    </row>
    <row r="2039" spans="1:5" x14ac:dyDescent="0.25">
      <c r="A2039" s="1">
        <v>41823</v>
      </c>
      <c r="B2039" t="s">
        <v>9</v>
      </c>
      <c r="C2039">
        <v>409</v>
      </c>
      <c r="D2039">
        <f>YEAR(cukier8[[#This Row],[data]])</f>
        <v>2014</v>
      </c>
      <c r="E2039">
        <f>VLOOKUP(cukier8[[#This Row],[rok]],$L$2:$M$11,2,FALSE)*cukier8[[#This Row],[sprzedany_cukier]]</f>
        <v>912.06999999999994</v>
      </c>
    </row>
    <row r="2040" spans="1:5" x14ac:dyDescent="0.25">
      <c r="A2040" s="1">
        <v>41825</v>
      </c>
      <c r="B2040" t="s">
        <v>63</v>
      </c>
      <c r="C2040">
        <v>63</v>
      </c>
      <c r="D2040">
        <f>YEAR(cukier8[[#This Row],[data]])</f>
        <v>2014</v>
      </c>
      <c r="E2040">
        <f>VLOOKUP(cukier8[[#This Row],[rok]],$L$2:$M$11,2,FALSE)*cukier8[[#This Row],[sprzedany_cukier]]</f>
        <v>140.49</v>
      </c>
    </row>
    <row r="2041" spans="1:5" x14ac:dyDescent="0.25">
      <c r="A2041" s="1">
        <v>41826</v>
      </c>
      <c r="B2041" t="s">
        <v>7</v>
      </c>
      <c r="C2041">
        <v>441</v>
      </c>
      <c r="D2041">
        <f>YEAR(cukier8[[#This Row],[data]])</f>
        <v>2014</v>
      </c>
      <c r="E2041">
        <f>VLOOKUP(cukier8[[#This Row],[rok]],$L$2:$M$11,2,FALSE)*cukier8[[#This Row],[sprzedany_cukier]]</f>
        <v>983.43</v>
      </c>
    </row>
    <row r="2042" spans="1:5" x14ac:dyDescent="0.25">
      <c r="A2042" s="1">
        <v>41830</v>
      </c>
      <c r="B2042" t="s">
        <v>52</v>
      </c>
      <c r="C2042">
        <v>91</v>
      </c>
      <c r="D2042">
        <f>YEAR(cukier8[[#This Row],[data]])</f>
        <v>2014</v>
      </c>
      <c r="E2042">
        <f>VLOOKUP(cukier8[[#This Row],[rok]],$L$2:$M$11,2,FALSE)*cukier8[[#This Row],[sprzedany_cukier]]</f>
        <v>202.93</v>
      </c>
    </row>
    <row r="2043" spans="1:5" x14ac:dyDescent="0.25">
      <c r="A2043" s="1">
        <v>41831</v>
      </c>
      <c r="B2043" t="s">
        <v>12</v>
      </c>
      <c r="C2043">
        <v>73</v>
      </c>
      <c r="D2043">
        <f>YEAR(cukier8[[#This Row],[data]])</f>
        <v>2014</v>
      </c>
      <c r="E2043">
        <f>VLOOKUP(cukier8[[#This Row],[rok]],$L$2:$M$11,2,FALSE)*cukier8[[#This Row],[sprzedany_cukier]]</f>
        <v>162.79</v>
      </c>
    </row>
    <row r="2044" spans="1:5" x14ac:dyDescent="0.25">
      <c r="A2044" s="1">
        <v>41832</v>
      </c>
      <c r="B2044" t="s">
        <v>6</v>
      </c>
      <c r="C2044">
        <v>184</v>
      </c>
      <c r="D2044">
        <f>YEAR(cukier8[[#This Row],[data]])</f>
        <v>2014</v>
      </c>
      <c r="E2044">
        <f>VLOOKUP(cukier8[[#This Row],[rok]],$L$2:$M$11,2,FALSE)*cukier8[[#This Row],[sprzedany_cukier]]</f>
        <v>410.32</v>
      </c>
    </row>
    <row r="2045" spans="1:5" x14ac:dyDescent="0.25">
      <c r="A2045" s="1">
        <v>41836</v>
      </c>
      <c r="B2045" t="s">
        <v>61</v>
      </c>
      <c r="C2045">
        <v>191</v>
      </c>
      <c r="D2045">
        <f>YEAR(cukier8[[#This Row],[data]])</f>
        <v>2014</v>
      </c>
      <c r="E2045">
        <f>VLOOKUP(cukier8[[#This Row],[rok]],$L$2:$M$11,2,FALSE)*cukier8[[#This Row],[sprzedany_cukier]]</f>
        <v>425.93</v>
      </c>
    </row>
    <row r="2046" spans="1:5" x14ac:dyDescent="0.25">
      <c r="A2046" s="1">
        <v>41837</v>
      </c>
      <c r="B2046" t="s">
        <v>17</v>
      </c>
      <c r="C2046">
        <v>371</v>
      </c>
      <c r="D2046">
        <f>YEAR(cukier8[[#This Row],[data]])</f>
        <v>2014</v>
      </c>
      <c r="E2046">
        <f>VLOOKUP(cukier8[[#This Row],[rok]],$L$2:$M$11,2,FALSE)*cukier8[[#This Row],[sprzedany_cukier]]</f>
        <v>827.33</v>
      </c>
    </row>
    <row r="2047" spans="1:5" x14ac:dyDescent="0.25">
      <c r="A2047" s="1">
        <v>41838</v>
      </c>
      <c r="B2047" t="s">
        <v>22</v>
      </c>
      <c r="C2047">
        <v>485</v>
      </c>
      <c r="D2047">
        <f>YEAR(cukier8[[#This Row],[data]])</f>
        <v>2014</v>
      </c>
      <c r="E2047">
        <f>VLOOKUP(cukier8[[#This Row],[rok]],$L$2:$M$11,2,FALSE)*cukier8[[#This Row],[sprzedany_cukier]]</f>
        <v>1081.55</v>
      </c>
    </row>
    <row r="2048" spans="1:5" x14ac:dyDescent="0.25">
      <c r="A2048" s="1">
        <v>41838</v>
      </c>
      <c r="B2048" t="s">
        <v>37</v>
      </c>
      <c r="C2048">
        <v>92</v>
      </c>
      <c r="D2048">
        <f>YEAR(cukier8[[#This Row],[data]])</f>
        <v>2014</v>
      </c>
      <c r="E2048">
        <f>VLOOKUP(cukier8[[#This Row],[rok]],$L$2:$M$11,2,FALSE)*cukier8[[#This Row],[sprzedany_cukier]]</f>
        <v>205.16</v>
      </c>
    </row>
    <row r="2049" spans="1:5" x14ac:dyDescent="0.25">
      <c r="A2049" s="1">
        <v>41840</v>
      </c>
      <c r="B2049" t="s">
        <v>17</v>
      </c>
      <c r="C2049">
        <v>442</v>
      </c>
      <c r="D2049">
        <f>YEAR(cukier8[[#This Row],[data]])</f>
        <v>2014</v>
      </c>
      <c r="E2049">
        <f>VLOOKUP(cukier8[[#This Row],[rok]],$L$2:$M$11,2,FALSE)*cukier8[[#This Row],[sprzedany_cukier]]</f>
        <v>985.66</v>
      </c>
    </row>
    <row r="2050" spans="1:5" x14ac:dyDescent="0.25">
      <c r="A2050" s="1">
        <v>41841</v>
      </c>
      <c r="B2050" t="s">
        <v>8</v>
      </c>
      <c r="C2050">
        <v>44</v>
      </c>
      <c r="D2050">
        <f>YEAR(cukier8[[#This Row],[data]])</f>
        <v>2014</v>
      </c>
      <c r="E2050">
        <f>VLOOKUP(cukier8[[#This Row],[rok]],$L$2:$M$11,2,FALSE)*cukier8[[#This Row],[sprzedany_cukier]]</f>
        <v>98.12</v>
      </c>
    </row>
    <row r="2051" spans="1:5" x14ac:dyDescent="0.25">
      <c r="A2051" s="1">
        <v>41843</v>
      </c>
      <c r="B2051" t="s">
        <v>39</v>
      </c>
      <c r="C2051">
        <v>39</v>
      </c>
      <c r="D2051">
        <f>YEAR(cukier8[[#This Row],[data]])</f>
        <v>2014</v>
      </c>
      <c r="E2051">
        <f>VLOOKUP(cukier8[[#This Row],[rok]],$L$2:$M$11,2,FALSE)*cukier8[[#This Row],[sprzedany_cukier]]</f>
        <v>86.97</v>
      </c>
    </row>
    <row r="2052" spans="1:5" x14ac:dyDescent="0.25">
      <c r="A2052" s="1">
        <v>41848</v>
      </c>
      <c r="B2052" t="s">
        <v>17</v>
      </c>
      <c r="C2052">
        <v>288</v>
      </c>
      <c r="D2052">
        <f>YEAR(cukier8[[#This Row],[data]])</f>
        <v>2014</v>
      </c>
      <c r="E2052">
        <f>VLOOKUP(cukier8[[#This Row],[rok]],$L$2:$M$11,2,FALSE)*cukier8[[#This Row],[sprzedany_cukier]]</f>
        <v>642.24</v>
      </c>
    </row>
    <row r="2053" spans="1:5" x14ac:dyDescent="0.25">
      <c r="A2053" s="1">
        <v>41848</v>
      </c>
      <c r="B2053" t="s">
        <v>190</v>
      </c>
      <c r="C2053">
        <v>4</v>
      </c>
      <c r="D2053">
        <f>YEAR(cukier8[[#This Row],[data]])</f>
        <v>2014</v>
      </c>
      <c r="E2053">
        <f>VLOOKUP(cukier8[[#This Row],[rok]],$L$2:$M$11,2,FALSE)*cukier8[[#This Row],[sprzedany_cukier]]</f>
        <v>8.92</v>
      </c>
    </row>
    <row r="2054" spans="1:5" x14ac:dyDescent="0.25">
      <c r="A2054" s="1">
        <v>41851</v>
      </c>
      <c r="B2054" t="s">
        <v>238</v>
      </c>
      <c r="C2054">
        <v>6</v>
      </c>
      <c r="D2054">
        <f>YEAR(cukier8[[#This Row],[data]])</f>
        <v>2014</v>
      </c>
      <c r="E2054">
        <f>VLOOKUP(cukier8[[#This Row],[rok]],$L$2:$M$11,2,FALSE)*cukier8[[#This Row],[sprzedany_cukier]]</f>
        <v>13.379999999999999</v>
      </c>
    </row>
    <row r="2055" spans="1:5" x14ac:dyDescent="0.25">
      <c r="A2055" s="1">
        <v>41851</v>
      </c>
      <c r="B2055" t="s">
        <v>116</v>
      </c>
      <c r="C2055">
        <v>9</v>
      </c>
      <c r="D2055">
        <f>YEAR(cukier8[[#This Row],[data]])</f>
        <v>2014</v>
      </c>
      <c r="E2055">
        <f>VLOOKUP(cukier8[[#This Row],[rok]],$L$2:$M$11,2,FALSE)*cukier8[[#This Row],[sprzedany_cukier]]</f>
        <v>20.07</v>
      </c>
    </row>
    <row r="2056" spans="1:5" x14ac:dyDescent="0.25">
      <c r="A2056" s="1">
        <v>41852</v>
      </c>
      <c r="B2056" t="s">
        <v>37</v>
      </c>
      <c r="C2056">
        <v>178</v>
      </c>
      <c r="D2056">
        <f>YEAR(cukier8[[#This Row],[data]])</f>
        <v>2014</v>
      </c>
      <c r="E2056">
        <f>VLOOKUP(cukier8[[#This Row],[rok]],$L$2:$M$11,2,FALSE)*cukier8[[#This Row],[sprzedany_cukier]]</f>
        <v>396.94</v>
      </c>
    </row>
    <row r="2057" spans="1:5" x14ac:dyDescent="0.25">
      <c r="A2057" s="1">
        <v>41853</v>
      </c>
      <c r="B2057" t="s">
        <v>50</v>
      </c>
      <c r="C2057">
        <v>455</v>
      </c>
      <c r="D2057">
        <f>YEAR(cukier8[[#This Row],[data]])</f>
        <v>2014</v>
      </c>
      <c r="E2057">
        <f>VLOOKUP(cukier8[[#This Row],[rok]],$L$2:$M$11,2,FALSE)*cukier8[[#This Row],[sprzedany_cukier]]</f>
        <v>1014.65</v>
      </c>
    </row>
    <row r="2058" spans="1:5" x14ac:dyDescent="0.25">
      <c r="A2058" s="1">
        <v>41854</v>
      </c>
      <c r="B2058" t="s">
        <v>78</v>
      </c>
      <c r="C2058">
        <v>56</v>
      </c>
      <c r="D2058">
        <f>YEAR(cukier8[[#This Row],[data]])</f>
        <v>2014</v>
      </c>
      <c r="E2058">
        <f>VLOOKUP(cukier8[[#This Row],[rok]],$L$2:$M$11,2,FALSE)*cukier8[[#This Row],[sprzedany_cukier]]</f>
        <v>124.88</v>
      </c>
    </row>
    <row r="2059" spans="1:5" x14ac:dyDescent="0.25">
      <c r="A2059" s="1">
        <v>41858</v>
      </c>
      <c r="B2059" t="s">
        <v>61</v>
      </c>
      <c r="C2059">
        <v>46</v>
      </c>
      <c r="D2059">
        <f>YEAR(cukier8[[#This Row],[data]])</f>
        <v>2014</v>
      </c>
      <c r="E2059">
        <f>VLOOKUP(cukier8[[#This Row],[rok]],$L$2:$M$11,2,FALSE)*cukier8[[#This Row],[sprzedany_cukier]]</f>
        <v>102.58</v>
      </c>
    </row>
    <row r="2060" spans="1:5" x14ac:dyDescent="0.25">
      <c r="A2060" s="1">
        <v>41859</v>
      </c>
      <c r="B2060" t="s">
        <v>124</v>
      </c>
      <c r="C2060">
        <v>15</v>
      </c>
      <c r="D2060">
        <f>YEAR(cukier8[[#This Row],[data]])</f>
        <v>2014</v>
      </c>
      <c r="E2060">
        <f>VLOOKUP(cukier8[[#This Row],[rok]],$L$2:$M$11,2,FALSE)*cukier8[[#This Row],[sprzedany_cukier]]</f>
        <v>33.450000000000003</v>
      </c>
    </row>
    <row r="2061" spans="1:5" x14ac:dyDescent="0.25">
      <c r="A2061" s="1">
        <v>41860</v>
      </c>
      <c r="B2061" t="s">
        <v>8</v>
      </c>
      <c r="C2061">
        <v>130</v>
      </c>
      <c r="D2061">
        <f>YEAR(cukier8[[#This Row],[data]])</f>
        <v>2014</v>
      </c>
      <c r="E2061">
        <f>VLOOKUP(cukier8[[#This Row],[rok]],$L$2:$M$11,2,FALSE)*cukier8[[#This Row],[sprzedany_cukier]]</f>
        <v>289.89999999999998</v>
      </c>
    </row>
    <row r="2062" spans="1:5" x14ac:dyDescent="0.25">
      <c r="A2062" s="1">
        <v>41861</v>
      </c>
      <c r="B2062" t="s">
        <v>20</v>
      </c>
      <c r="C2062">
        <v>154</v>
      </c>
      <c r="D2062">
        <f>YEAR(cukier8[[#This Row],[data]])</f>
        <v>2014</v>
      </c>
      <c r="E2062">
        <f>VLOOKUP(cukier8[[#This Row],[rok]],$L$2:$M$11,2,FALSE)*cukier8[[#This Row],[sprzedany_cukier]]</f>
        <v>343.42</v>
      </c>
    </row>
    <row r="2063" spans="1:5" x14ac:dyDescent="0.25">
      <c r="A2063" s="1">
        <v>41861</v>
      </c>
      <c r="B2063" t="s">
        <v>8</v>
      </c>
      <c r="C2063">
        <v>137</v>
      </c>
      <c r="D2063">
        <f>YEAR(cukier8[[#This Row],[data]])</f>
        <v>2014</v>
      </c>
      <c r="E2063">
        <f>VLOOKUP(cukier8[[#This Row],[rok]],$L$2:$M$11,2,FALSE)*cukier8[[#This Row],[sprzedany_cukier]]</f>
        <v>305.51</v>
      </c>
    </row>
    <row r="2064" spans="1:5" x14ac:dyDescent="0.25">
      <c r="A2064" s="1">
        <v>41863</v>
      </c>
      <c r="B2064" t="s">
        <v>58</v>
      </c>
      <c r="C2064">
        <v>119</v>
      </c>
      <c r="D2064">
        <f>YEAR(cukier8[[#This Row],[data]])</f>
        <v>2014</v>
      </c>
      <c r="E2064">
        <f>VLOOKUP(cukier8[[#This Row],[rok]],$L$2:$M$11,2,FALSE)*cukier8[[#This Row],[sprzedany_cukier]]</f>
        <v>265.37</v>
      </c>
    </row>
    <row r="2065" spans="1:5" x14ac:dyDescent="0.25">
      <c r="A2065" s="1">
        <v>41863</v>
      </c>
      <c r="B2065" t="s">
        <v>50</v>
      </c>
      <c r="C2065">
        <v>138</v>
      </c>
      <c r="D2065">
        <f>YEAR(cukier8[[#This Row],[data]])</f>
        <v>2014</v>
      </c>
      <c r="E2065">
        <f>VLOOKUP(cukier8[[#This Row],[rok]],$L$2:$M$11,2,FALSE)*cukier8[[#This Row],[sprzedany_cukier]]</f>
        <v>307.74</v>
      </c>
    </row>
    <row r="2066" spans="1:5" x14ac:dyDescent="0.25">
      <c r="A2066" s="1">
        <v>41864</v>
      </c>
      <c r="B2066" t="s">
        <v>50</v>
      </c>
      <c r="C2066">
        <v>303</v>
      </c>
      <c r="D2066">
        <f>YEAR(cukier8[[#This Row],[data]])</f>
        <v>2014</v>
      </c>
      <c r="E2066">
        <f>VLOOKUP(cukier8[[#This Row],[rok]],$L$2:$M$11,2,FALSE)*cukier8[[#This Row],[sprzedany_cukier]]</f>
        <v>675.68999999999994</v>
      </c>
    </row>
    <row r="2067" spans="1:5" x14ac:dyDescent="0.25">
      <c r="A2067" s="1">
        <v>41866</v>
      </c>
      <c r="B2067" t="s">
        <v>18</v>
      </c>
      <c r="C2067">
        <v>73</v>
      </c>
      <c r="D2067">
        <f>YEAR(cukier8[[#This Row],[data]])</f>
        <v>2014</v>
      </c>
      <c r="E2067">
        <f>VLOOKUP(cukier8[[#This Row],[rok]],$L$2:$M$11,2,FALSE)*cukier8[[#This Row],[sprzedany_cukier]]</f>
        <v>162.79</v>
      </c>
    </row>
    <row r="2068" spans="1:5" x14ac:dyDescent="0.25">
      <c r="A2068" s="1">
        <v>41868</v>
      </c>
      <c r="B2068" t="s">
        <v>55</v>
      </c>
      <c r="C2068">
        <v>35</v>
      </c>
      <c r="D2068">
        <f>YEAR(cukier8[[#This Row],[data]])</f>
        <v>2014</v>
      </c>
      <c r="E2068">
        <f>VLOOKUP(cukier8[[#This Row],[rok]],$L$2:$M$11,2,FALSE)*cukier8[[#This Row],[sprzedany_cukier]]</f>
        <v>78.05</v>
      </c>
    </row>
    <row r="2069" spans="1:5" x14ac:dyDescent="0.25">
      <c r="A2069" s="1">
        <v>41868</v>
      </c>
      <c r="B2069" t="s">
        <v>14</v>
      </c>
      <c r="C2069">
        <v>435</v>
      </c>
      <c r="D2069">
        <f>YEAR(cukier8[[#This Row],[data]])</f>
        <v>2014</v>
      </c>
      <c r="E2069">
        <f>VLOOKUP(cukier8[[#This Row],[rok]],$L$2:$M$11,2,FALSE)*cukier8[[#This Row],[sprzedany_cukier]]</f>
        <v>970.05</v>
      </c>
    </row>
    <row r="2070" spans="1:5" x14ac:dyDescent="0.25">
      <c r="A2070" s="1">
        <v>41871</v>
      </c>
      <c r="B2070" t="s">
        <v>9</v>
      </c>
      <c r="C2070">
        <v>476</v>
      </c>
      <c r="D2070">
        <f>YEAR(cukier8[[#This Row],[data]])</f>
        <v>2014</v>
      </c>
      <c r="E2070">
        <f>VLOOKUP(cukier8[[#This Row],[rok]],$L$2:$M$11,2,FALSE)*cukier8[[#This Row],[sprzedany_cukier]]</f>
        <v>1061.48</v>
      </c>
    </row>
    <row r="2071" spans="1:5" x14ac:dyDescent="0.25">
      <c r="A2071" s="1">
        <v>41874</v>
      </c>
      <c r="B2071" t="s">
        <v>7</v>
      </c>
      <c r="C2071">
        <v>386</v>
      </c>
      <c r="D2071">
        <f>YEAR(cukier8[[#This Row],[data]])</f>
        <v>2014</v>
      </c>
      <c r="E2071">
        <f>VLOOKUP(cukier8[[#This Row],[rok]],$L$2:$M$11,2,FALSE)*cukier8[[#This Row],[sprzedany_cukier]]</f>
        <v>860.78</v>
      </c>
    </row>
    <row r="2072" spans="1:5" x14ac:dyDescent="0.25">
      <c r="A2072" s="1">
        <v>41877</v>
      </c>
      <c r="B2072" t="s">
        <v>10</v>
      </c>
      <c r="C2072">
        <v>147</v>
      </c>
      <c r="D2072">
        <f>YEAR(cukier8[[#This Row],[data]])</f>
        <v>2014</v>
      </c>
      <c r="E2072">
        <f>VLOOKUP(cukier8[[#This Row],[rok]],$L$2:$M$11,2,FALSE)*cukier8[[#This Row],[sprzedany_cukier]]</f>
        <v>327.81</v>
      </c>
    </row>
    <row r="2073" spans="1:5" x14ac:dyDescent="0.25">
      <c r="A2073" s="1">
        <v>41880</v>
      </c>
      <c r="B2073" t="s">
        <v>14</v>
      </c>
      <c r="C2073">
        <v>112</v>
      </c>
      <c r="D2073">
        <f>YEAR(cukier8[[#This Row],[data]])</f>
        <v>2014</v>
      </c>
      <c r="E2073">
        <f>VLOOKUP(cukier8[[#This Row],[rok]],$L$2:$M$11,2,FALSE)*cukier8[[#This Row],[sprzedany_cukier]]</f>
        <v>249.76</v>
      </c>
    </row>
    <row r="2074" spans="1:5" x14ac:dyDescent="0.25">
      <c r="A2074" s="1">
        <v>41885</v>
      </c>
      <c r="B2074" t="s">
        <v>61</v>
      </c>
      <c r="C2074">
        <v>156</v>
      </c>
      <c r="D2074">
        <f>YEAR(cukier8[[#This Row],[data]])</f>
        <v>2014</v>
      </c>
      <c r="E2074">
        <f>VLOOKUP(cukier8[[#This Row],[rok]],$L$2:$M$11,2,FALSE)*cukier8[[#This Row],[sprzedany_cukier]]</f>
        <v>347.88</v>
      </c>
    </row>
    <row r="2075" spans="1:5" x14ac:dyDescent="0.25">
      <c r="A2075" s="1">
        <v>41886</v>
      </c>
      <c r="B2075" t="s">
        <v>102</v>
      </c>
      <c r="C2075">
        <v>106</v>
      </c>
      <c r="D2075">
        <f>YEAR(cukier8[[#This Row],[data]])</f>
        <v>2014</v>
      </c>
      <c r="E2075">
        <f>VLOOKUP(cukier8[[#This Row],[rok]],$L$2:$M$11,2,FALSE)*cukier8[[#This Row],[sprzedany_cukier]]</f>
        <v>236.38</v>
      </c>
    </row>
    <row r="2076" spans="1:5" x14ac:dyDescent="0.25">
      <c r="A2076" s="1">
        <v>41888</v>
      </c>
      <c r="B2076" t="s">
        <v>139</v>
      </c>
      <c r="C2076">
        <v>2</v>
      </c>
      <c r="D2076">
        <f>YEAR(cukier8[[#This Row],[data]])</f>
        <v>2014</v>
      </c>
      <c r="E2076">
        <f>VLOOKUP(cukier8[[#This Row],[rok]],$L$2:$M$11,2,FALSE)*cukier8[[#This Row],[sprzedany_cukier]]</f>
        <v>4.46</v>
      </c>
    </row>
    <row r="2077" spans="1:5" x14ac:dyDescent="0.25">
      <c r="A2077" s="1">
        <v>41888</v>
      </c>
      <c r="B2077" t="s">
        <v>86</v>
      </c>
      <c r="C2077">
        <v>19</v>
      </c>
      <c r="D2077">
        <f>YEAR(cukier8[[#This Row],[data]])</f>
        <v>2014</v>
      </c>
      <c r="E2077">
        <f>VLOOKUP(cukier8[[#This Row],[rok]],$L$2:$M$11,2,FALSE)*cukier8[[#This Row],[sprzedany_cukier]]</f>
        <v>42.37</v>
      </c>
    </row>
    <row r="2078" spans="1:5" x14ac:dyDescent="0.25">
      <c r="A2078" s="1">
        <v>41889</v>
      </c>
      <c r="B2078" t="s">
        <v>59</v>
      </c>
      <c r="C2078">
        <v>18</v>
      </c>
      <c r="D2078">
        <f>YEAR(cukier8[[#This Row],[data]])</f>
        <v>2014</v>
      </c>
      <c r="E2078">
        <f>VLOOKUP(cukier8[[#This Row],[rok]],$L$2:$M$11,2,FALSE)*cukier8[[#This Row],[sprzedany_cukier]]</f>
        <v>40.14</v>
      </c>
    </row>
    <row r="2079" spans="1:5" x14ac:dyDescent="0.25">
      <c r="A2079" s="1">
        <v>41892</v>
      </c>
      <c r="B2079" t="s">
        <v>102</v>
      </c>
      <c r="C2079">
        <v>332</v>
      </c>
      <c r="D2079">
        <f>YEAR(cukier8[[#This Row],[data]])</f>
        <v>2014</v>
      </c>
      <c r="E2079">
        <f>VLOOKUP(cukier8[[#This Row],[rok]],$L$2:$M$11,2,FALSE)*cukier8[[#This Row],[sprzedany_cukier]]</f>
        <v>740.36</v>
      </c>
    </row>
    <row r="2080" spans="1:5" x14ac:dyDescent="0.25">
      <c r="A2080" s="1">
        <v>41893</v>
      </c>
      <c r="B2080" t="s">
        <v>110</v>
      </c>
      <c r="C2080">
        <v>1</v>
      </c>
      <c r="D2080">
        <f>YEAR(cukier8[[#This Row],[data]])</f>
        <v>2014</v>
      </c>
      <c r="E2080">
        <f>VLOOKUP(cukier8[[#This Row],[rok]],$L$2:$M$11,2,FALSE)*cukier8[[#This Row],[sprzedany_cukier]]</f>
        <v>2.23</v>
      </c>
    </row>
    <row r="2081" spans="1:5" x14ac:dyDescent="0.25">
      <c r="A2081" s="1">
        <v>41894</v>
      </c>
      <c r="B2081" t="s">
        <v>17</v>
      </c>
      <c r="C2081">
        <v>438</v>
      </c>
      <c r="D2081">
        <f>YEAR(cukier8[[#This Row],[data]])</f>
        <v>2014</v>
      </c>
      <c r="E2081">
        <f>VLOOKUP(cukier8[[#This Row],[rok]],$L$2:$M$11,2,FALSE)*cukier8[[#This Row],[sprzedany_cukier]]</f>
        <v>976.74</v>
      </c>
    </row>
    <row r="2082" spans="1:5" x14ac:dyDescent="0.25">
      <c r="A2082" s="1">
        <v>41895</v>
      </c>
      <c r="B2082" t="s">
        <v>19</v>
      </c>
      <c r="C2082">
        <v>25</v>
      </c>
      <c r="D2082">
        <f>YEAR(cukier8[[#This Row],[data]])</f>
        <v>2014</v>
      </c>
      <c r="E2082">
        <f>VLOOKUP(cukier8[[#This Row],[rok]],$L$2:$M$11,2,FALSE)*cukier8[[#This Row],[sprzedany_cukier]]</f>
        <v>55.75</v>
      </c>
    </row>
    <row r="2083" spans="1:5" x14ac:dyDescent="0.25">
      <c r="A2083" s="1">
        <v>41897</v>
      </c>
      <c r="B2083" t="s">
        <v>14</v>
      </c>
      <c r="C2083">
        <v>220</v>
      </c>
      <c r="D2083">
        <f>YEAR(cukier8[[#This Row],[data]])</f>
        <v>2014</v>
      </c>
      <c r="E2083">
        <f>VLOOKUP(cukier8[[#This Row],[rok]],$L$2:$M$11,2,FALSE)*cukier8[[#This Row],[sprzedany_cukier]]</f>
        <v>490.6</v>
      </c>
    </row>
    <row r="2084" spans="1:5" x14ac:dyDescent="0.25">
      <c r="A2084" s="1">
        <v>41897</v>
      </c>
      <c r="B2084" t="s">
        <v>39</v>
      </c>
      <c r="C2084">
        <v>47</v>
      </c>
      <c r="D2084">
        <f>YEAR(cukier8[[#This Row],[data]])</f>
        <v>2014</v>
      </c>
      <c r="E2084">
        <f>VLOOKUP(cukier8[[#This Row],[rok]],$L$2:$M$11,2,FALSE)*cukier8[[#This Row],[sprzedany_cukier]]</f>
        <v>104.81</v>
      </c>
    </row>
    <row r="2085" spans="1:5" x14ac:dyDescent="0.25">
      <c r="A2085" s="1">
        <v>41897</v>
      </c>
      <c r="B2085" t="s">
        <v>239</v>
      </c>
      <c r="C2085">
        <v>1</v>
      </c>
      <c r="D2085">
        <f>YEAR(cukier8[[#This Row],[data]])</f>
        <v>2014</v>
      </c>
      <c r="E2085">
        <f>VLOOKUP(cukier8[[#This Row],[rok]],$L$2:$M$11,2,FALSE)*cukier8[[#This Row],[sprzedany_cukier]]</f>
        <v>2.23</v>
      </c>
    </row>
    <row r="2086" spans="1:5" x14ac:dyDescent="0.25">
      <c r="A2086" s="1">
        <v>41898</v>
      </c>
      <c r="B2086" t="s">
        <v>186</v>
      </c>
      <c r="C2086">
        <v>14</v>
      </c>
      <c r="D2086">
        <f>YEAR(cukier8[[#This Row],[data]])</f>
        <v>2014</v>
      </c>
      <c r="E2086">
        <f>VLOOKUP(cukier8[[#This Row],[rok]],$L$2:$M$11,2,FALSE)*cukier8[[#This Row],[sprzedany_cukier]]</f>
        <v>31.22</v>
      </c>
    </row>
    <row r="2087" spans="1:5" x14ac:dyDescent="0.25">
      <c r="A2087" s="1">
        <v>41899</v>
      </c>
      <c r="B2087" t="s">
        <v>9</v>
      </c>
      <c r="C2087">
        <v>132</v>
      </c>
      <c r="D2087">
        <f>YEAR(cukier8[[#This Row],[data]])</f>
        <v>2014</v>
      </c>
      <c r="E2087">
        <f>VLOOKUP(cukier8[[#This Row],[rok]],$L$2:$M$11,2,FALSE)*cukier8[[#This Row],[sprzedany_cukier]]</f>
        <v>294.36</v>
      </c>
    </row>
    <row r="2088" spans="1:5" x14ac:dyDescent="0.25">
      <c r="A2088" s="1">
        <v>41904</v>
      </c>
      <c r="B2088" t="s">
        <v>146</v>
      </c>
      <c r="C2088">
        <v>18</v>
      </c>
      <c r="D2088">
        <f>YEAR(cukier8[[#This Row],[data]])</f>
        <v>2014</v>
      </c>
      <c r="E2088">
        <f>VLOOKUP(cukier8[[#This Row],[rok]],$L$2:$M$11,2,FALSE)*cukier8[[#This Row],[sprzedany_cukier]]</f>
        <v>40.14</v>
      </c>
    </row>
    <row r="2089" spans="1:5" x14ac:dyDescent="0.25">
      <c r="A2089" s="1">
        <v>41906</v>
      </c>
      <c r="B2089" t="s">
        <v>9</v>
      </c>
      <c r="C2089">
        <v>266</v>
      </c>
      <c r="D2089">
        <f>YEAR(cukier8[[#This Row],[data]])</f>
        <v>2014</v>
      </c>
      <c r="E2089">
        <f>VLOOKUP(cukier8[[#This Row],[rok]],$L$2:$M$11,2,FALSE)*cukier8[[#This Row],[sprzedany_cukier]]</f>
        <v>593.17999999999995</v>
      </c>
    </row>
    <row r="2090" spans="1:5" x14ac:dyDescent="0.25">
      <c r="A2090" s="1">
        <v>41907</v>
      </c>
      <c r="B2090" t="s">
        <v>8</v>
      </c>
      <c r="C2090">
        <v>30</v>
      </c>
      <c r="D2090">
        <f>YEAR(cukier8[[#This Row],[data]])</f>
        <v>2014</v>
      </c>
      <c r="E2090">
        <f>VLOOKUP(cukier8[[#This Row],[rok]],$L$2:$M$11,2,FALSE)*cukier8[[#This Row],[sprzedany_cukier]]</f>
        <v>66.900000000000006</v>
      </c>
    </row>
    <row r="2091" spans="1:5" x14ac:dyDescent="0.25">
      <c r="A2091" s="1">
        <v>41909</v>
      </c>
      <c r="B2091" t="s">
        <v>45</v>
      </c>
      <c r="C2091">
        <v>452</v>
      </c>
      <c r="D2091">
        <f>YEAR(cukier8[[#This Row],[data]])</f>
        <v>2014</v>
      </c>
      <c r="E2091">
        <f>VLOOKUP(cukier8[[#This Row],[rok]],$L$2:$M$11,2,FALSE)*cukier8[[#This Row],[sprzedany_cukier]]</f>
        <v>1007.96</v>
      </c>
    </row>
    <row r="2092" spans="1:5" x14ac:dyDescent="0.25">
      <c r="A2092" s="1">
        <v>41911</v>
      </c>
      <c r="B2092" t="s">
        <v>5</v>
      </c>
      <c r="C2092">
        <v>306</v>
      </c>
      <c r="D2092">
        <f>YEAR(cukier8[[#This Row],[data]])</f>
        <v>2014</v>
      </c>
      <c r="E2092">
        <f>VLOOKUP(cukier8[[#This Row],[rok]],$L$2:$M$11,2,FALSE)*cukier8[[#This Row],[sprzedany_cukier]]</f>
        <v>682.38</v>
      </c>
    </row>
    <row r="2093" spans="1:5" x14ac:dyDescent="0.25">
      <c r="A2093" s="1">
        <v>41912</v>
      </c>
      <c r="B2093" t="s">
        <v>61</v>
      </c>
      <c r="C2093">
        <v>98</v>
      </c>
      <c r="D2093">
        <f>YEAR(cukier8[[#This Row],[data]])</f>
        <v>2014</v>
      </c>
      <c r="E2093">
        <f>VLOOKUP(cukier8[[#This Row],[rok]],$L$2:$M$11,2,FALSE)*cukier8[[#This Row],[sprzedany_cukier]]</f>
        <v>218.54</v>
      </c>
    </row>
    <row r="2094" spans="1:5" x14ac:dyDescent="0.25">
      <c r="A2094" s="1">
        <v>41913</v>
      </c>
      <c r="B2094" t="s">
        <v>58</v>
      </c>
      <c r="C2094">
        <v>110</v>
      </c>
      <c r="D2094">
        <f>YEAR(cukier8[[#This Row],[data]])</f>
        <v>2014</v>
      </c>
      <c r="E2094">
        <f>VLOOKUP(cukier8[[#This Row],[rok]],$L$2:$M$11,2,FALSE)*cukier8[[#This Row],[sprzedany_cukier]]</f>
        <v>245.3</v>
      </c>
    </row>
    <row r="2095" spans="1:5" x14ac:dyDescent="0.25">
      <c r="A2095" s="1">
        <v>41913</v>
      </c>
      <c r="B2095" t="s">
        <v>8</v>
      </c>
      <c r="C2095">
        <v>57</v>
      </c>
      <c r="D2095">
        <f>YEAR(cukier8[[#This Row],[data]])</f>
        <v>2014</v>
      </c>
      <c r="E2095">
        <f>VLOOKUP(cukier8[[#This Row],[rok]],$L$2:$M$11,2,FALSE)*cukier8[[#This Row],[sprzedany_cukier]]</f>
        <v>127.11</v>
      </c>
    </row>
    <row r="2096" spans="1:5" x14ac:dyDescent="0.25">
      <c r="A2096" s="1">
        <v>41913</v>
      </c>
      <c r="B2096" t="s">
        <v>157</v>
      </c>
      <c r="C2096">
        <v>16</v>
      </c>
      <c r="D2096">
        <f>YEAR(cukier8[[#This Row],[data]])</f>
        <v>2014</v>
      </c>
      <c r="E2096">
        <f>VLOOKUP(cukier8[[#This Row],[rok]],$L$2:$M$11,2,FALSE)*cukier8[[#This Row],[sprzedany_cukier]]</f>
        <v>35.68</v>
      </c>
    </row>
    <row r="2097" spans="1:5" x14ac:dyDescent="0.25">
      <c r="A2097" s="1">
        <v>41916</v>
      </c>
      <c r="B2097" t="s">
        <v>104</v>
      </c>
      <c r="C2097">
        <v>5</v>
      </c>
      <c r="D2097">
        <f>YEAR(cukier8[[#This Row],[data]])</f>
        <v>2014</v>
      </c>
      <c r="E2097">
        <f>VLOOKUP(cukier8[[#This Row],[rok]],$L$2:$M$11,2,FALSE)*cukier8[[#This Row],[sprzedany_cukier]]</f>
        <v>11.15</v>
      </c>
    </row>
    <row r="2098" spans="1:5" x14ac:dyDescent="0.25">
      <c r="A2098" s="1">
        <v>41919</v>
      </c>
      <c r="B2098" t="s">
        <v>22</v>
      </c>
      <c r="C2098">
        <v>433</v>
      </c>
      <c r="D2098">
        <f>YEAR(cukier8[[#This Row],[data]])</f>
        <v>2014</v>
      </c>
      <c r="E2098">
        <f>VLOOKUP(cukier8[[#This Row],[rok]],$L$2:$M$11,2,FALSE)*cukier8[[#This Row],[sprzedany_cukier]]</f>
        <v>965.59</v>
      </c>
    </row>
    <row r="2099" spans="1:5" x14ac:dyDescent="0.25">
      <c r="A2099" s="1">
        <v>41920</v>
      </c>
      <c r="B2099" t="s">
        <v>69</v>
      </c>
      <c r="C2099">
        <v>180</v>
      </c>
      <c r="D2099">
        <f>YEAR(cukier8[[#This Row],[data]])</f>
        <v>2014</v>
      </c>
      <c r="E2099">
        <f>VLOOKUP(cukier8[[#This Row],[rok]],$L$2:$M$11,2,FALSE)*cukier8[[#This Row],[sprzedany_cukier]]</f>
        <v>401.4</v>
      </c>
    </row>
    <row r="2100" spans="1:5" x14ac:dyDescent="0.25">
      <c r="A2100" s="1">
        <v>41920</v>
      </c>
      <c r="B2100" t="s">
        <v>22</v>
      </c>
      <c r="C2100">
        <v>381</v>
      </c>
      <c r="D2100">
        <f>YEAR(cukier8[[#This Row],[data]])</f>
        <v>2014</v>
      </c>
      <c r="E2100">
        <f>VLOOKUP(cukier8[[#This Row],[rok]],$L$2:$M$11,2,FALSE)*cukier8[[#This Row],[sprzedany_cukier]]</f>
        <v>849.63</v>
      </c>
    </row>
    <row r="2101" spans="1:5" x14ac:dyDescent="0.25">
      <c r="A2101" s="1">
        <v>41921</v>
      </c>
      <c r="B2101" t="s">
        <v>70</v>
      </c>
      <c r="C2101">
        <v>16</v>
      </c>
      <c r="D2101">
        <f>YEAR(cukier8[[#This Row],[data]])</f>
        <v>2014</v>
      </c>
      <c r="E2101">
        <f>VLOOKUP(cukier8[[#This Row],[rok]],$L$2:$M$11,2,FALSE)*cukier8[[#This Row],[sprzedany_cukier]]</f>
        <v>35.68</v>
      </c>
    </row>
    <row r="2102" spans="1:5" x14ac:dyDescent="0.25">
      <c r="A2102" s="1">
        <v>41921</v>
      </c>
      <c r="B2102" t="s">
        <v>28</v>
      </c>
      <c r="C2102">
        <v>85</v>
      </c>
      <c r="D2102">
        <f>YEAR(cukier8[[#This Row],[data]])</f>
        <v>2014</v>
      </c>
      <c r="E2102">
        <f>VLOOKUP(cukier8[[#This Row],[rok]],$L$2:$M$11,2,FALSE)*cukier8[[#This Row],[sprzedany_cukier]]</f>
        <v>189.55</v>
      </c>
    </row>
    <row r="2103" spans="1:5" x14ac:dyDescent="0.25">
      <c r="A2103" s="1">
        <v>41921</v>
      </c>
      <c r="B2103" t="s">
        <v>25</v>
      </c>
      <c r="C2103">
        <v>37</v>
      </c>
      <c r="D2103">
        <f>YEAR(cukier8[[#This Row],[data]])</f>
        <v>2014</v>
      </c>
      <c r="E2103">
        <f>VLOOKUP(cukier8[[#This Row],[rok]],$L$2:$M$11,2,FALSE)*cukier8[[#This Row],[sprzedany_cukier]]</f>
        <v>82.51</v>
      </c>
    </row>
    <row r="2104" spans="1:5" x14ac:dyDescent="0.25">
      <c r="A2104" s="1">
        <v>41924</v>
      </c>
      <c r="B2104" t="s">
        <v>20</v>
      </c>
      <c r="C2104">
        <v>69</v>
      </c>
      <c r="D2104">
        <f>YEAR(cukier8[[#This Row],[data]])</f>
        <v>2014</v>
      </c>
      <c r="E2104">
        <f>VLOOKUP(cukier8[[#This Row],[rok]],$L$2:$M$11,2,FALSE)*cukier8[[#This Row],[sprzedany_cukier]]</f>
        <v>153.87</v>
      </c>
    </row>
    <row r="2105" spans="1:5" x14ac:dyDescent="0.25">
      <c r="A2105" s="1">
        <v>41925</v>
      </c>
      <c r="B2105" t="s">
        <v>7</v>
      </c>
      <c r="C2105">
        <v>304</v>
      </c>
      <c r="D2105">
        <f>YEAR(cukier8[[#This Row],[data]])</f>
        <v>2014</v>
      </c>
      <c r="E2105">
        <f>VLOOKUP(cukier8[[#This Row],[rok]],$L$2:$M$11,2,FALSE)*cukier8[[#This Row],[sprzedany_cukier]]</f>
        <v>677.92</v>
      </c>
    </row>
    <row r="2106" spans="1:5" x14ac:dyDescent="0.25">
      <c r="A2106" s="1">
        <v>41928</v>
      </c>
      <c r="B2106" t="s">
        <v>22</v>
      </c>
      <c r="C2106">
        <v>491</v>
      </c>
      <c r="D2106">
        <f>YEAR(cukier8[[#This Row],[data]])</f>
        <v>2014</v>
      </c>
      <c r="E2106">
        <f>VLOOKUP(cukier8[[#This Row],[rok]],$L$2:$M$11,2,FALSE)*cukier8[[#This Row],[sprzedany_cukier]]</f>
        <v>1094.93</v>
      </c>
    </row>
    <row r="2107" spans="1:5" x14ac:dyDescent="0.25">
      <c r="A2107" s="1">
        <v>41931</v>
      </c>
      <c r="B2107" t="s">
        <v>23</v>
      </c>
      <c r="C2107">
        <v>106</v>
      </c>
      <c r="D2107">
        <f>YEAR(cukier8[[#This Row],[data]])</f>
        <v>2014</v>
      </c>
      <c r="E2107">
        <f>VLOOKUP(cukier8[[#This Row],[rok]],$L$2:$M$11,2,FALSE)*cukier8[[#This Row],[sprzedany_cukier]]</f>
        <v>236.38</v>
      </c>
    </row>
    <row r="2108" spans="1:5" x14ac:dyDescent="0.25">
      <c r="A2108" s="1">
        <v>41935</v>
      </c>
      <c r="B2108" t="s">
        <v>52</v>
      </c>
      <c r="C2108">
        <v>188</v>
      </c>
      <c r="D2108">
        <f>YEAR(cukier8[[#This Row],[data]])</f>
        <v>2014</v>
      </c>
      <c r="E2108">
        <f>VLOOKUP(cukier8[[#This Row],[rok]],$L$2:$M$11,2,FALSE)*cukier8[[#This Row],[sprzedany_cukier]]</f>
        <v>419.24</v>
      </c>
    </row>
    <row r="2109" spans="1:5" x14ac:dyDescent="0.25">
      <c r="A2109" s="1">
        <v>41935</v>
      </c>
      <c r="B2109" t="s">
        <v>8</v>
      </c>
      <c r="C2109">
        <v>131</v>
      </c>
      <c r="D2109">
        <f>YEAR(cukier8[[#This Row],[data]])</f>
        <v>2014</v>
      </c>
      <c r="E2109">
        <f>VLOOKUP(cukier8[[#This Row],[rok]],$L$2:$M$11,2,FALSE)*cukier8[[#This Row],[sprzedany_cukier]]</f>
        <v>292.13</v>
      </c>
    </row>
    <row r="2110" spans="1:5" x14ac:dyDescent="0.25">
      <c r="A2110" s="1">
        <v>41936</v>
      </c>
      <c r="B2110" t="s">
        <v>148</v>
      </c>
      <c r="C2110">
        <v>9</v>
      </c>
      <c r="D2110">
        <f>YEAR(cukier8[[#This Row],[data]])</f>
        <v>2014</v>
      </c>
      <c r="E2110">
        <f>VLOOKUP(cukier8[[#This Row],[rok]],$L$2:$M$11,2,FALSE)*cukier8[[#This Row],[sprzedany_cukier]]</f>
        <v>20.07</v>
      </c>
    </row>
    <row r="2111" spans="1:5" x14ac:dyDescent="0.25">
      <c r="A2111" s="1">
        <v>41938</v>
      </c>
      <c r="B2111" t="s">
        <v>45</v>
      </c>
      <c r="C2111">
        <v>245</v>
      </c>
      <c r="D2111">
        <f>YEAR(cukier8[[#This Row],[data]])</f>
        <v>2014</v>
      </c>
      <c r="E2111">
        <f>VLOOKUP(cukier8[[#This Row],[rok]],$L$2:$M$11,2,FALSE)*cukier8[[#This Row],[sprzedany_cukier]]</f>
        <v>546.35</v>
      </c>
    </row>
    <row r="2112" spans="1:5" x14ac:dyDescent="0.25">
      <c r="A2112" s="1">
        <v>41943</v>
      </c>
      <c r="B2112" t="s">
        <v>22</v>
      </c>
      <c r="C2112">
        <v>166</v>
      </c>
      <c r="D2112">
        <f>YEAR(cukier8[[#This Row],[data]])</f>
        <v>2014</v>
      </c>
      <c r="E2112">
        <f>VLOOKUP(cukier8[[#This Row],[rok]],$L$2:$M$11,2,FALSE)*cukier8[[#This Row],[sprzedany_cukier]]</f>
        <v>370.18</v>
      </c>
    </row>
    <row r="2113" spans="1:5" x14ac:dyDescent="0.25">
      <c r="A2113" s="1">
        <v>41945</v>
      </c>
      <c r="B2113" t="s">
        <v>55</v>
      </c>
      <c r="C2113">
        <v>171</v>
      </c>
      <c r="D2113">
        <f>YEAR(cukier8[[#This Row],[data]])</f>
        <v>2014</v>
      </c>
      <c r="E2113">
        <f>VLOOKUP(cukier8[[#This Row],[rok]],$L$2:$M$11,2,FALSE)*cukier8[[#This Row],[sprzedany_cukier]]</f>
        <v>381.33</v>
      </c>
    </row>
    <row r="2114" spans="1:5" x14ac:dyDescent="0.25">
      <c r="A2114" s="1">
        <v>41945</v>
      </c>
      <c r="B2114" t="s">
        <v>119</v>
      </c>
      <c r="C2114">
        <v>11</v>
      </c>
      <c r="D2114">
        <f>YEAR(cukier8[[#This Row],[data]])</f>
        <v>2014</v>
      </c>
      <c r="E2114">
        <f>VLOOKUP(cukier8[[#This Row],[rok]],$L$2:$M$11,2,FALSE)*cukier8[[#This Row],[sprzedany_cukier]]</f>
        <v>24.53</v>
      </c>
    </row>
    <row r="2115" spans="1:5" x14ac:dyDescent="0.25">
      <c r="A2115" s="1">
        <v>41946</v>
      </c>
      <c r="B2115" t="s">
        <v>20</v>
      </c>
      <c r="C2115">
        <v>52</v>
      </c>
      <c r="D2115">
        <f>YEAR(cukier8[[#This Row],[data]])</f>
        <v>2014</v>
      </c>
      <c r="E2115">
        <f>VLOOKUP(cukier8[[#This Row],[rok]],$L$2:$M$11,2,FALSE)*cukier8[[#This Row],[sprzedany_cukier]]</f>
        <v>115.96</v>
      </c>
    </row>
    <row r="2116" spans="1:5" x14ac:dyDescent="0.25">
      <c r="A2116" s="1">
        <v>41949</v>
      </c>
      <c r="B2116" t="s">
        <v>120</v>
      </c>
      <c r="C2116">
        <v>56</v>
      </c>
      <c r="D2116">
        <f>YEAR(cukier8[[#This Row],[data]])</f>
        <v>2014</v>
      </c>
      <c r="E2116">
        <f>VLOOKUP(cukier8[[#This Row],[rok]],$L$2:$M$11,2,FALSE)*cukier8[[#This Row],[sprzedany_cukier]]</f>
        <v>124.88</v>
      </c>
    </row>
    <row r="2117" spans="1:5" x14ac:dyDescent="0.25">
      <c r="A2117" s="1">
        <v>41950</v>
      </c>
      <c r="B2117" t="s">
        <v>54</v>
      </c>
      <c r="C2117">
        <v>6</v>
      </c>
      <c r="D2117">
        <f>YEAR(cukier8[[#This Row],[data]])</f>
        <v>2014</v>
      </c>
      <c r="E2117">
        <f>VLOOKUP(cukier8[[#This Row],[rok]],$L$2:$M$11,2,FALSE)*cukier8[[#This Row],[sprzedany_cukier]]</f>
        <v>13.379999999999999</v>
      </c>
    </row>
    <row r="2118" spans="1:5" x14ac:dyDescent="0.25">
      <c r="A2118" s="1">
        <v>41950</v>
      </c>
      <c r="B2118" t="s">
        <v>55</v>
      </c>
      <c r="C2118">
        <v>179</v>
      </c>
      <c r="D2118">
        <f>YEAR(cukier8[[#This Row],[data]])</f>
        <v>2014</v>
      </c>
      <c r="E2118">
        <f>VLOOKUP(cukier8[[#This Row],[rok]],$L$2:$M$11,2,FALSE)*cukier8[[#This Row],[sprzedany_cukier]]</f>
        <v>399.17</v>
      </c>
    </row>
    <row r="2119" spans="1:5" x14ac:dyDescent="0.25">
      <c r="A2119" s="1">
        <v>41951</v>
      </c>
      <c r="B2119" t="s">
        <v>22</v>
      </c>
      <c r="C2119">
        <v>398</v>
      </c>
      <c r="D2119">
        <f>YEAR(cukier8[[#This Row],[data]])</f>
        <v>2014</v>
      </c>
      <c r="E2119">
        <f>VLOOKUP(cukier8[[#This Row],[rok]],$L$2:$M$11,2,FALSE)*cukier8[[#This Row],[sprzedany_cukier]]</f>
        <v>887.54</v>
      </c>
    </row>
    <row r="2120" spans="1:5" x14ac:dyDescent="0.25">
      <c r="A2120" s="1">
        <v>41952</v>
      </c>
      <c r="B2120" t="s">
        <v>69</v>
      </c>
      <c r="C2120">
        <v>68</v>
      </c>
      <c r="D2120">
        <f>YEAR(cukier8[[#This Row],[data]])</f>
        <v>2014</v>
      </c>
      <c r="E2120">
        <f>VLOOKUP(cukier8[[#This Row],[rok]],$L$2:$M$11,2,FALSE)*cukier8[[#This Row],[sprzedany_cukier]]</f>
        <v>151.63999999999999</v>
      </c>
    </row>
    <row r="2121" spans="1:5" x14ac:dyDescent="0.25">
      <c r="A2121" s="1">
        <v>41952</v>
      </c>
      <c r="B2121" t="s">
        <v>12</v>
      </c>
      <c r="C2121">
        <v>160</v>
      </c>
      <c r="D2121">
        <f>YEAR(cukier8[[#This Row],[data]])</f>
        <v>2014</v>
      </c>
      <c r="E2121">
        <f>VLOOKUP(cukier8[[#This Row],[rok]],$L$2:$M$11,2,FALSE)*cukier8[[#This Row],[sprzedany_cukier]]</f>
        <v>356.8</v>
      </c>
    </row>
    <row r="2122" spans="1:5" x14ac:dyDescent="0.25">
      <c r="A2122" s="1">
        <v>41953</v>
      </c>
      <c r="B2122" t="s">
        <v>12</v>
      </c>
      <c r="C2122">
        <v>183</v>
      </c>
      <c r="D2122">
        <f>YEAR(cukier8[[#This Row],[data]])</f>
        <v>2014</v>
      </c>
      <c r="E2122">
        <f>VLOOKUP(cukier8[[#This Row],[rok]],$L$2:$M$11,2,FALSE)*cukier8[[#This Row],[sprzedany_cukier]]</f>
        <v>408.09</v>
      </c>
    </row>
    <row r="2123" spans="1:5" x14ac:dyDescent="0.25">
      <c r="A2123" s="1">
        <v>41954</v>
      </c>
      <c r="B2123" t="s">
        <v>22</v>
      </c>
      <c r="C2123">
        <v>178</v>
      </c>
      <c r="D2123">
        <f>YEAR(cukier8[[#This Row],[data]])</f>
        <v>2014</v>
      </c>
      <c r="E2123">
        <f>VLOOKUP(cukier8[[#This Row],[rok]],$L$2:$M$11,2,FALSE)*cukier8[[#This Row],[sprzedany_cukier]]</f>
        <v>396.94</v>
      </c>
    </row>
    <row r="2124" spans="1:5" x14ac:dyDescent="0.25">
      <c r="A2124" s="1">
        <v>41955</v>
      </c>
      <c r="B2124" t="s">
        <v>7</v>
      </c>
      <c r="C2124">
        <v>381</v>
      </c>
      <c r="D2124">
        <f>YEAR(cukier8[[#This Row],[data]])</f>
        <v>2014</v>
      </c>
      <c r="E2124">
        <f>VLOOKUP(cukier8[[#This Row],[rok]],$L$2:$M$11,2,FALSE)*cukier8[[#This Row],[sprzedany_cukier]]</f>
        <v>849.63</v>
      </c>
    </row>
    <row r="2125" spans="1:5" x14ac:dyDescent="0.25">
      <c r="A2125" s="1">
        <v>41957</v>
      </c>
      <c r="B2125" t="s">
        <v>62</v>
      </c>
      <c r="C2125">
        <v>12</v>
      </c>
      <c r="D2125">
        <f>YEAR(cukier8[[#This Row],[data]])</f>
        <v>2014</v>
      </c>
      <c r="E2125">
        <f>VLOOKUP(cukier8[[#This Row],[rok]],$L$2:$M$11,2,FALSE)*cukier8[[#This Row],[sprzedany_cukier]]</f>
        <v>26.759999999999998</v>
      </c>
    </row>
    <row r="2126" spans="1:5" x14ac:dyDescent="0.25">
      <c r="A2126" s="1">
        <v>41959</v>
      </c>
      <c r="B2126" t="s">
        <v>28</v>
      </c>
      <c r="C2126">
        <v>116</v>
      </c>
      <c r="D2126">
        <f>YEAR(cukier8[[#This Row],[data]])</f>
        <v>2014</v>
      </c>
      <c r="E2126">
        <f>VLOOKUP(cukier8[[#This Row],[rok]],$L$2:$M$11,2,FALSE)*cukier8[[#This Row],[sprzedany_cukier]]</f>
        <v>258.68</v>
      </c>
    </row>
    <row r="2127" spans="1:5" x14ac:dyDescent="0.25">
      <c r="A2127" s="1">
        <v>41961</v>
      </c>
      <c r="B2127" t="s">
        <v>7</v>
      </c>
      <c r="C2127">
        <v>117</v>
      </c>
      <c r="D2127">
        <f>YEAR(cukier8[[#This Row],[data]])</f>
        <v>2014</v>
      </c>
      <c r="E2127">
        <f>VLOOKUP(cukier8[[#This Row],[rok]],$L$2:$M$11,2,FALSE)*cukier8[[#This Row],[sprzedany_cukier]]</f>
        <v>260.91000000000003</v>
      </c>
    </row>
    <row r="2128" spans="1:5" x14ac:dyDescent="0.25">
      <c r="A2128" s="1">
        <v>41961</v>
      </c>
      <c r="B2128" t="s">
        <v>69</v>
      </c>
      <c r="C2128">
        <v>31</v>
      </c>
      <c r="D2128">
        <f>YEAR(cukier8[[#This Row],[data]])</f>
        <v>2014</v>
      </c>
      <c r="E2128">
        <f>VLOOKUP(cukier8[[#This Row],[rok]],$L$2:$M$11,2,FALSE)*cukier8[[#This Row],[sprzedany_cukier]]</f>
        <v>69.13</v>
      </c>
    </row>
    <row r="2129" spans="1:5" x14ac:dyDescent="0.25">
      <c r="A2129" s="1">
        <v>41962</v>
      </c>
      <c r="B2129" t="s">
        <v>8</v>
      </c>
      <c r="C2129">
        <v>131</v>
      </c>
      <c r="D2129">
        <f>YEAR(cukier8[[#This Row],[data]])</f>
        <v>2014</v>
      </c>
      <c r="E2129">
        <f>VLOOKUP(cukier8[[#This Row],[rok]],$L$2:$M$11,2,FALSE)*cukier8[[#This Row],[sprzedany_cukier]]</f>
        <v>292.13</v>
      </c>
    </row>
    <row r="2130" spans="1:5" x14ac:dyDescent="0.25">
      <c r="A2130" s="1">
        <v>41962</v>
      </c>
      <c r="B2130" t="s">
        <v>10</v>
      </c>
      <c r="C2130">
        <v>21</v>
      </c>
      <c r="D2130">
        <f>YEAR(cukier8[[#This Row],[data]])</f>
        <v>2014</v>
      </c>
      <c r="E2130">
        <f>VLOOKUP(cukier8[[#This Row],[rok]],$L$2:$M$11,2,FALSE)*cukier8[[#This Row],[sprzedany_cukier]]</f>
        <v>46.83</v>
      </c>
    </row>
    <row r="2131" spans="1:5" x14ac:dyDescent="0.25">
      <c r="A2131" s="1">
        <v>41963</v>
      </c>
      <c r="B2131" t="s">
        <v>9</v>
      </c>
      <c r="C2131">
        <v>300</v>
      </c>
      <c r="D2131">
        <f>YEAR(cukier8[[#This Row],[data]])</f>
        <v>2014</v>
      </c>
      <c r="E2131">
        <f>VLOOKUP(cukier8[[#This Row],[rok]],$L$2:$M$11,2,FALSE)*cukier8[[#This Row],[sprzedany_cukier]]</f>
        <v>669</v>
      </c>
    </row>
    <row r="2132" spans="1:5" x14ac:dyDescent="0.25">
      <c r="A2132" s="1">
        <v>41963</v>
      </c>
      <c r="B2132" t="s">
        <v>18</v>
      </c>
      <c r="C2132">
        <v>32</v>
      </c>
      <c r="D2132">
        <f>YEAR(cukier8[[#This Row],[data]])</f>
        <v>2014</v>
      </c>
      <c r="E2132">
        <f>VLOOKUP(cukier8[[#This Row],[rok]],$L$2:$M$11,2,FALSE)*cukier8[[#This Row],[sprzedany_cukier]]</f>
        <v>71.36</v>
      </c>
    </row>
    <row r="2133" spans="1:5" x14ac:dyDescent="0.25">
      <c r="A2133" s="1">
        <v>41966</v>
      </c>
      <c r="B2133" t="s">
        <v>132</v>
      </c>
      <c r="C2133">
        <v>4</v>
      </c>
      <c r="D2133">
        <f>YEAR(cukier8[[#This Row],[data]])</f>
        <v>2014</v>
      </c>
      <c r="E2133">
        <f>VLOOKUP(cukier8[[#This Row],[rok]],$L$2:$M$11,2,FALSE)*cukier8[[#This Row],[sprzedany_cukier]]</f>
        <v>8.92</v>
      </c>
    </row>
    <row r="2134" spans="1:5" x14ac:dyDescent="0.25">
      <c r="A2134" s="1">
        <v>41967</v>
      </c>
      <c r="B2134" t="s">
        <v>45</v>
      </c>
      <c r="C2134">
        <v>230</v>
      </c>
      <c r="D2134">
        <f>YEAR(cukier8[[#This Row],[data]])</f>
        <v>2014</v>
      </c>
      <c r="E2134">
        <f>VLOOKUP(cukier8[[#This Row],[rok]],$L$2:$M$11,2,FALSE)*cukier8[[#This Row],[sprzedany_cukier]]</f>
        <v>512.9</v>
      </c>
    </row>
    <row r="2135" spans="1:5" x14ac:dyDescent="0.25">
      <c r="A2135" s="1">
        <v>41968</v>
      </c>
      <c r="B2135" t="s">
        <v>61</v>
      </c>
      <c r="C2135">
        <v>164</v>
      </c>
      <c r="D2135">
        <f>YEAR(cukier8[[#This Row],[data]])</f>
        <v>2014</v>
      </c>
      <c r="E2135">
        <f>VLOOKUP(cukier8[[#This Row],[rok]],$L$2:$M$11,2,FALSE)*cukier8[[#This Row],[sprzedany_cukier]]</f>
        <v>365.71999999999997</v>
      </c>
    </row>
    <row r="2136" spans="1:5" x14ac:dyDescent="0.25">
      <c r="A2136" s="1">
        <v>41969</v>
      </c>
      <c r="B2136" t="s">
        <v>98</v>
      </c>
      <c r="C2136">
        <v>4</v>
      </c>
      <c r="D2136">
        <f>YEAR(cukier8[[#This Row],[data]])</f>
        <v>2014</v>
      </c>
      <c r="E2136">
        <f>VLOOKUP(cukier8[[#This Row],[rok]],$L$2:$M$11,2,FALSE)*cukier8[[#This Row],[sprzedany_cukier]]</f>
        <v>8.92</v>
      </c>
    </row>
    <row r="2137" spans="1:5" x14ac:dyDescent="0.25">
      <c r="A2137" s="1">
        <v>41972</v>
      </c>
      <c r="B2137" t="s">
        <v>20</v>
      </c>
      <c r="C2137">
        <v>96</v>
      </c>
      <c r="D2137">
        <f>YEAR(cukier8[[#This Row],[data]])</f>
        <v>2014</v>
      </c>
      <c r="E2137">
        <f>VLOOKUP(cukier8[[#This Row],[rok]],$L$2:$M$11,2,FALSE)*cukier8[[#This Row],[sprzedany_cukier]]</f>
        <v>214.07999999999998</v>
      </c>
    </row>
    <row r="2138" spans="1:5" x14ac:dyDescent="0.25">
      <c r="A2138" s="1">
        <v>41975</v>
      </c>
      <c r="B2138" t="s">
        <v>131</v>
      </c>
      <c r="C2138">
        <v>94</v>
      </c>
      <c r="D2138">
        <f>YEAR(cukier8[[#This Row],[data]])</f>
        <v>2014</v>
      </c>
      <c r="E2138">
        <f>VLOOKUP(cukier8[[#This Row],[rok]],$L$2:$M$11,2,FALSE)*cukier8[[#This Row],[sprzedany_cukier]]</f>
        <v>209.62</v>
      </c>
    </row>
    <row r="2139" spans="1:5" x14ac:dyDescent="0.25">
      <c r="A2139" s="1">
        <v>41975</v>
      </c>
      <c r="B2139" t="s">
        <v>71</v>
      </c>
      <c r="C2139">
        <v>21</v>
      </c>
      <c r="D2139">
        <f>YEAR(cukier8[[#This Row],[data]])</f>
        <v>2014</v>
      </c>
      <c r="E2139">
        <f>VLOOKUP(cukier8[[#This Row],[rok]],$L$2:$M$11,2,FALSE)*cukier8[[#This Row],[sprzedany_cukier]]</f>
        <v>46.83</v>
      </c>
    </row>
    <row r="2140" spans="1:5" x14ac:dyDescent="0.25">
      <c r="A2140" s="1">
        <v>41977</v>
      </c>
      <c r="B2140" t="s">
        <v>7</v>
      </c>
      <c r="C2140">
        <v>129</v>
      </c>
      <c r="D2140">
        <f>YEAR(cukier8[[#This Row],[data]])</f>
        <v>2014</v>
      </c>
      <c r="E2140">
        <f>VLOOKUP(cukier8[[#This Row],[rok]],$L$2:$M$11,2,FALSE)*cukier8[[#This Row],[sprzedany_cukier]]</f>
        <v>287.67</v>
      </c>
    </row>
    <row r="2141" spans="1:5" x14ac:dyDescent="0.25">
      <c r="A2141" s="1">
        <v>41977</v>
      </c>
      <c r="B2141" t="s">
        <v>25</v>
      </c>
      <c r="C2141">
        <v>197</v>
      </c>
      <c r="D2141">
        <f>YEAR(cukier8[[#This Row],[data]])</f>
        <v>2014</v>
      </c>
      <c r="E2141">
        <f>VLOOKUP(cukier8[[#This Row],[rok]],$L$2:$M$11,2,FALSE)*cukier8[[#This Row],[sprzedany_cukier]]</f>
        <v>439.31</v>
      </c>
    </row>
    <row r="2142" spans="1:5" x14ac:dyDescent="0.25">
      <c r="A2142" s="1">
        <v>41978</v>
      </c>
      <c r="B2142" t="s">
        <v>113</v>
      </c>
      <c r="C2142">
        <v>16</v>
      </c>
      <c r="D2142">
        <f>YEAR(cukier8[[#This Row],[data]])</f>
        <v>2014</v>
      </c>
      <c r="E2142">
        <f>VLOOKUP(cukier8[[#This Row],[rok]],$L$2:$M$11,2,FALSE)*cukier8[[#This Row],[sprzedany_cukier]]</f>
        <v>35.68</v>
      </c>
    </row>
    <row r="2143" spans="1:5" x14ac:dyDescent="0.25">
      <c r="A2143" s="1">
        <v>41978</v>
      </c>
      <c r="B2143" t="s">
        <v>24</v>
      </c>
      <c r="C2143">
        <v>332</v>
      </c>
      <c r="D2143">
        <f>YEAR(cukier8[[#This Row],[data]])</f>
        <v>2014</v>
      </c>
      <c r="E2143">
        <f>VLOOKUP(cukier8[[#This Row],[rok]],$L$2:$M$11,2,FALSE)*cukier8[[#This Row],[sprzedany_cukier]]</f>
        <v>740.36</v>
      </c>
    </row>
    <row r="2144" spans="1:5" x14ac:dyDescent="0.25">
      <c r="A2144" s="1">
        <v>41980</v>
      </c>
      <c r="B2144" t="s">
        <v>69</v>
      </c>
      <c r="C2144">
        <v>75</v>
      </c>
      <c r="D2144">
        <f>YEAR(cukier8[[#This Row],[data]])</f>
        <v>2014</v>
      </c>
      <c r="E2144">
        <f>VLOOKUP(cukier8[[#This Row],[rok]],$L$2:$M$11,2,FALSE)*cukier8[[#This Row],[sprzedany_cukier]]</f>
        <v>167.25</v>
      </c>
    </row>
    <row r="2145" spans="1:5" x14ac:dyDescent="0.25">
      <c r="A2145" s="1">
        <v>41981</v>
      </c>
      <c r="B2145" t="s">
        <v>74</v>
      </c>
      <c r="C2145">
        <v>10</v>
      </c>
      <c r="D2145">
        <f>YEAR(cukier8[[#This Row],[data]])</f>
        <v>2014</v>
      </c>
      <c r="E2145">
        <f>VLOOKUP(cukier8[[#This Row],[rok]],$L$2:$M$11,2,FALSE)*cukier8[[#This Row],[sprzedany_cukier]]</f>
        <v>22.3</v>
      </c>
    </row>
    <row r="2146" spans="1:5" x14ac:dyDescent="0.25">
      <c r="A2146" s="1">
        <v>41982</v>
      </c>
      <c r="B2146" t="s">
        <v>37</v>
      </c>
      <c r="C2146">
        <v>93</v>
      </c>
      <c r="D2146">
        <f>YEAR(cukier8[[#This Row],[data]])</f>
        <v>2014</v>
      </c>
      <c r="E2146">
        <f>VLOOKUP(cukier8[[#This Row],[rok]],$L$2:$M$11,2,FALSE)*cukier8[[#This Row],[sprzedany_cukier]]</f>
        <v>207.39</v>
      </c>
    </row>
    <row r="2147" spans="1:5" x14ac:dyDescent="0.25">
      <c r="A2147" s="1">
        <v>41983</v>
      </c>
      <c r="B2147" t="s">
        <v>45</v>
      </c>
      <c r="C2147">
        <v>146</v>
      </c>
      <c r="D2147">
        <f>YEAR(cukier8[[#This Row],[data]])</f>
        <v>2014</v>
      </c>
      <c r="E2147">
        <f>VLOOKUP(cukier8[[#This Row],[rok]],$L$2:$M$11,2,FALSE)*cukier8[[#This Row],[sprzedany_cukier]]</f>
        <v>325.58</v>
      </c>
    </row>
    <row r="2148" spans="1:5" x14ac:dyDescent="0.25">
      <c r="A2148" s="1">
        <v>41984</v>
      </c>
      <c r="B2148" t="s">
        <v>58</v>
      </c>
      <c r="C2148">
        <v>197</v>
      </c>
      <c r="D2148">
        <f>YEAR(cukier8[[#This Row],[data]])</f>
        <v>2014</v>
      </c>
      <c r="E2148">
        <f>VLOOKUP(cukier8[[#This Row],[rok]],$L$2:$M$11,2,FALSE)*cukier8[[#This Row],[sprzedany_cukier]]</f>
        <v>439.31</v>
      </c>
    </row>
    <row r="2149" spans="1:5" x14ac:dyDescent="0.25">
      <c r="A2149" s="1">
        <v>41986</v>
      </c>
      <c r="B2149" t="s">
        <v>17</v>
      </c>
      <c r="C2149">
        <v>482</v>
      </c>
      <c r="D2149">
        <f>YEAR(cukier8[[#This Row],[data]])</f>
        <v>2014</v>
      </c>
      <c r="E2149">
        <f>VLOOKUP(cukier8[[#This Row],[rok]],$L$2:$M$11,2,FALSE)*cukier8[[#This Row],[sprzedany_cukier]]</f>
        <v>1074.8599999999999</v>
      </c>
    </row>
    <row r="2150" spans="1:5" x14ac:dyDescent="0.25">
      <c r="A2150" s="1">
        <v>41988</v>
      </c>
      <c r="B2150" t="s">
        <v>8</v>
      </c>
      <c r="C2150">
        <v>43</v>
      </c>
      <c r="D2150">
        <f>YEAR(cukier8[[#This Row],[data]])</f>
        <v>2014</v>
      </c>
      <c r="E2150">
        <f>VLOOKUP(cukier8[[#This Row],[rok]],$L$2:$M$11,2,FALSE)*cukier8[[#This Row],[sprzedany_cukier]]</f>
        <v>95.89</v>
      </c>
    </row>
    <row r="2151" spans="1:5" x14ac:dyDescent="0.25">
      <c r="A2151" s="1">
        <v>41989</v>
      </c>
      <c r="B2151" t="s">
        <v>22</v>
      </c>
      <c r="C2151">
        <v>367</v>
      </c>
      <c r="D2151">
        <f>YEAR(cukier8[[#This Row],[data]])</f>
        <v>2014</v>
      </c>
      <c r="E2151">
        <f>VLOOKUP(cukier8[[#This Row],[rok]],$L$2:$M$11,2,FALSE)*cukier8[[#This Row],[sprzedany_cukier]]</f>
        <v>818.41</v>
      </c>
    </row>
    <row r="2152" spans="1:5" x14ac:dyDescent="0.25">
      <c r="A2152" s="1">
        <v>41989</v>
      </c>
      <c r="B2152" t="s">
        <v>14</v>
      </c>
      <c r="C2152">
        <v>274</v>
      </c>
      <c r="D2152">
        <f>YEAR(cukier8[[#This Row],[data]])</f>
        <v>2014</v>
      </c>
      <c r="E2152">
        <f>VLOOKUP(cukier8[[#This Row],[rok]],$L$2:$M$11,2,FALSE)*cukier8[[#This Row],[sprzedany_cukier]]</f>
        <v>611.02</v>
      </c>
    </row>
    <row r="2153" spans="1:5" x14ac:dyDescent="0.25">
      <c r="A2153" s="1">
        <v>41991</v>
      </c>
      <c r="B2153" t="s">
        <v>17</v>
      </c>
      <c r="C2153">
        <v>283</v>
      </c>
      <c r="D2153">
        <f>YEAR(cukier8[[#This Row],[data]])</f>
        <v>2014</v>
      </c>
      <c r="E2153">
        <f>VLOOKUP(cukier8[[#This Row],[rok]],$L$2:$M$11,2,FALSE)*cukier8[[#This Row],[sprzedany_cukier]]</f>
        <v>631.09</v>
      </c>
    </row>
    <row r="2154" spans="1:5" x14ac:dyDescent="0.25">
      <c r="A2154" s="1">
        <v>41992</v>
      </c>
      <c r="B2154" t="s">
        <v>55</v>
      </c>
      <c r="C2154">
        <v>98</v>
      </c>
      <c r="D2154">
        <f>YEAR(cukier8[[#This Row],[data]])</f>
        <v>2014</v>
      </c>
      <c r="E2154">
        <f>VLOOKUP(cukier8[[#This Row],[rok]],$L$2:$M$11,2,FALSE)*cukier8[[#This Row],[sprzedany_cukier]]</f>
        <v>218.54</v>
      </c>
    </row>
    <row r="2155" spans="1:5" x14ac:dyDescent="0.25">
      <c r="A2155" s="1">
        <v>41993</v>
      </c>
      <c r="B2155" t="s">
        <v>22</v>
      </c>
      <c r="C2155">
        <v>485</v>
      </c>
      <c r="D2155">
        <f>YEAR(cukier8[[#This Row],[data]])</f>
        <v>2014</v>
      </c>
      <c r="E2155">
        <f>VLOOKUP(cukier8[[#This Row],[rok]],$L$2:$M$11,2,FALSE)*cukier8[[#This Row],[sprzedany_cukier]]</f>
        <v>1081.55</v>
      </c>
    </row>
    <row r="2156" spans="1:5" x14ac:dyDescent="0.25">
      <c r="A2156" s="1">
        <v>41994</v>
      </c>
      <c r="B2156" t="s">
        <v>167</v>
      </c>
      <c r="C2156">
        <v>3</v>
      </c>
      <c r="D2156">
        <f>YEAR(cukier8[[#This Row],[data]])</f>
        <v>2014</v>
      </c>
      <c r="E2156">
        <f>VLOOKUP(cukier8[[#This Row],[rok]],$L$2:$M$11,2,FALSE)*cukier8[[#This Row],[sprzedany_cukier]]</f>
        <v>6.6899999999999995</v>
      </c>
    </row>
    <row r="2157" spans="1:5" x14ac:dyDescent="0.25">
      <c r="A2157" s="1">
        <v>41996</v>
      </c>
      <c r="B2157" t="s">
        <v>45</v>
      </c>
      <c r="C2157">
        <v>331</v>
      </c>
      <c r="D2157">
        <f>YEAR(cukier8[[#This Row],[data]])</f>
        <v>2014</v>
      </c>
      <c r="E2157">
        <f>VLOOKUP(cukier8[[#This Row],[rok]],$L$2:$M$11,2,FALSE)*cukier8[[#This Row],[sprzedany_cukier]]</f>
        <v>738.13</v>
      </c>
    </row>
    <row r="2158" spans="1:5" x14ac:dyDescent="0.25">
      <c r="A2158" s="1">
        <v>41997</v>
      </c>
      <c r="B2158" t="s">
        <v>8</v>
      </c>
      <c r="C2158">
        <v>150</v>
      </c>
      <c r="D2158">
        <f>YEAR(cukier8[[#This Row],[data]])</f>
        <v>2014</v>
      </c>
      <c r="E2158">
        <f>VLOOKUP(cukier8[[#This Row],[rok]],$L$2:$M$11,2,FALSE)*cukier8[[#This Row],[sprzedany_cukier]]</f>
        <v>334.5</v>
      </c>
    </row>
    <row r="2159" spans="1:5" x14ac:dyDescent="0.25">
      <c r="A2159" s="1">
        <v>41998</v>
      </c>
      <c r="B2159" t="s">
        <v>7</v>
      </c>
      <c r="C2159">
        <v>463</v>
      </c>
      <c r="D2159">
        <f>YEAR(cukier8[[#This Row],[data]])</f>
        <v>2014</v>
      </c>
      <c r="E2159">
        <f>VLOOKUP(cukier8[[#This Row],[rok]],$L$2:$M$11,2,FALSE)*cukier8[[#This Row],[sprzedany_cukier]]</f>
        <v>1032.49</v>
      </c>
    </row>
    <row r="2160" spans="1:5" x14ac:dyDescent="0.25">
      <c r="A2160" s="1">
        <v>41999</v>
      </c>
      <c r="B2160" t="s">
        <v>159</v>
      </c>
      <c r="C2160">
        <v>8</v>
      </c>
      <c r="D2160">
        <f>YEAR(cukier8[[#This Row],[data]])</f>
        <v>2014</v>
      </c>
      <c r="E2160">
        <f>VLOOKUP(cukier8[[#This Row],[rok]],$L$2:$M$11,2,FALSE)*cukier8[[#This Row],[sprzedany_cukier]]</f>
        <v>17.84</v>
      </c>
    </row>
    <row r="2161" spans="1:5" x14ac:dyDescent="0.25">
      <c r="A2161" s="1">
        <v>41999</v>
      </c>
      <c r="B2161" t="s">
        <v>12</v>
      </c>
      <c r="C2161">
        <v>178</v>
      </c>
      <c r="D2161">
        <f>YEAR(cukier8[[#This Row],[data]])</f>
        <v>2014</v>
      </c>
      <c r="E2161">
        <f>VLOOKUP(cukier8[[#This Row],[rok]],$L$2:$M$11,2,FALSE)*cukier8[[#This Row],[sprzedany_cukier]]</f>
        <v>396.94</v>
      </c>
    </row>
    <row r="2162" spans="1:5" x14ac:dyDescent="0.25">
      <c r="A2162" s="1">
        <v>42001</v>
      </c>
      <c r="B2162" t="s">
        <v>19</v>
      </c>
      <c r="C2162">
        <v>166</v>
      </c>
      <c r="D2162">
        <f>YEAR(cukier8[[#This Row],[data]])</f>
        <v>2014</v>
      </c>
      <c r="E2162">
        <f>VLOOKUP(cukier8[[#This Row],[rok]],$L$2:$M$11,2,FALSE)*cukier8[[#This Row],[sprzedany_cukier]]</f>
        <v>370.18</v>
      </c>
    </row>
    <row r="2163" spans="1:5" x14ac:dyDescent="0.25">
      <c r="A2163" s="1">
        <v>42002</v>
      </c>
      <c r="B2163" t="s">
        <v>232</v>
      </c>
      <c r="C2163">
        <v>14</v>
      </c>
      <c r="D2163">
        <f>YEAR(cukier8[[#This Row],[data]])</f>
        <v>2014</v>
      </c>
      <c r="E2163">
        <f>VLOOKUP(cukier8[[#This Row],[rok]],$L$2:$M$11,2,FALSE)*cukier8[[#This Row],[sprzedany_cukier]]</f>
        <v>31.22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A1CF-6673-4220-9BC5-4E811B34C243}">
  <dimension ref="A1:M2163"/>
  <sheetViews>
    <sheetView topLeftCell="A10" workbookViewId="0">
      <selection activeCell="Q22" sqref="Q22"/>
    </sheetView>
  </sheetViews>
  <sheetFormatPr defaultRowHeight="15" x14ac:dyDescent="0.25"/>
  <cols>
    <col min="1" max="1" width="11.140625" bestFit="1" customWidth="1"/>
    <col min="2" max="2" width="13.28515625" bestFit="1" customWidth="1"/>
    <col min="3" max="3" width="18.85546875" bestFit="1" customWidth="1"/>
    <col min="6" max="6" width="17.7109375" bestFit="1" customWidth="1"/>
    <col min="7" max="7" width="23.42578125" bestFit="1" customWidth="1"/>
    <col min="15" max="15" width="10.140625" bestFit="1" customWidth="1"/>
  </cols>
  <sheetData>
    <row r="1" spans="1:13" x14ac:dyDescent="0.25">
      <c r="A1" t="s">
        <v>240</v>
      </c>
      <c r="B1" t="s">
        <v>241</v>
      </c>
      <c r="C1" t="s">
        <v>242</v>
      </c>
      <c r="D1" t="s">
        <v>244</v>
      </c>
      <c r="F1" s="7" t="s">
        <v>244</v>
      </c>
      <c r="G1" s="7" t="s">
        <v>246</v>
      </c>
      <c r="L1" t="s">
        <v>244</v>
      </c>
      <c r="M1" t="s">
        <v>243</v>
      </c>
    </row>
    <row r="2" spans="1:13" x14ac:dyDescent="0.25">
      <c r="A2" s="1">
        <v>38353</v>
      </c>
      <c r="B2" t="s">
        <v>0</v>
      </c>
      <c r="C2">
        <v>10</v>
      </c>
      <c r="D2">
        <f>YEAR(cukier9[[#This Row],[data]])</f>
        <v>2005</v>
      </c>
      <c r="F2" s="8">
        <v>2005</v>
      </c>
      <c r="G2" s="7">
        <v>27016</v>
      </c>
      <c r="L2" s="4">
        <v>2005</v>
      </c>
      <c r="M2" s="2">
        <v>2</v>
      </c>
    </row>
    <row r="3" spans="1:13" x14ac:dyDescent="0.25">
      <c r="A3" s="1">
        <v>38356</v>
      </c>
      <c r="B3" t="s">
        <v>1</v>
      </c>
      <c r="C3">
        <v>2</v>
      </c>
      <c r="D3">
        <f>YEAR(cukier9[[#This Row],[data]])</f>
        <v>2005</v>
      </c>
      <c r="F3" s="8">
        <v>2006</v>
      </c>
      <c r="G3" s="7">
        <v>27226</v>
      </c>
      <c r="L3" s="5">
        <v>2006</v>
      </c>
      <c r="M3" s="3">
        <v>2.0499999999999998</v>
      </c>
    </row>
    <row r="4" spans="1:13" x14ac:dyDescent="0.25">
      <c r="A4" s="1">
        <v>38357</v>
      </c>
      <c r="B4" t="s">
        <v>2</v>
      </c>
      <c r="C4">
        <v>2</v>
      </c>
      <c r="D4">
        <f>YEAR(cukier9[[#This Row],[data]])</f>
        <v>2005</v>
      </c>
      <c r="F4" s="8">
        <v>2007</v>
      </c>
      <c r="G4" s="7">
        <v>31720</v>
      </c>
      <c r="L4" s="4">
        <v>2007</v>
      </c>
      <c r="M4" s="2">
        <v>2.09</v>
      </c>
    </row>
    <row r="5" spans="1:13" x14ac:dyDescent="0.25">
      <c r="A5" s="1">
        <v>38362</v>
      </c>
      <c r="B5" t="s">
        <v>3</v>
      </c>
      <c r="C5">
        <v>5</v>
      </c>
      <c r="D5">
        <f>YEAR(cukier9[[#This Row],[data]])</f>
        <v>2005</v>
      </c>
      <c r="F5" s="8">
        <v>2008</v>
      </c>
      <c r="G5" s="7">
        <v>36523</v>
      </c>
      <c r="L5" s="5">
        <v>2008</v>
      </c>
      <c r="M5" s="3">
        <v>2.15</v>
      </c>
    </row>
    <row r="6" spans="1:13" x14ac:dyDescent="0.25">
      <c r="A6" s="1">
        <v>38363</v>
      </c>
      <c r="B6" t="s">
        <v>4</v>
      </c>
      <c r="C6">
        <v>14</v>
      </c>
      <c r="D6">
        <f>YEAR(cukier9[[#This Row],[data]])</f>
        <v>2005</v>
      </c>
      <c r="F6" s="8">
        <v>2009</v>
      </c>
      <c r="G6" s="7">
        <v>30764</v>
      </c>
      <c r="L6" s="4">
        <v>2009</v>
      </c>
      <c r="M6" s="2">
        <v>2.13</v>
      </c>
    </row>
    <row r="7" spans="1:13" x14ac:dyDescent="0.25">
      <c r="A7" s="1">
        <v>38365</v>
      </c>
      <c r="B7" t="s">
        <v>5</v>
      </c>
      <c r="C7">
        <v>436</v>
      </c>
      <c r="D7">
        <f>YEAR(cukier9[[#This Row],[data]])</f>
        <v>2005</v>
      </c>
      <c r="F7" s="8">
        <v>2010</v>
      </c>
      <c r="G7" s="7">
        <v>32521</v>
      </c>
      <c r="L7" s="5">
        <v>2010</v>
      </c>
      <c r="M7" s="3">
        <v>2.1</v>
      </c>
    </row>
    <row r="8" spans="1:13" x14ac:dyDescent="0.25">
      <c r="A8" s="1">
        <v>38366</v>
      </c>
      <c r="B8" t="s">
        <v>6</v>
      </c>
      <c r="C8">
        <v>95</v>
      </c>
      <c r="D8">
        <f>YEAR(cukier9[[#This Row],[data]])</f>
        <v>2005</v>
      </c>
      <c r="F8" s="8">
        <v>2011</v>
      </c>
      <c r="G8" s="7">
        <v>23778</v>
      </c>
      <c r="L8" s="4">
        <v>2011</v>
      </c>
      <c r="M8" s="2">
        <v>2.2000000000000002</v>
      </c>
    </row>
    <row r="9" spans="1:13" x14ac:dyDescent="0.25">
      <c r="A9" s="1">
        <v>38370</v>
      </c>
      <c r="B9" t="s">
        <v>7</v>
      </c>
      <c r="C9">
        <v>350</v>
      </c>
      <c r="D9">
        <f>YEAR(cukier9[[#This Row],[data]])</f>
        <v>2005</v>
      </c>
      <c r="F9" s="8">
        <v>2012</v>
      </c>
      <c r="G9" s="7">
        <v>26976</v>
      </c>
      <c r="L9" s="5">
        <v>2012</v>
      </c>
      <c r="M9" s="3">
        <v>2.25</v>
      </c>
    </row>
    <row r="10" spans="1:13" x14ac:dyDescent="0.25">
      <c r="A10" s="1">
        <v>38371</v>
      </c>
      <c r="B10" t="s">
        <v>7</v>
      </c>
      <c r="C10">
        <v>231</v>
      </c>
      <c r="D10">
        <f>YEAR(cukier9[[#This Row],[data]])</f>
        <v>2005</v>
      </c>
      <c r="F10" s="8">
        <v>2013</v>
      </c>
      <c r="G10" s="7">
        <v>28419</v>
      </c>
      <c r="L10" s="4">
        <v>2013</v>
      </c>
      <c r="M10" s="2">
        <v>2.2200000000000002</v>
      </c>
    </row>
    <row r="11" spans="1:13" x14ac:dyDescent="0.25">
      <c r="A11" s="1">
        <v>38372</v>
      </c>
      <c r="B11" t="s">
        <v>8</v>
      </c>
      <c r="C11">
        <v>38</v>
      </c>
      <c r="D11">
        <f>YEAR(cukier9[[#This Row],[data]])</f>
        <v>2005</v>
      </c>
      <c r="F11" s="8">
        <v>2014</v>
      </c>
      <c r="G11" s="7">
        <v>35284</v>
      </c>
      <c r="L11" s="5">
        <v>2014</v>
      </c>
      <c r="M11" s="3">
        <v>2.23</v>
      </c>
    </row>
    <row r="12" spans="1:13" x14ac:dyDescent="0.25">
      <c r="A12" s="1">
        <v>38374</v>
      </c>
      <c r="B12" t="s">
        <v>9</v>
      </c>
      <c r="C12">
        <v>440</v>
      </c>
      <c r="D12">
        <f>YEAR(cukier9[[#This Row],[data]])</f>
        <v>2005</v>
      </c>
      <c r="F12" s="6" t="s">
        <v>245</v>
      </c>
      <c r="G12">
        <v>300227</v>
      </c>
    </row>
    <row r="13" spans="1:13" x14ac:dyDescent="0.25">
      <c r="A13" s="1">
        <v>38376</v>
      </c>
      <c r="B13" t="s">
        <v>10</v>
      </c>
      <c r="C13">
        <v>120</v>
      </c>
      <c r="D13">
        <f>YEAR(cukier9[[#This Row],[data]])</f>
        <v>2005</v>
      </c>
    </row>
    <row r="14" spans="1:13" x14ac:dyDescent="0.25">
      <c r="A14" s="1">
        <v>38377</v>
      </c>
      <c r="B14" t="s">
        <v>11</v>
      </c>
      <c r="C14">
        <v>11</v>
      </c>
      <c r="D14">
        <f>YEAR(cukier9[[#This Row],[data]])</f>
        <v>2005</v>
      </c>
    </row>
    <row r="15" spans="1:13" x14ac:dyDescent="0.25">
      <c r="A15" s="1">
        <v>38378</v>
      </c>
      <c r="B15" t="s">
        <v>12</v>
      </c>
      <c r="C15">
        <v>36</v>
      </c>
      <c r="D15">
        <f>YEAR(cukier9[[#This Row],[data]])</f>
        <v>2005</v>
      </c>
    </row>
    <row r="16" spans="1:13" x14ac:dyDescent="0.25">
      <c r="A16" s="1">
        <v>38379</v>
      </c>
      <c r="B16" t="s">
        <v>10</v>
      </c>
      <c r="C16">
        <v>51</v>
      </c>
      <c r="D16">
        <f>YEAR(cukier9[[#This Row],[data]])</f>
        <v>2005</v>
      </c>
    </row>
    <row r="17" spans="1:4" x14ac:dyDescent="0.25">
      <c r="A17" s="1">
        <v>38385</v>
      </c>
      <c r="B17" t="s">
        <v>7</v>
      </c>
      <c r="C17">
        <v>465</v>
      </c>
      <c r="D17">
        <f>YEAR(cukier9[[#This Row],[data]])</f>
        <v>2005</v>
      </c>
    </row>
    <row r="18" spans="1:4" x14ac:dyDescent="0.25">
      <c r="A18" s="1">
        <v>38386</v>
      </c>
      <c r="B18" t="s">
        <v>13</v>
      </c>
      <c r="C18">
        <v>8</v>
      </c>
      <c r="D18">
        <f>YEAR(cukier9[[#This Row],[data]])</f>
        <v>2005</v>
      </c>
    </row>
    <row r="19" spans="1:4" x14ac:dyDescent="0.25">
      <c r="A19" s="1">
        <v>38388</v>
      </c>
      <c r="B19" t="s">
        <v>14</v>
      </c>
      <c r="C19">
        <v>287</v>
      </c>
      <c r="D19">
        <f>YEAR(cukier9[[#This Row],[data]])</f>
        <v>2005</v>
      </c>
    </row>
    <row r="20" spans="1:4" x14ac:dyDescent="0.25">
      <c r="A20" s="1">
        <v>38388</v>
      </c>
      <c r="B20" t="s">
        <v>15</v>
      </c>
      <c r="C20">
        <v>12</v>
      </c>
      <c r="D20">
        <f>YEAR(cukier9[[#This Row],[data]])</f>
        <v>2005</v>
      </c>
    </row>
    <row r="21" spans="1:4" x14ac:dyDescent="0.25">
      <c r="A21" s="1">
        <v>38393</v>
      </c>
      <c r="B21" t="s">
        <v>16</v>
      </c>
      <c r="C21">
        <v>6</v>
      </c>
      <c r="D21">
        <f>YEAR(cukier9[[#This Row],[data]])</f>
        <v>2005</v>
      </c>
    </row>
    <row r="22" spans="1:4" x14ac:dyDescent="0.25">
      <c r="A22" s="1">
        <v>38397</v>
      </c>
      <c r="B22" t="s">
        <v>17</v>
      </c>
      <c r="C22">
        <v>321</v>
      </c>
      <c r="D22">
        <f>YEAR(cukier9[[#This Row],[data]])</f>
        <v>2005</v>
      </c>
    </row>
    <row r="23" spans="1:4" x14ac:dyDescent="0.25">
      <c r="A23" s="1">
        <v>38401</v>
      </c>
      <c r="B23" t="s">
        <v>18</v>
      </c>
      <c r="C23">
        <v>99</v>
      </c>
      <c r="D23">
        <f>YEAR(cukier9[[#This Row],[data]])</f>
        <v>2005</v>
      </c>
    </row>
    <row r="24" spans="1:4" x14ac:dyDescent="0.25">
      <c r="A24" s="1">
        <v>38401</v>
      </c>
      <c r="B24" t="s">
        <v>19</v>
      </c>
      <c r="C24">
        <v>91</v>
      </c>
      <c r="D24">
        <f>YEAR(cukier9[[#This Row],[data]])</f>
        <v>2005</v>
      </c>
    </row>
    <row r="25" spans="1:4" x14ac:dyDescent="0.25">
      <c r="A25" s="1">
        <v>38407</v>
      </c>
      <c r="B25" t="s">
        <v>14</v>
      </c>
      <c r="C25">
        <v>118</v>
      </c>
      <c r="D25">
        <f>YEAR(cukier9[[#This Row],[data]])</f>
        <v>2005</v>
      </c>
    </row>
    <row r="26" spans="1:4" x14ac:dyDescent="0.25">
      <c r="A26" s="1">
        <v>38408</v>
      </c>
      <c r="B26" t="s">
        <v>20</v>
      </c>
      <c r="C26">
        <v>58</v>
      </c>
      <c r="D26">
        <f>YEAR(cukier9[[#This Row],[data]])</f>
        <v>2005</v>
      </c>
    </row>
    <row r="27" spans="1:4" x14ac:dyDescent="0.25">
      <c r="A27" s="1">
        <v>38409</v>
      </c>
      <c r="B27" t="s">
        <v>21</v>
      </c>
      <c r="C27">
        <v>16</v>
      </c>
      <c r="D27">
        <f>YEAR(cukier9[[#This Row],[data]])</f>
        <v>2005</v>
      </c>
    </row>
    <row r="28" spans="1:4" x14ac:dyDescent="0.25">
      <c r="A28" s="1">
        <v>38409</v>
      </c>
      <c r="B28" t="s">
        <v>22</v>
      </c>
      <c r="C28">
        <v>348</v>
      </c>
      <c r="D28">
        <f>YEAR(cukier9[[#This Row],[data]])</f>
        <v>2005</v>
      </c>
    </row>
    <row r="29" spans="1:4" x14ac:dyDescent="0.25">
      <c r="A29" s="1">
        <v>38410</v>
      </c>
      <c r="B29" t="s">
        <v>5</v>
      </c>
      <c r="C29">
        <v>336</v>
      </c>
      <c r="D29">
        <f>YEAR(cukier9[[#This Row],[data]])</f>
        <v>2005</v>
      </c>
    </row>
    <row r="30" spans="1:4" x14ac:dyDescent="0.25">
      <c r="A30" s="1">
        <v>38410</v>
      </c>
      <c r="B30" t="s">
        <v>22</v>
      </c>
      <c r="C30">
        <v>435</v>
      </c>
      <c r="D30">
        <f>YEAR(cukier9[[#This Row],[data]])</f>
        <v>2005</v>
      </c>
    </row>
    <row r="31" spans="1:4" x14ac:dyDescent="0.25">
      <c r="A31" s="1">
        <v>38410</v>
      </c>
      <c r="B31" t="s">
        <v>23</v>
      </c>
      <c r="C31">
        <v>110</v>
      </c>
      <c r="D31">
        <f>YEAR(cukier9[[#This Row],[data]])</f>
        <v>2005</v>
      </c>
    </row>
    <row r="32" spans="1:4" x14ac:dyDescent="0.25">
      <c r="A32" s="1">
        <v>38412</v>
      </c>
      <c r="B32" t="s">
        <v>24</v>
      </c>
      <c r="C32">
        <v>204</v>
      </c>
      <c r="D32">
        <f>YEAR(cukier9[[#This Row],[data]])</f>
        <v>2005</v>
      </c>
    </row>
    <row r="33" spans="1:4" x14ac:dyDescent="0.25">
      <c r="A33" s="1">
        <v>38412</v>
      </c>
      <c r="B33" t="s">
        <v>18</v>
      </c>
      <c r="C33">
        <v>20</v>
      </c>
      <c r="D33">
        <f>YEAR(cukier9[[#This Row],[data]])</f>
        <v>2005</v>
      </c>
    </row>
    <row r="34" spans="1:4" x14ac:dyDescent="0.25">
      <c r="A34" s="1">
        <v>38414</v>
      </c>
      <c r="B34" t="s">
        <v>25</v>
      </c>
      <c r="C34">
        <v>102</v>
      </c>
      <c r="D34">
        <f>YEAR(cukier9[[#This Row],[data]])</f>
        <v>2005</v>
      </c>
    </row>
    <row r="35" spans="1:4" x14ac:dyDescent="0.25">
      <c r="A35" s="1">
        <v>38416</v>
      </c>
      <c r="B35" t="s">
        <v>26</v>
      </c>
      <c r="C35">
        <v>48</v>
      </c>
      <c r="D35">
        <f>YEAR(cukier9[[#This Row],[data]])</f>
        <v>2005</v>
      </c>
    </row>
    <row r="36" spans="1:4" x14ac:dyDescent="0.25">
      <c r="A36" s="1">
        <v>38418</v>
      </c>
      <c r="B36" t="s">
        <v>22</v>
      </c>
      <c r="C36">
        <v>329</v>
      </c>
      <c r="D36">
        <f>YEAR(cukier9[[#This Row],[data]])</f>
        <v>2005</v>
      </c>
    </row>
    <row r="37" spans="1:4" x14ac:dyDescent="0.25">
      <c r="A37" s="1">
        <v>38420</v>
      </c>
      <c r="B37" t="s">
        <v>27</v>
      </c>
      <c r="C37">
        <v>16</v>
      </c>
      <c r="D37">
        <f>YEAR(cukier9[[#This Row],[data]])</f>
        <v>2005</v>
      </c>
    </row>
    <row r="38" spans="1:4" x14ac:dyDescent="0.25">
      <c r="A38" s="1">
        <v>38421</v>
      </c>
      <c r="B38" t="s">
        <v>28</v>
      </c>
      <c r="C38">
        <v>102</v>
      </c>
      <c r="D38">
        <f>YEAR(cukier9[[#This Row],[data]])</f>
        <v>2005</v>
      </c>
    </row>
    <row r="39" spans="1:4" x14ac:dyDescent="0.25">
      <c r="A39" s="1">
        <v>38421</v>
      </c>
      <c r="B39" t="s">
        <v>14</v>
      </c>
      <c r="C39">
        <v>309</v>
      </c>
      <c r="D39">
        <f>YEAR(cukier9[[#This Row],[data]])</f>
        <v>2005</v>
      </c>
    </row>
    <row r="40" spans="1:4" x14ac:dyDescent="0.25">
      <c r="A40" s="1">
        <v>38423</v>
      </c>
      <c r="B40" t="s">
        <v>5</v>
      </c>
      <c r="C40">
        <v>331</v>
      </c>
      <c r="D40">
        <f>YEAR(cukier9[[#This Row],[data]])</f>
        <v>2005</v>
      </c>
    </row>
    <row r="41" spans="1:4" x14ac:dyDescent="0.25">
      <c r="A41" s="1">
        <v>38428</v>
      </c>
      <c r="B41" t="s">
        <v>29</v>
      </c>
      <c r="C41">
        <v>3</v>
      </c>
      <c r="D41">
        <f>YEAR(cukier9[[#This Row],[data]])</f>
        <v>2005</v>
      </c>
    </row>
    <row r="42" spans="1:4" x14ac:dyDescent="0.25">
      <c r="A42" s="1">
        <v>38429</v>
      </c>
      <c r="B42" t="s">
        <v>30</v>
      </c>
      <c r="C42">
        <v>76</v>
      </c>
      <c r="D42">
        <f>YEAR(cukier9[[#This Row],[data]])</f>
        <v>2005</v>
      </c>
    </row>
    <row r="43" spans="1:4" x14ac:dyDescent="0.25">
      <c r="A43" s="1">
        <v>38429</v>
      </c>
      <c r="B43" t="s">
        <v>31</v>
      </c>
      <c r="C43">
        <v>196</v>
      </c>
      <c r="D43">
        <f>YEAR(cukier9[[#This Row],[data]])</f>
        <v>2005</v>
      </c>
    </row>
    <row r="44" spans="1:4" x14ac:dyDescent="0.25">
      <c r="A44" s="1">
        <v>38431</v>
      </c>
      <c r="B44" t="s">
        <v>18</v>
      </c>
      <c r="C44">
        <v>54</v>
      </c>
      <c r="D44">
        <f>YEAR(cukier9[[#This Row],[data]])</f>
        <v>2005</v>
      </c>
    </row>
    <row r="45" spans="1:4" x14ac:dyDescent="0.25">
      <c r="A45" s="1">
        <v>38435</v>
      </c>
      <c r="B45" t="s">
        <v>9</v>
      </c>
      <c r="C45">
        <v>277</v>
      </c>
      <c r="D45">
        <f>YEAR(cukier9[[#This Row],[data]])</f>
        <v>2005</v>
      </c>
    </row>
    <row r="46" spans="1:4" x14ac:dyDescent="0.25">
      <c r="A46" s="1">
        <v>38437</v>
      </c>
      <c r="B46" t="s">
        <v>32</v>
      </c>
      <c r="C46">
        <v>7</v>
      </c>
      <c r="D46">
        <f>YEAR(cukier9[[#This Row],[data]])</f>
        <v>2005</v>
      </c>
    </row>
    <row r="47" spans="1:4" x14ac:dyDescent="0.25">
      <c r="A47" s="1">
        <v>38439</v>
      </c>
      <c r="B47" t="s">
        <v>33</v>
      </c>
      <c r="C47">
        <v>12</v>
      </c>
      <c r="D47">
        <f>YEAR(cukier9[[#This Row],[data]])</f>
        <v>2005</v>
      </c>
    </row>
    <row r="48" spans="1:4" x14ac:dyDescent="0.25">
      <c r="A48" s="1">
        <v>38440</v>
      </c>
      <c r="B48" t="s">
        <v>34</v>
      </c>
      <c r="C48">
        <v>7</v>
      </c>
      <c r="D48">
        <f>YEAR(cukier9[[#This Row],[data]])</f>
        <v>2005</v>
      </c>
    </row>
    <row r="49" spans="1:4" x14ac:dyDescent="0.25">
      <c r="A49" s="1">
        <v>38442</v>
      </c>
      <c r="B49" t="s">
        <v>7</v>
      </c>
      <c r="C49">
        <v>416</v>
      </c>
      <c r="D49">
        <f>YEAR(cukier9[[#This Row],[data]])</f>
        <v>2005</v>
      </c>
    </row>
    <row r="50" spans="1:4" x14ac:dyDescent="0.25">
      <c r="A50" s="1">
        <v>38445</v>
      </c>
      <c r="B50" t="s">
        <v>7</v>
      </c>
      <c r="C50">
        <v>263</v>
      </c>
      <c r="D50">
        <f>YEAR(cukier9[[#This Row],[data]])</f>
        <v>2005</v>
      </c>
    </row>
    <row r="51" spans="1:4" x14ac:dyDescent="0.25">
      <c r="A51" s="1">
        <v>38448</v>
      </c>
      <c r="B51" t="s">
        <v>1</v>
      </c>
      <c r="C51">
        <v>15</v>
      </c>
      <c r="D51">
        <f>YEAR(cukier9[[#This Row],[data]])</f>
        <v>2005</v>
      </c>
    </row>
    <row r="52" spans="1:4" x14ac:dyDescent="0.25">
      <c r="A52" s="1">
        <v>38452</v>
      </c>
      <c r="B52" t="s">
        <v>25</v>
      </c>
      <c r="C52">
        <v>194</v>
      </c>
      <c r="D52">
        <f>YEAR(cukier9[[#This Row],[data]])</f>
        <v>2005</v>
      </c>
    </row>
    <row r="53" spans="1:4" x14ac:dyDescent="0.25">
      <c r="A53" s="1">
        <v>38453</v>
      </c>
      <c r="B53" t="s">
        <v>35</v>
      </c>
      <c r="C53">
        <v>120</v>
      </c>
      <c r="D53">
        <f>YEAR(cukier9[[#This Row],[data]])</f>
        <v>2005</v>
      </c>
    </row>
    <row r="54" spans="1:4" x14ac:dyDescent="0.25">
      <c r="A54" s="1">
        <v>38454</v>
      </c>
      <c r="B54" t="s">
        <v>7</v>
      </c>
      <c r="C54">
        <v>175</v>
      </c>
      <c r="D54">
        <f>YEAR(cukier9[[#This Row],[data]])</f>
        <v>2005</v>
      </c>
    </row>
    <row r="55" spans="1:4" x14ac:dyDescent="0.25">
      <c r="A55" s="1">
        <v>38456</v>
      </c>
      <c r="B55" t="s">
        <v>36</v>
      </c>
      <c r="C55">
        <v>12</v>
      </c>
      <c r="D55">
        <f>YEAR(cukier9[[#This Row],[data]])</f>
        <v>2005</v>
      </c>
    </row>
    <row r="56" spans="1:4" x14ac:dyDescent="0.25">
      <c r="A56" s="1">
        <v>38457</v>
      </c>
      <c r="B56" t="s">
        <v>37</v>
      </c>
      <c r="C56">
        <v>174</v>
      </c>
      <c r="D56">
        <f>YEAR(cukier9[[#This Row],[data]])</f>
        <v>2005</v>
      </c>
    </row>
    <row r="57" spans="1:4" x14ac:dyDescent="0.25">
      <c r="A57" s="1">
        <v>38458</v>
      </c>
      <c r="B57" t="s">
        <v>38</v>
      </c>
      <c r="C57">
        <v>3</v>
      </c>
      <c r="D57">
        <f>YEAR(cukier9[[#This Row],[data]])</f>
        <v>2005</v>
      </c>
    </row>
    <row r="58" spans="1:4" x14ac:dyDescent="0.25">
      <c r="A58" s="1">
        <v>38459</v>
      </c>
      <c r="B58" t="s">
        <v>39</v>
      </c>
      <c r="C58">
        <v>149</v>
      </c>
      <c r="D58">
        <f>YEAR(cukier9[[#This Row],[data]])</f>
        <v>2005</v>
      </c>
    </row>
    <row r="59" spans="1:4" x14ac:dyDescent="0.25">
      <c r="A59" s="1">
        <v>38460</v>
      </c>
      <c r="B59" t="s">
        <v>17</v>
      </c>
      <c r="C59">
        <v>492</v>
      </c>
      <c r="D59">
        <f>YEAR(cukier9[[#This Row],[data]])</f>
        <v>2005</v>
      </c>
    </row>
    <row r="60" spans="1:4" x14ac:dyDescent="0.25">
      <c r="A60" s="1">
        <v>38460</v>
      </c>
      <c r="B60" t="s">
        <v>40</v>
      </c>
      <c r="C60">
        <v>2</v>
      </c>
      <c r="D60">
        <f>YEAR(cukier9[[#This Row],[data]])</f>
        <v>2005</v>
      </c>
    </row>
    <row r="61" spans="1:4" x14ac:dyDescent="0.25">
      <c r="A61" s="1">
        <v>38461</v>
      </c>
      <c r="B61" t="s">
        <v>14</v>
      </c>
      <c r="C61">
        <v>298</v>
      </c>
      <c r="D61">
        <f>YEAR(cukier9[[#This Row],[data]])</f>
        <v>2005</v>
      </c>
    </row>
    <row r="62" spans="1:4" x14ac:dyDescent="0.25">
      <c r="A62" s="1">
        <v>38472</v>
      </c>
      <c r="B62" t="s">
        <v>17</v>
      </c>
      <c r="C62">
        <v>201</v>
      </c>
      <c r="D62">
        <f>YEAR(cukier9[[#This Row],[data]])</f>
        <v>2005</v>
      </c>
    </row>
    <row r="63" spans="1:4" x14ac:dyDescent="0.25">
      <c r="A63" s="1">
        <v>38473</v>
      </c>
      <c r="B63" t="s">
        <v>41</v>
      </c>
      <c r="C63">
        <v>15</v>
      </c>
      <c r="D63">
        <f>YEAR(cukier9[[#This Row],[data]])</f>
        <v>2005</v>
      </c>
    </row>
    <row r="64" spans="1:4" x14ac:dyDescent="0.25">
      <c r="A64" s="1">
        <v>38473</v>
      </c>
      <c r="B64" t="s">
        <v>14</v>
      </c>
      <c r="C64">
        <v>319</v>
      </c>
      <c r="D64">
        <f>YEAR(cukier9[[#This Row],[data]])</f>
        <v>2005</v>
      </c>
    </row>
    <row r="65" spans="1:4" x14ac:dyDescent="0.25">
      <c r="A65" s="1">
        <v>38474</v>
      </c>
      <c r="B65" t="s">
        <v>42</v>
      </c>
      <c r="C65">
        <v>9</v>
      </c>
      <c r="D65">
        <f>YEAR(cukier9[[#This Row],[data]])</f>
        <v>2005</v>
      </c>
    </row>
    <row r="66" spans="1:4" x14ac:dyDescent="0.25">
      <c r="A66" s="1">
        <v>38476</v>
      </c>
      <c r="B66" t="s">
        <v>43</v>
      </c>
      <c r="C66">
        <v>15</v>
      </c>
      <c r="D66">
        <f>YEAR(cukier9[[#This Row],[data]])</f>
        <v>2005</v>
      </c>
    </row>
    <row r="67" spans="1:4" x14ac:dyDescent="0.25">
      <c r="A67" s="1">
        <v>38479</v>
      </c>
      <c r="B67" t="s">
        <v>22</v>
      </c>
      <c r="C67">
        <v>444</v>
      </c>
      <c r="D67">
        <f>YEAR(cukier9[[#This Row],[data]])</f>
        <v>2005</v>
      </c>
    </row>
    <row r="68" spans="1:4" x14ac:dyDescent="0.25">
      <c r="A68" s="1">
        <v>38479</v>
      </c>
      <c r="B68" t="s">
        <v>44</v>
      </c>
      <c r="C68">
        <v>13</v>
      </c>
      <c r="D68">
        <f>YEAR(cukier9[[#This Row],[data]])</f>
        <v>2005</v>
      </c>
    </row>
    <row r="69" spans="1:4" x14ac:dyDescent="0.25">
      <c r="A69" s="1">
        <v>38481</v>
      </c>
      <c r="B69" t="s">
        <v>45</v>
      </c>
      <c r="C69">
        <v>366</v>
      </c>
      <c r="D69">
        <f>YEAR(cukier9[[#This Row],[data]])</f>
        <v>2005</v>
      </c>
    </row>
    <row r="70" spans="1:4" x14ac:dyDescent="0.25">
      <c r="A70" s="1">
        <v>38492</v>
      </c>
      <c r="B70" t="s">
        <v>9</v>
      </c>
      <c r="C70">
        <v>259</v>
      </c>
      <c r="D70">
        <f>YEAR(cukier9[[#This Row],[data]])</f>
        <v>2005</v>
      </c>
    </row>
    <row r="71" spans="1:4" x14ac:dyDescent="0.25">
      <c r="A71" s="1">
        <v>38493</v>
      </c>
      <c r="B71" t="s">
        <v>46</v>
      </c>
      <c r="C71">
        <v>16</v>
      </c>
      <c r="D71">
        <f>YEAR(cukier9[[#This Row],[data]])</f>
        <v>2005</v>
      </c>
    </row>
    <row r="72" spans="1:4" x14ac:dyDescent="0.25">
      <c r="A72" s="1">
        <v>38496</v>
      </c>
      <c r="B72" t="s">
        <v>28</v>
      </c>
      <c r="C72">
        <v>49</v>
      </c>
      <c r="D72">
        <f>YEAR(cukier9[[#This Row],[data]])</f>
        <v>2005</v>
      </c>
    </row>
    <row r="73" spans="1:4" x14ac:dyDescent="0.25">
      <c r="A73" s="1">
        <v>38497</v>
      </c>
      <c r="B73" t="s">
        <v>47</v>
      </c>
      <c r="C73">
        <v>3</v>
      </c>
      <c r="D73">
        <f>YEAR(cukier9[[#This Row],[data]])</f>
        <v>2005</v>
      </c>
    </row>
    <row r="74" spans="1:4" x14ac:dyDescent="0.25">
      <c r="A74" s="1">
        <v>38497</v>
      </c>
      <c r="B74" t="s">
        <v>22</v>
      </c>
      <c r="C74">
        <v>251</v>
      </c>
      <c r="D74">
        <f>YEAR(cukier9[[#This Row],[data]])</f>
        <v>2005</v>
      </c>
    </row>
    <row r="75" spans="1:4" x14ac:dyDescent="0.25">
      <c r="A75" s="1">
        <v>38499</v>
      </c>
      <c r="B75" t="s">
        <v>30</v>
      </c>
      <c r="C75">
        <v>179</v>
      </c>
      <c r="D75">
        <f>YEAR(cukier9[[#This Row],[data]])</f>
        <v>2005</v>
      </c>
    </row>
    <row r="76" spans="1:4" x14ac:dyDescent="0.25">
      <c r="A76" s="1">
        <v>38501</v>
      </c>
      <c r="B76" t="s">
        <v>10</v>
      </c>
      <c r="C76">
        <v>116</v>
      </c>
      <c r="D76">
        <f>YEAR(cukier9[[#This Row],[data]])</f>
        <v>2005</v>
      </c>
    </row>
    <row r="77" spans="1:4" x14ac:dyDescent="0.25">
      <c r="A77" s="1">
        <v>38501</v>
      </c>
      <c r="B77" t="s">
        <v>48</v>
      </c>
      <c r="C77">
        <v>13</v>
      </c>
      <c r="D77">
        <f>YEAR(cukier9[[#This Row],[data]])</f>
        <v>2005</v>
      </c>
    </row>
    <row r="78" spans="1:4" x14ac:dyDescent="0.25">
      <c r="A78" s="1">
        <v>38503</v>
      </c>
      <c r="B78" t="s">
        <v>49</v>
      </c>
      <c r="C78">
        <v>3</v>
      </c>
      <c r="D78">
        <f>YEAR(cukier9[[#This Row],[data]])</f>
        <v>2005</v>
      </c>
    </row>
    <row r="79" spans="1:4" x14ac:dyDescent="0.25">
      <c r="A79" s="1">
        <v>38503</v>
      </c>
      <c r="B79" t="s">
        <v>50</v>
      </c>
      <c r="C79">
        <v>253</v>
      </c>
      <c r="D79">
        <f>YEAR(cukier9[[#This Row],[data]])</f>
        <v>2005</v>
      </c>
    </row>
    <row r="80" spans="1:4" x14ac:dyDescent="0.25">
      <c r="A80" s="1">
        <v>38510</v>
      </c>
      <c r="B80" t="s">
        <v>23</v>
      </c>
      <c r="C80">
        <v>83</v>
      </c>
      <c r="D80">
        <f>YEAR(cukier9[[#This Row],[data]])</f>
        <v>2005</v>
      </c>
    </row>
    <row r="81" spans="1:4" x14ac:dyDescent="0.25">
      <c r="A81" s="1">
        <v>38512</v>
      </c>
      <c r="B81" t="s">
        <v>18</v>
      </c>
      <c r="C81">
        <v>177</v>
      </c>
      <c r="D81">
        <f>YEAR(cukier9[[#This Row],[data]])</f>
        <v>2005</v>
      </c>
    </row>
    <row r="82" spans="1:4" x14ac:dyDescent="0.25">
      <c r="A82" s="1">
        <v>38512</v>
      </c>
      <c r="B82" t="s">
        <v>51</v>
      </c>
      <c r="C82">
        <v>7</v>
      </c>
      <c r="D82">
        <f>YEAR(cukier9[[#This Row],[data]])</f>
        <v>2005</v>
      </c>
    </row>
    <row r="83" spans="1:4" x14ac:dyDescent="0.25">
      <c r="A83" s="1">
        <v>38513</v>
      </c>
      <c r="B83" t="s">
        <v>52</v>
      </c>
      <c r="C83">
        <v>46</v>
      </c>
      <c r="D83">
        <f>YEAR(cukier9[[#This Row],[data]])</f>
        <v>2005</v>
      </c>
    </row>
    <row r="84" spans="1:4" x14ac:dyDescent="0.25">
      <c r="A84" s="1">
        <v>38514</v>
      </c>
      <c r="B84" t="s">
        <v>53</v>
      </c>
      <c r="C84">
        <v>2</v>
      </c>
      <c r="D84">
        <f>YEAR(cukier9[[#This Row],[data]])</f>
        <v>2005</v>
      </c>
    </row>
    <row r="85" spans="1:4" x14ac:dyDescent="0.25">
      <c r="A85" s="1">
        <v>38515</v>
      </c>
      <c r="B85" t="s">
        <v>3</v>
      </c>
      <c r="C85">
        <v>9</v>
      </c>
      <c r="D85">
        <f>YEAR(cukier9[[#This Row],[data]])</f>
        <v>2005</v>
      </c>
    </row>
    <row r="86" spans="1:4" x14ac:dyDescent="0.25">
      <c r="A86" s="1">
        <v>38517</v>
      </c>
      <c r="B86" t="s">
        <v>54</v>
      </c>
      <c r="C86">
        <v>3</v>
      </c>
      <c r="D86">
        <f>YEAR(cukier9[[#This Row],[data]])</f>
        <v>2005</v>
      </c>
    </row>
    <row r="87" spans="1:4" x14ac:dyDescent="0.25">
      <c r="A87" s="1">
        <v>38517</v>
      </c>
      <c r="B87" t="s">
        <v>55</v>
      </c>
      <c r="C87">
        <v>67</v>
      </c>
      <c r="D87">
        <f>YEAR(cukier9[[#This Row],[data]])</f>
        <v>2005</v>
      </c>
    </row>
    <row r="88" spans="1:4" x14ac:dyDescent="0.25">
      <c r="A88" s="1">
        <v>38517</v>
      </c>
      <c r="B88" t="s">
        <v>45</v>
      </c>
      <c r="C88">
        <v>425</v>
      </c>
      <c r="D88">
        <f>YEAR(cukier9[[#This Row],[data]])</f>
        <v>2005</v>
      </c>
    </row>
    <row r="89" spans="1:4" x14ac:dyDescent="0.25">
      <c r="A89" s="1">
        <v>38518</v>
      </c>
      <c r="B89" t="s">
        <v>5</v>
      </c>
      <c r="C89">
        <v>453</v>
      </c>
      <c r="D89">
        <f>YEAR(cukier9[[#This Row],[data]])</f>
        <v>2005</v>
      </c>
    </row>
    <row r="90" spans="1:4" x14ac:dyDescent="0.25">
      <c r="A90" s="1">
        <v>38523</v>
      </c>
      <c r="B90" t="s">
        <v>22</v>
      </c>
      <c r="C90">
        <v>212</v>
      </c>
      <c r="D90">
        <f>YEAR(cukier9[[#This Row],[data]])</f>
        <v>2005</v>
      </c>
    </row>
    <row r="91" spans="1:4" x14ac:dyDescent="0.25">
      <c r="A91" s="1">
        <v>38525</v>
      </c>
      <c r="B91" t="s">
        <v>56</v>
      </c>
      <c r="C91">
        <v>19</v>
      </c>
      <c r="D91">
        <f>YEAR(cukier9[[#This Row],[data]])</f>
        <v>2005</v>
      </c>
    </row>
    <row r="92" spans="1:4" x14ac:dyDescent="0.25">
      <c r="A92" s="1">
        <v>38526</v>
      </c>
      <c r="B92" t="s">
        <v>6</v>
      </c>
      <c r="C92">
        <v>81</v>
      </c>
      <c r="D92">
        <f>YEAR(cukier9[[#This Row],[data]])</f>
        <v>2005</v>
      </c>
    </row>
    <row r="93" spans="1:4" x14ac:dyDescent="0.25">
      <c r="A93" s="1">
        <v>38528</v>
      </c>
      <c r="B93" t="s">
        <v>57</v>
      </c>
      <c r="C93">
        <v>7</v>
      </c>
      <c r="D93">
        <f>YEAR(cukier9[[#This Row],[data]])</f>
        <v>2005</v>
      </c>
    </row>
    <row r="94" spans="1:4" x14ac:dyDescent="0.25">
      <c r="A94" s="1">
        <v>38529</v>
      </c>
      <c r="B94" t="s">
        <v>58</v>
      </c>
      <c r="C94">
        <v>179</v>
      </c>
      <c r="D94">
        <f>YEAR(cukier9[[#This Row],[data]])</f>
        <v>2005</v>
      </c>
    </row>
    <row r="95" spans="1:4" x14ac:dyDescent="0.25">
      <c r="A95" s="1">
        <v>38531</v>
      </c>
      <c r="B95" t="s">
        <v>14</v>
      </c>
      <c r="C95">
        <v>222</v>
      </c>
      <c r="D95">
        <f>YEAR(cukier9[[#This Row],[data]])</f>
        <v>2005</v>
      </c>
    </row>
    <row r="96" spans="1:4" x14ac:dyDescent="0.25">
      <c r="A96" s="1">
        <v>38532</v>
      </c>
      <c r="B96" t="s">
        <v>59</v>
      </c>
      <c r="C96">
        <v>14</v>
      </c>
      <c r="D96">
        <f>YEAR(cukier9[[#This Row],[data]])</f>
        <v>2005</v>
      </c>
    </row>
    <row r="97" spans="1:4" x14ac:dyDescent="0.25">
      <c r="A97" s="1">
        <v>38534</v>
      </c>
      <c r="B97" t="s">
        <v>60</v>
      </c>
      <c r="C97">
        <v>15</v>
      </c>
      <c r="D97">
        <f>YEAR(cukier9[[#This Row],[data]])</f>
        <v>2005</v>
      </c>
    </row>
    <row r="98" spans="1:4" x14ac:dyDescent="0.25">
      <c r="A98" s="1">
        <v>38536</v>
      </c>
      <c r="B98" t="s">
        <v>61</v>
      </c>
      <c r="C98">
        <v>97</v>
      </c>
      <c r="D98">
        <f>YEAR(cukier9[[#This Row],[data]])</f>
        <v>2005</v>
      </c>
    </row>
    <row r="99" spans="1:4" x14ac:dyDescent="0.25">
      <c r="A99" s="1">
        <v>38542</v>
      </c>
      <c r="B99" t="s">
        <v>20</v>
      </c>
      <c r="C99">
        <v>142</v>
      </c>
      <c r="D99">
        <f>YEAR(cukier9[[#This Row],[data]])</f>
        <v>2005</v>
      </c>
    </row>
    <row r="100" spans="1:4" x14ac:dyDescent="0.25">
      <c r="A100" s="1">
        <v>38546</v>
      </c>
      <c r="B100" t="s">
        <v>45</v>
      </c>
      <c r="C100">
        <v>214</v>
      </c>
      <c r="D100">
        <f>YEAR(cukier9[[#This Row],[data]])</f>
        <v>2005</v>
      </c>
    </row>
    <row r="101" spans="1:4" x14ac:dyDescent="0.25">
      <c r="A101" s="1">
        <v>38546</v>
      </c>
      <c r="B101" t="s">
        <v>14</v>
      </c>
      <c r="C101">
        <v>408</v>
      </c>
      <c r="D101">
        <f>YEAR(cukier9[[#This Row],[data]])</f>
        <v>2005</v>
      </c>
    </row>
    <row r="102" spans="1:4" x14ac:dyDescent="0.25">
      <c r="A102" s="1">
        <v>38547</v>
      </c>
      <c r="B102" t="s">
        <v>12</v>
      </c>
      <c r="C102">
        <v>144</v>
      </c>
      <c r="D102">
        <f>YEAR(cukier9[[#This Row],[data]])</f>
        <v>2005</v>
      </c>
    </row>
    <row r="103" spans="1:4" x14ac:dyDescent="0.25">
      <c r="A103" s="1">
        <v>38547</v>
      </c>
      <c r="B103" t="s">
        <v>6</v>
      </c>
      <c r="C103">
        <v>173</v>
      </c>
      <c r="D103">
        <f>YEAR(cukier9[[#This Row],[data]])</f>
        <v>2005</v>
      </c>
    </row>
    <row r="104" spans="1:4" x14ac:dyDescent="0.25">
      <c r="A104" s="1">
        <v>38549</v>
      </c>
      <c r="B104" t="s">
        <v>62</v>
      </c>
      <c r="C104">
        <v>15</v>
      </c>
      <c r="D104">
        <f>YEAR(cukier9[[#This Row],[data]])</f>
        <v>2005</v>
      </c>
    </row>
    <row r="105" spans="1:4" x14ac:dyDescent="0.25">
      <c r="A105" s="1">
        <v>38551</v>
      </c>
      <c r="B105" t="s">
        <v>50</v>
      </c>
      <c r="C105">
        <v>433</v>
      </c>
      <c r="D105">
        <f>YEAR(cukier9[[#This Row],[data]])</f>
        <v>2005</v>
      </c>
    </row>
    <row r="106" spans="1:4" x14ac:dyDescent="0.25">
      <c r="A106" s="1">
        <v>38555</v>
      </c>
      <c r="B106" t="s">
        <v>63</v>
      </c>
      <c r="C106">
        <v>137</v>
      </c>
      <c r="D106">
        <f>YEAR(cukier9[[#This Row],[data]])</f>
        <v>2005</v>
      </c>
    </row>
    <row r="107" spans="1:4" x14ac:dyDescent="0.25">
      <c r="A107" s="1">
        <v>38558</v>
      </c>
      <c r="B107" t="s">
        <v>50</v>
      </c>
      <c r="C107">
        <v>118</v>
      </c>
      <c r="D107">
        <f>YEAR(cukier9[[#This Row],[data]])</f>
        <v>2005</v>
      </c>
    </row>
    <row r="108" spans="1:4" x14ac:dyDescent="0.25">
      <c r="A108" s="1">
        <v>38558</v>
      </c>
      <c r="B108" t="s">
        <v>9</v>
      </c>
      <c r="C108">
        <v>158</v>
      </c>
      <c r="D108">
        <f>YEAR(cukier9[[#This Row],[data]])</f>
        <v>2005</v>
      </c>
    </row>
    <row r="109" spans="1:4" x14ac:dyDescent="0.25">
      <c r="A109" s="1">
        <v>38559</v>
      </c>
      <c r="B109" t="s">
        <v>44</v>
      </c>
      <c r="C109">
        <v>13</v>
      </c>
      <c r="D109">
        <f>YEAR(cukier9[[#This Row],[data]])</f>
        <v>2005</v>
      </c>
    </row>
    <row r="110" spans="1:4" x14ac:dyDescent="0.25">
      <c r="A110" s="1">
        <v>38560</v>
      </c>
      <c r="B110" t="s">
        <v>64</v>
      </c>
      <c r="C110">
        <v>2</v>
      </c>
      <c r="D110">
        <f>YEAR(cukier9[[#This Row],[data]])</f>
        <v>2005</v>
      </c>
    </row>
    <row r="111" spans="1:4" x14ac:dyDescent="0.25">
      <c r="A111" s="1">
        <v>38562</v>
      </c>
      <c r="B111" t="s">
        <v>50</v>
      </c>
      <c r="C111">
        <v>467</v>
      </c>
      <c r="D111">
        <f>YEAR(cukier9[[#This Row],[data]])</f>
        <v>2005</v>
      </c>
    </row>
    <row r="112" spans="1:4" x14ac:dyDescent="0.25">
      <c r="A112" s="1">
        <v>38563</v>
      </c>
      <c r="B112" t="s">
        <v>65</v>
      </c>
      <c r="C112">
        <v>9</v>
      </c>
      <c r="D112">
        <f>YEAR(cukier9[[#This Row],[data]])</f>
        <v>2005</v>
      </c>
    </row>
    <row r="113" spans="1:4" x14ac:dyDescent="0.25">
      <c r="A113" s="1">
        <v>38567</v>
      </c>
      <c r="B113" t="s">
        <v>66</v>
      </c>
      <c r="C113">
        <v>189</v>
      </c>
      <c r="D113">
        <f>YEAR(cukier9[[#This Row],[data]])</f>
        <v>2005</v>
      </c>
    </row>
    <row r="114" spans="1:4" x14ac:dyDescent="0.25">
      <c r="A114" s="1">
        <v>38568</v>
      </c>
      <c r="B114" t="s">
        <v>67</v>
      </c>
      <c r="C114">
        <v>19</v>
      </c>
      <c r="D114">
        <f>YEAR(cukier9[[#This Row],[data]])</f>
        <v>2005</v>
      </c>
    </row>
    <row r="115" spans="1:4" x14ac:dyDescent="0.25">
      <c r="A115" s="1">
        <v>38569</v>
      </c>
      <c r="B115" t="s">
        <v>9</v>
      </c>
      <c r="C115">
        <v>172</v>
      </c>
      <c r="D115">
        <f>YEAR(cukier9[[#This Row],[data]])</f>
        <v>2005</v>
      </c>
    </row>
    <row r="116" spans="1:4" x14ac:dyDescent="0.25">
      <c r="A116" s="1">
        <v>38570</v>
      </c>
      <c r="B116" t="s">
        <v>55</v>
      </c>
      <c r="C116">
        <v>84</v>
      </c>
      <c r="D116">
        <f>YEAR(cukier9[[#This Row],[data]])</f>
        <v>2005</v>
      </c>
    </row>
    <row r="117" spans="1:4" x14ac:dyDescent="0.25">
      <c r="A117" s="1">
        <v>38570</v>
      </c>
      <c r="B117" t="s">
        <v>68</v>
      </c>
      <c r="C117">
        <v>8</v>
      </c>
      <c r="D117">
        <f>YEAR(cukier9[[#This Row],[data]])</f>
        <v>2005</v>
      </c>
    </row>
    <row r="118" spans="1:4" x14ac:dyDescent="0.25">
      <c r="A118" s="1">
        <v>38570</v>
      </c>
      <c r="B118" t="s">
        <v>69</v>
      </c>
      <c r="C118">
        <v>66</v>
      </c>
      <c r="D118">
        <f>YEAR(cukier9[[#This Row],[data]])</f>
        <v>2005</v>
      </c>
    </row>
    <row r="119" spans="1:4" x14ac:dyDescent="0.25">
      <c r="A119" s="1">
        <v>38571</v>
      </c>
      <c r="B119" t="s">
        <v>37</v>
      </c>
      <c r="C119">
        <v>35</v>
      </c>
      <c r="D119">
        <f>YEAR(cukier9[[#This Row],[data]])</f>
        <v>2005</v>
      </c>
    </row>
    <row r="120" spans="1:4" x14ac:dyDescent="0.25">
      <c r="A120" s="1">
        <v>38572</v>
      </c>
      <c r="B120" t="s">
        <v>30</v>
      </c>
      <c r="C120">
        <v>91</v>
      </c>
      <c r="D120">
        <f>YEAR(cukier9[[#This Row],[data]])</f>
        <v>2005</v>
      </c>
    </row>
    <row r="121" spans="1:4" x14ac:dyDescent="0.25">
      <c r="A121" s="1">
        <v>38577</v>
      </c>
      <c r="B121" t="s">
        <v>7</v>
      </c>
      <c r="C121">
        <v>396</v>
      </c>
      <c r="D121">
        <f>YEAR(cukier9[[#This Row],[data]])</f>
        <v>2005</v>
      </c>
    </row>
    <row r="122" spans="1:4" x14ac:dyDescent="0.25">
      <c r="A122" s="1">
        <v>38577</v>
      </c>
      <c r="B122" t="s">
        <v>70</v>
      </c>
      <c r="C122">
        <v>6</v>
      </c>
      <c r="D122">
        <f>YEAR(cukier9[[#This Row],[data]])</f>
        <v>2005</v>
      </c>
    </row>
    <row r="123" spans="1:4" x14ac:dyDescent="0.25">
      <c r="A123" s="1">
        <v>38579</v>
      </c>
      <c r="B123" t="s">
        <v>28</v>
      </c>
      <c r="C123">
        <v>47</v>
      </c>
      <c r="D123">
        <f>YEAR(cukier9[[#This Row],[data]])</f>
        <v>2005</v>
      </c>
    </row>
    <row r="124" spans="1:4" x14ac:dyDescent="0.25">
      <c r="A124" s="1">
        <v>38581</v>
      </c>
      <c r="B124" t="s">
        <v>19</v>
      </c>
      <c r="C124">
        <v>41</v>
      </c>
      <c r="D124">
        <f>YEAR(cukier9[[#This Row],[data]])</f>
        <v>2005</v>
      </c>
    </row>
    <row r="125" spans="1:4" x14ac:dyDescent="0.25">
      <c r="A125" s="1">
        <v>38582</v>
      </c>
      <c r="B125" t="s">
        <v>71</v>
      </c>
      <c r="C125">
        <v>136</v>
      </c>
      <c r="D125">
        <f>YEAR(cukier9[[#This Row],[data]])</f>
        <v>2005</v>
      </c>
    </row>
    <row r="126" spans="1:4" x14ac:dyDescent="0.25">
      <c r="A126" s="1">
        <v>38583</v>
      </c>
      <c r="B126" t="s">
        <v>72</v>
      </c>
      <c r="C126">
        <v>16</v>
      </c>
      <c r="D126">
        <f>YEAR(cukier9[[#This Row],[data]])</f>
        <v>2005</v>
      </c>
    </row>
    <row r="127" spans="1:4" x14ac:dyDescent="0.25">
      <c r="A127" s="1">
        <v>38585</v>
      </c>
      <c r="B127" t="s">
        <v>73</v>
      </c>
      <c r="C127">
        <v>18</v>
      </c>
      <c r="D127">
        <f>YEAR(cukier9[[#This Row],[data]])</f>
        <v>2005</v>
      </c>
    </row>
    <row r="128" spans="1:4" x14ac:dyDescent="0.25">
      <c r="A128" s="1">
        <v>38589</v>
      </c>
      <c r="B128" t="s">
        <v>74</v>
      </c>
      <c r="C128">
        <v>11</v>
      </c>
      <c r="D128">
        <f>YEAR(cukier9[[#This Row],[data]])</f>
        <v>2005</v>
      </c>
    </row>
    <row r="129" spans="1:4" x14ac:dyDescent="0.25">
      <c r="A129" s="1">
        <v>38589</v>
      </c>
      <c r="B129" t="s">
        <v>75</v>
      </c>
      <c r="C129">
        <v>8</v>
      </c>
      <c r="D129">
        <f>YEAR(cukier9[[#This Row],[data]])</f>
        <v>2005</v>
      </c>
    </row>
    <row r="130" spans="1:4" x14ac:dyDescent="0.25">
      <c r="A130" s="1">
        <v>38589</v>
      </c>
      <c r="B130" t="s">
        <v>76</v>
      </c>
      <c r="C130">
        <v>16</v>
      </c>
      <c r="D130">
        <f>YEAR(cukier9[[#This Row],[data]])</f>
        <v>2005</v>
      </c>
    </row>
    <row r="131" spans="1:4" x14ac:dyDescent="0.25">
      <c r="A131" s="1">
        <v>38589</v>
      </c>
      <c r="B131" t="s">
        <v>28</v>
      </c>
      <c r="C131">
        <v>54</v>
      </c>
      <c r="D131">
        <f>YEAR(cukier9[[#This Row],[data]])</f>
        <v>2005</v>
      </c>
    </row>
    <row r="132" spans="1:4" x14ac:dyDescent="0.25">
      <c r="A132" s="1">
        <v>38590</v>
      </c>
      <c r="B132" t="s">
        <v>50</v>
      </c>
      <c r="C132">
        <v>299</v>
      </c>
      <c r="D132">
        <f>YEAR(cukier9[[#This Row],[data]])</f>
        <v>2005</v>
      </c>
    </row>
    <row r="133" spans="1:4" x14ac:dyDescent="0.25">
      <c r="A133" s="1">
        <v>38592</v>
      </c>
      <c r="B133" t="s">
        <v>69</v>
      </c>
      <c r="C133">
        <v>168</v>
      </c>
      <c r="D133">
        <f>YEAR(cukier9[[#This Row],[data]])</f>
        <v>2005</v>
      </c>
    </row>
    <row r="134" spans="1:4" x14ac:dyDescent="0.25">
      <c r="A134" s="1">
        <v>38593</v>
      </c>
      <c r="B134" t="s">
        <v>9</v>
      </c>
      <c r="C134">
        <v>106</v>
      </c>
      <c r="D134">
        <f>YEAR(cukier9[[#This Row],[data]])</f>
        <v>2005</v>
      </c>
    </row>
    <row r="135" spans="1:4" x14ac:dyDescent="0.25">
      <c r="A135" s="1">
        <v>38594</v>
      </c>
      <c r="B135" t="s">
        <v>12</v>
      </c>
      <c r="C135">
        <v>41</v>
      </c>
      <c r="D135">
        <f>YEAR(cukier9[[#This Row],[data]])</f>
        <v>2005</v>
      </c>
    </row>
    <row r="136" spans="1:4" x14ac:dyDescent="0.25">
      <c r="A136" s="1">
        <v>38594</v>
      </c>
      <c r="B136" t="s">
        <v>39</v>
      </c>
      <c r="C136">
        <v>31</v>
      </c>
      <c r="D136">
        <f>YEAR(cukier9[[#This Row],[data]])</f>
        <v>2005</v>
      </c>
    </row>
    <row r="137" spans="1:4" x14ac:dyDescent="0.25">
      <c r="A137" s="1">
        <v>38596</v>
      </c>
      <c r="B137" t="s">
        <v>77</v>
      </c>
      <c r="C137">
        <v>8</v>
      </c>
      <c r="D137">
        <f>YEAR(cukier9[[#This Row],[data]])</f>
        <v>2005</v>
      </c>
    </row>
    <row r="138" spans="1:4" x14ac:dyDescent="0.25">
      <c r="A138" s="1">
        <v>38599</v>
      </c>
      <c r="B138" t="s">
        <v>19</v>
      </c>
      <c r="C138">
        <v>63</v>
      </c>
      <c r="D138">
        <f>YEAR(cukier9[[#This Row],[data]])</f>
        <v>2005</v>
      </c>
    </row>
    <row r="139" spans="1:4" x14ac:dyDescent="0.25">
      <c r="A139" s="1">
        <v>38602</v>
      </c>
      <c r="B139" t="s">
        <v>5</v>
      </c>
      <c r="C139">
        <v>368</v>
      </c>
      <c r="D139">
        <f>YEAR(cukier9[[#This Row],[data]])</f>
        <v>2005</v>
      </c>
    </row>
    <row r="140" spans="1:4" x14ac:dyDescent="0.25">
      <c r="A140" s="1">
        <v>38603</v>
      </c>
      <c r="B140" t="s">
        <v>78</v>
      </c>
      <c r="C140">
        <v>106</v>
      </c>
      <c r="D140">
        <f>YEAR(cukier9[[#This Row],[data]])</f>
        <v>2005</v>
      </c>
    </row>
    <row r="141" spans="1:4" x14ac:dyDescent="0.25">
      <c r="A141" s="1">
        <v>38604</v>
      </c>
      <c r="B141" t="s">
        <v>8</v>
      </c>
      <c r="C141">
        <v>47</v>
      </c>
      <c r="D141">
        <f>YEAR(cukier9[[#This Row],[data]])</f>
        <v>2005</v>
      </c>
    </row>
    <row r="142" spans="1:4" x14ac:dyDescent="0.25">
      <c r="A142" s="1">
        <v>38604</v>
      </c>
      <c r="B142" t="s">
        <v>50</v>
      </c>
      <c r="C142">
        <v>447</v>
      </c>
      <c r="D142">
        <f>YEAR(cukier9[[#This Row],[data]])</f>
        <v>2005</v>
      </c>
    </row>
    <row r="143" spans="1:4" x14ac:dyDescent="0.25">
      <c r="A143" s="1">
        <v>38605</v>
      </c>
      <c r="B143" t="s">
        <v>69</v>
      </c>
      <c r="C143">
        <v>106</v>
      </c>
      <c r="D143">
        <f>YEAR(cukier9[[#This Row],[data]])</f>
        <v>2005</v>
      </c>
    </row>
    <row r="144" spans="1:4" x14ac:dyDescent="0.25">
      <c r="A144" s="1">
        <v>38606</v>
      </c>
      <c r="B144" t="s">
        <v>79</v>
      </c>
      <c r="C144">
        <v>13</v>
      </c>
      <c r="D144">
        <f>YEAR(cukier9[[#This Row],[data]])</f>
        <v>2005</v>
      </c>
    </row>
    <row r="145" spans="1:4" x14ac:dyDescent="0.25">
      <c r="A145" s="1">
        <v>38606</v>
      </c>
      <c r="B145" t="s">
        <v>52</v>
      </c>
      <c r="C145">
        <v>89</v>
      </c>
      <c r="D145">
        <f>YEAR(cukier9[[#This Row],[data]])</f>
        <v>2005</v>
      </c>
    </row>
    <row r="146" spans="1:4" x14ac:dyDescent="0.25">
      <c r="A146" s="1">
        <v>38606</v>
      </c>
      <c r="B146" t="s">
        <v>31</v>
      </c>
      <c r="C146">
        <v>105</v>
      </c>
      <c r="D146">
        <f>YEAR(cukier9[[#This Row],[data]])</f>
        <v>2005</v>
      </c>
    </row>
    <row r="147" spans="1:4" x14ac:dyDescent="0.25">
      <c r="A147" s="1">
        <v>38606</v>
      </c>
      <c r="B147" t="s">
        <v>7</v>
      </c>
      <c r="C147">
        <v>147</v>
      </c>
      <c r="D147">
        <f>YEAR(cukier9[[#This Row],[data]])</f>
        <v>2005</v>
      </c>
    </row>
    <row r="148" spans="1:4" x14ac:dyDescent="0.25">
      <c r="A148" s="1">
        <v>38608</v>
      </c>
      <c r="B148" t="s">
        <v>9</v>
      </c>
      <c r="C148">
        <v>309</v>
      </c>
      <c r="D148">
        <f>YEAR(cukier9[[#This Row],[data]])</f>
        <v>2005</v>
      </c>
    </row>
    <row r="149" spans="1:4" x14ac:dyDescent="0.25">
      <c r="A149" s="1">
        <v>38610</v>
      </c>
      <c r="B149" t="s">
        <v>28</v>
      </c>
      <c r="C149">
        <v>47</v>
      </c>
      <c r="D149">
        <f>YEAR(cukier9[[#This Row],[data]])</f>
        <v>2005</v>
      </c>
    </row>
    <row r="150" spans="1:4" x14ac:dyDescent="0.25">
      <c r="A150" s="1">
        <v>38612</v>
      </c>
      <c r="B150" t="s">
        <v>50</v>
      </c>
      <c r="C150">
        <v>404</v>
      </c>
      <c r="D150">
        <f>YEAR(cukier9[[#This Row],[data]])</f>
        <v>2005</v>
      </c>
    </row>
    <row r="151" spans="1:4" x14ac:dyDescent="0.25">
      <c r="A151" s="1">
        <v>38612</v>
      </c>
      <c r="B151" t="s">
        <v>80</v>
      </c>
      <c r="C151">
        <v>39</v>
      </c>
      <c r="D151">
        <f>YEAR(cukier9[[#This Row],[data]])</f>
        <v>2005</v>
      </c>
    </row>
    <row r="152" spans="1:4" x14ac:dyDescent="0.25">
      <c r="A152" s="1">
        <v>38612</v>
      </c>
      <c r="B152" t="s">
        <v>12</v>
      </c>
      <c r="C152">
        <v>61</v>
      </c>
      <c r="D152">
        <f>YEAR(cukier9[[#This Row],[data]])</f>
        <v>2005</v>
      </c>
    </row>
    <row r="153" spans="1:4" x14ac:dyDescent="0.25">
      <c r="A153" s="1">
        <v>38615</v>
      </c>
      <c r="B153" t="s">
        <v>66</v>
      </c>
      <c r="C153">
        <v>89</v>
      </c>
      <c r="D153">
        <f>YEAR(cukier9[[#This Row],[data]])</f>
        <v>2005</v>
      </c>
    </row>
    <row r="154" spans="1:4" x14ac:dyDescent="0.25">
      <c r="A154" s="1">
        <v>38617</v>
      </c>
      <c r="B154" t="s">
        <v>23</v>
      </c>
      <c r="C154">
        <v>127</v>
      </c>
      <c r="D154">
        <f>YEAR(cukier9[[#This Row],[data]])</f>
        <v>2005</v>
      </c>
    </row>
    <row r="155" spans="1:4" x14ac:dyDescent="0.25">
      <c r="A155" s="1">
        <v>38620</v>
      </c>
      <c r="B155" t="s">
        <v>18</v>
      </c>
      <c r="C155">
        <v>81</v>
      </c>
      <c r="D155">
        <f>YEAR(cukier9[[#This Row],[data]])</f>
        <v>2005</v>
      </c>
    </row>
    <row r="156" spans="1:4" x14ac:dyDescent="0.25">
      <c r="A156" s="1">
        <v>38623</v>
      </c>
      <c r="B156" t="s">
        <v>45</v>
      </c>
      <c r="C156">
        <v>433</v>
      </c>
      <c r="D156">
        <f>YEAR(cukier9[[#This Row],[data]])</f>
        <v>2005</v>
      </c>
    </row>
    <row r="157" spans="1:4" x14ac:dyDescent="0.25">
      <c r="A157" s="1">
        <v>38623</v>
      </c>
      <c r="B157" t="s">
        <v>9</v>
      </c>
      <c r="C157">
        <v>284</v>
      </c>
      <c r="D157">
        <f>YEAR(cukier9[[#This Row],[data]])</f>
        <v>2005</v>
      </c>
    </row>
    <row r="158" spans="1:4" x14ac:dyDescent="0.25">
      <c r="A158" s="1">
        <v>38624</v>
      </c>
      <c r="B158" t="s">
        <v>6</v>
      </c>
      <c r="C158">
        <v>122</v>
      </c>
      <c r="D158">
        <f>YEAR(cukier9[[#This Row],[data]])</f>
        <v>2005</v>
      </c>
    </row>
    <row r="159" spans="1:4" x14ac:dyDescent="0.25">
      <c r="A159" s="1">
        <v>38626</v>
      </c>
      <c r="B159" t="s">
        <v>80</v>
      </c>
      <c r="C159">
        <v>193</v>
      </c>
      <c r="D159">
        <f>YEAR(cukier9[[#This Row],[data]])</f>
        <v>2005</v>
      </c>
    </row>
    <row r="160" spans="1:4" x14ac:dyDescent="0.25">
      <c r="A160" s="1">
        <v>38628</v>
      </c>
      <c r="B160" t="s">
        <v>28</v>
      </c>
      <c r="C160">
        <v>118</v>
      </c>
      <c r="D160">
        <f>YEAR(cukier9[[#This Row],[data]])</f>
        <v>2005</v>
      </c>
    </row>
    <row r="161" spans="1:4" x14ac:dyDescent="0.25">
      <c r="A161" s="1">
        <v>38629</v>
      </c>
      <c r="B161" t="s">
        <v>5</v>
      </c>
      <c r="C161">
        <v>173</v>
      </c>
      <c r="D161">
        <f>YEAR(cukier9[[#This Row],[data]])</f>
        <v>2005</v>
      </c>
    </row>
    <row r="162" spans="1:4" x14ac:dyDescent="0.25">
      <c r="A162" s="1">
        <v>38632</v>
      </c>
      <c r="B162" t="s">
        <v>22</v>
      </c>
      <c r="C162">
        <v>392</v>
      </c>
      <c r="D162">
        <f>YEAR(cukier9[[#This Row],[data]])</f>
        <v>2005</v>
      </c>
    </row>
    <row r="163" spans="1:4" x14ac:dyDescent="0.25">
      <c r="A163" s="1">
        <v>38633</v>
      </c>
      <c r="B163" t="s">
        <v>16</v>
      </c>
      <c r="C163">
        <v>8</v>
      </c>
      <c r="D163">
        <f>YEAR(cukier9[[#This Row],[data]])</f>
        <v>2005</v>
      </c>
    </row>
    <row r="164" spans="1:4" x14ac:dyDescent="0.25">
      <c r="A164" s="1">
        <v>38638</v>
      </c>
      <c r="B164" t="s">
        <v>28</v>
      </c>
      <c r="C164">
        <v>132</v>
      </c>
      <c r="D164">
        <f>YEAR(cukier9[[#This Row],[data]])</f>
        <v>2005</v>
      </c>
    </row>
    <row r="165" spans="1:4" x14ac:dyDescent="0.25">
      <c r="A165" s="1">
        <v>38638</v>
      </c>
      <c r="B165" t="s">
        <v>8</v>
      </c>
      <c r="C165">
        <v>76</v>
      </c>
      <c r="D165">
        <f>YEAR(cukier9[[#This Row],[data]])</f>
        <v>2005</v>
      </c>
    </row>
    <row r="166" spans="1:4" x14ac:dyDescent="0.25">
      <c r="A166" s="1">
        <v>38639</v>
      </c>
      <c r="B166" t="s">
        <v>81</v>
      </c>
      <c r="C166">
        <v>17</v>
      </c>
      <c r="D166">
        <f>YEAR(cukier9[[#This Row],[data]])</f>
        <v>2005</v>
      </c>
    </row>
    <row r="167" spans="1:4" x14ac:dyDescent="0.25">
      <c r="A167" s="1">
        <v>38640</v>
      </c>
      <c r="B167" t="s">
        <v>82</v>
      </c>
      <c r="C167">
        <v>17</v>
      </c>
      <c r="D167">
        <f>YEAR(cukier9[[#This Row],[data]])</f>
        <v>2005</v>
      </c>
    </row>
    <row r="168" spans="1:4" x14ac:dyDescent="0.25">
      <c r="A168" s="1">
        <v>38643</v>
      </c>
      <c r="B168" t="s">
        <v>83</v>
      </c>
      <c r="C168">
        <v>2</v>
      </c>
      <c r="D168">
        <f>YEAR(cukier9[[#This Row],[data]])</f>
        <v>2005</v>
      </c>
    </row>
    <row r="169" spans="1:4" x14ac:dyDescent="0.25">
      <c r="A169" s="1">
        <v>38645</v>
      </c>
      <c r="B169" t="s">
        <v>19</v>
      </c>
      <c r="C169">
        <v>125</v>
      </c>
      <c r="D169">
        <f>YEAR(cukier9[[#This Row],[data]])</f>
        <v>2005</v>
      </c>
    </row>
    <row r="170" spans="1:4" x14ac:dyDescent="0.25">
      <c r="A170" s="1">
        <v>38646</v>
      </c>
      <c r="B170" t="s">
        <v>50</v>
      </c>
      <c r="C170">
        <v>234</v>
      </c>
      <c r="D170">
        <f>YEAR(cukier9[[#This Row],[data]])</f>
        <v>2005</v>
      </c>
    </row>
    <row r="171" spans="1:4" x14ac:dyDescent="0.25">
      <c r="A171" s="1">
        <v>38652</v>
      </c>
      <c r="B171" t="s">
        <v>69</v>
      </c>
      <c r="C171">
        <v>53</v>
      </c>
      <c r="D171">
        <f>YEAR(cukier9[[#This Row],[data]])</f>
        <v>2005</v>
      </c>
    </row>
    <row r="172" spans="1:4" x14ac:dyDescent="0.25">
      <c r="A172" s="1">
        <v>38653</v>
      </c>
      <c r="B172" t="s">
        <v>37</v>
      </c>
      <c r="C172">
        <v>165</v>
      </c>
      <c r="D172">
        <f>YEAR(cukier9[[#This Row],[data]])</f>
        <v>2005</v>
      </c>
    </row>
    <row r="173" spans="1:4" x14ac:dyDescent="0.25">
      <c r="A173" s="1">
        <v>38653</v>
      </c>
      <c r="B173" t="s">
        <v>10</v>
      </c>
      <c r="C173">
        <v>177</v>
      </c>
      <c r="D173">
        <f>YEAR(cukier9[[#This Row],[data]])</f>
        <v>2005</v>
      </c>
    </row>
    <row r="174" spans="1:4" x14ac:dyDescent="0.25">
      <c r="A174" s="1">
        <v>38655</v>
      </c>
      <c r="B174" t="s">
        <v>18</v>
      </c>
      <c r="C174">
        <v>103</v>
      </c>
      <c r="D174">
        <f>YEAR(cukier9[[#This Row],[data]])</f>
        <v>2005</v>
      </c>
    </row>
    <row r="175" spans="1:4" x14ac:dyDescent="0.25">
      <c r="A175" s="1">
        <v>38657</v>
      </c>
      <c r="B175" t="s">
        <v>84</v>
      </c>
      <c r="C175">
        <v>2</v>
      </c>
      <c r="D175">
        <f>YEAR(cukier9[[#This Row],[data]])</f>
        <v>2005</v>
      </c>
    </row>
    <row r="176" spans="1:4" x14ac:dyDescent="0.25">
      <c r="A176" s="1">
        <v>38657</v>
      </c>
      <c r="B176" t="s">
        <v>9</v>
      </c>
      <c r="C176">
        <v>279</v>
      </c>
      <c r="D176">
        <f>YEAR(cukier9[[#This Row],[data]])</f>
        <v>2005</v>
      </c>
    </row>
    <row r="177" spans="1:4" x14ac:dyDescent="0.25">
      <c r="A177" s="1">
        <v>38662</v>
      </c>
      <c r="B177" t="s">
        <v>30</v>
      </c>
      <c r="C177">
        <v>185</v>
      </c>
      <c r="D177">
        <f>YEAR(cukier9[[#This Row],[data]])</f>
        <v>2005</v>
      </c>
    </row>
    <row r="178" spans="1:4" x14ac:dyDescent="0.25">
      <c r="A178" s="1">
        <v>38663</v>
      </c>
      <c r="B178" t="s">
        <v>7</v>
      </c>
      <c r="C178">
        <v>434</v>
      </c>
      <c r="D178">
        <f>YEAR(cukier9[[#This Row],[data]])</f>
        <v>2005</v>
      </c>
    </row>
    <row r="179" spans="1:4" x14ac:dyDescent="0.25">
      <c r="A179" s="1">
        <v>38667</v>
      </c>
      <c r="B179" t="s">
        <v>85</v>
      </c>
      <c r="C179">
        <v>10</v>
      </c>
      <c r="D179">
        <f>YEAR(cukier9[[#This Row],[data]])</f>
        <v>2005</v>
      </c>
    </row>
    <row r="180" spans="1:4" x14ac:dyDescent="0.25">
      <c r="A180" s="1">
        <v>38669</v>
      </c>
      <c r="B180" t="s">
        <v>86</v>
      </c>
      <c r="C180">
        <v>9</v>
      </c>
      <c r="D180">
        <f>YEAR(cukier9[[#This Row],[data]])</f>
        <v>2005</v>
      </c>
    </row>
    <row r="181" spans="1:4" x14ac:dyDescent="0.25">
      <c r="A181" s="1">
        <v>38670</v>
      </c>
      <c r="B181" t="s">
        <v>24</v>
      </c>
      <c r="C181">
        <v>383</v>
      </c>
      <c r="D181">
        <f>YEAR(cukier9[[#This Row],[data]])</f>
        <v>2005</v>
      </c>
    </row>
    <row r="182" spans="1:4" x14ac:dyDescent="0.25">
      <c r="A182" s="1">
        <v>38670</v>
      </c>
      <c r="B182" t="s">
        <v>30</v>
      </c>
      <c r="C182">
        <v>189</v>
      </c>
      <c r="D182">
        <f>YEAR(cukier9[[#This Row],[data]])</f>
        <v>2005</v>
      </c>
    </row>
    <row r="183" spans="1:4" x14ac:dyDescent="0.25">
      <c r="A183" s="1">
        <v>38672</v>
      </c>
      <c r="B183" t="s">
        <v>12</v>
      </c>
      <c r="C183">
        <v>161</v>
      </c>
      <c r="D183">
        <f>YEAR(cukier9[[#This Row],[data]])</f>
        <v>2005</v>
      </c>
    </row>
    <row r="184" spans="1:4" x14ac:dyDescent="0.25">
      <c r="A184" s="1">
        <v>38672</v>
      </c>
      <c r="B184" t="s">
        <v>63</v>
      </c>
      <c r="C184">
        <v>115</v>
      </c>
      <c r="D184">
        <f>YEAR(cukier9[[#This Row],[data]])</f>
        <v>2005</v>
      </c>
    </row>
    <row r="185" spans="1:4" x14ac:dyDescent="0.25">
      <c r="A185" s="1">
        <v>38674</v>
      </c>
      <c r="B185" t="s">
        <v>69</v>
      </c>
      <c r="C185">
        <v>58</v>
      </c>
      <c r="D185">
        <f>YEAR(cukier9[[#This Row],[data]])</f>
        <v>2005</v>
      </c>
    </row>
    <row r="186" spans="1:4" x14ac:dyDescent="0.25">
      <c r="A186" s="1">
        <v>38674</v>
      </c>
      <c r="B186" t="s">
        <v>87</v>
      </c>
      <c r="C186">
        <v>16</v>
      </c>
      <c r="D186">
        <f>YEAR(cukier9[[#This Row],[data]])</f>
        <v>2005</v>
      </c>
    </row>
    <row r="187" spans="1:4" x14ac:dyDescent="0.25">
      <c r="A187" s="1">
        <v>38675</v>
      </c>
      <c r="B187" t="s">
        <v>53</v>
      </c>
      <c r="C187">
        <v>17</v>
      </c>
      <c r="D187">
        <f>YEAR(cukier9[[#This Row],[data]])</f>
        <v>2005</v>
      </c>
    </row>
    <row r="188" spans="1:4" x14ac:dyDescent="0.25">
      <c r="A188" s="1">
        <v>38676</v>
      </c>
      <c r="B188" t="s">
        <v>5</v>
      </c>
      <c r="C188">
        <v>177</v>
      </c>
      <c r="D188">
        <f>YEAR(cukier9[[#This Row],[data]])</f>
        <v>2005</v>
      </c>
    </row>
    <row r="189" spans="1:4" x14ac:dyDescent="0.25">
      <c r="A189" s="1">
        <v>38677</v>
      </c>
      <c r="B189" t="s">
        <v>78</v>
      </c>
      <c r="C189">
        <v>33</v>
      </c>
      <c r="D189">
        <f>YEAR(cukier9[[#This Row],[data]])</f>
        <v>2005</v>
      </c>
    </row>
    <row r="190" spans="1:4" x14ac:dyDescent="0.25">
      <c r="A190" s="1">
        <v>38680</v>
      </c>
      <c r="B190" t="s">
        <v>18</v>
      </c>
      <c r="C190">
        <v>60</v>
      </c>
      <c r="D190">
        <f>YEAR(cukier9[[#This Row],[data]])</f>
        <v>2005</v>
      </c>
    </row>
    <row r="191" spans="1:4" x14ac:dyDescent="0.25">
      <c r="A191" s="1">
        <v>38682</v>
      </c>
      <c r="B191" t="s">
        <v>88</v>
      </c>
      <c r="C191">
        <v>8</v>
      </c>
      <c r="D191">
        <f>YEAR(cukier9[[#This Row],[data]])</f>
        <v>2005</v>
      </c>
    </row>
    <row r="192" spans="1:4" x14ac:dyDescent="0.25">
      <c r="A192" s="1">
        <v>38687</v>
      </c>
      <c r="B192" t="s">
        <v>9</v>
      </c>
      <c r="C192">
        <v>317</v>
      </c>
      <c r="D192">
        <f>YEAR(cukier9[[#This Row],[data]])</f>
        <v>2005</v>
      </c>
    </row>
    <row r="193" spans="1:4" x14ac:dyDescent="0.25">
      <c r="A193" s="1">
        <v>38689</v>
      </c>
      <c r="B193" t="s">
        <v>89</v>
      </c>
      <c r="C193">
        <v>3</v>
      </c>
      <c r="D193">
        <f>YEAR(cukier9[[#This Row],[data]])</f>
        <v>2005</v>
      </c>
    </row>
    <row r="194" spans="1:4" x14ac:dyDescent="0.25">
      <c r="A194" s="1">
        <v>38691</v>
      </c>
      <c r="B194" t="s">
        <v>90</v>
      </c>
      <c r="C194">
        <v>16</v>
      </c>
      <c r="D194">
        <f>YEAR(cukier9[[#This Row],[data]])</f>
        <v>2005</v>
      </c>
    </row>
    <row r="195" spans="1:4" x14ac:dyDescent="0.25">
      <c r="A195" s="1">
        <v>38700</v>
      </c>
      <c r="B195" t="s">
        <v>65</v>
      </c>
      <c r="C195">
        <v>2</v>
      </c>
      <c r="D195">
        <f>YEAR(cukier9[[#This Row],[data]])</f>
        <v>2005</v>
      </c>
    </row>
    <row r="196" spans="1:4" x14ac:dyDescent="0.25">
      <c r="A196" s="1">
        <v>38705</v>
      </c>
      <c r="B196" t="s">
        <v>10</v>
      </c>
      <c r="C196">
        <v>161</v>
      </c>
      <c r="D196">
        <f>YEAR(cukier9[[#This Row],[data]])</f>
        <v>2005</v>
      </c>
    </row>
    <row r="197" spans="1:4" x14ac:dyDescent="0.25">
      <c r="A197" s="1">
        <v>38708</v>
      </c>
      <c r="B197" t="s">
        <v>37</v>
      </c>
      <c r="C197">
        <v>187</v>
      </c>
      <c r="D197">
        <f>YEAR(cukier9[[#This Row],[data]])</f>
        <v>2005</v>
      </c>
    </row>
    <row r="198" spans="1:4" x14ac:dyDescent="0.25">
      <c r="A198" s="1">
        <v>38708</v>
      </c>
      <c r="B198" t="s">
        <v>91</v>
      </c>
      <c r="C198">
        <v>17</v>
      </c>
      <c r="D198">
        <f>YEAR(cukier9[[#This Row],[data]])</f>
        <v>2005</v>
      </c>
    </row>
    <row r="199" spans="1:4" x14ac:dyDescent="0.25">
      <c r="A199" s="1">
        <v>38709</v>
      </c>
      <c r="B199" t="s">
        <v>92</v>
      </c>
      <c r="C199">
        <v>5</v>
      </c>
      <c r="D199">
        <f>YEAR(cukier9[[#This Row],[data]])</f>
        <v>2005</v>
      </c>
    </row>
    <row r="200" spans="1:4" x14ac:dyDescent="0.25">
      <c r="A200" s="1">
        <v>38711</v>
      </c>
      <c r="B200" t="s">
        <v>53</v>
      </c>
      <c r="C200">
        <v>10</v>
      </c>
      <c r="D200">
        <f>YEAR(cukier9[[#This Row],[data]])</f>
        <v>2005</v>
      </c>
    </row>
    <row r="201" spans="1:4" x14ac:dyDescent="0.25">
      <c r="A201" s="1">
        <v>38711</v>
      </c>
      <c r="B201" t="s">
        <v>14</v>
      </c>
      <c r="C201">
        <v>225</v>
      </c>
      <c r="D201">
        <f>YEAR(cukier9[[#This Row],[data]])</f>
        <v>2005</v>
      </c>
    </row>
    <row r="202" spans="1:4" x14ac:dyDescent="0.25">
      <c r="A202" s="1">
        <v>38716</v>
      </c>
      <c r="B202" t="s">
        <v>17</v>
      </c>
      <c r="C202">
        <v>367</v>
      </c>
      <c r="D202">
        <f>YEAR(cukier9[[#This Row],[data]])</f>
        <v>2005</v>
      </c>
    </row>
    <row r="203" spans="1:4" x14ac:dyDescent="0.25">
      <c r="A203" s="1">
        <v>38721</v>
      </c>
      <c r="B203" t="s">
        <v>14</v>
      </c>
      <c r="C203">
        <v>295</v>
      </c>
      <c r="D203">
        <f>YEAR(cukier9[[#This Row],[data]])</f>
        <v>2006</v>
      </c>
    </row>
    <row r="204" spans="1:4" x14ac:dyDescent="0.25">
      <c r="A204" s="1">
        <v>38725</v>
      </c>
      <c r="B204" t="s">
        <v>55</v>
      </c>
      <c r="C204">
        <v>26</v>
      </c>
      <c r="D204">
        <f>YEAR(cukier9[[#This Row],[data]])</f>
        <v>2006</v>
      </c>
    </row>
    <row r="205" spans="1:4" x14ac:dyDescent="0.25">
      <c r="A205" s="1">
        <v>38725</v>
      </c>
      <c r="B205" t="s">
        <v>93</v>
      </c>
      <c r="C205">
        <v>16</v>
      </c>
      <c r="D205">
        <f>YEAR(cukier9[[#This Row],[data]])</f>
        <v>2006</v>
      </c>
    </row>
    <row r="206" spans="1:4" x14ac:dyDescent="0.25">
      <c r="A206" s="1">
        <v>38729</v>
      </c>
      <c r="B206" t="s">
        <v>9</v>
      </c>
      <c r="C206">
        <v>165</v>
      </c>
      <c r="D206">
        <f>YEAR(cukier9[[#This Row],[data]])</f>
        <v>2006</v>
      </c>
    </row>
    <row r="207" spans="1:4" x14ac:dyDescent="0.25">
      <c r="A207" s="1">
        <v>38729</v>
      </c>
      <c r="B207" t="s">
        <v>94</v>
      </c>
      <c r="C207">
        <v>20</v>
      </c>
      <c r="D207">
        <f>YEAR(cukier9[[#This Row],[data]])</f>
        <v>2006</v>
      </c>
    </row>
    <row r="208" spans="1:4" x14ac:dyDescent="0.25">
      <c r="A208" s="1">
        <v>38734</v>
      </c>
      <c r="B208" t="s">
        <v>95</v>
      </c>
      <c r="C208">
        <v>2</v>
      </c>
      <c r="D208">
        <f>YEAR(cukier9[[#This Row],[data]])</f>
        <v>2006</v>
      </c>
    </row>
    <row r="209" spans="1:4" x14ac:dyDescent="0.25">
      <c r="A209" s="1">
        <v>38734</v>
      </c>
      <c r="B209" t="s">
        <v>96</v>
      </c>
      <c r="C209">
        <v>7</v>
      </c>
      <c r="D209">
        <f>YEAR(cukier9[[#This Row],[data]])</f>
        <v>2006</v>
      </c>
    </row>
    <row r="210" spans="1:4" x14ac:dyDescent="0.25">
      <c r="A210" s="1">
        <v>38734</v>
      </c>
      <c r="B210" t="s">
        <v>29</v>
      </c>
      <c r="C210">
        <v>7</v>
      </c>
      <c r="D210">
        <f>YEAR(cukier9[[#This Row],[data]])</f>
        <v>2006</v>
      </c>
    </row>
    <row r="211" spans="1:4" x14ac:dyDescent="0.25">
      <c r="A211" s="1">
        <v>38734</v>
      </c>
      <c r="B211" t="s">
        <v>78</v>
      </c>
      <c r="C211">
        <v>72</v>
      </c>
      <c r="D211">
        <f>YEAR(cukier9[[#This Row],[data]])</f>
        <v>2006</v>
      </c>
    </row>
    <row r="212" spans="1:4" x14ac:dyDescent="0.25">
      <c r="A212" s="1">
        <v>38735</v>
      </c>
      <c r="B212" t="s">
        <v>71</v>
      </c>
      <c r="C212">
        <v>59</v>
      </c>
      <c r="D212">
        <f>YEAR(cukier9[[#This Row],[data]])</f>
        <v>2006</v>
      </c>
    </row>
    <row r="213" spans="1:4" x14ac:dyDescent="0.25">
      <c r="A213" s="1">
        <v>38736</v>
      </c>
      <c r="B213" t="s">
        <v>45</v>
      </c>
      <c r="C213">
        <v>212</v>
      </c>
      <c r="D213">
        <f>YEAR(cukier9[[#This Row],[data]])</f>
        <v>2006</v>
      </c>
    </row>
    <row r="214" spans="1:4" x14ac:dyDescent="0.25">
      <c r="A214" s="1">
        <v>38741</v>
      </c>
      <c r="B214" t="s">
        <v>17</v>
      </c>
      <c r="C214">
        <v>195</v>
      </c>
      <c r="D214">
        <f>YEAR(cukier9[[#This Row],[data]])</f>
        <v>2006</v>
      </c>
    </row>
    <row r="215" spans="1:4" x14ac:dyDescent="0.25">
      <c r="A215" s="1">
        <v>38741</v>
      </c>
      <c r="B215" t="s">
        <v>57</v>
      </c>
      <c r="C215">
        <v>16</v>
      </c>
      <c r="D215">
        <f>YEAR(cukier9[[#This Row],[data]])</f>
        <v>2006</v>
      </c>
    </row>
    <row r="216" spans="1:4" x14ac:dyDescent="0.25">
      <c r="A216" s="1">
        <v>38745</v>
      </c>
      <c r="B216" t="s">
        <v>12</v>
      </c>
      <c r="C216">
        <v>187</v>
      </c>
      <c r="D216">
        <f>YEAR(cukier9[[#This Row],[data]])</f>
        <v>2006</v>
      </c>
    </row>
    <row r="217" spans="1:4" x14ac:dyDescent="0.25">
      <c r="A217" s="1">
        <v>38751</v>
      </c>
      <c r="B217" t="s">
        <v>17</v>
      </c>
      <c r="C217">
        <v>369</v>
      </c>
      <c r="D217">
        <f>YEAR(cukier9[[#This Row],[data]])</f>
        <v>2006</v>
      </c>
    </row>
    <row r="218" spans="1:4" x14ac:dyDescent="0.25">
      <c r="A218" s="1">
        <v>38754</v>
      </c>
      <c r="B218" t="s">
        <v>35</v>
      </c>
      <c r="C218">
        <v>190</v>
      </c>
      <c r="D218">
        <f>YEAR(cukier9[[#This Row],[data]])</f>
        <v>2006</v>
      </c>
    </row>
    <row r="219" spans="1:4" x14ac:dyDescent="0.25">
      <c r="A219" s="1">
        <v>38754</v>
      </c>
      <c r="B219" t="s">
        <v>14</v>
      </c>
      <c r="C219">
        <v>453</v>
      </c>
      <c r="D219">
        <f>YEAR(cukier9[[#This Row],[data]])</f>
        <v>2006</v>
      </c>
    </row>
    <row r="220" spans="1:4" x14ac:dyDescent="0.25">
      <c r="A220" s="1">
        <v>38754</v>
      </c>
      <c r="B220" t="s">
        <v>22</v>
      </c>
      <c r="C220">
        <v>223</v>
      </c>
      <c r="D220">
        <f>YEAR(cukier9[[#This Row],[data]])</f>
        <v>2006</v>
      </c>
    </row>
    <row r="221" spans="1:4" x14ac:dyDescent="0.25">
      <c r="A221" s="1">
        <v>38755</v>
      </c>
      <c r="B221" t="s">
        <v>64</v>
      </c>
      <c r="C221">
        <v>1</v>
      </c>
      <c r="D221">
        <f>YEAR(cukier9[[#This Row],[data]])</f>
        <v>2006</v>
      </c>
    </row>
    <row r="222" spans="1:4" x14ac:dyDescent="0.25">
      <c r="A222" s="1">
        <v>38757</v>
      </c>
      <c r="B222" t="s">
        <v>55</v>
      </c>
      <c r="C222">
        <v>170</v>
      </c>
      <c r="D222">
        <f>YEAR(cukier9[[#This Row],[data]])</f>
        <v>2006</v>
      </c>
    </row>
    <row r="223" spans="1:4" x14ac:dyDescent="0.25">
      <c r="A223" s="1">
        <v>38757</v>
      </c>
      <c r="B223" t="s">
        <v>86</v>
      </c>
      <c r="C223">
        <v>19</v>
      </c>
      <c r="D223">
        <f>YEAR(cukier9[[#This Row],[data]])</f>
        <v>2006</v>
      </c>
    </row>
    <row r="224" spans="1:4" x14ac:dyDescent="0.25">
      <c r="A224" s="1">
        <v>38757</v>
      </c>
      <c r="B224" t="s">
        <v>17</v>
      </c>
      <c r="C224">
        <v>464</v>
      </c>
      <c r="D224">
        <f>YEAR(cukier9[[#This Row],[data]])</f>
        <v>2006</v>
      </c>
    </row>
    <row r="225" spans="1:4" x14ac:dyDescent="0.25">
      <c r="A225" s="1">
        <v>38761</v>
      </c>
      <c r="B225" t="s">
        <v>7</v>
      </c>
      <c r="C225">
        <v>230</v>
      </c>
      <c r="D225">
        <f>YEAR(cukier9[[#This Row],[data]])</f>
        <v>2006</v>
      </c>
    </row>
    <row r="226" spans="1:4" x14ac:dyDescent="0.25">
      <c r="A226" s="1">
        <v>38765</v>
      </c>
      <c r="B226" t="s">
        <v>9</v>
      </c>
      <c r="C226">
        <v>387</v>
      </c>
      <c r="D226">
        <f>YEAR(cukier9[[#This Row],[data]])</f>
        <v>2006</v>
      </c>
    </row>
    <row r="227" spans="1:4" x14ac:dyDescent="0.25">
      <c r="A227" s="1">
        <v>38766</v>
      </c>
      <c r="B227" t="s">
        <v>45</v>
      </c>
      <c r="C227">
        <v>264</v>
      </c>
      <c r="D227">
        <f>YEAR(cukier9[[#This Row],[data]])</f>
        <v>2006</v>
      </c>
    </row>
    <row r="228" spans="1:4" x14ac:dyDescent="0.25">
      <c r="A228" s="1">
        <v>38767</v>
      </c>
      <c r="B228" t="s">
        <v>18</v>
      </c>
      <c r="C228">
        <v>163</v>
      </c>
      <c r="D228">
        <f>YEAR(cukier9[[#This Row],[data]])</f>
        <v>2006</v>
      </c>
    </row>
    <row r="229" spans="1:4" x14ac:dyDescent="0.25">
      <c r="A229" s="1">
        <v>38768</v>
      </c>
      <c r="B229" t="s">
        <v>36</v>
      </c>
      <c r="C229">
        <v>14</v>
      </c>
      <c r="D229">
        <f>YEAR(cukier9[[#This Row],[data]])</f>
        <v>2006</v>
      </c>
    </row>
    <row r="230" spans="1:4" x14ac:dyDescent="0.25">
      <c r="A230" s="1">
        <v>38769</v>
      </c>
      <c r="B230" t="s">
        <v>71</v>
      </c>
      <c r="C230">
        <v>98</v>
      </c>
      <c r="D230">
        <f>YEAR(cukier9[[#This Row],[data]])</f>
        <v>2006</v>
      </c>
    </row>
    <row r="231" spans="1:4" x14ac:dyDescent="0.25">
      <c r="A231" s="1">
        <v>38780</v>
      </c>
      <c r="B231" t="s">
        <v>97</v>
      </c>
      <c r="C231">
        <v>16</v>
      </c>
      <c r="D231">
        <f>YEAR(cukier9[[#This Row],[data]])</f>
        <v>2006</v>
      </c>
    </row>
    <row r="232" spans="1:4" x14ac:dyDescent="0.25">
      <c r="A232" s="1">
        <v>38780</v>
      </c>
      <c r="B232" t="s">
        <v>26</v>
      </c>
      <c r="C232">
        <v>80</v>
      </c>
      <c r="D232">
        <f>YEAR(cukier9[[#This Row],[data]])</f>
        <v>2006</v>
      </c>
    </row>
    <row r="233" spans="1:4" x14ac:dyDescent="0.25">
      <c r="A233" s="1">
        <v>38784</v>
      </c>
      <c r="B233" t="s">
        <v>39</v>
      </c>
      <c r="C233">
        <v>127</v>
      </c>
      <c r="D233">
        <f>YEAR(cukier9[[#This Row],[data]])</f>
        <v>2006</v>
      </c>
    </row>
    <row r="234" spans="1:4" x14ac:dyDescent="0.25">
      <c r="A234" s="1">
        <v>38786</v>
      </c>
      <c r="B234" t="s">
        <v>19</v>
      </c>
      <c r="C234">
        <v>170</v>
      </c>
      <c r="D234">
        <f>YEAR(cukier9[[#This Row],[data]])</f>
        <v>2006</v>
      </c>
    </row>
    <row r="235" spans="1:4" x14ac:dyDescent="0.25">
      <c r="A235" s="1">
        <v>38787</v>
      </c>
      <c r="B235" t="s">
        <v>61</v>
      </c>
      <c r="C235">
        <v>28</v>
      </c>
      <c r="D235">
        <f>YEAR(cukier9[[#This Row],[data]])</f>
        <v>2006</v>
      </c>
    </row>
    <row r="236" spans="1:4" x14ac:dyDescent="0.25">
      <c r="A236" s="1">
        <v>38788</v>
      </c>
      <c r="B236" t="s">
        <v>98</v>
      </c>
      <c r="C236">
        <v>12</v>
      </c>
      <c r="D236">
        <f>YEAR(cukier9[[#This Row],[data]])</f>
        <v>2006</v>
      </c>
    </row>
    <row r="237" spans="1:4" x14ac:dyDescent="0.25">
      <c r="A237" s="1">
        <v>38790</v>
      </c>
      <c r="B237" t="s">
        <v>99</v>
      </c>
      <c r="C237">
        <v>10</v>
      </c>
      <c r="D237">
        <f>YEAR(cukier9[[#This Row],[data]])</f>
        <v>2006</v>
      </c>
    </row>
    <row r="238" spans="1:4" x14ac:dyDescent="0.25">
      <c r="A238" s="1">
        <v>38791</v>
      </c>
      <c r="B238" t="s">
        <v>30</v>
      </c>
      <c r="C238">
        <v>65</v>
      </c>
      <c r="D238">
        <f>YEAR(cukier9[[#This Row],[data]])</f>
        <v>2006</v>
      </c>
    </row>
    <row r="239" spans="1:4" x14ac:dyDescent="0.25">
      <c r="A239" s="1">
        <v>38792</v>
      </c>
      <c r="B239" t="s">
        <v>100</v>
      </c>
      <c r="C239">
        <v>17</v>
      </c>
      <c r="D239">
        <f>YEAR(cukier9[[#This Row],[data]])</f>
        <v>2006</v>
      </c>
    </row>
    <row r="240" spans="1:4" x14ac:dyDescent="0.25">
      <c r="A240" s="1">
        <v>38792</v>
      </c>
      <c r="B240" t="s">
        <v>9</v>
      </c>
      <c r="C240">
        <v>262</v>
      </c>
      <c r="D240">
        <f>YEAR(cukier9[[#This Row],[data]])</f>
        <v>2006</v>
      </c>
    </row>
    <row r="241" spans="1:4" x14ac:dyDescent="0.25">
      <c r="A241" s="1">
        <v>38792</v>
      </c>
      <c r="B241" t="s">
        <v>101</v>
      </c>
      <c r="C241">
        <v>20</v>
      </c>
      <c r="D241">
        <f>YEAR(cukier9[[#This Row],[data]])</f>
        <v>2006</v>
      </c>
    </row>
    <row r="242" spans="1:4" x14ac:dyDescent="0.25">
      <c r="A242" s="1">
        <v>38801</v>
      </c>
      <c r="B242" t="s">
        <v>7</v>
      </c>
      <c r="C242">
        <v>224</v>
      </c>
      <c r="D242">
        <f>YEAR(cukier9[[#This Row],[data]])</f>
        <v>2006</v>
      </c>
    </row>
    <row r="243" spans="1:4" x14ac:dyDescent="0.25">
      <c r="A243" s="1">
        <v>38808</v>
      </c>
      <c r="B243" t="s">
        <v>52</v>
      </c>
      <c r="C243">
        <v>199</v>
      </c>
      <c r="D243">
        <f>YEAR(cukier9[[#This Row],[data]])</f>
        <v>2006</v>
      </c>
    </row>
    <row r="244" spans="1:4" x14ac:dyDescent="0.25">
      <c r="A244" s="1">
        <v>38813</v>
      </c>
      <c r="B244" t="s">
        <v>30</v>
      </c>
      <c r="C244">
        <v>70</v>
      </c>
      <c r="D244">
        <f>YEAR(cukier9[[#This Row],[data]])</f>
        <v>2006</v>
      </c>
    </row>
    <row r="245" spans="1:4" x14ac:dyDescent="0.25">
      <c r="A245" s="1">
        <v>38815</v>
      </c>
      <c r="B245" t="s">
        <v>102</v>
      </c>
      <c r="C245">
        <v>171</v>
      </c>
      <c r="D245">
        <f>YEAR(cukier9[[#This Row],[data]])</f>
        <v>2006</v>
      </c>
    </row>
    <row r="246" spans="1:4" x14ac:dyDescent="0.25">
      <c r="A246" s="1">
        <v>38815</v>
      </c>
      <c r="B246" t="s">
        <v>103</v>
      </c>
      <c r="C246">
        <v>1</v>
      </c>
      <c r="D246">
        <f>YEAR(cukier9[[#This Row],[data]])</f>
        <v>2006</v>
      </c>
    </row>
    <row r="247" spans="1:4" x14ac:dyDescent="0.25">
      <c r="A247" s="1">
        <v>38817</v>
      </c>
      <c r="B247" t="s">
        <v>94</v>
      </c>
      <c r="C247">
        <v>13</v>
      </c>
      <c r="D247">
        <f>YEAR(cukier9[[#This Row],[data]])</f>
        <v>2006</v>
      </c>
    </row>
    <row r="248" spans="1:4" x14ac:dyDescent="0.25">
      <c r="A248" s="1">
        <v>38818</v>
      </c>
      <c r="B248" t="s">
        <v>9</v>
      </c>
      <c r="C248">
        <v>293</v>
      </c>
      <c r="D248">
        <f>YEAR(cukier9[[#This Row],[data]])</f>
        <v>2006</v>
      </c>
    </row>
    <row r="249" spans="1:4" x14ac:dyDescent="0.25">
      <c r="A249" s="1">
        <v>38818</v>
      </c>
      <c r="B249" t="s">
        <v>87</v>
      </c>
      <c r="C249">
        <v>11</v>
      </c>
      <c r="D249">
        <f>YEAR(cukier9[[#This Row],[data]])</f>
        <v>2006</v>
      </c>
    </row>
    <row r="250" spans="1:4" x14ac:dyDescent="0.25">
      <c r="A250" s="1">
        <v>38820</v>
      </c>
      <c r="B250" t="s">
        <v>50</v>
      </c>
      <c r="C250">
        <v>162</v>
      </c>
      <c r="D250">
        <f>YEAR(cukier9[[#This Row],[data]])</f>
        <v>2006</v>
      </c>
    </row>
    <row r="251" spans="1:4" x14ac:dyDescent="0.25">
      <c r="A251" s="1">
        <v>38821</v>
      </c>
      <c r="B251" t="s">
        <v>58</v>
      </c>
      <c r="C251">
        <v>187</v>
      </c>
      <c r="D251">
        <f>YEAR(cukier9[[#This Row],[data]])</f>
        <v>2006</v>
      </c>
    </row>
    <row r="252" spans="1:4" x14ac:dyDescent="0.25">
      <c r="A252" s="1">
        <v>38822</v>
      </c>
      <c r="B252" t="s">
        <v>18</v>
      </c>
      <c r="C252">
        <v>192</v>
      </c>
      <c r="D252">
        <f>YEAR(cukier9[[#This Row],[data]])</f>
        <v>2006</v>
      </c>
    </row>
    <row r="253" spans="1:4" x14ac:dyDescent="0.25">
      <c r="A253" s="1">
        <v>38824</v>
      </c>
      <c r="B253" t="s">
        <v>24</v>
      </c>
      <c r="C253">
        <v>127</v>
      </c>
      <c r="D253">
        <f>YEAR(cukier9[[#This Row],[data]])</f>
        <v>2006</v>
      </c>
    </row>
    <row r="254" spans="1:4" x14ac:dyDescent="0.25">
      <c r="A254" s="1">
        <v>38826</v>
      </c>
      <c r="B254" t="s">
        <v>9</v>
      </c>
      <c r="C254">
        <v>198</v>
      </c>
      <c r="D254">
        <f>YEAR(cukier9[[#This Row],[data]])</f>
        <v>2006</v>
      </c>
    </row>
    <row r="255" spans="1:4" x14ac:dyDescent="0.25">
      <c r="A255" s="1">
        <v>38826</v>
      </c>
      <c r="B255" t="s">
        <v>104</v>
      </c>
      <c r="C255">
        <v>4</v>
      </c>
      <c r="D255">
        <f>YEAR(cukier9[[#This Row],[data]])</f>
        <v>2006</v>
      </c>
    </row>
    <row r="256" spans="1:4" x14ac:dyDescent="0.25">
      <c r="A256" s="1">
        <v>38826</v>
      </c>
      <c r="B256" t="s">
        <v>17</v>
      </c>
      <c r="C256">
        <v>110</v>
      </c>
      <c r="D256">
        <f>YEAR(cukier9[[#This Row],[data]])</f>
        <v>2006</v>
      </c>
    </row>
    <row r="257" spans="1:4" x14ac:dyDescent="0.25">
      <c r="A257" s="1">
        <v>38826</v>
      </c>
      <c r="B257" t="s">
        <v>18</v>
      </c>
      <c r="C257">
        <v>123</v>
      </c>
      <c r="D257">
        <f>YEAR(cukier9[[#This Row],[data]])</f>
        <v>2006</v>
      </c>
    </row>
    <row r="258" spans="1:4" x14ac:dyDescent="0.25">
      <c r="A258" s="1">
        <v>38827</v>
      </c>
      <c r="B258" t="s">
        <v>66</v>
      </c>
      <c r="C258">
        <v>159</v>
      </c>
      <c r="D258">
        <f>YEAR(cukier9[[#This Row],[data]])</f>
        <v>2006</v>
      </c>
    </row>
    <row r="259" spans="1:4" x14ac:dyDescent="0.25">
      <c r="A259" s="1">
        <v>38828</v>
      </c>
      <c r="B259" t="s">
        <v>105</v>
      </c>
      <c r="C259">
        <v>19</v>
      </c>
      <c r="D259">
        <f>YEAR(cukier9[[#This Row],[data]])</f>
        <v>2006</v>
      </c>
    </row>
    <row r="260" spans="1:4" x14ac:dyDescent="0.25">
      <c r="A260" s="1">
        <v>38834</v>
      </c>
      <c r="B260" t="s">
        <v>22</v>
      </c>
      <c r="C260">
        <v>289</v>
      </c>
      <c r="D260">
        <f>YEAR(cukier9[[#This Row],[data]])</f>
        <v>2006</v>
      </c>
    </row>
    <row r="261" spans="1:4" x14ac:dyDescent="0.25">
      <c r="A261" s="1">
        <v>38834</v>
      </c>
      <c r="B261" t="s">
        <v>23</v>
      </c>
      <c r="C261">
        <v>136</v>
      </c>
      <c r="D261">
        <f>YEAR(cukier9[[#This Row],[data]])</f>
        <v>2006</v>
      </c>
    </row>
    <row r="262" spans="1:4" x14ac:dyDescent="0.25">
      <c r="A262" s="1">
        <v>38845</v>
      </c>
      <c r="B262" t="s">
        <v>25</v>
      </c>
      <c r="C262">
        <v>41</v>
      </c>
      <c r="D262">
        <f>YEAR(cukier9[[#This Row],[data]])</f>
        <v>2006</v>
      </c>
    </row>
    <row r="263" spans="1:4" x14ac:dyDescent="0.25">
      <c r="A263" s="1">
        <v>38846</v>
      </c>
      <c r="B263" t="s">
        <v>45</v>
      </c>
      <c r="C263">
        <v>385</v>
      </c>
      <c r="D263">
        <f>YEAR(cukier9[[#This Row],[data]])</f>
        <v>2006</v>
      </c>
    </row>
    <row r="264" spans="1:4" x14ac:dyDescent="0.25">
      <c r="A264" s="1">
        <v>38847</v>
      </c>
      <c r="B264" t="s">
        <v>106</v>
      </c>
      <c r="C264">
        <v>17</v>
      </c>
      <c r="D264">
        <f>YEAR(cukier9[[#This Row],[data]])</f>
        <v>2006</v>
      </c>
    </row>
    <row r="265" spans="1:4" x14ac:dyDescent="0.25">
      <c r="A265" s="1">
        <v>38847</v>
      </c>
      <c r="B265" t="s">
        <v>107</v>
      </c>
      <c r="C265">
        <v>20</v>
      </c>
      <c r="D265">
        <f>YEAR(cukier9[[#This Row],[data]])</f>
        <v>2006</v>
      </c>
    </row>
    <row r="266" spans="1:4" x14ac:dyDescent="0.25">
      <c r="A266" s="1">
        <v>38851</v>
      </c>
      <c r="B266" t="s">
        <v>108</v>
      </c>
      <c r="C266">
        <v>19</v>
      </c>
      <c r="D266">
        <f>YEAR(cukier9[[#This Row],[data]])</f>
        <v>2006</v>
      </c>
    </row>
    <row r="267" spans="1:4" x14ac:dyDescent="0.25">
      <c r="A267" s="1">
        <v>38852</v>
      </c>
      <c r="B267" t="s">
        <v>43</v>
      </c>
      <c r="C267">
        <v>13</v>
      </c>
      <c r="D267">
        <f>YEAR(cukier9[[#This Row],[data]])</f>
        <v>2006</v>
      </c>
    </row>
    <row r="268" spans="1:4" x14ac:dyDescent="0.25">
      <c r="A268" s="1">
        <v>38853</v>
      </c>
      <c r="B268" t="s">
        <v>97</v>
      </c>
      <c r="C268">
        <v>13</v>
      </c>
      <c r="D268">
        <f>YEAR(cukier9[[#This Row],[data]])</f>
        <v>2006</v>
      </c>
    </row>
    <row r="269" spans="1:4" x14ac:dyDescent="0.25">
      <c r="A269" s="1">
        <v>38855</v>
      </c>
      <c r="B269" t="s">
        <v>80</v>
      </c>
      <c r="C269">
        <v>168</v>
      </c>
      <c r="D269">
        <f>YEAR(cukier9[[#This Row],[data]])</f>
        <v>2006</v>
      </c>
    </row>
    <row r="270" spans="1:4" x14ac:dyDescent="0.25">
      <c r="A270" s="1">
        <v>38855</v>
      </c>
      <c r="B270" t="s">
        <v>109</v>
      </c>
      <c r="C270">
        <v>18</v>
      </c>
      <c r="D270">
        <f>YEAR(cukier9[[#This Row],[data]])</f>
        <v>2006</v>
      </c>
    </row>
    <row r="271" spans="1:4" x14ac:dyDescent="0.25">
      <c r="A271" s="1">
        <v>38855</v>
      </c>
      <c r="B271" t="s">
        <v>14</v>
      </c>
      <c r="C271">
        <v>131</v>
      </c>
      <c r="D271">
        <f>YEAR(cukier9[[#This Row],[data]])</f>
        <v>2006</v>
      </c>
    </row>
    <row r="272" spans="1:4" x14ac:dyDescent="0.25">
      <c r="A272" s="1">
        <v>38856</v>
      </c>
      <c r="B272" t="s">
        <v>22</v>
      </c>
      <c r="C272">
        <v>187</v>
      </c>
      <c r="D272">
        <f>YEAR(cukier9[[#This Row],[data]])</f>
        <v>2006</v>
      </c>
    </row>
    <row r="273" spans="1:4" x14ac:dyDescent="0.25">
      <c r="A273" s="1">
        <v>38857</v>
      </c>
      <c r="B273" t="s">
        <v>24</v>
      </c>
      <c r="C273">
        <v>412</v>
      </c>
      <c r="D273">
        <f>YEAR(cukier9[[#This Row],[data]])</f>
        <v>2006</v>
      </c>
    </row>
    <row r="274" spans="1:4" x14ac:dyDescent="0.25">
      <c r="A274" s="1">
        <v>38859</v>
      </c>
      <c r="B274" t="s">
        <v>6</v>
      </c>
      <c r="C274">
        <v>40</v>
      </c>
      <c r="D274">
        <f>YEAR(cukier9[[#This Row],[data]])</f>
        <v>2006</v>
      </c>
    </row>
    <row r="275" spans="1:4" x14ac:dyDescent="0.25">
      <c r="A275" s="1">
        <v>38860</v>
      </c>
      <c r="B275" t="s">
        <v>37</v>
      </c>
      <c r="C275">
        <v>166</v>
      </c>
      <c r="D275">
        <f>YEAR(cukier9[[#This Row],[data]])</f>
        <v>2006</v>
      </c>
    </row>
    <row r="276" spans="1:4" x14ac:dyDescent="0.25">
      <c r="A276" s="1">
        <v>38861</v>
      </c>
      <c r="B276" t="s">
        <v>66</v>
      </c>
      <c r="C276">
        <v>173</v>
      </c>
      <c r="D276">
        <f>YEAR(cukier9[[#This Row],[data]])</f>
        <v>2006</v>
      </c>
    </row>
    <row r="277" spans="1:4" x14ac:dyDescent="0.25">
      <c r="A277" s="1">
        <v>38862</v>
      </c>
      <c r="B277" t="s">
        <v>110</v>
      </c>
      <c r="C277">
        <v>2</v>
      </c>
      <c r="D277">
        <f>YEAR(cukier9[[#This Row],[data]])</f>
        <v>2006</v>
      </c>
    </row>
    <row r="278" spans="1:4" x14ac:dyDescent="0.25">
      <c r="A278" s="1">
        <v>38862</v>
      </c>
      <c r="B278" t="s">
        <v>111</v>
      </c>
      <c r="C278">
        <v>18</v>
      </c>
      <c r="D278">
        <f>YEAR(cukier9[[#This Row],[data]])</f>
        <v>2006</v>
      </c>
    </row>
    <row r="279" spans="1:4" x14ac:dyDescent="0.25">
      <c r="A279" s="1">
        <v>38863</v>
      </c>
      <c r="B279" t="s">
        <v>112</v>
      </c>
      <c r="C279">
        <v>15</v>
      </c>
      <c r="D279">
        <f>YEAR(cukier9[[#This Row],[data]])</f>
        <v>2006</v>
      </c>
    </row>
    <row r="280" spans="1:4" x14ac:dyDescent="0.25">
      <c r="A280" s="1">
        <v>38864</v>
      </c>
      <c r="B280" t="s">
        <v>102</v>
      </c>
      <c r="C280">
        <v>243</v>
      </c>
      <c r="D280">
        <f>YEAR(cukier9[[#This Row],[data]])</f>
        <v>2006</v>
      </c>
    </row>
    <row r="281" spans="1:4" x14ac:dyDescent="0.25">
      <c r="A281" s="1">
        <v>38865</v>
      </c>
      <c r="B281" t="s">
        <v>17</v>
      </c>
      <c r="C281">
        <v>460</v>
      </c>
      <c r="D281">
        <f>YEAR(cukier9[[#This Row],[data]])</f>
        <v>2006</v>
      </c>
    </row>
    <row r="282" spans="1:4" x14ac:dyDescent="0.25">
      <c r="A282" s="1">
        <v>38865</v>
      </c>
      <c r="B282" t="s">
        <v>113</v>
      </c>
      <c r="C282">
        <v>8</v>
      </c>
      <c r="D282">
        <f>YEAR(cukier9[[#This Row],[data]])</f>
        <v>2006</v>
      </c>
    </row>
    <row r="283" spans="1:4" x14ac:dyDescent="0.25">
      <c r="A283" s="1">
        <v>38866</v>
      </c>
      <c r="B283" t="s">
        <v>8</v>
      </c>
      <c r="C283">
        <v>150</v>
      </c>
      <c r="D283">
        <f>YEAR(cukier9[[#This Row],[data]])</f>
        <v>2006</v>
      </c>
    </row>
    <row r="284" spans="1:4" x14ac:dyDescent="0.25">
      <c r="A284" s="1">
        <v>38867</v>
      </c>
      <c r="B284" t="s">
        <v>52</v>
      </c>
      <c r="C284">
        <v>72</v>
      </c>
      <c r="D284">
        <f>YEAR(cukier9[[#This Row],[data]])</f>
        <v>2006</v>
      </c>
    </row>
    <row r="285" spans="1:4" x14ac:dyDescent="0.25">
      <c r="A285" s="1">
        <v>38867</v>
      </c>
      <c r="B285" t="s">
        <v>9</v>
      </c>
      <c r="C285">
        <v>217</v>
      </c>
      <c r="D285">
        <f>YEAR(cukier9[[#This Row],[data]])</f>
        <v>2006</v>
      </c>
    </row>
    <row r="286" spans="1:4" x14ac:dyDescent="0.25">
      <c r="A286" s="1">
        <v>38870</v>
      </c>
      <c r="B286" t="s">
        <v>39</v>
      </c>
      <c r="C286">
        <v>164</v>
      </c>
      <c r="D286">
        <f>YEAR(cukier9[[#This Row],[data]])</f>
        <v>2006</v>
      </c>
    </row>
    <row r="287" spans="1:4" x14ac:dyDescent="0.25">
      <c r="A287" s="1">
        <v>38870</v>
      </c>
      <c r="B287" t="s">
        <v>45</v>
      </c>
      <c r="C287">
        <v>429</v>
      </c>
      <c r="D287">
        <f>YEAR(cukier9[[#This Row],[data]])</f>
        <v>2006</v>
      </c>
    </row>
    <row r="288" spans="1:4" x14ac:dyDescent="0.25">
      <c r="A288" s="1">
        <v>38875</v>
      </c>
      <c r="B288" t="s">
        <v>8</v>
      </c>
      <c r="C288">
        <v>63</v>
      </c>
      <c r="D288">
        <f>YEAR(cukier9[[#This Row],[data]])</f>
        <v>2006</v>
      </c>
    </row>
    <row r="289" spans="1:4" x14ac:dyDescent="0.25">
      <c r="A289" s="1">
        <v>38878</v>
      </c>
      <c r="B289" t="s">
        <v>30</v>
      </c>
      <c r="C289">
        <v>106</v>
      </c>
      <c r="D289">
        <f>YEAR(cukier9[[#This Row],[data]])</f>
        <v>2006</v>
      </c>
    </row>
    <row r="290" spans="1:4" x14ac:dyDescent="0.25">
      <c r="A290" s="1">
        <v>38886</v>
      </c>
      <c r="B290" t="s">
        <v>22</v>
      </c>
      <c r="C290">
        <v>136</v>
      </c>
      <c r="D290">
        <f>YEAR(cukier9[[#This Row],[data]])</f>
        <v>2006</v>
      </c>
    </row>
    <row r="291" spans="1:4" x14ac:dyDescent="0.25">
      <c r="A291" s="1">
        <v>38887</v>
      </c>
      <c r="B291" t="s">
        <v>114</v>
      </c>
      <c r="C291">
        <v>7</v>
      </c>
      <c r="D291">
        <f>YEAR(cukier9[[#This Row],[data]])</f>
        <v>2006</v>
      </c>
    </row>
    <row r="292" spans="1:4" x14ac:dyDescent="0.25">
      <c r="A292" s="1">
        <v>38896</v>
      </c>
      <c r="B292" t="s">
        <v>12</v>
      </c>
      <c r="C292">
        <v>114</v>
      </c>
      <c r="D292">
        <f>YEAR(cukier9[[#This Row],[data]])</f>
        <v>2006</v>
      </c>
    </row>
    <row r="293" spans="1:4" x14ac:dyDescent="0.25">
      <c r="A293" s="1">
        <v>38896</v>
      </c>
      <c r="B293" t="s">
        <v>115</v>
      </c>
      <c r="C293">
        <v>12</v>
      </c>
      <c r="D293">
        <f>YEAR(cukier9[[#This Row],[data]])</f>
        <v>2006</v>
      </c>
    </row>
    <row r="294" spans="1:4" x14ac:dyDescent="0.25">
      <c r="A294" s="1">
        <v>38902</v>
      </c>
      <c r="B294" t="s">
        <v>9</v>
      </c>
      <c r="C294">
        <v>443</v>
      </c>
      <c r="D294">
        <f>YEAR(cukier9[[#This Row],[data]])</f>
        <v>2006</v>
      </c>
    </row>
    <row r="295" spans="1:4" x14ac:dyDescent="0.25">
      <c r="A295" s="1">
        <v>38904</v>
      </c>
      <c r="B295" t="s">
        <v>52</v>
      </c>
      <c r="C295">
        <v>73</v>
      </c>
      <c r="D295">
        <f>YEAR(cukier9[[#This Row],[data]])</f>
        <v>2006</v>
      </c>
    </row>
    <row r="296" spans="1:4" x14ac:dyDescent="0.25">
      <c r="A296" s="1">
        <v>38907</v>
      </c>
      <c r="B296" t="s">
        <v>116</v>
      </c>
      <c r="C296">
        <v>15</v>
      </c>
      <c r="D296">
        <f>YEAR(cukier9[[#This Row],[data]])</f>
        <v>2006</v>
      </c>
    </row>
    <row r="297" spans="1:4" x14ac:dyDescent="0.25">
      <c r="A297" s="1">
        <v>38907</v>
      </c>
      <c r="B297" t="s">
        <v>117</v>
      </c>
      <c r="C297">
        <v>9</v>
      </c>
      <c r="D297">
        <f>YEAR(cukier9[[#This Row],[data]])</f>
        <v>2006</v>
      </c>
    </row>
    <row r="298" spans="1:4" x14ac:dyDescent="0.25">
      <c r="A298" s="1">
        <v>38908</v>
      </c>
      <c r="B298" t="s">
        <v>118</v>
      </c>
      <c r="C298">
        <v>20</v>
      </c>
      <c r="D298">
        <f>YEAR(cukier9[[#This Row],[data]])</f>
        <v>2006</v>
      </c>
    </row>
    <row r="299" spans="1:4" x14ac:dyDescent="0.25">
      <c r="A299" s="1">
        <v>38910</v>
      </c>
      <c r="B299" t="s">
        <v>119</v>
      </c>
      <c r="C299">
        <v>9</v>
      </c>
      <c r="D299">
        <f>YEAR(cukier9[[#This Row],[data]])</f>
        <v>2006</v>
      </c>
    </row>
    <row r="300" spans="1:4" x14ac:dyDescent="0.25">
      <c r="A300" s="1">
        <v>38911</v>
      </c>
      <c r="B300" t="s">
        <v>120</v>
      </c>
      <c r="C300">
        <v>88</v>
      </c>
      <c r="D300">
        <f>YEAR(cukier9[[#This Row],[data]])</f>
        <v>2006</v>
      </c>
    </row>
    <row r="301" spans="1:4" x14ac:dyDescent="0.25">
      <c r="A301" s="1">
        <v>38911</v>
      </c>
      <c r="B301" t="s">
        <v>7</v>
      </c>
      <c r="C301">
        <v>139</v>
      </c>
      <c r="D301">
        <f>YEAR(cukier9[[#This Row],[data]])</f>
        <v>2006</v>
      </c>
    </row>
    <row r="302" spans="1:4" x14ac:dyDescent="0.25">
      <c r="A302" s="1">
        <v>38912</v>
      </c>
      <c r="B302" t="s">
        <v>22</v>
      </c>
      <c r="C302">
        <v>346</v>
      </c>
      <c r="D302">
        <f>YEAR(cukier9[[#This Row],[data]])</f>
        <v>2006</v>
      </c>
    </row>
    <row r="303" spans="1:4" x14ac:dyDescent="0.25">
      <c r="A303" s="1">
        <v>38918</v>
      </c>
      <c r="B303" t="s">
        <v>121</v>
      </c>
      <c r="C303">
        <v>3</v>
      </c>
      <c r="D303">
        <f>YEAR(cukier9[[#This Row],[data]])</f>
        <v>2006</v>
      </c>
    </row>
    <row r="304" spans="1:4" x14ac:dyDescent="0.25">
      <c r="A304" s="1">
        <v>38918</v>
      </c>
      <c r="B304" t="s">
        <v>122</v>
      </c>
      <c r="C304">
        <v>9</v>
      </c>
      <c r="D304">
        <f>YEAR(cukier9[[#This Row],[data]])</f>
        <v>2006</v>
      </c>
    </row>
    <row r="305" spans="1:4" x14ac:dyDescent="0.25">
      <c r="A305" s="1">
        <v>38918</v>
      </c>
      <c r="B305" t="s">
        <v>9</v>
      </c>
      <c r="C305">
        <v>323</v>
      </c>
      <c r="D305">
        <f>YEAR(cukier9[[#This Row],[data]])</f>
        <v>2006</v>
      </c>
    </row>
    <row r="306" spans="1:4" x14ac:dyDescent="0.25">
      <c r="A306" s="1">
        <v>38919</v>
      </c>
      <c r="B306" t="s">
        <v>102</v>
      </c>
      <c r="C306">
        <v>382</v>
      </c>
      <c r="D306">
        <f>YEAR(cukier9[[#This Row],[data]])</f>
        <v>2006</v>
      </c>
    </row>
    <row r="307" spans="1:4" x14ac:dyDescent="0.25">
      <c r="A307" s="1">
        <v>38923</v>
      </c>
      <c r="B307" t="s">
        <v>17</v>
      </c>
      <c r="C307">
        <v>296</v>
      </c>
      <c r="D307">
        <f>YEAR(cukier9[[#This Row],[data]])</f>
        <v>2006</v>
      </c>
    </row>
    <row r="308" spans="1:4" x14ac:dyDescent="0.25">
      <c r="A308" s="1">
        <v>38924</v>
      </c>
      <c r="B308" t="s">
        <v>5</v>
      </c>
      <c r="C308">
        <v>121</v>
      </c>
      <c r="D308">
        <f>YEAR(cukier9[[#This Row],[data]])</f>
        <v>2006</v>
      </c>
    </row>
    <row r="309" spans="1:4" x14ac:dyDescent="0.25">
      <c r="A309" s="1">
        <v>38924</v>
      </c>
      <c r="B309" t="s">
        <v>25</v>
      </c>
      <c r="C309">
        <v>157</v>
      </c>
      <c r="D309">
        <f>YEAR(cukier9[[#This Row],[data]])</f>
        <v>2006</v>
      </c>
    </row>
    <row r="310" spans="1:4" x14ac:dyDescent="0.25">
      <c r="A310" s="1">
        <v>38926</v>
      </c>
      <c r="B310" t="s">
        <v>9</v>
      </c>
      <c r="C310">
        <v>497</v>
      </c>
      <c r="D310">
        <f>YEAR(cukier9[[#This Row],[data]])</f>
        <v>2006</v>
      </c>
    </row>
    <row r="311" spans="1:4" x14ac:dyDescent="0.25">
      <c r="A311" s="1">
        <v>38927</v>
      </c>
      <c r="B311" t="s">
        <v>9</v>
      </c>
      <c r="C311">
        <v>103</v>
      </c>
      <c r="D311">
        <f>YEAR(cukier9[[#This Row],[data]])</f>
        <v>2006</v>
      </c>
    </row>
    <row r="312" spans="1:4" x14ac:dyDescent="0.25">
      <c r="A312" s="1">
        <v>38928</v>
      </c>
      <c r="B312" t="s">
        <v>30</v>
      </c>
      <c r="C312">
        <v>142</v>
      </c>
      <c r="D312">
        <f>YEAR(cukier9[[#This Row],[data]])</f>
        <v>2006</v>
      </c>
    </row>
    <row r="313" spans="1:4" x14ac:dyDescent="0.25">
      <c r="A313" s="1">
        <v>38929</v>
      </c>
      <c r="B313" t="s">
        <v>23</v>
      </c>
      <c r="C313">
        <v>144</v>
      </c>
      <c r="D313">
        <f>YEAR(cukier9[[#This Row],[data]])</f>
        <v>2006</v>
      </c>
    </row>
    <row r="314" spans="1:4" x14ac:dyDescent="0.25">
      <c r="A314" s="1">
        <v>38931</v>
      </c>
      <c r="B314" t="s">
        <v>100</v>
      </c>
      <c r="C314">
        <v>8</v>
      </c>
      <c r="D314">
        <f>YEAR(cukier9[[#This Row],[data]])</f>
        <v>2006</v>
      </c>
    </row>
    <row r="315" spans="1:4" x14ac:dyDescent="0.25">
      <c r="A315" s="1">
        <v>38936</v>
      </c>
      <c r="B315" t="s">
        <v>55</v>
      </c>
      <c r="C315">
        <v>172</v>
      </c>
      <c r="D315">
        <f>YEAR(cukier9[[#This Row],[data]])</f>
        <v>2006</v>
      </c>
    </row>
    <row r="316" spans="1:4" x14ac:dyDescent="0.25">
      <c r="A316" s="1">
        <v>38940</v>
      </c>
      <c r="B316" t="s">
        <v>7</v>
      </c>
      <c r="C316">
        <v>290</v>
      </c>
      <c r="D316">
        <f>YEAR(cukier9[[#This Row],[data]])</f>
        <v>2006</v>
      </c>
    </row>
    <row r="317" spans="1:4" x14ac:dyDescent="0.25">
      <c r="A317" s="1">
        <v>38942</v>
      </c>
      <c r="B317" t="s">
        <v>14</v>
      </c>
      <c r="C317">
        <v>422</v>
      </c>
      <c r="D317">
        <f>YEAR(cukier9[[#This Row],[data]])</f>
        <v>2006</v>
      </c>
    </row>
    <row r="318" spans="1:4" x14ac:dyDescent="0.25">
      <c r="A318" s="1">
        <v>38945</v>
      </c>
      <c r="B318" t="s">
        <v>109</v>
      </c>
      <c r="C318">
        <v>12</v>
      </c>
      <c r="D318">
        <f>YEAR(cukier9[[#This Row],[data]])</f>
        <v>2006</v>
      </c>
    </row>
    <row r="319" spans="1:4" x14ac:dyDescent="0.25">
      <c r="A319" s="1">
        <v>38948</v>
      </c>
      <c r="B319" t="s">
        <v>55</v>
      </c>
      <c r="C319">
        <v>104</v>
      </c>
      <c r="D319">
        <f>YEAR(cukier9[[#This Row],[data]])</f>
        <v>2006</v>
      </c>
    </row>
    <row r="320" spans="1:4" x14ac:dyDescent="0.25">
      <c r="A320" s="1">
        <v>38949</v>
      </c>
      <c r="B320" t="s">
        <v>35</v>
      </c>
      <c r="C320">
        <v>97</v>
      </c>
      <c r="D320">
        <f>YEAR(cukier9[[#This Row],[data]])</f>
        <v>2006</v>
      </c>
    </row>
    <row r="321" spans="1:4" x14ac:dyDescent="0.25">
      <c r="A321" s="1">
        <v>38950</v>
      </c>
      <c r="B321" t="s">
        <v>26</v>
      </c>
      <c r="C321">
        <v>179</v>
      </c>
      <c r="D321">
        <f>YEAR(cukier9[[#This Row],[data]])</f>
        <v>2006</v>
      </c>
    </row>
    <row r="322" spans="1:4" x14ac:dyDescent="0.25">
      <c r="A322" s="1">
        <v>38953</v>
      </c>
      <c r="B322" t="s">
        <v>50</v>
      </c>
      <c r="C322">
        <v>256</v>
      </c>
      <c r="D322">
        <f>YEAR(cukier9[[#This Row],[data]])</f>
        <v>2006</v>
      </c>
    </row>
    <row r="323" spans="1:4" x14ac:dyDescent="0.25">
      <c r="A323" s="1">
        <v>38954</v>
      </c>
      <c r="B323" t="s">
        <v>113</v>
      </c>
      <c r="C323">
        <v>20</v>
      </c>
      <c r="D323">
        <f>YEAR(cukier9[[#This Row],[data]])</f>
        <v>2006</v>
      </c>
    </row>
    <row r="324" spans="1:4" x14ac:dyDescent="0.25">
      <c r="A324" s="1">
        <v>38954</v>
      </c>
      <c r="B324" t="s">
        <v>105</v>
      </c>
      <c r="C324">
        <v>10</v>
      </c>
      <c r="D324">
        <f>YEAR(cukier9[[#This Row],[data]])</f>
        <v>2006</v>
      </c>
    </row>
    <row r="325" spans="1:4" x14ac:dyDescent="0.25">
      <c r="A325" s="1">
        <v>38955</v>
      </c>
      <c r="B325" t="s">
        <v>7</v>
      </c>
      <c r="C325">
        <v>407</v>
      </c>
      <c r="D325">
        <f>YEAR(cukier9[[#This Row],[data]])</f>
        <v>2006</v>
      </c>
    </row>
    <row r="326" spans="1:4" x14ac:dyDescent="0.25">
      <c r="A326" s="1">
        <v>38956</v>
      </c>
      <c r="B326" t="s">
        <v>22</v>
      </c>
      <c r="C326">
        <v>297</v>
      </c>
      <c r="D326">
        <f>YEAR(cukier9[[#This Row],[data]])</f>
        <v>2006</v>
      </c>
    </row>
    <row r="327" spans="1:4" x14ac:dyDescent="0.25">
      <c r="A327" s="1">
        <v>38956</v>
      </c>
      <c r="B327" t="s">
        <v>71</v>
      </c>
      <c r="C327">
        <v>133</v>
      </c>
      <c r="D327">
        <f>YEAR(cukier9[[#This Row],[data]])</f>
        <v>2006</v>
      </c>
    </row>
    <row r="328" spans="1:4" x14ac:dyDescent="0.25">
      <c r="A328" s="1">
        <v>38956</v>
      </c>
      <c r="B328" t="s">
        <v>35</v>
      </c>
      <c r="C328">
        <v>33</v>
      </c>
      <c r="D328">
        <f>YEAR(cukier9[[#This Row],[data]])</f>
        <v>2006</v>
      </c>
    </row>
    <row r="329" spans="1:4" x14ac:dyDescent="0.25">
      <c r="A329" s="1">
        <v>38959</v>
      </c>
      <c r="B329" t="s">
        <v>14</v>
      </c>
      <c r="C329">
        <v>220</v>
      </c>
      <c r="D329">
        <f>YEAR(cukier9[[#This Row],[data]])</f>
        <v>2006</v>
      </c>
    </row>
    <row r="330" spans="1:4" x14ac:dyDescent="0.25">
      <c r="A330" s="1">
        <v>38959</v>
      </c>
      <c r="B330" t="s">
        <v>28</v>
      </c>
      <c r="C330">
        <v>114</v>
      </c>
      <c r="D330">
        <f>YEAR(cukier9[[#This Row],[data]])</f>
        <v>2006</v>
      </c>
    </row>
    <row r="331" spans="1:4" x14ac:dyDescent="0.25">
      <c r="A331" s="1">
        <v>38962</v>
      </c>
      <c r="B331" t="s">
        <v>8</v>
      </c>
      <c r="C331">
        <v>130</v>
      </c>
      <c r="D331">
        <f>YEAR(cukier9[[#This Row],[data]])</f>
        <v>2006</v>
      </c>
    </row>
    <row r="332" spans="1:4" x14ac:dyDescent="0.25">
      <c r="A332" s="1">
        <v>38962</v>
      </c>
      <c r="B332" t="s">
        <v>30</v>
      </c>
      <c r="C332">
        <v>52</v>
      </c>
      <c r="D332">
        <f>YEAR(cukier9[[#This Row],[data]])</f>
        <v>2006</v>
      </c>
    </row>
    <row r="333" spans="1:4" x14ac:dyDescent="0.25">
      <c r="A333" s="1">
        <v>38962</v>
      </c>
      <c r="B333" t="s">
        <v>28</v>
      </c>
      <c r="C333">
        <v>33</v>
      </c>
      <c r="D333">
        <f>YEAR(cukier9[[#This Row],[data]])</f>
        <v>2006</v>
      </c>
    </row>
    <row r="334" spans="1:4" x14ac:dyDescent="0.25">
      <c r="A334" s="1">
        <v>38963</v>
      </c>
      <c r="B334" t="s">
        <v>61</v>
      </c>
      <c r="C334">
        <v>57</v>
      </c>
      <c r="D334">
        <f>YEAR(cukier9[[#This Row],[data]])</f>
        <v>2006</v>
      </c>
    </row>
    <row r="335" spans="1:4" x14ac:dyDescent="0.25">
      <c r="A335" s="1">
        <v>38965</v>
      </c>
      <c r="B335" t="s">
        <v>123</v>
      </c>
      <c r="C335">
        <v>190</v>
      </c>
      <c r="D335">
        <f>YEAR(cukier9[[#This Row],[data]])</f>
        <v>2006</v>
      </c>
    </row>
    <row r="336" spans="1:4" x14ac:dyDescent="0.25">
      <c r="A336" s="1">
        <v>38965</v>
      </c>
      <c r="B336" t="s">
        <v>84</v>
      </c>
      <c r="C336">
        <v>8</v>
      </c>
      <c r="D336">
        <f>YEAR(cukier9[[#This Row],[data]])</f>
        <v>2006</v>
      </c>
    </row>
    <row r="337" spans="1:4" x14ac:dyDescent="0.25">
      <c r="A337" s="1">
        <v>38965</v>
      </c>
      <c r="B337" t="s">
        <v>7</v>
      </c>
      <c r="C337">
        <v>255</v>
      </c>
      <c r="D337">
        <f>YEAR(cukier9[[#This Row],[data]])</f>
        <v>2006</v>
      </c>
    </row>
    <row r="338" spans="1:4" x14ac:dyDescent="0.25">
      <c r="A338" s="1">
        <v>38967</v>
      </c>
      <c r="B338" t="s">
        <v>71</v>
      </c>
      <c r="C338">
        <v>108</v>
      </c>
      <c r="D338">
        <f>YEAR(cukier9[[#This Row],[data]])</f>
        <v>2006</v>
      </c>
    </row>
    <row r="339" spans="1:4" x14ac:dyDescent="0.25">
      <c r="A339" s="1">
        <v>38971</v>
      </c>
      <c r="B339" t="s">
        <v>18</v>
      </c>
      <c r="C339">
        <v>78</v>
      </c>
      <c r="D339">
        <f>YEAR(cukier9[[#This Row],[data]])</f>
        <v>2006</v>
      </c>
    </row>
    <row r="340" spans="1:4" x14ac:dyDescent="0.25">
      <c r="A340" s="1">
        <v>38972</v>
      </c>
      <c r="B340" t="s">
        <v>7</v>
      </c>
      <c r="C340">
        <v>364</v>
      </c>
      <c r="D340">
        <f>YEAR(cukier9[[#This Row],[data]])</f>
        <v>2006</v>
      </c>
    </row>
    <row r="341" spans="1:4" x14ac:dyDescent="0.25">
      <c r="A341" s="1">
        <v>38973</v>
      </c>
      <c r="B341" t="s">
        <v>66</v>
      </c>
      <c r="C341">
        <v>52</v>
      </c>
      <c r="D341">
        <f>YEAR(cukier9[[#This Row],[data]])</f>
        <v>2006</v>
      </c>
    </row>
    <row r="342" spans="1:4" x14ac:dyDescent="0.25">
      <c r="A342" s="1">
        <v>38974</v>
      </c>
      <c r="B342" t="s">
        <v>102</v>
      </c>
      <c r="C342">
        <v>343</v>
      </c>
      <c r="D342">
        <f>YEAR(cukier9[[#This Row],[data]])</f>
        <v>2006</v>
      </c>
    </row>
    <row r="343" spans="1:4" x14ac:dyDescent="0.25">
      <c r="A343" s="1">
        <v>38976</v>
      </c>
      <c r="B343" t="s">
        <v>52</v>
      </c>
      <c r="C343">
        <v>197</v>
      </c>
      <c r="D343">
        <f>YEAR(cukier9[[#This Row],[data]])</f>
        <v>2006</v>
      </c>
    </row>
    <row r="344" spans="1:4" x14ac:dyDescent="0.25">
      <c r="A344" s="1">
        <v>38977</v>
      </c>
      <c r="B344" t="s">
        <v>124</v>
      </c>
      <c r="C344">
        <v>4</v>
      </c>
      <c r="D344">
        <f>YEAR(cukier9[[#This Row],[data]])</f>
        <v>2006</v>
      </c>
    </row>
    <row r="345" spans="1:4" x14ac:dyDescent="0.25">
      <c r="A345" s="1">
        <v>38978</v>
      </c>
      <c r="B345" t="s">
        <v>125</v>
      </c>
      <c r="C345">
        <v>8</v>
      </c>
      <c r="D345">
        <f>YEAR(cukier9[[#This Row],[data]])</f>
        <v>2006</v>
      </c>
    </row>
    <row r="346" spans="1:4" x14ac:dyDescent="0.25">
      <c r="A346" s="1">
        <v>38978</v>
      </c>
      <c r="B346" t="s">
        <v>56</v>
      </c>
      <c r="C346">
        <v>11</v>
      </c>
      <c r="D346">
        <f>YEAR(cukier9[[#This Row],[data]])</f>
        <v>2006</v>
      </c>
    </row>
    <row r="347" spans="1:4" x14ac:dyDescent="0.25">
      <c r="A347" s="1">
        <v>38978</v>
      </c>
      <c r="B347" t="s">
        <v>72</v>
      </c>
      <c r="C347">
        <v>10</v>
      </c>
      <c r="D347">
        <f>YEAR(cukier9[[#This Row],[data]])</f>
        <v>2006</v>
      </c>
    </row>
    <row r="348" spans="1:4" x14ac:dyDescent="0.25">
      <c r="A348" s="1">
        <v>38981</v>
      </c>
      <c r="B348" t="s">
        <v>61</v>
      </c>
      <c r="C348">
        <v>96</v>
      </c>
      <c r="D348">
        <f>YEAR(cukier9[[#This Row],[data]])</f>
        <v>2006</v>
      </c>
    </row>
    <row r="349" spans="1:4" x14ac:dyDescent="0.25">
      <c r="A349" s="1">
        <v>38981</v>
      </c>
      <c r="B349" t="s">
        <v>55</v>
      </c>
      <c r="C349">
        <v>30</v>
      </c>
      <c r="D349">
        <f>YEAR(cukier9[[#This Row],[data]])</f>
        <v>2006</v>
      </c>
    </row>
    <row r="350" spans="1:4" x14ac:dyDescent="0.25">
      <c r="A350" s="1">
        <v>38982</v>
      </c>
      <c r="B350" t="s">
        <v>126</v>
      </c>
      <c r="C350">
        <v>17</v>
      </c>
      <c r="D350">
        <f>YEAR(cukier9[[#This Row],[data]])</f>
        <v>2006</v>
      </c>
    </row>
    <row r="351" spans="1:4" x14ac:dyDescent="0.25">
      <c r="A351" s="1">
        <v>38985</v>
      </c>
      <c r="B351" t="s">
        <v>122</v>
      </c>
      <c r="C351">
        <v>17</v>
      </c>
      <c r="D351">
        <f>YEAR(cukier9[[#This Row],[data]])</f>
        <v>2006</v>
      </c>
    </row>
    <row r="352" spans="1:4" x14ac:dyDescent="0.25">
      <c r="A352" s="1">
        <v>38985</v>
      </c>
      <c r="B352" t="s">
        <v>12</v>
      </c>
      <c r="C352">
        <v>180</v>
      </c>
      <c r="D352">
        <f>YEAR(cukier9[[#This Row],[data]])</f>
        <v>2006</v>
      </c>
    </row>
    <row r="353" spans="1:4" x14ac:dyDescent="0.25">
      <c r="A353" s="1">
        <v>38985</v>
      </c>
      <c r="B353" t="s">
        <v>31</v>
      </c>
      <c r="C353">
        <v>94</v>
      </c>
      <c r="D353">
        <f>YEAR(cukier9[[#This Row],[data]])</f>
        <v>2006</v>
      </c>
    </row>
    <row r="354" spans="1:4" x14ac:dyDescent="0.25">
      <c r="A354" s="1">
        <v>38986</v>
      </c>
      <c r="B354" t="s">
        <v>39</v>
      </c>
      <c r="C354">
        <v>45</v>
      </c>
      <c r="D354">
        <f>YEAR(cukier9[[#This Row],[data]])</f>
        <v>2006</v>
      </c>
    </row>
    <row r="355" spans="1:4" x14ac:dyDescent="0.25">
      <c r="A355" s="1">
        <v>38987</v>
      </c>
      <c r="B355" t="s">
        <v>7</v>
      </c>
      <c r="C355">
        <v>380</v>
      </c>
      <c r="D355">
        <f>YEAR(cukier9[[#This Row],[data]])</f>
        <v>2006</v>
      </c>
    </row>
    <row r="356" spans="1:4" x14ac:dyDescent="0.25">
      <c r="A356" s="1">
        <v>38987</v>
      </c>
      <c r="B356" t="s">
        <v>43</v>
      </c>
      <c r="C356">
        <v>5</v>
      </c>
      <c r="D356">
        <f>YEAR(cukier9[[#This Row],[data]])</f>
        <v>2006</v>
      </c>
    </row>
    <row r="357" spans="1:4" x14ac:dyDescent="0.25">
      <c r="A357" s="1">
        <v>38991</v>
      </c>
      <c r="B357" t="s">
        <v>37</v>
      </c>
      <c r="C357">
        <v>170</v>
      </c>
      <c r="D357">
        <f>YEAR(cukier9[[#This Row],[data]])</f>
        <v>2006</v>
      </c>
    </row>
    <row r="358" spans="1:4" x14ac:dyDescent="0.25">
      <c r="A358" s="1">
        <v>38995</v>
      </c>
      <c r="B358" t="s">
        <v>45</v>
      </c>
      <c r="C358">
        <v>198</v>
      </c>
      <c r="D358">
        <f>YEAR(cukier9[[#This Row],[data]])</f>
        <v>2006</v>
      </c>
    </row>
    <row r="359" spans="1:4" x14ac:dyDescent="0.25">
      <c r="A359" s="1">
        <v>38998</v>
      </c>
      <c r="B359" t="s">
        <v>17</v>
      </c>
      <c r="C359">
        <v>283</v>
      </c>
      <c r="D359">
        <f>YEAR(cukier9[[#This Row],[data]])</f>
        <v>2006</v>
      </c>
    </row>
    <row r="360" spans="1:4" x14ac:dyDescent="0.25">
      <c r="A360" s="1">
        <v>39001</v>
      </c>
      <c r="B360" t="s">
        <v>123</v>
      </c>
      <c r="C360">
        <v>42</v>
      </c>
      <c r="D360">
        <f>YEAR(cukier9[[#This Row],[data]])</f>
        <v>2006</v>
      </c>
    </row>
    <row r="361" spans="1:4" x14ac:dyDescent="0.25">
      <c r="A361" s="1">
        <v>39003</v>
      </c>
      <c r="B361" t="s">
        <v>6</v>
      </c>
      <c r="C361">
        <v>163</v>
      </c>
      <c r="D361">
        <f>YEAR(cukier9[[#This Row],[data]])</f>
        <v>2006</v>
      </c>
    </row>
    <row r="362" spans="1:4" x14ac:dyDescent="0.25">
      <c r="A362" s="1">
        <v>39009</v>
      </c>
      <c r="B362" t="s">
        <v>17</v>
      </c>
      <c r="C362">
        <v>115</v>
      </c>
      <c r="D362">
        <f>YEAR(cukier9[[#This Row],[data]])</f>
        <v>2006</v>
      </c>
    </row>
    <row r="363" spans="1:4" x14ac:dyDescent="0.25">
      <c r="A363" s="1">
        <v>39014</v>
      </c>
      <c r="B363" t="s">
        <v>71</v>
      </c>
      <c r="C363">
        <v>75</v>
      </c>
      <c r="D363">
        <f>YEAR(cukier9[[#This Row],[data]])</f>
        <v>2006</v>
      </c>
    </row>
    <row r="364" spans="1:4" x14ac:dyDescent="0.25">
      <c r="A364" s="1">
        <v>39015</v>
      </c>
      <c r="B364" t="s">
        <v>45</v>
      </c>
      <c r="C364">
        <v>403</v>
      </c>
      <c r="D364">
        <f>YEAR(cukier9[[#This Row],[data]])</f>
        <v>2006</v>
      </c>
    </row>
    <row r="365" spans="1:4" x14ac:dyDescent="0.25">
      <c r="A365" s="1">
        <v>39019</v>
      </c>
      <c r="B365" t="s">
        <v>17</v>
      </c>
      <c r="C365">
        <v>465</v>
      </c>
      <c r="D365">
        <f>YEAR(cukier9[[#This Row],[data]])</f>
        <v>2006</v>
      </c>
    </row>
    <row r="366" spans="1:4" x14ac:dyDescent="0.25">
      <c r="A366" s="1">
        <v>39021</v>
      </c>
      <c r="B366" t="s">
        <v>6</v>
      </c>
      <c r="C366">
        <v>194</v>
      </c>
      <c r="D366">
        <f>YEAR(cukier9[[#This Row],[data]])</f>
        <v>2006</v>
      </c>
    </row>
    <row r="367" spans="1:4" x14ac:dyDescent="0.25">
      <c r="A367" s="1">
        <v>39021</v>
      </c>
      <c r="B367" t="s">
        <v>69</v>
      </c>
      <c r="C367">
        <v>122</v>
      </c>
      <c r="D367">
        <f>YEAR(cukier9[[#This Row],[data]])</f>
        <v>2006</v>
      </c>
    </row>
    <row r="368" spans="1:4" x14ac:dyDescent="0.25">
      <c r="A368" s="1">
        <v>39021</v>
      </c>
      <c r="B368" t="s">
        <v>19</v>
      </c>
      <c r="C368">
        <v>186</v>
      </c>
      <c r="D368">
        <f>YEAR(cukier9[[#This Row],[data]])</f>
        <v>2006</v>
      </c>
    </row>
    <row r="369" spans="1:4" x14ac:dyDescent="0.25">
      <c r="A369" s="1">
        <v>39026</v>
      </c>
      <c r="B369" t="s">
        <v>12</v>
      </c>
      <c r="C369">
        <v>137</v>
      </c>
      <c r="D369">
        <f>YEAR(cukier9[[#This Row],[data]])</f>
        <v>2006</v>
      </c>
    </row>
    <row r="370" spans="1:4" x14ac:dyDescent="0.25">
      <c r="A370" s="1">
        <v>39029</v>
      </c>
      <c r="B370" t="s">
        <v>79</v>
      </c>
      <c r="C370">
        <v>10</v>
      </c>
      <c r="D370">
        <f>YEAR(cukier9[[#This Row],[data]])</f>
        <v>2006</v>
      </c>
    </row>
    <row r="371" spans="1:4" x14ac:dyDescent="0.25">
      <c r="A371" s="1">
        <v>39032</v>
      </c>
      <c r="B371" t="s">
        <v>50</v>
      </c>
      <c r="C371">
        <v>437</v>
      </c>
      <c r="D371">
        <f>YEAR(cukier9[[#This Row],[data]])</f>
        <v>2006</v>
      </c>
    </row>
    <row r="372" spans="1:4" x14ac:dyDescent="0.25">
      <c r="A372" s="1">
        <v>39034</v>
      </c>
      <c r="B372" t="s">
        <v>127</v>
      </c>
      <c r="C372">
        <v>20</v>
      </c>
      <c r="D372">
        <f>YEAR(cukier9[[#This Row],[data]])</f>
        <v>2006</v>
      </c>
    </row>
    <row r="373" spans="1:4" x14ac:dyDescent="0.25">
      <c r="A373" s="1">
        <v>39035</v>
      </c>
      <c r="B373" t="s">
        <v>14</v>
      </c>
      <c r="C373">
        <v>108</v>
      </c>
      <c r="D373">
        <f>YEAR(cukier9[[#This Row],[data]])</f>
        <v>2006</v>
      </c>
    </row>
    <row r="374" spans="1:4" x14ac:dyDescent="0.25">
      <c r="A374" s="1">
        <v>39040</v>
      </c>
      <c r="B374" t="s">
        <v>37</v>
      </c>
      <c r="C374">
        <v>62</v>
      </c>
      <c r="D374">
        <f>YEAR(cukier9[[#This Row],[data]])</f>
        <v>2006</v>
      </c>
    </row>
    <row r="375" spans="1:4" x14ac:dyDescent="0.25">
      <c r="A375" s="1">
        <v>39040</v>
      </c>
      <c r="B375" t="s">
        <v>7</v>
      </c>
      <c r="C375">
        <v>426</v>
      </c>
      <c r="D375">
        <f>YEAR(cukier9[[#This Row],[data]])</f>
        <v>2006</v>
      </c>
    </row>
    <row r="376" spans="1:4" x14ac:dyDescent="0.25">
      <c r="A376" s="1">
        <v>39043</v>
      </c>
      <c r="B376" t="s">
        <v>45</v>
      </c>
      <c r="C376">
        <v>303</v>
      </c>
      <c r="D376">
        <f>YEAR(cukier9[[#This Row],[data]])</f>
        <v>2006</v>
      </c>
    </row>
    <row r="377" spans="1:4" x14ac:dyDescent="0.25">
      <c r="A377" s="1">
        <v>39044</v>
      </c>
      <c r="B377" t="s">
        <v>0</v>
      </c>
      <c r="C377">
        <v>20</v>
      </c>
      <c r="D377">
        <f>YEAR(cukier9[[#This Row],[data]])</f>
        <v>2006</v>
      </c>
    </row>
    <row r="378" spans="1:4" x14ac:dyDescent="0.25">
      <c r="A378" s="1">
        <v>39047</v>
      </c>
      <c r="B378" t="s">
        <v>9</v>
      </c>
      <c r="C378">
        <v>237</v>
      </c>
      <c r="D378">
        <f>YEAR(cukier9[[#This Row],[data]])</f>
        <v>2006</v>
      </c>
    </row>
    <row r="379" spans="1:4" x14ac:dyDescent="0.25">
      <c r="A379" s="1">
        <v>39048</v>
      </c>
      <c r="B379" t="s">
        <v>23</v>
      </c>
      <c r="C379">
        <v>151</v>
      </c>
      <c r="D379">
        <f>YEAR(cukier9[[#This Row],[data]])</f>
        <v>2006</v>
      </c>
    </row>
    <row r="380" spans="1:4" x14ac:dyDescent="0.25">
      <c r="A380" s="1">
        <v>39049</v>
      </c>
      <c r="B380" t="s">
        <v>128</v>
      </c>
      <c r="C380">
        <v>6</v>
      </c>
      <c r="D380">
        <f>YEAR(cukier9[[#This Row],[data]])</f>
        <v>2006</v>
      </c>
    </row>
    <row r="381" spans="1:4" x14ac:dyDescent="0.25">
      <c r="A381" s="1">
        <v>39052</v>
      </c>
      <c r="B381" t="s">
        <v>6</v>
      </c>
      <c r="C381">
        <v>124</v>
      </c>
      <c r="D381">
        <f>YEAR(cukier9[[#This Row],[data]])</f>
        <v>2006</v>
      </c>
    </row>
    <row r="382" spans="1:4" x14ac:dyDescent="0.25">
      <c r="A382" s="1">
        <v>39054</v>
      </c>
      <c r="B382" t="s">
        <v>129</v>
      </c>
      <c r="C382">
        <v>7</v>
      </c>
      <c r="D382">
        <f>YEAR(cukier9[[#This Row],[data]])</f>
        <v>2006</v>
      </c>
    </row>
    <row r="383" spans="1:4" x14ac:dyDescent="0.25">
      <c r="A383" s="1">
        <v>39055</v>
      </c>
      <c r="B383" t="s">
        <v>130</v>
      </c>
      <c r="C383">
        <v>7</v>
      </c>
      <c r="D383">
        <f>YEAR(cukier9[[#This Row],[data]])</f>
        <v>2006</v>
      </c>
    </row>
    <row r="384" spans="1:4" x14ac:dyDescent="0.25">
      <c r="A384" s="1">
        <v>39057</v>
      </c>
      <c r="B384" t="s">
        <v>45</v>
      </c>
      <c r="C384">
        <v>105</v>
      </c>
      <c r="D384">
        <f>YEAR(cukier9[[#This Row],[data]])</f>
        <v>2006</v>
      </c>
    </row>
    <row r="385" spans="1:4" x14ac:dyDescent="0.25">
      <c r="A385" s="1">
        <v>39058</v>
      </c>
      <c r="B385" t="s">
        <v>69</v>
      </c>
      <c r="C385">
        <v>58</v>
      </c>
      <c r="D385">
        <f>YEAR(cukier9[[#This Row],[data]])</f>
        <v>2006</v>
      </c>
    </row>
    <row r="386" spans="1:4" x14ac:dyDescent="0.25">
      <c r="A386" s="1">
        <v>39058</v>
      </c>
      <c r="B386" t="s">
        <v>131</v>
      </c>
      <c r="C386">
        <v>182</v>
      </c>
      <c r="D386">
        <f>YEAR(cukier9[[#This Row],[data]])</f>
        <v>2006</v>
      </c>
    </row>
    <row r="387" spans="1:4" x14ac:dyDescent="0.25">
      <c r="A387" s="1">
        <v>39060</v>
      </c>
      <c r="B387" t="s">
        <v>50</v>
      </c>
      <c r="C387">
        <v>163</v>
      </c>
      <c r="D387">
        <f>YEAR(cukier9[[#This Row],[data]])</f>
        <v>2006</v>
      </c>
    </row>
    <row r="388" spans="1:4" x14ac:dyDescent="0.25">
      <c r="A388" s="1">
        <v>39060</v>
      </c>
      <c r="B388" t="s">
        <v>132</v>
      </c>
      <c r="C388">
        <v>14</v>
      </c>
      <c r="D388">
        <f>YEAR(cukier9[[#This Row],[data]])</f>
        <v>2006</v>
      </c>
    </row>
    <row r="389" spans="1:4" x14ac:dyDescent="0.25">
      <c r="A389" s="1">
        <v>39061</v>
      </c>
      <c r="B389" t="s">
        <v>133</v>
      </c>
      <c r="C389">
        <v>4</v>
      </c>
      <c r="D389">
        <f>YEAR(cukier9[[#This Row],[data]])</f>
        <v>2006</v>
      </c>
    </row>
    <row r="390" spans="1:4" x14ac:dyDescent="0.25">
      <c r="A390" s="1">
        <v>39062</v>
      </c>
      <c r="B390" t="s">
        <v>134</v>
      </c>
      <c r="C390">
        <v>13</v>
      </c>
      <c r="D390">
        <f>YEAR(cukier9[[#This Row],[data]])</f>
        <v>2006</v>
      </c>
    </row>
    <row r="391" spans="1:4" x14ac:dyDescent="0.25">
      <c r="A391" s="1">
        <v>39063</v>
      </c>
      <c r="B391" t="s">
        <v>7</v>
      </c>
      <c r="C391">
        <v>422</v>
      </c>
      <c r="D391">
        <f>YEAR(cukier9[[#This Row],[data]])</f>
        <v>2006</v>
      </c>
    </row>
    <row r="392" spans="1:4" x14ac:dyDescent="0.25">
      <c r="A392" s="1">
        <v>39064</v>
      </c>
      <c r="B392" t="s">
        <v>82</v>
      </c>
      <c r="C392">
        <v>6</v>
      </c>
      <c r="D392">
        <f>YEAR(cukier9[[#This Row],[data]])</f>
        <v>2006</v>
      </c>
    </row>
    <row r="393" spans="1:4" x14ac:dyDescent="0.25">
      <c r="A393" s="1">
        <v>39069</v>
      </c>
      <c r="B393" t="s">
        <v>135</v>
      </c>
      <c r="C393">
        <v>15</v>
      </c>
      <c r="D393">
        <f>YEAR(cukier9[[#This Row],[data]])</f>
        <v>2006</v>
      </c>
    </row>
    <row r="394" spans="1:4" x14ac:dyDescent="0.25">
      <c r="A394" s="1">
        <v>39070</v>
      </c>
      <c r="B394" t="s">
        <v>30</v>
      </c>
      <c r="C394">
        <v>168</v>
      </c>
      <c r="D394">
        <f>YEAR(cukier9[[#This Row],[data]])</f>
        <v>2006</v>
      </c>
    </row>
    <row r="395" spans="1:4" x14ac:dyDescent="0.25">
      <c r="A395" s="1">
        <v>39072</v>
      </c>
      <c r="B395" t="s">
        <v>50</v>
      </c>
      <c r="C395">
        <v>193</v>
      </c>
      <c r="D395">
        <f>YEAR(cukier9[[#This Row],[data]])</f>
        <v>2006</v>
      </c>
    </row>
    <row r="396" spans="1:4" x14ac:dyDescent="0.25">
      <c r="A396" s="1">
        <v>39078</v>
      </c>
      <c r="B396" t="s">
        <v>105</v>
      </c>
      <c r="C396">
        <v>15</v>
      </c>
      <c r="D396">
        <f>YEAR(cukier9[[#This Row],[data]])</f>
        <v>2006</v>
      </c>
    </row>
    <row r="397" spans="1:4" x14ac:dyDescent="0.25">
      <c r="A397" s="1">
        <v>39079</v>
      </c>
      <c r="B397" t="s">
        <v>23</v>
      </c>
      <c r="C397">
        <v>27</v>
      </c>
      <c r="D397">
        <f>YEAR(cukier9[[#This Row],[data]])</f>
        <v>2006</v>
      </c>
    </row>
    <row r="398" spans="1:4" x14ac:dyDescent="0.25">
      <c r="A398" s="1">
        <v>39080</v>
      </c>
      <c r="B398" t="s">
        <v>23</v>
      </c>
      <c r="C398">
        <v>116</v>
      </c>
      <c r="D398">
        <f>YEAR(cukier9[[#This Row],[data]])</f>
        <v>2006</v>
      </c>
    </row>
    <row r="399" spans="1:4" x14ac:dyDescent="0.25">
      <c r="A399" s="1">
        <v>39081</v>
      </c>
      <c r="B399" t="s">
        <v>61</v>
      </c>
      <c r="C399">
        <v>21</v>
      </c>
      <c r="D399">
        <f>YEAR(cukier9[[#This Row],[data]])</f>
        <v>2006</v>
      </c>
    </row>
    <row r="400" spans="1:4" x14ac:dyDescent="0.25">
      <c r="A400" s="1">
        <v>39081</v>
      </c>
      <c r="B400" t="s">
        <v>23</v>
      </c>
      <c r="C400">
        <v>61</v>
      </c>
      <c r="D400">
        <f>YEAR(cukier9[[#This Row],[data]])</f>
        <v>2006</v>
      </c>
    </row>
    <row r="401" spans="1:4" x14ac:dyDescent="0.25">
      <c r="A401" s="1">
        <v>39081</v>
      </c>
      <c r="B401" t="s">
        <v>17</v>
      </c>
      <c r="C401">
        <v>458</v>
      </c>
      <c r="D401">
        <f>YEAR(cukier9[[#This Row],[data]])</f>
        <v>2006</v>
      </c>
    </row>
    <row r="402" spans="1:4" x14ac:dyDescent="0.25">
      <c r="A402" s="1">
        <v>39082</v>
      </c>
      <c r="B402" t="s">
        <v>136</v>
      </c>
      <c r="C402">
        <v>19</v>
      </c>
      <c r="D402">
        <f>YEAR(cukier9[[#This Row],[data]])</f>
        <v>2006</v>
      </c>
    </row>
    <row r="403" spans="1:4" x14ac:dyDescent="0.25">
      <c r="A403" s="1">
        <v>39084</v>
      </c>
      <c r="B403" t="s">
        <v>55</v>
      </c>
      <c r="C403">
        <v>81</v>
      </c>
      <c r="D403">
        <f>YEAR(cukier9[[#This Row],[data]])</f>
        <v>2007</v>
      </c>
    </row>
    <row r="404" spans="1:4" x14ac:dyDescent="0.25">
      <c r="A404" s="1">
        <v>39085</v>
      </c>
      <c r="B404" t="s">
        <v>18</v>
      </c>
      <c r="C404">
        <v>86</v>
      </c>
      <c r="D404">
        <f>YEAR(cukier9[[#This Row],[data]])</f>
        <v>2007</v>
      </c>
    </row>
    <row r="405" spans="1:4" x14ac:dyDescent="0.25">
      <c r="A405" s="1">
        <v>39086</v>
      </c>
      <c r="B405" t="s">
        <v>7</v>
      </c>
      <c r="C405">
        <v>142</v>
      </c>
      <c r="D405">
        <f>YEAR(cukier9[[#This Row],[data]])</f>
        <v>2007</v>
      </c>
    </row>
    <row r="406" spans="1:4" x14ac:dyDescent="0.25">
      <c r="A406" s="1">
        <v>39092</v>
      </c>
      <c r="B406" t="s">
        <v>17</v>
      </c>
      <c r="C406">
        <v>459</v>
      </c>
      <c r="D406">
        <f>YEAR(cukier9[[#This Row],[data]])</f>
        <v>2007</v>
      </c>
    </row>
    <row r="407" spans="1:4" x14ac:dyDescent="0.25">
      <c r="A407" s="1">
        <v>39093</v>
      </c>
      <c r="B407" t="s">
        <v>40</v>
      </c>
      <c r="C407">
        <v>20</v>
      </c>
      <c r="D407">
        <f>YEAR(cukier9[[#This Row],[data]])</f>
        <v>2007</v>
      </c>
    </row>
    <row r="408" spans="1:4" x14ac:dyDescent="0.25">
      <c r="A408" s="1">
        <v>39095</v>
      </c>
      <c r="B408" t="s">
        <v>45</v>
      </c>
      <c r="C408">
        <v>245</v>
      </c>
      <c r="D408">
        <f>YEAR(cukier9[[#This Row],[data]])</f>
        <v>2007</v>
      </c>
    </row>
    <row r="409" spans="1:4" x14ac:dyDescent="0.25">
      <c r="A409" s="1">
        <v>39095</v>
      </c>
      <c r="B409" t="s">
        <v>100</v>
      </c>
      <c r="C409">
        <v>19</v>
      </c>
      <c r="D409">
        <f>YEAR(cukier9[[#This Row],[data]])</f>
        <v>2007</v>
      </c>
    </row>
    <row r="410" spans="1:4" x14ac:dyDescent="0.25">
      <c r="A410" s="1">
        <v>39096</v>
      </c>
      <c r="B410" t="s">
        <v>10</v>
      </c>
      <c r="C410">
        <v>159</v>
      </c>
      <c r="D410">
        <f>YEAR(cukier9[[#This Row],[data]])</f>
        <v>2007</v>
      </c>
    </row>
    <row r="411" spans="1:4" x14ac:dyDescent="0.25">
      <c r="A411" s="1">
        <v>39097</v>
      </c>
      <c r="B411" t="s">
        <v>23</v>
      </c>
      <c r="C411">
        <v>99</v>
      </c>
      <c r="D411">
        <f>YEAR(cukier9[[#This Row],[data]])</f>
        <v>2007</v>
      </c>
    </row>
    <row r="412" spans="1:4" x14ac:dyDescent="0.25">
      <c r="A412" s="1">
        <v>39099</v>
      </c>
      <c r="B412" t="s">
        <v>22</v>
      </c>
      <c r="C412">
        <v>213</v>
      </c>
      <c r="D412">
        <f>YEAR(cukier9[[#This Row],[data]])</f>
        <v>2007</v>
      </c>
    </row>
    <row r="413" spans="1:4" x14ac:dyDescent="0.25">
      <c r="A413" s="1">
        <v>39106</v>
      </c>
      <c r="B413" t="s">
        <v>14</v>
      </c>
      <c r="C413">
        <v>349</v>
      </c>
      <c r="D413">
        <f>YEAR(cukier9[[#This Row],[data]])</f>
        <v>2007</v>
      </c>
    </row>
    <row r="414" spans="1:4" x14ac:dyDescent="0.25">
      <c r="A414" s="1">
        <v>39109</v>
      </c>
      <c r="B414" t="s">
        <v>17</v>
      </c>
      <c r="C414">
        <v>114</v>
      </c>
      <c r="D414">
        <f>YEAR(cukier9[[#This Row],[data]])</f>
        <v>2007</v>
      </c>
    </row>
    <row r="415" spans="1:4" x14ac:dyDescent="0.25">
      <c r="A415" s="1">
        <v>39109</v>
      </c>
      <c r="B415" t="s">
        <v>27</v>
      </c>
      <c r="C415">
        <v>12</v>
      </c>
      <c r="D415">
        <f>YEAR(cukier9[[#This Row],[data]])</f>
        <v>2007</v>
      </c>
    </row>
    <row r="416" spans="1:4" x14ac:dyDescent="0.25">
      <c r="A416" s="1">
        <v>39111</v>
      </c>
      <c r="B416" t="s">
        <v>99</v>
      </c>
      <c r="C416">
        <v>12</v>
      </c>
      <c r="D416">
        <f>YEAR(cukier9[[#This Row],[data]])</f>
        <v>2007</v>
      </c>
    </row>
    <row r="417" spans="1:4" x14ac:dyDescent="0.25">
      <c r="A417" s="1">
        <v>39117</v>
      </c>
      <c r="B417" t="s">
        <v>12</v>
      </c>
      <c r="C417">
        <v>132</v>
      </c>
      <c r="D417">
        <f>YEAR(cukier9[[#This Row],[data]])</f>
        <v>2007</v>
      </c>
    </row>
    <row r="418" spans="1:4" x14ac:dyDescent="0.25">
      <c r="A418" s="1">
        <v>39120</v>
      </c>
      <c r="B418" t="s">
        <v>23</v>
      </c>
      <c r="C418">
        <v>197</v>
      </c>
      <c r="D418">
        <f>YEAR(cukier9[[#This Row],[data]])</f>
        <v>2007</v>
      </c>
    </row>
    <row r="419" spans="1:4" x14ac:dyDescent="0.25">
      <c r="A419" s="1">
        <v>39120</v>
      </c>
      <c r="B419" t="s">
        <v>15</v>
      </c>
      <c r="C419">
        <v>5</v>
      </c>
      <c r="D419">
        <f>YEAR(cukier9[[#This Row],[data]])</f>
        <v>2007</v>
      </c>
    </row>
    <row r="420" spans="1:4" x14ac:dyDescent="0.25">
      <c r="A420" s="1">
        <v>39120</v>
      </c>
      <c r="B420" t="s">
        <v>50</v>
      </c>
      <c r="C420">
        <v>403</v>
      </c>
      <c r="D420">
        <f>YEAR(cukier9[[#This Row],[data]])</f>
        <v>2007</v>
      </c>
    </row>
    <row r="421" spans="1:4" x14ac:dyDescent="0.25">
      <c r="A421" s="1">
        <v>39121</v>
      </c>
      <c r="B421" t="s">
        <v>10</v>
      </c>
      <c r="C421">
        <v>200</v>
      </c>
      <c r="D421">
        <f>YEAR(cukier9[[#This Row],[data]])</f>
        <v>2007</v>
      </c>
    </row>
    <row r="422" spans="1:4" x14ac:dyDescent="0.25">
      <c r="A422" s="1">
        <v>39124</v>
      </c>
      <c r="B422" t="s">
        <v>69</v>
      </c>
      <c r="C422">
        <v>23</v>
      </c>
      <c r="D422">
        <f>YEAR(cukier9[[#This Row],[data]])</f>
        <v>2007</v>
      </c>
    </row>
    <row r="423" spans="1:4" x14ac:dyDescent="0.25">
      <c r="A423" s="1">
        <v>39131</v>
      </c>
      <c r="B423" t="s">
        <v>45</v>
      </c>
      <c r="C423">
        <v>337</v>
      </c>
      <c r="D423">
        <f>YEAR(cukier9[[#This Row],[data]])</f>
        <v>2007</v>
      </c>
    </row>
    <row r="424" spans="1:4" x14ac:dyDescent="0.25">
      <c r="A424" s="1">
        <v>39132</v>
      </c>
      <c r="B424" t="s">
        <v>5</v>
      </c>
      <c r="C424">
        <v>500</v>
      </c>
      <c r="D424">
        <f>YEAR(cukier9[[#This Row],[data]])</f>
        <v>2007</v>
      </c>
    </row>
    <row r="425" spans="1:4" x14ac:dyDescent="0.25">
      <c r="A425" s="1">
        <v>39132</v>
      </c>
      <c r="B425" t="s">
        <v>90</v>
      </c>
      <c r="C425">
        <v>9</v>
      </c>
      <c r="D425">
        <f>YEAR(cukier9[[#This Row],[data]])</f>
        <v>2007</v>
      </c>
    </row>
    <row r="426" spans="1:4" x14ac:dyDescent="0.25">
      <c r="A426" s="1">
        <v>39134</v>
      </c>
      <c r="B426" t="s">
        <v>131</v>
      </c>
      <c r="C426">
        <v>39</v>
      </c>
      <c r="D426">
        <f>YEAR(cukier9[[#This Row],[data]])</f>
        <v>2007</v>
      </c>
    </row>
    <row r="427" spans="1:4" x14ac:dyDescent="0.25">
      <c r="A427" s="1">
        <v>39139</v>
      </c>
      <c r="B427" t="s">
        <v>78</v>
      </c>
      <c r="C427">
        <v>156</v>
      </c>
      <c r="D427">
        <f>YEAR(cukier9[[#This Row],[data]])</f>
        <v>2007</v>
      </c>
    </row>
    <row r="428" spans="1:4" x14ac:dyDescent="0.25">
      <c r="A428" s="1">
        <v>39140</v>
      </c>
      <c r="B428" t="s">
        <v>17</v>
      </c>
      <c r="C428">
        <v>258</v>
      </c>
      <c r="D428">
        <f>YEAR(cukier9[[#This Row],[data]])</f>
        <v>2007</v>
      </c>
    </row>
    <row r="429" spans="1:4" x14ac:dyDescent="0.25">
      <c r="A429" s="1">
        <v>39140</v>
      </c>
      <c r="B429" t="s">
        <v>94</v>
      </c>
      <c r="C429">
        <v>14</v>
      </c>
      <c r="D429">
        <f>YEAR(cukier9[[#This Row],[data]])</f>
        <v>2007</v>
      </c>
    </row>
    <row r="430" spans="1:4" x14ac:dyDescent="0.25">
      <c r="A430" s="1">
        <v>39142</v>
      </c>
      <c r="B430" t="s">
        <v>12</v>
      </c>
      <c r="C430">
        <v>91</v>
      </c>
      <c r="D430">
        <f>YEAR(cukier9[[#This Row],[data]])</f>
        <v>2007</v>
      </c>
    </row>
    <row r="431" spans="1:4" x14ac:dyDescent="0.25">
      <c r="A431" s="1">
        <v>39149</v>
      </c>
      <c r="B431" t="s">
        <v>12</v>
      </c>
      <c r="C431">
        <v>68</v>
      </c>
      <c r="D431">
        <f>YEAR(cukier9[[#This Row],[data]])</f>
        <v>2007</v>
      </c>
    </row>
    <row r="432" spans="1:4" x14ac:dyDescent="0.25">
      <c r="A432" s="1">
        <v>39150</v>
      </c>
      <c r="B432" t="s">
        <v>137</v>
      </c>
      <c r="C432">
        <v>13</v>
      </c>
      <c r="D432">
        <f>YEAR(cukier9[[#This Row],[data]])</f>
        <v>2007</v>
      </c>
    </row>
    <row r="433" spans="1:4" x14ac:dyDescent="0.25">
      <c r="A433" s="1">
        <v>39152</v>
      </c>
      <c r="B433" t="s">
        <v>28</v>
      </c>
      <c r="C433">
        <v>118</v>
      </c>
      <c r="D433">
        <f>YEAR(cukier9[[#This Row],[data]])</f>
        <v>2007</v>
      </c>
    </row>
    <row r="434" spans="1:4" x14ac:dyDescent="0.25">
      <c r="A434" s="1">
        <v>39154</v>
      </c>
      <c r="B434" t="s">
        <v>25</v>
      </c>
      <c r="C434">
        <v>54</v>
      </c>
      <c r="D434">
        <f>YEAR(cukier9[[#This Row],[data]])</f>
        <v>2007</v>
      </c>
    </row>
    <row r="435" spans="1:4" x14ac:dyDescent="0.25">
      <c r="A435" s="1">
        <v>39158</v>
      </c>
      <c r="B435" t="s">
        <v>138</v>
      </c>
      <c r="C435">
        <v>10</v>
      </c>
      <c r="D435">
        <f>YEAR(cukier9[[#This Row],[data]])</f>
        <v>2007</v>
      </c>
    </row>
    <row r="436" spans="1:4" x14ac:dyDescent="0.25">
      <c r="A436" s="1">
        <v>39162</v>
      </c>
      <c r="B436" t="s">
        <v>50</v>
      </c>
      <c r="C436">
        <v>339</v>
      </c>
      <c r="D436">
        <f>YEAR(cukier9[[#This Row],[data]])</f>
        <v>2007</v>
      </c>
    </row>
    <row r="437" spans="1:4" x14ac:dyDescent="0.25">
      <c r="A437" s="1">
        <v>39163</v>
      </c>
      <c r="B437" t="s">
        <v>30</v>
      </c>
      <c r="C437">
        <v>80</v>
      </c>
      <c r="D437">
        <f>YEAR(cukier9[[#This Row],[data]])</f>
        <v>2007</v>
      </c>
    </row>
    <row r="438" spans="1:4" x14ac:dyDescent="0.25">
      <c r="A438" s="1">
        <v>39165</v>
      </c>
      <c r="B438" t="s">
        <v>22</v>
      </c>
      <c r="C438">
        <v>431</v>
      </c>
      <c r="D438">
        <f>YEAR(cukier9[[#This Row],[data]])</f>
        <v>2007</v>
      </c>
    </row>
    <row r="439" spans="1:4" x14ac:dyDescent="0.25">
      <c r="A439" s="1">
        <v>39167</v>
      </c>
      <c r="B439" t="s">
        <v>50</v>
      </c>
      <c r="C439">
        <v>268</v>
      </c>
      <c r="D439">
        <f>YEAR(cukier9[[#This Row],[data]])</f>
        <v>2007</v>
      </c>
    </row>
    <row r="440" spans="1:4" x14ac:dyDescent="0.25">
      <c r="A440" s="1">
        <v>39167</v>
      </c>
      <c r="B440" t="s">
        <v>22</v>
      </c>
      <c r="C440">
        <v>440</v>
      </c>
      <c r="D440">
        <f>YEAR(cukier9[[#This Row],[data]])</f>
        <v>2007</v>
      </c>
    </row>
    <row r="441" spans="1:4" x14ac:dyDescent="0.25">
      <c r="A441" s="1">
        <v>39167</v>
      </c>
      <c r="B441" t="s">
        <v>5</v>
      </c>
      <c r="C441">
        <v>396</v>
      </c>
      <c r="D441">
        <f>YEAR(cukier9[[#This Row],[data]])</f>
        <v>2007</v>
      </c>
    </row>
    <row r="442" spans="1:4" x14ac:dyDescent="0.25">
      <c r="A442" s="1">
        <v>39167</v>
      </c>
      <c r="B442" t="s">
        <v>18</v>
      </c>
      <c r="C442">
        <v>157</v>
      </c>
      <c r="D442">
        <f>YEAR(cukier9[[#This Row],[data]])</f>
        <v>2007</v>
      </c>
    </row>
    <row r="443" spans="1:4" x14ac:dyDescent="0.25">
      <c r="A443" s="1">
        <v>39171</v>
      </c>
      <c r="B443" t="s">
        <v>12</v>
      </c>
      <c r="C443">
        <v>194</v>
      </c>
      <c r="D443">
        <f>YEAR(cukier9[[#This Row],[data]])</f>
        <v>2007</v>
      </c>
    </row>
    <row r="444" spans="1:4" x14ac:dyDescent="0.25">
      <c r="A444" s="1">
        <v>39172</v>
      </c>
      <c r="B444" t="s">
        <v>39</v>
      </c>
      <c r="C444">
        <v>156</v>
      </c>
      <c r="D444">
        <f>YEAR(cukier9[[#This Row],[data]])</f>
        <v>2007</v>
      </c>
    </row>
    <row r="445" spans="1:4" x14ac:dyDescent="0.25">
      <c r="A445" s="1">
        <v>39173</v>
      </c>
      <c r="B445" t="s">
        <v>112</v>
      </c>
      <c r="C445">
        <v>11</v>
      </c>
      <c r="D445">
        <f>YEAR(cukier9[[#This Row],[data]])</f>
        <v>2007</v>
      </c>
    </row>
    <row r="446" spans="1:4" x14ac:dyDescent="0.25">
      <c r="A446" s="1">
        <v>39174</v>
      </c>
      <c r="B446" t="s">
        <v>35</v>
      </c>
      <c r="C446">
        <v>110</v>
      </c>
      <c r="D446">
        <f>YEAR(cukier9[[#This Row],[data]])</f>
        <v>2007</v>
      </c>
    </row>
    <row r="447" spans="1:4" x14ac:dyDescent="0.25">
      <c r="A447" s="1">
        <v>39176</v>
      </c>
      <c r="B447" t="s">
        <v>139</v>
      </c>
      <c r="C447">
        <v>12</v>
      </c>
      <c r="D447">
        <f>YEAR(cukier9[[#This Row],[data]])</f>
        <v>2007</v>
      </c>
    </row>
    <row r="448" spans="1:4" x14ac:dyDescent="0.25">
      <c r="A448" s="1">
        <v>39177</v>
      </c>
      <c r="B448" t="s">
        <v>5</v>
      </c>
      <c r="C448">
        <v>464</v>
      </c>
      <c r="D448">
        <f>YEAR(cukier9[[#This Row],[data]])</f>
        <v>2007</v>
      </c>
    </row>
    <row r="449" spans="1:4" x14ac:dyDescent="0.25">
      <c r="A449" s="1">
        <v>39178</v>
      </c>
      <c r="B449" t="s">
        <v>66</v>
      </c>
      <c r="C449">
        <v>40</v>
      </c>
      <c r="D449">
        <f>YEAR(cukier9[[#This Row],[data]])</f>
        <v>2007</v>
      </c>
    </row>
    <row r="450" spans="1:4" x14ac:dyDescent="0.25">
      <c r="A450" s="1">
        <v>39179</v>
      </c>
      <c r="B450" t="s">
        <v>39</v>
      </c>
      <c r="C450">
        <v>52</v>
      </c>
      <c r="D450">
        <f>YEAR(cukier9[[#This Row],[data]])</f>
        <v>2007</v>
      </c>
    </row>
    <row r="451" spans="1:4" x14ac:dyDescent="0.25">
      <c r="A451" s="1">
        <v>39184</v>
      </c>
      <c r="B451" t="s">
        <v>75</v>
      </c>
      <c r="C451">
        <v>12</v>
      </c>
      <c r="D451">
        <f>YEAR(cukier9[[#This Row],[data]])</f>
        <v>2007</v>
      </c>
    </row>
    <row r="452" spans="1:4" x14ac:dyDescent="0.25">
      <c r="A452" s="1">
        <v>39186</v>
      </c>
      <c r="B452" t="s">
        <v>7</v>
      </c>
      <c r="C452">
        <v>412</v>
      </c>
      <c r="D452">
        <f>YEAR(cukier9[[#This Row],[data]])</f>
        <v>2007</v>
      </c>
    </row>
    <row r="453" spans="1:4" x14ac:dyDescent="0.25">
      <c r="A453" s="1">
        <v>39188</v>
      </c>
      <c r="B453" t="s">
        <v>17</v>
      </c>
      <c r="C453">
        <v>268</v>
      </c>
      <c r="D453">
        <f>YEAR(cukier9[[#This Row],[data]])</f>
        <v>2007</v>
      </c>
    </row>
    <row r="454" spans="1:4" x14ac:dyDescent="0.25">
      <c r="A454" s="1">
        <v>39188</v>
      </c>
      <c r="B454" t="s">
        <v>7</v>
      </c>
      <c r="C454">
        <v>495</v>
      </c>
      <c r="D454">
        <f>YEAR(cukier9[[#This Row],[data]])</f>
        <v>2007</v>
      </c>
    </row>
    <row r="455" spans="1:4" x14ac:dyDescent="0.25">
      <c r="A455" s="1">
        <v>39188</v>
      </c>
      <c r="B455" t="s">
        <v>35</v>
      </c>
      <c r="C455">
        <v>30</v>
      </c>
      <c r="D455">
        <f>YEAR(cukier9[[#This Row],[data]])</f>
        <v>2007</v>
      </c>
    </row>
    <row r="456" spans="1:4" x14ac:dyDescent="0.25">
      <c r="A456" s="1">
        <v>39191</v>
      </c>
      <c r="B456" t="s">
        <v>6</v>
      </c>
      <c r="C456">
        <v>67</v>
      </c>
      <c r="D456">
        <f>YEAR(cukier9[[#This Row],[data]])</f>
        <v>2007</v>
      </c>
    </row>
    <row r="457" spans="1:4" x14ac:dyDescent="0.25">
      <c r="A457" s="1">
        <v>39197</v>
      </c>
      <c r="B457" t="s">
        <v>14</v>
      </c>
      <c r="C457">
        <v>497</v>
      </c>
      <c r="D457">
        <f>YEAR(cukier9[[#This Row],[data]])</f>
        <v>2007</v>
      </c>
    </row>
    <row r="458" spans="1:4" x14ac:dyDescent="0.25">
      <c r="A458" s="1">
        <v>39200</v>
      </c>
      <c r="B458" t="s">
        <v>22</v>
      </c>
      <c r="C458">
        <v>102</v>
      </c>
      <c r="D458">
        <f>YEAR(cukier9[[#This Row],[data]])</f>
        <v>2007</v>
      </c>
    </row>
    <row r="459" spans="1:4" x14ac:dyDescent="0.25">
      <c r="A459" s="1">
        <v>39203</v>
      </c>
      <c r="B459" t="s">
        <v>7</v>
      </c>
      <c r="C459">
        <v>322</v>
      </c>
      <c r="D459">
        <f>YEAR(cukier9[[#This Row],[data]])</f>
        <v>2007</v>
      </c>
    </row>
    <row r="460" spans="1:4" x14ac:dyDescent="0.25">
      <c r="A460" s="1">
        <v>39204</v>
      </c>
      <c r="B460" t="s">
        <v>9</v>
      </c>
      <c r="C460">
        <v>297</v>
      </c>
      <c r="D460">
        <f>YEAR(cukier9[[#This Row],[data]])</f>
        <v>2007</v>
      </c>
    </row>
    <row r="461" spans="1:4" x14ac:dyDescent="0.25">
      <c r="A461" s="1">
        <v>39206</v>
      </c>
      <c r="B461" t="s">
        <v>12</v>
      </c>
      <c r="C461">
        <v>179</v>
      </c>
      <c r="D461">
        <f>YEAR(cukier9[[#This Row],[data]])</f>
        <v>2007</v>
      </c>
    </row>
    <row r="462" spans="1:4" x14ac:dyDescent="0.25">
      <c r="A462" s="1">
        <v>39208</v>
      </c>
      <c r="B462" t="s">
        <v>140</v>
      </c>
      <c r="C462">
        <v>15</v>
      </c>
      <c r="D462">
        <f>YEAR(cukier9[[#This Row],[data]])</f>
        <v>2007</v>
      </c>
    </row>
    <row r="463" spans="1:4" x14ac:dyDescent="0.25">
      <c r="A463" s="1">
        <v>39210</v>
      </c>
      <c r="B463" t="s">
        <v>61</v>
      </c>
      <c r="C463">
        <v>65</v>
      </c>
      <c r="D463">
        <f>YEAR(cukier9[[#This Row],[data]])</f>
        <v>2007</v>
      </c>
    </row>
    <row r="464" spans="1:4" x14ac:dyDescent="0.25">
      <c r="A464" s="1">
        <v>39212</v>
      </c>
      <c r="B464" t="s">
        <v>7</v>
      </c>
      <c r="C464">
        <v>297</v>
      </c>
      <c r="D464">
        <f>YEAR(cukier9[[#This Row],[data]])</f>
        <v>2007</v>
      </c>
    </row>
    <row r="465" spans="1:4" x14ac:dyDescent="0.25">
      <c r="A465" s="1">
        <v>39214</v>
      </c>
      <c r="B465" t="s">
        <v>8</v>
      </c>
      <c r="C465">
        <v>131</v>
      </c>
      <c r="D465">
        <f>YEAR(cukier9[[#This Row],[data]])</f>
        <v>2007</v>
      </c>
    </row>
    <row r="466" spans="1:4" x14ac:dyDescent="0.25">
      <c r="A466" s="1">
        <v>39215</v>
      </c>
      <c r="B466" t="s">
        <v>141</v>
      </c>
      <c r="C466">
        <v>12</v>
      </c>
      <c r="D466">
        <f>YEAR(cukier9[[#This Row],[data]])</f>
        <v>2007</v>
      </c>
    </row>
    <row r="467" spans="1:4" x14ac:dyDescent="0.25">
      <c r="A467" s="1">
        <v>39215</v>
      </c>
      <c r="B467" t="s">
        <v>18</v>
      </c>
      <c r="C467">
        <v>114</v>
      </c>
      <c r="D467">
        <f>YEAR(cukier9[[#This Row],[data]])</f>
        <v>2007</v>
      </c>
    </row>
    <row r="468" spans="1:4" x14ac:dyDescent="0.25">
      <c r="A468" s="1">
        <v>39218</v>
      </c>
      <c r="B468" t="s">
        <v>14</v>
      </c>
      <c r="C468">
        <v>293</v>
      </c>
      <c r="D468">
        <f>YEAR(cukier9[[#This Row],[data]])</f>
        <v>2007</v>
      </c>
    </row>
    <row r="469" spans="1:4" x14ac:dyDescent="0.25">
      <c r="A469" s="1">
        <v>39220</v>
      </c>
      <c r="B469" t="s">
        <v>142</v>
      </c>
      <c r="C469">
        <v>18</v>
      </c>
      <c r="D469">
        <f>YEAR(cukier9[[#This Row],[data]])</f>
        <v>2007</v>
      </c>
    </row>
    <row r="470" spans="1:4" x14ac:dyDescent="0.25">
      <c r="A470" s="1">
        <v>39220</v>
      </c>
      <c r="B470" t="s">
        <v>19</v>
      </c>
      <c r="C470">
        <v>186</v>
      </c>
      <c r="D470">
        <f>YEAR(cukier9[[#This Row],[data]])</f>
        <v>2007</v>
      </c>
    </row>
    <row r="471" spans="1:4" x14ac:dyDescent="0.25">
      <c r="A471" s="1">
        <v>39223</v>
      </c>
      <c r="B471" t="s">
        <v>28</v>
      </c>
      <c r="C471">
        <v>119</v>
      </c>
      <c r="D471">
        <f>YEAR(cukier9[[#This Row],[data]])</f>
        <v>2007</v>
      </c>
    </row>
    <row r="472" spans="1:4" x14ac:dyDescent="0.25">
      <c r="A472" s="1">
        <v>39227</v>
      </c>
      <c r="B472" t="s">
        <v>130</v>
      </c>
      <c r="C472">
        <v>4</v>
      </c>
      <c r="D472">
        <f>YEAR(cukier9[[#This Row],[data]])</f>
        <v>2007</v>
      </c>
    </row>
    <row r="473" spans="1:4" x14ac:dyDescent="0.25">
      <c r="A473" s="1">
        <v>39230</v>
      </c>
      <c r="B473" t="s">
        <v>14</v>
      </c>
      <c r="C473">
        <v>415</v>
      </c>
      <c r="D473">
        <f>YEAR(cukier9[[#This Row],[data]])</f>
        <v>2007</v>
      </c>
    </row>
    <row r="474" spans="1:4" x14ac:dyDescent="0.25">
      <c r="A474" s="1">
        <v>39230</v>
      </c>
      <c r="B474" t="s">
        <v>13</v>
      </c>
      <c r="C474">
        <v>10</v>
      </c>
      <c r="D474">
        <f>YEAR(cukier9[[#This Row],[data]])</f>
        <v>2007</v>
      </c>
    </row>
    <row r="475" spans="1:4" x14ac:dyDescent="0.25">
      <c r="A475" s="1">
        <v>39230</v>
      </c>
      <c r="B475" t="s">
        <v>18</v>
      </c>
      <c r="C475">
        <v>159</v>
      </c>
      <c r="D475">
        <f>YEAR(cukier9[[#This Row],[data]])</f>
        <v>2007</v>
      </c>
    </row>
    <row r="476" spans="1:4" x14ac:dyDescent="0.25">
      <c r="A476" s="1">
        <v>39231</v>
      </c>
      <c r="B476" t="s">
        <v>17</v>
      </c>
      <c r="C476">
        <v>140</v>
      </c>
      <c r="D476">
        <f>YEAR(cukier9[[#This Row],[data]])</f>
        <v>2007</v>
      </c>
    </row>
    <row r="477" spans="1:4" x14ac:dyDescent="0.25">
      <c r="A477" s="1">
        <v>39239</v>
      </c>
      <c r="B477" t="s">
        <v>19</v>
      </c>
      <c r="C477">
        <v>128</v>
      </c>
      <c r="D477">
        <f>YEAR(cukier9[[#This Row],[data]])</f>
        <v>2007</v>
      </c>
    </row>
    <row r="478" spans="1:4" x14ac:dyDescent="0.25">
      <c r="A478" s="1">
        <v>39247</v>
      </c>
      <c r="B478" t="s">
        <v>143</v>
      </c>
      <c r="C478">
        <v>9</v>
      </c>
      <c r="D478">
        <f>YEAR(cukier9[[#This Row],[data]])</f>
        <v>2007</v>
      </c>
    </row>
    <row r="479" spans="1:4" x14ac:dyDescent="0.25">
      <c r="A479" s="1">
        <v>39247</v>
      </c>
      <c r="B479" t="s">
        <v>17</v>
      </c>
      <c r="C479">
        <v>121</v>
      </c>
      <c r="D479">
        <f>YEAR(cukier9[[#This Row],[data]])</f>
        <v>2007</v>
      </c>
    </row>
    <row r="480" spans="1:4" x14ac:dyDescent="0.25">
      <c r="A480" s="1">
        <v>39248</v>
      </c>
      <c r="B480" t="s">
        <v>14</v>
      </c>
      <c r="C480">
        <v>169</v>
      </c>
      <c r="D480">
        <f>YEAR(cukier9[[#This Row],[data]])</f>
        <v>2007</v>
      </c>
    </row>
    <row r="481" spans="1:4" x14ac:dyDescent="0.25">
      <c r="A481" s="1">
        <v>39250</v>
      </c>
      <c r="B481" t="s">
        <v>55</v>
      </c>
      <c r="C481">
        <v>118</v>
      </c>
      <c r="D481">
        <f>YEAR(cukier9[[#This Row],[data]])</f>
        <v>2007</v>
      </c>
    </row>
    <row r="482" spans="1:4" x14ac:dyDescent="0.25">
      <c r="A482" s="1">
        <v>39250</v>
      </c>
      <c r="B482" t="s">
        <v>78</v>
      </c>
      <c r="C482">
        <v>37</v>
      </c>
      <c r="D482">
        <f>YEAR(cukier9[[#This Row],[data]])</f>
        <v>2007</v>
      </c>
    </row>
    <row r="483" spans="1:4" x14ac:dyDescent="0.25">
      <c r="A483" s="1">
        <v>39253</v>
      </c>
      <c r="B483" t="s">
        <v>35</v>
      </c>
      <c r="C483">
        <v>198</v>
      </c>
      <c r="D483">
        <f>YEAR(cukier9[[#This Row],[data]])</f>
        <v>2007</v>
      </c>
    </row>
    <row r="484" spans="1:4" x14ac:dyDescent="0.25">
      <c r="A484" s="1">
        <v>39254</v>
      </c>
      <c r="B484" t="s">
        <v>28</v>
      </c>
      <c r="C484">
        <v>74</v>
      </c>
      <c r="D484">
        <f>YEAR(cukier9[[#This Row],[data]])</f>
        <v>2007</v>
      </c>
    </row>
    <row r="485" spans="1:4" x14ac:dyDescent="0.25">
      <c r="A485" s="1">
        <v>39259</v>
      </c>
      <c r="B485" t="s">
        <v>144</v>
      </c>
      <c r="C485">
        <v>18</v>
      </c>
      <c r="D485">
        <f>YEAR(cukier9[[#This Row],[data]])</f>
        <v>2007</v>
      </c>
    </row>
    <row r="486" spans="1:4" x14ac:dyDescent="0.25">
      <c r="A486" s="1">
        <v>39263</v>
      </c>
      <c r="B486" t="s">
        <v>24</v>
      </c>
      <c r="C486">
        <v>291</v>
      </c>
      <c r="D486">
        <f>YEAR(cukier9[[#This Row],[data]])</f>
        <v>2007</v>
      </c>
    </row>
    <row r="487" spans="1:4" x14ac:dyDescent="0.25">
      <c r="A487" s="1">
        <v>39270</v>
      </c>
      <c r="B487" t="s">
        <v>9</v>
      </c>
      <c r="C487">
        <v>208</v>
      </c>
      <c r="D487">
        <f>YEAR(cukier9[[#This Row],[data]])</f>
        <v>2007</v>
      </c>
    </row>
    <row r="488" spans="1:4" x14ac:dyDescent="0.25">
      <c r="A488" s="1">
        <v>39270</v>
      </c>
      <c r="B488" t="s">
        <v>5</v>
      </c>
      <c r="C488">
        <v>354</v>
      </c>
      <c r="D488">
        <f>YEAR(cukier9[[#This Row],[data]])</f>
        <v>2007</v>
      </c>
    </row>
    <row r="489" spans="1:4" x14ac:dyDescent="0.25">
      <c r="A489" s="1">
        <v>39277</v>
      </c>
      <c r="B489" t="s">
        <v>25</v>
      </c>
      <c r="C489">
        <v>113</v>
      </c>
      <c r="D489">
        <f>YEAR(cukier9[[#This Row],[data]])</f>
        <v>2007</v>
      </c>
    </row>
    <row r="490" spans="1:4" x14ac:dyDescent="0.25">
      <c r="A490" s="1">
        <v>39278</v>
      </c>
      <c r="B490" t="s">
        <v>145</v>
      </c>
      <c r="C490">
        <v>3</v>
      </c>
      <c r="D490">
        <f>YEAR(cukier9[[#This Row],[data]])</f>
        <v>2007</v>
      </c>
    </row>
    <row r="491" spans="1:4" x14ac:dyDescent="0.25">
      <c r="A491" s="1">
        <v>39278</v>
      </c>
      <c r="B491" t="s">
        <v>45</v>
      </c>
      <c r="C491">
        <v>446</v>
      </c>
      <c r="D491">
        <f>YEAR(cukier9[[#This Row],[data]])</f>
        <v>2007</v>
      </c>
    </row>
    <row r="492" spans="1:4" x14ac:dyDescent="0.25">
      <c r="A492" s="1">
        <v>39278</v>
      </c>
      <c r="B492" t="s">
        <v>121</v>
      </c>
      <c r="C492">
        <v>9</v>
      </c>
      <c r="D492">
        <f>YEAR(cukier9[[#This Row],[data]])</f>
        <v>2007</v>
      </c>
    </row>
    <row r="493" spans="1:4" x14ac:dyDescent="0.25">
      <c r="A493" s="1">
        <v>39282</v>
      </c>
      <c r="B493" t="s">
        <v>50</v>
      </c>
      <c r="C493">
        <v>445</v>
      </c>
      <c r="D493">
        <f>YEAR(cukier9[[#This Row],[data]])</f>
        <v>2007</v>
      </c>
    </row>
    <row r="494" spans="1:4" x14ac:dyDescent="0.25">
      <c r="A494" s="1">
        <v>39283</v>
      </c>
      <c r="B494" t="s">
        <v>69</v>
      </c>
      <c r="C494">
        <v>47</v>
      </c>
      <c r="D494">
        <f>YEAR(cukier9[[#This Row],[data]])</f>
        <v>2007</v>
      </c>
    </row>
    <row r="495" spans="1:4" x14ac:dyDescent="0.25">
      <c r="A495" s="1">
        <v>39284</v>
      </c>
      <c r="B495" t="s">
        <v>146</v>
      </c>
      <c r="C495">
        <v>14</v>
      </c>
      <c r="D495">
        <f>YEAR(cukier9[[#This Row],[data]])</f>
        <v>2007</v>
      </c>
    </row>
    <row r="496" spans="1:4" x14ac:dyDescent="0.25">
      <c r="A496" s="1">
        <v>39289</v>
      </c>
      <c r="B496" t="s">
        <v>37</v>
      </c>
      <c r="C496">
        <v>187</v>
      </c>
      <c r="D496">
        <f>YEAR(cukier9[[#This Row],[data]])</f>
        <v>2007</v>
      </c>
    </row>
    <row r="497" spans="1:4" x14ac:dyDescent="0.25">
      <c r="A497" s="1">
        <v>39290</v>
      </c>
      <c r="B497" t="s">
        <v>45</v>
      </c>
      <c r="C497">
        <v>355</v>
      </c>
      <c r="D497">
        <f>YEAR(cukier9[[#This Row],[data]])</f>
        <v>2007</v>
      </c>
    </row>
    <row r="498" spans="1:4" x14ac:dyDescent="0.25">
      <c r="A498" s="1">
        <v>39291</v>
      </c>
      <c r="B498" t="s">
        <v>115</v>
      </c>
      <c r="C498">
        <v>6</v>
      </c>
      <c r="D498">
        <f>YEAR(cukier9[[#This Row],[data]])</f>
        <v>2007</v>
      </c>
    </row>
    <row r="499" spans="1:4" x14ac:dyDescent="0.25">
      <c r="A499" s="1">
        <v>39292</v>
      </c>
      <c r="B499" t="s">
        <v>68</v>
      </c>
      <c r="C499">
        <v>18</v>
      </c>
      <c r="D499">
        <f>YEAR(cukier9[[#This Row],[data]])</f>
        <v>2007</v>
      </c>
    </row>
    <row r="500" spans="1:4" x14ac:dyDescent="0.25">
      <c r="A500" s="1">
        <v>39294</v>
      </c>
      <c r="B500" t="s">
        <v>71</v>
      </c>
      <c r="C500">
        <v>111</v>
      </c>
      <c r="D500">
        <f>YEAR(cukier9[[#This Row],[data]])</f>
        <v>2007</v>
      </c>
    </row>
    <row r="501" spans="1:4" x14ac:dyDescent="0.25">
      <c r="A501" s="1">
        <v>39294</v>
      </c>
      <c r="B501" t="s">
        <v>8</v>
      </c>
      <c r="C501">
        <v>156</v>
      </c>
      <c r="D501">
        <f>YEAR(cukier9[[#This Row],[data]])</f>
        <v>2007</v>
      </c>
    </row>
    <row r="502" spans="1:4" x14ac:dyDescent="0.25">
      <c r="A502" s="1">
        <v>39295</v>
      </c>
      <c r="B502" t="s">
        <v>45</v>
      </c>
      <c r="C502">
        <v>396</v>
      </c>
      <c r="D502">
        <f>YEAR(cukier9[[#This Row],[data]])</f>
        <v>2007</v>
      </c>
    </row>
    <row r="503" spans="1:4" x14ac:dyDescent="0.25">
      <c r="A503" s="1">
        <v>39299</v>
      </c>
      <c r="B503" t="s">
        <v>60</v>
      </c>
      <c r="C503">
        <v>7</v>
      </c>
      <c r="D503">
        <f>YEAR(cukier9[[#This Row],[data]])</f>
        <v>2007</v>
      </c>
    </row>
    <row r="504" spans="1:4" x14ac:dyDescent="0.25">
      <c r="A504" s="1">
        <v>39301</v>
      </c>
      <c r="B504" t="s">
        <v>55</v>
      </c>
      <c r="C504">
        <v>98</v>
      </c>
      <c r="D504">
        <f>YEAR(cukier9[[#This Row],[data]])</f>
        <v>2007</v>
      </c>
    </row>
    <row r="505" spans="1:4" x14ac:dyDescent="0.25">
      <c r="A505" s="1">
        <v>39303</v>
      </c>
      <c r="B505" t="s">
        <v>45</v>
      </c>
      <c r="C505">
        <v>405</v>
      </c>
      <c r="D505">
        <f>YEAR(cukier9[[#This Row],[data]])</f>
        <v>2007</v>
      </c>
    </row>
    <row r="506" spans="1:4" x14ac:dyDescent="0.25">
      <c r="A506" s="1">
        <v>39305</v>
      </c>
      <c r="B506" t="s">
        <v>7</v>
      </c>
      <c r="C506">
        <v>220</v>
      </c>
      <c r="D506">
        <f>YEAR(cukier9[[#This Row],[data]])</f>
        <v>2007</v>
      </c>
    </row>
    <row r="507" spans="1:4" x14ac:dyDescent="0.25">
      <c r="A507" s="1">
        <v>39306</v>
      </c>
      <c r="B507" t="s">
        <v>30</v>
      </c>
      <c r="C507">
        <v>141</v>
      </c>
      <c r="D507">
        <f>YEAR(cukier9[[#This Row],[data]])</f>
        <v>2007</v>
      </c>
    </row>
    <row r="508" spans="1:4" x14ac:dyDescent="0.25">
      <c r="A508" s="1">
        <v>39307</v>
      </c>
      <c r="B508" t="s">
        <v>90</v>
      </c>
      <c r="C508">
        <v>17</v>
      </c>
      <c r="D508">
        <f>YEAR(cukier9[[#This Row],[data]])</f>
        <v>2007</v>
      </c>
    </row>
    <row r="509" spans="1:4" x14ac:dyDescent="0.25">
      <c r="A509" s="1">
        <v>39307</v>
      </c>
      <c r="B509" t="s">
        <v>9</v>
      </c>
      <c r="C509">
        <v>260</v>
      </c>
      <c r="D509">
        <f>YEAR(cukier9[[#This Row],[data]])</f>
        <v>2007</v>
      </c>
    </row>
    <row r="510" spans="1:4" x14ac:dyDescent="0.25">
      <c r="A510" s="1">
        <v>39308</v>
      </c>
      <c r="B510" t="s">
        <v>119</v>
      </c>
      <c r="C510">
        <v>11</v>
      </c>
      <c r="D510">
        <f>YEAR(cukier9[[#This Row],[data]])</f>
        <v>2007</v>
      </c>
    </row>
    <row r="511" spans="1:4" x14ac:dyDescent="0.25">
      <c r="A511" s="1">
        <v>39312</v>
      </c>
      <c r="B511" t="s">
        <v>52</v>
      </c>
      <c r="C511">
        <v>182</v>
      </c>
      <c r="D511">
        <f>YEAR(cukier9[[#This Row],[data]])</f>
        <v>2007</v>
      </c>
    </row>
    <row r="512" spans="1:4" x14ac:dyDescent="0.25">
      <c r="A512" s="1">
        <v>39314</v>
      </c>
      <c r="B512" t="s">
        <v>37</v>
      </c>
      <c r="C512">
        <v>59</v>
      </c>
      <c r="D512">
        <f>YEAR(cukier9[[#This Row],[data]])</f>
        <v>2007</v>
      </c>
    </row>
    <row r="513" spans="1:4" x14ac:dyDescent="0.25">
      <c r="A513" s="1">
        <v>39315</v>
      </c>
      <c r="B513" t="s">
        <v>66</v>
      </c>
      <c r="C513">
        <v>45</v>
      </c>
      <c r="D513">
        <f>YEAR(cukier9[[#This Row],[data]])</f>
        <v>2007</v>
      </c>
    </row>
    <row r="514" spans="1:4" x14ac:dyDescent="0.25">
      <c r="A514" s="1">
        <v>39315</v>
      </c>
      <c r="B514" t="s">
        <v>76</v>
      </c>
      <c r="C514">
        <v>3</v>
      </c>
      <c r="D514">
        <f>YEAR(cukier9[[#This Row],[data]])</f>
        <v>2007</v>
      </c>
    </row>
    <row r="515" spans="1:4" x14ac:dyDescent="0.25">
      <c r="A515" s="1">
        <v>39317</v>
      </c>
      <c r="B515" t="s">
        <v>61</v>
      </c>
      <c r="C515">
        <v>52</v>
      </c>
      <c r="D515">
        <f>YEAR(cukier9[[#This Row],[data]])</f>
        <v>2007</v>
      </c>
    </row>
    <row r="516" spans="1:4" x14ac:dyDescent="0.25">
      <c r="A516" s="1">
        <v>39317</v>
      </c>
      <c r="B516" t="s">
        <v>22</v>
      </c>
      <c r="C516">
        <v>373</v>
      </c>
      <c r="D516">
        <f>YEAR(cukier9[[#This Row],[data]])</f>
        <v>2007</v>
      </c>
    </row>
    <row r="517" spans="1:4" x14ac:dyDescent="0.25">
      <c r="A517" s="1">
        <v>39318</v>
      </c>
      <c r="B517" t="s">
        <v>34</v>
      </c>
      <c r="C517">
        <v>2</v>
      </c>
      <c r="D517">
        <f>YEAR(cukier9[[#This Row],[data]])</f>
        <v>2007</v>
      </c>
    </row>
    <row r="518" spans="1:4" x14ac:dyDescent="0.25">
      <c r="A518" s="1">
        <v>39318</v>
      </c>
      <c r="B518" t="s">
        <v>24</v>
      </c>
      <c r="C518">
        <v>445</v>
      </c>
      <c r="D518">
        <f>YEAR(cukier9[[#This Row],[data]])</f>
        <v>2007</v>
      </c>
    </row>
    <row r="519" spans="1:4" x14ac:dyDescent="0.25">
      <c r="A519" s="1">
        <v>39319</v>
      </c>
      <c r="B519" t="s">
        <v>52</v>
      </c>
      <c r="C519">
        <v>93</v>
      </c>
      <c r="D519">
        <f>YEAR(cukier9[[#This Row],[data]])</f>
        <v>2007</v>
      </c>
    </row>
    <row r="520" spans="1:4" x14ac:dyDescent="0.25">
      <c r="A520" s="1">
        <v>39324</v>
      </c>
      <c r="B520" t="s">
        <v>22</v>
      </c>
      <c r="C520">
        <v>329</v>
      </c>
      <c r="D520">
        <f>YEAR(cukier9[[#This Row],[data]])</f>
        <v>2007</v>
      </c>
    </row>
    <row r="521" spans="1:4" x14ac:dyDescent="0.25">
      <c r="A521" s="1">
        <v>39326</v>
      </c>
      <c r="B521" t="s">
        <v>22</v>
      </c>
      <c r="C521">
        <v>217</v>
      </c>
      <c r="D521">
        <f>YEAR(cukier9[[#This Row],[data]])</f>
        <v>2007</v>
      </c>
    </row>
    <row r="522" spans="1:4" x14ac:dyDescent="0.25">
      <c r="A522" s="1">
        <v>39326</v>
      </c>
      <c r="B522" t="s">
        <v>18</v>
      </c>
      <c r="C522">
        <v>165</v>
      </c>
      <c r="D522">
        <f>YEAR(cukier9[[#This Row],[data]])</f>
        <v>2007</v>
      </c>
    </row>
    <row r="523" spans="1:4" x14ac:dyDescent="0.25">
      <c r="A523" s="1">
        <v>39327</v>
      </c>
      <c r="B523" t="s">
        <v>41</v>
      </c>
      <c r="C523">
        <v>20</v>
      </c>
      <c r="D523">
        <f>YEAR(cukier9[[#This Row],[data]])</f>
        <v>2007</v>
      </c>
    </row>
    <row r="524" spans="1:4" x14ac:dyDescent="0.25">
      <c r="A524" s="1">
        <v>39328</v>
      </c>
      <c r="B524" t="s">
        <v>33</v>
      </c>
      <c r="C524">
        <v>11</v>
      </c>
      <c r="D524">
        <f>YEAR(cukier9[[#This Row],[data]])</f>
        <v>2007</v>
      </c>
    </row>
    <row r="525" spans="1:4" x14ac:dyDescent="0.25">
      <c r="A525" s="1">
        <v>39329</v>
      </c>
      <c r="B525" t="s">
        <v>14</v>
      </c>
      <c r="C525">
        <v>294</v>
      </c>
      <c r="D525">
        <f>YEAR(cukier9[[#This Row],[data]])</f>
        <v>2007</v>
      </c>
    </row>
    <row r="526" spans="1:4" x14ac:dyDescent="0.25">
      <c r="A526" s="1">
        <v>39331</v>
      </c>
      <c r="B526" t="s">
        <v>12</v>
      </c>
      <c r="C526">
        <v>82</v>
      </c>
      <c r="D526">
        <f>YEAR(cukier9[[#This Row],[data]])</f>
        <v>2007</v>
      </c>
    </row>
    <row r="527" spans="1:4" x14ac:dyDescent="0.25">
      <c r="A527" s="1">
        <v>39331</v>
      </c>
      <c r="B527" t="s">
        <v>23</v>
      </c>
      <c r="C527">
        <v>186</v>
      </c>
      <c r="D527">
        <f>YEAR(cukier9[[#This Row],[data]])</f>
        <v>2007</v>
      </c>
    </row>
    <row r="528" spans="1:4" x14ac:dyDescent="0.25">
      <c r="A528" s="1">
        <v>39333</v>
      </c>
      <c r="B528" t="s">
        <v>10</v>
      </c>
      <c r="C528">
        <v>163</v>
      </c>
      <c r="D528">
        <f>YEAR(cukier9[[#This Row],[data]])</f>
        <v>2007</v>
      </c>
    </row>
    <row r="529" spans="1:4" x14ac:dyDescent="0.25">
      <c r="A529" s="1">
        <v>39333</v>
      </c>
      <c r="B529" t="s">
        <v>30</v>
      </c>
      <c r="C529">
        <v>148</v>
      </c>
      <c r="D529">
        <f>YEAR(cukier9[[#This Row],[data]])</f>
        <v>2007</v>
      </c>
    </row>
    <row r="530" spans="1:4" x14ac:dyDescent="0.25">
      <c r="A530" s="1">
        <v>39334</v>
      </c>
      <c r="B530" t="s">
        <v>40</v>
      </c>
      <c r="C530">
        <v>2</v>
      </c>
      <c r="D530">
        <f>YEAR(cukier9[[#This Row],[data]])</f>
        <v>2007</v>
      </c>
    </row>
    <row r="531" spans="1:4" x14ac:dyDescent="0.25">
      <c r="A531" s="1">
        <v>39336</v>
      </c>
      <c r="B531" t="s">
        <v>22</v>
      </c>
      <c r="C531">
        <v>343</v>
      </c>
      <c r="D531">
        <f>YEAR(cukier9[[#This Row],[data]])</f>
        <v>2007</v>
      </c>
    </row>
    <row r="532" spans="1:4" x14ac:dyDescent="0.25">
      <c r="A532" s="1">
        <v>39336</v>
      </c>
      <c r="B532" t="s">
        <v>71</v>
      </c>
      <c r="C532">
        <v>51</v>
      </c>
      <c r="D532">
        <f>YEAR(cukier9[[#This Row],[data]])</f>
        <v>2007</v>
      </c>
    </row>
    <row r="533" spans="1:4" x14ac:dyDescent="0.25">
      <c r="A533" s="1">
        <v>39339</v>
      </c>
      <c r="B533" t="s">
        <v>10</v>
      </c>
      <c r="C533">
        <v>164</v>
      </c>
      <c r="D533">
        <f>YEAR(cukier9[[#This Row],[data]])</f>
        <v>2007</v>
      </c>
    </row>
    <row r="534" spans="1:4" x14ac:dyDescent="0.25">
      <c r="A534" s="1">
        <v>39339</v>
      </c>
      <c r="B534" t="s">
        <v>4</v>
      </c>
      <c r="C534">
        <v>5</v>
      </c>
      <c r="D534">
        <f>YEAR(cukier9[[#This Row],[data]])</f>
        <v>2007</v>
      </c>
    </row>
    <row r="535" spans="1:4" x14ac:dyDescent="0.25">
      <c r="A535" s="1">
        <v>39340</v>
      </c>
      <c r="B535" t="s">
        <v>7</v>
      </c>
      <c r="C535">
        <v>260</v>
      </c>
      <c r="D535">
        <f>YEAR(cukier9[[#This Row],[data]])</f>
        <v>2007</v>
      </c>
    </row>
    <row r="536" spans="1:4" x14ac:dyDescent="0.25">
      <c r="A536" s="1">
        <v>39340</v>
      </c>
      <c r="B536" t="s">
        <v>9</v>
      </c>
      <c r="C536">
        <v>415</v>
      </c>
      <c r="D536">
        <f>YEAR(cukier9[[#This Row],[data]])</f>
        <v>2007</v>
      </c>
    </row>
    <row r="537" spans="1:4" x14ac:dyDescent="0.25">
      <c r="A537" s="1">
        <v>39341</v>
      </c>
      <c r="B537" t="s">
        <v>9</v>
      </c>
      <c r="C537">
        <v>467</v>
      </c>
      <c r="D537">
        <f>YEAR(cukier9[[#This Row],[data]])</f>
        <v>2007</v>
      </c>
    </row>
    <row r="538" spans="1:4" x14ac:dyDescent="0.25">
      <c r="A538" s="1">
        <v>39341</v>
      </c>
      <c r="B538" t="s">
        <v>61</v>
      </c>
      <c r="C538">
        <v>43</v>
      </c>
      <c r="D538">
        <f>YEAR(cukier9[[#This Row],[data]])</f>
        <v>2007</v>
      </c>
    </row>
    <row r="539" spans="1:4" x14ac:dyDescent="0.25">
      <c r="A539" s="1">
        <v>39342</v>
      </c>
      <c r="B539" t="s">
        <v>8</v>
      </c>
      <c r="C539">
        <v>40</v>
      </c>
      <c r="D539">
        <f>YEAR(cukier9[[#This Row],[data]])</f>
        <v>2007</v>
      </c>
    </row>
    <row r="540" spans="1:4" x14ac:dyDescent="0.25">
      <c r="A540" s="1">
        <v>39344</v>
      </c>
      <c r="B540" t="s">
        <v>147</v>
      </c>
      <c r="C540">
        <v>10</v>
      </c>
      <c r="D540">
        <f>YEAR(cukier9[[#This Row],[data]])</f>
        <v>2007</v>
      </c>
    </row>
    <row r="541" spans="1:4" x14ac:dyDescent="0.25">
      <c r="A541" s="1">
        <v>39345</v>
      </c>
      <c r="B541" t="s">
        <v>9</v>
      </c>
      <c r="C541">
        <v>197</v>
      </c>
      <c r="D541">
        <f>YEAR(cukier9[[#This Row],[data]])</f>
        <v>2007</v>
      </c>
    </row>
    <row r="542" spans="1:4" x14ac:dyDescent="0.25">
      <c r="A542" s="1">
        <v>39348</v>
      </c>
      <c r="B542" t="s">
        <v>78</v>
      </c>
      <c r="C542">
        <v>145</v>
      </c>
      <c r="D542">
        <f>YEAR(cukier9[[#This Row],[data]])</f>
        <v>2007</v>
      </c>
    </row>
    <row r="543" spans="1:4" x14ac:dyDescent="0.25">
      <c r="A543" s="1">
        <v>39349</v>
      </c>
      <c r="B543" t="s">
        <v>55</v>
      </c>
      <c r="C543">
        <v>105</v>
      </c>
      <c r="D543">
        <f>YEAR(cukier9[[#This Row],[data]])</f>
        <v>2007</v>
      </c>
    </row>
    <row r="544" spans="1:4" x14ac:dyDescent="0.25">
      <c r="A544" s="1">
        <v>39350</v>
      </c>
      <c r="B544" t="s">
        <v>37</v>
      </c>
      <c r="C544">
        <v>33</v>
      </c>
      <c r="D544">
        <f>YEAR(cukier9[[#This Row],[data]])</f>
        <v>2007</v>
      </c>
    </row>
    <row r="545" spans="1:4" x14ac:dyDescent="0.25">
      <c r="A545" s="1">
        <v>39350</v>
      </c>
      <c r="B545" t="s">
        <v>120</v>
      </c>
      <c r="C545">
        <v>78</v>
      </c>
      <c r="D545">
        <f>YEAR(cukier9[[#This Row],[data]])</f>
        <v>2007</v>
      </c>
    </row>
    <row r="546" spans="1:4" x14ac:dyDescent="0.25">
      <c r="A546" s="1">
        <v>39351</v>
      </c>
      <c r="B546" t="s">
        <v>9</v>
      </c>
      <c r="C546">
        <v>466</v>
      </c>
      <c r="D546">
        <f>YEAR(cukier9[[#This Row],[data]])</f>
        <v>2007</v>
      </c>
    </row>
    <row r="547" spans="1:4" x14ac:dyDescent="0.25">
      <c r="A547" s="1">
        <v>39354</v>
      </c>
      <c r="B547" t="s">
        <v>45</v>
      </c>
      <c r="C547">
        <v>476</v>
      </c>
      <c r="D547">
        <f>YEAR(cukier9[[#This Row],[data]])</f>
        <v>2007</v>
      </c>
    </row>
    <row r="548" spans="1:4" x14ac:dyDescent="0.25">
      <c r="A548" s="1">
        <v>39357</v>
      </c>
      <c r="B548" t="s">
        <v>19</v>
      </c>
      <c r="C548">
        <v>151</v>
      </c>
      <c r="D548">
        <f>YEAR(cukier9[[#This Row],[data]])</f>
        <v>2007</v>
      </c>
    </row>
    <row r="549" spans="1:4" x14ac:dyDescent="0.25">
      <c r="A549" s="1">
        <v>39357</v>
      </c>
      <c r="B549" t="s">
        <v>148</v>
      </c>
      <c r="C549">
        <v>17</v>
      </c>
      <c r="D549">
        <f>YEAR(cukier9[[#This Row],[data]])</f>
        <v>2007</v>
      </c>
    </row>
    <row r="550" spans="1:4" x14ac:dyDescent="0.25">
      <c r="A550" s="1">
        <v>39361</v>
      </c>
      <c r="B550" t="s">
        <v>149</v>
      </c>
      <c r="C550">
        <v>4</v>
      </c>
      <c r="D550">
        <f>YEAR(cukier9[[#This Row],[data]])</f>
        <v>2007</v>
      </c>
    </row>
    <row r="551" spans="1:4" x14ac:dyDescent="0.25">
      <c r="A551" s="1">
        <v>39371</v>
      </c>
      <c r="B551" t="s">
        <v>5</v>
      </c>
      <c r="C551">
        <v>131</v>
      </c>
      <c r="D551">
        <f>YEAR(cukier9[[#This Row],[data]])</f>
        <v>2007</v>
      </c>
    </row>
    <row r="552" spans="1:4" x14ac:dyDescent="0.25">
      <c r="A552" s="1">
        <v>39371</v>
      </c>
      <c r="B552" t="s">
        <v>24</v>
      </c>
      <c r="C552">
        <v>369</v>
      </c>
      <c r="D552">
        <f>YEAR(cukier9[[#This Row],[data]])</f>
        <v>2007</v>
      </c>
    </row>
    <row r="553" spans="1:4" x14ac:dyDescent="0.25">
      <c r="A553" s="1">
        <v>39371</v>
      </c>
      <c r="B553" t="s">
        <v>131</v>
      </c>
      <c r="C553">
        <v>60</v>
      </c>
      <c r="D553">
        <f>YEAR(cukier9[[#This Row],[data]])</f>
        <v>2007</v>
      </c>
    </row>
    <row r="554" spans="1:4" x14ac:dyDescent="0.25">
      <c r="A554" s="1">
        <v>39375</v>
      </c>
      <c r="B554" t="s">
        <v>17</v>
      </c>
      <c r="C554">
        <v>405</v>
      </c>
      <c r="D554">
        <f>YEAR(cukier9[[#This Row],[data]])</f>
        <v>2007</v>
      </c>
    </row>
    <row r="555" spans="1:4" x14ac:dyDescent="0.25">
      <c r="A555" s="1">
        <v>39376</v>
      </c>
      <c r="B555" t="s">
        <v>21</v>
      </c>
      <c r="C555">
        <v>3</v>
      </c>
      <c r="D555">
        <f>YEAR(cukier9[[#This Row],[data]])</f>
        <v>2007</v>
      </c>
    </row>
    <row r="556" spans="1:4" x14ac:dyDescent="0.25">
      <c r="A556" s="1">
        <v>39380</v>
      </c>
      <c r="B556" t="s">
        <v>78</v>
      </c>
      <c r="C556">
        <v>35</v>
      </c>
      <c r="D556">
        <f>YEAR(cukier9[[#This Row],[data]])</f>
        <v>2007</v>
      </c>
    </row>
    <row r="557" spans="1:4" x14ac:dyDescent="0.25">
      <c r="A557" s="1">
        <v>39382</v>
      </c>
      <c r="B557" t="s">
        <v>50</v>
      </c>
      <c r="C557">
        <v>444</v>
      </c>
      <c r="D557">
        <f>YEAR(cukier9[[#This Row],[data]])</f>
        <v>2007</v>
      </c>
    </row>
    <row r="558" spans="1:4" x14ac:dyDescent="0.25">
      <c r="A558" s="1">
        <v>39382</v>
      </c>
      <c r="B558" t="s">
        <v>45</v>
      </c>
      <c r="C558">
        <v>424</v>
      </c>
      <c r="D558">
        <f>YEAR(cukier9[[#This Row],[data]])</f>
        <v>2007</v>
      </c>
    </row>
    <row r="559" spans="1:4" x14ac:dyDescent="0.25">
      <c r="A559" s="1">
        <v>39382</v>
      </c>
      <c r="B559" t="s">
        <v>150</v>
      </c>
      <c r="C559">
        <v>2</v>
      </c>
      <c r="D559">
        <f>YEAR(cukier9[[#This Row],[data]])</f>
        <v>2007</v>
      </c>
    </row>
    <row r="560" spans="1:4" x14ac:dyDescent="0.25">
      <c r="A560" s="1">
        <v>39385</v>
      </c>
      <c r="B560" t="s">
        <v>17</v>
      </c>
      <c r="C560">
        <v>480</v>
      </c>
      <c r="D560">
        <f>YEAR(cukier9[[#This Row],[data]])</f>
        <v>2007</v>
      </c>
    </row>
    <row r="561" spans="1:4" x14ac:dyDescent="0.25">
      <c r="A561" s="1">
        <v>39386</v>
      </c>
      <c r="B561" t="s">
        <v>37</v>
      </c>
      <c r="C561">
        <v>65</v>
      </c>
      <c r="D561">
        <f>YEAR(cukier9[[#This Row],[data]])</f>
        <v>2007</v>
      </c>
    </row>
    <row r="562" spans="1:4" x14ac:dyDescent="0.25">
      <c r="A562" s="1">
        <v>39388</v>
      </c>
      <c r="B562" t="s">
        <v>89</v>
      </c>
      <c r="C562">
        <v>8</v>
      </c>
      <c r="D562">
        <f>YEAR(cukier9[[#This Row],[data]])</f>
        <v>2007</v>
      </c>
    </row>
    <row r="563" spans="1:4" x14ac:dyDescent="0.25">
      <c r="A563" s="1">
        <v>39389</v>
      </c>
      <c r="B563" t="s">
        <v>52</v>
      </c>
      <c r="C563">
        <v>52</v>
      </c>
      <c r="D563">
        <f>YEAR(cukier9[[#This Row],[data]])</f>
        <v>2007</v>
      </c>
    </row>
    <row r="564" spans="1:4" x14ac:dyDescent="0.25">
      <c r="A564" s="1">
        <v>39392</v>
      </c>
      <c r="B564" t="s">
        <v>40</v>
      </c>
      <c r="C564">
        <v>8</v>
      </c>
      <c r="D564">
        <f>YEAR(cukier9[[#This Row],[data]])</f>
        <v>2007</v>
      </c>
    </row>
    <row r="565" spans="1:4" x14ac:dyDescent="0.25">
      <c r="A565" s="1">
        <v>39393</v>
      </c>
      <c r="B565" t="s">
        <v>7</v>
      </c>
      <c r="C565">
        <v>143</v>
      </c>
      <c r="D565">
        <f>YEAR(cukier9[[#This Row],[data]])</f>
        <v>2007</v>
      </c>
    </row>
    <row r="566" spans="1:4" x14ac:dyDescent="0.25">
      <c r="A566" s="1">
        <v>39394</v>
      </c>
      <c r="B566" t="s">
        <v>18</v>
      </c>
      <c r="C566">
        <v>20</v>
      </c>
      <c r="D566">
        <f>YEAR(cukier9[[#This Row],[data]])</f>
        <v>2007</v>
      </c>
    </row>
    <row r="567" spans="1:4" x14ac:dyDescent="0.25">
      <c r="A567" s="1">
        <v>39397</v>
      </c>
      <c r="B567" t="s">
        <v>14</v>
      </c>
      <c r="C567">
        <v>396</v>
      </c>
      <c r="D567">
        <f>YEAR(cukier9[[#This Row],[data]])</f>
        <v>2007</v>
      </c>
    </row>
    <row r="568" spans="1:4" x14ac:dyDescent="0.25">
      <c r="A568" s="1">
        <v>39398</v>
      </c>
      <c r="B568" t="s">
        <v>69</v>
      </c>
      <c r="C568">
        <v>168</v>
      </c>
      <c r="D568">
        <f>YEAR(cukier9[[#This Row],[data]])</f>
        <v>2007</v>
      </c>
    </row>
    <row r="569" spans="1:4" x14ac:dyDescent="0.25">
      <c r="A569" s="1">
        <v>39399</v>
      </c>
      <c r="B569" t="s">
        <v>69</v>
      </c>
      <c r="C569">
        <v>69</v>
      </c>
      <c r="D569">
        <f>YEAR(cukier9[[#This Row],[data]])</f>
        <v>2007</v>
      </c>
    </row>
    <row r="570" spans="1:4" x14ac:dyDescent="0.25">
      <c r="A570" s="1">
        <v>39407</v>
      </c>
      <c r="B570" t="s">
        <v>30</v>
      </c>
      <c r="C570">
        <v>99</v>
      </c>
      <c r="D570">
        <f>YEAR(cukier9[[#This Row],[data]])</f>
        <v>2007</v>
      </c>
    </row>
    <row r="571" spans="1:4" x14ac:dyDescent="0.25">
      <c r="A571" s="1">
        <v>39407</v>
      </c>
      <c r="B571" t="s">
        <v>123</v>
      </c>
      <c r="C571">
        <v>57</v>
      </c>
      <c r="D571">
        <f>YEAR(cukier9[[#This Row],[data]])</f>
        <v>2007</v>
      </c>
    </row>
    <row r="572" spans="1:4" x14ac:dyDescent="0.25">
      <c r="A572" s="1">
        <v>39408</v>
      </c>
      <c r="B572" t="s">
        <v>6</v>
      </c>
      <c r="C572">
        <v>103</v>
      </c>
      <c r="D572">
        <f>YEAR(cukier9[[#This Row],[data]])</f>
        <v>2007</v>
      </c>
    </row>
    <row r="573" spans="1:4" x14ac:dyDescent="0.25">
      <c r="A573" s="1">
        <v>39409</v>
      </c>
      <c r="B573" t="s">
        <v>124</v>
      </c>
      <c r="C573">
        <v>2</v>
      </c>
      <c r="D573">
        <f>YEAR(cukier9[[#This Row],[data]])</f>
        <v>2007</v>
      </c>
    </row>
    <row r="574" spans="1:4" x14ac:dyDescent="0.25">
      <c r="A574" s="1">
        <v>39412</v>
      </c>
      <c r="B574" t="s">
        <v>52</v>
      </c>
      <c r="C574">
        <v>88</v>
      </c>
      <c r="D574">
        <f>YEAR(cukier9[[#This Row],[data]])</f>
        <v>2007</v>
      </c>
    </row>
    <row r="575" spans="1:4" x14ac:dyDescent="0.25">
      <c r="A575" s="1">
        <v>39414</v>
      </c>
      <c r="B575" t="s">
        <v>37</v>
      </c>
      <c r="C575">
        <v>85</v>
      </c>
      <c r="D575">
        <f>YEAR(cukier9[[#This Row],[data]])</f>
        <v>2007</v>
      </c>
    </row>
    <row r="576" spans="1:4" x14ac:dyDescent="0.25">
      <c r="A576" s="1">
        <v>39414</v>
      </c>
      <c r="B576" t="s">
        <v>7</v>
      </c>
      <c r="C576">
        <v>216</v>
      </c>
      <c r="D576">
        <f>YEAR(cukier9[[#This Row],[data]])</f>
        <v>2007</v>
      </c>
    </row>
    <row r="577" spans="1:4" x14ac:dyDescent="0.25">
      <c r="A577" s="1">
        <v>39416</v>
      </c>
      <c r="B577" t="s">
        <v>7</v>
      </c>
      <c r="C577">
        <v>140</v>
      </c>
      <c r="D577">
        <f>YEAR(cukier9[[#This Row],[data]])</f>
        <v>2007</v>
      </c>
    </row>
    <row r="578" spans="1:4" x14ac:dyDescent="0.25">
      <c r="A578" s="1">
        <v>39421</v>
      </c>
      <c r="B578" t="s">
        <v>50</v>
      </c>
      <c r="C578">
        <v>377</v>
      </c>
      <c r="D578">
        <f>YEAR(cukier9[[#This Row],[data]])</f>
        <v>2007</v>
      </c>
    </row>
    <row r="579" spans="1:4" x14ac:dyDescent="0.25">
      <c r="A579" s="1">
        <v>39423</v>
      </c>
      <c r="B579" t="s">
        <v>35</v>
      </c>
      <c r="C579">
        <v>89</v>
      </c>
      <c r="D579">
        <f>YEAR(cukier9[[#This Row],[data]])</f>
        <v>2007</v>
      </c>
    </row>
    <row r="580" spans="1:4" x14ac:dyDescent="0.25">
      <c r="A580" s="1">
        <v>39425</v>
      </c>
      <c r="B580" t="s">
        <v>12</v>
      </c>
      <c r="C580">
        <v>181</v>
      </c>
      <c r="D580">
        <f>YEAR(cukier9[[#This Row],[data]])</f>
        <v>2007</v>
      </c>
    </row>
    <row r="581" spans="1:4" x14ac:dyDescent="0.25">
      <c r="A581" s="1">
        <v>39427</v>
      </c>
      <c r="B581" t="s">
        <v>69</v>
      </c>
      <c r="C581">
        <v>131</v>
      </c>
      <c r="D581">
        <f>YEAR(cukier9[[#This Row],[data]])</f>
        <v>2007</v>
      </c>
    </row>
    <row r="582" spans="1:4" x14ac:dyDescent="0.25">
      <c r="A582" s="1">
        <v>39427</v>
      </c>
      <c r="B582" t="s">
        <v>80</v>
      </c>
      <c r="C582">
        <v>43</v>
      </c>
      <c r="D582">
        <f>YEAR(cukier9[[#This Row],[data]])</f>
        <v>2007</v>
      </c>
    </row>
    <row r="583" spans="1:4" x14ac:dyDescent="0.25">
      <c r="A583" s="1">
        <v>39428</v>
      </c>
      <c r="B583" t="s">
        <v>30</v>
      </c>
      <c r="C583">
        <v>166</v>
      </c>
      <c r="D583">
        <f>YEAR(cukier9[[#This Row],[data]])</f>
        <v>2007</v>
      </c>
    </row>
    <row r="584" spans="1:4" x14ac:dyDescent="0.25">
      <c r="A584" s="1">
        <v>39428</v>
      </c>
      <c r="B584" t="s">
        <v>78</v>
      </c>
      <c r="C584">
        <v>192</v>
      </c>
      <c r="D584">
        <f>YEAR(cukier9[[#This Row],[data]])</f>
        <v>2007</v>
      </c>
    </row>
    <row r="585" spans="1:4" x14ac:dyDescent="0.25">
      <c r="A585" s="1">
        <v>39430</v>
      </c>
      <c r="B585" t="s">
        <v>16</v>
      </c>
      <c r="C585">
        <v>7</v>
      </c>
      <c r="D585">
        <f>YEAR(cukier9[[#This Row],[data]])</f>
        <v>2007</v>
      </c>
    </row>
    <row r="586" spans="1:4" x14ac:dyDescent="0.25">
      <c r="A586" s="1">
        <v>39432</v>
      </c>
      <c r="B586" t="s">
        <v>53</v>
      </c>
      <c r="C586">
        <v>11</v>
      </c>
      <c r="D586">
        <f>YEAR(cukier9[[#This Row],[data]])</f>
        <v>2007</v>
      </c>
    </row>
    <row r="587" spans="1:4" x14ac:dyDescent="0.25">
      <c r="A587" s="1">
        <v>39432</v>
      </c>
      <c r="B587" t="s">
        <v>19</v>
      </c>
      <c r="C587">
        <v>146</v>
      </c>
      <c r="D587">
        <f>YEAR(cukier9[[#This Row],[data]])</f>
        <v>2007</v>
      </c>
    </row>
    <row r="588" spans="1:4" x14ac:dyDescent="0.25">
      <c r="A588" s="1">
        <v>39433</v>
      </c>
      <c r="B588" t="s">
        <v>45</v>
      </c>
      <c r="C588">
        <v>138</v>
      </c>
      <c r="D588">
        <f>YEAR(cukier9[[#This Row],[data]])</f>
        <v>2007</v>
      </c>
    </row>
    <row r="589" spans="1:4" x14ac:dyDescent="0.25">
      <c r="A589" s="1">
        <v>39434</v>
      </c>
      <c r="B589" t="s">
        <v>23</v>
      </c>
      <c r="C589">
        <v>138</v>
      </c>
      <c r="D589">
        <f>YEAR(cukier9[[#This Row],[data]])</f>
        <v>2007</v>
      </c>
    </row>
    <row r="590" spans="1:4" x14ac:dyDescent="0.25">
      <c r="A590" s="1">
        <v>39434</v>
      </c>
      <c r="B590" t="s">
        <v>50</v>
      </c>
      <c r="C590">
        <v>482</v>
      </c>
      <c r="D590">
        <f>YEAR(cukier9[[#This Row],[data]])</f>
        <v>2007</v>
      </c>
    </row>
    <row r="591" spans="1:4" x14ac:dyDescent="0.25">
      <c r="A591" s="1">
        <v>39436</v>
      </c>
      <c r="B591" t="s">
        <v>50</v>
      </c>
      <c r="C591">
        <v>481</v>
      </c>
      <c r="D591">
        <f>YEAR(cukier9[[#This Row],[data]])</f>
        <v>2007</v>
      </c>
    </row>
    <row r="592" spans="1:4" x14ac:dyDescent="0.25">
      <c r="A592" s="1">
        <v>39438</v>
      </c>
      <c r="B592" t="s">
        <v>45</v>
      </c>
      <c r="C592">
        <v>258</v>
      </c>
      <c r="D592">
        <f>YEAR(cukier9[[#This Row],[data]])</f>
        <v>2007</v>
      </c>
    </row>
    <row r="593" spans="1:4" x14ac:dyDescent="0.25">
      <c r="A593" s="1">
        <v>39440</v>
      </c>
      <c r="B593" t="s">
        <v>19</v>
      </c>
      <c r="C593">
        <v>100</v>
      </c>
      <c r="D593">
        <f>YEAR(cukier9[[#This Row],[data]])</f>
        <v>2007</v>
      </c>
    </row>
    <row r="594" spans="1:4" x14ac:dyDescent="0.25">
      <c r="A594" s="1">
        <v>39440</v>
      </c>
      <c r="B594" t="s">
        <v>69</v>
      </c>
      <c r="C594">
        <v>86</v>
      </c>
      <c r="D594">
        <f>YEAR(cukier9[[#This Row],[data]])</f>
        <v>2007</v>
      </c>
    </row>
    <row r="595" spans="1:4" x14ac:dyDescent="0.25">
      <c r="A595" s="1">
        <v>39443</v>
      </c>
      <c r="B595" t="s">
        <v>28</v>
      </c>
      <c r="C595">
        <v>165</v>
      </c>
      <c r="D595">
        <f>YEAR(cukier9[[#This Row],[data]])</f>
        <v>2007</v>
      </c>
    </row>
    <row r="596" spans="1:4" x14ac:dyDescent="0.25">
      <c r="A596" s="1">
        <v>39444</v>
      </c>
      <c r="B596" t="s">
        <v>100</v>
      </c>
      <c r="C596">
        <v>4</v>
      </c>
      <c r="D596">
        <f>YEAR(cukier9[[#This Row],[data]])</f>
        <v>2007</v>
      </c>
    </row>
    <row r="597" spans="1:4" x14ac:dyDescent="0.25">
      <c r="A597" s="1">
        <v>39445</v>
      </c>
      <c r="B597" t="s">
        <v>23</v>
      </c>
      <c r="C597">
        <v>156</v>
      </c>
      <c r="D597">
        <f>YEAR(cukier9[[#This Row],[data]])</f>
        <v>2007</v>
      </c>
    </row>
    <row r="598" spans="1:4" x14ac:dyDescent="0.25">
      <c r="A598" s="1">
        <v>39446</v>
      </c>
      <c r="B598" t="s">
        <v>45</v>
      </c>
      <c r="C598">
        <v>320</v>
      </c>
      <c r="D598">
        <f>YEAR(cukier9[[#This Row],[data]])</f>
        <v>2007</v>
      </c>
    </row>
    <row r="599" spans="1:4" x14ac:dyDescent="0.25">
      <c r="A599" s="1">
        <v>39448</v>
      </c>
      <c r="B599" t="s">
        <v>15</v>
      </c>
      <c r="C599">
        <v>1</v>
      </c>
      <c r="D599">
        <f>YEAR(cukier9[[#This Row],[data]])</f>
        <v>2008</v>
      </c>
    </row>
    <row r="600" spans="1:4" x14ac:dyDescent="0.25">
      <c r="A600" s="1">
        <v>39448</v>
      </c>
      <c r="B600" t="s">
        <v>8</v>
      </c>
      <c r="C600">
        <v>81</v>
      </c>
      <c r="D600">
        <f>YEAR(cukier9[[#This Row],[data]])</f>
        <v>2008</v>
      </c>
    </row>
    <row r="601" spans="1:4" x14ac:dyDescent="0.25">
      <c r="A601" s="1">
        <v>39448</v>
      </c>
      <c r="B601" t="s">
        <v>50</v>
      </c>
      <c r="C601">
        <v>438</v>
      </c>
      <c r="D601">
        <f>YEAR(cukier9[[#This Row],[data]])</f>
        <v>2008</v>
      </c>
    </row>
    <row r="602" spans="1:4" x14ac:dyDescent="0.25">
      <c r="A602" s="1">
        <v>39449</v>
      </c>
      <c r="B602" t="s">
        <v>38</v>
      </c>
      <c r="C602">
        <v>1</v>
      </c>
      <c r="D602">
        <f>YEAR(cukier9[[#This Row],[data]])</f>
        <v>2008</v>
      </c>
    </row>
    <row r="603" spans="1:4" x14ac:dyDescent="0.25">
      <c r="A603" s="1">
        <v>39453</v>
      </c>
      <c r="B603" t="s">
        <v>78</v>
      </c>
      <c r="C603">
        <v>173</v>
      </c>
      <c r="D603">
        <f>YEAR(cukier9[[#This Row],[data]])</f>
        <v>2008</v>
      </c>
    </row>
    <row r="604" spans="1:4" x14ac:dyDescent="0.25">
      <c r="A604" s="1">
        <v>39456</v>
      </c>
      <c r="B604" t="s">
        <v>24</v>
      </c>
      <c r="C604">
        <v>412</v>
      </c>
      <c r="D604">
        <f>YEAR(cukier9[[#This Row],[data]])</f>
        <v>2008</v>
      </c>
    </row>
    <row r="605" spans="1:4" x14ac:dyDescent="0.25">
      <c r="A605" s="1">
        <v>39456</v>
      </c>
      <c r="B605" t="s">
        <v>151</v>
      </c>
      <c r="C605">
        <v>13</v>
      </c>
      <c r="D605">
        <f>YEAR(cukier9[[#This Row],[data]])</f>
        <v>2008</v>
      </c>
    </row>
    <row r="606" spans="1:4" x14ac:dyDescent="0.25">
      <c r="A606" s="1">
        <v>39457</v>
      </c>
      <c r="B606" t="s">
        <v>55</v>
      </c>
      <c r="C606">
        <v>130</v>
      </c>
      <c r="D606">
        <f>YEAR(cukier9[[#This Row],[data]])</f>
        <v>2008</v>
      </c>
    </row>
    <row r="607" spans="1:4" x14ac:dyDescent="0.25">
      <c r="A607" s="1">
        <v>39459</v>
      </c>
      <c r="B607" t="s">
        <v>152</v>
      </c>
      <c r="C607">
        <v>4</v>
      </c>
      <c r="D607">
        <f>YEAR(cukier9[[#This Row],[data]])</f>
        <v>2008</v>
      </c>
    </row>
    <row r="608" spans="1:4" x14ac:dyDescent="0.25">
      <c r="A608" s="1">
        <v>39462</v>
      </c>
      <c r="B608" t="s">
        <v>55</v>
      </c>
      <c r="C608">
        <v>176</v>
      </c>
      <c r="D608">
        <f>YEAR(cukier9[[#This Row],[data]])</f>
        <v>2008</v>
      </c>
    </row>
    <row r="609" spans="1:4" x14ac:dyDescent="0.25">
      <c r="A609" s="1">
        <v>39464</v>
      </c>
      <c r="B609" t="s">
        <v>89</v>
      </c>
      <c r="C609">
        <v>14</v>
      </c>
      <c r="D609">
        <f>YEAR(cukier9[[#This Row],[data]])</f>
        <v>2008</v>
      </c>
    </row>
    <row r="610" spans="1:4" x14ac:dyDescent="0.25">
      <c r="A610" s="1">
        <v>39465</v>
      </c>
      <c r="B610" t="s">
        <v>55</v>
      </c>
      <c r="C610">
        <v>97</v>
      </c>
      <c r="D610">
        <f>YEAR(cukier9[[#This Row],[data]])</f>
        <v>2008</v>
      </c>
    </row>
    <row r="611" spans="1:4" x14ac:dyDescent="0.25">
      <c r="A611" s="1">
        <v>39468</v>
      </c>
      <c r="B611" t="s">
        <v>61</v>
      </c>
      <c r="C611">
        <v>81</v>
      </c>
      <c r="D611">
        <f>YEAR(cukier9[[#This Row],[data]])</f>
        <v>2008</v>
      </c>
    </row>
    <row r="612" spans="1:4" x14ac:dyDescent="0.25">
      <c r="A612" s="1">
        <v>39469</v>
      </c>
      <c r="B612" t="s">
        <v>23</v>
      </c>
      <c r="C612">
        <v>179</v>
      </c>
      <c r="D612">
        <f>YEAR(cukier9[[#This Row],[data]])</f>
        <v>2008</v>
      </c>
    </row>
    <row r="613" spans="1:4" x14ac:dyDescent="0.25">
      <c r="A613" s="1">
        <v>39470</v>
      </c>
      <c r="B613" t="s">
        <v>37</v>
      </c>
      <c r="C613">
        <v>132</v>
      </c>
      <c r="D613">
        <f>YEAR(cukier9[[#This Row],[data]])</f>
        <v>2008</v>
      </c>
    </row>
    <row r="614" spans="1:4" x14ac:dyDescent="0.25">
      <c r="A614" s="1">
        <v>39470</v>
      </c>
      <c r="B614" t="s">
        <v>153</v>
      </c>
      <c r="C614">
        <v>5</v>
      </c>
      <c r="D614">
        <f>YEAR(cukier9[[#This Row],[data]])</f>
        <v>2008</v>
      </c>
    </row>
    <row r="615" spans="1:4" x14ac:dyDescent="0.25">
      <c r="A615" s="1">
        <v>39470</v>
      </c>
      <c r="B615" t="s">
        <v>18</v>
      </c>
      <c r="C615">
        <v>100</v>
      </c>
      <c r="D615">
        <f>YEAR(cukier9[[#This Row],[data]])</f>
        <v>2008</v>
      </c>
    </row>
    <row r="616" spans="1:4" x14ac:dyDescent="0.25">
      <c r="A616" s="1">
        <v>39474</v>
      </c>
      <c r="B616" t="s">
        <v>154</v>
      </c>
      <c r="C616">
        <v>6</v>
      </c>
      <c r="D616">
        <f>YEAR(cukier9[[#This Row],[data]])</f>
        <v>2008</v>
      </c>
    </row>
    <row r="617" spans="1:4" x14ac:dyDescent="0.25">
      <c r="A617" s="1">
        <v>39481</v>
      </c>
      <c r="B617" t="s">
        <v>24</v>
      </c>
      <c r="C617">
        <v>171</v>
      </c>
      <c r="D617">
        <f>YEAR(cukier9[[#This Row],[data]])</f>
        <v>2008</v>
      </c>
    </row>
    <row r="618" spans="1:4" x14ac:dyDescent="0.25">
      <c r="A618" s="1">
        <v>39483</v>
      </c>
      <c r="B618" t="s">
        <v>14</v>
      </c>
      <c r="C618">
        <v>333</v>
      </c>
      <c r="D618">
        <f>YEAR(cukier9[[#This Row],[data]])</f>
        <v>2008</v>
      </c>
    </row>
    <row r="619" spans="1:4" x14ac:dyDescent="0.25">
      <c r="A619" s="1">
        <v>39484</v>
      </c>
      <c r="B619" t="s">
        <v>24</v>
      </c>
      <c r="C619">
        <v>365</v>
      </c>
      <c r="D619">
        <f>YEAR(cukier9[[#This Row],[data]])</f>
        <v>2008</v>
      </c>
    </row>
    <row r="620" spans="1:4" x14ac:dyDescent="0.25">
      <c r="A620" s="1">
        <v>39484</v>
      </c>
      <c r="B620" t="s">
        <v>112</v>
      </c>
      <c r="C620">
        <v>16</v>
      </c>
      <c r="D620">
        <f>YEAR(cukier9[[#This Row],[data]])</f>
        <v>2008</v>
      </c>
    </row>
    <row r="621" spans="1:4" x14ac:dyDescent="0.25">
      <c r="A621" s="1">
        <v>39485</v>
      </c>
      <c r="B621" t="s">
        <v>5</v>
      </c>
      <c r="C621">
        <v>211</v>
      </c>
      <c r="D621">
        <f>YEAR(cukier9[[#This Row],[data]])</f>
        <v>2008</v>
      </c>
    </row>
    <row r="622" spans="1:4" x14ac:dyDescent="0.25">
      <c r="A622" s="1">
        <v>39489</v>
      </c>
      <c r="B622" t="s">
        <v>45</v>
      </c>
      <c r="C622">
        <v>196</v>
      </c>
      <c r="D622">
        <f>YEAR(cukier9[[#This Row],[data]])</f>
        <v>2008</v>
      </c>
    </row>
    <row r="623" spans="1:4" x14ac:dyDescent="0.25">
      <c r="A623" s="1">
        <v>39490</v>
      </c>
      <c r="B623" t="s">
        <v>155</v>
      </c>
      <c r="C623">
        <v>11</v>
      </c>
      <c r="D623">
        <f>YEAR(cukier9[[#This Row],[data]])</f>
        <v>2008</v>
      </c>
    </row>
    <row r="624" spans="1:4" x14ac:dyDescent="0.25">
      <c r="A624" s="1">
        <v>39491</v>
      </c>
      <c r="B624" t="s">
        <v>112</v>
      </c>
      <c r="C624">
        <v>17</v>
      </c>
      <c r="D624">
        <f>YEAR(cukier9[[#This Row],[data]])</f>
        <v>2008</v>
      </c>
    </row>
    <row r="625" spans="1:4" x14ac:dyDescent="0.25">
      <c r="A625" s="1">
        <v>39494</v>
      </c>
      <c r="B625" t="s">
        <v>66</v>
      </c>
      <c r="C625">
        <v>62</v>
      </c>
      <c r="D625">
        <f>YEAR(cukier9[[#This Row],[data]])</f>
        <v>2008</v>
      </c>
    </row>
    <row r="626" spans="1:4" x14ac:dyDescent="0.25">
      <c r="A626" s="1">
        <v>39494</v>
      </c>
      <c r="B626" t="s">
        <v>9</v>
      </c>
      <c r="C626">
        <v>103</v>
      </c>
      <c r="D626">
        <f>YEAR(cukier9[[#This Row],[data]])</f>
        <v>2008</v>
      </c>
    </row>
    <row r="627" spans="1:4" x14ac:dyDescent="0.25">
      <c r="A627" s="1">
        <v>39494</v>
      </c>
      <c r="B627" t="s">
        <v>32</v>
      </c>
      <c r="C627">
        <v>9</v>
      </c>
      <c r="D627">
        <f>YEAR(cukier9[[#This Row],[data]])</f>
        <v>2008</v>
      </c>
    </row>
    <row r="628" spans="1:4" x14ac:dyDescent="0.25">
      <c r="A628" s="1">
        <v>39495</v>
      </c>
      <c r="B628" t="s">
        <v>156</v>
      </c>
      <c r="C628">
        <v>5</v>
      </c>
      <c r="D628">
        <f>YEAR(cukier9[[#This Row],[data]])</f>
        <v>2008</v>
      </c>
    </row>
    <row r="629" spans="1:4" x14ac:dyDescent="0.25">
      <c r="A629" s="1">
        <v>39495</v>
      </c>
      <c r="B629" t="s">
        <v>45</v>
      </c>
      <c r="C629">
        <v>452</v>
      </c>
      <c r="D629">
        <f>YEAR(cukier9[[#This Row],[data]])</f>
        <v>2008</v>
      </c>
    </row>
    <row r="630" spans="1:4" x14ac:dyDescent="0.25">
      <c r="A630" s="1">
        <v>39496</v>
      </c>
      <c r="B630" t="s">
        <v>157</v>
      </c>
      <c r="C630">
        <v>2</v>
      </c>
      <c r="D630">
        <f>YEAR(cukier9[[#This Row],[data]])</f>
        <v>2008</v>
      </c>
    </row>
    <row r="631" spans="1:4" x14ac:dyDescent="0.25">
      <c r="A631" s="1">
        <v>39497</v>
      </c>
      <c r="B631" t="s">
        <v>50</v>
      </c>
      <c r="C631">
        <v>335</v>
      </c>
      <c r="D631">
        <f>YEAR(cukier9[[#This Row],[data]])</f>
        <v>2008</v>
      </c>
    </row>
    <row r="632" spans="1:4" x14ac:dyDescent="0.25">
      <c r="A632" s="1">
        <v>39498</v>
      </c>
      <c r="B632" t="s">
        <v>158</v>
      </c>
      <c r="C632">
        <v>12</v>
      </c>
      <c r="D632">
        <f>YEAR(cukier9[[#This Row],[data]])</f>
        <v>2008</v>
      </c>
    </row>
    <row r="633" spans="1:4" x14ac:dyDescent="0.25">
      <c r="A633" s="1">
        <v>39499</v>
      </c>
      <c r="B633" t="s">
        <v>79</v>
      </c>
      <c r="C633">
        <v>12</v>
      </c>
      <c r="D633">
        <f>YEAR(cukier9[[#This Row],[data]])</f>
        <v>2008</v>
      </c>
    </row>
    <row r="634" spans="1:4" x14ac:dyDescent="0.25">
      <c r="A634" s="1">
        <v>39500</v>
      </c>
      <c r="B634" t="s">
        <v>159</v>
      </c>
      <c r="C634">
        <v>5</v>
      </c>
      <c r="D634">
        <f>YEAR(cukier9[[#This Row],[data]])</f>
        <v>2008</v>
      </c>
    </row>
    <row r="635" spans="1:4" x14ac:dyDescent="0.25">
      <c r="A635" s="1">
        <v>39500</v>
      </c>
      <c r="B635" t="s">
        <v>160</v>
      </c>
      <c r="C635">
        <v>2</v>
      </c>
      <c r="D635">
        <f>YEAR(cukier9[[#This Row],[data]])</f>
        <v>2008</v>
      </c>
    </row>
    <row r="636" spans="1:4" x14ac:dyDescent="0.25">
      <c r="A636" s="1">
        <v>39501</v>
      </c>
      <c r="B636" t="s">
        <v>161</v>
      </c>
      <c r="C636">
        <v>10</v>
      </c>
      <c r="D636">
        <f>YEAR(cukier9[[#This Row],[data]])</f>
        <v>2008</v>
      </c>
    </row>
    <row r="637" spans="1:4" x14ac:dyDescent="0.25">
      <c r="A637" s="1">
        <v>39503</v>
      </c>
      <c r="B637" t="s">
        <v>45</v>
      </c>
      <c r="C637">
        <v>308</v>
      </c>
      <c r="D637">
        <f>YEAR(cukier9[[#This Row],[data]])</f>
        <v>2008</v>
      </c>
    </row>
    <row r="638" spans="1:4" x14ac:dyDescent="0.25">
      <c r="A638" s="1">
        <v>39505</v>
      </c>
      <c r="B638" t="s">
        <v>119</v>
      </c>
      <c r="C638">
        <v>5</v>
      </c>
      <c r="D638">
        <f>YEAR(cukier9[[#This Row],[data]])</f>
        <v>2008</v>
      </c>
    </row>
    <row r="639" spans="1:4" x14ac:dyDescent="0.25">
      <c r="A639" s="1">
        <v>39505</v>
      </c>
      <c r="B639" t="s">
        <v>14</v>
      </c>
      <c r="C639">
        <v>446</v>
      </c>
      <c r="D639">
        <f>YEAR(cukier9[[#This Row],[data]])</f>
        <v>2008</v>
      </c>
    </row>
    <row r="640" spans="1:4" x14ac:dyDescent="0.25">
      <c r="A640" s="1">
        <v>39506</v>
      </c>
      <c r="B640" t="s">
        <v>7</v>
      </c>
      <c r="C640">
        <v>281</v>
      </c>
      <c r="D640">
        <f>YEAR(cukier9[[#This Row],[data]])</f>
        <v>2008</v>
      </c>
    </row>
    <row r="641" spans="1:4" x14ac:dyDescent="0.25">
      <c r="A641" s="1">
        <v>39510</v>
      </c>
      <c r="B641" t="s">
        <v>11</v>
      </c>
      <c r="C641">
        <v>6</v>
      </c>
      <c r="D641">
        <f>YEAR(cukier9[[#This Row],[data]])</f>
        <v>2008</v>
      </c>
    </row>
    <row r="642" spans="1:4" x14ac:dyDescent="0.25">
      <c r="A642" s="1">
        <v>39511</v>
      </c>
      <c r="B642" t="s">
        <v>7</v>
      </c>
      <c r="C642">
        <v>409</v>
      </c>
      <c r="D642">
        <f>YEAR(cukier9[[#This Row],[data]])</f>
        <v>2008</v>
      </c>
    </row>
    <row r="643" spans="1:4" x14ac:dyDescent="0.25">
      <c r="A643" s="1">
        <v>39511</v>
      </c>
      <c r="B643" t="s">
        <v>66</v>
      </c>
      <c r="C643">
        <v>191</v>
      </c>
      <c r="D643">
        <f>YEAR(cukier9[[#This Row],[data]])</f>
        <v>2008</v>
      </c>
    </row>
    <row r="644" spans="1:4" x14ac:dyDescent="0.25">
      <c r="A644" s="1">
        <v>39512</v>
      </c>
      <c r="B644" t="s">
        <v>50</v>
      </c>
      <c r="C644">
        <v>404</v>
      </c>
      <c r="D644">
        <f>YEAR(cukier9[[#This Row],[data]])</f>
        <v>2008</v>
      </c>
    </row>
    <row r="645" spans="1:4" x14ac:dyDescent="0.25">
      <c r="A645" s="1">
        <v>39512</v>
      </c>
      <c r="B645" t="s">
        <v>28</v>
      </c>
      <c r="C645">
        <v>135</v>
      </c>
      <c r="D645">
        <f>YEAR(cukier9[[#This Row],[data]])</f>
        <v>2008</v>
      </c>
    </row>
    <row r="646" spans="1:4" x14ac:dyDescent="0.25">
      <c r="A646" s="1">
        <v>39512</v>
      </c>
      <c r="B646" t="s">
        <v>27</v>
      </c>
      <c r="C646">
        <v>20</v>
      </c>
      <c r="D646">
        <f>YEAR(cukier9[[#This Row],[data]])</f>
        <v>2008</v>
      </c>
    </row>
    <row r="647" spans="1:4" x14ac:dyDescent="0.25">
      <c r="A647" s="1">
        <v>39514</v>
      </c>
      <c r="B647" t="s">
        <v>58</v>
      </c>
      <c r="C647">
        <v>54</v>
      </c>
      <c r="D647">
        <f>YEAR(cukier9[[#This Row],[data]])</f>
        <v>2008</v>
      </c>
    </row>
    <row r="648" spans="1:4" x14ac:dyDescent="0.25">
      <c r="A648" s="1">
        <v>39514</v>
      </c>
      <c r="B648" t="s">
        <v>52</v>
      </c>
      <c r="C648">
        <v>129</v>
      </c>
      <c r="D648">
        <f>YEAR(cukier9[[#This Row],[data]])</f>
        <v>2008</v>
      </c>
    </row>
    <row r="649" spans="1:4" x14ac:dyDescent="0.25">
      <c r="A649" s="1">
        <v>39517</v>
      </c>
      <c r="B649" t="s">
        <v>162</v>
      </c>
      <c r="C649">
        <v>11</v>
      </c>
      <c r="D649">
        <f>YEAR(cukier9[[#This Row],[data]])</f>
        <v>2008</v>
      </c>
    </row>
    <row r="650" spans="1:4" x14ac:dyDescent="0.25">
      <c r="A650" s="1">
        <v>39518</v>
      </c>
      <c r="B650" t="s">
        <v>22</v>
      </c>
      <c r="C650">
        <v>383</v>
      </c>
      <c r="D650">
        <f>YEAR(cukier9[[#This Row],[data]])</f>
        <v>2008</v>
      </c>
    </row>
    <row r="651" spans="1:4" x14ac:dyDescent="0.25">
      <c r="A651" s="1">
        <v>39519</v>
      </c>
      <c r="B651" t="s">
        <v>10</v>
      </c>
      <c r="C651">
        <v>46</v>
      </c>
      <c r="D651">
        <f>YEAR(cukier9[[#This Row],[data]])</f>
        <v>2008</v>
      </c>
    </row>
    <row r="652" spans="1:4" x14ac:dyDescent="0.25">
      <c r="A652" s="1">
        <v>39520</v>
      </c>
      <c r="B652" t="s">
        <v>131</v>
      </c>
      <c r="C652">
        <v>61</v>
      </c>
      <c r="D652">
        <f>YEAR(cukier9[[#This Row],[data]])</f>
        <v>2008</v>
      </c>
    </row>
    <row r="653" spans="1:4" x14ac:dyDescent="0.25">
      <c r="A653" s="1">
        <v>39522</v>
      </c>
      <c r="B653" t="s">
        <v>28</v>
      </c>
      <c r="C653">
        <v>166</v>
      </c>
      <c r="D653">
        <f>YEAR(cukier9[[#This Row],[data]])</f>
        <v>2008</v>
      </c>
    </row>
    <row r="654" spans="1:4" x14ac:dyDescent="0.25">
      <c r="A654" s="1">
        <v>39523</v>
      </c>
      <c r="B654" t="s">
        <v>69</v>
      </c>
      <c r="C654">
        <v>91</v>
      </c>
      <c r="D654">
        <f>YEAR(cukier9[[#This Row],[data]])</f>
        <v>2008</v>
      </c>
    </row>
    <row r="655" spans="1:4" x14ac:dyDescent="0.25">
      <c r="A655" s="1">
        <v>39524</v>
      </c>
      <c r="B655" t="s">
        <v>163</v>
      </c>
      <c r="C655">
        <v>10</v>
      </c>
      <c r="D655">
        <f>YEAR(cukier9[[#This Row],[data]])</f>
        <v>2008</v>
      </c>
    </row>
    <row r="656" spans="1:4" x14ac:dyDescent="0.25">
      <c r="A656" s="1">
        <v>39526</v>
      </c>
      <c r="B656" t="s">
        <v>164</v>
      </c>
      <c r="C656">
        <v>19</v>
      </c>
      <c r="D656">
        <f>YEAR(cukier9[[#This Row],[data]])</f>
        <v>2008</v>
      </c>
    </row>
    <row r="657" spans="1:4" x14ac:dyDescent="0.25">
      <c r="A657" s="1">
        <v>39526</v>
      </c>
      <c r="B657" t="s">
        <v>165</v>
      </c>
      <c r="C657">
        <v>2</v>
      </c>
      <c r="D657">
        <f>YEAR(cukier9[[#This Row],[data]])</f>
        <v>2008</v>
      </c>
    </row>
    <row r="658" spans="1:4" x14ac:dyDescent="0.25">
      <c r="A658" s="1">
        <v>39527</v>
      </c>
      <c r="B658" t="s">
        <v>35</v>
      </c>
      <c r="C658">
        <v>125</v>
      </c>
      <c r="D658">
        <f>YEAR(cukier9[[#This Row],[data]])</f>
        <v>2008</v>
      </c>
    </row>
    <row r="659" spans="1:4" x14ac:dyDescent="0.25">
      <c r="A659" s="1">
        <v>39527</v>
      </c>
      <c r="B659" t="s">
        <v>22</v>
      </c>
      <c r="C659">
        <v>248</v>
      </c>
      <c r="D659">
        <f>YEAR(cukier9[[#This Row],[data]])</f>
        <v>2008</v>
      </c>
    </row>
    <row r="660" spans="1:4" x14ac:dyDescent="0.25">
      <c r="A660" s="1">
        <v>39527</v>
      </c>
      <c r="B660" t="s">
        <v>102</v>
      </c>
      <c r="C660">
        <v>298</v>
      </c>
      <c r="D660">
        <f>YEAR(cukier9[[#This Row],[data]])</f>
        <v>2008</v>
      </c>
    </row>
    <row r="661" spans="1:4" x14ac:dyDescent="0.25">
      <c r="A661" s="1">
        <v>39528</v>
      </c>
      <c r="B661" t="s">
        <v>22</v>
      </c>
      <c r="C661">
        <v>406</v>
      </c>
      <c r="D661">
        <f>YEAR(cukier9[[#This Row],[data]])</f>
        <v>2008</v>
      </c>
    </row>
    <row r="662" spans="1:4" x14ac:dyDescent="0.25">
      <c r="A662" s="1">
        <v>39529</v>
      </c>
      <c r="B662" t="s">
        <v>19</v>
      </c>
      <c r="C662">
        <v>46</v>
      </c>
      <c r="D662">
        <f>YEAR(cukier9[[#This Row],[data]])</f>
        <v>2008</v>
      </c>
    </row>
    <row r="663" spans="1:4" x14ac:dyDescent="0.25">
      <c r="A663" s="1">
        <v>39530</v>
      </c>
      <c r="B663" t="s">
        <v>69</v>
      </c>
      <c r="C663">
        <v>106</v>
      </c>
      <c r="D663">
        <f>YEAR(cukier9[[#This Row],[data]])</f>
        <v>2008</v>
      </c>
    </row>
    <row r="664" spans="1:4" x14ac:dyDescent="0.25">
      <c r="A664" s="1">
        <v>39532</v>
      </c>
      <c r="B664" t="s">
        <v>9</v>
      </c>
      <c r="C664">
        <v>121</v>
      </c>
      <c r="D664">
        <f>YEAR(cukier9[[#This Row],[data]])</f>
        <v>2008</v>
      </c>
    </row>
    <row r="665" spans="1:4" x14ac:dyDescent="0.25">
      <c r="A665" s="1">
        <v>39536</v>
      </c>
      <c r="B665" t="s">
        <v>45</v>
      </c>
      <c r="C665">
        <v>170</v>
      </c>
      <c r="D665">
        <f>YEAR(cukier9[[#This Row],[data]])</f>
        <v>2008</v>
      </c>
    </row>
    <row r="666" spans="1:4" x14ac:dyDescent="0.25">
      <c r="A666" s="1">
        <v>39536</v>
      </c>
      <c r="B666" t="s">
        <v>14</v>
      </c>
      <c r="C666">
        <v>431</v>
      </c>
      <c r="D666">
        <f>YEAR(cukier9[[#This Row],[data]])</f>
        <v>2008</v>
      </c>
    </row>
    <row r="667" spans="1:4" x14ac:dyDescent="0.25">
      <c r="A667" s="1">
        <v>39537</v>
      </c>
      <c r="B667" t="s">
        <v>50</v>
      </c>
      <c r="C667">
        <v>483</v>
      </c>
      <c r="D667">
        <f>YEAR(cukier9[[#This Row],[data]])</f>
        <v>2008</v>
      </c>
    </row>
    <row r="668" spans="1:4" x14ac:dyDescent="0.25">
      <c r="A668" s="1">
        <v>39539</v>
      </c>
      <c r="B668" t="s">
        <v>7</v>
      </c>
      <c r="C668">
        <v>354</v>
      </c>
      <c r="D668">
        <f>YEAR(cukier9[[#This Row],[data]])</f>
        <v>2008</v>
      </c>
    </row>
    <row r="669" spans="1:4" x14ac:dyDescent="0.25">
      <c r="A669" s="1">
        <v>39541</v>
      </c>
      <c r="B669" t="s">
        <v>69</v>
      </c>
      <c r="C669">
        <v>65</v>
      </c>
      <c r="D669">
        <f>YEAR(cukier9[[#This Row],[data]])</f>
        <v>2008</v>
      </c>
    </row>
    <row r="670" spans="1:4" x14ac:dyDescent="0.25">
      <c r="A670" s="1">
        <v>39544</v>
      </c>
      <c r="B670" t="s">
        <v>24</v>
      </c>
      <c r="C670">
        <v>176</v>
      </c>
      <c r="D670">
        <f>YEAR(cukier9[[#This Row],[data]])</f>
        <v>2008</v>
      </c>
    </row>
    <row r="671" spans="1:4" x14ac:dyDescent="0.25">
      <c r="A671" s="1">
        <v>39545</v>
      </c>
      <c r="B671" t="s">
        <v>51</v>
      </c>
      <c r="C671">
        <v>2</v>
      </c>
      <c r="D671">
        <f>YEAR(cukier9[[#This Row],[data]])</f>
        <v>2008</v>
      </c>
    </row>
    <row r="672" spans="1:4" x14ac:dyDescent="0.25">
      <c r="A672" s="1">
        <v>39546</v>
      </c>
      <c r="B672" t="s">
        <v>66</v>
      </c>
      <c r="C672">
        <v>46</v>
      </c>
      <c r="D672">
        <f>YEAR(cukier9[[#This Row],[data]])</f>
        <v>2008</v>
      </c>
    </row>
    <row r="673" spans="1:4" x14ac:dyDescent="0.25">
      <c r="A673" s="1">
        <v>39549</v>
      </c>
      <c r="B673" t="s">
        <v>102</v>
      </c>
      <c r="C673">
        <v>477</v>
      </c>
      <c r="D673">
        <f>YEAR(cukier9[[#This Row],[data]])</f>
        <v>2008</v>
      </c>
    </row>
    <row r="674" spans="1:4" x14ac:dyDescent="0.25">
      <c r="A674" s="1">
        <v>39550</v>
      </c>
      <c r="B674" t="s">
        <v>57</v>
      </c>
      <c r="C674">
        <v>6</v>
      </c>
      <c r="D674">
        <f>YEAR(cukier9[[#This Row],[data]])</f>
        <v>2008</v>
      </c>
    </row>
    <row r="675" spans="1:4" x14ac:dyDescent="0.25">
      <c r="A675" s="1">
        <v>39552</v>
      </c>
      <c r="B675" t="s">
        <v>48</v>
      </c>
      <c r="C675">
        <v>11</v>
      </c>
      <c r="D675">
        <f>YEAR(cukier9[[#This Row],[data]])</f>
        <v>2008</v>
      </c>
    </row>
    <row r="676" spans="1:4" x14ac:dyDescent="0.25">
      <c r="A676" s="1">
        <v>39552</v>
      </c>
      <c r="B676" t="s">
        <v>66</v>
      </c>
      <c r="C676">
        <v>126</v>
      </c>
      <c r="D676">
        <f>YEAR(cukier9[[#This Row],[data]])</f>
        <v>2008</v>
      </c>
    </row>
    <row r="677" spans="1:4" x14ac:dyDescent="0.25">
      <c r="A677" s="1">
        <v>39552</v>
      </c>
      <c r="B677" t="s">
        <v>18</v>
      </c>
      <c r="C677">
        <v>190</v>
      </c>
      <c r="D677">
        <f>YEAR(cukier9[[#This Row],[data]])</f>
        <v>2008</v>
      </c>
    </row>
    <row r="678" spans="1:4" x14ac:dyDescent="0.25">
      <c r="A678" s="1">
        <v>39553</v>
      </c>
      <c r="B678" t="s">
        <v>50</v>
      </c>
      <c r="C678">
        <v>358</v>
      </c>
      <c r="D678">
        <f>YEAR(cukier9[[#This Row],[data]])</f>
        <v>2008</v>
      </c>
    </row>
    <row r="679" spans="1:4" x14ac:dyDescent="0.25">
      <c r="A679" s="1">
        <v>39553</v>
      </c>
      <c r="B679" t="s">
        <v>39</v>
      </c>
      <c r="C679">
        <v>78</v>
      </c>
      <c r="D679">
        <f>YEAR(cukier9[[#This Row],[data]])</f>
        <v>2008</v>
      </c>
    </row>
    <row r="680" spans="1:4" x14ac:dyDescent="0.25">
      <c r="A680" s="1">
        <v>39553</v>
      </c>
      <c r="B680" t="s">
        <v>71</v>
      </c>
      <c r="C680">
        <v>129</v>
      </c>
      <c r="D680">
        <f>YEAR(cukier9[[#This Row],[data]])</f>
        <v>2008</v>
      </c>
    </row>
    <row r="681" spans="1:4" x14ac:dyDescent="0.25">
      <c r="A681" s="1">
        <v>39554</v>
      </c>
      <c r="B681" t="s">
        <v>14</v>
      </c>
      <c r="C681">
        <v>433</v>
      </c>
      <c r="D681">
        <f>YEAR(cukier9[[#This Row],[data]])</f>
        <v>2008</v>
      </c>
    </row>
    <row r="682" spans="1:4" x14ac:dyDescent="0.25">
      <c r="A682" s="1">
        <v>39555</v>
      </c>
      <c r="B682" t="s">
        <v>90</v>
      </c>
      <c r="C682">
        <v>18</v>
      </c>
      <c r="D682">
        <f>YEAR(cukier9[[#This Row],[data]])</f>
        <v>2008</v>
      </c>
    </row>
    <row r="683" spans="1:4" x14ac:dyDescent="0.25">
      <c r="A683" s="1">
        <v>39556</v>
      </c>
      <c r="B683" t="s">
        <v>80</v>
      </c>
      <c r="C683">
        <v>30</v>
      </c>
      <c r="D683">
        <f>YEAR(cukier9[[#This Row],[data]])</f>
        <v>2008</v>
      </c>
    </row>
    <row r="684" spans="1:4" x14ac:dyDescent="0.25">
      <c r="A684" s="1">
        <v>39557</v>
      </c>
      <c r="B684" t="s">
        <v>42</v>
      </c>
      <c r="C684">
        <v>18</v>
      </c>
      <c r="D684">
        <f>YEAR(cukier9[[#This Row],[data]])</f>
        <v>2008</v>
      </c>
    </row>
    <row r="685" spans="1:4" x14ac:dyDescent="0.25">
      <c r="A685" s="1">
        <v>39558</v>
      </c>
      <c r="B685" t="s">
        <v>66</v>
      </c>
      <c r="C685">
        <v>146</v>
      </c>
      <c r="D685">
        <f>YEAR(cukier9[[#This Row],[data]])</f>
        <v>2008</v>
      </c>
    </row>
    <row r="686" spans="1:4" x14ac:dyDescent="0.25">
      <c r="A686" s="1">
        <v>39558</v>
      </c>
      <c r="B686" t="s">
        <v>162</v>
      </c>
      <c r="C686">
        <v>19</v>
      </c>
      <c r="D686">
        <f>YEAR(cukier9[[#This Row],[data]])</f>
        <v>2008</v>
      </c>
    </row>
    <row r="687" spans="1:4" x14ac:dyDescent="0.25">
      <c r="A687" s="1">
        <v>39559</v>
      </c>
      <c r="B687" t="s">
        <v>23</v>
      </c>
      <c r="C687">
        <v>170</v>
      </c>
      <c r="D687">
        <f>YEAR(cukier9[[#This Row],[data]])</f>
        <v>2008</v>
      </c>
    </row>
    <row r="688" spans="1:4" x14ac:dyDescent="0.25">
      <c r="A688" s="1">
        <v>39561</v>
      </c>
      <c r="B688" t="s">
        <v>5</v>
      </c>
      <c r="C688">
        <v>428</v>
      </c>
      <c r="D688">
        <f>YEAR(cukier9[[#This Row],[data]])</f>
        <v>2008</v>
      </c>
    </row>
    <row r="689" spans="1:4" x14ac:dyDescent="0.25">
      <c r="A689" s="1">
        <v>39563</v>
      </c>
      <c r="B689" t="s">
        <v>50</v>
      </c>
      <c r="C689">
        <v>129</v>
      </c>
      <c r="D689">
        <f>YEAR(cukier9[[#This Row],[data]])</f>
        <v>2008</v>
      </c>
    </row>
    <row r="690" spans="1:4" x14ac:dyDescent="0.25">
      <c r="A690" s="1">
        <v>39564</v>
      </c>
      <c r="B690" t="s">
        <v>17</v>
      </c>
      <c r="C690">
        <v>304</v>
      </c>
      <c r="D690">
        <f>YEAR(cukier9[[#This Row],[data]])</f>
        <v>2008</v>
      </c>
    </row>
    <row r="691" spans="1:4" x14ac:dyDescent="0.25">
      <c r="A691" s="1">
        <v>39568</v>
      </c>
      <c r="B691" t="s">
        <v>151</v>
      </c>
      <c r="C691">
        <v>15</v>
      </c>
      <c r="D691">
        <f>YEAR(cukier9[[#This Row],[data]])</f>
        <v>2008</v>
      </c>
    </row>
    <row r="692" spans="1:4" x14ac:dyDescent="0.25">
      <c r="A692" s="1">
        <v>39569</v>
      </c>
      <c r="B692" t="s">
        <v>166</v>
      </c>
      <c r="C692">
        <v>14</v>
      </c>
      <c r="D692">
        <f>YEAR(cukier9[[#This Row],[data]])</f>
        <v>2008</v>
      </c>
    </row>
    <row r="693" spans="1:4" x14ac:dyDescent="0.25">
      <c r="A693" s="1">
        <v>39571</v>
      </c>
      <c r="B693" t="s">
        <v>14</v>
      </c>
      <c r="C693">
        <v>320</v>
      </c>
      <c r="D693">
        <f>YEAR(cukier9[[#This Row],[data]])</f>
        <v>2008</v>
      </c>
    </row>
    <row r="694" spans="1:4" x14ac:dyDescent="0.25">
      <c r="A694" s="1">
        <v>39572</v>
      </c>
      <c r="B694" t="s">
        <v>55</v>
      </c>
      <c r="C694">
        <v>44</v>
      </c>
      <c r="D694">
        <f>YEAR(cukier9[[#This Row],[data]])</f>
        <v>2008</v>
      </c>
    </row>
    <row r="695" spans="1:4" x14ac:dyDescent="0.25">
      <c r="A695" s="1">
        <v>39573</v>
      </c>
      <c r="B695" t="s">
        <v>10</v>
      </c>
      <c r="C695">
        <v>71</v>
      </c>
      <c r="D695">
        <f>YEAR(cukier9[[#This Row],[data]])</f>
        <v>2008</v>
      </c>
    </row>
    <row r="696" spans="1:4" x14ac:dyDescent="0.25">
      <c r="A696" s="1">
        <v>39573</v>
      </c>
      <c r="B696" t="s">
        <v>72</v>
      </c>
      <c r="C696">
        <v>8</v>
      </c>
      <c r="D696">
        <f>YEAR(cukier9[[#This Row],[data]])</f>
        <v>2008</v>
      </c>
    </row>
    <row r="697" spans="1:4" x14ac:dyDescent="0.25">
      <c r="A697" s="1">
        <v>39577</v>
      </c>
      <c r="B697" t="s">
        <v>9</v>
      </c>
      <c r="C697">
        <v>444</v>
      </c>
      <c r="D697">
        <f>YEAR(cukier9[[#This Row],[data]])</f>
        <v>2008</v>
      </c>
    </row>
    <row r="698" spans="1:4" x14ac:dyDescent="0.25">
      <c r="A698" s="1">
        <v>39577</v>
      </c>
      <c r="B698" t="s">
        <v>83</v>
      </c>
      <c r="C698">
        <v>1</v>
      </c>
      <c r="D698">
        <f>YEAR(cukier9[[#This Row],[data]])</f>
        <v>2008</v>
      </c>
    </row>
    <row r="699" spans="1:4" x14ac:dyDescent="0.25">
      <c r="A699" s="1">
        <v>39579</v>
      </c>
      <c r="B699" t="s">
        <v>66</v>
      </c>
      <c r="C699">
        <v>102</v>
      </c>
      <c r="D699">
        <f>YEAR(cukier9[[#This Row],[data]])</f>
        <v>2008</v>
      </c>
    </row>
    <row r="700" spans="1:4" x14ac:dyDescent="0.25">
      <c r="A700" s="1">
        <v>39579</v>
      </c>
      <c r="B700" t="s">
        <v>26</v>
      </c>
      <c r="C700">
        <v>181</v>
      </c>
      <c r="D700">
        <f>YEAR(cukier9[[#This Row],[data]])</f>
        <v>2008</v>
      </c>
    </row>
    <row r="701" spans="1:4" x14ac:dyDescent="0.25">
      <c r="A701" s="1">
        <v>39579</v>
      </c>
      <c r="B701" t="s">
        <v>52</v>
      </c>
      <c r="C701">
        <v>82</v>
      </c>
      <c r="D701">
        <f>YEAR(cukier9[[#This Row],[data]])</f>
        <v>2008</v>
      </c>
    </row>
    <row r="702" spans="1:4" x14ac:dyDescent="0.25">
      <c r="A702" s="1">
        <v>39582</v>
      </c>
      <c r="B702" t="s">
        <v>167</v>
      </c>
      <c r="C702">
        <v>19</v>
      </c>
      <c r="D702">
        <f>YEAR(cukier9[[#This Row],[data]])</f>
        <v>2008</v>
      </c>
    </row>
    <row r="703" spans="1:4" x14ac:dyDescent="0.25">
      <c r="A703" s="1">
        <v>39582</v>
      </c>
      <c r="B703" t="s">
        <v>17</v>
      </c>
      <c r="C703">
        <v>245</v>
      </c>
      <c r="D703">
        <f>YEAR(cukier9[[#This Row],[data]])</f>
        <v>2008</v>
      </c>
    </row>
    <row r="704" spans="1:4" x14ac:dyDescent="0.25">
      <c r="A704" s="1">
        <v>39584</v>
      </c>
      <c r="B704" t="s">
        <v>102</v>
      </c>
      <c r="C704">
        <v>431</v>
      </c>
      <c r="D704">
        <f>YEAR(cukier9[[#This Row],[data]])</f>
        <v>2008</v>
      </c>
    </row>
    <row r="705" spans="1:4" x14ac:dyDescent="0.25">
      <c r="A705" s="1">
        <v>39584</v>
      </c>
      <c r="B705" t="s">
        <v>7</v>
      </c>
      <c r="C705">
        <v>252</v>
      </c>
      <c r="D705">
        <f>YEAR(cukier9[[#This Row],[data]])</f>
        <v>2008</v>
      </c>
    </row>
    <row r="706" spans="1:4" x14ac:dyDescent="0.25">
      <c r="A706" s="1">
        <v>39585</v>
      </c>
      <c r="B706" t="s">
        <v>62</v>
      </c>
      <c r="C706">
        <v>2</v>
      </c>
      <c r="D706">
        <f>YEAR(cukier9[[#This Row],[data]])</f>
        <v>2008</v>
      </c>
    </row>
    <row r="707" spans="1:4" x14ac:dyDescent="0.25">
      <c r="A707" s="1">
        <v>39586</v>
      </c>
      <c r="B707" t="s">
        <v>6</v>
      </c>
      <c r="C707">
        <v>52</v>
      </c>
      <c r="D707">
        <f>YEAR(cukier9[[#This Row],[data]])</f>
        <v>2008</v>
      </c>
    </row>
    <row r="708" spans="1:4" x14ac:dyDescent="0.25">
      <c r="A708" s="1">
        <v>39587</v>
      </c>
      <c r="B708" t="s">
        <v>23</v>
      </c>
      <c r="C708">
        <v>54</v>
      </c>
      <c r="D708">
        <f>YEAR(cukier9[[#This Row],[data]])</f>
        <v>2008</v>
      </c>
    </row>
    <row r="709" spans="1:4" x14ac:dyDescent="0.25">
      <c r="A709" s="1">
        <v>39587</v>
      </c>
      <c r="B709" t="s">
        <v>59</v>
      </c>
      <c r="C709">
        <v>4</v>
      </c>
      <c r="D709">
        <f>YEAR(cukier9[[#This Row],[data]])</f>
        <v>2008</v>
      </c>
    </row>
    <row r="710" spans="1:4" x14ac:dyDescent="0.25">
      <c r="A710" s="1">
        <v>39587</v>
      </c>
      <c r="B710" t="s">
        <v>61</v>
      </c>
      <c r="C710">
        <v>88</v>
      </c>
      <c r="D710">
        <f>YEAR(cukier9[[#This Row],[data]])</f>
        <v>2008</v>
      </c>
    </row>
    <row r="711" spans="1:4" x14ac:dyDescent="0.25">
      <c r="A711" s="1">
        <v>39590</v>
      </c>
      <c r="B711" t="s">
        <v>18</v>
      </c>
      <c r="C711">
        <v>152</v>
      </c>
      <c r="D711">
        <f>YEAR(cukier9[[#This Row],[data]])</f>
        <v>2008</v>
      </c>
    </row>
    <row r="712" spans="1:4" x14ac:dyDescent="0.25">
      <c r="A712" s="1">
        <v>39591</v>
      </c>
      <c r="B712" t="s">
        <v>55</v>
      </c>
      <c r="C712">
        <v>121</v>
      </c>
      <c r="D712">
        <f>YEAR(cukier9[[#This Row],[data]])</f>
        <v>2008</v>
      </c>
    </row>
    <row r="713" spans="1:4" x14ac:dyDescent="0.25">
      <c r="A713" s="1">
        <v>39592</v>
      </c>
      <c r="B713" t="s">
        <v>18</v>
      </c>
      <c r="C713">
        <v>77</v>
      </c>
      <c r="D713">
        <f>YEAR(cukier9[[#This Row],[data]])</f>
        <v>2008</v>
      </c>
    </row>
    <row r="714" spans="1:4" x14ac:dyDescent="0.25">
      <c r="A714" s="1">
        <v>39595</v>
      </c>
      <c r="B714" t="s">
        <v>131</v>
      </c>
      <c r="C714">
        <v>21</v>
      </c>
      <c r="D714">
        <f>YEAR(cukier9[[#This Row],[data]])</f>
        <v>2008</v>
      </c>
    </row>
    <row r="715" spans="1:4" x14ac:dyDescent="0.25">
      <c r="A715" s="1">
        <v>39596</v>
      </c>
      <c r="B715" t="s">
        <v>61</v>
      </c>
      <c r="C715">
        <v>48</v>
      </c>
      <c r="D715">
        <f>YEAR(cukier9[[#This Row],[data]])</f>
        <v>2008</v>
      </c>
    </row>
    <row r="716" spans="1:4" x14ac:dyDescent="0.25">
      <c r="A716" s="1">
        <v>39597</v>
      </c>
      <c r="B716" t="s">
        <v>45</v>
      </c>
      <c r="C716">
        <v>420</v>
      </c>
      <c r="D716">
        <f>YEAR(cukier9[[#This Row],[data]])</f>
        <v>2008</v>
      </c>
    </row>
    <row r="717" spans="1:4" x14ac:dyDescent="0.25">
      <c r="A717" s="1">
        <v>39598</v>
      </c>
      <c r="B717" t="s">
        <v>7</v>
      </c>
      <c r="C717">
        <v>443</v>
      </c>
      <c r="D717">
        <f>YEAR(cukier9[[#This Row],[data]])</f>
        <v>2008</v>
      </c>
    </row>
    <row r="718" spans="1:4" x14ac:dyDescent="0.25">
      <c r="A718" s="1">
        <v>39602</v>
      </c>
      <c r="B718" t="s">
        <v>55</v>
      </c>
      <c r="C718">
        <v>46</v>
      </c>
      <c r="D718">
        <f>YEAR(cukier9[[#This Row],[data]])</f>
        <v>2008</v>
      </c>
    </row>
    <row r="719" spans="1:4" x14ac:dyDescent="0.25">
      <c r="A719" s="1">
        <v>39603</v>
      </c>
      <c r="B719" t="s">
        <v>134</v>
      </c>
      <c r="C719">
        <v>3</v>
      </c>
      <c r="D719">
        <f>YEAR(cukier9[[#This Row],[data]])</f>
        <v>2008</v>
      </c>
    </row>
    <row r="720" spans="1:4" x14ac:dyDescent="0.25">
      <c r="A720" s="1">
        <v>39605</v>
      </c>
      <c r="B720" t="s">
        <v>55</v>
      </c>
      <c r="C720">
        <v>98</v>
      </c>
      <c r="D720">
        <f>YEAR(cukier9[[#This Row],[data]])</f>
        <v>2008</v>
      </c>
    </row>
    <row r="721" spans="1:4" x14ac:dyDescent="0.25">
      <c r="A721" s="1">
        <v>39605</v>
      </c>
      <c r="B721" t="s">
        <v>168</v>
      </c>
      <c r="C721">
        <v>18</v>
      </c>
      <c r="D721">
        <f>YEAR(cukier9[[#This Row],[data]])</f>
        <v>2008</v>
      </c>
    </row>
    <row r="722" spans="1:4" x14ac:dyDescent="0.25">
      <c r="A722" s="1">
        <v>39605</v>
      </c>
      <c r="B722" t="s">
        <v>50</v>
      </c>
      <c r="C722">
        <v>237</v>
      </c>
      <c r="D722">
        <f>YEAR(cukier9[[#This Row],[data]])</f>
        <v>2008</v>
      </c>
    </row>
    <row r="723" spans="1:4" x14ac:dyDescent="0.25">
      <c r="A723" s="1">
        <v>39605</v>
      </c>
      <c r="B723" t="s">
        <v>31</v>
      </c>
      <c r="C723">
        <v>64</v>
      </c>
      <c r="D723">
        <f>YEAR(cukier9[[#This Row],[data]])</f>
        <v>2008</v>
      </c>
    </row>
    <row r="724" spans="1:4" x14ac:dyDescent="0.25">
      <c r="A724" s="1">
        <v>39609</v>
      </c>
      <c r="B724" t="s">
        <v>37</v>
      </c>
      <c r="C724">
        <v>32</v>
      </c>
      <c r="D724">
        <f>YEAR(cukier9[[#This Row],[data]])</f>
        <v>2008</v>
      </c>
    </row>
    <row r="725" spans="1:4" x14ac:dyDescent="0.25">
      <c r="A725" s="1">
        <v>39614</v>
      </c>
      <c r="B725" t="s">
        <v>10</v>
      </c>
      <c r="C725">
        <v>30</v>
      </c>
      <c r="D725">
        <f>YEAR(cukier9[[#This Row],[data]])</f>
        <v>2008</v>
      </c>
    </row>
    <row r="726" spans="1:4" x14ac:dyDescent="0.25">
      <c r="A726" s="1">
        <v>39614</v>
      </c>
      <c r="B726" t="s">
        <v>137</v>
      </c>
      <c r="C726">
        <v>12</v>
      </c>
      <c r="D726">
        <f>YEAR(cukier9[[#This Row],[data]])</f>
        <v>2008</v>
      </c>
    </row>
    <row r="727" spans="1:4" x14ac:dyDescent="0.25">
      <c r="A727" s="1">
        <v>39615</v>
      </c>
      <c r="B727" t="s">
        <v>71</v>
      </c>
      <c r="C727">
        <v>138</v>
      </c>
      <c r="D727">
        <f>YEAR(cukier9[[#This Row],[data]])</f>
        <v>2008</v>
      </c>
    </row>
    <row r="728" spans="1:4" x14ac:dyDescent="0.25">
      <c r="A728" s="1">
        <v>39619</v>
      </c>
      <c r="B728" t="s">
        <v>22</v>
      </c>
      <c r="C728">
        <v>411</v>
      </c>
      <c r="D728">
        <f>YEAR(cukier9[[#This Row],[data]])</f>
        <v>2008</v>
      </c>
    </row>
    <row r="729" spans="1:4" x14ac:dyDescent="0.25">
      <c r="A729" s="1">
        <v>39622</v>
      </c>
      <c r="B729" t="s">
        <v>23</v>
      </c>
      <c r="C729">
        <v>152</v>
      </c>
      <c r="D729">
        <f>YEAR(cukier9[[#This Row],[data]])</f>
        <v>2008</v>
      </c>
    </row>
    <row r="730" spans="1:4" x14ac:dyDescent="0.25">
      <c r="A730" s="1">
        <v>39623</v>
      </c>
      <c r="B730" t="s">
        <v>169</v>
      </c>
      <c r="C730">
        <v>10</v>
      </c>
      <c r="D730">
        <f>YEAR(cukier9[[#This Row],[data]])</f>
        <v>2008</v>
      </c>
    </row>
    <row r="731" spans="1:4" x14ac:dyDescent="0.25">
      <c r="A731" s="1">
        <v>39624</v>
      </c>
      <c r="B731" t="s">
        <v>18</v>
      </c>
      <c r="C731">
        <v>75</v>
      </c>
      <c r="D731">
        <f>YEAR(cukier9[[#This Row],[data]])</f>
        <v>2008</v>
      </c>
    </row>
    <row r="732" spans="1:4" x14ac:dyDescent="0.25">
      <c r="A732" s="1">
        <v>39624</v>
      </c>
      <c r="B732" t="s">
        <v>170</v>
      </c>
      <c r="C732">
        <v>4</v>
      </c>
      <c r="D732">
        <f>YEAR(cukier9[[#This Row],[data]])</f>
        <v>2008</v>
      </c>
    </row>
    <row r="733" spans="1:4" x14ac:dyDescent="0.25">
      <c r="A733" s="1">
        <v>39626</v>
      </c>
      <c r="B733" t="s">
        <v>171</v>
      </c>
      <c r="C733">
        <v>2</v>
      </c>
      <c r="D733">
        <f>YEAR(cukier9[[#This Row],[data]])</f>
        <v>2008</v>
      </c>
    </row>
    <row r="734" spans="1:4" x14ac:dyDescent="0.25">
      <c r="A734" s="1">
        <v>39627</v>
      </c>
      <c r="B734" t="s">
        <v>61</v>
      </c>
      <c r="C734">
        <v>110</v>
      </c>
      <c r="D734">
        <f>YEAR(cukier9[[#This Row],[data]])</f>
        <v>2008</v>
      </c>
    </row>
    <row r="735" spans="1:4" x14ac:dyDescent="0.25">
      <c r="A735" s="1">
        <v>39628</v>
      </c>
      <c r="B735" t="s">
        <v>35</v>
      </c>
      <c r="C735">
        <v>161</v>
      </c>
      <c r="D735">
        <f>YEAR(cukier9[[#This Row],[data]])</f>
        <v>2008</v>
      </c>
    </row>
    <row r="736" spans="1:4" x14ac:dyDescent="0.25">
      <c r="A736" s="1">
        <v>39629</v>
      </c>
      <c r="B736" t="s">
        <v>30</v>
      </c>
      <c r="C736">
        <v>68</v>
      </c>
      <c r="D736">
        <f>YEAR(cukier9[[#This Row],[data]])</f>
        <v>2008</v>
      </c>
    </row>
    <row r="737" spans="1:4" x14ac:dyDescent="0.25">
      <c r="A737" s="1">
        <v>39631</v>
      </c>
      <c r="B737" t="s">
        <v>55</v>
      </c>
      <c r="C737">
        <v>30</v>
      </c>
      <c r="D737">
        <f>YEAR(cukier9[[#This Row],[data]])</f>
        <v>2008</v>
      </c>
    </row>
    <row r="738" spans="1:4" x14ac:dyDescent="0.25">
      <c r="A738" s="1">
        <v>39632</v>
      </c>
      <c r="B738" t="s">
        <v>64</v>
      </c>
      <c r="C738">
        <v>3</v>
      </c>
      <c r="D738">
        <f>YEAR(cukier9[[#This Row],[data]])</f>
        <v>2008</v>
      </c>
    </row>
    <row r="739" spans="1:4" x14ac:dyDescent="0.25">
      <c r="A739" s="1">
        <v>39637</v>
      </c>
      <c r="B739" t="s">
        <v>50</v>
      </c>
      <c r="C739">
        <v>117</v>
      </c>
      <c r="D739">
        <f>YEAR(cukier9[[#This Row],[data]])</f>
        <v>2008</v>
      </c>
    </row>
    <row r="740" spans="1:4" x14ac:dyDescent="0.25">
      <c r="A740" s="1">
        <v>39639</v>
      </c>
      <c r="B740" t="s">
        <v>8</v>
      </c>
      <c r="C740">
        <v>105</v>
      </c>
      <c r="D740">
        <f>YEAR(cukier9[[#This Row],[data]])</f>
        <v>2008</v>
      </c>
    </row>
    <row r="741" spans="1:4" x14ac:dyDescent="0.25">
      <c r="A741" s="1">
        <v>39639</v>
      </c>
      <c r="B741" t="s">
        <v>46</v>
      </c>
      <c r="C741">
        <v>6</v>
      </c>
      <c r="D741">
        <f>YEAR(cukier9[[#This Row],[data]])</f>
        <v>2008</v>
      </c>
    </row>
    <row r="742" spans="1:4" x14ac:dyDescent="0.25">
      <c r="A742" s="1">
        <v>39640</v>
      </c>
      <c r="B742" t="s">
        <v>17</v>
      </c>
      <c r="C742">
        <v>378</v>
      </c>
      <c r="D742">
        <f>YEAR(cukier9[[#This Row],[data]])</f>
        <v>2008</v>
      </c>
    </row>
    <row r="743" spans="1:4" x14ac:dyDescent="0.25">
      <c r="A743" s="1">
        <v>39643</v>
      </c>
      <c r="B743" t="s">
        <v>69</v>
      </c>
      <c r="C743">
        <v>76</v>
      </c>
      <c r="D743">
        <f>YEAR(cukier9[[#This Row],[data]])</f>
        <v>2008</v>
      </c>
    </row>
    <row r="744" spans="1:4" x14ac:dyDescent="0.25">
      <c r="A744" s="1">
        <v>39644</v>
      </c>
      <c r="B744" t="s">
        <v>22</v>
      </c>
      <c r="C744">
        <v>386</v>
      </c>
      <c r="D744">
        <f>YEAR(cukier9[[#This Row],[data]])</f>
        <v>2008</v>
      </c>
    </row>
    <row r="745" spans="1:4" x14ac:dyDescent="0.25">
      <c r="A745" s="1">
        <v>39645</v>
      </c>
      <c r="B745" t="s">
        <v>50</v>
      </c>
      <c r="C745">
        <v>132</v>
      </c>
      <c r="D745">
        <f>YEAR(cukier9[[#This Row],[data]])</f>
        <v>2008</v>
      </c>
    </row>
    <row r="746" spans="1:4" x14ac:dyDescent="0.25">
      <c r="A746" s="1">
        <v>39645</v>
      </c>
      <c r="B746" t="s">
        <v>22</v>
      </c>
      <c r="C746">
        <v>104</v>
      </c>
      <c r="D746">
        <f>YEAR(cukier9[[#This Row],[data]])</f>
        <v>2008</v>
      </c>
    </row>
    <row r="747" spans="1:4" x14ac:dyDescent="0.25">
      <c r="A747" s="1">
        <v>39646</v>
      </c>
      <c r="B747" t="s">
        <v>45</v>
      </c>
      <c r="C747">
        <v>380</v>
      </c>
      <c r="D747">
        <f>YEAR(cukier9[[#This Row],[data]])</f>
        <v>2008</v>
      </c>
    </row>
    <row r="748" spans="1:4" x14ac:dyDescent="0.25">
      <c r="A748" s="1">
        <v>39647</v>
      </c>
      <c r="B748" t="s">
        <v>78</v>
      </c>
      <c r="C748">
        <v>76</v>
      </c>
      <c r="D748">
        <f>YEAR(cukier9[[#This Row],[data]])</f>
        <v>2008</v>
      </c>
    </row>
    <row r="749" spans="1:4" x14ac:dyDescent="0.25">
      <c r="A749" s="1">
        <v>39647</v>
      </c>
      <c r="B749" t="s">
        <v>25</v>
      </c>
      <c r="C749">
        <v>194</v>
      </c>
      <c r="D749">
        <f>YEAR(cukier9[[#This Row],[data]])</f>
        <v>2008</v>
      </c>
    </row>
    <row r="750" spans="1:4" x14ac:dyDescent="0.25">
      <c r="A750" s="1">
        <v>39653</v>
      </c>
      <c r="B750" t="s">
        <v>61</v>
      </c>
      <c r="C750">
        <v>147</v>
      </c>
      <c r="D750">
        <f>YEAR(cukier9[[#This Row],[data]])</f>
        <v>2008</v>
      </c>
    </row>
    <row r="751" spans="1:4" x14ac:dyDescent="0.25">
      <c r="A751" s="1">
        <v>39656</v>
      </c>
      <c r="B751" t="s">
        <v>22</v>
      </c>
      <c r="C751">
        <v>319</v>
      </c>
      <c r="D751">
        <f>YEAR(cukier9[[#This Row],[data]])</f>
        <v>2008</v>
      </c>
    </row>
    <row r="752" spans="1:4" x14ac:dyDescent="0.25">
      <c r="A752" s="1">
        <v>39657</v>
      </c>
      <c r="B752" t="s">
        <v>39</v>
      </c>
      <c r="C752">
        <v>38</v>
      </c>
      <c r="D752">
        <f>YEAR(cukier9[[#This Row],[data]])</f>
        <v>2008</v>
      </c>
    </row>
    <row r="753" spans="1:4" x14ac:dyDescent="0.25">
      <c r="A753" s="1">
        <v>39662</v>
      </c>
      <c r="B753" t="s">
        <v>28</v>
      </c>
      <c r="C753">
        <v>31</v>
      </c>
      <c r="D753">
        <f>YEAR(cukier9[[#This Row],[data]])</f>
        <v>2008</v>
      </c>
    </row>
    <row r="754" spans="1:4" x14ac:dyDescent="0.25">
      <c r="A754" s="1">
        <v>39664</v>
      </c>
      <c r="B754" t="s">
        <v>6</v>
      </c>
      <c r="C754">
        <v>28</v>
      </c>
      <c r="D754">
        <f>YEAR(cukier9[[#This Row],[data]])</f>
        <v>2008</v>
      </c>
    </row>
    <row r="755" spans="1:4" x14ac:dyDescent="0.25">
      <c r="A755" s="1">
        <v>39664</v>
      </c>
      <c r="B755" t="s">
        <v>105</v>
      </c>
      <c r="C755">
        <v>15</v>
      </c>
      <c r="D755">
        <f>YEAR(cukier9[[#This Row],[data]])</f>
        <v>2008</v>
      </c>
    </row>
    <row r="756" spans="1:4" x14ac:dyDescent="0.25">
      <c r="A756" s="1">
        <v>39667</v>
      </c>
      <c r="B756" t="s">
        <v>62</v>
      </c>
      <c r="C756">
        <v>2</v>
      </c>
      <c r="D756">
        <f>YEAR(cukier9[[#This Row],[data]])</f>
        <v>2008</v>
      </c>
    </row>
    <row r="757" spans="1:4" x14ac:dyDescent="0.25">
      <c r="A757" s="1">
        <v>39667</v>
      </c>
      <c r="B757" t="s">
        <v>101</v>
      </c>
      <c r="C757">
        <v>16</v>
      </c>
      <c r="D757">
        <f>YEAR(cukier9[[#This Row],[data]])</f>
        <v>2008</v>
      </c>
    </row>
    <row r="758" spans="1:4" x14ac:dyDescent="0.25">
      <c r="A758" s="1">
        <v>39669</v>
      </c>
      <c r="B758" t="s">
        <v>78</v>
      </c>
      <c r="C758">
        <v>83</v>
      </c>
      <c r="D758">
        <f>YEAR(cukier9[[#This Row],[data]])</f>
        <v>2008</v>
      </c>
    </row>
    <row r="759" spans="1:4" x14ac:dyDescent="0.25">
      <c r="A759" s="1">
        <v>39670</v>
      </c>
      <c r="B759" t="s">
        <v>172</v>
      </c>
      <c r="C759">
        <v>16</v>
      </c>
      <c r="D759">
        <f>YEAR(cukier9[[#This Row],[data]])</f>
        <v>2008</v>
      </c>
    </row>
    <row r="760" spans="1:4" x14ac:dyDescent="0.25">
      <c r="A760" s="1">
        <v>39671</v>
      </c>
      <c r="B760" t="s">
        <v>9</v>
      </c>
      <c r="C760">
        <v>397</v>
      </c>
      <c r="D760">
        <f>YEAR(cukier9[[#This Row],[data]])</f>
        <v>2008</v>
      </c>
    </row>
    <row r="761" spans="1:4" x14ac:dyDescent="0.25">
      <c r="A761" s="1">
        <v>39671</v>
      </c>
      <c r="B761" t="s">
        <v>78</v>
      </c>
      <c r="C761">
        <v>184</v>
      </c>
      <c r="D761">
        <f>YEAR(cukier9[[#This Row],[data]])</f>
        <v>2008</v>
      </c>
    </row>
    <row r="762" spans="1:4" x14ac:dyDescent="0.25">
      <c r="A762" s="1">
        <v>39673</v>
      </c>
      <c r="B762" t="s">
        <v>78</v>
      </c>
      <c r="C762">
        <v>55</v>
      </c>
      <c r="D762">
        <f>YEAR(cukier9[[#This Row],[data]])</f>
        <v>2008</v>
      </c>
    </row>
    <row r="763" spans="1:4" x14ac:dyDescent="0.25">
      <c r="A763" s="1">
        <v>39674</v>
      </c>
      <c r="B763" t="s">
        <v>69</v>
      </c>
      <c r="C763">
        <v>107</v>
      </c>
      <c r="D763">
        <f>YEAR(cukier9[[#This Row],[data]])</f>
        <v>2008</v>
      </c>
    </row>
    <row r="764" spans="1:4" x14ac:dyDescent="0.25">
      <c r="A764" s="1">
        <v>39676</v>
      </c>
      <c r="B764" t="s">
        <v>69</v>
      </c>
      <c r="C764">
        <v>127</v>
      </c>
      <c r="D764">
        <f>YEAR(cukier9[[#This Row],[data]])</f>
        <v>2008</v>
      </c>
    </row>
    <row r="765" spans="1:4" x14ac:dyDescent="0.25">
      <c r="A765" s="1">
        <v>39679</v>
      </c>
      <c r="B765" t="s">
        <v>173</v>
      </c>
      <c r="C765">
        <v>122</v>
      </c>
      <c r="D765">
        <f>YEAR(cukier9[[#This Row],[data]])</f>
        <v>2008</v>
      </c>
    </row>
    <row r="766" spans="1:4" x14ac:dyDescent="0.25">
      <c r="A766" s="1">
        <v>39679</v>
      </c>
      <c r="B766" t="s">
        <v>18</v>
      </c>
      <c r="C766">
        <v>107</v>
      </c>
      <c r="D766">
        <f>YEAR(cukier9[[#This Row],[data]])</f>
        <v>2008</v>
      </c>
    </row>
    <row r="767" spans="1:4" x14ac:dyDescent="0.25">
      <c r="A767" s="1">
        <v>39681</v>
      </c>
      <c r="B767" t="s">
        <v>22</v>
      </c>
      <c r="C767">
        <v>113</v>
      </c>
      <c r="D767">
        <f>YEAR(cukier9[[#This Row],[data]])</f>
        <v>2008</v>
      </c>
    </row>
    <row r="768" spans="1:4" x14ac:dyDescent="0.25">
      <c r="A768" s="1">
        <v>39681</v>
      </c>
      <c r="B768" t="s">
        <v>7</v>
      </c>
      <c r="C768">
        <v>297</v>
      </c>
      <c r="D768">
        <f>YEAR(cukier9[[#This Row],[data]])</f>
        <v>2008</v>
      </c>
    </row>
    <row r="769" spans="1:4" x14ac:dyDescent="0.25">
      <c r="A769" s="1">
        <v>39682</v>
      </c>
      <c r="B769" t="s">
        <v>44</v>
      </c>
      <c r="C769">
        <v>14</v>
      </c>
      <c r="D769">
        <f>YEAR(cukier9[[#This Row],[data]])</f>
        <v>2008</v>
      </c>
    </row>
    <row r="770" spans="1:4" x14ac:dyDescent="0.25">
      <c r="A770" s="1">
        <v>39684</v>
      </c>
      <c r="B770" t="s">
        <v>52</v>
      </c>
      <c r="C770">
        <v>188</v>
      </c>
      <c r="D770">
        <f>YEAR(cukier9[[#This Row],[data]])</f>
        <v>2008</v>
      </c>
    </row>
    <row r="771" spans="1:4" x14ac:dyDescent="0.25">
      <c r="A771" s="1">
        <v>39686</v>
      </c>
      <c r="B771" t="s">
        <v>151</v>
      </c>
      <c r="C771">
        <v>11</v>
      </c>
      <c r="D771">
        <f>YEAR(cukier9[[#This Row],[data]])</f>
        <v>2008</v>
      </c>
    </row>
    <row r="772" spans="1:4" x14ac:dyDescent="0.25">
      <c r="A772" s="1">
        <v>39689</v>
      </c>
      <c r="B772" t="s">
        <v>28</v>
      </c>
      <c r="C772">
        <v>105</v>
      </c>
      <c r="D772">
        <f>YEAR(cukier9[[#This Row],[data]])</f>
        <v>2008</v>
      </c>
    </row>
    <row r="773" spans="1:4" x14ac:dyDescent="0.25">
      <c r="A773" s="1">
        <v>39690</v>
      </c>
      <c r="B773" t="s">
        <v>160</v>
      </c>
      <c r="C773">
        <v>18</v>
      </c>
      <c r="D773">
        <f>YEAR(cukier9[[#This Row],[data]])</f>
        <v>2008</v>
      </c>
    </row>
    <row r="774" spans="1:4" x14ac:dyDescent="0.25">
      <c r="A774" s="1">
        <v>39690</v>
      </c>
      <c r="B774" t="s">
        <v>7</v>
      </c>
      <c r="C774">
        <v>418</v>
      </c>
      <c r="D774">
        <f>YEAR(cukier9[[#This Row],[data]])</f>
        <v>2008</v>
      </c>
    </row>
    <row r="775" spans="1:4" x14ac:dyDescent="0.25">
      <c r="A775" s="1">
        <v>39691</v>
      </c>
      <c r="B775" t="s">
        <v>174</v>
      </c>
      <c r="C775">
        <v>4</v>
      </c>
      <c r="D775">
        <f>YEAR(cukier9[[#This Row],[data]])</f>
        <v>2008</v>
      </c>
    </row>
    <row r="776" spans="1:4" x14ac:dyDescent="0.25">
      <c r="A776" s="1">
        <v>39691</v>
      </c>
      <c r="B776" t="s">
        <v>124</v>
      </c>
      <c r="C776">
        <v>5</v>
      </c>
      <c r="D776">
        <f>YEAR(cukier9[[#This Row],[data]])</f>
        <v>2008</v>
      </c>
    </row>
    <row r="777" spans="1:4" x14ac:dyDescent="0.25">
      <c r="A777" s="1">
        <v>39692</v>
      </c>
      <c r="B777" t="s">
        <v>102</v>
      </c>
      <c r="C777">
        <v>346</v>
      </c>
      <c r="D777">
        <f>YEAR(cukier9[[#This Row],[data]])</f>
        <v>2008</v>
      </c>
    </row>
    <row r="778" spans="1:4" x14ac:dyDescent="0.25">
      <c r="A778" s="1">
        <v>39694</v>
      </c>
      <c r="B778" t="s">
        <v>9</v>
      </c>
      <c r="C778">
        <v>417</v>
      </c>
      <c r="D778">
        <f>YEAR(cukier9[[#This Row],[data]])</f>
        <v>2008</v>
      </c>
    </row>
    <row r="779" spans="1:4" x14ac:dyDescent="0.25">
      <c r="A779" s="1">
        <v>39696</v>
      </c>
      <c r="B779" t="s">
        <v>123</v>
      </c>
      <c r="C779">
        <v>35</v>
      </c>
      <c r="D779">
        <f>YEAR(cukier9[[#This Row],[data]])</f>
        <v>2008</v>
      </c>
    </row>
    <row r="780" spans="1:4" x14ac:dyDescent="0.25">
      <c r="A780" s="1">
        <v>39696</v>
      </c>
      <c r="B780" t="s">
        <v>3</v>
      </c>
      <c r="C780">
        <v>6</v>
      </c>
      <c r="D780">
        <f>YEAR(cukier9[[#This Row],[data]])</f>
        <v>2008</v>
      </c>
    </row>
    <row r="781" spans="1:4" x14ac:dyDescent="0.25">
      <c r="A781" s="1">
        <v>39697</v>
      </c>
      <c r="B781" t="s">
        <v>50</v>
      </c>
      <c r="C781">
        <v>322</v>
      </c>
      <c r="D781">
        <f>YEAR(cukier9[[#This Row],[data]])</f>
        <v>2008</v>
      </c>
    </row>
    <row r="782" spans="1:4" x14ac:dyDescent="0.25">
      <c r="A782" s="1">
        <v>39697</v>
      </c>
      <c r="B782" t="s">
        <v>37</v>
      </c>
      <c r="C782">
        <v>150</v>
      </c>
      <c r="D782">
        <f>YEAR(cukier9[[#This Row],[data]])</f>
        <v>2008</v>
      </c>
    </row>
    <row r="783" spans="1:4" x14ac:dyDescent="0.25">
      <c r="A783" s="1">
        <v>39698</v>
      </c>
      <c r="B783" t="s">
        <v>14</v>
      </c>
      <c r="C783">
        <v>492</v>
      </c>
      <c r="D783">
        <f>YEAR(cukier9[[#This Row],[data]])</f>
        <v>2008</v>
      </c>
    </row>
    <row r="784" spans="1:4" x14ac:dyDescent="0.25">
      <c r="A784" s="1">
        <v>39702</v>
      </c>
      <c r="B784" t="s">
        <v>18</v>
      </c>
      <c r="C784">
        <v>93</v>
      </c>
      <c r="D784">
        <f>YEAR(cukier9[[#This Row],[data]])</f>
        <v>2008</v>
      </c>
    </row>
    <row r="785" spans="1:4" x14ac:dyDescent="0.25">
      <c r="A785" s="1">
        <v>39705</v>
      </c>
      <c r="B785" t="s">
        <v>61</v>
      </c>
      <c r="C785">
        <v>64</v>
      </c>
      <c r="D785">
        <f>YEAR(cukier9[[#This Row],[data]])</f>
        <v>2008</v>
      </c>
    </row>
    <row r="786" spans="1:4" x14ac:dyDescent="0.25">
      <c r="A786" s="1">
        <v>39705</v>
      </c>
      <c r="B786" t="s">
        <v>89</v>
      </c>
      <c r="C786">
        <v>7</v>
      </c>
      <c r="D786">
        <f>YEAR(cukier9[[#This Row],[data]])</f>
        <v>2008</v>
      </c>
    </row>
    <row r="787" spans="1:4" x14ac:dyDescent="0.25">
      <c r="A787" s="1">
        <v>39705</v>
      </c>
      <c r="B787" t="s">
        <v>18</v>
      </c>
      <c r="C787">
        <v>90</v>
      </c>
      <c r="D787">
        <f>YEAR(cukier9[[#This Row],[data]])</f>
        <v>2008</v>
      </c>
    </row>
    <row r="788" spans="1:4" x14ac:dyDescent="0.25">
      <c r="A788" s="1">
        <v>39712</v>
      </c>
      <c r="B788" t="s">
        <v>50</v>
      </c>
      <c r="C788">
        <v>136</v>
      </c>
      <c r="D788">
        <f>YEAR(cukier9[[#This Row],[data]])</f>
        <v>2008</v>
      </c>
    </row>
    <row r="789" spans="1:4" x14ac:dyDescent="0.25">
      <c r="A789" s="1">
        <v>39713</v>
      </c>
      <c r="B789" t="s">
        <v>19</v>
      </c>
      <c r="C789">
        <v>104</v>
      </c>
      <c r="D789">
        <f>YEAR(cukier9[[#This Row],[data]])</f>
        <v>2008</v>
      </c>
    </row>
    <row r="790" spans="1:4" x14ac:dyDescent="0.25">
      <c r="A790" s="1">
        <v>39713</v>
      </c>
      <c r="B790" t="s">
        <v>150</v>
      </c>
      <c r="C790">
        <v>1</v>
      </c>
      <c r="D790">
        <f>YEAR(cukier9[[#This Row],[data]])</f>
        <v>2008</v>
      </c>
    </row>
    <row r="791" spans="1:4" x14ac:dyDescent="0.25">
      <c r="A791" s="1">
        <v>39714</v>
      </c>
      <c r="B791" t="s">
        <v>31</v>
      </c>
      <c r="C791">
        <v>52</v>
      </c>
      <c r="D791">
        <f>YEAR(cukier9[[#This Row],[data]])</f>
        <v>2008</v>
      </c>
    </row>
    <row r="792" spans="1:4" x14ac:dyDescent="0.25">
      <c r="A792" s="1">
        <v>39714</v>
      </c>
      <c r="B792" t="s">
        <v>45</v>
      </c>
      <c r="C792">
        <v>203</v>
      </c>
      <c r="D792">
        <f>YEAR(cukier9[[#This Row],[data]])</f>
        <v>2008</v>
      </c>
    </row>
    <row r="793" spans="1:4" x14ac:dyDescent="0.25">
      <c r="A793" s="1">
        <v>39716</v>
      </c>
      <c r="B793" t="s">
        <v>30</v>
      </c>
      <c r="C793">
        <v>183</v>
      </c>
      <c r="D793">
        <f>YEAR(cukier9[[#This Row],[data]])</f>
        <v>2008</v>
      </c>
    </row>
    <row r="794" spans="1:4" x14ac:dyDescent="0.25">
      <c r="A794" s="1">
        <v>39717</v>
      </c>
      <c r="B794" t="s">
        <v>61</v>
      </c>
      <c r="C794">
        <v>182</v>
      </c>
      <c r="D794">
        <f>YEAR(cukier9[[#This Row],[data]])</f>
        <v>2008</v>
      </c>
    </row>
    <row r="795" spans="1:4" x14ac:dyDescent="0.25">
      <c r="A795" s="1">
        <v>39719</v>
      </c>
      <c r="B795" t="s">
        <v>45</v>
      </c>
      <c r="C795">
        <v>383</v>
      </c>
      <c r="D795">
        <f>YEAR(cukier9[[#This Row],[data]])</f>
        <v>2008</v>
      </c>
    </row>
    <row r="796" spans="1:4" x14ac:dyDescent="0.25">
      <c r="A796" s="1">
        <v>39722</v>
      </c>
      <c r="B796" t="s">
        <v>22</v>
      </c>
      <c r="C796">
        <v>113</v>
      </c>
      <c r="D796">
        <f>YEAR(cukier9[[#This Row],[data]])</f>
        <v>2008</v>
      </c>
    </row>
    <row r="797" spans="1:4" x14ac:dyDescent="0.25">
      <c r="A797" s="1">
        <v>39722</v>
      </c>
      <c r="B797" t="s">
        <v>63</v>
      </c>
      <c r="C797">
        <v>154</v>
      </c>
      <c r="D797">
        <f>YEAR(cukier9[[#This Row],[data]])</f>
        <v>2008</v>
      </c>
    </row>
    <row r="798" spans="1:4" x14ac:dyDescent="0.25">
      <c r="A798" s="1">
        <v>39722</v>
      </c>
      <c r="B798" t="s">
        <v>36</v>
      </c>
      <c r="C798">
        <v>8</v>
      </c>
      <c r="D798">
        <f>YEAR(cukier9[[#This Row],[data]])</f>
        <v>2008</v>
      </c>
    </row>
    <row r="799" spans="1:4" x14ac:dyDescent="0.25">
      <c r="A799" s="1">
        <v>39725</v>
      </c>
      <c r="B799" t="s">
        <v>116</v>
      </c>
      <c r="C799">
        <v>5</v>
      </c>
      <c r="D799">
        <f>YEAR(cukier9[[#This Row],[data]])</f>
        <v>2008</v>
      </c>
    </row>
    <row r="800" spans="1:4" x14ac:dyDescent="0.25">
      <c r="A800" s="1">
        <v>39725</v>
      </c>
      <c r="B800" t="s">
        <v>42</v>
      </c>
      <c r="C800">
        <v>14</v>
      </c>
      <c r="D800">
        <f>YEAR(cukier9[[#This Row],[data]])</f>
        <v>2008</v>
      </c>
    </row>
    <row r="801" spans="1:4" x14ac:dyDescent="0.25">
      <c r="A801" s="1">
        <v>39727</v>
      </c>
      <c r="B801" t="s">
        <v>71</v>
      </c>
      <c r="C801">
        <v>27</v>
      </c>
      <c r="D801">
        <f>YEAR(cukier9[[#This Row],[data]])</f>
        <v>2008</v>
      </c>
    </row>
    <row r="802" spans="1:4" x14ac:dyDescent="0.25">
      <c r="A802" s="1">
        <v>39727</v>
      </c>
      <c r="B802" t="s">
        <v>8</v>
      </c>
      <c r="C802">
        <v>141</v>
      </c>
      <c r="D802">
        <f>YEAR(cukier9[[#This Row],[data]])</f>
        <v>2008</v>
      </c>
    </row>
    <row r="803" spans="1:4" x14ac:dyDescent="0.25">
      <c r="A803" s="1">
        <v>39729</v>
      </c>
      <c r="B803" t="s">
        <v>175</v>
      </c>
      <c r="C803">
        <v>14</v>
      </c>
      <c r="D803">
        <f>YEAR(cukier9[[#This Row],[data]])</f>
        <v>2008</v>
      </c>
    </row>
    <row r="804" spans="1:4" x14ac:dyDescent="0.25">
      <c r="A804" s="1">
        <v>39729</v>
      </c>
      <c r="B804" t="s">
        <v>31</v>
      </c>
      <c r="C804">
        <v>136</v>
      </c>
      <c r="D804">
        <f>YEAR(cukier9[[#This Row],[data]])</f>
        <v>2008</v>
      </c>
    </row>
    <row r="805" spans="1:4" x14ac:dyDescent="0.25">
      <c r="A805" s="1">
        <v>39729</v>
      </c>
      <c r="B805" t="s">
        <v>5</v>
      </c>
      <c r="C805">
        <v>378</v>
      </c>
      <c r="D805">
        <f>YEAR(cukier9[[#This Row],[data]])</f>
        <v>2008</v>
      </c>
    </row>
    <row r="806" spans="1:4" x14ac:dyDescent="0.25">
      <c r="A806" s="1">
        <v>39729</v>
      </c>
      <c r="B806" t="s">
        <v>159</v>
      </c>
      <c r="C806">
        <v>12</v>
      </c>
      <c r="D806">
        <f>YEAR(cukier9[[#This Row],[data]])</f>
        <v>2008</v>
      </c>
    </row>
    <row r="807" spans="1:4" x14ac:dyDescent="0.25">
      <c r="A807" s="1">
        <v>39732</v>
      </c>
      <c r="B807" t="s">
        <v>45</v>
      </c>
      <c r="C807">
        <v>284</v>
      </c>
      <c r="D807">
        <f>YEAR(cukier9[[#This Row],[data]])</f>
        <v>2008</v>
      </c>
    </row>
    <row r="808" spans="1:4" x14ac:dyDescent="0.25">
      <c r="A808" s="1">
        <v>39733</v>
      </c>
      <c r="B808" t="s">
        <v>19</v>
      </c>
      <c r="C808">
        <v>54</v>
      </c>
      <c r="D808">
        <f>YEAR(cukier9[[#This Row],[data]])</f>
        <v>2008</v>
      </c>
    </row>
    <row r="809" spans="1:4" x14ac:dyDescent="0.25">
      <c r="A809" s="1">
        <v>39733</v>
      </c>
      <c r="B809" t="s">
        <v>31</v>
      </c>
      <c r="C809">
        <v>51</v>
      </c>
      <c r="D809">
        <f>YEAR(cukier9[[#This Row],[data]])</f>
        <v>2008</v>
      </c>
    </row>
    <row r="810" spans="1:4" x14ac:dyDescent="0.25">
      <c r="A810" s="1">
        <v>39733</v>
      </c>
      <c r="B810" t="s">
        <v>55</v>
      </c>
      <c r="C810">
        <v>159</v>
      </c>
      <c r="D810">
        <f>YEAR(cukier9[[#This Row],[data]])</f>
        <v>2008</v>
      </c>
    </row>
    <row r="811" spans="1:4" x14ac:dyDescent="0.25">
      <c r="A811" s="1">
        <v>39738</v>
      </c>
      <c r="B811" t="s">
        <v>9</v>
      </c>
      <c r="C811">
        <v>351</v>
      </c>
      <c r="D811">
        <f>YEAR(cukier9[[#This Row],[data]])</f>
        <v>2008</v>
      </c>
    </row>
    <row r="812" spans="1:4" x14ac:dyDescent="0.25">
      <c r="A812" s="1">
        <v>39738</v>
      </c>
      <c r="B812" t="s">
        <v>22</v>
      </c>
      <c r="C812">
        <v>390</v>
      </c>
      <c r="D812">
        <f>YEAR(cukier9[[#This Row],[data]])</f>
        <v>2008</v>
      </c>
    </row>
    <row r="813" spans="1:4" x14ac:dyDescent="0.25">
      <c r="A813" s="1">
        <v>39738</v>
      </c>
      <c r="B813" t="s">
        <v>33</v>
      </c>
      <c r="C813">
        <v>4</v>
      </c>
      <c r="D813">
        <f>YEAR(cukier9[[#This Row],[data]])</f>
        <v>2008</v>
      </c>
    </row>
    <row r="814" spans="1:4" x14ac:dyDescent="0.25">
      <c r="A814" s="1">
        <v>39739</v>
      </c>
      <c r="B814" t="s">
        <v>35</v>
      </c>
      <c r="C814">
        <v>140</v>
      </c>
      <c r="D814">
        <f>YEAR(cukier9[[#This Row],[data]])</f>
        <v>2008</v>
      </c>
    </row>
    <row r="815" spans="1:4" x14ac:dyDescent="0.25">
      <c r="A815" s="1">
        <v>39740</v>
      </c>
      <c r="B815" t="s">
        <v>50</v>
      </c>
      <c r="C815">
        <v>125</v>
      </c>
      <c r="D815">
        <f>YEAR(cukier9[[#This Row],[data]])</f>
        <v>2008</v>
      </c>
    </row>
    <row r="816" spans="1:4" x14ac:dyDescent="0.25">
      <c r="A816" s="1">
        <v>39740</v>
      </c>
      <c r="B816" t="s">
        <v>66</v>
      </c>
      <c r="C816">
        <v>97</v>
      </c>
      <c r="D816">
        <f>YEAR(cukier9[[#This Row],[data]])</f>
        <v>2008</v>
      </c>
    </row>
    <row r="817" spans="1:4" x14ac:dyDescent="0.25">
      <c r="A817" s="1">
        <v>39743</v>
      </c>
      <c r="B817" t="s">
        <v>66</v>
      </c>
      <c r="C817">
        <v>190</v>
      </c>
      <c r="D817">
        <f>YEAR(cukier9[[#This Row],[data]])</f>
        <v>2008</v>
      </c>
    </row>
    <row r="818" spans="1:4" x14ac:dyDescent="0.25">
      <c r="A818" s="1">
        <v>39745</v>
      </c>
      <c r="B818" t="s">
        <v>14</v>
      </c>
      <c r="C818">
        <v>415</v>
      </c>
      <c r="D818">
        <f>YEAR(cukier9[[#This Row],[data]])</f>
        <v>2008</v>
      </c>
    </row>
    <row r="819" spans="1:4" x14ac:dyDescent="0.25">
      <c r="A819" s="1">
        <v>39747</v>
      </c>
      <c r="B819" t="s">
        <v>9</v>
      </c>
      <c r="C819">
        <v>269</v>
      </c>
      <c r="D819">
        <f>YEAR(cukier9[[#This Row],[data]])</f>
        <v>2008</v>
      </c>
    </row>
    <row r="820" spans="1:4" x14ac:dyDescent="0.25">
      <c r="A820" s="1">
        <v>39747</v>
      </c>
      <c r="B820" t="s">
        <v>140</v>
      </c>
      <c r="C820">
        <v>11</v>
      </c>
      <c r="D820">
        <f>YEAR(cukier9[[#This Row],[data]])</f>
        <v>2008</v>
      </c>
    </row>
    <row r="821" spans="1:4" x14ac:dyDescent="0.25">
      <c r="A821" s="1">
        <v>39747</v>
      </c>
      <c r="B821" t="s">
        <v>45</v>
      </c>
      <c r="C821">
        <v>162</v>
      </c>
      <c r="D821">
        <f>YEAR(cukier9[[#This Row],[data]])</f>
        <v>2008</v>
      </c>
    </row>
    <row r="822" spans="1:4" x14ac:dyDescent="0.25">
      <c r="A822" s="1">
        <v>39757</v>
      </c>
      <c r="B822" t="s">
        <v>18</v>
      </c>
      <c r="C822">
        <v>75</v>
      </c>
      <c r="D822">
        <f>YEAR(cukier9[[#This Row],[data]])</f>
        <v>2008</v>
      </c>
    </row>
    <row r="823" spans="1:4" x14ac:dyDescent="0.25">
      <c r="A823" s="1">
        <v>39759</v>
      </c>
      <c r="B823" t="s">
        <v>22</v>
      </c>
      <c r="C823">
        <v>358</v>
      </c>
      <c r="D823">
        <f>YEAR(cukier9[[#This Row],[data]])</f>
        <v>2008</v>
      </c>
    </row>
    <row r="824" spans="1:4" x14ac:dyDescent="0.25">
      <c r="A824" s="1">
        <v>39760</v>
      </c>
      <c r="B824" t="s">
        <v>8</v>
      </c>
      <c r="C824">
        <v>198</v>
      </c>
      <c r="D824">
        <f>YEAR(cukier9[[#This Row],[data]])</f>
        <v>2008</v>
      </c>
    </row>
    <row r="825" spans="1:4" x14ac:dyDescent="0.25">
      <c r="A825" s="1">
        <v>39763</v>
      </c>
      <c r="B825" t="s">
        <v>22</v>
      </c>
      <c r="C825">
        <v>189</v>
      </c>
      <c r="D825">
        <f>YEAR(cukier9[[#This Row],[data]])</f>
        <v>2008</v>
      </c>
    </row>
    <row r="826" spans="1:4" x14ac:dyDescent="0.25">
      <c r="A826" s="1">
        <v>39764</v>
      </c>
      <c r="B826" t="s">
        <v>24</v>
      </c>
      <c r="C826">
        <v>226</v>
      </c>
      <c r="D826">
        <f>YEAR(cukier9[[#This Row],[data]])</f>
        <v>2008</v>
      </c>
    </row>
    <row r="827" spans="1:4" x14ac:dyDescent="0.25">
      <c r="A827" s="1">
        <v>39765</v>
      </c>
      <c r="B827" t="s">
        <v>55</v>
      </c>
      <c r="C827">
        <v>94</v>
      </c>
      <c r="D827">
        <f>YEAR(cukier9[[#This Row],[data]])</f>
        <v>2008</v>
      </c>
    </row>
    <row r="828" spans="1:4" x14ac:dyDescent="0.25">
      <c r="A828" s="1">
        <v>39770</v>
      </c>
      <c r="B828" t="s">
        <v>50</v>
      </c>
      <c r="C828">
        <v>401</v>
      </c>
      <c r="D828">
        <f>YEAR(cukier9[[#This Row],[data]])</f>
        <v>2008</v>
      </c>
    </row>
    <row r="829" spans="1:4" x14ac:dyDescent="0.25">
      <c r="A829" s="1">
        <v>39771</v>
      </c>
      <c r="B829" t="s">
        <v>69</v>
      </c>
      <c r="C829">
        <v>52</v>
      </c>
      <c r="D829">
        <f>YEAR(cukier9[[#This Row],[data]])</f>
        <v>2008</v>
      </c>
    </row>
    <row r="830" spans="1:4" x14ac:dyDescent="0.25">
      <c r="A830" s="1">
        <v>39772</v>
      </c>
      <c r="B830" t="s">
        <v>12</v>
      </c>
      <c r="C830">
        <v>189</v>
      </c>
      <c r="D830">
        <f>YEAR(cukier9[[#This Row],[data]])</f>
        <v>2008</v>
      </c>
    </row>
    <row r="831" spans="1:4" x14ac:dyDescent="0.25">
      <c r="A831" s="1">
        <v>39774</v>
      </c>
      <c r="B831" t="s">
        <v>17</v>
      </c>
      <c r="C831">
        <v>201</v>
      </c>
      <c r="D831">
        <f>YEAR(cukier9[[#This Row],[data]])</f>
        <v>2008</v>
      </c>
    </row>
    <row r="832" spans="1:4" x14ac:dyDescent="0.25">
      <c r="A832" s="1">
        <v>39775</v>
      </c>
      <c r="B832" t="s">
        <v>22</v>
      </c>
      <c r="C832">
        <v>235</v>
      </c>
      <c r="D832">
        <f>YEAR(cukier9[[#This Row],[data]])</f>
        <v>2008</v>
      </c>
    </row>
    <row r="833" spans="1:4" x14ac:dyDescent="0.25">
      <c r="A833" s="1">
        <v>39776</v>
      </c>
      <c r="B833" t="s">
        <v>55</v>
      </c>
      <c r="C833">
        <v>78</v>
      </c>
      <c r="D833">
        <f>YEAR(cukier9[[#This Row],[data]])</f>
        <v>2008</v>
      </c>
    </row>
    <row r="834" spans="1:4" x14ac:dyDescent="0.25">
      <c r="A834" s="1">
        <v>39776</v>
      </c>
      <c r="B834" t="s">
        <v>126</v>
      </c>
      <c r="C834">
        <v>13</v>
      </c>
      <c r="D834">
        <f>YEAR(cukier9[[#This Row],[data]])</f>
        <v>2008</v>
      </c>
    </row>
    <row r="835" spans="1:4" x14ac:dyDescent="0.25">
      <c r="A835" s="1">
        <v>39776</v>
      </c>
      <c r="B835" t="s">
        <v>20</v>
      </c>
      <c r="C835">
        <v>196</v>
      </c>
      <c r="D835">
        <f>YEAR(cukier9[[#This Row],[data]])</f>
        <v>2008</v>
      </c>
    </row>
    <row r="836" spans="1:4" x14ac:dyDescent="0.25">
      <c r="A836" s="1">
        <v>39780</v>
      </c>
      <c r="B836" t="s">
        <v>70</v>
      </c>
      <c r="C836">
        <v>11</v>
      </c>
      <c r="D836">
        <f>YEAR(cukier9[[#This Row],[data]])</f>
        <v>2008</v>
      </c>
    </row>
    <row r="837" spans="1:4" x14ac:dyDescent="0.25">
      <c r="A837" s="1">
        <v>39780</v>
      </c>
      <c r="B837" t="s">
        <v>176</v>
      </c>
      <c r="C837">
        <v>17</v>
      </c>
      <c r="D837">
        <f>YEAR(cukier9[[#This Row],[data]])</f>
        <v>2008</v>
      </c>
    </row>
    <row r="838" spans="1:4" x14ac:dyDescent="0.25">
      <c r="A838" s="1">
        <v>39781</v>
      </c>
      <c r="B838" t="s">
        <v>47</v>
      </c>
      <c r="C838">
        <v>4</v>
      </c>
      <c r="D838">
        <f>YEAR(cukier9[[#This Row],[data]])</f>
        <v>2008</v>
      </c>
    </row>
    <row r="839" spans="1:4" x14ac:dyDescent="0.25">
      <c r="A839" s="1">
        <v>39785</v>
      </c>
      <c r="B839" t="s">
        <v>54</v>
      </c>
      <c r="C839">
        <v>17</v>
      </c>
      <c r="D839">
        <f>YEAR(cukier9[[#This Row],[data]])</f>
        <v>2008</v>
      </c>
    </row>
    <row r="840" spans="1:4" x14ac:dyDescent="0.25">
      <c r="A840" s="1">
        <v>39785</v>
      </c>
      <c r="B840" t="s">
        <v>177</v>
      </c>
      <c r="C840">
        <v>1</v>
      </c>
      <c r="D840">
        <f>YEAR(cukier9[[#This Row],[data]])</f>
        <v>2008</v>
      </c>
    </row>
    <row r="841" spans="1:4" x14ac:dyDescent="0.25">
      <c r="A841" s="1">
        <v>39790</v>
      </c>
      <c r="B841" t="s">
        <v>13</v>
      </c>
      <c r="C841">
        <v>6</v>
      </c>
      <c r="D841">
        <f>YEAR(cukier9[[#This Row],[data]])</f>
        <v>2008</v>
      </c>
    </row>
    <row r="842" spans="1:4" x14ac:dyDescent="0.25">
      <c r="A842" s="1">
        <v>39790</v>
      </c>
      <c r="B842" t="s">
        <v>7</v>
      </c>
      <c r="C842">
        <v>496</v>
      </c>
      <c r="D842">
        <f>YEAR(cukier9[[#This Row],[data]])</f>
        <v>2008</v>
      </c>
    </row>
    <row r="843" spans="1:4" x14ac:dyDescent="0.25">
      <c r="A843" s="1">
        <v>39794</v>
      </c>
      <c r="B843" t="s">
        <v>5</v>
      </c>
      <c r="C843">
        <v>363</v>
      </c>
      <c r="D843">
        <f>YEAR(cukier9[[#This Row],[data]])</f>
        <v>2008</v>
      </c>
    </row>
    <row r="844" spans="1:4" x14ac:dyDescent="0.25">
      <c r="A844" s="1">
        <v>39797</v>
      </c>
      <c r="B844" t="s">
        <v>5</v>
      </c>
      <c r="C844">
        <v>491</v>
      </c>
      <c r="D844">
        <f>YEAR(cukier9[[#This Row],[data]])</f>
        <v>2008</v>
      </c>
    </row>
    <row r="845" spans="1:4" x14ac:dyDescent="0.25">
      <c r="A845" s="1">
        <v>39797</v>
      </c>
      <c r="B845" t="s">
        <v>17</v>
      </c>
      <c r="C845">
        <v>369</v>
      </c>
      <c r="D845">
        <f>YEAR(cukier9[[#This Row],[data]])</f>
        <v>2008</v>
      </c>
    </row>
    <row r="846" spans="1:4" x14ac:dyDescent="0.25">
      <c r="A846" s="1">
        <v>39799</v>
      </c>
      <c r="B846" t="s">
        <v>66</v>
      </c>
      <c r="C846">
        <v>60</v>
      </c>
      <c r="D846">
        <f>YEAR(cukier9[[#This Row],[data]])</f>
        <v>2008</v>
      </c>
    </row>
    <row r="847" spans="1:4" x14ac:dyDescent="0.25">
      <c r="A847" s="1">
        <v>39800</v>
      </c>
      <c r="B847" t="s">
        <v>20</v>
      </c>
      <c r="C847">
        <v>35</v>
      </c>
      <c r="D847">
        <f>YEAR(cukier9[[#This Row],[data]])</f>
        <v>2008</v>
      </c>
    </row>
    <row r="848" spans="1:4" x14ac:dyDescent="0.25">
      <c r="A848" s="1">
        <v>39803</v>
      </c>
      <c r="B848" t="s">
        <v>7</v>
      </c>
      <c r="C848">
        <v>121</v>
      </c>
      <c r="D848">
        <f>YEAR(cukier9[[#This Row],[data]])</f>
        <v>2008</v>
      </c>
    </row>
    <row r="849" spans="1:4" x14ac:dyDescent="0.25">
      <c r="A849" s="1">
        <v>39803</v>
      </c>
      <c r="B849" t="s">
        <v>50</v>
      </c>
      <c r="C849">
        <v>442</v>
      </c>
      <c r="D849">
        <f>YEAR(cukier9[[#This Row],[data]])</f>
        <v>2008</v>
      </c>
    </row>
    <row r="850" spans="1:4" x14ac:dyDescent="0.25">
      <c r="A850" s="1">
        <v>39804</v>
      </c>
      <c r="B850" t="s">
        <v>7</v>
      </c>
      <c r="C850">
        <v>338</v>
      </c>
      <c r="D850">
        <f>YEAR(cukier9[[#This Row],[data]])</f>
        <v>2008</v>
      </c>
    </row>
    <row r="851" spans="1:4" x14ac:dyDescent="0.25">
      <c r="A851" s="1">
        <v>39805</v>
      </c>
      <c r="B851" t="s">
        <v>31</v>
      </c>
      <c r="C851">
        <v>94</v>
      </c>
      <c r="D851">
        <f>YEAR(cukier9[[#This Row],[data]])</f>
        <v>2008</v>
      </c>
    </row>
    <row r="852" spans="1:4" x14ac:dyDescent="0.25">
      <c r="A852" s="1">
        <v>39808</v>
      </c>
      <c r="B852" t="s">
        <v>1</v>
      </c>
      <c r="C852">
        <v>14</v>
      </c>
      <c r="D852">
        <f>YEAR(cukier9[[#This Row],[data]])</f>
        <v>2008</v>
      </c>
    </row>
    <row r="853" spans="1:4" x14ac:dyDescent="0.25">
      <c r="A853" s="1">
        <v>39809</v>
      </c>
      <c r="B853" t="s">
        <v>94</v>
      </c>
      <c r="C853">
        <v>2</v>
      </c>
      <c r="D853">
        <f>YEAR(cukier9[[#This Row],[data]])</f>
        <v>2008</v>
      </c>
    </row>
    <row r="854" spans="1:4" x14ac:dyDescent="0.25">
      <c r="A854" s="1">
        <v>39811</v>
      </c>
      <c r="B854" t="s">
        <v>14</v>
      </c>
      <c r="C854">
        <v>110</v>
      </c>
      <c r="D854">
        <f>YEAR(cukier9[[#This Row],[data]])</f>
        <v>2008</v>
      </c>
    </row>
    <row r="855" spans="1:4" x14ac:dyDescent="0.25">
      <c r="A855" s="1">
        <v>39812</v>
      </c>
      <c r="B855" t="s">
        <v>87</v>
      </c>
      <c r="C855">
        <v>18</v>
      </c>
      <c r="D855">
        <f>YEAR(cukier9[[#This Row],[data]])</f>
        <v>2008</v>
      </c>
    </row>
    <row r="856" spans="1:4" x14ac:dyDescent="0.25">
      <c r="A856" s="1">
        <v>39812</v>
      </c>
      <c r="B856" t="s">
        <v>147</v>
      </c>
      <c r="C856">
        <v>7</v>
      </c>
      <c r="D856">
        <f>YEAR(cukier9[[#This Row],[data]])</f>
        <v>2008</v>
      </c>
    </row>
    <row r="857" spans="1:4" x14ac:dyDescent="0.25">
      <c r="A857" s="1">
        <v>39814</v>
      </c>
      <c r="B857" t="s">
        <v>178</v>
      </c>
      <c r="C857">
        <v>2</v>
      </c>
      <c r="D857">
        <f>YEAR(cukier9[[#This Row],[data]])</f>
        <v>2009</v>
      </c>
    </row>
    <row r="858" spans="1:4" x14ac:dyDescent="0.25">
      <c r="A858" s="1">
        <v>39815</v>
      </c>
      <c r="B858" t="s">
        <v>37</v>
      </c>
      <c r="C858">
        <v>188</v>
      </c>
      <c r="D858">
        <f>YEAR(cukier9[[#This Row],[data]])</f>
        <v>2009</v>
      </c>
    </row>
    <row r="859" spans="1:4" x14ac:dyDescent="0.25">
      <c r="A859" s="1">
        <v>39819</v>
      </c>
      <c r="B859" t="s">
        <v>92</v>
      </c>
      <c r="C859">
        <v>11</v>
      </c>
      <c r="D859">
        <f>YEAR(cukier9[[#This Row],[data]])</f>
        <v>2009</v>
      </c>
    </row>
    <row r="860" spans="1:4" x14ac:dyDescent="0.25">
      <c r="A860" s="1">
        <v>39819</v>
      </c>
      <c r="B860" t="s">
        <v>14</v>
      </c>
      <c r="C860">
        <v>129</v>
      </c>
      <c r="D860">
        <f>YEAR(cukier9[[#This Row],[data]])</f>
        <v>2009</v>
      </c>
    </row>
    <row r="861" spans="1:4" x14ac:dyDescent="0.25">
      <c r="A861" s="1">
        <v>39819</v>
      </c>
      <c r="B861" t="s">
        <v>61</v>
      </c>
      <c r="C861">
        <v>117</v>
      </c>
      <c r="D861">
        <f>YEAR(cukier9[[#This Row],[data]])</f>
        <v>2009</v>
      </c>
    </row>
    <row r="862" spans="1:4" x14ac:dyDescent="0.25">
      <c r="A862" s="1">
        <v>39821</v>
      </c>
      <c r="B862" t="s">
        <v>82</v>
      </c>
      <c r="C862">
        <v>11</v>
      </c>
      <c r="D862">
        <f>YEAR(cukier9[[#This Row],[data]])</f>
        <v>2009</v>
      </c>
    </row>
    <row r="863" spans="1:4" x14ac:dyDescent="0.25">
      <c r="A863" s="1">
        <v>39823</v>
      </c>
      <c r="B863" t="s">
        <v>61</v>
      </c>
      <c r="C863">
        <v>186</v>
      </c>
      <c r="D863">
        <f>YEAR(cukier9[[#This Row],[data]])</f>
        <v>2009</v>
      </c>
    </row>
    <row r="864" spans="1:4" x14ac:dyDescent="0.25">
      <c r="A864" s="1">
        <v>39824</v>
      </c>
      <c r="B864" t="s">
        <v>18</v>
      </c>
      <c r="C864">
        <v>40</v>
      </c>
      <c r="D864">
        <f>YEAR(cukier9[[#This Row],[data]])</f>
        <v>2009</v>
      </c>
    </row>
    <row r="865" spans="1:4" x14ac:dyDescent="0.25">
      <c r="A865" s="1">
        <v>39829</v>
      </c>
      <c r="B865" t="s">
        <v>47</v>
      </c>
      <c r="C865">
        <v>6</v>
      </c>
      <c r="D865">
        <f>YEAR(cukier9[[#This Row],[data]])</f>
        <v>2009</v>
      </c>
    </row>
    <row r="866" spans="1:4" x14ac:dyDescent="0.25">
      <c r="A866" s="1">
        <v>39831</v>
      </c>
      <c r="B866" t="s">
        <v>55</v>
      </c>
      <c r="C866">
        <v>153</v>
      </c>
      <c r="D866">
        <f>YEAR(cukier9[[#This Row],[data]])</f>
        <v>2009</v>
      </c>
    </row>
    <row r="867" spans="1:4" x14ac:dyDescent="0.25">
      <c r="A867" s="1">
        <v>39832</v>
      </c>
      <c r="B867" t="s">
        <v>45</v>
      </c>
      <c r="C867">
        <v>163</v>
      </c>
      <c r="D867">
        <f>YEAR(cukier9[[#This Row],[data]])</f>
        <v>2009</v>
      </c>
    </row>
    <row r="868" spans="1:4" x14ac:dyDescent="0.25">
      <c r="A868" s="1">
        <v>39834</v>
      </c>
      <c r="B868" t="s">
        <v>179</v>
      </c>
      <c r="C868">
        <v>16</v>
      </c>
      <c r="D868">
        <f>YEAR(cukier9[[#This Row],[data]])</f>
        <v>2009</v>
      </c>
    </row>
    <row r="869" spans="1:4" x14ac:dyDescent="0.25">
      <c r="A869" s="1">
        <v>39835</v>
      </c>
      <c r="B869" t="s">
        <v>25</v>
      </c>
      <c r="C869">
        <v>161</v>
      </c>
      <c r="D869">
        <f>YEAR(cukier9[[#This Row],[data]])</f>
        <v>2009</v>
      </c>
    </row>
    <row r="870" spans="1:4" x14ac:dyDescent="0.25">
      <c r="A870" s="1">
        <v>39836</v>
      </c>
      <c r="B870" t="s">
        <v>180</v>
      </c>
      <c r="C870">
        <v>5</v>
      </c>
      <c r="D870">
        <f>YEAR(cukier9[[#This Row],[data]])</f>
        <v>2009</v>
      </c>
    </row>
    <row r="871" spans="1:4" x14ac:dyDescent="0.25">
      <c r="A871" s="1">
        <v>39839</v>
      </c>
      <c r="B871" t="s">
        <v>30</v>
      </c>
      <c r="C871">
        <v>200</v>
      </c>
      <c r="D871">
        <f>YEAR(cukier9[[#This Row],[data]])</f>
        <v>2009</v>
      </c>
    </row>
    <row r="872" spans="1:4" x14ac:dyDescent="0.25">
      <c r="A872" s="1">
        <v>39843</v>
      </c>
      <c r="B872" t="s">
        <v>181</v>
      </c>
      <c r="C872">
        <v>11</v>
      </c>
      <c r="D872">
        <f>YEAR(cukier9[[#This Row],[data]])</f>
        <v>2009</v>
      </c>
    </row>
    <row r="873" spans="1:4" x14ac:dyDescent="0.25">
      <c r="A873" s="1">
        <v>39847</v>
      </c>
      <c r="B873" t="s">
        <v>96</v>
      </c>
      <c r="C873">
        <v>14</v>
      </c>
      <c r="D873">
        <f>YEAR(cukier9[[#This Row],[data]])</f>
        <v>2009</v>
      </c>
    </row>
    <row r="874" spans="1:4" x14ac:dyDescent="0.25">
      <c r="A874" s="1">
        <v>39849</v>
      </c>
      <c r="B874" t="s">
        <v>7</v>
      </c>
      <c r="C874">
        <v>469</v>
      </c>
      <c r="D874">
        <f>YEAR(cukier9[[#This Row],[data]])</f>
        <v>2009</v>
      </c>
    </row>
    <row r="875" spans="1:4" x14ac:dyDescent="0.25">
      <c r="A875" s="1">
        <v>39853</v>
      </c>
      <c r="B875" t="s">
        <v>166</v>
      </c>
      <c r="C875">
        <v>11</v>
      </c>
      <c r="D875">
        <f>YEAR(cukier9[[#This Row],[data]])</f>
        <v>2009</v>
      </c>
    </row>
    <row r="876" spans="1:4" x14ac:dyDescent="0.25">
      <c r="A876" s="1">
        <v>39853</v>
      </c>
      <c r="B876" t="s">
        <v>14</v>
      </c>
      <c r="C876">
        <v>423</v>
      </c>
      <c r="D876">
        <f>YEAR(cukier9[[#This Row],[data]])</f>
        <v>2009</v>
      </c>
    </row>
    <row r="877" spans="1:4" x14ac:dyDescent="0.25">
      <c r="A877" s="1">
        <v>39853</v>
      </c>
      <c r="B877" t="s">
        <v>172</v>
      </c>
      <c r="C877">
        <v>9</v>
      </c>
      <c r="D877">
        <f>YEAR(cukier9[[#This Row],[data]])</f>
        <v>2009</v>
      </c>
    </row>
    <row r="878" spans="1:4" x14ac:dyDescent="0.25">
      <c r="A878" s="1">
        <v>39853</v>
      </c>
      <c r="B878" t="s">
        <v>68</v>
      </c>
      <c r="C878">
        <v>3</v>
      </c>
      <c r="D878">
        <f>YEAR(cukier9[[#This Row],[data]])</f>
        <v>2009</v>
      </c>
    </row>
    <row r="879" spans="1:4" x14ac:dyDescent="0.25">
      <c r="A879" s="1">
        <v>39854</v>
      </c>
      <c r="B879" t="s">
        <v>22</v>
      </c>
      <c r="C879">
        <v>186</v>
      </c>
      <c r="D879">
        <f>YEAR(cukier9[[#This Row],[data]])</f>
        <v>2009</v>
      </c>
    </row>
    <row r="880" spans="1:4" x14ac:dyDescent="0.25">
      <c r="A880" s="1">
        <v>39854</v>
      </c>
      <c r="B880" t="s">
        <v>7</v>
      </c>
      <c r="C880">
        <v>390</v>
      </c>
      <c r="D880">
        <f>YEAR(cukier9[[#This Row],[data]])</f>
        <v>2009</v>
      </c>
    </row>
    <row r="881" spans="1:4" x14ac:dyDescent="0.25">
      <c r="A881" s="1">
        <v>39855</v>
      </c>
      <c r="B881" t="s">
        <v>5</v>
      </c>
      <c r="C881">
        <v>445</v>
      </c>
      <c r="D881">
        <f>YEAR(cukier9[[#This Row],[data]])</f>
        <v>2009</v>
      </c>
    </row>
    <row r="882" spans="1:4" x14ac:dyDescent="0.25">
      <c r="A882" s="1">
        <v>39856</v>
      </c>
      <c r="B882" t="s">
        <v>50</v>
      </c>
      <c r="C882">
        <v>241</v>
      </c>
      <c r="D882">
        <f>YEAR(cukier9[[#This Row],[data]])</f>
        <v>2009</v>
      </c>
    </row>
    <row r="883" spans="1:4" x14ac:dyDescent="0.25">
      <c r="A883" s="1">
        <v>39856</v>
      </c>
      <c r="B883" t="s">
        <v>29</v>
      </c>
      <c r="C883">
        <v>3</v>
      </c>
      <c r="D883">
        <f>YEAR(cukier9[[#This Row],[data]])</f>
        <v>2009</v>
      </c>
    </row>
    <row r="884" spans="1:4" x14ac:dyDescent="0.25">
      <c r="A884" s="1">
        <v>39858</v>
      </c>
      <c r="B884" t="s">
        <v>23</v>
      </c>
      <c r="C884">
        <v>50</v>
      </c>
      <c r="D884">
        <f>YEAR(cukier9[[#This Row],[data]])</f>
        <v>2009</v>
      </c>
    </row>
    <row r="885" spans="1:4" x14ac:dyDescent="0.25">
      <c r="A885" s="1">
        <v>39859</v>
      </c>
      <c r="B885" t="s">
        <v>24</v>
      </c>
      <c r="C885">
        <v>284</v>
      </c>
      <c r="D885">
        <f>YEAR(cukier9[[#This Row],[data]])</f>
        <v>2009</v>
      </c>
    </row>
    <row r="886" spans="1:4" x14ac:dyDescent="0.25">
      <c r="A886" s="1">
        <v>39860</v>
      </c>
      <c r="B886" t="s">
        <v>9</v>
      </c>
      <c r="C886">
        <v>395</v>
      </c>
      <c r="D886">
        <f>YEAR(cukier9[[#This Row],[data]])</f>
        <v>2009</v>
      </c>
    </row>
    <row r="887" spans="1:4" x14ac:dyDescent="0.25">
      <c r="A887" s="1">
        <v>39862</v>
      </c>
      <c r="B887" t="s">
        <v>5</v>
      </c>
      <c r="C887">
        <v>290</v>
      </c>
      <c r="D887">
        <f>YEAR(cukier9[[#This Row],[data]])</f>
        <v>2009</v>
      </c>
    </row>
    <row r="888" spans="1:4" x14ac:dyDescent="0.25">
      <c r="A888" s="1">
        <v>39863</v>
      </c>
      <c r="B888" t="s">
        <v>22</v>
      </c>
      <c r="C888">
        <v>361</v>
      </c>
      <c r="D888">
        <f>YEAR(cukier9[[#This Row],[data]])</f>
        <v>2009</v>
      </c>
    </row>
    <row r="889" spans="1:4" x14ac:dyDescent="0.25">
      <c r="A889" s="1">
        <v>39865</v>
      </c>
      <c r="B889" t="s">
        <v>17</v>
      </c>
      <c r="C889">
        <v>355</v>
      </c>
      <c r="D889">
        <f>YEAR(cukier9[[#This Row],[data]])</f>
        <v>2009</v>
      </c>
    </row>
    <row r="890" spans="1:4" x14ac:dyDescent="0.25">
      <c r="A890" s="1">
        <v>39866</v>
      </c>
      <c r="B890" t="s">
        <v>182</v>
      </c>
      <c r="C890">
        <v>19</v>
      </c>
      <c r="D890">
        <f>YEAR(cukier9[[#This Row],[data]])</f>
        <v>2009</v>
      </c>
    </row>
    <row r="891" spans="1:4" x14ac:dyDescent="0.25">
      <c r="A891" s="1">
        <v>39868</v>
      </c>
      <c r="B891" t="s">
        <v>52</v>
      </c>
      <c r="C891">
        <v>32</v>
      </c>
      <c r="D891">
        <f>YEAR(cukier9[[#This Row],[data]])</f>
        <v>2009</v>
      </c>
    </row>
    <row r="892" spans="1:4" x14ac:dyDescent="0.25">
      <c r="A892" s="1">
        <v>39871</v>
      </c>
      <c r="B892" t="s">
        <v>146</v>
      </c>
      <c r="C892">
        <v>13</v>
      </c>
      <c r="D892">
        <f>YEAR(cukier9[[#This Row],[data]])</f>
        <v>2009</v>
      </c>
    </row>
    <row r="893" spans="1:4" x14ac:dyDescent="0.25">
      <c r="A893" s="1">
        <v>39871</v>
      </c>
      <c r="B893" t="s">
        <v>45</v>
      </c>
      <c r="C893">
        <v>156</v>
      </c>
      <c r="D893">
        <f>YEAR(cukier9[[#This Row],[data]])</f>
        <v>2009</v>
      </c>
    </row>
    <row r="894" spans="1:4" x14ac:dyDescent="0.25">
      <c r="A894" s="1">
        <v>39873</v>
      </c>
      <c r="B894" t="s">
        <v>183</v>
      </c>
      <c r="C894">
        <v>20</v>
      </c>
      <c r="D894">
        <f>YEAR(cukier9[[#This Row],[data]])</f>
        <v>2009</v>
      </c>
    </row>
    <row r="895" spans="1:4" x14ac:dyDescent="0.25">
      <c r="A895" s="1">
        <v>39874</v>
      </c>
      <c r="B895" t="s">
        <v>12</v>
      </c>
      <c r="C895">
        <v>112</v>
      </c>
      <c r="D895">
        <f>YEAR(cukier9[[#This Row],[data]])</f>
        <v>2009</v>
      </c>
    </row>
    <row r="896" spans="1:4" x14ac:dyDescent="0.25">
      <c r="A896" s="1">
        <v>39877</v>
      </c>
      <c r="B896" t="s">
        <v>7</v>
      </c>
      <c r="C896">
        <v>110</v>
      </c>
      <c r="D896">
        <f>YEAR(cukier9[[#This Row],[data]])</f>
        <v>2009</v>
      </c>
    </row>
    <row r="897" spans="1:4" x14ac:dyDescent="0.25">
      <c r="A897" s="1">
        <v>39878</v>
      </c>
      <c r="B897" t="s">
        <v>184</v>
      </c>
      <c r="C897">
        <v>4</v>
      </c>
      <c r="D897">
        <f>YEAR(cukier9[[#This Row],[data]])</f>
        <v>2009</v>
      </c>
    </row>
    <row r="898" spans="1:4" x14ac:dyDescent="0.25">
      <c r="A898" s="1">
        <v>39885</v>
      </c>
      <c r="B898" t="s">
        <v>133</v>
      </c>
      <c r="C898">
        <v>18</v>
      </c>
      <c r="D898">
        <f>YEAR(cukier9[[#This Row],[data]])</f>
        <v>2009</v>
      </c>
    </row>
    <row r="899" spans="1:4" x14ac:dyDescent="0.25">
      <c r="A899" s="1">
        <v>39889</v>
      </c>
      <c r="B899" t="s">
        <v>20</v>
      </c>
      <c r="C899">
        <v>60</v>
      </c>
      <c r="D899">
        <f>YEAR(cukier9[[#This Row],[data]])</f>
        <v>2009</v>
      </c>
    </row>
    <row r="900" spans="1:4" x14ac:dyDescent="0.25">
      <c r="A900" s="1">
        <v>39889</v>
      </c>
      <c r="B900" t="s">
        <v>88</v>
      </c>
      <c r="C900">
        <v>14</v>
      </c>
      <c r="D900">
        <f>YEAR(cukier9[[#This Row],[data]])</f>
        <v>2009</v>
      </c>
    </row>
    <row r="901" spans="1:4" x14ac:dyDescent="0.25">
      <c r="A901" s="1">
        <v>39889</v>
      </c>
      <c r="B901" t="s">
        <v>28</v>
      </c>
      <c r="C901">
        <v>24</v>
      </c>
      <c r="D901">
        <f>YEAR(cukier9[[#This Row],[data]])</f>
        <v>2009</v>
      </c>
    </row>
    <row r="902" spans="1:4" x14ac:dyDescent="0.25">
      <c r="A902" s="1">
        <v>39891</v>
      </c>
      <c r="B902" t="s">
        <v>22</v>
      </c>
      <c r="C902">
        <v>145</v>
      </c>
      <c r="D902">
        <f>YEAR(cukier9[[#This Row],[data]])</f>
        <v>2009</v>
      </c>
    </row>
    <row r="903" spans="1:4" x14ac:dyDescent="0.25">
      <c r="A903" s="1">
        <v>39891</v>
      </c>
      <c r="B903" t="s">
        <v>50</v>
      </c>
      <c r="C903">
        <v>393</v>
      </c>
      <c r="D903">
        <f>YEAR(cukier9[[#This Row],[data]])</f>
        <v>2009</v>
      </c>
    </row>
    <row r="904" spans="1:4" x14ac:dyDescent="0.25">
      <c r="A904" s="1">
        <v>39893</v>
      </c>
      <c r="B904" t="s">
        <v>28</v>
      </c>
      <c r="C904">
        <v>73</v>
      </c>
      <c r="D904">
        <f>YEAR(cukier9[[#This Row],[data]])</f>
        <v>2009</v>
      </c>
    </row>
    <row r="905" spans="1:4" x14ac:dyDescent="0.25">
      <c r="A905" s="1">
        <v>39893</v>
      </c>
      <c r="B905" t="s">
        <v>8</v>
      </c>
      <c r="C905">
        <v>136</v>
      </c>
      <c r="D905">
        <f>YEAR(cukier9[[#This Row],[data]])</f>
        <v>2009</v>
      </c>
    </row>
    <row r="906" spans="1:4" x14ac:dyDescent="0.25">
      <c r="A906" s="1">
        <v>39894</v>
      </c>
      <c r="B906" t="s">
        <v>45</v>
      </c>
      <c r="C906">
        <v>422</v>
      </c>
      <c r="D906">
        <f>YEAR(cukier9[[#This Row],[data]])</f>
        <v>2009</v>
      </c>
    </row>
    <row r="907" spans="1:4" x14ac:dyDescent="0.25">
      <c r="A907" s="1">
        <v>39895</v>
      </c>
      <c r="B907" t="s">
        <v>9</v>
      </c>
      <c r="C907">
        <v>187</v>
      </c>
      <c r="D907">
        <f>YEAR(cukier9[[#This Row],[data]])</f>
        <v>2009</v>
      </c>
    </row>
    <row r="908" spans="1:4" x14ac:dyDescent="0.25">
      <c r="A908" s="1">
        <v>39897</v>
      </c>
      <c r="B908" t="s">
        <v>18</v>
      </c>
      <c r="C908">
        <v>58</v>
      </c>
      <c r="D908">
        <f>YEAR(cukier9[[#This Row],[data]])</f>
        <v>2009</v>
      </c>
    </row>
    <row r="909" spans="1:4" x14ac:dyDescent="0.25">
      <c r="A909" s="1">
        <v>39898</v>
      </c>
      <c r="B909" t="s">
        <v>45</v>
      </c>
      <c r="C909">
        <v>436</v>
      </c>
      <c r="D909">
        <f>YEAR(cukier9[[#This Row],[data]])</f>
        <v>2009</v>
      </c>
    </row>
    <row r="910" spans="1:4" x14ac:dyDescent="0.25">
      <c r="A910" s="1">
        <v>39902</v>
      </c>
      <c r="B910" t="s">
        <v>14</v>
      </c>
      <c r="C910">
        <v>406</v>
      </c>
      <c r="D910">
        <f>YEAR(cukier9[[#This Row],[data]])</f>
        <v>2009</v>
      </c>
    </row>
    <row r="911" spans="1:4" x14ac:dyDescent="0.25">
      <c r="A911" s="1">
        <v>39904</v>
      </c>
      <c r="B911" t="s">
        <v>14</v>
      </c>
      <c r="C911">
        <v>108</v>
      </c>
      <c r="D911">
        <f>YEAR(cukier9[[#This Row],[data]])</f>
        <v>2009</v>
      </c>
    </row>
    <row r="912" spans="1:4" x14ac:dyDescent="0.25">
      <c r="A912" s="1">
        <v>39905</v>
      </c>
      <c r="B912" t="s">
        <v>142</v>
      </c>
      <c r="C912">
        <v>10</v>
      </c>
      <c r="D912">
        <f>YEAR(cukier9[[#This Row],[data]])</f>
        <v>2009</v>
      </c>
    </row>
    <row r="913" spans="1:4" x14ac:dyDescent="0.25">
      <c r="A913" s="1">
        <v>39906</v>
      </c>
      <c r="B913" t="s">
        <v>37</v>
      </c>
      <c r="C913">
        <v>153</v>
      </c>
      <c r="D913">
        <f>YEAR(cukier9[[#This Row],[data]])</f>
        <v>2009</v>
      </c>
    </row>
    <row r="914" spans="1:4" x14ac:dyDescent="0.25">
      <c r="A914" s="1">
        <v>39908</v>
      </c>
      <c r="B914" t="s">
        <v>185</v>
      </c>
      <c r="C914">
        <v>3</v>
      </c>
      <c r="D914">
        <f>YEAR(cukier9[[#This Row],[data]])</f>
        <v>2009</v>
      </c>
    </row>
    <row r="915" spans="1:4" x14ac:dyDescent="0.25">
      <c r="A915" s="1">
        <v>39909</v>
      </c>
      <c r="B915" t="s">
        <v>31</v>
      </c>
      <c r="C915">
        <v>109</v>
      </c>
      <c r="D915">
        <f>YEAR(cukier9[[#This Row],[data]])</f>
        <v>2009</v>
      </c>
    </row>
    <row r="916" spans="1:4" x14ac:dyDescent="0.25">
      <c r="A916" s="1">
        <v>39911</v>
      </c>
      <c r="B916" t="s">
        <v>86</v>
      </c>
      <c r="C916">
        <v>9</v>
      </c>
      <c r="D916">
        <f>YEAR(cukier9[[#This Row],[data]])</f>
        <v>2009</v>
      </c>
    </row>
    <row r="917" spans="1:4" x14ac:dyDescent="0.25">
      <c r="A917" s="1">
        <v>39911</v>
      </c>
      <c r="B917" t="s">
        <v>52</v>
      </c>
      <c r="C917">
        <v>112</v>
      </c>
      <c r="D917">
        <f>YEAR(cukier9[[#This Row],[data]])</f>
        <v>2009</v>
      </c>
    </row>
    <row r="918" spans="1:4" x14ac:dyDescent="0.25">
      <c r="A918" s="1">
        <v>39916</v>
      </c>
      <c r="B918" t="s">
        <v>19</v>
      </c>
      <c r="C918">
        <v>29</v>
      </c>
      <c r="D918">
        <f>YEAR(cukier9[[#This Row],[data]])</f>
        <v>2009</v>
      </c>
    </row>
    <row r="919" spans="1:4" x14ac:dyDescent="0.25">
      <c r="A919" s="1">
        <v>39916</v>
      </c>
      <c r="B919" t="s">
        <v>50</v>
      </c>
      <c r="C919">
        <v>310</v>
      </c>
      <c r="D919">
        <f>YEAR(cukier9[[#This Row],[data]])</f>
        <v>2009</v>
      </c>
    </row>
    <row r="920" spans="1:4" x14ac:dyDescent="0.25">
      <c r="A920" s="1">
        <v>39918</v>
      </c>
      <c r="B920" t="s">
        <v>55</v>
      </c>
      <c r="C920">
        <v>107</v>
      </c>
      <c r="D920">
        <f>YEAR(cukier9[[#This Row],[data]])</f>
        <v>2009</v>
      </c>
    </row>
    <row r="921" spans="1:4" x14ac:dyDescent="0.25">
      <c r="A921" s="1">
        <v>39921</v>
      </c>
      <c r="B921" t="s">
        <v>8</v>
      </c>
      <c r="C921">
        <v>26</v>
      </c>
      <c r="D921">
        <f>YEAR(cukier9[[#This Row],[data]])</f>
        <v>2009</v>
      </c>
    </row>
    <row r="922" spans="1:4" x14ac:dyDescent="0.25">
      <c r="A922" s="1">
        <v>39923</v>
      </c>
      <c r="B922" t="s">
        <v>31</v>
      </c>
      <c r="C922">
        <v>114</v>
      </c>
      <c r="D922">
        <f>YEAR(cukier9[[#This Row],[data]])</f>
        <v>2009</v>
      </c>
    </row>
    <row r="923" spans="1:4" x14ac:dyDescent="0.25">
      <c r="A923" s="1">
        <v>39924</v>
      </c>
      <c r="B923" t="s">
        <v>169</v>
      </c>
      <c r="C923">
        <v>4</v>
      </c>
      <c r="D923">
        <f>YEAR(cukier9[[#This Row],[data]])</f>
        <v>2009</v>
      </c>
    </row>
    <row r="924" spans="1:4" x14ac:dyDescent="0.25">
      <c r="A924" s="1">
        <v>39925</v>
      </c>
      <c r="B924" t="s">
        <v>186</v>
      </c>
      <c r="C924">
        <v>15</v>
      </c>
      <c r="D924">
        <f>YEAR(cukier9[[#This Row],[data]])</f>
        <v>2009</v>
      </c>
    </row>
    <row r="925" spans="1:4" x14ac:dyDescent="0.25">
      <c r="A925" s="1">
        <v>39929</v>
      </c>
      <c r="B925" t="s">
        <v>66</v>
      </c>
      <c r="C925">
        <v>144</v>
      </c>
      <c r="D925">
        <f>YEAR(cukier9[[#This Row],[data]])</f>
        <v>2009</v>
      </c>
    </row>
    <row r="926" spans="1:4" x14ac:dyDescent="0.25">
      <c r="A926" s="1">
        <v>39933</v>
      </c>
      <c r="B926" t="s">
        <v>5</v>
      </c>
      <c r="C926">
        <v>110</v>
      </c>
      <c r="D926">
        <f>YEAR(cukier9[[#This Row],[data]])</f>
        <v>2009</v>
      </c>
    </row>
    <row r="927" spans="1:4" x14ac:dyDescent="0.25">
      <c r="A927" s="1">
        <v>39933</v>
      </c>
      <c r="B927" t="s">
        <v>37</v>
      </c>
      <c r="C927">
        <v>105</v>
      </c>
      <c r="D927">
        <f>YEAR(cukier9[[#This Row],[data]])</f>
        <v>2009</v>
      </c>
    </row>
    <row r="928" spans="1:4" x14ac:dyDescent="0.25">
      <c r="A928" s="1">
        <v>39935</v>
      </c>
      <c r="B928" t="s">
        <v>52</v>
      </c>
      <c r="C928">
        <v>51</v>
      </c>
      <c r="D928">
        <f>YEAR(cukier9[[#This Row],[data]])</f>
        <v>2009</v>
      </c>
    </row>
    <row r="929" spans="1:4" x14ac:dyDescent="0.25">
      <c r="A929" s="1">
        <v>39937</v>
      </c>
      <c r="B929" t="s">
        <v>145</v>
      </c>
      <c r="C929">
        <v>1</v>
      </c>
      <c r="D929">
        <f>YEAR(cukier9[[#This Row],[data]])</f>
        <v>2009</v>
      </c>
    </row>
    <row r="930" spans="1:4" x14ac:dyDescent="0.25">
      <c r="A930" s="1">
        <v>39937</v>
      </c>
      <c r="B930" t="s">
        <v>152</v>
      </c>
      <c r="C930">
        <v>8</v>
      </c>
      <c r="D930">
        <f>YEAR(cukier9[[#This Row],[data]])</f>
        <v>2009</v>
      </c>
    </row>
    <row r="931" spans="1:4" x14ac:dyDescent="0.25">
      <c r="A931" s="1">
        <v>39939</v>
      </c>
      <c r="B931" t="s">
        <v>9</v>
      </c>
      <c r="C931">
        <v>128</v>
      </c>
      <c r="D931">
        <f>YEAR(cukier9[[#This Row],[data]])</f>
        <v>2009</v>
      </c>
    </row>
    <row r="932" spans="1:4" x14ac:dyDescent="0.25">
      <c r="A932" s="1">
        <v>39942</v>
      </c>
      <c r="B932" t="s">
        <v>87</v>
      </c>
      <c r="C932">
        <v>9</v>
      </c>
      <c r="D932">
        <f>YEAR(cukier9[[#This Row],[data]])</f>
        <v>2009</v>
      </c>
    </row>
    <row r="933" spans="1:4" x14ac:dyDescent="0.25">
      <c r="A933" s="1">
        <v>39948</v>
      </c>
      <c r="B933" t="s">
        <v>9</v>
      </c>
      <c r="C933">
        <v>291</v>
      </c>
      <c r="D933">
        <f>YEAR(cukier9[[#This Row],[data]])</f>
        <v>2009</v>
      </c>
    </row>
    <row r="934" spans="1:4" x14ac:dyDescent="0.25">
      <c r="A934" s="1">
        <v>39949</v>
      </c>
      <c r="B934" t="s">
        <v>14</v>
      </c>
      <c r="C934">
        <v>261</v>
      </c>
      <c r="D934">
        <f>YEAR(cukier9[[#This Row],[data]])</f>
        <v>2009</v>
      </c>
    </row>
    <row r="935" spans="1:4" x14ac:dyDescent="0.25">
      <c r="A935" s="1">
        <v>39951</v>
      </c>
      <c r="B935" t="s">
        <v>52</v>
      </c>
      <c r="C935">
        <v>192</v>
      </c>
      <c r="D935">
        <f>YEAR(cukier9[[#This Row],[data]])</f>
        <v>2009</v>
      </c>
    </row>
    <row r="936" spans="1:4" x14ac:dyDescent="0.25">
      <c r="A936" s="1">
        <v>39951</v>
      </c>
      <c r="B936" t="s">
        <v>7</v>
      </c>
      <c r="C936">
        <v>319</v>
      </c>
      <c r="D936">
        <f>YEAR(cukier9[[#This Row],[data]])</f>
        <v>2009</v>
      </c>
    </row>
    <row r="937" spans="1:4" x14ac:dyDescent="0.25">
      <c r="A937" s="1">
        <v>39953</v>
      </c>
      <c r="B937" t="s">
        <v>45</v>
      </c>
      <c r="C937">
        <v>393</v>
      </c>
      <c r="D937">
        <f>YEAR(cukier9[[#This Row],[data]])</f>
        <v>2009</v>
      </c>
    </row>
    <row r="938" spans="1:4" x14ac:dyDescent="0.25">
      <c r="A938" s="1">
        <v>39957</v>
      </c>
      <c r="B938" t="s">
        <v>187</v>
      </c>
      <c r="C938">
        <v>13</v>
      </c>
      <c r="D938">
        <f>YEAR(cukier9[[#This Row],[data]])</f>
        <v>2009</v>
      </c>
    </row>
    <row r="939" spans="1:4" x14ac:dyDescent="0.25">
      <c r="A939" s="1">
        <v>39958</v>
      </c>
      <c r="B939" t="s">
        <v>50</v>
      </c>
      <c r="C939">
        <v>380</v>
      </c>
      <c r="D939">
        <f>YEAR(cukier9[[#This Row],[data]])</f>
        <v>2009</v>
      </c>
    </row>
    <row r="940" spans="1:4" x14ac:dyDescent="0.25">
      <c r="A940" s="1">
        <v>39959</v>
      </c>
      <c r="B940" t="s">
        <v>37</v>
      </c>
      <c r="C940">
        <v>36</v>
      </c>
      <c r="D940">
        <f>YEAR(cukier9[[#This Row],[data]])</f>
        <v>2009</v>
      </c>
    </row>
    <row r="941" spans="1:4" x14ac:dyDescent="0.25">
      <c r="A941" s="1">
        <v>39962</v>
      </c>
      <c r="B941" t="s">
        <v>173</v>
      </c>
      <c r="C941">
        <v>179</v>
      </c>
      <c r="D941">
        <f>YEAR(cukier9[[#This Row],[data]])</f>
        <v>2009</v>
      </c>
    </row>
    <row r="942" spans="1:4" x14ac:dyDescent="0.25">
      <c r="A942" s="1">
        <v>39964</v>
      </c>
      <c r="B942" t="s">
        <v>28</v>
      </c>
      <c r="C942">
        <v>111</v>
      </c>
      <c r="D942">
        <f>YEAR(cukier9[[#This Row],[data]])</f>
        <v>2009</v>
      </c>
    </row>
    <row r="943" spans="1:4" x14ac:dyDescent="0.25">
      <c r="A943" s="1">
        <v>39965</v>
      </c>
      <c r="B943" t="s">
        <v>8</v>
      </c>
      <c r="C943">
        <v>36</v>
      </c>
      <c r="D943">
        <f>YEAR(cukier9[[#This Row],[data]])</f>
        <v>2009</v>
      </c>
    </row>
    <row r="944" spans="1:4" x14ac:dyDescent="0.25">
      <c r="A944" s="1">
        <v>39965</v>
      </c>
      <c r="B944" t="s">
        <v>10</v>
      </c>
      <c r="C944">
        <v>120</v>
      </c>
      <c r="D944">
        <f>YEAR(cukier9[[#This Row],[data]])</f>
        <v>2009</v>
      </c>
    </row>
    <row r="945" spans="1:4" x14ac:dyDescent="0.25">
      <c r="A945" s="1">
        <v>39969</v>
      </c>
      <c r="B945" t="s">
        <v>188</v>
      </c>
      <c r="C945">
        <v>11</v>
      </c>
      <c r="D945">
        <f>YEAR(cukier9[[#This Row],[data]])</f>
        <v>2009</v>
      </c>
    </row>
    <row r="946" spans="1:4" x14ac:dyDescent="0.25">
      <c r="A946" s="1">
        <v>39971</v>
      </c>
      <c r="B946" t="s">
        <v>126</v>
      </c>
      <c r="C946">
        <v>15</v>
      </c>
      <c r="D946">
        <f>YEAR(cukier9[[#This Row],[data]])</f>
        <v>2009</v>
      </c>
    </row>
    <row r="947" spans="1:4" x14ac:dyDescent="0.25">
      <c r="A947" s="1">
        <v>39971</v>
      </c>
      <c r="B947" t="s">
        <v>43</v>
      </c>
      <c r="C947">
        <v>4</v>
      </c>
      <c r="D947">
        <f>YEAR(cukier9[[#This Row],[data]])</f>
        <v>2009</v>
      </c>
    </row>
    <row r="948" spans="1:4" x14ac:dyDescent="0.25">
      <c r="A948" s="1">
        <v>39974</v>
      </c>
      <c r="B948" t="s">
        <v>115</v>
      </c>
      <c r="C948">
        <v>11</v>
      </c>
      <c r="D948">
        <f>YEAR(cukier9[[#This Row],[data]])</f>
        <v>2009</v>
      </c>
    </row>
    <row r="949" spans="1:4" x14ac:dyDescent="0.25">
      <c r="A949" s="1">
        <v>39977</v>
      </c>
      <c r="B949" t="s">
        <v>189</v>
      </c>
      <c r="C949">
        <v>9</v>
      </c>
      <c r="D949">
        <f>YEAR(cukier9[[#This Row],[data]])</f>
        <v>2009</v>
      </c>
    </row>
    <row r="950" spans="1:4" x14ac:dyDescent="0.25">
      <c r="A950" s="1">
        <v>39978</v>
      </c>
      <c r="B950" t="s">
        <v>50</v>
      </c>
      <c r="C950">
        <v>498</v>
      </c>
      <c r="D950">
        <f>YEAR(cukier9[[#This Row],[data]])</f>
        <v>2009</v>
      </c>
    </row>
    <row r="951" spans="1:4" x14ac:dyDescent="0.25">
      <c r="A951" s="1">
        <v>39980</v>
      </c>
      <c r="B951" t="s">
        <v>45</v>
      </c>
      <c r="C951">
        <v>350</v>
      </c>
      <c r="D951">
        <f>YEAR(cukier9[[#This Row],[data]])</f>
        <v>2009</v>
      </c>
    </row>
    <row r="952" spans="1:4" x14ac:dyDescent="0.25">
      <c r="A952" s="1">
        <v>39980</v>
      </c>
      <c r="B952" t="s">
        <v>8</v>
      </c>
      <c r="C952">
        <v>191</v>
      </c>
      <c r="D952">
        <f>YEAR(cukier9[[#This Row],[data]])</f>
        <v>2009</v>
      </c>
    </row>
    <row r="953" spans="1:4" x14ac:dyDescent="0.25">
      <c r="A953" s="1">
        <v>39980</v>
      </c>
      <c r="B953" t="s">
        <v>9</v>
      </c>
      <c r="C953">
        <v>402</v>
      </c>
      <c r="D953">
        <f>YEAR(cukier9[[#This Row],[data]])</f>
        <v>2009</v>
      </c>
    </row>
    <row r="954" spans="1:4" x14ac:dyDescent="0.25">
      <c r="A954" s="1">
        <v>39984</v>
      </c>
      <c r="B954" t="s">
        <v>69</v>
      </c>
      <c r="C954">
        <v>140</v>
      </c>
      <c r="D954">
        <f>YEAR(cukier9[[#This Row],[data]])</f>
        <v>2009</v>
      </c>
    </row>
    <row r="955" spans="1:4" x14ac:dyDescent="0.25">
      <c r="A955" s="1">
        <v>39985</v>
      </c>
      <c r="B955" t="s">
        <v>190</v>
      </c>
      <c r="C955">
        <v>3</v>
      </c>
      <c r="D955">
        <f>YEAR(cukier9[[#This Row],[data]])</f>
        <v>2009</v>
      </c>
    </row>
    <row r="956" spans="1:4" x14ac:dyDescent="0.25">
      <c r="A956" s="1">
        <v>39987</v>
      </c>
      <c r="B956" t="s">
        <v>52</v>
      </c>
      <c r="C956">
        <v>25</v>
      </c>
      <c r="D956">
        <f>YEAR(cukier9[[#This Row],[data]])</f>
        <v>2009</v>
      </c>
    </row>
    <row r="957" spans="1:4" x14ac:dyDescent="0.25">
      <c r="A957" s="1">
        <v>39992</v>
      </c>
      <c r="B957" t="s">
        <v>191</v>
      </c>
      <c r="C957">
        <v>7</v>
      </c>
      <c r="D957">
        <f>YEAR(cukier9[[#This Row],[data]])</f>
        <v>2009</v>
      </c>
    </row>
    <row r="958" spans="1:4" x14ac:dyDescent="0.25">
      <c r="A958" s="1">
        <v>39994</v>
      </c>
      <c r="B958" t="s">
        <v>192</v>
      </c>
      <c r="C958">
        <v>17</v>
      </c>
      <c r="D958">
        <f>YEAR(cukier9[[#This Row],[data]])</f>
        <v>2009</v>
      </c>
    </row>
    <row r="959" spans="1:4" x14ac:dyDescent="0.25">
      <c r="A959" s="1">
        <v>39994</v>
      </c>
      <c r="B959" t="s">
        <v>9</v>
      </c>
      <c r="C959">
        <v>479</v>
      </c>
      <c r="D959">
        <f>YEAR(cukier9[[#This Row],[data]])</f>
        <v>2009</v>
      </c>
    </row>
    <row r="960" spans="1:4" x14ac:dyDescent="0.25">
      <c r="A960" s="1">
        <v>39994</v>
      </c>
      <c r="B960" t="s">
        <v>193</v>
      </c>
      <c r="C960">
        <v>6</v>
      </c>
      <c r="D960">
        <f>YEAR(cukier9[[#This Row],[data]])</f>
        <v>2009</v>
      </c>
    </row>
    <row r="961" spans="1:4" x14ac:dyDescent="0.25">
      <c r="A961" s="1">
        <v>39994</v>
      </c>
      <c r="B961" t="s">
        <v>16</v>
      </c>
      <c r="C961">
        <v>10</v>
      </c>
      <c r="D961">
        <f>YEAR(cukier9[[#This Row],[data]])</f>
        <v>2009</v>
      </c>
    </row>
    <row r="962" spans="1:4" x14ac:dyDescent="0.25">
      <c r="A962" s="1">
        <v>39995</v>
      </c>
      <c r="B962" t="s">
        <v>29</v>
      </c>
      <c r="C962">
        <v>2</v>
      </c>
      <c r="D962">
        <f>YEAR(cukier9[[#This Row],[data]])</f>
        <v>2009</v>
      </c>
    </row>
    <row r="963" spans="1:4" x14ac:dyDescent="0.25">
      <c r="A963" s="1">
        <v>39997</v>
      </c>
      <c r="B963" t="s">
        <v>194</v>
      </c>
      <c r="C963">
        <v>13</v>
      </c>
      <c r="D963">
        <f>YEAR(cukier9[[#This Row],[data]])</f>
        <v>2009</v>
      </c>
    </row>
    <row r="964" spans="1:4" x14ac:dyDescent="0.25">
      <c r="A964" s="1">
        <v>40000</v>
      </c>
      <c r="B964" t="s">
        <v>183</v>
      </c>
      <c r="C964">
        <v>12</v>
      </c>
      <c r="D964">
        <f>YEAR(cukier9[[#This Row],[data]])</f>
        <v>2009</v>
      </c>
    </row>
    <row r="965" spans="1:4" x14ac:dyDescent="0.25">
      <c r="A965" s="1">
        <v>40000</v>
      </c>
      <c r="B965" t="s">
        <v>5</v>
      </c>
      <c r="C965">
        <v>191</v>
      </c>
      <c r="D965">
        <f>YEAR(cukier9[[#This Row],[data]])</f>
        <v>2009</v>
      </c>
    </row>
    <row r="966" spans="1:4" x14ac:dyDescent="0.25">
      <c r="A966" s="1">
        <v>40000</v>
      </c>
      <c r="B966" t="s">
        <v>10</v>
      </c>
      <c r="C966">
        <v>123</v>
      </c>
      <c r="D966">
        <f>YEAR(cukier9[[#This Row],[data]])</f>
        <v>2009</v>
      </c>
    </row>
    <row r="967" spans="1:4" x14ac:dyDescent="0.25">
      <c r="A967" s="1">
        <v>40001</v>
      </c>
      <c r="B967" t="s">
        <v>18</v>
      </c>
      <c r="C967">
        <v>66</v>
      </c>
      <c r="D967">
        <f>YEAR(cukier9[[#This Row],[data]])</f>
        <v>2009</v>
      </c>
    </row>
    <row r="968" spans="1:4" x14ac:dyDescent="0.25">
      <c r="A968" s="1">
        <v>40002</v>
      </c>
      <c r="B968" t="s">
        <v>61</v>
      </c>
      <c r="C968">
        <v>132</v>
      </c>
      <c r="D968">
        <f>YEAR(cukier9[[#This Row],[data]])</f>
        <v>2009</v>
      </c>
    </row>
    <row r="969" spans="1:4" x14ac:dyDescent="0.25">
      <c r="A969" s="1">
        <v>40006</v>
      </c>
      <c r="B969" t="s">
        <v>195</v>
      </c>
      <c r="C969">
        <v>9</v>
      </c>
      <c r="D969">
        <f>YEAR(cukier9[[#This Row],[data]])</f>
        <v>2009</v>
      </c>
    </row>
    <row r="970" spans="1:4" x14ac:dyDescent="0.25">
      <c r="A970" s="1">
        <v>40006</v>
      </c>
      <c r="B970" t="s">
        <v>78</v>
      </c>
      <c r="C970">
        <v>111</v>
      </c>
      <c r="D970">
        <f>YEAR(cukier9[[#This Row],[data]])</f>
        <v>2009</v>
      </c>
    </row>
    <row r="971" spans="1:4" x14ac:dyDescent="0.25">
      <c r="A971" s="1">
        <v>40007</v>
      </c>
      <c r="B971" t="s">
        <v>19</v>
      </c>
      <c r="C971">
        <v>163</v>
      </c>
      <c r="D971">
        <f>YEAR(cukier9[[#This Row],[data]])</f>
        <v>2009</v>
      </c>
    </row>
    <row r="972" spans="1:4" x14ac:dyDescent="0.25">
      <c r="A972" s="1">
        <v>40007</v>
      </c>
      <c r="B972" t="s">
        <v>155</v>
      </c>
      <c r="C972">
        <v>4</v>
      </c>
      <c r="D972">
        <f>YEAR(cukier9[[#This Row],[data]])</f>
        <v>2009</v>
      </c>
    </row>
    <row r="973" spans="1:4" x14ac:dyDescent="0.25">
      <c r="A973" s="1">
        <v>40009</v>
      </c>
      <c r="B973" t="s">
        <v>145</v>
      </c>
      <c r="C973">
        <v>10</v>
      </c>
      <c r="D973">
        <f>YEAR(cukier9[[#This Row],[data]])</f>
        <v>2009</v>
      </c>
    </row>
    <row r="974" spans="1:4" x14ac:dyDescent="0.25">
      <c r="A974" s="1">
        <v>40010</v>
      </c>
      <c r="B974" t="s">
        <v>9</v>
      </c>
      <c r="C974">
        <v>457</v>
      </c>
      <c r="D974">
        <f>YEAR(cukier9[[#This Row],[data]])</f>
        <v>2009</v>
      </c>
    </row>
    <row r="975" spans="1:4" x14ac:dyDescent="0.25">
      <c r="A975" s="1">
        <v>40012</v>
      </c>
      <c r="B975" t="s">
        <v>50</v>
      </c>
      <c r="C975">
        <v>260</v>
      </c>
      <c r="D975">
        <f>YEAR(cukier9[[#This Row],[data]])</f>
        <v>2009</v>
      </c>
    </row>
    <row r="976" spans="1:4" x14ac:dyDescent="0.25">
      <c r="A976" s="1">
        <v>40013</v>
      </c>
      <c r="B976" t="s">
        <v>120</v>
      </c>
      <c r="C976">
        <v>181</v>
      </c>
      <c r="D976">
        <f>YEAR(cukier9[[#This Row],[data]])</f>
        <v>2009</v>
      </c>
    </row>
    <row r="977" spans="1:4" x14ac:dyDescent="0.25">
      <c r="A977" s="1">
        <v>40014</v>
      </c>
      <c r="B977" t="s">
        <v>50</v>
      </c>
      <c r="C977">
        <v>144</v>
      </c>
      <c r="D977">
        <f>YEAR(cukier9[[#This Row],[data]])</f>
        <v>2009</v>
      </c>
    </row>
    <row r="978" spans="1:4" x14ac:dyDescent="0.25">
      <c r="A978" s="1">
        <v>40015</v>
      </c>
      <c r="B978" t="s">
        <v>22</v>
      </c>
      <c r="C978">
        <v>246</v>
      </c>
      <c r="D978">
        <f>YEAR(cukier9[[#This Row],[data]])</f>
        <v>2009</v>
      </c>
    </row>
    <row r="979" spans="1:4" x14ac:dyDescent="0.25">
      <c r="A979" s="1">
        <v>40017</v>
      </c>
      <c r="B979" t="s">
        <v>196</v>
      </c>
      <c r="C979">
        <v>10</v>
      </c>
      <c r="D979">
        <f>YEAR(cukier9[[#This Row],[data]])</f>
        <v>2009</v>
      </c>
    </row>
    <row r="980" spans="1:4" x14ac:dyDescent="0.25">
      <c r="A980" s="1">
        <v>40019</v>
      </c>
      <c r="B980" t="s">
        <v>26</v>
      </c>
      <c r="C980">
        <v>148</v>
      </c>
      <c r="D980">
        <f>YEAR(cukier9[[#This Row],[data]])</f>
        <v>2009</v>
      </c>
    </row>
    <row r="981" spans="1:4" x14ac:dyDescent="0.25">
      <c r="A981" s="1">
        <v>40021</v>
      </c>
      <c r="B981" t="s">
        <v>35</v>
      </c>
      <c r="C981">
        <v>24</v>
      </c>
      <c r="D981">
        <f>YEAR(cukier9[[#This Row],[data]])</f>
        <v>2009</v>
      </c>
    </row>
    <row r="982" spans="1:4" x14ac:dyDescent="0.25">
      <c r="A982" s="1">
        <v>40024</v>
      </c>
      <c r="B982" t="s">
        <v>25</v>
      </c>
      <c r="C982">
        <v>66</v>
      </c>
      <c r="D982">
        <f>YEAR(cukier9[[#This Row],[data]])</f>
        <v>2009</v>
      </c>
    </row>
    <row r="983" spans="1:4" x14ac:dyDescent="0.25">
      <c r="A983" s="1">
        <v>40027</v>
      </c>
      <c r="B983" t="s">
        <v>45</v>
      </c>
      <c r="C983">
        <v>333</v>
      </c>
      <c r="D983">
        <f>YEAR(cukier9[[#This Row],[data]])</f>
        <v>2009</v>
      </c>
    </row>
    <row r="984" spans="1:4" x14ac:dyDescent="0.25">
      <c r="A984" s="1">
        <v>40027</v>
      </c>
      <c r="B984" t="s">
        <v>37</v>
      </c>
      <c r="C984">
        <v>194</v>
      </c>
      <c r="D984">
        <f>YEAR(cukier9[[#This Row],[data]])</f>
        <v>2009</v>
      </c>
    </row>
    <row r="985" spans="1:4" x14ac:dyDescent="0.25">
      <c r="A985" s="1">
        <v>40031</v>
      </c>
      <c r="B985" t="s">
        <v>18</v>
      </c>
      <c r="C985">
        <v>154</v>
      </c>
      <c r="D985">
        <f>YEAR(cukier9[[#This Row],[data]])</f>
        <v>2009</v>
      </c>
    </row>
    <row r="986" spans="1:4" x14ac:dyDescent="0.25">
      <c r="A986" s="1">
        <v>40031</v>
      </c>
      <c r="B986" t="s">
        <v>55</v>
      </c>
      <c r="C986">
        <v>100</v>
      </c>
      <c r="D986">
        <f>YEAR(cukier9[[#This Row],[data]])</f>
        <v>2009</v>
      </c>
    </row>
    <row r="987" spans="1:4" x14ac:dyDescent="0.25">
      <c r="A987" s="1">
        <v>40031</v>
      </c>
      <c r="B987" t="s">
        <v>1</v>
      </c>
      <c r="C987">
        <v>18</v>
      </c>
      <c r="D987">
        <f>YEAR(cukier9[[#This Row],[data]])</f>
        <v>2009</v>
      </c>
    </row>
    <row r="988" spans="1:4" x14ac:dyDescent="0.25">
      <c r="A988" s="1">
        <v>40031</v>
      </c>
      <c r="B988" t="s">
        <v>170</v>
      </c>
      <c r="C988">
        <v>20</v>
      </c>
      <c r="D988">
        <f>YEAR(cukier9[[#This Row],[data]])</f>
        <v>2009</v>
      </c>
    </row>
    <row r="989" spans="1:4" x14ac:dyDescent="0.25">
      <c r="A989" s="1">
        <v>40033</v>
      </c>
      <c r="B989" t="s">
        <v>55</v>
      </c>
      <c r="C989">
        <v>200</v>
      </c>
      <c r="D989">
        <f>YEAR(cukier9[[#This Row],[data]])</f>
        <v>2009</v>
      </c>
    </row>
    <row r="990" spans="1:4" x14ac:dyDescent="0.25">
      <c r="A990" s="1">
        <v>40034</v>
      </c>
      <c r="B990" t="s">
        <v>18</v>
      </c>
      <c r="C990">
        <v>48</v>
      </c>
      <c r="D990">
        <f>YEAR(cukier9[[#This Row],[data]])</f>
        <v>2009</v>
      </c>
    </row>
    <row r="991" spans="1:4" x14ac:dyDescent="0.25">
      <c r="A991" s="1">
        <v>40034</v>
      </c>
      <c r="B991" t="s">
        <v>61</v>
      </c>
      <c r="C991">
        <v>68</v>
      </c>
      <c r="D991">
        <f>YEAR(cukier9[[#This Row],[data]])</f>
        <v>2009</v>
      </c>
    </row>
    <row r="992" spans="1:4" x14ac:dyDescent="0.25">
      <c r="A992" s="1">
        <v>40035</v>
      </c>
      <c r="B992" t="s">
        <v>174</v>
      </c>
      <c r="C992">
        <v>9</v>
      </c>
      <c r="D992">
        <f>YEAR(cukier9[[#This Row],[data]])</f>
        <v>2009</v>
      </c>
    </row>
    <row r="993" spans="1:4" x14ac:dyDescent="0.25">
      <c r="A993" s="1">
        <v>40039</v>
      </c>
      <c r="B993" t="s">
        <v>50</v>
      </c>
      <c r="C993">
        <v>493</v>
      </c>
      <c r="D993">
        <f>YEAR(cukier9[[#This Row],[data]])</f>
        <v>2009</v>
      </c>
    </row>
    <row r="994" spans="1:4" x14ac:dyDescent="0.25">
      <c r="A994" s="1">
        <v>40039</v>
      </c>
      <c r="B994" t="s">
        <v>14</v>
      </c>
      <c r="C994">
        <v>340</v>
      </c>
      <c r="D994">
        <f>YEAR(cukier9[[#This Row],[data]])</f>
        <v>2009</v>
      </c>
    </row>
    <row r="995" spans="1:4" x14ac:dyDescent="0.25">
      <c r="A995" s="1">
        <v>40041</v>
      </c>
      <c r="B995" t="s">
        <v>174</v>
      </c>
      <c r="C995">
        <v>2</v>
      </c>
      <c r="D995">
        <f>YEAR(cukier9[[#This Row],[data]])</f>
        <v>2009</v>
      </c>
    </row>
    <row r="996" spans="1:4" x14ac:dyDescent="0.25">
      <c r="A996" s="1">
        <v>40044</v>
      </c>
      <c r="B996" t="s">
        <v>28</v>
      </c>
      <c r="C996">
        <v>62</v>
      </c>
      <c r="D996">
        <f>YEAR(cukier9[[#This Row],[data]])</f>
        <v>2009</v>
      </c>
    </row>
    <row r="997" spans="1:4" x14ac:dyDescent="0.25">
      <c r="A997" s="1">
        <v>40044</v>
      </c>
      <c r="B997" t="s">
        <v>22</v>
      </c>
      <c r="C997">
        <v>164</v>
      </c>
      <c r="D997">
        <f>YEAR(cukier9[[#This Row],[data]])</f>
        <v>2009</v>
      </c>
    </row>
    <row r="998" spans="1:4" x14ac:dyDescent="0.25">
      <c r="A998" s="1">
        <v>40045</v>
      </c>
      <c r="B998" t="s">
        <v>28</v>
      </c>
      <c r="C998">
        <v>170</v>
      </c>
      <c r="D998">
        <f>YEAR(cukier9[[#This Row],[data]])</f>
        <v>2009</v>
      </c>
    </row>
    <row r="999" spans="1:4" x14ac:dyDescent="0.25">
      <c r="A999" s="1">
        <v>40047</v>
      </c>
      <c r="B999" t="s">
        <v>71</v>
      </c>
      <c r="C999">
        <v>164</v>
      </c>
      <c r="D999">
        <f>YEAR(cukier9[[#This Row],[data]])</f>
        <v>2009</v>
      </c>
    </row>
    <row r="1000" spans="1:4" x14ac:dyDescent="0.25">
      <c r="A1000" s="1">
        <v>40049</v>
      </c>
      <c r="B1000" t="s">
        <v>6</v>
      </c>
      <c r="C1000">
        <v>70</v>
      </c>
      <c r="D1000">
        <f>YEAR(cukier9[[#This Row],[data]])</f>
        <v>2009</v>
      </c>
    </row>
    <row r="1001" spans="1:4" x14ac:dyDescent="0.25">
      <c r="A1001" s="1">
        <v>40056</v>
      </c>
      <c r="B1001" t="s">
        <v>50</v>
      </c>
      <c r="C1001">
        <v>133</v>
      </c>
      <c r="D1001">
        <f>YEAR(cukier9[[#This Row],[data]])</f>
        <v>2009</v>
      </c>
    </row>
    <row r="1002" spans="1:4" x14ac:dyDescent="0.25">
      <c r="A1002" s="1">
        <v>40057</v>
      </c>
      <c r="B1002" t="s">
        <v>197</v>
      </c>
      <c r="C1002">
        <v>20</v>
      </c>
      <c r="D1002">
        <f>YEAR(cukier9[[#This Row],[data]])</f>
        <v>2009</v>
      </c>
    </row>
    <row r="1003" spans="1:4" x14ac:dyDescent="0.25">
      <c r="A1003" s="1">
        <v>40059</v>
      </c>
      <c r="B1003" t="s">
        <v>198</v>
      </c>
      <c r="C1003">
        <v>15</v>
      </c>
      <c r="D1003">
        <f>YEAR(cukier9[[#This Row],[data]])</f>
        <v>2009</v>
      </c>
    </row>
    <row r="1004" spans="1:4" x14ac:dyDescent="0.25">
      <c r="A1004" s="1">
        <v>40060</v>
      </c>
      <c r="B1004" t="s">
        <v>199</v>
      </c>
      <c r="C1004">
        <v>15</v>
      </c>
      <c r="D1004">
        <f>YEAR(cukier9[[#This Row],[data]])</f>
        <v>2009</v>
      </c>
    </row>
    <row r="1005" spans="1:4" x14ac:dyDescent="0.25">
      <c r="A1005" s="1">
        <v>40061</v>
      </c>
      <c r="B1005" t="s">
        <v>58</v>
      </c>
      <c r="C1005">
        <v>105</v>
      </c>
      <c r="D1005">
        <f>YEAR(cukier9[[#This Row],[data]])</f>
        <v>2009</v>
      </c>
    </row>
    <row r="1006" spans="1:4" x14ac:dyDescent="0.25">
      <c r="A1006" s="1">
        <v>40065</v>
      </c>
      <c r="B1006" t="s">
        <v>31</v>
      </c>
      <c r="C1006">
        <v>192</v>
      </c>
      <c r="D1006">
        <f>YEAR(cukier9[[#This Row],[data]])</f>
        <v>2009</v>
      </c>
    </row>
    <row r="1007" spans="1:4" x14ac:dyDescent="0.25">
      <c r="A1007" s="1">
        <v>40065</v>
      </c>
      <c r="B1007" t="s">
        <v>80</v>
      </c>
      <c r="C1007">
        <v>142</v>
      </c>
      <c r="D1007">
        <f>YEAR(cukier9[[#This Row],[data]])</f>
        <v>2009</v>
      </c>
    </row>
    <row r="1008" spans="1:4" x14ac:dyDescent="0.25">
      <c r="A1008" s="1">
        <v>40066</v>
      </c>
      <c r="B1008" t="s">
        <v>106</v>
      </c>
      <c r="C1008">
        <v>3</v>
      </c>
      <c r="D1008">
        <f>YEAR(cukier9[[#This Row],[data]])</f>
        <v>2009</v>
      </c>
    </row>
    <row r="1009" spans="1:4" x14ac:dyDescent="0.25">
      <c r="A1009" s="1">
        <v>40066</v>
      </c>
      <c r="B1009" t="s">
        <v>17</v>
      </c>
      <c r="C1009">
        <v>219</v>
      </c>
      <c r="D1009">
        <f>YEAR(cukier9[[#This Row],[data]])</f>
        <v>2009</v>
      </c>
    </row>
    <row r="1010" spans="1:4" x14ac:dyDescent="0.25">
      <c r="A1010" s="1">
        <v>40070</v>
      </c>
      <c r="B1010" t="s">
        <v>30</v>
      </c>
      <c r="C1010">
        <v>137</v>
      </c>
      <c r="D1010">
        <f>YEAR(cukier9[[#This Row],[data]])</f>
        <v>2009</v>
      </c>
    </row>
    <row r="1011" spans="1:4" x14ac:dyDescent="0.25">
      <c r="A1011" s="1">
        <v>40071</v>
      </c>
      <c r="B1011" t="s">
        <v>20</v>
      </c>
      <c r="C1011">
        <v>108</v>
      </c>
      <c r="D1011">
        <f>YEAR(cukier9[[#This Row],[data]])</f>
        <v>2009</v>
      </c>
    </row>
    <row r="1012" spans="1:4" x14ac:dyDescent="0.25">
      <c r="A1012" s="1">
        <v>40072</v>
      </c>
      <c r="B1012" t="s">
        <v>102</v>
      </c>
      <c r="C1012">
        <v>395</v>
      </c>
      <c r="D1012">
        <f>YEAR(cukier9[[#This Row],[data]])</f>
        <v>2009</v>
      </c>
    </row>
    <row r="1013" spans="1:4" x14ac:dyDescent="0.25">
      <c r="A1013" s="1">
        <v>40073</v>
      </c>
      <c r="B1013" t="s">
        <v>200</v>
      </c>
      <c r="C1013">
        <v>3</v>
      </c>
      <c r="D1013">
        <f>YEAR(cukier9[[#This Row],[data]])</f>
        <v>2009</v>
      </c>
    </row>
    <row r="1014" spans="1:4" x14ac:dyDescent="0.25">
      <c r="A1014" s="1">
        <v>40075</v>
      </c>
      <c r="B1014" t="s">
        <v>6</v>
      </c>
      <c r="C1014">
        <v>73</v>
      </c>
      <c r="D1014">
        <f>YEAR(cukier9[[#This Row],[data]])</f>
        <v>2009</v>
      </c>
    </row>
    <row r="1015" spans="1:4" x14ac:dyDescent="0.25">
      <c r="A1015" s="1">
        <v>40075</v>
      </c>
      <c r="B1015" t="s">
        <v>45</v>
      </c>
      <c r="C1015">
        <v>209</v>
      </c>
      <c r="D1015">
        <f>YEAR(cukier9[[#This Row],[data]])</f>
        <v>2009</v>
      </c>
    </row>
    <row r="1016" spans="1:4" x14ac:dyDescent="0.25">
      <c r="A1016" s="1">
        <v>40077</v>
      </c>
      <c r="B1016" t="s">
        <v>37</v>
      </c>
      <c r="C1016">
        <v>41</v>
      </c>
      <c r="D1016">
        <f>YEAR(cukier9[[#This Row],[data]])</f>
        <v>2009</v>
      </c>
    </row>
    <row r="1017" spans="1:4" x14ac:dyDescent="0.25">
      <c r="A1017" s="1">
        <v>40083</v>
      </c>
      <c r="B1017" t="s">
        <v>17</v>
      </c>
      <c r="C1017">
        <v>488</v>
      </c>
      <c r="D1017">
        <f>YEAR(cukier9[[#This Row],[data]])</f>
        <v>2009</v>
      </c>
    </row>
    <row r="1018" spans="1:4" x14ac:dyDescent="0.25">
      <c r="A1018" s="1">
        <v>40084</v>
      </c>
      <c r="B1018" t="s">
        <v>97</v>
      </c>
      <c r="C1018">
        <v>5</v>
      </c>
      <c r="D1018">
        <f>YEAR(cukier9[[#This Row],[data]])</f>
        <v>2009</v>
      </c>
    </row>
    <row r="1019" spans="1:4" x14ac:dyDescent="0.25">
      <c r="A1019" s="1">
        <v>40084</v>
      </c>
      <c r="B1019" t="s">
        <v>69</v>
      </c>
      <c r="C1019">
        <v>97</v>
      </c>
      <c r="D1019">
        <f>YEAR(cukier9[[#This Row],[data]])</f>
        <v>2009</v>
      </c>
    </row>
    <row r="1020" spans="1:4" x14ac:dyDescent="0.25">
      <c r="A1020" s="1">
        <v>40085</v>
      </c>
      <c r="B1020" t="s">
        <v>8</v>
      </c>
      <c r="C1020">
        <v>58</v>
      </c>
      <c r="D1020">
        <f>YEAR(cukier9[[#This Row],[data]])</f>
        <v>2009</v>
      </c>
    </row>
    <row r="1021" spans="1:4" x14ac:dyDescent="0.25">
      <c r="A1021" s="1">
        <v>40085</v>
      </c>
      <c r="B1021" t="s">
        <v>55</v>
      </c>
      <c r="C1021">
        <v>179</v>
      </c>
      <c r="D1021">
        <f>YEAR(cukier9[[#This Row],[data]])</f>
        <v>2009</v>
      </c>
    </row>
    <row r="1022" spans="1:4" x14ac:dyDescent="0.25">
      <c r="A1022" s="1">
        <v>40087</v>
      </c>
      <c r="B1022" t="s">
        <v>38</v>
      </c>
      <c r="C1022">
        <v>18</v>
      </c>
      <c r="D1022">
        <f>YEAR(cukier9[[#This Row],[data]])</f>
        <v>2009</v>
      </c>
    </row>
    <row r="1023" spans="1:4" x14ac:dyDescent="0.25">
      <c r="A1023" s="1">
        <v>40088</v>
      </c>
      <c r="B1023" t="s">
        <v>51</v>
      </c>
      <c r="C1023">
        <v>4</v>
      </c>
      <c r="D1023">
        <f>YEAR(cukier9[[#This Row],[data]])</f>
        <v>2009</v>
      </c>
    </row>
    <row r="1024" spans="1:4" x14ac:dyDescent="0.25">
      <c r="A1024" s="1">
        <v>40088</v>
      </c>
      <c r="B1024" t="s">
        <v>33</v>
      </c>
      <c r="C1024">
        <v>1</v>
      </c>
      <c r="D1024">
        <f>YEAR(cukier9[[#This Row],[data]])</f>
        <v>2009</v>
      </c>
    </row>
    <row r="1025" spans="1:4" x14ac:dyDescent="0.25">
      <c r="A1025" s="1">
        <v>40089</v>
      </c>
      <c r="B1025" t="s">
        <v>31</v>
      </c>
      <c r="C1025">
        <v>86</v>
      </c>
      <c r="D1025">
        <f>YEAR(cukier9[[#This Row],[data]])</f>
        <v>2009</v>
      </c>
    </row>
    <row r="1026" spans="1:4" x14ac:dyDescent="0.25">
      <c r="A1026" s="1">
        <v>40090</v>
      </c>
      <c r="B1026" t="s">
        <v>14</v>
      </c>
      <c r="C1026">
        <v>290</v>
      </c>
      <c r="D1026">
        <f>YEAR(cukier9[[#This Row],[data]])</f>
        <v>2009</v>
      </c>
    </row>
    <row r="1027" spans="1:4" x14ac:dyDescent="0.25">
      <c r="A1027" s="1">
        <v>40092</v>
      </c>
      <c r="B1027" t="s">
        <v>184</v>
      </c>
      <c r="C1027">
        <v>14</v>
      </c>
      <c r="D1027">
        <f>YEAR(cukier9[[#This Row],[data]])</f>
        <v>2009</v>
      </c>
    </row>
    <row r="1028" spans="1:4" x14ac:dyDescent="0.25">
      <c r="A1028" s="1">
        <v>40094</v>
      </c>
      <c r="B1028" t="s">
        <v>39</v>
      </c>
      <c r="C1028">
        <v>120</v>
      </c>
      <c r="D1028">
        <f>YEAR(cukier9[[#This Row],[data]])</f>
        <v>2009</v>
      </c>
    </row>
    <row r="1029" spans="1:4" x14ac:dyDescent="0.25">
      <c r="A1029" s="1">
        <v>40094</v>
      </c>
      <c r="B1029" t="s">
        <v>123</v>
      </c>
      <c r="C1029">
        <v>28</v>
      </c>
      <c r="D1029">
        <f>YEAR(cukier9[[#This Row],[data]])</f>
        <v>2009</v>
      </c>
    </row>
    <row r="1030" spans="1:4" x14ac:dyDescent="0.25">
      <c r="A1030" s="1">
        <v>40095</v>
      </c>
      <c r="B1030" t="s">
        <v>9</v>
      </c>
      <c r="C1030">
        <v>213</v>
      </c>
      <c r="D1030">
        <f>YEAR(cukier9[[#This Row],[data]])</f>
        <v>2009</v>
      </c>
    </row>
    <row r="1031" spans="1:4" x14ac:dyDescent="0.25">
      <c r="A1031" s="1">
        <v>40101</v>
      </c>
      <c r="B1031" t="s">
        <v>108</v>
      </c>
      <c r="C1031">
        <v>10</v>
      </c>
      <c r="D1031">
        <f>YEAR(cukier9[[#This Row],[data]])</f>
        <v>2009</v>
      </c>
    </row>
    <row r="1032" spans="1:4" x14ac:dyDescent="0.25">
      <c r="A1032" s="1">
        <v>40102</v>
      </c>
      <c r="B1032" t="s">
        <v>69</v>
      </c>
      <c r="C1032">
        <v>53</v>
      </c>
      <c r="D1032">
        <f>YEAR(cukier9[[#This Row],[data]])</f>
        <v>2009</v>
      </c>
    </row>
    <row r="1033" spans="1:4" x14ac:dyDescent="0.25">
      <c r="A1033" s="1">
        <v>40103</v>
      </c>
      <c r="B1033" t="s">
        <v>30</v>
      </c>
      <c r="C1033">
        <v>178</v>
      </c>
      <c r="D1033">
        <f>YEAR(cukier9[[#This Row],[data]])</f>
        <v>2009</v>
      </c>
    </row>
    <row r="1034" spans="1:4" x14ac:dyDescent="0.25">
      <c r="A1034" s="1">
        <v>40103</v>
      </c>
      <c r="B1034" t="s">
        <v>74</v>
      </c>
      <c r="C1034">
        <v>6</v>
      </c>
      <c r="D1034">
        <f>YEAR(cukier9[[#This Row],[data]])</f>
        <v>2009</v>
      </c>
    </row>
    <row r="1035" spans="1:4" x14ac:dyDescent="0.25">
      <c r="A1035" s="1">
        <v>40107</v>
      </c>
      <c r="B1035" t="s">
        <v>9</v>
      </c>
      <c r="C1035">
        <v>118</v>
      </c>
      <c r="D1035">
        <f>YEAR(cukier9[[#This Row],[data]])</f>
        <v>2009</v>
      </c>
    </row>
    <row r="1036" spans="1:4" x14ac:dyDescent="0.25">
      <c r="A1036" s="1">
        <v>40107</v>
      </c>
      <c r="B1036" t="s">
        <v>70</v>
      </c>
      <c r="C1036">
        <v>5</v>
      </c>
      <c r="D1036">
        <f>YEAR(cukier9[[#This Row],[data]])</f>
        <v>2009</v>
      </c>
    </row>
    <row r="1037" spans="1:4" x14ac:dyDescent="0.25">
      <c r="A1037" s="1">
        <v>40108</v>
      </c>
      <c r="B1037" t="s">
        <v>18</v>
      </c>
      <c r="C1037">
        <v>89</v>
      </c>
      <c r="D1037">
        <f>YEAR(cukier9[[#This Row],[data]])</f>
        <v>2009</v>
      </c>
    </row>
    <row r="1038" spans="1:4" x14ac:dyDescent="0.25">
      <c r="A1038" s="1">
        <v>40113</v>
      </c>
      <c r="B1038" t="s">
        <v>35</v>
      </c>
      <c r="C1038">
        <v>22</v>
      </c>
      <c r="D1038">
        <f>YEAR(cukier9[[#This Row],[data]])</f>
        <v>2009</v>
      </c>
    </row>
    <row r="1039" spans="1:4" x14ac:dyDescent="0.25">
      <c r="A1039" s="1">
        <v>40114</v>
      </c>
      <c r="B1039" t="s">
        <v>18</v>
      </c>
      <c r="C1039">
        <v>199</v>
      </c>
      <c r="D1039">
        <f>YEAR(cukier9[[#This Row],[data]])</f>
        <v>2009</v>
      </c>
    </row>
    <row r="1040" spans="1:4" x14ac:dyDescent="0.25">
      <c r="A1040" s="1">
        <v>40120</v>
      </c>
      <c r="B1040" t="s">
        <v>109</v>
      </c>
      <c r="C1040">
        <v>8</v>
      </c>
      <c r="D1040">
        <f>YEAR(cukier9[[#This Row],[data]])</f>
        <v>2009</v>
      </c>
    </row>
    <row r="1041" spans="1:4" x14ac:dyDescent="0.25">
      <c r="A1041" s="1">
        <v>40120</v>
      </c>
      <c r="B1041" t="s">
        <v>18</v>
      </c>
      <c r="C1041">
        <v>198</v>
      </c>
      <c r="D1041">
        <f>YEAR(cukier9[[#This Row],[data]])</f>
        <v>2009</v>
      </c>
    </row>
    <row r="1042" spans="1:4" x14ac:dyDescent="0.25">
      <c r="A1042" s="1">
        <v>40121</v>
      </c>
      <c r="B1042" t="s">
        <v>95</v>
      </c>
      <c r="C1042">
        <v>6</v>
      </c>
      <c r="D1042">
        <f>YEAR(cukier9[[#This Row],[data]])</f>
        <v>2009</v>
      </c>
    </row>
    <row r="1043" spans="1:4" x14ac:dyDescent="0.25">
      <c r="A1043" s="1">
        <v>40121</v>
      </c>
      <c r="B1043" t="s">
        <v>23</v>
      </c>
      <c r="C1043">
        <v>68</v>
      </c>
      <c r="D1043">
        <f>YEAR(cukier9[[#This Row],[data]])</f>
        <v>2009</v>
      </c>
    </row>
    <row r="1044" spans="1:4" x14ac:dyDescent="0.25">
      <c r="A1044" s="1">
        <v>40121</v>
      </c>
      <c r="B1044" t="s">
        <v>102</v>
      </c>
      <c r="C1044">
        <v>200</v>
      </c>
      <c r="D1044">
        <f>YEAR(cukier9[[#This Row],[data]])</f>
        <v>2009</v>
      </c>
    </row>
    <row r="1045" spans="1:4" x14ac:dyDescent="0.25">
      <c r="A1045" s="1">
        <v>40122</v>
      </c>
      <c r="B1045" t="s">
        <v>5</v>
      </c>
      <c r="C1045">
        <v>426</v>
      </c>
      <c r="D1045">
        <f>YEAR(cukier9[[#This Row],[data]])</f>
        <v>2009</v>
      </c>
    </row>
    <row r="1046" spans="1:4" x14ac:dyDescent="0.25">
      <c r="A1046" s="1">
        <v>40122</v>
      </c>
      <c r="B1046" t="s">
        <v>78</v>
      </c>
      <c r="C1046">
        <v>142</v>
      </c>
      <c r="D1046">
        <f>YEAR(cukier9[[#This Row],[data]])</f>
        <v>2009</v>
      </c>
    </row>
    <row r="1047" spans="1:4" x14ac:dyDescent="0.25">
      <c r="A1047" s="1">
        <v>40122</v>
      </c>
      <c r="B1047" t="s">
        <v>7</v>
      </c>
      <c r="C1047">
        <v>298</v>
      </c>
      <c r="D1047">
        <f>YEAR(cukier9[[#This Row],[data]])</f>
        <v>2009</v>
      </c>
    </row>
    <row r="1048" spans="1:4" x14ac:dyDescent="0.25">
      <c r="A1048" s="1">
        <v>40124</v>
      </c>
      <c r="B1048" t="s">
        <v>17</v>
      </c>
      <c r="C1048">
        <v>224</v>
      </c>
      <c r="D1048">
        <f>YEAR(cukier9[[#This Row],[data]])</f>
        <v>2009</v>
      </c>
    </row>
    <row r="1049" spans="1:4" x14ac:dyDescent="0.25">
      <c r="A1049" s="1">
        <v>40126</v>
      </c>
      <c r="B1049" t="s">
        <v>5</v>
      </c>
      <c r="C1049">
        <v>133</v>
      </c>
      <c r="D1049">
        <f>YEAR(cukier9[[#This Row],[data]])</f>
        <v>2009</v>
      </c>
    </row>
    <row r="1050" spans="1:4" x14ac:dyDescent="0.25">
      <c r="A1050" s="1">
        <v>40128</v>
      </c>
      <c r="B1050" t="s">
        <v>45</v>
      </c>
      <c r="C1050">
        <v>326</v>
      </c>
      <c r="D1050">
        <f>YEAR(cukier9[[#This Row],[data]])</f>
        <v>2009</v>
      </c>
    </row>
    <row r="1051" spans="1:4" x14ac:dyDescent="0.25">
      <c r="A1051" s="1">
        <v>40128</v>
      </c>
      <c r="B1051" t="s">
        <v>120</v>
      </c>
      <c r="C1051">
        <v>102</v>
      </c>
      <c r="D1051">
        <f>YEAR(cukier9[[#This Row],[data]])</f>
        <v>2009</v>
      </c>
    </row>
    <row r="1052" spans="1:4" x14ac:dyDescent="0.25">
      <c r="A1052" s="1">
        <v>40129</v>
      </c>
      <c r="B1052" t="s">
        <v>7</v>
      </c>
      <c r="C1052">
        <v>332</v>
      </c>
      <c r="D1052">
        <f>YEAR(cukier9[[#This Row],[data]])</f>
        <v>2009</v>
      </c>
    </row>
    <row r="1053" spans="1:4" x14ac:dyDescent="0.25">
      <c r="A1053" s="1">
        <v>40130</v>
      </c>
      <c r="B1053" t="s">
        <v>19</v>
      </c>
      <c r="C1053">
        <v>95</v>
      </c>
      <c r="D1053">
        <f>YEAR(cukier9[[#This Row],[data]])</f>
        <v>2009</v>
      </c>
    </row>
    <row r="1054" spans="1:4" x14ac:dyDescent="0.25">
      <c r="A1054" s="1">
        <v>40134</v>
      </c>
      <c r="B1054" t="s">
        <v>136</v>
      </c>
      <c r="C1054">
        <v>7</v>
      </c>
      <c r="D1054">
        <f>YEAR(cukier9[[#This Row],[data]])</f>
        <v>2009</v>
      </c>
    </row>
    <row r="1055" spans="1:4" x14ac:dyDescent="0.25">
      <c r="A1055" s="1">
        <v>40134</v>
      </c>
      <c r="B1055" t="s">
        <v>14</v>
      </c>
      <c r="C1055">
        <v>276</v>
      </c>
      <c r="D1055">
        <f>YEAR(cukier9[[#This Row],[data]])</f>
        <v>2009</v>
      </c>
    </row>
    <row r="1056" spans="1:4" x14ac:dyDescent="0.25">
      <c r="A1056" s="1">
        <v>40134</v>
      </c>
      <c r="B1056" t="s">
        <v>139</v>
      </c>
      <c r="C1056">
        <v>6</v>
      </c>
      <c r="D1056">
        <f>YEAR(cukier9[[#This Row],[data]])</f>
        <v>2009</v>
      </c>
    </row>
    <row r="1057" spans="1:4" x14ac:dyDescent="0.25">
      <c r="A1057" s="1">
        <v>40136</v>
      </c>
      <c r="B1057" t="s">
        <v>45</v>
      </c>
      <c r="C1057">
        <v>232</v>
      </c>
      <c r="D1057">
        <f>YEAR(cukier9[[#This Row],[data]])</f>
        <v>2009</v>
      </c>
    </row>
    <row r="1058" spans="1:4" x14ac:dyDescent="0.25">
      <c r="A1058" s="1">
        <v>40136</v>
      </c>
      <c r="B1058" t="s">
        <v>66</v>
      </c>
      <c r="C1058">
        <v>162</v>
      </c>
      <c r="D1058">
        <f>YEAR(cukier9[[#This Row],[data]])</f>
        <v>2009</v>
      </c>
    </row>
    <row r="1059" spans="1:4" x14ac:dyDescent="0.25">
      <c r="A1059" s="1">
        <v>40139</v>
      </c>
      <c r="B1059" t="s">
        <v>10</v>
      </c>
      <c r="C1059">
        <v>66</v>
      </c>
      <c r="D1059">
        <f>YEAR(cukier9[[#This Row],[data]])</f>
        <v>2009</v>
      </c>
    </row>
    <row r="1060" spans="1:4" x14ac:dyDescent="0.25">
      <c r="A1060" s="1">
        <v>40139</v>
      </c>
      <c r="B1060" t="s">
        <v>157</v>
      </c>
      <c r="C1060">
        <v>2</v>
      </c>
      <c r="D1060">
        <f>YEAR(cukier9[[#This Row],[data]])</f>
        <v>2009</v>
      </c>
    </row>
    <row r="1061" spans="1:4" x14ac:dyDescent="0.25">
      <c r="A1061" s="1">
        <v>40139</v>
      </c>
      <c r="B1061" t="s">
        <v>12</v>
      </c>
      <c r="C1061">
        <v>152</v>
      </c>
      <c r="D1061">
        <f>YEAR(cukier9[[#This Row],[data]])</f>
        <v>2009</v>
      </c>
    </row>
    <row r="1062" spans="1:4" x14ac:dyDescent="0.25">
      <c r="A1062" s="1">
        <v>40139</v>
      </c>
      <c r="B1062" t="s">
        <v>201</v>
      </c>
      <c r="C1062">
        <v>2</v>
      </c>
      <c r="D1062">
        <f>YEAR(cukier9[[#This Row],[data]])</f>
        <v>2009</v>
      </c>
    </row>
    <row r="1063" spans="1:4" x14ac:dyDescent="0.25">
      <c r="A1063" s="1">
        <v>40142</v>
      </c>
      <c r="B1063" t="s">
        <v>20</v>
      </c>
      <c r="C1063">
        <v>115</v>
      </c>
      <c r="D1063">
        <f>YEAR(cukier9[[#This Row],[data]])</f>
        <v>2009</v>
      </c>
    </row>
    <row r="1064" spans="1:4" x14ac:dyDescent="0.25">
      <c r="A1064" s="1">
        <v>40142</v>
      </c>
      <c r="B1064" t="s">
        <v>37</v>
      </c>
      <c r="C1064">
        <v>29</v>
      </c>
      <c r="D1064">
        <f>YEAR(cukier9[[#This Row],[data]])</f>
        <v>2009</v>
      </c>
    </row>
    <row r="1065" spans="1:4" x14ac:dyDescent="0.25">
      <c r="A1065" s="1">
        <v>40142</v>
      </c>
      <c r="B1065" t="s">
        <v>35</v>
      </c>
      <c r="C1065">
        <v>91</v>
      </c>
      <c r="D1065">
        <f>YEAR(cukier9[[#This Row],[data]])</f>
        <v>2009</v>
      </c>
    </row>
    <row r="1066" spans="1:4" x14ac:dyDescent="0.25">
      <c r="A1066" s="1">
        <v>40144</v>
      </c>
      <c r="B1066" t="s">
        <v>19</v>
      </c>
      <c r="C1066">
        <v>125</v>
      </c>
      <c r="D1066">
        <f>YEAR(cukier9[[#This Row],[data]])</f>
        <v>2009</v>
      </c>
    </row>
    <row r="1067" spans="1:4" x14ac:dyDescent="0.25">
      <c r="A1067" s="1">
        <v>40146</v>
      </c>
      <c r="B1067" t="s">
        <v>61</v>
      </c>
      <c r="C1067">
        <v>40</v>
      </c>
      <c r="D1067">
        <f>YEAR(cukier9[[#This Row],[data]])</f>
        <v>2009</v>
      </c>
    </row>
    <row r="1068" spans="1:4" x14ac:dyDescent="0.25">
      <c r="A1068" s="1">
        <v>40146</v>
      </c>
      <c r="B1068" t="s">
        <v>9</v>
      </c>
      <c r="C1068">
        <v>279</v>
      </c>
      <c r="D1068">
        <f>YEAR(cukier9[[#This Row],[data]])</f>
        <v>2009</v>
      </c>
    </row>
    <row r="1069" spans="1:4" x14ac:dyDescent="0.25">
      <c r="A1069" s="1">
        <v>40147</v>
      </c>
      <c r="B1069" t="s">
        <v>11</v>
      </c>
      <c r="C1069">
        <v>8</v>
      </c>
      <c r="D1069">
        <f>YEAR(cukier9[[#This Row],[data]])</f>
        <v>2009</v>
      </c>
    </row>
    <row r="1070" spans="1:4" x14ac:dyDescent="0.25">
      <c r="A1070" s="1">
        <v>40151</v>
      </c>
      <c r="B1070" t="s">
        <v>71</v>
      </c>
      <c r="C1070">
        <v>194</v>
      </c>
      <c r="D1070">
        <f>YEAR(cukier9[[#This Row],[data]])</f>
        <v>2009</v>
      </c>
    </row>
    <row r="1071" spans="1:4" x14ac:dyDescent="0.25">
      <c r="A1071" s="1">
        <v>40152</v>
      </c>
      <c r="B1071" t="s">
        <v>6</v>
      </c>
      <c r="C1071">
        <v>168</v>
      </c>
      <c r="D1071">
        <f>YEAR(cukier9[[#This Row],[data]])</f>
        <v>2009</v>
      </c>
    </row>
    <row r="1072" spans="1:4" x14ac:dyDescent="0.25">
      <c r="A1072" s="1">
        <v>40153</v>
      </c>
      <c r="B1072" t="s">
        <v>14</v>
      </c>
      <c r="C1072">
        <v>211</v>
      </c>
      <c r="D1072">
        <f>YEAR(cukier9[[#This Row],[data]])</f>
        <v>2009</v>
      </c>
    </row>
    <row r="1073" spans="1:4" x14ac:dyDescent="0.25">
      <c r="A1073" s="1">
        <v>40153</v>
      </c>
      <c r="B1073" t="s">
        <v>155</v>
      </c>
      <c r="C1073">
        <v>19</v>
      </c>
      <c r="D1073">
        <f>YEAR(cukier9[[#This Row],[data]])</f>
        <v>2009</v>
      </c>
    </row>
    <row r="1074" spans="1:4" x14ac:dyDescent="0.25">
      <c r="A1074" s="1">
        <v>40155</v>
      </c>
      <c r="B1074" t="s">
        <v>153</v>
      </c>
      <c r="C1074">
        <v>16</v>
      </c>
      <c r="D1074">
        <f>YEAR(cukier9[[#This Row],[data]])</f>
        <v>2009</v>
      </c>
    </row>
    <row r="1075" spans="1:4" x14ac:dyDescent="0.25">
      <c r="A1075" s="1">
        <v>40158</v>
      </c>
      <c r="B1075" t="s">
        <v>27</v>
      </c>
      <c r="C1075">
        <v>18</v>
      </c>
      <c r="D1075">
        <f>YEAR(cukier9[[#This Row],[data]])</f>
        <v>2009</v>
      </c>
    </row>
    <row r="1076" spans="1:4" x14ac:dyDescent="0.25">
      <c r="A1076" s="1">
        <v>40158</v>
      </c>
      <c r="B1076" t="s">
        <v>7</v>
      </c>
      <c r="C1076">
        <v>399</v>
      </c>
      <c r="D1076">
        <f>YEAR(cukier9[[#This Row],[data]])</f>
        <v>2009</v>
      </c>
    </row>
    <row r="1077" spans="1:4" x14ac:dyDescent="0.25">
      <c r="A1077" s="1">
        <v>40160</v>
      </c>
      <c r="B1077" t="s">
        <v>202</v>
      </c>
      <c r="C1077">
        <v>11</v>
      </c>
      <c r="D1077">
        <f>YEAR(cukier9[[#This Row],[data]])</f>
        <v>2009</v>
      </c>
    </row>
    <row r="1078" spans="1:4" x14ac:dyDescent="0.25">
      <c r="A1078" s="1">
        <v>40164</v>
      </c>
      <c r="B1078" t="s">
        <v>23</v>
      </c>
      <c r="C1078">
        <v>131</v>
      </c>
      <c r="D1078">
        <f>YEAR(cukier9[[#This Row],[data]])</f>
        <v>2009</v>
      </c>
    </row>
    <row r="1079" spans="1:4" x14ac:dyDescent="0.25">
      <c r="A1079" s="1">
        <v>40165</v>
      </c>
      <c r="B1079" t="s">
        <v>39</v>
      </c>
      <c r="C1079">
        <v>67</v>
      </c>
      <c r="D1079">
        <f>YEAR(cukier9[[#This Row],[data]])</f>
        <v>2009</v>
      </c>
    </row>
    <row r="1080" spans="1:4" x14ac:dyDescent="0.25">
      <c r="A1080" s="1">
        <v>40166</v>
      </c>
      <c r="B1080" t="s">
        <v>10</v>
      </c>
      <c r="C1080">
        <v>151</v>
      </c>
      <c r="D1080">
        <f>YEAR(cukier9[[#This Row],[data]])</f>
        <v>2009</v>
      </c>
    </row>
    <row r="1081" spans="1:4" x14ac:dyDescent="0.25">
      <c r="A1081" s="1">
        <v>40171</v>
      </c>
      <c r="B1081" t="s">
        <v>23</v>
      </c>
      <c r="C1081">
        <v>105</v>
      </c>
      <c r="D1081">
        <f>YEAR(cukier9[[#This Row],[data]])</f>
        <v>2009</v>
      </c>
    </row>
    <row r="1082" spans="1:4" x14ac:dyDescent="0.25">
      <c r="A1082" s="1">
        <v>40172</v>
      </c>
      <c r="B1082" t="s">
        <v>71</v>
      </c>
      <c r="C1082">
        <v>132</v>
      </c>
      <c r="D1082">
        <f>YEAR(cukier9[[#This Row],[data]])</f>
        <v>2009</v>
      </c>
    </row>
    <row r="1083" spans="1:4" x14ac:dyDescent="0.25">
      <c r="A1083" s="1">
        <v>40172</v>
      </c>
      <c r="B1083" t="s">
        <v>17</v>
      </c>
      <c r="C1083">
        <v>142</v>
      </c>
      <c r="D1083">
        <f>YEAR(cukier9[[#This Row],[data]])</f>
        <v>2009</v>
      </c>
    </row>
    <row r="1084" spans="1:4" x14ac:dyDescent="0.25">
      <c r="A1084" s="1">
        <v>40172</v>
      </c>
      <c r="B1084" t="s">
        <v>203</v>
      </c>
      <c r="C1084">
        <v>17</v>
      </c>
      <c r="D1084">
        <f>YEAR(cukier9[[#This Row],[data]])</f>
        <v>2009</v>
      </c>
    </row>
    <row r="1085" spans="1:4" x14ac:dyDescent="0.25">
      <c r="A1085" s="1">
        <v>40173</v>
      </c>
      <c r="B1085" t="s">
        <v>7</v>
      </c>
      <c r="C1085">
        <v>444</v>
      </c>
      <c r="D1085">
        <f>YEAR(cukier9[[#This Row],[data]])</f>
        <v>2009</v>
      </c>
    </row>
    <row r="1086" spans="1:4" x14ac:dyDescent="0.25">
      <c r="A1086" s="1">
        <v>40173</v>
      </c>
      <c r="B1086" t="s">
        <v>50</v>
      </c>
      <c r="C1086">
        <v>294</v>
      </c>
      <c r="D1086">
        <f>YEAR(cukier9[[#This Row],[data]])</f>
        <v>2009</v>
      </c>
    </row>
    <row r="1087" spans="1:4" x14ac:dyDescent="0.25">
      <c r="A1087" s="1">
        <v>40174</v>
      </c>
      <c r="B1087" t="s">
        <v>7</v>
      </c>
      <c r="C1087">
        <v>274</v>
      </c>
      <c r="D1087">
        <f>YEAR(cukier9[[#This Row],[data]])</f>
        <v>2009</v>
      </c>
    </row>
    <row r="1088" spans="1:4" x14ac:dyDescent="0.25">
      <c r="A1088" s="1">
        <v>40176</v>
      </c>
      <c r="B1088" t="s">
        <v>35</v>
      </c>
      <c r="C1088">
        <v>168</v>
      </c>
      <c r="D1088">
        <f>YEAR(cukier9[[#This Row],[data]])</f>
        <v>2009</v>
      </c>
    </row>
    <row r="1089" spans="1:4" x14ac:dyDescent="0.25">
      <c r="A1089" s="1">
        <v>40177</v>
      </c>
      <c r="B1089" t="s">
        <v>8</v>
      </c>
      <c r="C1089">
        <v>115</v>
      </c>
      <c r="D1089">
        <f>YEAR(cukier9[[#This Row],[data]])</f>
        <v>2009</v>
      </c>
    </row>
    <row r="1090" spans="1:4" x14ac:dyDescent="0.25">
      <c r="A1090" s="1">
        <v>40177</v>
      </c>
      <c r="B1090" t="s">
        <v>30</v>
      </c>
      <c r="C1090">
        <v>126</v>
      </c>
      <c r="D1090">
        <f>YEAR(cukier9[[#This Row],[data]])</f>
        <v>2009</v>
      </c>
    </row>
    <row r="1091" spans="1:4" x14ac:dyDescent="0.25">
      <c r="A1091" s="1">
        <v>40180</v>
      </c>
      <c r="B1091" t="s">
        <v>28</v>
      </c>
      <c r="C1091">
        <v>73</v>
      </c>
      <c r="D1091">
        <f>YEAR(cukier9[[#This Row],[data]])</f>
        <v>2010</v>
      </c>
    </row>
    <row r="1092" spans="1:4" x14ac:dyDescent="0.25">
      <c r="A1092" s="1">
        <v>40180</v>
      </c>
      <c r="B1092" t="s">
        <v>22</v>
      </c>
      <c r="C1092">
        <v>413</v>
      </c>
      <c r="D1092">
        <f>YEAR(cukier9[[#This Row],[data]])</f>
        <v>2010</v>
      </c>
    </row>
    <row r="1093" spans="1:4" x14ac:dyDescent="0.25">
      <c r="A1093" s="1">
        <v>40181</v>
      </c>
      <c r="B1093" t="s">
        <v>7</v>
      </c>
      <c r="C1093">
        <v>393</v>
      </c>
      <c r="D1093">
        <f>YEAR(cukier9[[#This Row],[data]])</f>
        <v>2010</v>
      </c>
    </row>
    <row r="1094" spans="1:4" x14ac:dyDescent="0.25">
      <c r="A1094" s="1">
        <v>40184</v>
      </c>
      <c r="B1094" t="s">
        <v>143</v>
      </c>
      <c r="C1094">
        <v>13</v>
      </c>
      <c r="D1094">
        <f>YEAR(cukier9[[#This Row],[data]])</f>
        <v>2010</v>
      </c>
    </row>
    <row r="1095" spans="1:4" x14ac:dyDescent="0.25">
      <c r="A1095" s="1">
        <v>40185</v>
      </c>
      <c r="B1095" t="s">
        <v>22</v>
      </c>
      <c r="C1095">
        <v>211</v>
      </c>
      <c r="D1095">
        <f>YEAR(cukier9[[#This Row],[data]])</f>
        <v>2010</v>
      </c>
    </row>
    <row r="1096" spans="1:4" x14ac:dyDescent="0.25">
      <c r="A1096" s="1">
        <v>40189</v>
      </c>
      <c r="B1096" t="s">
        <v>61</v>
      </c>
      <c r="C1096">
        <v>116</v>
      </c>
      <c r="D1096">
        <f>YEAR(cukier9[[#This Row],[data]])</f>
        <v>2010</v>
      </c>
    </row>
    <row r="1097" spans="1:4" x14ac:dyDescent="0.25">
      <c r="A1097" s="1">
        <v>40189</v>
      </c>
      <c r="B1097" t="s">
        <v>0</v>
      </c>
      <c r="C1097">
        <v>9</v>
      </c>
      <c r="D1097">
        <f>YEAR(cukier9[[#This Row],[data]])</f>
        <v>2010</v>
      </c>
    </row>
    <row r="1098" spans="1:4" x14ac:dyDescent="0.25">
      <c r="A1098" s="1">
        <v>40193</v>
      </c>
      <c r="B1098" t="s">
        <v>45</v>
      </c>
      <c r="C1098">
        <v>117</v>
      </c>
      <c r="D1098">
        <f>YEAR(cukier9[[#This Row],[data]])</f>
        <v>2010</v>
      </c>
    </row>
    <row r="1099" spans="1:4" x14ac:dyDescent="0.25">
      <c r="A1099" s="1">
        <v>40194</v>
      </c>
      <c r="B1099" t="s">
        <v>50</v>
      </c>
      <c r="C1099">
        <v>221</v>
      </c>
      <c r="D1099">
        <f>YEAR(cukier9[[#This Row],[data]])</f>
        <v>2010</v>
      </c>
    </row>
    <row r="1100" spans="1:4" x14ac:dyDescent="0.25">
      <c r="A1100" s="1">
        <v>40198</v>
      </c>
      <c r="B1100" t="s">
        <v>152</v>
      </c>
      <c r="C1100">
        <v>9</v>
      </c>
      <c r="D1100">
        <f>YEAR(cukier9[[#This Row],[data]])</f>
        <v>2010</v>
      </c>
    </row>
    <row r="1101" spans="1:4" x14ac:dyDescent="0.25">
      <c r="A1101" s="1">
        <v>40199</v>
      </c>
      <c r="B1101" t="s">
        <v>17</v>
      </c>
      <c r="C1101">
        <v>214</v>
      </c>
      <c r="D1101">
        <f>YEAR(cukier9[[#This Row],[data]])</f>
        <v>2010</v>
      </c>
    </row>
    <row r="1102" spans="1:4" x14ac:dyDescent="0.25">
      <c r="A1102" s="1">
        <v>40200</v>
      </c>
      <c r="B1102" t="s">
        <v>37</v>
      </c>
      <c r="C1102">
        <v>138</v>
      </c>
      <c r="D1102">
        <f>YEAR(cukier9[[#This Row],[data]])</f>
        <v>2010</v>
      </c>
    </row>
    <row r="1103" spans="1:4" x14ac:dyDescent="0.25">
      <c r="A1103" s="1">
        <v>40201</v>
      </c>
      <c r="B1103" t="s">
        <v>81</v>
      </c>
      <c r="C1103">
        <v>11</v>
      </c>
      <c r="D1103">
        <f>YEAR(cukier9[[#This Row],[data]])</f>
        <v>2010</v>
      </c>
    </row>
    <row r="1104" spans="1:4" x14ac:dyDescent="0.25">
      <c r="A1104" s="1">
        <v>40201</v>
      </c>
      <c r="B1104" t="s">
        <v>52</v>
      </c>
      <c r="C1104">
        <v>128</v>
      </c>
      <c r="D1104">
        <f>YEAR(cukier9[[#This Row],[data]])</f>
        <v>2010</v>
      </c>
    </row>
    <row r="1105" spans="1:4" x14ac:dyDescent="0.25">
      <c r="A1105" s="1">
        <v>40202</v>
      </c>
      <c r="B1105" t="s">
        <v>17</v>
      </c>
      <c r="C1105">
        <v>376</v>
      </c>
      <c r="D1105">
        <f>YEAR(cukier9[[#This Row],[data]])</f>
        <v>2010</v>
      </c>
    </row>
    <row r="1106" spans="1:4" x14ac:dyDescent="0.25">
      <c r="A1106" s="1">
        <v>40203</v>
      </c>
      <c r="B1106" t="s">
        <v>17</v>
      </c>
      <c r="C1106">
        <v>121</v>
      </c>
      <c r="D1106">
        <f>YEAR(cukier9[[#This Row],[data]])</f>
        <v>2010</v>
      </c>
    </row>
    <row r="1107" spans="1:4" x14ac:dyDescent="0.25">
      <c r="A1107" s="1">
        <v>40203</v>
      </c>
      <c r="B1107" t="s">
        <v>14</v>
      </c>
      <c r="C1107">
        <v>200</v>
      </c>
      <c r="D1107">
        <f>YEAR(cukier9[[#This Row],[data]])</f>
        <v>2010</v>
      </c>
    </row>
    <row r="1108" spans="1:4" x14ac:dyDescent="0.25">
      <c r="A1108" s="1">
        <v>40204</v>
      </c>
      <c r="B1108" t="s">
        <v>17</v>
      </c>
      <c r="C1108">
        <v>500</v>
      </c>
      <c r="D1108">
        <f>YEAR(cukier9[[#This Row],[data]])</f>
        <v>2010</v>
      </c>
    </row>
    <row r="1109" spans="1:4" x14ac:dyDescent="0.25">
      <c r="A1109" s="1">
        <v>40206</v>
      </c>
      <c r="B1109" t="s">
        <v>71</v>
      </c>
      <c r="C1109">
        <v>108</v>
      </c>
      <c r="D1109">
        <f>YEAR(cukier9[[#This Row],[data]])</f>
        <v>2010</v>
      </c>
    </row>
    <row r="1110" spans="1:4" x14ac:dyDescent="0.25">
      <c r="A1110" s="1">
        <v>40207</v>
      </c>
      <c r="B1110" t="s">
        <v>25</v>
      </c>
      <c r="C1110">
        <v>59</v>
      </c>
      <c r="D1110">
        <f>YEAR(cukier9[[#This Row],[data]])</f>
        <v>2010</v>
      </c>
    </row>
    <row r="1111" spans="1:4" x14ac:dyDescent="0.25">
      <c r="A1111" s="1">
        <v>40208</v>
      </c>
      <c r="B1111" t="s">
        <v>10</v>
      </c>
      <c r="C1111">
        <v>191</v>
      </c>
      <c r="D1111">
        <f>YEAR(cukier9[[#This Row],[data]])</f>
        <v>2010</v>
      </c>
    </row>
    <row r="1112" spans="1:4" x14ac:dyDescent="0.25">
      <c r="A1112" s="1">
        <v>40209</v>
      </c>
      <c r="B1112" t="s">
        <v>19</v>
      </c>
      <c r="C1112">
        <v>189</v>
      </c>
      <c r="D1112">
        <f>YEAR(cukier9[[#This Row],[data]])</f>
        <v>2010</v>
      </c>
    </row>
    <row r="1113" spans="1:4" x14ac:dyDescent="0.25">
      <c r="A1113" s="1">
        <v>40211</v>
      </c>
      <c r="B1113" t="s">
        <v>45</v>
      </c>
      <c r="C1113">
        <v>247</v>
      </c>
      <c r="D1113">
        <f>YEAR(cukier9[[#This Row],[data]])</f>
        <v>2010</v>
      </c>
    </row>
    <row r="1114" spans="1:4" x14ac:dyDescent="0.25">
      <c r="A1114" s="1">
        <v>40211</v>
      </c>
      <c r="B1114" t="s">
        <v>35</v>
      </c>
      <c r="C1114">
        <v>195</v>
      </c>
      <c r="D1114">
        <f>YEAR(cukier9[[#This Row],[data]])</f>
        <v>2010</v>
      </c>
    </row>
    <row r="1115" spans="1:4" x14ac:dyDescent="0.25">
      <c r="A1115" s="1">
        <v>40212</v>
      </c>
      <c r="B1115" t="s">
        <v>204</v>
      </c>
      <c r="C1115">
        <v>6</v>
      </c>
      <c r="D1115">
        <f>YEAR(cukier9[[#This Row],[data]])</f>
        <v>2010</v>
      </c>
    </row>
    <row r="1116" spans="1:4" x14ac:dyDescent="0.25">
      <c r="A1116" s="1">
        <v>40213</v>
      </c>
      <c r="B1116" t="s">
        <v>205</v>
      </c>
      <c r="C1116">
        <v>1</v>
      </c>
      <c r="D1116">
        <f>YEAR(cukier9[[#This Row],[data]])</f>
        <v>2010</v>
      </c>
    </row>
    <row r="1117" spans="1:4" x14ac:dyDescent="0.25">
      <c r="A1117" s="1">
        <v>40214</v>
      </c>
      <c r="B1117" t="s">
        <v>50</v>
      </c>
      <c r="C1117">
        <v>347</v>
      </c>
      <c r="D1117">
        <f>YEAR(cukier9[[#This Row],[data]])</f>
        <v>2010</v>
      </c>
    </row>
    <row r="1118" spans="1:4" x14ac:dyDescent="0.25">
      <c r="A1118" s="1">
        <v>40217</v>
      </c>
      <c r="B1118" t="s">
        <v>14</v>
      </c>
      <c r="C1118">
        <v>317</v>
      </c>
      <c r="D1118">
        <f>YEAR(cukier9[[#This Row],[data]])</f>
        <v>2010</v>
      </c>
    </row>
    <row r="1119" spans="1:4" x14ac:dyDescent="0.25">
      <c r="A1119" s="1">
        <v>40218</v>
      </c>
      <c r="B1119" t="s">
        <v>45</v>
      </c>
      <c r="C1119">
        <v>271</v>
      </c>
      <c r="D1119">
        <f>YEAR(cukier9[[#This Row],[data]])</f>
        <v>2010</v>
      </c>
    </row>
    <row r="1120" spans="1:4" x14ac:dyDescent="0.25">
      <c r="A1120" s="1">
        <v>40218</v>
      </c>
      <c r="B1120" t="s">
        <v>85</v>
      </c>
      <c r="C1120">
        <v>4</v>
      </c>
      <c r="D1120">
        <f>YEAR(cukier9[[#This Row],[data]])</f>
        <v>2010</v>
      </c>
    </row>
    <row r="1121" spans="1:4" x14ac:dyDescent="0.25">
      <c r="A1121" s="1">
        <v>40220</v>
      </c>
      <c r="B1121" t="s">
        <v>28</v>
      </c>
      <c r="C1121">
        <v>121</v>
      </c>
      <c r="D1121">
        <f>YEAR(cukier9[[#This Row],[data]])</f>
        <v>2010</v>
      </c>
    </row>
    <row r="1122" spans="1:4" x14ac:dyDescent="0.25">
      <c r="A1122" s="1">
        <v>40221</v>
      </c>
      <c r="B1122" t="s">
        <v>6</v>
      </c>
      <c r="C1122">
        <v>81</v>
      </c>
      <c r="D1122">
        <f>YEAR(cukier9[[#This Row],[data]])</f>
        <v>2010</v>
      </c>
    </row>
    <row r="1123" spans="1:4" x14ac:dyDescent="0.25">
      <c r="A1123" s="1">
        <v>40221</v>
      </c>
      <c r="B1123" t="s">
        <v>84</v>
      </c>
      <c r="C1123">
        <v>1</v>
      </c>
      <c r="D1123">
        <f>YEAR(cukier9[[#This Row],[data]])</f>
        <v>2010</v>
      </c>
    </row>
    <row r="1124" spans="1:4" x14ac:dyDescent="0.25">
      <c r="A1124" s="1">
        <v>40223</v>
      </c>
      <c r="B1124" t="s">
        <v>30</v>
      </c>
      <c r="C1124">
        <v>142</v>
      </c>
      <c r="D1124">
        <f>YEAR(cukier9[[#This Row],[data]])</f>
        <v>2010</v>
      </c>
    </row>
    <row r="1125" spans="1:4" x14ac:dyDescent="0.25">
      <c r="A1125" s="1">
        <v>40224</v>
      </c>
      <c r="B1125" t="s">
        <v>22</v>
      </c>
      <c r="C1125">
        <v>265</v>
      </c>
      <c r="D1125">
        <f>YEAR(cukier9[[#This Row],[data]])</f>
        <v>2010</v>
      </c>
    </row>
    <row r="1126" spans="1:4" x14ac:dyDescent="0.25">
      <c r="A1126" s="1">
        <v>40225</v>
      </c>
      <c r="B1126" t="s">
        <v>6</v>
      </c>
      <c r="C1126">
        <v>194</v>
      </c>
      <c r="D1126">
        <f>YEAR(cukier9[[#This Row],[data]])</f>
        <v>2010</v>
      </c>
    </row>
    <row r="1127" spans="1:4" x14ac:dyDescent="0.25">
      <c r="A1127" s="1">
        <v>40225</v>
      </c>
      <c r="B1127" t="s">
        <v>161</v>
      </c>
      <c r="C1127">
        <v>15</v>
      </c>
      <c r="D1127">
        <f>YEAR(cukier9[[#This Row],[data]])</f>
        <v>2010</v>
      </c>
    </row>
    <row r="1128" spans="1:4" x14ac:dyDescent="0.25">
      <c r="A1128" s="1">
        <v>40227</v>
      </c>
      <c r="B1128" t="s">
        <v>10</v>
      </c>
      <c r="C1128">
        <v>23</v>
      </c>
      <c r="D1128">
        <f>YEAR(cukier9[[#This Row],[data]])</f>
        <v>2010</v>
      </c>
    </row>
    <row r="1129" spans="1:4" x14ac:dyDescent="0.25">
      <c r="A1129" s="1">
        <v>40227</v>
      </c>
      <c r="B1129" t="s">
        <v>22</v>
      </c>
      <c r="C1129">
        <v>279</v>
      </c>
      <c r="D1129">
        <f>YEAR(cukier9[[#This Row],[data]])</f>
        <v>2010</v>
      </c>
    </row>
    <row r="1130" spans="1:4" x14ac:dyDescent="0.25">
      <c r="A1130" s="1">
        <v>40229</v>
      </c>
      <c r="B1130" t="s">
        <v>206</v>
      </c>
      <c r="C1130">
        <v>1</v>
      </c>
      <c r="D1130">
        <f>YEAR(cukier9[[#This Row],[data]])</f>
        <v>2010</v>
      </c>
    </row>
    <row r="1131" spans="1:4" x14ac:dyDescent="0.25">
      <c r="A1131" s="1">
        <v>40234</v>
      </c>
      <c r="B1131" t="s">
        <v>22</v>
      </c>
      <c r="C1131">
        <v>487</v>
      </c>
      <c r="D1131">
        <f>YEAR(cukier9[[#This Row],[data]])</f>
        <v>2010</v>
      </c>
    </row>
    <row r="1132" spans="1:4" x14ac:dyDescent="0.25">
      <c r="A1132" s="1">
        <v>40234</v>
      </c>
      <c r="B1132" t="s">
        <v>7</v>
      </c>
      <c r="C1132">
        <v>395</v>
      </c>
      <c r="D1132">
        <f>YEAR(cukier9[[#This Row],[data]])</f>
        <v>2010</v>
      </c>
    </row>
    <row r="1133" spans="1:4" x14ac:dyDescent="0.25">
      <c r="A1133" s="1">
        <v>40236</v>
      </c>
      <c r="B1133" t="s">
        <v>71</v>
      </c>
      <c r="C1133">
        <v>91</v>
      </c>
      <c r="D1133">
        <f>YEAR(cukier9[[#This Row],[data]])</f>
        <v>2010</v>
      </c>
    </row>
    <row r="1134" spans="1:4" x14ac:dyDescent="0.25">
      <c r="A1134" s="1">
        <v>40236</v>
      </c>
      <c r="B1134" t="s">
        <v>25</v>
      </c>
      <c r="C1134">
        <v>39</v>
      </c>
      <c r="D1134">
        <f>YEAR(cukier9[[#This Row],[data]])</f>
        <v>2010</v>
      </c>
    </row>
    <row r="1135" spans="1:4" x14ac:dyDescent="0.25">
      <c r="A1135" s="1">
        <v>40236</v>
      </c>
      <c r="B1135" t="s">
        <v>22</v>
      </c>
      <c r="C1135">
        <v>312</v>
      </c>
      <c r="D1135">
        <f>YEAR(cukier9[[#This Row],[data]])</f>
        <v>2010</v>
      </c>
    </row>
    <row r="1136" spans="1:4" x14ac:dyDescent="0.25">
      <c r="A1136" s="1">
        <v>40237</v>
      </c>
      <c r="B1136" t="s">
        <v>207</v>
      </c>
      <c r="C1136">
        <v>20</v>
      </c>
      <c r="D1136">
        <f>YEAR(cukier9[[#This Row],[data]])</f>
        <v>2010</v>
      </c>
    </row>
    <row r="1137" spans="1:4" x14ac:dyDescent="0.25">
      <c r="A1137" s="1">
        <v>40240</v>
      </c>
      <c r="B1137" t="s">
        <v>28</v>
      </c>
      <c r="C1137">
        <v>35</v>
      </c>
      <c r="D1137">
        <f>YEAR(cukier9[[#This Row],[data]])</f>
        <v>2010</v>
      </c>
    </row>
    <row r="1138" spans="1:4" x14ac:dyDescent="0.25">
      <c r="A1138" s="1">
        <v>40242</v>
      </c>
      <c r="B1138" t="s">
        <v>203</v>
      </c>
      <c r="C1138">
        <v>20</v>
      </c>
      <c r="D1138">
        <f>YEAR(cukier9[[#This Row],[data]])</f>
        <v>2010</v>
      </c>
    </row>
    <row r="1139" spans="1:4" x14ac:dyDescent="0.25">
      <c r="A1139" s="1">
        <v>40245</v>
      </c>
      <c r="B1139" t="s">
        <v>30</v>
      </c>
      <c r="C1139">
        <v>125</v>
      </c>
      <c r="D1139">
        <f>YEAR(cukier9[[#This Row],[data]])</f>
        <v>2010</v>
      </c>
    </row>
    <row r="1140" spans="1:4" x14ac:dyDescent="0.25">
      <c r="A1140" s="1">
        <v>40245</v>
      </c>
      <c r="B1140" t="s">
        <v>45</v>
      </c>
      <c r="C1140">
        <v>396</v>
      </c>
      <c r="D1140">
        <f>YEAR(cukier9[[#This Row],[data]])</f>
        <v>2010</v>
      </c>
    </row>
    <row r="1141" spans="1:4" x14ac:dyDescent="0.25">
      <c r="A1141" s="1">
        <v>40246</v>
      </c>
      <c r="B1141" t="s">
        <v>208</v>
      </c>
      <c r="C1141">
        <v>7</v>
      </c>
      <c r="D1141">
        <f>YEAR(cukier9[[#This Row],[data]])</f>
        <v>2010</v>
      </c>
    </row>
    <row r="1142" spans="1:4" x14ac:dyDescent="0.25">
      <c r="A1142" s="1">
        <v>40247</v>
      </c>
      <c r="B1142" t="s">
        <v>78</v>
      </c>
      <c r="C1142">
        <v>59</v>
      </c>
      <c r="D1142">
        <f>YEAR(cukier9[[#This Row],[data]])</f>
        <v>2010</v>
      </c>
    </row>
    <row r="1143" spans="1:4" x14ac:dyDescent="0.25">
      <c r="A1143" s="1">
        <v>40250</v>
      </c>
      <c r="B1143" t="s">
        <v>14</v>
      </c>
      <c r="C1143">
        <v>417</v>
      </c>
      <c r="D1143">
        <f>YEAR(cukier9[[#This Row],[data]])</f>
        <v>2010</v>
      </c>
    </row>
    <row r="1144" spans="1:4" x14ac:dyDescent="0.25">
      <c r="A1144" s="1">
        <v>40250</v>
      </c>
      <c r="B1144" t="s">
        <v>45</v>
      </c>
      <c r="C1144">
        <v>115</v>
      </c>
      <c r="D1144">
        <f>YEAR(cukier9[[#This Row],[data]])</f>
        <v>2010</v>
      </c>
    </row>
    <row r="1145" spans="1:4" x14ac:dyDescent="0.25">
      <c r="A1145" s="1">
        <v>40253</v>
      </c>
      <c r="B1145" t="s">
        <v>54</v>
      </c>
      <c r="C1145">
        <v>6</v>
      </c>
      <c r="D1145">
        <f>YEAR(cukier9[[#This Row],[data]])</f>
        <v>2010</v>
      </c>
    </row>
    <row r="1146" spans="1:4" x14ac:dyDescent="0.25">
      <c r="A1146" s="1">
        <v>40254</v>
      </c>
      <c r="B1146" t="s">
        <v>19</v>
      </c>
      <c r="C1146">
        <v>69</v>
      </c>
      <c r="D1146">
        <f>YEAR(cukier9[[#This Row],[data]])</f>
        <v>2010</v>
      </c>
    </row>
    <row r="1147" spans="1:4" x14ac:dyDescent="0.25">
      <c r="A1147" s="1">
        <v>40256</v>
      </c>
      <c r="B1147" t="s">
        <v>12</v>
      </c>
      <c r="C1147">
        <v>58</v>
      </c>
      <c r="D1147">
        <f>YEAR(cukier9[[#This Row],[data]])</f>
        <v>2010</v>
      </c>
    </row>
    <row r="1148" spans="1:4" x14ac:dyDescent="0.25">
      <c r="A1148" s="1">
        <v>40256</v>
      </c>
      <c r="B1148" t="s">
        <v>25</v>
      </c>
      <c r="C1148">
        <v>159</v>
      </c>
      <c r="D1148">
        <f>YEAR(cukier9[[#This Row],[data]])</f>
        <v>2010</v>
      </c>
    </row>
    <row r="1149" spans="1:4" x14ac:dyDescent="0.25">
      <c r="A1149" s="1">
        <v>40258</v>
      </c>
      <c r="B1149" t="s">
        <v>209</v>
      </c>
      <c r="C1149">
        <v>6</v>
      </c>
      <c r="D1149">
        <f>YEAR(cukier9[[#This Row],[data]])</f>
        <v>2010</v>
      </c>
    </row>
    <row r="1150" spans="1:4" x14ac:dyDescent="0.25">
      <c r="A1150" s="1">
        <v>40259</v>
      </c>
      <c r="B1150" t="s">
        <v>12</v>
      </c>
      <c r="C1150">
        <v>103</v>
      </c>
      <c r="D1150">
        <f>YEAR(cukier9[[#This Row],[data]])</f>
        <v>2010</v>
      </c>
    </row>
    <row r="1151" spans="1:4" x14ac:dyDescent="0.25">
      <c r="A1151" s="1">
        <v>40263</v>
      </c>
      <c r="B1151" t="s">
        <v>7</v>
      </c>
      <c r="C1151">
        <v>155</v>
      </c>
      <c r="D1151">
        <f>YEAR(cukier9[[#This Row],[data]])</f>
        <v>2010</v>
      </c>
    </row>
    <row r="1152" spans="1:4" x14ac:dyDescent="0.25">
      <c r="A1152" s="1">
        <v>40263</v>
      </c>
      <c r="B1152" t="s">
        <v>81</v>
      </c>
      <c r="C1152">
        <v>10</v>
      </c>
      <c r="D1152">
        <f>YEAR(cukier9[[#This Row],[data]])</f>
        <v>2010</v>
      </c>
    </row>
    <row r="1153" spans="1:4" x14ac:dyDescent="0.25">
      <c r="A1153" s="1">
        <v>40265</v>
      </c>
      <c r="B1153" t="s">
        <v>28</v>
      </c>
      <c r="C1153">
        <v>158</v>
      </c>
      <c r="D1153">
        <f>YEAR(cukier9[[#This Row],[data]])</f>
        <v>2010</v>
      </c>
    </row>
    <row r="1154" spans="1:4" x14ac:dyDescent="0.25">
      <c r="A1154" s="1">
        <v>40267</v>
      </c>
      <c r="B1154" t="s">
        <v>55</v>
      </c>
      <c r="C1154">
        <v>146</v>
      </c>
      <c r="D1154">
        <f>YEAR(cukier9[[#This Row],[data]])</f>
        <v>2010</v>
      </c>
    </row>
    <row r="1155" spans="1:4" x14ac:dyDescent="0.25">
      <c r="A1155" s="1">
        <v>40268</v>
      </c>
      <c r="B1155" t="s">
        <v>22</v>
      </c>
      <c r="C1155">
        <v>230</v>
      </c>
      <c r="D1155">
        <f>YEAR(cukier9[[#This Row],[data]])</f>
        <v>2010</v>
      </c>
    </row>
    <row r="1156" spans="1:4" x14ac:dyDescent="0.25">
      <c r="A1156" s="1">
        <v>40270</v>
      </c>
      <c r="B1156" t="s">
        <v>39</v>
      </c>
      <c r="C1156">
        <v>143</v>
      </c>
      <c r="D1156">
        <f>YEAR(cukier9[[#This Row],[data]])</f>
        <v>2010</v>
      </c>
    </row>
    <row r="1157" spans="1:4" x14ac:dyDescent="0.25">
      <c r="A1157" s="1">
        <v>40270</v>
      </c>
      <c r="B1157" t="s">
        <v>61</v>
      </c>
      <c r="C1157">
        <v>167</v>
      </c>
      <c r="D1157">
        <f>YEAR(cukier9[[#This Row],[data]])</f>
        <v>2010</v>
      </c>
    </row>
    <row r="1158" spans="1:4" x14ac:dyDescent="0.25">
      <c r="A1158" s="1">
        <v>40270</v>
      </c>
      <c r="B1158" t="s">
        <v>52</v>
      </c>
      <c r="C1158">
        <v>119</v>
      </c>
      <c r="D1158">
        <f>YEAR(cukier9[[#This Row],[data]])</f>
        <v>2010</v>
      </c>
    </row>
    <row r="1159" spans="1:4" x14ac:dyDescent="0.25">
      <c r="A1159" s="1">
        <v>40272</v>
      </c>
      <c r="B1159" t="s">
        <v>14</v>
      </c>
      <c r="C1159">
        <v>400</v>
      </c>
      <c r="D1159">
        <f>YEAR(cukier9[[#This Row],[data]])</f>
        <v>2010</v>
      </c>
    </row>
    <row r="1160" spans="1:4" x14ac:dyDescent="0.25">
      <c r="A1160" s="1">
        <v>40274</v>
      </c>
      <c r="B1160" t="s">
        <v>37</v>
      </c>
      <c r="C1160">
        <v>172</v>
      </c>
      <c r="D1160">
        <f>YEAR(cukier9[[#This Row],[data]])</f>
        <v>2010</v>
      </c>
    </row>
    <row r="1161" spans="1:4" x14ac:dyDescent="0.25">
      <c r="A1161" s="1">
        <v>40275</v>
      </c>
      <c r="B1161" t="s">
        <v>98</v>
      </c>
      <c r="C1161">
        <v>19</v>
      </c>
      <c r="D1161">
        <f>YEAR(cukier9[[#This Row],[data]])</f>
        <v>2010</v>
      </c>
    </row>
    <row r="1162" spans="1:4" x14ac:dyDescent="0.25">
      <c r="A1162" s="1">
        <v>40277</v>
      </c>
      <c r="B1162" t="s">
        <v>7</v>
      </c>
      <c r="C1162">
        <v>116</v>
      </c>
      <c r="D1162">
        <f>YEAR(cukier9[[#This Row],[data]])</f>
        <v>2010</v>
      </c>
    </row>
    <row r="1163" spans="1:4" x14ac:dyDescent="0.25">
      <c r="A1163" s="1">
        <v>40279</v>
      </c>
      <c r="B1163" t="s">
        <v>22</v>
      </c>
      <c r="C1163">
        <v>143</v>
      </c>
      <c r="D1163">
        <f>YEAR(cukier9[[#This Row],[data]])</f>
        <v>2010</v>
      </c>
    </row>
    <row r="1164" spans="1:4" x14ac:dyDescent="0.25">
      <c r="A1164" s="1">
        <v>40280</v>
      </c>
      <c r="B1164" t="s">
        <v>9</v>
      </c>
      <c r="C1164">
        <v>222</v>
      </c>
      <c r="D1164">
        <f>YEAR(cukier9[[#This Row],[data]])</f>
        <v>2010</v>
      </c>
    </row>
    <row r="1165" spans="1:4" x14ac:dyDescent="0.25">
      <c r="A1165" s="1">
        <v>40282</v>
      </c>
      <c r="B1165" t="s">
        <v>9</v>
      </c>
      <c r="C1165">
        <v>352</v>
      </c>
      <c r="D1165">
        <f>YEAR(cukier9[[#This Row],[data]])</f>
        <v>2010</v>
      </c>
    </row>
    <row r="1166" spans="1:4" x14ac:dyDescent="0.25">
      <c r="A1166" s="1">
        <v>40282</v>
      </c>
      <c r="B1166" t="s">
        <v>52</v>
      </c>
      <c r="C1166">
        <v>69</v>
      </c>
      <c r="D1166">
        <f>YEAR(cukier9[[#This Row],[data]])</f>
        <v>2010</v>
      </c>
    </row>
    <row r="1167" spans="1:4" x14ac:dyDescent="0.25">
      <c r="A1167" s="1">
        <v>40283</v>
      </c>
      <c r="B1167" t="s">
        <v>45</v>
      </c>
      <c r="C1167">
        <v>182</v>
      </c>
      <c r="D1167">
        <f>YEAR(cukier9[[#This Row],[data]])</f>
        <v>2010</v>
      </c>
    </row>
    <row r="1168" spans="1:4" x14ac:dyDescent="0.25">
      <c r="A1168" s="1">
        <v>40285</v>
      </c>
      <c r="B1168" t="s">
        <v>9</v>
      </c>
      <c r="C1168">
        <v>182</v>
      </c>
      <c r="D1168">
        <f>YEAR(cukier9[[#This Row],[data]])</f>
        <v>2010</v>
      </c>
    </row>
    <row r="1169" spans="1:4" x14ac:dyDescent="0.25">
      <c r="A1169" s="1">
        <v>40285</v>
      </c>
      <c r="B1169" t="s">
        <v>52</v>
      </c>
      <c r="C1169">
        <v>165</v>
      </c>
      <c r="D1169">
        <f>YEAR(cukier9[[#This Row],[data]])</f>
        <v>2010</v>
      </c>
    </row>
    <row r="1170" spans="1:4" x14ac:dyDescent="0.25">
      <c r="A1170" s="1">
        <v>40286</v>
      </c>
      <c r="B1170" t="s">
        <v>40</v>
      </c>
      <c r="C1170">
        <v>18</v>
      </c>
      <c r="D1170">
        <f>YEAR(cukier9[[#This Row],[data]])</f>
        <v>2010</v>
      </c>
    </row>
    <row r="1171" spans="1:4" x14ac:dyDescent="0.25">
      <c r="A1171" s="1">
        <v>40286</v>
      </c>
      <c r="B1171" t="s">
        <v>210</v>
      </c>
      <c r="C1171">
        <v>2</v>
      </c>
      <c r="D1171">
        <f>YEAR(cukier9[[#This Row],[data]])</f>
        <v>2010</v>
      </c>
    </row>
    <row r="1172" spans="1:4" x14ac:dyDescent="0.25">
      <c r="A1172" s="1">
        <v>40287</v>
      </c>
      <c r="B1172" t="s">
        <v>184</v>
      </c>
      <c r="C1172">
        <v>15</v>
      </c>
      <c r="D1172">
        <f>YEAR(cukier9[[#This Row],[data]])</f>
        <v>2010</v>
      </c>
    </row>
    <row r="1173" spans="1:4" x14ac:dyDescent="0.25">
      <c r="A1173" s="1">
        <v>40288</v>
      </c>
      <c r="B1173" t="s">
        <v>211</v>
      </c>
      <c r="C1173">
        <v>19</v>
      </c>
      <c r="D1173">
        <f>YEAR(cukier9[[#This Row],[data]])</f>
        <v>2010</v>
      </c>
    </row>
    <row r="1174" spans="1:4" x14ac:dyDescent="0.25">
      <c r="A1174" s="1">
        <v>40289</v>
      </c>
      <c r="B1174" t="s">
        <v>37</v>
      </c>
      <c r="C1174">
        <v>66</v>
      </c>
      <c r="D1174">
        <f>YEAR(cukier9[[#This Row],[data]])</f>
        <v>2010</v>
      </c>
    </row>
    <row r="1175" spans="1:4" x14ac:dyDescent="0.25">
      <c r="A1175" s="1">
        <v>40289</v>
      </c>
      <c r="B1175" t="s">
        <v>170</v>
      </c>
      <c r="C1175">
        <v>12</v>
      </c>
      <c r="D1175">
        <f>YEAR(cukier9[[#This Row],[data]])</f>
        <v>2010</v>
      </c>
    </row>
    <row r="1176" spans="1:4" x14ac:dyDescent="0.25">
      <c r="A1176" s="1">
        <v>40290</v>
      </c>
      <c r="B1176" t="s">
        <v>118</v>
      </c>
      <c r="C1176">
        <v>19</v>
      </c>
      <c r="D1176">
        <f>YEAR(cukier9[[#This Row],[data]])</f>
        <v>2010</v>
      </c>
    </row>
    <row r="1177" spans="1:4" x14ac:dyDescent="0.25">
      <c r="A1177" s="1">
        <v>40290</v>
      </c>
      <c r="B1177" t="s">
        <v>23</v>
      </c>
      <c r="C1177">
        <v>96</v>
      </c>
      <c r="D1177">
        <f>YEAR(cukier9[[#This Row],[data]])</f>
        <v>2010</v>
      </c>
    </row>
    <row r="1178" spans="1:4" x14ac:dyDescent="0.25">
      <c r="A1178" s="1">
        <v>40293</v>
      </c>
      <c r="B1178" t="s">
        <v>9</v>
      </c>
      <c r="C1178">
        <v>240</v>
      </c>
      <c r="D1178">
        <f>YEAR(cukier9[[#This Row],[data]])</f>
        <v>2010</v>
      </c>
    </row>
    <row r="1179" spans="1:4" x14ac:dyDescent="0.25">
      <c r="A1179" s="1">
        <v>40295</v>
      </c>
      <c r="B1179" t="s">
        <v>28</v>
      </c>
      <c r="C1179">
        <v>57</v>
      </c>
      <c r="D1179">
        <f>YEAR(cukier9[[#This Row],[data]])</f>
        <v>2010</v>
      </c>
    </row>
    <row r="1180" spans="1:4" x14ac:dyDescent="0.25">
      <c r="A1180" s="1">
        <v>40299</v>
      </c>
      <c r="B1180" t="s">
        <v>14</v>
      </c>
      <c r="C1180">
        <v>475</v>
      </c>
      <c r="D1180">
        <f>YEAR(cukier9[[#This Row],[data]])</f>
        <v>2010</v>
      </c>
    </row>
    <row r="1181" spans="1:4" x14ac:dyDescent="0.25">
      <c r="A1181" s="1">
        <v>40300</v>
      </c>
      <c r="B1181" t="s">
        <v>7</v>
      </c>
      <c r="C1181">
        <v>162</v>
      </c>
      <c r="D1181">
        <f>YEAR(cukier9[[#This Row],[data]])</f>
        <v>2010</v>
      </c>
    </row>
    <row r="1182" spans="1:4" x14ac:dyDescent="0.25">
      <c r="A1182" s="1">
        <v>40302</v>
      </c>
      <c r="B1182" t="s">
        <v>7</v>
      </c>
      <c r="C1182">
        <v>150</v>
      </c>
      <c r="D1182">
        <f>YEAR(cukier9[[#This Row],[data]])</f>
        <v>2010</v>
      </c>
    </row>
    <row r="1183" spans="1:4" x14ac:dyDescent="0.25">
      <c r="A1183" s="1">
        <v>40303</v>
      </c>
      <c r="B1183" t="s">
        <v>50</v>
      </c>
      <c r="C1183">
        <v>139</v>
      </c>
      <c r="D1183">
        <f>YEAR(cukier9[[#This Row],[data]])</f>
        <v>2010</v>
      </c>
    </row>
    <row r="1184" spans="1:4" x14ac:dyDescent="0.25">
      <c r="A1184" s="1">
        <v>40305</v>
      </c>
      <c r="B1184" t="s">
        <v>19</v>
      </c>
      <c r="C1184">
        <v>183</v>
      </c>
      <c r="D1184">
        <f>YEAR(cukier9[[#This Row],[data]])</f>
        <v>2010</v>
      </c>
    </row>
    <row r="1185" spans="1:4" x14ac:dyDescent="0.25">
      <c r="A1185" s="1">
        <v>40315</v>
      </c>
      <c r="B1185" t="s">
        <v>7</v>
      </c>
      <c r="C1185">
        <v>214</v>
      </c>
      <c r="D1185">
        <f>YEAR(cukier9[[#This Row],[data]])</f>
        <v>2010</v>
      </c>
    </row>
    <row r="1186" spans="1:4" x14ac:dyDescent="0.25">
      <c r="A1186" s="1">
        <v>40318</v>
      </c>
      <c r="B1186" t="s">
        <v>175</v>
      </c>
      <c r="C1186">
        <v>14</v>
      </c>
      <c r="D1186">
        <f>YEAR(cukier9[[#This Row],[data]])</f>
        <v>2010</v>
      </c>
    </row>
    <row r="1187" spans="1:4" x14ac:dyDescent="0.25">
      <c r="A1187" s="1">
        <v>40319</v>
      </c>
      <c r="B1187" t="s">
        <v>195</v>
      </c>
      <c r="C1187">
        <v>2</v>
      </c>
      <c r="D1187">
        <f>YEAR(cukier9[[#This Row],[data]])</f>
        <v>2010</v>
      </c>
    </row>
    <row r="1188" spans="1:4" x14ac:dyDescent="0.25">
      <c r="A1188" s="1">
        <v>40320</v>
      </c>
      <c r="B1188" t="s">
        <v>22</v>
      </c>
      <c r="C1188">
        <v>383</v>
      </c>
      <c r="D1188">
        <f>YEAR(cukier9[[#This Row],[data]])</f>
        <v>2010</v>
      </c>
    </row>
    <row r="1189" spans="1:4" x14ac:dyDescent="0.25">
      <c r="A1189" s="1">
        <v>40321</v>
      </c>
      <c r="B1189" t="s">
        <v>0</v>
      </c>
      <c r="C1189">
        <v>14</v>
      </c>
      <c r="D1189">
        <f>YEAR(cukier9[[#This Row],[data]])</f>
        <v>2010</v>
      </c>
    </row>
    <row r="1190" spans="1:4" x14ac:dyDescent="0.25">
      <c r="A1190" s="1">
        <v>40321</v>
      </c>
      <c r="B1190" t="s">
        <v>52</v>
      </c>
      <c r="C1190">
        <v>127</v>
      </c>
      <c r="D1190">
        <f>YEAR(cukier9[[#This Row],[data]])</f>
        <v>2010</v>
      </c>
    </row>
    <row r="1191" spans="1:4" x14ac:dyDescent="0.25">
      <c r="A1191" s="1">
        <v>40322</v>
      </c>
      <c r="B1191" t="s">
        <v>30</v>
      </c>
      <c r="C1191">
        <v>179</v>
      </c>
      <c r="D1191">
        <f>YEAR(cukier9[[#This Row],[data]])</f>
        <v>2010</v>
      </c>
    </row>
    <row r="1192" spans="1:4" x14ac:dyDescent="0.25">
      <c r="A1192" s="1">
        <v>40323</v>
      </c>
      <c r="B1192" t="s">
        <v>23</v>
      </c>
      <c r="C1192">
        <v>74</v>
      </c>
      <c r="D1192">
        <f>YEAR(cukier9[[#This Row],[data]])</f>
        <v>2010</v>
      </c>
    </row>
    <row r="1193" spans="1:4" x14ac:dyDescent="0.25">
      <c r="A1193" s="1">
        <v>40323</v>
      </c>
      <c r="B1193" t="s">
        <v>50</v>
      </c>
      <c r="C1193">
        <v>311</v>
      </c>
      <c r="D1193">
        <f>YEAR(cukier9[[#This Row],[data]])</f>
        <v>2010</v>
      </c>
    </row>
    <row r="1194" spans="1:4" x14ac:dyDescent="0.25">
      <c r="A1194" s="1">
        <v>40327</v>
      </c>
      <c r="B1194" t="s">
        <v>66</v>
      </c>
      <c r="C1194">
        <v>190</v>
      </c>
      <c r="D1194">
        <f>YEAR(cukier9[[#This Row],[data]])</f>
        <v>2010</v>
      </c>
    </row>
    <row r="1195" spans="1:4" x14ac:dyDescent="0.25">
      <c r="A1195" s="1">
        <v>40329</v>
      </c>
      <c r="B1195" t="s">
        <v>31</v>
      </c>
      <c r="C1195">
        <v>67</v>
      </c>
      <c r="D1195">
        <f>YEAR(cukier9[[#This Row],[data]])</f>
        <v>2010</v>
      </c>
    </row>
    <row r="1196" spans="1:4" x14ac:dyDescent="0.25">
      <c r="A1196" s="1">
        <v>40331</v>
      </c>
      <c r="B1196" t="s">
        <v>7</v>
      </c>
      <c r="C1196">
        <v>331</v>
      </c>
      <c r="D1196">
        <f>YEAR(cukier9[[#This Row],[data]])</f>
        <v>2010</v>
      </c>
    </row>
    <row r="1197" spans="1:4" x14ac:dyDescent="0.25">
      <c r="A1197" s="1">
        <v>40331</v>
      </c>
      <c r="B1197" t="s">
        <v>39</v>
      </c>
      <c r="C1197">
        <v>114</v>
      </c>
      <c r="D1197">
        <f>YEAR(cukier9[[#This Row],[data]])</f>
        <v>2010</v>
      </c>
    </row>
    <row r="1198" spans="1:4" x14ac:dyDescent="0.25">
      <c r="A1198" s="1">
        <v>40332</v>
      </c>
      <c r="B1198" t="s">
        <v>52</v>
      </c>
      <c r="C1198">
        <v>79</v>
      </c>
      <c r="D1198">
        <f>YEAR(cukier9[[#This Row],[data]])</f>
        <v>2010</v>
      </c>
    </row>
    <row r="1199" spans="1:4" x14ac:dyDescent="0.25">
      <c r="A1199" s="1">
        <v>40333</v>
      </c>
      <c r="B1199" t="s">
        <v>71</v>
      </c>
      <c r="C1199">
        <v>22</v>
      </c>
      <c r="D1199">
        <f>YEAR(cukier9[[#This Row],[data]])</f>
        <v>2010</v>
      </c>
    </row>
    <row r="1200" spans="1:4" x14ac:dyDescent="0.25">
      <c r="A1200" s="1">
        <v>40333</v>
      </c>
      <c r="B1200" t="s">
        <v>92</v>
      </c>
      <c r="C1200">
        <v>5</v>
      </c>
      <c r="D1200">
        <f>YEAR(cukier9[[#This Row],[data]])</f>
        <v>2010</v>
      </c>
    </row>
    <row r="1201" spans="1:4" x14ac:dyDescent="0.25">
      <c r="A1201" s="1">
        <v>40336</v>
      </c>
      <c r="B1201" t="s">
        <v>72</v>
      </c>
      <c r="C1201">
        <v>17</v>
      </c>
      <c r="D1201">
        <f>YEAR(cukier9[[#This Row],[data]])</f>
        <v>2010</v>
      </c>
    </row>
    <row r="1202" spans="1:4" x14ac:dyDescent="0.25">
      <c r="A1202" s="1">
        <v>40337</v>
      </c>
      <c r="B1202" t="s">
        <v>45</v>
      </c>
      <c r="C1202">
        <v>344</v>
      </c>
      <c r="D1202">
        <f>YEAR(cukier9[[#This Row],[data]])</f>
        <v>2010</v>
      </c>
    </row>
    <row r="1203" spans="1:4" x14ac:dyDescent="0.25">
      <c r="A1203" s="1">
        <v>40337</v>
      </c>
      <c r="B1203" t="s">
        <v>14</v>
      </c>
      <c r="C1203">
        <v>329</v>
      </c>
      <c r="D1203">
        <f>YEAR(cukier9[[#This Row],[data]])</f>
        <v>2010</v>
      </c>
    </row>
    <row r="1204" spans="1:4" x14ac:dyDescent="0.25">
      <c r="A1204" s="1">
        <v>40337</v>
      </c>
      <c r="B1204" t="s">
        <v>112</v>
      </c>
      <c r="C1204">
        <v>10</v>
      </c>
      <c r="D1204">
        <f>YEAR(cukier9[[#This Row],[data]])</f>
        <v>2010</v>
      </c>
    </row>
    <row r="1205" spans="1:4" x14ac:dyDescent="0.25">
      <c r="A1205" s="1">
        <v>40341</v>
      </c>
      <c r="B1205" t="s">
        <v>30</v>
      </c>
      <c r="C1205">
        <v>105</v>
      </c>
      <c r="D1205">
        <f>YEAR(cukier9[[#This Row],[data]])</f>
        <v>2010</v>
      </c>
    </row>
    <row r="1206" spans="1:4" x14ac:dyDescent="0.25">
      <c r="A1206" s="1">
        <v>40342</v>
      </c>
      <c r="B1206" t="s">
        <v>69</v>
      </c>
      <c r="C1206">
        <v>26</v>
      </c>
      <c r="D1206">
        <f>YEAR(cukier9[[#This Row],[data]])</f>
        <v>2010</v>
      </c>
    </row>
    <row r="1207" spans="1:4" x14ac:dyDescent="0.25">
      <c r="A1207" s="1">
        <v>40343</v>
      </c>
      <c r="B1207" t="s">
        <v>39</v>
      </c>
      <c r="C1207">
        <v>121</v>
      </c>
      <c r="D1207">
        <f>YEAR(cukier9[[#This Row],[data]])</f>
        <v>2010</v>
      </c>
    </row>
    <row r="1208" spans="1:4" x14ac:dyDescent="0.25">
      <c r="A1208" s="1">
        <v>40345</v>
      </c>
      <c r="B1208" t="s">
        <v>8</v>
      </c>
      <c r="C1208">
        <v>174</v>
      </c>
      <c r="D1208">
        <f>YEAR(cukier9[[#This Row],[data]])</f>
        <v>2010</v>
      </c>
    </row>
    <row r="1209" spans="1:4" x14ac:dyDescent="0.25">
      <c r="A1209" s="1">
        <v>40346</v>
      </c>
      <c r="B1209" t="s">
        <v>14</v>
      </c>
      <c r="C1209">
        <v>233</v>
      </c>
      <c r="D1209">
        <f>YEAR(cukier9[[#This Row],[data]])</f>
        <v>2010</v>
      </c>
    </row>
    <row r="1210" spans="1:4" x14ac:dyDescent="0.25">
      <c r="A1210" s="1">
        <v>40347</v>
      </c>
      <c r="B1210" t="s">
        <v>10</v>
      </c>
      <c r="C1210">
        <v>117</v>
      </c>
      <c r="D1210">
        <f>YEAR(cukier9[[#This Row],[data]])</f>
        <v>2010</v>
      </c>
    </row>
    <row r="1211" spans="1:4" x14ac:dyDescent="0.25">
      <c r="A1211" s="1">
        <v>40348</v>
      </c>
      <c r="B1211" t="s">
        <v>72</v>
      </c>
      <c r="C1211">
        <v>11</v>
      </c>
      <c r="D1211">
        <f>YEAR(cukier9[[#This Row],[data]])</f>
        <v>2010</v>
      </c>
    </row>
    <row r="1212" spans="1:4" x14ac:dyDescent="0.25">
      <c r="A1212" s="1">
        <v>40348</v>
      </c>
      <c r="B1212" t="s">
        <v>212</v>
      </c>
      <c r="C1212">
        <v>18</v>
      </c>
      <c r="D1212">
        <f>YEAR(cukier9[[#This Row],[data]])</f>
        <v>2010</v>
      </c>
    </row>
    <row r="1213" spans="1:4" x14ac:dyDescent="0.25">
      <c r="A1213" s="1">
        <v>40348</v>
      </c>
      <c r="B1213" t="s">
        <v>45</v>
      </c>
      <c r="C1213">
        <v>332</v>
      </c>
      <c r="D1213">
        <f>YEAR(cukier9[[#This Row],[data]])</f>
        <v>2010</v>
      </c>
    </row>
    <row r="1214" spans="1:4" x14ac:dyDescent="0.25">
      <c r="A1214" s="1">
        <v>40349</v>
      </c>
      <c r="B1214" t="s">
        <v>156</v>
      </c>
      <c r="C1214">
        <v>6</v>
      </c>
      <c r="D1214">
        <f>YEAR(cukier9[[#This Row],[data]])</f>
        <v>2010</v>
      </c>
    </row>
    <row r="1215" spans="1:4" x14ac:dyDescent="0.25">
      <c r="A1215" s="1">
        <v>40350</v>
      </c>
      <c r="B1215" t="s">
        <v>102</v>
      </c>
      <c r="C1215">
        <v>260</v>
      </c>
      <c r="D1215">
        <f>YEAR(cukier9[[#This Row],[data]])</f>
        <v>2010</v>
      </c>
    </row>
    <row r="1216" spans="1:4" x14ac:dyDescent="0.25">
      <c r="A1216" s="1">
        <v>40350</v>
      </c>
      <c r="B1216" t="s">
        <v>80</v>
      </c>
      <c r="C1216">
        <v>22</v>
      </c>
      <c r="D1216">
        <f>YEAR(cukier9[[#This Row],[data]])</f>
        <v>2010</v>
      </c>
    </row>
    <row r="1217" spans="1:4" x14ac:dyDescent="0.25">
      <c r="A1217" s="1">
        <v>40352</v>
      </c>
      <c r="B1217" t="s">
        <v>129</v>
      </c>
      <c r="C1217">
        <v>9</v>
      </c>
      <c r="D1217">
        <f>YEAR(cukier9[[#This Row],[data]])</f>
        <v>2010</v>
      </c>
    </row>
    <row r="1218" spans="1:4" x14ac:dyDescent="0.25">
      <c r="A1218" s="1">
        <v>40353</v>
      </c>
      <c r="B1218" t="s">
        <v>66</v>
      </c>
      <c r="C1218">
        <v>79</v>
      </c>
      <c r="D1218">
        <f>YEAR(cukier9[[#This Row],[data]])</f>
        <v>2010</v>
      </c>
    </row>
    <row r="1219" spans="1:4" x14ac:dyDescent="0.25">
      <c r="A1219" s="1">
        <v>40355</v>
      </c>
      <c r="B1219" t="s">
        <v>45</v>
      </c>
      <c r="C1219">
        <v>480</v>
      </c>
      <c r="D1219">
        <f>YEAR(cukier9[[#This Row],[data]])</f>
        <v>2010</v>
      </c>
    </row>
    <row r="1220" spans="1:4" x14ac:dyDescent="0.25">
      <c r="A1220" s="1">
        <v>40360</v>
      </c>
      <c r="B1220" t="s">
        <v>9</v>
      </c>
      <c r="C1220">
        <v>154</v>
      </c>
      <c r="D1220">
        <f>YEAR(cukier9[[#This Row],[data]])</f>
        <v>2010</v>
      </c>
    </row>
    <row r="1221" spans="1:4" x14ac:dyDescent="0.25">
      <c r="A1221" s="1">
        <v>40360</v>
      </c>
      <c r="B1221" t="s">
        <v>35</v>
      </c>
      <c r="C1221">
        <v>170</v>
      </c>
      <c r="D1221">
        <f>YEAR(cukier9[[#This Row],[data]])</f>
        <v>2010</v>
      </c>
    </row>
    <row r="1222" spans="1:4" x14ac:dyDescent="0.25">
      <c r="A1222" s="1">
        <v>40361</v>
      </c>
      <c r="B1222" t="s">
        <v>213</v>
      </c>
      <c r="C1222">
        <v>13</v>
      </c>
      <c r="D1222">
        <f>YEAR(cukier9[[#This Row],[data]])</f>
        <v>2010</v>
      </c>
    </row>
    <row r="1223" spans="1:4" x14ac:dyDescent="0.25">
      <c r="A1223" s="1">
        <v>40364</v>
      </c>
      <c r="B1223" t="s">
        <v>18</v>
      </c>
      <c r="C1223">
        <v>29</v>
      </c>
      <c r="D1223">
        <f>YEAR(cukier9[[#This Row],[data]])</f>
        <v>2010</v>
      </c>
    </row>
    <row r="1224" spans="1:4" x14ac:dyDescent="0.25">
      <c r="A1224" s="1">
        <v>40366</v>
      </c>
      <c r="B1224" t="s">
        <v>19</v>
      </c>
      <c r="C1224">
        <v>80</v>
      </c>
      <c r="D1224">
        <f>YEAR(cukier9[[#This Row],[data]])</f>
        <v>2010</v>
      </c>
    </row>
    <row r="1225" spans="1:4" x14ac:dyDescent="0.25">
      <c r="A1225" s="1">
        <v>40370</v>
      </c>
      <c r="B1225" t="s">
        <v>176</v>
      </c>
      <c r="C1225">
        <v>20</v>
      </c>
      <c r="D1225">
        <f>YEAR(cukier9[[#This Row],[data]])</f>
        <v>2010</v>
      </c>
    </row>
    <row r="1226" spans="1:4" x14ac:dyDescent="0.25">
      <c r="A1226" s="1">
        <v>40370</v>
      </c>
      <c r="B1226" t="s">
        <v>9</v>
      </c>
      <c r="C1226">
        <v>401</v>
      </c>
      <c r="D1226">
        <f>YEAR(cukier9[[#This Row],[data]])</f>
        <v>2010</v>
      </c>
    </row>
    <row r="1227" spans="1:4" x14ac:dyDescent="0.25">
      <c r="A1227" s="1">
        <v>40372</v>
      </c>
      <c r="B1227" t="s">
        <v>39</v>
      </c>
      <c r="C1227">
        <v>134</v>
      </c>
      <c r="D1227">
        <f>YEAR(cukier9[[#This Row],[data]])</f>
        <v>2010</v>
      </c>
    </row>
    <row r="1228" spans="1:4" x14ac:dyDescent="0.25">
      <c r="A1228" s="1">
        <v>40374</v>
      </c>
      <c r="B1228" t="s">
        <v>37</v>
      </c>
      <c r="C1228">
        <v>107</v>
      </c>
      <c r="D1228">
        <f>YEAR(cukier9[[#This Row],[data]])</f>
        <v>2010</v>
      </c>
    </row>
    <row r="1229" spans="1:4" x14ac:dyDescent="0.25">
      <c r="A1229" s="1">
        <v>40379</v>
      </c>
      <c r="B1229" t="s">
        <v>10</v>
      </c>
      <c r="C1229">
        <v>30</v>
      </c>
      <c r="D1229">
        <f>YEAR(cukier9[[#This Row],[data]])</f>
        <v>2010</v>
      </c>
    </row>
    <row r="1230" spans="1:4" x14ac:dyDescent="0.25">
      <c r="A1230" s="1">
        <v>40381</v>
      </c>
      <c r="B1230" t="s">
        <v>24</v>
      </c>
      <c r="C1230">
        <v>138</v>
      </c>
      <c r="D1230">
        <f>YEAR(cukier9[[#This Row],[data]])</f>
        <v>2010</v>
      </c>
    </row>
    <row r="1231" spans="1:4" x14ac:dyDescent="0.25">
      <c r="A1231" s="1">
        <v>40382</v>
      </c>
      <c r="B1231" t="s">
        <v>22</v>
      </c>
      <c r="C1231">
        <v>404</v>
      </c>
      <c r="D1231">
        <f>YEAR(cukier9[[#This Row],[data]])</f>
        <v>2010</v>
      </c>
    </row>
    <row r="1232" spans="1:4" x14ac:dyDescent="0.25">
      <c r="A1232" s="1">
        <v>40386</v>
      </c>
      <c r="B1232" t="s">
        <v>37</v>
      </c>
      <c r="C1232">
        <v>117</v>
      </c>
      <c r="D1232">
        <f>YEAR(cukier9[[#This Row],[data]])</f>
        <v>2010</v>
      </c>
    </row>
    <row r="1233" spans="1:4" x14ac:dyDescent="0.25">
      <c r="A1233" s="1">
        <v>40389</v>
      </c>
      <c r="B1233" t="s">
        <v>9</v>
      </c>
      <c r="C1233">
        <v>124</v>
      </c>
      <c r="D1233">
        <f>YEAR(cukier9[[#This Row],[data]])</f>
        <v>2010</v>
      </c>
    </row>
    <row r="1234" spans="1:4" x14ac:dyDescent="0.25">
      <c r="A1234" s="1">
        <v>40390</v>
      </c>
      <c r="B1234" t="s">
        <v>52</v>
      </c>
      <c r="C1234">
        <v>155</v>
      </c>
      <c r="D1234">
        <f>YEAR(cukier9[[#This Row],[data]])</f>
        <v>2010</v>
      </c>
    </row>
    <row r="1235" spans="1:4" x14ac:dyDescent="0.25">
      <c r="A1235" s="1">
        <v>40391</v>
      </c>
      <c r="B1235" t="s">
        <v>28</v>
      </c>
      <c r="C1235">
        <v>161</v>
      </c>
      <c r="D1235">
        <f>YEAR(cukier9[[#This Row],[data]])</f>
        <v>2010</v>
      </c>
    </row>
    <row r="1236" spans="1:4" x14ac:dyDescent="0.25">
      <c r="A1236" s="1">
        <v>40395</v>
      </c>
      <c r="B1236" t="s">
        <v>12</v>
      </c>
      <c r="C1236">
        <v>80</v>
      </c>
      <c r="D1236">
        <f>YEAR(cukier9[[#This Row],[data]])</f>
        <v>2010</v>
      </c>
    </row>
    <row r="1237" spans="1:4" x14ac:dyDescent="0.25">
      <c r="A1237" s="1">
        <v>40395</v>
      </c>
      <c r="B1237" t="s">
        <v>172</v>
      </c>
      <c r="C1237">
        <v>9</v>
      </c>
      <c r="D1237">
        <f>YEAR(cukier9[[#This Row],[data]])</f>
        <v>2010</v>
      </c>
    </row>
    <row r="1238" spans="1:4" x14ac:dyDescent="0.25">
      <c r="A1238" s="1">
        <v>40396</v>
      </c>
      <c r="B1238" t="s">
        <v>12</v>
      </c>
      <c r="C1238">
        <v>160</v>
      </c>
      <c r="D1238">
        <f>YEAR(cukier9[[#This Row],[data]])</f>
        <v>2010</v>
      </c>
    </row>
    <row r="1239" spans="1:4" x14ac:dyDescent="0.25">
      <c r="A1239" s="1">
        <v>40399</v>
      </c>
      <c r="B1239" t="s">
        <v>113</v>
      </c>
      <c r="C1239">
        <v>18</v>
      </c>
      <c r="D1239">
        <f>YEAR(cukier9[[#This Row],[data]])</f>
        <v>2010</v>
      </c>
    </row>
    <row r="1240" spans="1:4" x14ac:dyDescent="0.25">
      <c r="A1240" s="1">
        <v>40401</v>
      </c>
      <c r="B1240" t="s">
        <v>10</v>
      </c>
      <c r="C1240">
        <v>150</v>
      </c>
      <c r="D1240">
        <f>YEAR(cukier9[[#This Row],[data]])</f>
        <v>2010</v>
      </c>
    </row>
    <row r="1241" spans="1:4" x14ac:dyDescent="0.25">
      <c r="A1241" s="1">
        <v>40405</v>
      </c>
      <c r="B1241" t="s">
        <v>214</v>
      </c>
      <c r="C1241">
        <v>16</v>
      </c>
      <c r="D1241">
        <f>YEAR(cukier9[[#This Row],[data]])</f>
        <v>2010</v>
      </c>
    </row>
    <row r="1242" spans="1:4" x14ac:dyDescent="0.25">
      <c r="A1242" s="1">
        <v>40412</v>
      </c>
      <c r="B1242" t="s">
        <v>69</v>
      </c>
      <c r="C1242">
        <v>158</v>
      </c>
      <c r="D1242">
        <f>YEAR(cukier9[[#This Row],[data]])</f>
        <v>2010</v>
      </c>
    </row>
    <row r="1243" spans="1:4" x14ac:dyDescent="0.25">
      <c r="A1243" s="1">
        <v>40414</v>
      </c>
      <c r="B1243" t="s">
        <v>61</v>
      </c>
      <c r="C1243">
        <v>29</v>
      </c>
      <c r="D1243">
        <f>YEAR(cukier9[[#This Row],[data]])</f>
        <v>2010</v>
      </c>
    </row>
    <row r="1244" spans="1:4" x14ac:dyDescent="0.25">
      <c r="A1244" s="1">
        <v>40423</v>
      </c>
      <c r="B1244" t="s">
        <v>106</v>
      </c>
      <c r="C1244">
        <v>6</v>
      </c>
      <c r="D1244">
        <f>YEAR(cukier9[[#This Row],[data]])</f>
        <v>2010</v>
      </c>
    </row>
    <row r="1245" spans="1:4" x14ac:dyDescent="0.25">
      <c r="A1245" s="1">
        <v>40423</v>
      </c>
      <c r="B1245" t="s">
        <v>9</v>
      </c>
      <c r="C1245">
        <v>489</v>
      </c>
      <c r="D1245">
        <f>YEAR(cukier9[[#This Row],[data]])</f>
        <v>2010</v>
      </c>
    </row>
    <row r="1246" spans="1:4" x14ac:dyDescent="0.25">
      <c r="A1246" s="1">
        <v>40425</v>
      </c>
      <c r="B1246" t="s">
        <v>35</v>
      </c>
      <c r="C1246">
        <v>200</v>
      </c>
      <c r="D1246">
        <f>YEAR(cukier9[[#This Row],[data]])</f>
        <v>2010</v>
      </c>
    </row>
    <row r="1247" spans="1:4" x14ac:dyDescent="0.25">
      <c r="A1247" s="1">
        <v>40427</v>
      </c>
      <c r="B1247" t="s">
        <v>10</v>
      </c>
      <c r="C1247">
        <v>28</v>
      </c>
      <c r="D1247">
        <f>YEAR(cukier9[[#This Row],[data]])</f>
        <v>2010</v>
      </c>
    </row>
    <row r="1248" spans="1:4" x14ac:dyDescent="0.25">
      <c r="A1248" s="1">
        <v>40431</v>
      </c>
      <c r="B1248" t="s">
        <v>10</v>
      </c>
      <c r="C1248">
        <v>28</v>
      </c>
      <c r="D1248">
        <f>YEAR(cukier9[[#This Row],[data]])</f>
        <v>2010</v>
      </c>
    </row>
    <row r="1249" spans="1:4" x14ac:dyDescent="0.25">
      <c r="A1249" s="1">
        <v>40432</v>
      </c>
      <c r="B1249" t="s">
        <v>9</v>
      </c>
      <c r="C1249">
        <v>297</v>
      </c>
      <c r="D1249">
        <f>YEAR(cukier9[[#This Row],[data]])</f>
        <v>2010</v>
      </c>
    </row>
    <row r="1250" spans="1:4" x14ac:dyDescent="0.25">
      <c r="A1250" s="1">
        <v>40434</v>
      </c>
      <c r="B1250" t="s">
        <v>17</v>
      </c>
      <c r="C1250">
        <v>227</v>
      </c>
      <c r="D1250">
        <f>YEAR(cukier9[[#This Row],[data]])</f>
        <v>2010</v>
      </c>
    </row>
    <row r="1251" spans="1:4" x14ac:dyDescent="0.25">
      <c r="A1251" s="1">
        <v>40434</v>
      </c>
      <c r="B1251" t="s">
        <v>140</v>
      </c>
      <c r="C1251">
        <v>14</v>
      </c>
      <c r="D1251">
        <f>YEAR(cukier9[[#This Row],[data]])</f>
        <v>2010</v>
      </c>
    </row>
    <row r="1252" spans="1:4" x14ac:dyDescent="0.25">
      <c r="A1252" s="1">
        <v>40437</v>
      </c>
      <c r="B1252" t="s">
        <v>98</v>
      </c>
      <c r="C1252">
        <v>20</v>
      </c>
      <c r="D1252">
        <f>YEAR(cukier9[[#This Row],[data]])</f>
        <v>2010</v>
      </c>
    </row>
    <row r="1253" spans="1:4" x14ac:dyDescent="0.25">
      <c r="A1253" s="1">
        <v>40439</v>
      </c>
      <c r="B1253" t="s">
        <v>63</v>
      </c>
      <c r="C1253">
        <v>194</v>
      </c>
      <c r="D1253">
        <f>YEAR(cukier9[[#This Row],[data]])</f>
        <v>2010</v>
      </c>
    </row>
    <row r="1254" spans="1:4" x14ac:dyDescent="0.25">
      <c r="A1254" s="1">
        <v>40439</v>
      </c>
      <c r="B1254" t="s">
        <v>35</v>
      </c>
      <c r="C1254">
        <v>58</v>
      </c>
      <c r="D1254">
        <f>YEAR(cukier9[[#This Row],[data]])</f>
        <v>2010</v>
      </c>
    </row>
    <row r="1255" spans="1:4" x14ac:dyDescent="0.25">
      <c r="A1255" s="1">
        <v>40440</v>
      </c>
      <c r="B1255" t="s">
        <v>66</v>
      </c>
      <c r="C1255">
        <v>30</v>
      </c>
      <c r="D1255">
        <f>YEAR(cukier9[[#This Row],[data]])</f>
        <v>2010</v>
      </c>
    </row>
    <row r="1256" spans="1:4" x14ac:dyDescent="0.25">
      <c r="A1256" s="1">
        <v>40440</v>
      </c>
      <c r="B1256" t="s">
        <v>17</v>
      </c>
      <c r="C1256">
        <v>159</v>
      </c>
      <c r="D1256">
        <f>YEAR(cukier9[[#This Row],[data]])</f>
        <v>2010</v>
      </c>
    </row>
    <row r="1257" spans="1:4" x14ac:dyDescent="0.25">
      <c r="A1257" s="1">
        <v>40443</v>
      </c>
      <c r="B1257" t="s">
        <v>22</v>
      </c>
      <c r="C1257">
        <v>279</v>
      </c>
      <c r="D1257">
        <f>YEAR(cukier9[[#This Row],[data]])</f>
        <v>2010</v>
      </c>
    </row>
    <row r="1258" spans="1:4" x14ac:dyDescent="0.25">
      <c r="A1258" s="1">
        <v>40444</v>
      </c>
      <c r="B1258" t="s">
        <v>26</v>
      </c>
      <c r="C1258">
        <v>38</v>
      </c>
      <c r="D1258">
        <f>YEAR(cukier9[[#This Row],[data]])</f>
        <v>2010</v>
      </c>
    </row>
    <row r="1259" spans="1:4" x14ac:dyDescent="0.25">
      <c r="A1259" s="1">
        <v>40446</v>
      </c>
      <c r="B1259" t="s">
        <v>36</v>
      </c>
      <c r="C1259">
        <v>7</v>
      </c>
      <c r="D1259">
        <f>YEAR(cukier9[[#This Row],[data]])</f>
        <v>2010</v>
      </c>
    </row>
    <row r="1260" spans="1:4" x14ac:dyDescent="0.25">
      <c r="A1260" s="1">
        <v>40447</v>
      </c>
      <c r="B1260" t="s">
        <v>22</v>
      </c>
      <c r="C1260">
        <v>154</v>
      </c>
      <c r="D1260">
        <f>YEAR(cukier9[[#This Row],[data]])</f>
        <v>2010</v>
      </c>
    </row>
    <row r="1261" spans="1:4" x14ac:dyDescent="0.25">
      <c r="A1261" s="1">
        <v>40447</v>
      </c>
      <c r="B1261" t="s">
        <v>50</v>
      </c>
      <c r="C1261">
        <v>274</v>
      </c>
      <c r="D1261">
        <f>YEAR(cukier9[[#This Row],[data]])</f>
        <v>2010</v>
      </c>
    </row>
    <row r="1262" spans="1:4" x14ac:dyDescent="0.25">
      <c r="A1262" s="1">
        <v>40448</v>
      </c>
      <c r="B1262" t="s">
        <v>14</v>
      </c>
      <c r="C1262">
        <v>219</v>
      </c>
      <c r="D1262">
        <f>YEAR(cukier9[[#This Row],[data]])</f>
        <v>2010</v>
      </c>
    </row>
    <row r="1263" spans="1:4" x14ac:dyDescent="0.25">
      <c r="A1263" s="1">
        <v>40449</v>
      </c>
      <c r="B1263" t="s">
        <v>30</v>
      </c>
      <c r="C1263">
        <v>57</v>
      </c>
      <c r="D1263">
        <f>YEAR(cukier9[[#This Row],[data]])</f>
        <v>2010</v>
      </c>
    </row>
    <row r="1264" spans="1:4" x14ac:dyDescent="0.25">
      <c r="A1264" s="1">
        <v>40449</v>
      </c>
      <c r="B1264" t="s">
        <v>12</v>
      </c>
      <c r="C1264">
        <v>152</v>
      </c>
      <c r="D1264">
        <f>YEAR(cukier9[[#This Row],[data]])</f>
        <v>2010</v>
      </c>
    </row>
    <row r="1265" spans="1:4" x14ac:dyDescent="0.25">
      <c r="A1265" s="1">
        <v>40454</v>
      </c>
      <c r="B1265" t="s">
        <v>45</v>
      </c>
      <c r="C1265">
        <v>263</v>
      </c>
      <c r="D1265">
        <f>YEAR(cukier9[[#This Row],[data]])</f>
        <v>2010</v>
      </c>
    </row>
    <row r="1266" spans="1:4" x14ac:dyDescent="0.25">
      <c r="A1266" s="1">
        <v>40456</v>
      </c>
      <c r="B1266" t="s">
        <v>28</v>
      </c>
      <c r="C1266">
        <v>61</v>
      </c>
      <c r="D1266">
        <f>YEAR(cukier9[[#This Row],[data]])</f>
        <v>2010</v>
      </c>
    </row>
    <row r="1267" spans="1:4" x14ac:dyDescent="0.25">
      <c r="A1267" s="1">
        <v>40456</v>
      </c>
      <c r="B1267" t="s">
        <v>50</v>
      </c>
      <c r="C1267">
        <v>217</v>
      </c>
      <c r="D1267">
        <f>YEAR(cukier9[[#This Row],[data]])</f>
        <v>2010</v>
      </c>
    </row>
    <row r="1268" spans="1:4" x14ac:dyDescent="0.25">
      <c r="A1268" s="1">
        <v>40457</v>
      </c>
      <c r="B1268" t="s">
        <v>61</v>
      </c>
      <c r="C1268">
        <v>28</v>
      </c>
      <c r="D1268">
        <f>YEAR(cukier9[[#This Row],[data]])</f>
        <v>2010</v>
      </c>
    </row>
    <row r="1269" spans="1:4" x14ac:dyDescent="0.25">
      <c r="A1269" s="1">
        <v>40457</v>
      </c>
      <c r="B1269" t="s">
        <v>45</v>
      </c>
      <c r="C1269">
        <v>299</v>
      </c>
      <c r="D1269">
        <f>YEAR(cukier9[[#This Row],[data]])</f>
        <v>2010</v>
      </c>
    </row>
    <row r="1270" spans="1:4" x14ac:dyDescent="0.25">
      <c r="A1270" s="1">
        <v>40460</v>
      </c>
      <c r="B1270" t="s">
        <v>14</v>
      </c>
      <c r="C1270">
        <v>429</v>
      </c>
      <c r="D1270">
        <f>YEAR(cukier9[[#This Row],[data]])</f>
        <v>2010</v>
      </c>
    </row>
    <row r="1271" spans="1:4" x14ac:dyDescent="0.25">
      <c r="A1271" s="1">
        <v>40463</v>
      </c>
      <c r="B1271" t="s">
        <v>14</v>
      </c>
      <c r="C1271">
        <v>427</v>
      </c>
      <c r="D1271">
        <f>YEAR(cukier9[[#This Row],[data]])</f>
        <v>2010</v>
      </c>
    </row>
    <row r="1272" spans="1:4" x14ac:dyDescent="0.25">
      <c r="A1272" s="1">
        <v>40463</v>
      </c>
      <c r="B1272" t="s">
        <v>12</v>
      </c>
      <c r="C1272">
        <v>87</v>
      </c>
      <c r="D1272">
        <f>YEAR(cukier9[[#This Row],[data]])</f>
        <v>2010</v>
      </c>
    </row>
    <row r="1273" spans="1:4" x14ac:dyDescent="0.25">
      <c r="A1273" s="1">
        <v>40463</v>
      </c>
      <c r="B1273" t="s">
        <v>141</v>
      </c>
      <c r="C1273">
        <v>17</v>
      </c>
      <c r="D1273">
        <f>YEAR(cukier9[[#This Row],[data]])</f>
        <v>2010</v>
      </c>
    </row>
    <row r="1274" spans="1:4" x14ac:dyDescent="0.25">
      <c r="A1274" s="1">
        <v>40465</v>
      </c>
      <c r="B1274" t="s">
        <v>35</v>
      </c>
      <c r="C1274">
        <v>124</v>
      </c>
      <c r="D1274">
        <f>YEAR(cukier9[[#This Row],[data]])</f>
        <v>2010</v>
      </c>
    </row>
    <row r="1275" spans="1:4" x14ac:dyDescent="0.25">
      <c r="A1275" s="1">
        <v>40467</v>
      </c>
      <c r="B1275" t="s">
        <v>7</v>
      </c>
      <c r="C1275">
        <v>406</v>
      </c>
      <c r="D1275">
        <f>YEAR(cukier9[[#This Row],[data]])</f>
        <v>2010</v>
      </c>
    </row>
    <row r="1276" spans="1:4" x14ac:dyDescent="0.25">
      <c r="A1276" s="1">
        <v>40467</v>
      </c>
      <c r="B1276" t="s">
        <v>52</v>
      </c>
      <c r="C1276">
        <v>136</v>
      </c>
      <c r="D1276">
        <f>YEAR(cukier9[[#This Row],[data]])</f>
        <v>2010</v>
      </c>
    </row>
    <row r="1277" spans="1:4" x14ac:dyDescent="0.25">
      <c r="A1277" s="1">
        <v>40468</v>
      </c>
      <c r="B1277" t="s">
        <v>25</v>
      </c>
      <c r="C1277">
        <v>44</v>
      </c>
      <c r="D1277">
        <f>YEAR(cukier9[[#This Row],[data]])</f>
        <v>2010</v>
      </c>
    </row>
    <row r="1278" spans="1:4" x14ac:dyDescent="0.25">
      <c r="A1278" s="1">
        <v>40470</v>
      </c>
      <c r="B1278" t="s">
        <v>39</v>
      </c>
      <c r="C1278">
        <v>76</v>
      </c>
      <c r="D1278">
        <f>YEAR(cukier9[[#This Row],[data]])</f>
        <v>2010</v>
      </c>
    </row>
    <row r="1279" spans="1:4" x14ac:dyDescent="0.25">
      <c r="A1279" s="1">
        <v>40473</v>
      </c>
      <c r="B1279" t="s">
        <v>19</v>
      </c>
      <c r="C1279">
        <v>104</v>
      </c>
      <c r="D1279">
        <f>YEAR(cukier9[[#This Row],[data]])</f>
        <v>2010</v>
      </c>
    </row>
    <row r="1280" spans="1:4" x14ac:dyDescent="0.25">
      <c r="A1280" s="1">
        <v>40474</v>
      </c>
      <c r="B1280" t="s">
        <v>12</v>
      </c>
      <c r="C1280">
        <v>107</v>
      </c>
      <c r="D1280">
        <f>YEAR(cukier9[[#This Row],[data]])</f>
        <v>2010</v>
      </c>
    </row>
    <row r="1281" spans="1:4" x14ac:dyDescent="0.25">
      <c r="A1281" s="1">
        <v>40477</v>
      </c>
      <c r="B1281" t="s">
        <v>22</v>
      </c>
      <c r="C1281">
        <v>339</v>
      </c>
      <c r="D1281">
        <f>YEAR(cukier9[[#This Row],[data]])</f>
        <v>2010</v>
      </c>
    </row>
    <row r="1282" spans="1:4" x14ac:dyDescent="0.25">
      <c r="A1282" s="1">
        <v>40480</v>
      </c>
      <c r="B1282" t="s">
        <v>45</v>
      </c>
      <c r="C1282">
        <v>313</v>
      </c>
      <c r="D1282">
        <f>YEAR(cukier9[[#This Row],[data]])</f>
        <v>2010</v>
      </c>
    </row>
    <row r="1283" spans="1:4" x14ac:dyDescent="0.25">
      <c r="A1283" s="1">
        <v>40481</v>
      </c>
      <c r="B1283" t="s">
        <v>45</v>
      </c>
      <c r="C1283">
        <v>251</v>
      </c>
      <c r="D1283">
        <f>YEAR(cukier9[[#This Row],[data]])</f>
        <v>2010</v>
      </c>
    </row>
    <row r="1284" spans="1:4" x14ac:dyDescent="0.25">
      <c r="A1284" s="1">
        <v>40481</v>
      </c>
      <c r="B1284" t="s">
        <v>14</v>
      </c>
      <c r="C1284">
        <v>126</v>
      </c>
      <c r="D1284">
        <f>YEAR(cukier9[[#This Row],[data]])</f>
        <v>2010</v>
      </c>
    </row>
    <row r="1285" spans="1:4" x14ac:dyDescent="0.25">
      <c r="A1285" s="1">
        <v>40483</v>
      </c>
      <c r="B1285" t="s">
        <v>25</v>
      </c>
      <c r="C1285">
        <v>20</v>
      </c>
      <c r="D1285">
        <f>YEAR(cukier9[[#This Row],[data]])</f>
        <v>2010</v>
      </c>
    </row>
    <row r="1286" spans="1:4" x14ac:dyDescent="0.25">
      <c r="A1286" s="1">
        <v>40484</v>
      </c>
      <c r="B1286" t="s">
        <v>69</v>
      </c>
      <c r="C1286">
        <v>80</v>
      </c>
      <c r="D1286">
        <f>YEAR(cukier9[[#This Row],[data]])</f>
        <v>2010</v>
      </c>
    </row>
    <row r="1287" spans="1:4" x14ac:dyDescent="0.25">
      <c r="A1287" s="1">
        <v>40485</v>
      </c>
      <c r="B1287" t="s">
        <v>136</v>
      </c>
      <c r="C1287">
        <v>9</v>
      </c>
      <c r="D1287">
        <f>YEAR(cukier9[[#This Row],[data]])</f>
        <v>2010</v>
      </c>
    </row>
    <row r="1288" spans="1:4" x14ac:dyDescent="0.25">
      <c r="A1288" s="1">
        <v>40487</v>
      </c>
      <c r="B1288" t="s">
        <v>19</v>
      </c>
      <c r="C1288">
        <v>50</v>
      </c>
      <c r="D1288">
        <f>YEAR(cukier9[[#This Row],[data]])</f>
        <v>2010</v>
      </c>
    </row>
    <row r="1289" spans="1:4" x14ac:dyDescent="0.25">
      <c r="A1289" s="1">
        <v>40488</v>
      </c>
      <c r="B1289" t="s">
        <v>23</v>
      </c>
      <c r="C1289">
        <v>100</v>
      </c>
      <c r="D1289">
        <f>YEAR(cukier9[[#This Row],[data]])</f>
        <v>2010</v>
      </c>
    </row>
    <row r="1290" spans="1:4" x14ac:dyDescent="0.25">
      <c r="A1290" s="1">
        <v>40489</v>
      </c>
      <c r="B1290" t="s">
        <v>142</v>
      </c>
      <c r="C1290">
        <v>2</v>
      </c>
      <c r="D1290">
        <f>YEAR(cukier9[[#This Row],[data]])</f>
        <v>2010</v>
      </c>
    </row>
    <row r="1291" spans="1:4" x14ac:dyDescent="0.25">
      <c r="A1291" s="1">
        <v>40490</v>
      </c>
      <c r="B1291" t="s">
        <v>17</v>
      </c>
      <c r="C1291">
        <v>214</v>
      </c>
      <c r="D1291">
        <f>YEAR(cukier9[[#This Row],[data]])</f>
        <v>2010</v>
      </c>
    </row>
    <row r="1292" spans="1:4" x14ac:dyDescent="0.25">
      <c r="A1292" s="1">
        <v>40491</v>
      </c>
      <c r="B1292" t="s">
        <v>70</v>
      </c>
      <c r="C1292">
        <v>17</v>
      </c>
      <c r="D1292">
        <f>YEAR(cukier9[[#This Row],[data]])</f>
        <v>2010</v>
      </c>
    </row>
    <row r="1293" spans="1:4" x14ac:dyDescent="0.25">
      <c r="A1293" s="1">
        <v>40492</v>
      </c>
      <c r="B1293" t="s">
        <v>45</v>
      </c>
      <c r="C1293">
        <v>269</v>
      </c>
      <c r="D1293">
        <f>YEAR(cukier9[[#This Row],[data]])</f>
        <v>2010</v>
      </c>
    </row>
    <row r="1294" spans="1:4" x14ac:dyDescent="0.25">
      <c r="A1294" s="1">
        <v>40496</v>
      </c>
      <c r="B1294" t="s">
        <v>172</v>
      </c>
      <c r="C1294">
        <v>2</v>
      </c>
      <c r="D1294">
        <f>YEAR(cukier9[[#This Row],[data]])</f>
        <v>2010</v>
      </c>
    </row>
    <row r="1295" spans="1:4" x14ac:dyDescent="0.25">
      <c r="A1295" s="1">
        <v>40503</v>
      </c>
      <c r="B1295" t="s">
        <v>12</v>
      </c>
      <c r="C1295">
        <v>159</v>
      </c>
      <c r="D1295">
        <f>YEAR(cukier9[[#This Row],[data]])</f>
        <v>2010</v>
      </c>
    </row>
    <row r="1296" spans="1:4" x14ac:dyDescent="0.25">
      <c r="A1296" s="1">
        <v>40504</v>
      </c>
      <c r="B1296" t="s">
        <v>28</v>
      </c>
      <c r="C1296">
        <v>167</v>
      </c>
      <c r="D1296">
        <f>YEAR(cukier9[[#This Row],[data]])</f>
        <v>2010</v>
      </c>
    </row>
    <row r="1297" spans="1:4" x14ac:dyDescent="0.25">
      <c r="A1297" s="1">
        <v>40505</v>
      </c>
      <c r="B1297" t="s">
        <v>37</v>
      </c>
      <c r="C1297">
        <v>123</v>
      </c>
      <c r="D1297">
        <f>YEAR(cukier9[[#This Row],[data]])</f>
        <v>2010</v>
      </c>
    </row>
    <row r="1298" spans="1:4" x14ac:dyDescent="0.25">
      <c r="A1298" s="1">
        <v>40505</v>
      </c>
      <c r="B1298" t="s">
        <v>28</v>
      </c>
      <c r="C1298">
        <v>32</v>
      </c>
      <c r="D1298">
        <f>YEAR(cukier9[[#This Row],[data]])</f>
        <v>2010</v>
      </c>
    </row>
    <row r="1299" spans="1:4" x14ac:dyDescent="0.25">
      <c r="A1299" s="1">
        <v>40505</v>
      </c>
      <c r="B1299" t="s">
        <v>7</v>
      </c>
      <c r="C1299">
        <v>276</v>
      </c>
      <c r="D1299">
        <f>YEAR(cukier9[[#This Row],[data]])</f>
        <v>2010</v>
      </c>
    </row>
    <row r="1300" spans="1:4" x14ac:dyDescent="0.25">
      <c r="A1300" s="1">
        <v>40508</v>
      </c>
      <c r="B1300" t="s">
        <v>14</v>
      </c>
      <c r="C1300">
        <v>191</v>
      </c>
      <c r="D1300">
        <f>YEAR(cukier9[[#This Row],[data]])</f>
        <v>2010</v>
      </c>
    </row>
    <row r="1301" spans="1:4" x14ac:dyDescent="0.25">
      <c r="A1301" s="1">
        <v>40510</v>
      </c>
      <c r="B1301" t="s">
        <v>215</v>
      </c>
      <c r="C1301">
        <v>9</v>
      </c>
      <c r="D1301">
        <f>YEAR(cukier9[[#This Row],[data]])</f>
        <v>2010</v>
      </c>
    </row>
    <row r="1302" spans="1:4" x14ac:dyDescent="0.25">
      <c r="A1302" s="1">
        <v>40511</v>
      </c>
      <c r="B1302" t="s">
        <v>30</v>
      </c>
      <c r="C1302">
        <v>174</v>
      </c>
      <c r="D1302">
        <f>YEAR(cukier9[[#This Row],[data]])</f>
        <v>2010</v>
      </c>
    </row>
    <row r="1303" spans="1:4" x14ac:dyDescent="0.25">
      <c r="A1303" s="1">
        <v>40512</v>
      </c>
      <c r="B1303" t="s">
        <v>69</v>
      </c>
      <c r="C1303">
        <v>39</v>
      </c>
      <c r="D1303">
        <f>YEAR(cukier9[[#This Row],[data]])</f>
        <v>2010</v>
      </c>
    </row>
    <row r="1304" spans="1:4" x14ac:dyDescent="0.25">
      <c r="A1304" s="1">
        <v>40513</v>
      </c>
      <c r="B1304" t="s">
        <v>7</v>
      </c>
      <c r="C1304">
        <v>330</v>
      </c>
      <c r="D1304">
        <f>YEAR(cukier9[[#This Row],[data]])</f>
        <v>2010</v>
      </c>
    </row>
    <row r="1305" spans="1:4" x14ac:dyDescent="0.25">
      <c r="A1305" s="1">
        <v>40513</v>
      </c>
      <c r="B1305" t="s">
        <v>146</v>
      </c>
      <c r="C1305">
        <v>5</v>
      </c>
      <c r="D1305">
        <f>YEAR(cukier9[[#This Row],[data]])</f>
        <v>2010</v>
      </c>
    </row>
    <row r="1306" spans="1:4" x14ac:dyDescent="0.25">
      <c r="A1306" s="1">
        <v>40516</v>
      </c>
      <c r="B1306" t="s">
        <v>14</v>
      </c>
      <c r="C1306">
        <v>175</v>
      </c>
      <c r="D1306">
        <f>YEAR(cukier9[[#This Row],[data]])</f>
        <v>2010</v>
      </c>
    </row>
    <row r="1307" spans="1:4" x14ac:dyDescent="0.25">
      <c r="A1307" s="1">
        <v>40520</v>
      </c>
      <c r="B1307" t="s">
        <v>131</v>
      </c>
      <c r="C1307">
        <v>183</v>
      </c>
      <c r="D1307">
        <f>YEAR(cukier9[[#This Row],[data]])</f>
        <v>2010</v>
      </c>
    </row>
    <row r="1308" spans="1:4" x14ac:dyDescent="0.25">
      <c r="A1308" s="1">
        <v>40520</v>
      </c>
      <c r="B1308" t="s">
        <v>45</v>
      </c>
      <c r="C1308">
        <v>423</v>
      </c>
      <c r="D1308">
        <f>YEAR(cukier9[[#This Row],[data]])</f>
        <v>2010</v>
      </c>
    </row>
    <row r="1309" spans="1:4" x14ac:dyDescent="0.25">
      <c r="A1309" s="1">
        <v>40520</v>
      </c>
      <c r="B1309" t="s">
        <v>52</v>
      </c>
      <c r="C1309">
        <v>88</v>
      </c>
      <c r="D1309">
        <f>YEAR(cukier9[[#This Row],[data]])</f>
        <v>2010</v>
      </c>
    </row>
    <row r="1310" spans="1:4" x14ac:dyDescent="0.25">
      <c r="A1310" s="1">
        <v>40521</v>
      </c>
      <c r="B1310" t="s">
        <v>17</v>
      </c>
      <c r="C1310">
        <v>241</v>
      </c>
      <c r="D1310">
        <f>YEAR(cukier9[[#This Row],[data]])</f>
        <v>2010</v>
      </c>
    </row>
    <row r="1311" spans="1:4" x14ac:dyDescent="0.25">
      <c r="A1311" s="1">
        <v>40522</v>
      </c>
      <c r="B1311" t="s">
        <v>12</v>
      </c>
      <c r="C1311">
        <v>37</v>
      </c>
      <c r="D1311">
        <f>YEAR(cukier9[[#This Row],[data]])</f>
        <v>2010</v>
      </c>
    </row>
    <row r="1312" spans="1:4" x14ac:dyDescent="0.25">
      <c r="A1312" s="1">
        <v>40528</v>
      </c>
      <c r="B1312" t="s">
        <v>78</v>
      </c>
      <c r="C1312">
        <v>164</v>
      </c>
      <c r="D1312">
        <f>YEAR(cukier9[[#This Row],[data]])</f>
        <v>2010</v>
      </c>
    </row>
    <row r="1313" spans="1:4" x14ac:dyDescent="0.25">
      <c r="A1313" s="1">
        <v>40529</v>
      </c>
      <c r="B1313" t="s">
        <v>94</v>
      </c>
      <c r="C1313">
        <v>20</v>
      </c>
      <c r="D1313">
        <f>YEAR(cukier9[[#This Row],[data]])</f>
        <v>2010</v>
      </c>
    </row>
    <row r="1314" spans="1:4" x14ac:dyDescent="0.25">
      <c r="A1314" s="1">
        <v>40533</v>
      </c>
      <c r="B1314" t="s">
        <v>182</v>
      </c>
      <c r="C1314">
        <v>8</v>
      </c>
      <c r="D1314">
        <f>YEAR(cukier9[[#This Row],[data]])</f>
        <v>2010</v>
      </c>
    </row>
    <row r="1315" spans="1:4" x14ac:dyDescent="0.25">
      <c r="A1315" s="1">
        <v>40533</v>
      </c>
      <c r="B1315" t="s">
        <v>156</v>
      </c>
      <c r="C1315">
        <v>4</v>
      </c>
      <c r="D1315">
        <f>YEAR(cukier9[[#This Row],[data]])</f>
        <v>2010</v>
      </c>
    </row>
    <row r="1316" spans="1:4" x14ac:dyDescent="0.25">
      <c r="A1316" s="1">
        <v>40538</v>
      </c>
      <c r="B1316" t="s">
        <v>22</v>
      </c>
      <c r="C1316">
        <v>408</v>
      </c>
      <c r="D1316">
        <f>YEAR(cukier9[[#This Row],[data]])</f>
        <v>2010</v>
      </c>
    </row>
    <row r="1317" spans="1:4" x14ac:dyDescent="0.25">
      <c r="A1317" s="1">
        <v>40544</v>
      </c>
      <c r="B1317" t="s">
        <v>142</v>
      </c>
      <c r="C1317">
        <v>20</v>
      </c>
      <c r="D1317">
        <f>YEAR(cukier9[[#This Row],[data]])</f>
        <v>2011</v>
      </c>
    </row>
    <row r="1318" spans="1:4" x14ac:dyDescent="0.25">
      <c r="A1318" s="1">
        <v>40545</v>
      </c>
      <c r="B1318" t="s">
        <v>31</v>
      </c>
      <c r="C1318">
        <v>102</v>
      </c>
      <c r="D1318">
        <f>YEAR(cukier9[[#This Row],[data]])</f>
        <v>2011</v>
      </c>
    </row>
    <row r="1319" spans="1:4" x14ac:dyDescent="0.25">
      <c r="A1319" s="1">
        <v>40546</v>
      </c>
      <c r="B1319" t="s">
        <v>9</v>
      </c>
      <c r="C1319">
        <v>240</v>
      </c>
      <c r="D1319">
        <f>YEAR(cukier9[[#This Row],[data]])</f>
        <v>2011</v>
      </c>
    </row>
    <row r="1320" spans="1:4" x14ac:dyDescent="0.25">
      <c r="A1320" s="1">
        <v>40548</v>
      </c>
      <c r="B1320" t="s">
        <v>10</v>
      </c>
      <c r="C1320">
        <v>124</v>
      </c>
      <c r="D1320">
        <f>YEAR(cukier9[[#This Row],[data]])</f>
        <v>2011</v>
      </c>
    </row>
    <row r="1321" spans="1:4" x14ac:dyDescent="0.25">
      <c r="A1321" s="1">
        <v>40550</v>
      </c>
      <c r="B1321" t="s">
        <v>45</v>
      </c>
      <c r="C1321">
        <v>330</v>
      </c>
      <c r="D1321">
        <f>YEAR(cukier9[[#This Row],[data]])</f>
        <v>2011</v>
      </c>
    </row>
    <row r="1322" spans="1:4" x14ac:dyDescent="0.25">
      <c r="A1322" s="1">
        <v>40554</v>
      </c>
      <c r="B1322" t="s">
        <v>26</v>
      </c>
      <c r="C1322">
        <v>187</v>
      </c>
      <c r="D1322">
        <f>YEAR(cukier9[[#This Row],[data]])</f>
        <v>2011</v>
      </c>
    </row>
    <row r="1323" spans="1:4" x14ac:dyDescent="0.25">
      <c r="A1323" s="1">
        <v>40561</v>
      </c>
      <c r="B1323" t="s">
        <v>52</v>
      </c>
      <c r="C1323">
        <v>165</v>
      </c>
      <c r="D1323">
        <f>YEAR(cukier9[[#This Row],[data]])</f>
        <v>2011</v>
      </c>
    </row>
    <row r="1324" spans="1:4" x14ac:dyDescent="0.25">
      <c r="A1324" s="1">
        <v>40562</v>
      </c>
      <c r="B1324" t="s">
        <v>5</v>
      </c>
      <c r="C1324">
        <v>371</v>
      </c>
      <c r="D1324">
        <f>YEAR(cukier9[[#This Row],[data]])</f>
        <v>2011</v>
      </c>
    </row>
    <row r="1325" spans="1:4" x14ac:dyDescent="0.25">
      <c r="A1325" s="1">
        <v>40564</v>
      </c>
      <c r="B1325" t="s">
        <v>39</v>
      </c>
      <c r="C1325">
        <v>185</v>
      </c>
      <c r="D1325">
        <f>YEAR(cukier9[[#This Row],[data]])</f>
        <v>2011</v>
      </c>
    </row>
    <row r="1326" spans="1:4" x14ac:dyDescent="0.25">
      <c r="A1326" s="1">
        <v>40566</v>
      </c>
      <c r="B1326" t="s">
        <v>9</v>
      </c>
      <c r="C1326">
        <v>401</v>
      </c>
      <c r="D1326">
        <f>YEAR(cukier9[[#This Row],[data]])</f>
        <v>2011</v>
      </c>
    </row>
    <row r="1327" spans="1:4" x14ac:dyDescent="0.25">
      <c r="A1327" s="1">
        <v>40568</v>
      </c>
      <c r="B1327" t="s">
        <v>55</v>
      </c>
      <c r="C1327">
        <v>25</v>
      </c>
      <c r="D1327">
        <f>YEAR(cukier9[[#This Row],[data]])</f>
        <v>2011</v>
      </c>
    </row>
    <row r="1328" spans="1:4" x14ac:dyDescent="0.25">
      <c r="A1328" s="1">
        <v>40568</v>
      </c>
      <c r="B1328" t="s">
        <v>93</v>
      </c>
      <c r="C1328">
        <v>3</v>
      </c>
      <c r="D1328">
        <f>YEAR(cukier9[[#This Row],[data]])</f>
        <v>2011</v>
      </c>
    </row>
    <row r="1329" spans="1:4" x14ac:dyDescent="0.25">
      <c r="A1329" s="1">
        <v>40568</v>
      </c>
      <c r="B1329" t="s">
        <v>170</v>
      </c>
      <c r="C1329">
        <v>11</v>
      </c>
      <c r="D1329">
        <f>YEAR(cukier9[[#This Row],[data]])</f>
        <v>2011</v>
      </c>
    </row>
    <row r="1330" spans="1:4" x14ac:dyDescent="0.25">
      <c r="A1330" s="1">
        <v>40573</v>
      </c>
      <c r="B1330" t="s">
        <v>216</v>
      </c>
      <c r="C1330">
        <v>18</v>
      </c>
      <c r="D1330">
        <f>YEAR(cukier9[[#This Row],[data]])</f>
        <v>2011</v>
      </c>
    </row>
    <row r="1331" spans="1:4" x14ac:dyDescent="0.25">
      <c r="A1331" s="1">
        <v>40573</v>
      </c>
      <c r="B1331" t="s">
        <v>45</v>
      </c>
      <c r="C1331">
        <v>154</v>
      </c>
      <c r="D1331">
        <f>YEAR(cukier9[[#This Row],[data]])</f>
        <v>2011</v>
      </c>
    </row>
    <row r="1332" spans="1:4" x14ac:dyDescent="0.25">
      <c r="A1332" s="1">
        <v>40574</v>
      </c>
      <c r="B1332" t="s">
        <v>50</v>
      </c>
      <c r="C1332">
        <v>423</v>
      </c>
      <c r="D1332">
        <f>YEAR(cukier9[[#This Row],[data]])</f>
        <v>2011</v>
      </c>
    </row>
    <row r="1333" spans="1:4" x14ac:dyDescent="0.25">
      <c r="A1333" s="1">
        <v>40576</v>
      </c>
      <c r="B1333" t="s">
        <v>127</v>
      </c>
      <c r="C1333">
        <v>6</v>
      </c>
      <c r="D1333">
        <f>YEAR(cukier9[[#This Row],[data]])</f>
        <v>2011</v>
      </c>
    </row>
    <row r="1334" spans="1:4" x14ac:dyDescent="0.25">
      <c r="A1334" s="1">
        <v>40580</v>
      </c>
      <c r="B1334" t="s">
        <v>28</v>
      </c>
      <c r="C1334">
        <v>62</v>
      </c>
      <c r="D1334">
        <f>YEAR(cukier9[[#This Row],[data]])</f>
        <v>2011</v>
      </c>
    </row>
    <row r="1335" spans="1:4" x14ac:dyDescent="0.25">
      <c r="A1335" s="1">
        <v>40581</v>
      </c>
      <c r="B1335" t="s">
        <v>136</v>
      </c>
      <c r="C1335">
        <v>15</v>
      </c>
      <c r="D1335">
        <f>YEAR(cukier9[[#This Row],[data]])</f>
        <v>2011</v>
      </c>
    </row>
    <row r="1336" spans="1:4" x14ac:dyDescent="0.25">
      <c r="A1336" s="1">
        <v>40583</v>
      </c>
      <c r="B1336" t="s">
        <v>9</v>
      </c>
      <c r="C1336">
        <v>311</v>
      </c>
      <c r="D1336">
        <f>YEAR(cukier9[[#This Row],[data]])</f>
        <v>2011</v>
      </c>
    </row>
    <row r="1337" spans="1:4" x14ac:dyDescent="0.25">
      <c r="A1337" s="1">
        <v>40584</v>
      </c>
      <c r="B1337" t="s">
        <v>19</v>
      </c>
      <c r="C1337">
        <v>127</v>
      </c>
      <c r="D1337">
        <f>YEAR(cukier9[[#This Row],[data]])</f>
        <v>2011</v>
      </c>
    </row>
    <row r="1338" spans="1:4" x14ac:dyDescent="0.25">
      <c r="A1338" s="1">
        <v>40585</v>
      </c>
      <c r="B1338" t="s">
        <v>22</v>
      </c>
      <c r="C1338">
        <v>483</v>
      </c>
      <c r="D1338">
        <f>YEAR(cukier9[[#This Row],[data]])</f>
        <v>2011</v>
      </c>
    </row>
    <row r="1339" spans="1:4" x14ac:dyDescent="0.25">
      <c r="A1339" s="1">
        <v>40588</v>
      </c>
      <c r="B1339" t="s">
        <v>217</v>
      </c>
      <c r="C1339">
        <v>9</v>
      </c>
      <c r="D1339">
        <f>YEAR(cukier9[[#This Row],[data]])</f>
        <v>2011</v>
      </c>
    </row>
    <row r="1340" spans="1:4" x14ac:dyDescent="0.25">
      <c r="A1340" s="1">
        <v>40593</v>
      </c>
      <c r="B1340" t="s">
        <v>20</v>
      </c>
      <c r="C1340">
        <v>75</v>
      </c>
      <c r="D1340">
        <f>YEAR(cukier9[[#This Row],[data]])</f>
        <v>2011</v>
      </c>
    </row>
    <row r="1341" spans="1:4" x14ac:dyDescent="0.25">
      <c r="A1341" s="1">
        <v>40598</v>
      </c>
      <c r="B1341" t="s">
        <v>218</v>
      </c>
      <c r="C1341">
        <v>7</v>
      </c>
      <c r="D1341">
        <f>YEAR(cukier9[[#This Row],[data]])</f>
        <v>2011</v>
      </c>
    </row>
    <row r="1342" spans="1:4" x14ac:dyDescent="0.25">
      <c r="A1342" s="1">
        <v>40602</v>
      </c>
      <c r="B1342" t="s">
        <v>35</v>
      </c>
      <c r="C1342">
        <v>114</v>
      </c>
      <c r="D1342">
        <f>YEAR(cukier9[[#This Row],[data]])</f>
        <v>2011</v>
      </c>
    </row>
    <row r="1343" spans="1:4" x14ac:dyDescent="0.25">
      <c r="A1343" s="1">
        <v>40605</v>
      </c>
      <c r="B1343" t="s">
        <v>123</v>
      </c>
      <c r="C1343">
        <v>151</v>
      </c>
      <c r="D1343">
        <f>YEAR(cukier9[[#This Row],[data]])</f>
        <v>2011</v>
      </c>
    </row>
    <row r="1344" spans="1:4" x14ac:dyDescent="0.25">
      <c r="A1344" s="1">
        <v>40608</v>
      </c>
      <c r="B1344" t="s">
        <v>10</v>
      </c>
      <c r="C1344">
        <v>116</v>
      </c>
      <c r="D1344">
        <f>YEAR(cukier9[[#This Row],[data]])</f>
        <v>2011</v>
      </c>
    </row>
    <row r="1345" spans="1:4" x14ac:dyDescent="0.25">
      <c r="A1345" s="1">
        <v>40609</v>
      </c>
      <c r="B1345" t="s">
        <v>12</v>
      </c>
      <c r="C1345">
        <v>76</v>
      </c>
      <c r="D1345">
        <f>YEAR(cukier9[[#This Row],[data]])</f>
        <v>2011</v>
      </c>
    </row>
    <row r="1346" spans="1:4" x14ac:dyDescent="0.25">
      <c r="A1346" s="1">
        <v>40610</v>
      </c>
      <c r="B1346" t="s">
        <v>6</v>
      </c>
      <c r="C1346">
        <v>25</v>
      </c>
      <c r="D1346">
        <f>YEAR(cukier9[[#This Row],[data]])</f>
        <v>2011</v>
      </c>
    </row>
    <row r="1347" spans="1:4" x14ac:dyDescent="0.25">
      <c r="A1347" s="1">
        <v>40614</v>
      </c>
      <c r="B1347" t="s">
        <v>31</v>
      </c>
      <c r="C1347">
        <v>37</v>
      </c>
      <c r="D1347">
        <f>YEAR(cukier9[[#This Row],[data]])</f>
        <v>2011</v>
      </c>
    </row>
    <row r="1348" spans="1:4" x14ac:dyDescent="0.25">
      <c r="A1348" s="1">
        <v>40616</v>
      </c>
      <c r="B1348" t="s">
        <v>80</v>
      </c>
      <c r="C1348">
        <v>108</v>
      </c>
      <c r="D1348">
        <f>YEAR(cukier9[[#This Row],[data]])</f>
        <v>2011</v>
      </c>
    </row>
    <row r="1349" spans="1:4" x14ac:dyDescent="0.25">
      <c r="A1349" s="1">
        <v>40617</v>
      </c>
      <c r="B1349" t="s">
        <v>7</v>
      </c>
      <c r="C1349">
        <v>199</v>
      </c>
      <c r="D1349">
        <f>YEAR(cukier9[[#This Row],[data]])</f>
        <v>2011</v>
      </c>
    </row>
    <row r="1350" spans="1:4" x14ac:dyDescent="0.25">
      <c r="A1350" s="1">
        <v>40617</v>
      </c>
      <c r="B1350" t="s">
        <v>45</v>
      </c>
      <c r="C1350">
        <v>128</v>
      </c>
      <c r="D1350">
        <f>YEAR(cukier9[[#This Row],[data]])</f>
        <v>2011</v>
      </c>
    </row>
    <row r="1351" spans="1:4" x14ac:dyDescent="0.25">
      <c r="A1351" s="1">
        <v>40618</v>
      </c>
      <c r="B1351" t="s">
        <v>58</v>
      </c>
      <c r="C1351">
        <v>32</v>
      </c>
      <c r="D1351">
        <f>YEAR(cukier9[[#This Row],[data]])</f>
        <v>2011</v>
      </c>
    </row>
    <row r="1352" spans="1:4" x14ac:dyDescent="0.25">
      <c r="A1352" s="1">
        <v>40625</v>
      </c>
      <c r="B1352" t="s">
        <v>30</v>
      </c>
      <c r="C1352">
        <v>151</v>
      </c>
      <c r="D1352">
        <f>YEAR(cukier9[[#This Row],[data]])</f>
        <v>2011</v>
      </c>
    </row>
    <row r="1353" spans="1:4" x14ac:dyDescent="0.25">
      <c r="A1353" s="1">
        <v>40626</v>
      </c>
      <c r="B1353" t="s">
        <v>153</v>
      </c>
      <c r="C1353">
        <v>8</v>
      </c>
      <c r="D1353">
        <f>YEAR(cukier9[[#This Row],[data]])</f>
        <v>2011</v>
      </c>
    </row>
    <row r="1354" spans="1:4" x14ac:dyDescent="0.25">
      <c r="A1354" s="1">
        <v>40627</v>
      </c>
      <c r="B1354" t="s">
        <v>14</v>
      </c>
      <c r="C1354">
        <v>411</v>
      </c>
      <c r="D1354">
        <f>YEAR(cukier9[[#This Row],[data]])</f>
        <v>2011</v>
      </c>
    </row>
    <row r="1355" spans="1:4" x14ac:dyDescent="0.25">
      <c r="A1355" s="1">
        <v>40628</v>
      </c>
      <c r="B1355" t="s">
        <v>52</v>
      </c>
      <c r="C1355">
        <v>119</v>
      </c>
      <c r="D1355">
        <f>YEAR(cukier9[[#This Row],[data]])</f>
        <v>2011</v>
      </c>
    </row>
    <row r="1356" spans="1:4" x14ac:dyDescent="0.25">
      <c r="A1356" s="1">
        <v>40630</v>
      </c>
      <c r="B1356" t="s">
        <v>17</v>
      </c>
      <c r="C1356">
        <v>366</v>
      </c>
      <c r="D1356">
        <f>YEAR(cukier9[[#This Row],[data]])</f>
        <v>2011</v>
      </c>
    </row>
    <row r="1357" spans="1:4" x14ac:dyDescent="0.25">
      <c r="A1357" s="1">
        <v>40633</v>
      </c>
      <c r="B1357" t="s">
        <v>69</v>
      </c>
      <c r="C1357">
        <v>20</v>
      </c>
      <c r="D1357">
        <f>YEAR(cukier9[[#This Row],[data]])</f>
        <v>2011</v>
      </c>
    </row>
    <row r="1358" spans="1:4" x14ac:dyDescent="0.25">
      <c r="A1358" s="1">
        <v>40635</v>
      </c>
      <c r="B1358" t="s">
        <v>123</v>
      </c>
      <c r="C1358">
        <v>124</v>
      </c>
      <c r="D1358">
        <f>YEAR(cukier9[[#This Row],[data]])</f>
        <v>2011</v>
      </c>
    </row>
    <row r="1359" spans="1:4" x14ac:dyDescent="0.25">
      <c r="A1359" s="1">
        <v>40635</v>
      </c>
      <c r="B1359" t="s">
        <v>10</v>
      </c>
      <c r="C1359">
        <v>30</v>
      </c>
      <c r="D1359">
        <f>YEAR(cukier9[[#This Row],[data]])</f>
        <v>2011</v>
      </c>
    </row>
    <row r="1360" spans="1:4" x14ac:dyDescent="0.25">
      <c r="A1360" s="1">
        <v>40636</v>
      </c>
      <c r="B1360" t="s">
        <v>14</v>
      </c>
      <c r="C1360">
        <v>237</v>
      </c>
      <c r="D1360">
        <f>YEAR(cukier9[[#This Row],[data]])</f>
        <v>2011</v>
      </c>
    </row>
    <row r="1361" spans="1:4" x14ac:dyDescent="0.25">
      <c r="A1361" s="1">
        <v>40638</v>
      </c>
      <c r="B1361" t="s">
        <v>22</v>
      </c>
      <c r="C1361">
        <v>355</v>
      </c>
      <c r="D1361">
        <f>YEAR(cukier9[[#This Row],[data]])</f>
        <v>2011</v>
      </c>
    </row>
    <row r="1362" spans="1:4" x14ac:dyDescent="0.25">
      <c r="A1362" s="1">
        <v>40642</v>
      </c>
      <c r="B1362" t="s">
        <v>45</v>
      </c>
      <c r="C1362">
        <v>162</v>
      </c>
      <c r="D1362">
        <f>YEAR(cukier9[[#This Row],[data]])</f>
        <v>2011</v>
      </c>
    </row>
    <row r="1363" spans="1:4" x14ac:dyDescent="0.25">
      <c r="A1363" s="1">
        <v>40647</v>
      </c>
      <c r="B1363" t="s">
        <v>35</v>
      </c>
      <c r="C1363">
        <v>46</v>
      </c>
      <c r="D1363">
        <f>YEAR(cukier9[[#This Row],[data]])</f>
        <v>2011</v>
      </c>
    </row>
    <row r="1364" spans="1:4" x14ac:dyDescent="0.25">
      <c r="A1364" s="1">
        <v>40647</v>
      </c>
      <c r="B1364" t="s">
        <v>219</v>
      </c>
      <c r="C1364">
        <v>13</v>
      </c>
      <c r="D1364">
        <f>YEAR(cukier9[[#This Row],[data]])</f>
        <v>2011</v>
      </c>
    </row>
    <row r="1365" spans="1:4" x14ac:dyDescent="0.25">
      <c r="A1365" s="1">
        <v>40647</v>
      </c>
      <c r="B1365" t="s">
        <v>118</v>
      </c>
      <c r="C1365">
        <v>14</v>
      </c>
      <c r="D1365">
        <f>YEAR(cukier9[[#This Row],[data]])</f>
        <v>2011</v>
      </c>
    </row>
    <row r="1366" spans="1:4" x14ac:dyDescent="0.25">
      <c r="A1366" s="1">
        <v>40647</v>
      </c>
      <c r="B1366" t="s">
        <v>220</v>
      </c>
      <c r="C1366">
        <v>4</v>
      </c>
      <c r="D1366">
        <f>YEAR(cukier9[[#This Row],[data]])</f>
        <v>2011</v>
      </c>
    </row>
    <row r="1367" spans="1:4" x14ac:dyDescent="0.25">
      <c r="A1367" s="1">
        <v>40651</v>
      </c>
      <c r="B1367" t="s">
        <v>9</v>
      </c>
      <c r="C1367">
        <v>470</v>
      </c>
      <c r="D1367">
        <f>YEAR(cukier9[[#This Row],[data]])</f>
        <v>2011</v>
      </c>
    </row>
    <row r="1368" spans="1:4" x14ac:dyDescent="0.25">
      <c r="A1368" s="1">
        <v>40651</v>
      </c>
      <c r="B1368" t="s">
        <v>221</v>
      </c>
      <c r="C1368">
        <v>9</v>
      </c>
      <c r="D1368">
        <f>YEAR(cukier9[[#This Row],[data]])</f>
        <v>2011</v>
      </c>
    </row>
    <row r="1369" spans="1:4" x14ac:dyDescent="0.25">
      <c r="A1369" s="1">
        <v>40651</v>
      </c>
      <c r="B1369" t="s">
        <v>58</v>
      </c>
      <c r="C1369">
        <v>37</v>
      </c>
      <c r="D1369">
        <f>YEAR(cukier9[[#This Row],[data]])</f>
        <v>2011</v>
      </c>
    </row>
    <row r="1370" spans="1:4" x14ac:dyDescent="0.25">
      <c r="A1370" s="1">
        <v>40652</v>
      </c>
      <c r="B1370" t="s">
        <v>28</v>
      </c>
      <c r="C1370">
        <v>55</v>
      </c>
      <c r="D1370">
        <f>YEAR(cukier9[[#This Row],[data]])</f>
        <v>2011</v>
      </c>
    </row>
    <row r="1371" spans="1:4" x14ac:dyDescent="0.25">
      <c r="A1371" s="1">
        <v>40654</v>
      </c>
      <c r="B1371" t="s">
        <v>55</v>
      </c>
      <c r="C1371">
        <v>140</v>
      </c>
      <c r="D1371">
        <f>YEAR(cukier9[[#This Row],[data]])</f>
        <v>2011</v>
      </c>
    </row>
    <row r="1372" spans="1:4" x14ac:dyDescent="0.25">
      <c r="A1372" s="1">
        <v>40656</v>
      </c>
      <c r="B1372" t="s">
        <v>222</v>
      </c>
      <c r="C1372">
        <v>12</v>
      </c>
      <c r="D1372">
        <f>YEAR(cukier9[[#This Row],[data]])</f>
        <v>2011</v>
      </c>
    </row>
    <row r="1373" spans="1:4" x14ac:dyDescent="0.25">
      <c r="A1373" s="1">
        <v>40658</v>
      </c>
      <c r="B1373" t="s">
        <v>12</v>
      </c>
      <c r="C1373">
        <v>20</v>
      </c>
      <c r="D1373">
        <f>YEAR(cukier9[[#This Row],[data]])</f>
        <v>2011</v>
      </c>
    </row>
    <row r="1374" spans="1:4" x14ac:dyDescent="0.25">
      <c r="A1374" s="1">
        <v>40662</v>
      </c>
      <c r="B1374" t="s">
        <v>50</v>
      </c>
      <c r="C1374">
        <v>478</v>
      </c>
      <c r="D1374">
        <f>YEAR(cukier9[[#This Row],[data]])</f>
        <v>2011</v>
      </c>
    </row>
    <row r="1375" spans="1:4" x14ac:dyDescent="0.25">
      <c r="A1375" s="1">
        <v>40664</v>
      </c>
      <c r="B1375" t="s">
        <v>22</v>
      </c>
      <c r="C1375">
        <v>289</v>
      </c>
      <c r="D1375">
        <f>YEAR(cukier9[[#This Row],[data]])</f>
        <v>2011</v>
      </c>
    </row>
    <row r="1376" spans="1:4" x14ac:dyDescent="0.25">
      <c r="A1376" s="1">
        <v>40665</v>
      </c>
      <c r="B1376" t="s">
        <v>57</v>
      </c>
      <c r="C1376">
        <v>1</v>
      </c>
      <c r="D1376">
        <f>YEAR(cukier9[[#This Row],[data]])</f>
        <v>2011</v>
      </c>
    </row>
    <row r="1377" spans="1:4" x14ac:dyDescent="0.25">
      <c r="A1377" s="1">
        <v>40665</v>
      </c>
      <c r="B1377" t="s">
        <v>149</v>
      </c>
      <c r="C1377">
        <v>15</v>
      </c>
      <c r="D1377">
        <f>YEAR(cukier9[[#This Row],[data]])</f>
        <v>2011</v>
      </c>
    </row>
    <row r="1378" spans="1:4" x14ac:dyDescent="0.25">
      <c r="A1378" s="1">
        <v>40668</v>
      </c>
      <c r="B1378" t="s">
        <v>7</v>
      </c>
      <c r="C1378">
        <v>400</v>
      </c>
      <c r="D1378">
        <f>YEAR(cukier9[[#This Row],[data]])</f>
        <v>2011</v>
      </c>
    </row>
    <row r="1379" spans="1:4" x14ac:dyDescent="0.25">
      <c r="A1379" s="1">
        <v>40669</v>
      </c>
      <c r="B1379" t="s">
        <v>108</v>
      </c>
      <c r="C1379">
        <v>1</v>
      </c>
      <c r="D1379">
        <f>YEAR(cukier9[[#This Row],[data]])</f>
        <v>2011</v>
      </c>
    </row>
    <row r="1380" spans="1:4" x14ac:dyDescent="0.25">
      <c r="A1380" s="1">
        <v>40670</v>
      </c>
      <c r="B1380" t="s">
        <v>8</v>
      </c>
      <c r="C1380">
        <v>184</v>
      </c>
      <c r="D1380">
        <f>YEAR(cukier9[[#This Row],[data]])</f>
        <v>2011</v>
      </c>
    </row>
    <row r="1381" spans="1:4" x14ac:dyDescent="0.25">
      <c r="A1381" s="1">
        <v>40670</v>
      </c>
      <c r="B1381" t="s">
        <v>6</v>
      </c>
      <c r="C1381">
        <v>99</v>
      </c>
      <c r="D1381">
        <f>YEAR(cukier9[[#This Row],[data]])</f>
        <v>2011</v>
      </c>
    </row>
    <row r="1382" spans="1:4" x14ac:dyDescent="0.25">
      <c r="A1382" s="1">
        <v>40671</v>
      </c>
      <c r="B1382" t="s">
        <v>10</v>
      </c>
      <c r="C1382">
        <v>143</v>
      </c>
      <c r="D1382">
        <f>YEAR(cukier9[[#This Row],[data]])</f>
        <v>2011</v>
      </c>
    </row>
    <row r="1383" spans="1:4" x14ac:dyDescent="0.25">
      <c r="A1383" s="1">
        <v>40672</v>
      </c>
      <c r="B1383" t="s">
        <v>30</v>
      </c>
      <c r="C1383">
        <v>184</v>
      </c>
      <c r="D1383">
        <f>YEAR(cukier9[[#This Row],[data]])</f>
        <v>2011</v>
      </c>
    </row>
    <row r="1384" spans="1:4" x14ac:dyDescent="0.25">
      <c r="A1384" s="1">
        <v>40676</v>
      </c>
      <c r="B1384" t="s">
        <v>163</v>
      </c>
      <c r="C1384">
        <v>3</v>
      </c>
      <c r="D1384">
        <f>YEAR(cukier9[[#This Row],[data]])</f>
        <v>2011</v>
      </c>
    </row>
    <row r="1385" spans="1:4" x14ac:dyDescent="0.25">
      <c r="A1385" s="1">
        <v>40676</v>
      </c>
      <c r="B1385" t="s">
        <v>18</v>
      </c>
      <c r="C1385">
        <v>197</v>
      </c>
      <c r="D1385">
        <f>YEAR(cukier9[[#This Row],[data]])</f>
        <v>2011</v>
      </c>
    </row>
    <row r="1386" spans="1:4" x14ac:dyDescent="0.25">
      <c r="A1386" s="1">
        <v>40680</v>
      </c>
      <c r="B1386" t="s">
        <v>4</v>
      </c>
      <c r="C1386">
        <v>18</v>
      </c>
      <c r="D1386">
        <f>YEAR(cukier9[[#This Row],[data]])</f>
        <v>2011</v>
      </c>
    </row>
    <row r="1387" spans="1:4" x14ac:dyDescent="0.25">
      <c r="A1387" s="1">
        <v>40685</v>
      </c>
      <c r="B1387" t="s">
        <v>0</v>
      </c>
      <c r="C1387">
        <v>7</v>
      </c>
      <c r="D1387">
        <f>YEAR(cukier9[[#This Row],[data]])</f>
        <v>2011</v>
      </c>
    </row>
    <row r="1388" spans="1:4" x14ac:dyDescent="0.25">
      <c r="A1388" s="1">
        <v>40686</v>
      </c>
      <c r="B1388" t="s">
        <v>9</v>
      </c>
      <c r="C1388">
        <v>381</v>
      </c>
      <c r="D1388">
        <f>YEAR(cukier9[[#This Row],[data]])</f>
        <v>2011</v>
      </c>
    </row>
    <row r="1389" spans="1:4" x14ac:dyDescent="0.25">
      <c r="A1389" s="1">
        <v>40689</v>
      </c>
      <c r="B1389" t="s">
        <v>61</v>
      </c>
      <c r="C1389">
        <v>45</v>
      </c>
      <c r="D1389">
        <f>YEAR(cukier9[[#This Row],[data]])</f>
        <v>2011</v>
      </c>
    </row>
    <row r="1390" spans="1:4" x14ac:dyDescent="0.25">
      <c r="A1390" s="1">
        <v>40691</v>
      </c>
      <c r="B1390" t="s">
        <v>17</v>
      </c>
      <c r="C1390">
        <v>499</v>
      </c>
      <c r="D1390">
        <f>YEAR(cukier9[[#This Row],[data]])</f>
        <v>2011</v>
      </c>
    </row>
    <row r="1391" spans="1:4" x14ac:dyDescent="0.25">
      <c r="A1391" s="1">
        <v>40695</v>
      </c>
      <c r="B1391" t="s">
        <v>17</v>
      </c>
      <c r="C1391">
        <v>134</v>
      </c>
      <c r="D1391">
        <f>YEAR(cukier9[[#This Row],[data]])</f>
        <v>2011</v>
      </c>
    </row>
    <row r="1392" spans="1:4" x14ac:dyDescent="0.25">
      <c r="A1392" s="1">
        <v>40695</v>
      </c>
      <c r="B1392" t="s">
        <v>52</v>
      </c>
      <c r="C1392">
        <v>132</v>
      </c>
      <c r="D1392">
        <f>YEAR(cukier9[[#This Row],[data]])</f>
        <v>2011</v>
      </c>
    </row>
    <row r="1393" spans="1:4" x14ac:dyDescent="0.25">
      <c r="A1393" s="1">
        <v>40696</v>
      </c>
      <c r="B1393" t="s">
        <v>19</v>
      </c>
      <c r="C1393">
        <v>180</v>
      </c>
      <c r="D1393">
        <f>YEAR(cukier9[[#This Row],[data]])</f>
        <v>2011</v>
      </c>
    </row>
    <row r="1394" spans="1:4" x14ac:dyDescent="0.25">
      <c r="A1394" s="1">
        <v>40699</v>
      </c>
      <c r="B1394" t="s">
        <v>221</v>
      </c>
      <c r="C1394">
        <v>5</v>
      </c>
      <c r="D1394">
        <f>YEAR(cukier9[[#This Row],[data]])</f>
        <v>2011</v>
      </c>
    </row>
    <row r="1395" spans="1:4" x14ac:dyDescent="0.25">
      <c r="A1395" s="1">
        <v>40701</v>
      </c>
      <c r="B1395" t="s">
        <v>24</v>
      </c>
      <c r="C1395">
        <v>110</v>
      </c>
      <c r="D1395">
        <f>YEAR(cukier9[[#This Row],[data]])</f>
        <v>2011</v>
      </c>
    </row>
    <row r="1396" spans="1:4" x14ac:dyDescent="0.25">
      <c r="A1396" s="1">
        <v>40702</v>
      </c>
      <c r="B1396" t="s">
        <v>52</v>
      </c>
      <c r="C1396">
        <v>54</v>
      </c>
      <c r="D1396">
        <f>YEAR(cukier9[[#This Row],[data]])</f>
        <v>2011</v>
      </c>
    </row>
    <row r="1397" spans="1:4" x14ac:dyDescent="0.25">
      <c r="A1397" s="1">
        <v>40703</v>
      </c>
      <c r="B1397" t="s">
        <v>209</v>
      </c>
      <c r="C1397">
        <v>6</v>
      </c>
      <c r="D1397">
        <f>YEAR(cukier9[[#This Row],[data]])</f>
        <v>2011</v>
      </c>
    </row>
    <row r="1398" spans="1:4" x14ac:dyDescent="0.25">
      <c r="A1398" s="1">
        <v>40704</v>
      </c>
      <c r="B1398" t="s">
        <v>50</v>
      </c>
      <c r="C1398">
        <v>476</v>
      </c>
      <c r="D1398">
        <f>YEAR(cukier9[[#This Row],[data]])</f>
        <v>2011</v>
      </c>
    </row>
    <row r="1399" spans="1:4" x14ac:dyDescent="0.25">
      <c r="A1399" s="1">
        <v>40704</v>
      </c>
      <c r="B1399" t="s">
        <v>19</v>
      </c>
      <c r="C1399">
        <v>104</v>
      </c>
      <c r="D1399">
        <f>YEAR(cukier9[[#This Row],[data]])</f>
        <v>2011</v>
      </c>
    </row>
    <row r="1400" spans="1:4" x14ac:dyDescent="0.25">
      <c r="A1400" s="1">
        <v>40704</v>
      </c>
      <c r="B1400" t="s">
        <v>31</v>
      </c>
      <c r="C1400">
        <v>104</v>
      </c>
      <c r="D1400">
        <f>YEAR(cukier9[[#This Row],[data]])</f>
        <v>2011</v>
      </c>
    </row>
    <row r="1401" spans="1:4" x14ac:dyDescent="0.25">
      <c r="A1401" s="1">
        <v>40706</v>
      </c>
      <c r="B1401" t="s">
        <v>18</v>
      </c>
      <c r="C1401">
        <v>47</v>
      </c>
      <c r="D1401">
        <f>YEAR(cukier9[[#This Row],[data]])</f>
        <v>2011</v>
      </c>
    </row>
    <row r="1402" spans="1:4" x14ac:dyDescent="0.25">
      <c r="A1402" s="1">
        <v>40706</v>
      </c>
      <c r="B1402" t="s">
        <v>35</v>
      </c>
      <c r="C1402">
        <v>127</v>
      </c>
      <c r="D1402">
        <f>YEAR(cukier9[[#This Row],[data]])</f>
        <v>2011</v>
      </c>
    </row>
    <row r="1403" spans="1:4" x14ac:dyDescent="0.25">
      <c r="A1403" s="1">
        <v>40708</v>
      </c>
      <c r="B1403" t="s">
        <v>25</v>
      </c>
      <c r="C1403">
        <v>143</v>
      </c>
      <c r="D1403">
        <f>YEAR(cukier9[[#This Row],[data]])</f>
        <v>2011</v>
      </c>
    </row>
    <row r="1404" spans="1:4" x14ac:dyDescent="0.25">
      <c r="A1404" s="1">
        <v>40711</v>
      </c>
      <c r="B1404" t="s">
        <v>58</v>
      </c>
      <c r="C1404">
        <v>181</v>
      </c>
      <c r="D1404">
        <f>YEAR(cukier9[[#This Row],[data]])</f>
        <v>2011</v>
      </c>
    </row>
    <row r="1405" spans="1:4" x14ac:dyDescent="0.25">
      <c r="A1405" s="1">
        <v>40714</v>
      </c>
      <c r="B1405" t="s">
        <v>19</v>
      </c>
      <c r="C1405">
        <v>139</v>
      </c>
      <c r="D1405">
        <f>YEAR(cukier9[[#This Row],[data]])</f>
        <v>2011</v>
      </c>
    </row>
    <row r="1406" spans="1:4" x14ac:dyDescent="0.25">
      <c r="A1406" s="1">
        <v>40717</v>
      </c>
      <c r="B1406" t="s">
        <v>52</v>
      </c>
      <c r="C1406">
        <v>187</v>
      </c>
      <c r="D1406">
        <f>YEAR(cukier9[[#This Row],[data]])</f>
        <v>2011</v>
      </c>
    </row>
    <row r="1407" spans="1:4" x14ac:dyDescent="0.25">
      <c r="A1407" s="1">
        <v>40717</v>
      </c>
      <c r="B1407" t="s">
        <v>201</v>
      </c>
      <c r="C1407">
        <v>11</v>
      </c>
      <c r="D1407">
        <f>YEAR(cukier9[[#This Row],[data]])</f>
        <v>2011</v>
      </c>
    </row>
    <row r="1408" spans="1:4" x14ac:dyDescent="0.25">
      <c r="A1408" s="1">
        <v>40718</v>
      </c>
      <c r="B1408" t="s">
        <v>55</v>
      </c>
      <c r="C1408">
        <v>170</v>
      </c>
      <c r="D1408">
        <f>YEAR(cukier9[[#This Row],[data]])</f>
        <v>2011</v>
      </c>
    </row>
    <row r="1409" spans="1:4" x14ac:dyDescent="0.25">
      <c r="A1409" s="1">
        <v>40723</v>
      </c>
      <c r="B1409" t="s">
        <v>116</v>
      </c>
      <c r="C1409">
        <v>7</v>
      </c>
      <c r="D1409">
        <f>YEAR(cukier9[[#This Row],[data]])</f>
        <v>2011</v>
      </c>
    </row>
    <row r="1410" spans="1:4" x14ac:dyDescent="0.25">
      <c r="A1410" s="1">
        <v>40727</v>
      </c>
      <c r="B1410" t="s">
        <v>12</v>
      </c>
      <c r="C1410">
        <v>168</v>
      </c>
      <c r="D1410">
        <f>YEAR(cukier9[[#This Row],[data]])</f>
        <v>2011</v>
      </c>
    </row>
    <row r="1411" spans="1:4" x14ac:dyDescent="0.25">
      <c r="A1411" s="1">
        <v>40727</v>
      </c>
      <c r="B1411" t="s">
        <v>205</v>
      </c>
      <c r="C1411">
        <v>4</v>
      </c>
      <c r="D1411">
        <f>YEAR(cukier9[[#This Row],[data]])</f>
        <v>2011</v>
      </c>
    </row>
    <row r="1412" spans="1:4" x14ac:dyDescent="0.25">
      <c r="A1412" s="1">
        <v>40727</v>
      </c>
      <c r="B1412" t="s">
        <v>9</v>
      </c>
      <c r="C1412">
        <v>145</v>
      </c>
      <c r="D1412">
        <f>YEAR(cukier9[[#This Row],[data]])</f>
        <v>2011</v>
      </c>
    </row>
    <row r="1413" spans="1:4" x14ac:dyDescent="0.25">
      <c r="A1413" s="1">
        <v>40730</v>
      </c>
      <c r="B1413" t="s">
        <v>19</v>
      </c>
      <c r="C1413">
        <v>103</v>
      </c>
      <c r="D1413">
        <f>YEAR(cukier9[[#This Row],[data]])</f>
        <v>2011</v>
      </c>
    </row>
    <row r="1414" spans="1:4" x14ac:dyDescent="0.25">
      <c r="A1414" s="1">
        <v>40732</v>
      </c>
      <c r="B1414" t="s">
        <v>17</v>
      </c>
      <c r="C1414">
        <v>101</v>
      </c>
      <c r="D1414">
        <f>YEAR(cukier9[[#This Row],[data]])</f>
        <v>2011</v>
      </c>
    </row>
    <row r="1415" spans="1:4" x14ac:dyDescent="0.25">
      <c r="A1415" s="1">
        <v>40733</v>
      </c>
      <c r="B1415" t="s">
        <v>35</v>
      </c>
      <c r="C1415">
        <v>141</v>
      </c>
      <c r="D1415">
        <f>YEAR(cukier9[[#This Row],[data]])</f>
        <v>2011</v>
      </c>
    </row>
    <row r="1416" spans="1:4" x14ac:dyDescent="0.25">
      <c r="A1416" s="1">
        <v>40733</v>
      </c>
      <c r="B1416" t="s">
        <v>194</v>
      </c>
      <c r="C1416">
        <v>6</v>
      </c>
      <c r="D1416">
        <f>YEAR(cukier9[[#This Row],[data]])</f>
        <v>2011</v>
      </c>
    </row>
    <row r="1417" spans="1:4" x14ac:dyDescent="0.25">
      <c r="A1417" s="1">
        <v>40733</v>
      </c>
      <c r="B1417" t="s">
        <v>178</v>
      </c>
      <c r="C1417">
        <v>16</v>
      </c>
      <c r="D1417">
        <f>YEAR(cukier9[[#This Row],[data]])</f>
        <v>2011</v>
      </c>
    </row>
    <row r="1418" spans="1:4" x14ac:dyDescent="0.25">
      <c r="A1418" s="1">
        <v>40735</v>
      </c>
      <c r="B1418" t="s">
        <v>17</v>
      </c>
      <c r="C1418">
        <v>276</v>
      </c>
      <c r="D1418">
        <f>YEAR(cukier9[[#This Row],[data]])</f>
        <v>2011</v>
      </c>
    </row>
    <row r="1419" spans="1:4" x14ac:dyDescent="0.25">
      <c r="A1419" s="1">
        <v>40736</v>
      </c>
      <c r="B1419" t="s">
        <v>102</v>
      </c>
      <c r="C1419">
        <v>329</v>
      </c>
      <c r="D1419">
        <f>YEAR(cukier9[[#This Row],[data]])</f>
        <v>2011</v>
      </c>
    </row>
    <row r="1420" spans="1:4" x14ac:dyDescent="0.25">
      <c r="A1420" s="1">
        <v>40737</v>
      </c>
      <c r="B1420" t="s">
        <v>52</v>
      </c>
      <c r="C1420">
        <v>200</v>
      </c>
      <c r="D1420">
        <f>YEAR(cukier9[[#This Row],[data]])</f>
        <v>2011</v>
      </c>
    </row>
    <row r="1421" spans="1:4" x14ac:dyDescent="0.25">
      <c r="A1421" s="1">
        <v>40740</v>
      </c>
      <c r="B1421" t="s">
        <v>10</v>
      </c>
      <c r="C1421">
        <v>82</v>
      </c>
      <c r="D1421">
        <f>YEAR(cukier9[[#This Row],[data]])</f>
        <v>2011</v>
      </c>
    </row>
    <row r="1422" spans="1:4" x14ac:dyDescent="0.25">
      <c r="A1422" s="1">
        <v>40740</v>
      </c>
      <c r="B1422" t="s">
        <v>37</v>
      </c>
      <c r="C1422">
        <v>66</v>
      </c>
      <c r="D1422">
        <f>YEAR(cukier9[[#This Row],[data]])</f>
        <v>2011</v>
      </c>
    </row>
    <row r="1423" spans="1:4" x14ac:dyDescent="0.25">
      <c r="A1423" s="1">
        <v>40745</v>
      </c>
      <c r="B1423" t="s">
        <v>22</v>
      </c>
      <c r="C1423">
        <v>150</v>
      </c>
      <c r="D1423">
        <f>YEAR(cukier9[[#This Row],[data]])</f>
        <v>2011</v>
      </c>
    </row>
    <row r="1424" spans="1:4" x14ac:dyDescent="0.25">
      <c r="A1424" s="1">
        <v>40745</v>
      </c>
      <c r="B1424" t="s">
        <v>69</v>
      </c>
      <c r="C1424">
        <v>63</v>
      </c>
      <c r="D1424">
        <f>YEAR(cukier9[[#This Row],[data]])</f>
        <v>2011</v>
      </c>
    </row>
    <row r="1425" spans="1:4" x14ac:dyDescent="0.25">
      <c r="A1425" s="1">
        <v>40746</v>
      </c>
      <c r="B1425" t="s">
        <v>66</v>
      </c>
      <c r="C1425">
        <v>120</v>
      </c>
      <c r="D1425">
        <f>YEAR(cukier9[[#This Row],[data]])</f>
        <v>2011</v>
      </c>
    </row>
    <row r="1426" spans="1:4" x14ac:dyDescent="0.25">
      <c r="A1426" s="1">
        <v>40747</v>
      </c>
      <c r="B1426" t="s">
        <v>7</v>
      </c>
      <c r="C1426">
        <v>155</v>
      </c>
      <c r="D1426">
        <f>YEAR(cukier9[[#This Row],[data]])</f>
        <v>2011</v>
      </c>
    </row>
    <row r="1427" spans="1:4" x14ac:dyDescent="0.25">
      <c r="A1427" s="1">
        <v>40748</v>
      </c>
      <c r="B1427" t="s">
        <v>19</v>
      </c>
      <c r="C1427">
        <v>30</v>
      </c>
      <c r="D1427">
        <f>YEAR(cukier9[[#This Row],[data]])</f>
        <v>2011</v>
      </c>
    </row>
    <row r="1428" spans="1:4" x14ac:dyDescent="0.25">
      <c r="A1428" s="1">
        <v>40748</v>
      </c>
      <c r="B1428" t="s">
        <v>71</v>
      </c>
      <c r="C1428">
        <v>34</v>
      </c>
      <c r="D1428">
        <f>YEAR(cukier9[[#This Row],[data]])</f>
        <v>2011</v>
      </c>
    </row>
    <row r="1429" spans="1:4" x14ac:dyDescent="0.25">
      <c r="A1429" s="1">
        <v>40753</v>
      </c>
      <c r="B1429" t="s">
        <v>12</v>
      </c>
      <c r="C1429">
        <v>30</v>
      </c>
      <c r="D1429">
        <f>YEAR(cukier9[[#This Row],[data]])</f>
        <v>2011</v>
      </c>
    </row>
    <row r="1430" spans="1:4" x14ac:dyDescent="0.25">
      <c r="A1430" s="1">
        <v>40753</v>
      </c>
      <c r="B1430" t="s">
        <v>6</v>
      </c>
      <c r="C1430">
        <v>162</v>
      </c>
      <c r="D1430">
        <f>YEAR(cukier9[[#This Row],[data]])</f>
        <v>2011</v>
      </c>
    </row>
    <row r="1431" spans="1:4" x14ac:dyDescent="0.25">
      <c r="A1431" s="1">
        <v>40754</v>
      </c>
      <c r="B1431" t="s">
        <v>63</v>
      </c>
      <c r="C1431">
        <v>71</v>
      </c>
      <c r="D1431">
        <f>YEAR(cukier9[[#This Row],[data]])</f>
        <v>2011</v>
      </c>
    </row>
    <row r="1432" spans="1:4" x14ac:dyDescent="0.25">
      <c r="A1432" s="1">
        <v>40755</v>
      </c>
      <c r="B1432" t="s">
        <v>155</v>
      </c>
      <c r="C1432">
        <v>16</v>
      </c>
      <c r="D1432">
        <f>YEAR(cukier9[[#This Row],[data]])</f>
        <v>2011</v>
      </c>
    </row>
    <row r="1433" spans="1:4" x14ac:dyDescent="0.25">
      <c r="A1433" s="1">
        <v>40759</v>
      </c>
      <c r="B1433" t="s">
        <v>35</v>
      </c>
      <c r="C1433">
        <v>165</v>
      </c>
      <c r="D1433">
        <f>YEAR(cukier9[[#This Row],[data]])</f>
        <v>2011</v>
      </c>
    </row>
    <row r="1434" spans="1:4" x14ac:dyDescent="0.25">
      <c r="A1434" s="1">
        <v>40760</v>
      </c>
      <c r="B1434" t="s">
        <v>35</v>
      </c>
      <c r="C1434">
        <v>180</v>
      </c>
      <c r="D1434">
        <f>YEAR(cukier9[[#This Row],[data]])</f>
        <v>2011</v>
      </c>
    </row>
    <row r="1435" spans="1:4" x14ac:dyDescent="0.25">
      <c r="A1435" s="1">
        <v>40761</v>
      </c>
      <c r="B1435" t="s">
        <v>84</v>
      </c>
      <c r="C1435">
        <v>2</v>
      </c>
      <c r="D1435">
        <f>YEAR(cukier9[[#This Row],[data]])</f>
        <v>2011</v>
      </c>
    </row>
    <row r="1436" spans="1:4" x14ac:dyDescent="0.25">
      <c r="A1436" s="1">
        <v>40766</v>
      </c>
      <c r="B1436" t="s">
        <v>37</v>
      </c>
      <c r="C1436">
        <v>111</v>
      </c>
      <c r="D1436">
        <f>YEAR(cukier9[[#This Row],[data]])</f>
        <v>2011</v>
      </c>
    </row>
    <row r="1437" spans="1:4" x14ac:dyDescent="0.25">
      <c r="A1437" s="1">
        <v>40767</v>
      </c>
      <c r="B1437" t="s">
        <v>35</v>
      </c>
      <c r="C1437">
        <v>128</v>
      </c>
      <c r="D1437">
        <f>YEAR(cukier9[[#This Row],[data]])</f>
        <v>2011</v>
      </c>
    </row>
    <row r="1438" spans="1:4" x14ac:dyDescent="0.25">
      <c r="A1438" s="1">
        <v>40768</v>
      </c>
      <c r="B1438" t="s">
        <v>110</v>
      </c>
      <c r="C1438">
        <v>7</v>
      </c>
      <c r="D1438">
        <f>YEAR(cukier9[[#This Row],[data]])</f>
        <v>2011</v>
      </c>
    </row>
    <row r="1439" spans="1:4" x14ac:dyDescent="0.25">
      <c r="A1439" s="1">
        <v>40768</v>
      </c>
      <c r="B1439" t="s">
        <v>9</v>
      </c>
      <c r="C1439">
        <v>211</v>
      </c>
      <c r="D1439">
        <f>YEAR(cukier9[[#This Row],[data]])</f>
        <v>2011</v>
      </c>
    </row>
    <row r="1440" spans="1:4" x14ac:dyDescent="0.25">
      <c r="A1440" s="1">
        <v>40768</v>
      </c>
      <c r="B1440" t="s">
        <v>6</v>
      </c>
      <c r="C1440">
        <v>184</v>
      </c>
      <c r="D1440">
        <f>YEAR(cukier9[[#This Row],[data]])</f>
        <v>2011</v>
      </c>
    </row>
    <row r="1441" spans="1:4" x14ac:dyDescent="0.25">
      <c r="A1441" s="1">
        <v>40771</v>
      </c>
      <c r="B1441" t="s">
        <v>14</v>
      </c>
      <c r="C1441">
        <v>450</v>
      </c>
      <c r="D1441">
        <f>YEAR(cukier9[[#This Row],[data]])</f>
        <v>2011</v>
      </c>
    </row>
    <row r="1442" spans="1:4" x14ac:dyDescent="0.25">
      <c r="A1442" s="1">
        <v>40771</v>
      </c>
      <c r="B1442" t="s">
        <v>120</v>
      </c>
      <c r="C1442">
        <v>140</v>
      </c>
      <c r="D1442">
        <f>YEAR(cukier9[[#This Row],[data]])</f>
        <v>2011</v>
      </c>
    </row>
    <row r="1443" spans="1:4" x14ac:dyDescent="0.25">
      <c r="A1443" s="1">
        <v>40775</v>
      </c>
      <c r="B1443" t="s">
        <v>8</v>
      </c>
      <c r="C1443">
        <v>52</v>
      </c>
      <c r="D1443">
        <f>YEAR(cukier9[[#This Row],[data]])</f>
        <v>2011</v>
      </c>
    </row>
    <row r="1444" spans="1:4" x14ac:dyDescent="0.25">
      <c r="A1444" s="1">
        <v>40777</v>
      </c>
      <c r="B1444" t="s">
        <v>181</v>
      </c>
      <c r="C1444">
        <v>2</v>
      </c>
      <c r="D1444">
        <f>YEAR(cukier9[[#This Row],[data]])</f>
        <v>2011</v>
      </c>
    </row>
    <row r="1445" spans="1:4" x14ac:dyDescent="0.25">
      <c r="A1445" s="1">
        <v>40777</v>
      </c>
      <c r="B1445" t="s">
        <v>96</v>
      </c>
      <c r="C1445">
        <v>13</v>
      </c>
      <c r="D1445">
        <f>YEAR(cukier9[[#This Row],[data]])</f>
        <v>2011</v>
      </c>
    </row>
    <row r="1446" spans="1:4" x14ac:dyDescent="0.25">
      <c r="A1446" s="1">
        <v>40777</v>
      </c>
      <c r="B1446" t="s">
        <v>37</v>
      </c>
      <c r="C1446">
        <v>73</v>
      </c>
      <c r="D1446">
        <f>YEAR(cukier9[[#This Row],[data]])</f>
        <v>2011</v>
      </c>
    </row>
    <row r="1447" spans="1:4" x14ac:dyDescent="0.25">
      <c r="A1447" s="1">
        <v>40781</v>
      </c>
      <c r="B1447" t="s">
        <v>18</v>
      </c>
      <c r="C1447">
        <v>123</v>
      </c>
      <c r="D1447">
        <f>YEAR(cukier9[[#This Row],[data]])</f>
        <v>2011</v>
      </c>
    </row>
    <row r="1448" spans="1:4" x14ac:dyDescent="0.25">
      <c r="A1448" s="1">
        <v>40783</v>
      </c>
      <c r="B1448" t="s">
        <v>68</v>
      </c>
      <c r="C1448">
        <v>3</v>
      </c>
      <c r="D1448">
        <f>YEAR(cukier9[[#This Row],[data]])</f>
        <v>2011</v>
      </c>
    </row>
    <row r="1449" spans="1:4" x14ac:dyDescent="0.25">
      <c r="A1449" s="1">
        <v>40784</v>
      </c>
      <c r="B1449" t="s">
        <v>12</v>
      </c>
      <c r="C1449">
        <v>93</v>
      </c>
      <c r="D1449">
        <f>YEAR(cukier9[[#This Row],[data]])</f>
        <v>2011</v>
      </c>
    </row>
    <row r="1450" spans="1:4" x14ac:dyDescent="0.25">
      <c r="A1450" s="1">
        <v>40789</v>
      </c>
      <c r="B1450" t="s">
        <v>24</v>
      </c>
      <c r="C1450">
        <v>310</v>
      </c>
      <c r="D1450">
        <f>YEAR(cukier9[[#This Row],[data]])</f>
        <v>2011</v>
      </c>
    </row>
    <row r="1451" spans="1:4" x14ac:dyDescent="0.25">
      <c r="A1451" s="1">
        <v>40789</v>
      </c>
      <c r="B1451" t="s">
        <v>6</v>
      </c>
      <c r="C1451">
        <v>77</v>
      </c>
      <c r="D1451">
        <f>YEAR(cukier9[[#This Row],[data]])</f>
        <v>2011</v>
      </c>
    </row>
    <row r="1452" spans="1:4" x14ac:dyDescent="0.25">
      <c r="A1452" s="1">
        <v>40793</v>
      </c>
      <c r="B1452" t="s">
        <v>10</v>
      </c>
      <c r="C1452">
        <v>21</v>
      </c>
      <c r="D1452">
        <f>YEAR(cukier9[[#This Row],[data]])</f>
        <v>2011</v>
      </c>
    </row>
    <row r="1453" spans="1:4" x14ac:dyDescent="0.25">
      <c r="A1453" s="1">
        <v>40797</v>
      </c>
      <c r="B1453" t="s">
        <v>21</v>
      </c>
      <c r="C1453">
        <v>3</v>
      </c>
      <c r="D1453">
        <f>YEAR(cukier9[[#This Row],[data]])</f>
        <v>2011</v>
      </c>
    </row>
    <row r="1454" spans="1:4" x14ac:dyDescent="0.25">
      <c r="A1454" s="1">
        <v>40799</v>
      </c>
      <c r="B1454" t="s">
        <v>28</v>
      </c>
      <c r="C1454">
        <v>176</v>
      </c>
      <c r="D1454">
        <f>YEAR(cukier9[[#This Row],[data]])</f>
        <v>2011</v>
      </c>
    </row>
    <row r="1455" spans="1:4" x14ac:dyDescent="0.25">
      <c r="A1455" s="1">
        <v>40799</v>
      </c>
      <c r="B1455" t="s">
        <v>13</v>
      </c>
      <c r="C1455">
        <v>20</v>
      </c>
      <c r="D1455">
        <f>YEAR(cukier9[[#This Row],[data]])</f>
        <v>2011</v>
      </c>
    </row>
    <row r="1456" spans="1:4" x14ac:dyDescent="0.25">
      <c r="A1456" s="1">
        <v>40800</v>
      </c>
      <c r="B1456" t="s">
        <v>24</v>
      </c>
      <c r="C1456">
        <v>230</v>
      </c>
      <c r="D1456">
        <f>YEAR(cukier9[[#This Row],[data]])</f>
        <v>2011</v>
      </c>
    </row>
    <row r="1457" spans="1:4" x14ac:dyDescent="0.25">
      <c r="A1457" s="1">
        <v>40800</v>
      </c>
      <c r="B1457" t="s">
        <v>155</v>
      </c>
      <c r="C1457">
        <v>10</v>
      </c>
      <c r="D1457">
        <f>YEAR(cukier9[[#This Row],[data]])</f>
        <v>2011</v>
      </c>
    </row>
    <row r="1458" spans="1:4" x14ac:dyDescent="0.25">
      <c r="A1458" s="1">
        <v>40802</v>
      </c>
      <c r="B1458" t="s">
        <v>163</v>
      </c>
      <c r="C1458">
        <v>12</v>
      </c>
      <c r="D1458">
        <f>YEAR(cukier9[[#This Row],[data]])</f>
        <v>2011</v>
      </c>
    </row>
    <row r="1459" spans="1:4" x14ac:dyDescent="0.25">
      <c r="A1459" s="1">
        <v>40802</v>
      </c>
      <c r="B1459" t="s">
        <v>152</v>
      </c>
      <c r="C1459">
        <v>11</v>
      </c>
      <c r="D1459">
        <f>YEAR(cukier9[[#This Row],[data]])</f>
        <v>2011</v>
      </c>
    </row>
    <row r="1460" spans="1:4" x14ac:dyDescent="0.25">
      <c r="A1460" s="1">
        <v>40803</v>
      </c>
      <c r="B1460" t="s">
        <v>9</v>
      </c>
      <c r="C1460">
        <v>383</v>
      </c>
      <c r="D1460">
        <f>YEAR(cukier9[[#This Row],[data]])</f>
        <v>2011</v>
      </c>
    </row>
    <row r="1461" spans="1:4" x14ac:dyDescent="0.25">
      <c r="A1461" s="1">
        <v>40807</v>
      </c>
      <c r="B1461" t="s">
        <v>102</v>
      </c>
      <c r="C1461">
        <v>249</v>
      </c>
      <c r="D1461">
        <f>YEAR(cukier9[[#This Row],[data]])</f>
        <v>2011</v>
      </c>
    </row>
    <row r="1462" spans="1:4" x14ac:dyDescent="0.25">
      <c r="A1462" s="1">
        <v>40810</v>
      </c>
      <c r="B1462" t="s">
        <v>164</v>
      </c>
      <c r="C1462">
        <v>8</v>
      </c>
      <c r="D1462">
        <f>YEAR(cukier9[[#This Row],[data]])</f>
        <v>2011</v>
      </c>
    </row>
    <row r="1463" spans="1:4" x14ac:dyDescent="0.25">
      <c r="A1463" s="1">
        <v>40812</v>
      </c>
      <c r="B1463" t="s">
        <v>30</v>
      </c>
      <c r="C1463">
        <v>42</v>
      </c>
      <c r="D1463">
        <f>YEAR(cukier9[[#This Row],[data]])</f>
        <v>2011</v>
      </c>
    </row>
    <row r="1464" spans="1:4" x14ac:dyDescent="0.25">
      <c r="A1464" s="1">
        <v>40815</v>
      </c>
      <c r="B1464" t="s">
        <v>223</v>
      </c>
      <c r="C1464">
        <v>1</v>
      </c>
      <c r="D1464">
        <f>YEAR(cukier9[[#This Row],[data]])</f>
        <v>2011</v>
      </c>
    </row>
    <row r="1465" spans="1:4" x14ac:dyDescent="0.25">
      <c r="A1465" s="1">
        <v>40815</v>
      </c>
      <c r="B1465" t="s">
        <v>22</v>
      </c>
      <c r="C1465">
        <v>340</v>
      </c>
      <c r="D1465">
        <f>YEAR(cukier9[[#This Row],[data]])</f>
        <v>2011</v>
      </c>
    </row>
    <row r="1466" spans="1:4" x14ac:dyDescent="0.25">
      <c r="A1466" s="1">
        <v>40817</v>
      </c>
      <c r="B1466" t="s">
        <v>17</v>
      </c>
      <c r="C1466">
        <v>394</v>
      </c>
      <c r="D1466">
        <f>YEAR(cukier9[[#This Row],[data]])</f>
        <v>2011</v>
      </c>
    </row>
    <row r="1467" spans="1:4" x14ac:dyDescent="0.25">
      <c r="A1467" s="1">
        <v>40817</v>
      </c>
      <c r="B1467" t="s">
        <v>5</v>
      </c>
      <c r="C1467">
        <v>176</v>
      </c>
      <c r="D1467">
        <f>YEAR(cukier9[[#This Row],[data]])</f>
        <v>2011</v>
      </c>
    </row>
    <row r="1468" spans="1:4" x14ac:dyDescent="0.25">
      <c r="A1468" s="1">
        <v>40818</v>
      </c>
      <c r="B1468" t="s">
        <v>28</v>
      </c>
      <c r="C1468">
        <v>181</v>
      </c>
      <c r="D1468">
        <f>YEAR(cukier9[[#This Row],[data]])</f>
        <v>2011</v>
      </c>
    </row>
    <row r="1469" spans="1:4" x14ac:dyDescent="0.25">
      <c r="A1469" s="1">
        <v>40822</v>
      </c>
      <c r="B1469" t="s">
        <v>55</v>
      </c>
      <c r="C1469">
        <v>26</v>
      </c>
      <c r="D1469">
        <f>YEAR(cukier9[[#This Row],[data]])</f>
        <v>2011</v>
      </c>
    </row>
    <row r="1470" spans="1:4" x14ac:dyDescent="0.25">
      <c r="A1470" s="1">
        <v>40826</v>
      </c>
      <c r="B1470" t="s">
        <v>25</v>
      </c>
      <c r="C1470">
        <v>73</v>
      </c>
      <c r="D1470">
        <f>YEAR(cukier9[[#This Row],[data]])</f>
        <v>2011</v>
      </c>
    </row>
    <row r="1471" spans="1:4" x14ac:dyDescent="0.25">
      <c r="A1471" s="1">
        <v>40830</v>
      </c>
      <c r="B1471" t="s">
        <v>50</v>
      </c>
      <c r="C1471">
        <v>274</v>
      </c>
      <c r="D1471">
        <f>YEAR(cukier9[[#This Row],[data]])</f>
        <v>2011</v>
      </c>
    </row>
    <row r="1472" spans="1:4" x14ac:dyDescent="0.25">
      <c r="A1472" s="1">
        <v>40833</v>
      </c>
      <c r="B1472" t="s">
        <v>212</v>
      </c>
      <c r="C1472">
        <v>8</v>
      </c>
      <c r="D1472">
        <f>YEAR(cukier9[[#This Row],[data]])</f>
        <v>2011</v>
      </c>
    </row>
    <row r="1473" spans="1:4" x14ac:dyDescent="0.25">
      <c r="A1473" s="1">
        <v>40833</v>
      </c>
      <c r="B1473" t="s">
        <v>21</v>
      </c>
      <c r="C1473">
        <v>12</v>
      </c>
      <c r="D1473">
        <f>YEAR(cukier9[[#This Row],[data]])</f>
        <v>2011</v>
      </c>
    </row>
    <row r="1474" spans="1:4" x14ac:dyDescent="0.25">
      <c r="A1474" s="1">
        <v>40837</v>
      </c>
      <c r="B1474" t="s">
        <v>50</v>
      </c>
      <c r="C1474">
        <v>496</v>
      </c>
      <c r="D1474">
        <f>YEAR(cukier9[[#This Row],[data]])</f>
        <v>2011</v>
      </c>
    </row>
    <row r="1475" spans="1:4" x14ac:dyDescent="0.25">
      <c r="A1475" s="1">
        <v>40838</v>
      </c>
      <c r="B1475" t="s">
        <v>184</v>
      </c>
      <c r="C1475">
        <v>5</v>
      </c>
      <c r="D1475">
        <f>YEAR(cukier9[[#This Row],[data]])</f>
        <v>2011</v>
      </c>
    </row>
    <row r="1476" spans="1:4" x14ac:dyDescent="0.25">
      <c r="A1476" s="1">
        <v>40839</v>
      </c>
      <c r="B1476" t="s">
        <v>75</v>
      </c>
      <c r="C1476">
        <v>2</v>
      </c>
      <c r="D1476">
        <f>YEAR(cukier9[[#This Row],[data]])</f>
        <v>2011</v>
      </c>
    </row>
    <row r="1477" spans="1:4" x14ac:dyDescent="0.25">
      <c r="A1477" s="1">
        <v>40839</v>
      </c>
      <c r="B1477" t="s">
        <v>66</v>
      </c>
      <c r="C1477">
        <v>77</v>
      </c>
      <c r="D1477">
        <f>YEAR(cukier9[[#This Row],[data]])</f>
        <v>2011</v>
      </c>
    </row>
    <row r="1478" spans="1:4" x14ac:dyDescent="0.25">
      <c r="A1478" s="1">
        <v>40847</v>
      </c>
      <c r="B1478" t="s">
        <v>25</v>
      </c>
      <c r="C1478">
        <v>134</v>
      </c>
      <c r="D1478">
        <f>YEAR(cukier9[[#This Row],[data]])</f>
        <v>2011</v>
      </c>
    </row>
    <row r="1479" spans="1:4" x14ac:dyDescent="0.25">
      <c r="A1479" s="1">
        <v>40848</v>
      </c>
      <c r="B1479" t="s">
        <v>197</v>
      </c>
      <c r="C1479">
        <v>4</v>
      </c>
      <c r="D1479">
        <f>YEAR(cukier9[[#This Row],[data]])</f>
        <v>2011</v>
      </c>
    </row>
    <row r="1480" spans="1:4" x14ac:dyDescent="0.25">
      <c r="A1480" s="1">
        <v>40850</v>
      </c>
      <c r="B1480" t="s">
        <v>55</v>
      </c>
      <c r="C1480">
        <v>46</v>
      </c>
      <c r="D1480">
        <f>YEAR(cukier9[[#This Row],[data]])</f>
        <v>2011</v>
      </c>
    </row>
    <row r="1481" spans="1:4" x14ac:dyDescent="0.25">
      <c r="A1481" s="1">
        <v>40852</v>
      </c>
      <c r="B1481" t="s">
        <v>123</v>
      </c>
      <c r="C1481">
        <v>43</v>
      </c>
      <c r="D1481">
        <f>YEAR(cukier9[[#This Row],[data]])</f>
        <v>2011</v>
      </c>
    </row>
    <row r="1482" spans="1:4" x14ac:dyDescent="0.25">
      <c r="A1482" s="1">
        <v>40855</v>
      </c>
      <c r="B1482" t="s">
        <v>21</v>
      </c>
      <c r="C1482">
        <v>2</v>
      </c>
      <c r="D1482">
        <f>YEAR(cukier9[[#This Row],[data]])</f>
        <v>2011</v>
      </c>
    </row>
    <row r="1483" spans="1:4" x14ac:dyDescent="0.25">
      <c r="A1483" s="1">
        <v>40857</v>
      </c>
      <c r="B1483" t="s">
        <v>19</v>
      </c>
      <c r="C1483">
        <v>100</v>
      </c>
      <c r="D1483">
        <f>YEAR(cukier9[[#This Row],[data]])</f>
        <v>2011</v>
      </c>
    </row>
    <row r="1484" spans="1:4" x14ac:dyDescent="0.25">
      <c r="A1484" s="1">
        <v>40857</v>
      </c>
      <c r="B1484" t="s">
        <v>22</v>
      </c>
      <c r="C1484">
        <v>438</v>
      </c>
      <c r="D1484">
        <f>YEAR(cukier9[[#This Row],[data]])</f>
        <v>2011</v>
      </c>
    </row>
    <row r="1485" spans="1:4" x14ac:dyDescent="0.25">
      <c r="A1485" s="1">
        <v>40859</v>
      </c>
      <c r="B1485" t="s">
        <v>26</v>
      </c>
      <c r="C1485">
        <v>69</v>
      </c>
      <c r="D1485">
        <f>YEAR(cukier9[[#This Row],[data]])</f>
        <v>2011</v>
      </c>
    </row>
    <row r="1486" spans="1:4" x14ac:dyDescent="0.25">
      <c r="A1486" s="1">
        <v>40864</v>
      </c>
      <c r="B1486" t="s">
        <v>8</v>
      </c>
      <c r="C1486">
        <v>22</v>
      </c>
      <c r="D1486">
        <f>YEAR(cukier9[[#This Row],[data]])</f>
        <v>2011</v>
      </c>
    </row>
    <row r="1487" spans="1:4" x14ac:dyDescent="0.25">
      <c r="A1487" s="1">
        <v>40865</v>
      </c>
      <c r="B1487" t="s">
        <v>55</v>
      </c>
      <c r="C1487">
        <v>130</v>
      </c>
      <c r="D1487">
        <f>YEAR(cukier9[[#This Row],[data]])</f>
        <v>2011</v>
      </c>
    </row>
    <row r="1488" spans="1:4" x14ac:dyDescent="0.25">
      <c r="A1488" s="1">
        <v>40869</v>
      </c>
      <c r="B1488" t="s">
        <v>177</v>
      </c>
      <c r="C1488">
        <v>5</v>
      </c>
      <c r="D1488">
        <f>YEAR(cukier9[[#This Row],[data]])</f>
        <v>2011</v>
      </c>
    </row>
    <row r="1489" spans="1:4" x14ac:dyDescent="0.25">
      <c r="A1489" s="1">
        <v>40872</v>
      </c>
      <c r="B1489" t="s">
        <v>58</v>
      </c>
      <c r="C1489">
        <v>62</v>
      </c>
      <c r="D1489">
        <f>YEAR(cukier9[[#This Row],[data]])</f>
        <v>2011</v>
      </c>
    </row>
    <row r="1490" spans="1:4" x14ac:dyDescent="0.25">
      <c r="A1490" s="1">
        <v>40874</v>
      </c>
      <c r="B1490" t="s">
        <v>220</v>
      </c>
      <c r="C1490">
        <v>8</v>
      </c>
      <c r="D1490">
        <f>YEAR(cukier9[[#This Row],[data]])</f>
        <v>2011</v>
      </c>
    </row>
    <row r="1491" spans="1:4" x14ac:dyDescent="0.25">
      <c r="A1491" s="1">
        <v>40876</v>
      </c>
      <c r="B1491" t="s">
        <v>56</v>
      </c>
      <c r="C1491">
        <v>18</v>
      </c>
      <c r="D1491">
        <f>YEAR(cukier9[[#This Row],[data]])</f>
        <v>2011</v>
      </c>
    </row>
    <row r="1492" spans="1:4" x14ac:dyDescent="0.25">
      <c r="A1492" s="1">
        <v>40881</v>
      </c>
      <c r="B1492" t="s">
        <v>25</v>
      </c>
      <c r="C1492">
        <v>146</v>
      </c>
      <c r="D1492">
        <f>YEAR(cukier9[[#This Row],[data]])</f>
        <v>2011</v>
      </c>
    </row>
    <row r="1493" spans="1:4" x14ac:dyDescent="0.25">
      <c r="A1493" s="1">
        <v>40881</v>
      </c>
      <c r="B1493" t="s">
        <v>118</v>
      </c>
      <c r="C1493">
        <v>5</v>
      </c>
      <c r="D1493">
        <f>YEAR(cukier9[[#This Row],[data]])</f>
        <v>2011</v>
      </c>
    </row>
    <row r="1494" spans="1:4" x14ac:dyDescent="0.25">
      <c r="A1494" s="1">
        <v>40889</v>
      </c>
      <c r="B1494" t="s">
        <v>19</v>
      </c>
      <c r="C1494">
        <v>20</v>
      </c>
      <c r="D1494">
        <f>YEAR(cukier9[[#This Row],[data]])</f>
        <v>2011</v>
      </c>
    </row>
    <row r="1495" spans="1:4" x14ac:dyDescent="0.25">
      <c r="A1495" s="1">
        <v>40889</v>
      </c>
      <c r="B1495" t="s">
        <v>22</v>
      </c>
      <c r="C1495">
        <v>153</v>
      </c>
      <c r="D1495">
        <f>YEAR(cukier9[[#This Row],[data]])</f>
        <v>2011</v>
      </c>
    </row>
    <row r="1496" spans="1:4" x14ac:dyDescent="0.25">
      <c r="A1496" s="1">
        <v>40890</v>
      </c>
      <c r="B1496" t="s">
        <v>45</v>
      </c>
      <c r="C1496">
        <v>227</v>
      </c>
      <c r="D1496">
        <f>YEAR(cukier9[[#This Row],[data]])</f>
        <v>2011</v>
      </c>
    </row>
    <row r="1497" spans="1:4" x14ac:dyDescent="0.25">
      <c r="A1497" s="1">
        <v>40891</v>
      </c>
      <c r="B1497" t="s">
        <v>12</v>
      </c>
      <c r="C1497">
        <v>52</v>
      </c>
      <c r="D1497">
        <f>YEAR(cukier9[[#This Row],[data]])</f>
        <v>2011</v>
      </c>
    </row>
    <row r="1498" spans="1:4" x14ac:dyDescent="0.25">
      <c r="A1498" s="1">
        <v>40892</v>
      </c>
      <c r="B1498" t="s">
        <v>6</v>
      </c>
      <c r="C1498">
        <v>108</v>
      </c>
      <c r="D1498">
        <f>YEAR(cukier9[[#This Row],[data]])</f>
        <v>2011</v>
      </c>
    </row>
    <row r="1499" spans="1:4" x14ac:dyDescent="0.25">
      <c r="A1499" s="1">
        <v>40895</v>
      </c>
      <c r="B1499" t="s">
        <v>24</v>
      </c>
      <c r="C1499">
        <v>236</v>
      </c>
      <c r="D1499">
        <f>YEAR(cukier9[[#This Row],[data]])</f>
        <v>2011</v>
      </c>
    </row>
    <row r="1500" spans="1:4" x14ac:dyDescent="0.25">
      <c r="A1500" s="1">
        <v>40897</v>
      </c>
      <c r="B1500" t="s">
        <v>30</v>
      </c>
      <c r="C1500">
        <v>125</v>
      </c>
      <c r="D1500">
        <f>YEAR(cukier9[[#This Row],[data]])</f>
        <v>2011</v>
      </c>
    </row>
    <row r="1501" spans="1:4" x14ac:dyDescent="0.25">
      <c r="A1501" s="1">
        <v>40898</v>
      </c>
      <c r="B1501" t="s">
        <v>10</v>
      </c>
      <c r="C1501">
        <v>183</v>
      </c>
      <c r="D1501">
        <f>YEAR(cukier9[[#This Row],[data]])</f>
        <v>2011</v>
      </c>
    </row>
    <row r="1502" spans="1:4" x14ac:dyDescent="0.25">
      <c r="A1502" s="1">
        <v>40899</v>
      </c>
      <c r="B1502" t="s">
        <v>8</v>
      </c>
      <c r="C1502">
        <v>130</v>
      </c>
      <c r="D1502">
        <f>YEAR(cukier9[[#This Row],[data]])</f>
        <v>2011</v>
      </c>
    </row>
    <row r="1503" spans="1:4" x14ac:dyDescent="0.25">
      <c r="A1503" s="1">
        <v>40899</v>
      </c>
      <c r="B1503" t="s">
        <v>224</v>
      </c>
      <c r="C1503">
        <v>4</v>
      </c>
      <c r="D1503">
        <f>YEAR(cukier9[[#This Row],[data]])</f>
        <v>2011</v>
      </c>
    </row>
    <row r="1504" spans="1:4" x14ac:dyDescent="0.25">
      <c r="A1504" s="1">
        <v>40900</v>
      </c>
      <c r="B1504" t="s">
        <v>225</v>
      </c>
      <c r="C1504">
        <v>3</v>
      </c>
      <c r="D1504">
        <f>YEAR(cukier9[[#This Row],[data]])</f>
        <v>2011</v>
      </c>
    </row>
    <row r="1505" spans="1:4" x14ac:dyDescent="0.25">
      <c r="A1505" s="1">
        <v>40901</v>
      </c>
      <c r="B1505" t="s">
        <v>226</v>
      </c>
      <c r="C1505">
        <v>16</v>
      </c>
      <c r="D1505">
        <f>YEAR(cukier9[[#This Row],[data]])</f>
        <v>2011</v>
      </c>
    </row>
    <row r="1506" spans="1:4" x14ac:dyDescent="0.25">
      <c r="A1506" s="1">
        <v>40903</v>
      </c>
      <c r="B1506" t="s">
        <v>6</v>
      </c>
      <c r="C1506">
        <v>197</v>
      </c>
      <c r="D1506">
        <f>YEAR(cukier9[[#This Row],[data]])</f>
        <v>2011</v>
      </c>
    </row>
    <row r="1507" spans="1:4" x14ac:dyDescent="0.25">
      <c r="A1507" s="1">
        <v>40903</v>
      </c>
      <c r="B1507" t="s">
        <v>152</v>
      </c>
      <c r="C1507">
        <v>4</v>
      </c>
      <c r="D1507">
        <f>YEAR(cukier9[[#This Row],[data]])</f>
        <v>2011</v>
      </c>
    </row>
    <row r="1508" spans="1:4" x14ac:dyDescent="0.25">
      <c r="A1508" s="1">
        <v>40904</v>
      </c>
      <c r="B1508" t="s">
        <v>52</v>
      </c>
      <c r="C1508">
        <v>57</v>
      </c>
      <c r="D1508">
        <f>YEAR(cukier9[[#This Row],[data]])</f>
        <v>2011</v>
      </c>
    </row>
    <row r="1509" spans="1:4" x14ac:dyDescent="0.25">
      <c r="A1509" s="1">
        <v>40906</v>
      </c>
      <c r="B1509" t="s">
        <v>92</v>
      </c>
      <c r="C1509">
        <v>16</v>
      </c>
      <c r="D1509">
        <f>YEAR(cukier9[[#This Row],[data]])</f>
        <v>2011</v>
      </c>
    </row>
    <row r="1510" spans="1:4" x14ac:dyDescent="0.25">
      <c r="A1510" s="1">
        <v>40907</v>
      </c>
      <c r="B1510" t="s">
        <v>63</v>
      </c>
      <c r="C1510">
        <v>89</v>
      </c>
      <c r="D1510">
        <f>YEAR(cukier9[[#This Row],[data]])</f>
        <v>2011</v>
      </c>
    </row>
    <row r="1511" spans="1:4" x14ac:dyDescent="0.25">
      <c r="A1511" s="1">
        <v>40912</v>
      </c>
      <c r="B1511" t="s">
        <v>66</v>
      </c>
      <c r="C1511">
        <v>74</v>
      </c>
      <c r="D1511">
        <f>YEAR(cukier9[[#This Row],[data]])</f>
        <v>2012</v>
      </c>
    </row>
    <row r="1512" spans="1:4" x14ac:dyDescent="0.25">
      <c r="A1512" s="1">
        <v>40913</v>
      </c>
      <c r="B1512" t="s">
        <v>9</v>
      </c>
      <c r="C1512">
        <v>243</v>
      </c>
      <c r="D1512">
        <f>YEAR(cukier9[[#This Row],[data]])</f>
        <v>2012</v>
      </c>
    </row>
    <row r="1513" spans="1:4" x14ac:dyDescent="0.25">
      <c r="A1513" s="1">
        <v>40915</v>
      </c>
      <c r="B1513" t="s">
        <v>22</v>
      </c>
      <c r="C1513">
        <v>460</v>
      </c>
      <c r="D1513">
        <f>YEAR(cukier9[[#This Row],[data]])</f>
        <v>2012</v>
      </c>
    </row>
    <row r="1514" spans="1:4" x14ac:dyDescent="0.25">
      <c r="A1514" s="1">
        <v>40915</v>
      </c>
      <c r="B1514" t="s">
        <v>227</v>
      </c>
      <c r="C1514">
        <v>20</v>
      </c>
      <c r="D1514">
        <f>YEAR(cukier9[[#This Row],[data]])</f>
        <v>2012</v>
      </c>
    </row>
    <row r="1515" spans="1:4" x14ac:dyDescent="0.25">
      <c r="A1515" s="1">
        <v>40917</v>
      </c>
      <c r="B1515" t="s">
        <v>22</v>
      </c>
      <c r="C1515">
        <v>250</v>
      </c>
      <c r="D1515">
        <f>YEAR(cukier9[[#This Row],[data]])</f>
        <v>2012</v>
      </c>
    </row>
    <row r="1516" spans="1:4" x14ac:dyDescent="0.25">
      <c r="A1516" s="1">
        <v>40923</v>
      </c>
      <c r="B1516" t="s">
        <v>10</v>
      </c>
      <c r="C1516">
        <v>78</v>
      </c>
      <c r="D1516">
        <f>YEAR(cukier9[[#This Row],[data]])</f>
        <v>2012</v>
      </c>
    </row>
    <row r="1517" spans="1:4" x14ac:dyDescent="0.25">
      <c r="A1517" s="1">
        <v>40925</v>
      </c>
      <c r="B1517" t="s">
        <v>8</v>
      </c>
      <c r="C1517">
        <v>170</v>
      </c>
      <c r="D1517">
        <f>YEAR(cukier9[[#This Row],[data]])</f>
        <v>2012</v>
      </c>
    </row>
    <row r="1518" spans="1:4" x14ac:dyDescent="0.25">
      <c r="A1518" s="1">
        <v>40927</v>
      </c>
      <c r="B1518" t="s">
        <v>52</v>
      </c>
      <c r="C1518">
        <v>128</v>
      </c>
      <c r="D1518">
        <f>YEAR(cukier9[[#This Row],[data]])</f>
        <v>2012</v>
      </c>
    </row>
    <row r="1519" spans="1:4" x14ac:dyDescent="0.25">
      <c r="A1519" s="1">
        <v>40927</v>
      </c>
      <c r="B1519" t="s">
        <v>61</v>
      </c>
      <c r="C1519">
        <v>53</v>
      </c>
      <c r="D1519">
        <f>YEAR(cukier9[[#This Row],[data]])</f>
        <v>2012</v>
      </c>
    </row>
    <row r="1520" spans="1:4" x14ac:dyDescent="0.25">
      <c r="A1520" s="1">
        <v>40928</v>
      </c>
      <c r="B1520" t="s">
        <v>14</v>
      </c>
      <c r="C1520">
        <v>223</v>
      </c>
      <c r="D1520">
        <f>YEAR(cukier9[[#This Row],[data]])</f>
        <v>2012</v>
      </c>
    </row>
    <row r="1521" spans="1:4" x14ac:dyDescent="0.25">
      <c r="A1521" s="1">
        <v>40933</v>
      </c>
      <c r="B1521" t="s">
        <v>52</v>
      </c>
      <c r="C1521">
        <v>47</v>
      </c>
      <c r="D1521">
        <f>YEAR(cukier9[[#This Row],[data]])</f>
        <v>2012</v>
      </c>
    </row>
    <row r="1522" spans="1:4" x14ac:dyDescent="0.25">
      <c r="A1522" s="1">
        <v>40933</v>
      </c>
      <c r="B1522" t="s">
        <v>37</v>
      </c>
      <c r="C1522">
        <v>112</v>
      </c>
      <c r="D1522">
        <f>YEAR(cukier9[[#This Row],[data]])</f>
        <v>2012</v>
      </c>
    </row>
    <row r="1523" spans="1:4" x14ac:dyDescent="0.25">
      <c r="A1523" s="1">
        <v>40935</v>
      </c>
      <c r="B1523" t="s">
        <v>50</v>
      </c>
      <c r="C1523">
        <v>201</v>
      </c>
      <c r="D1523">
        <f>YEAR(cukier9[[#This Row],[data]])</f>
        <v>2012</v>
      </c>
    </row>
    <row r="1524" spans="1:4" x14ac:dyDescent="0.25">
      <c r="A1524" s="1">
        <v>40936</v>
      </c>
      <c r="B1524" t="s">
        <v>25</v>
      </c>
      <c r="C1524">
        <v>121</v>
      </c>
      <c r="D1524">
        <f>YEAR(cukier9[[#This Row],[data]])</f>
        <v>2012</v>
      </c>
    </row>
    <row r="1525" spans="1:4" x14ac:dyDescent="0.25">
      <c r="A1525" s="1">
        <v>40939</v>
      </c>
      <c r="B1525" t="s">
        <v>7</v>
      </c>
      <c r="C1525">
        <v>462</v>
      </c>
      <c r="D1525">
        <f>YEAR(cukier9[[#This Row],[data]])</f>
        <v>2012</v>
      </c>
    </row>
    <row r="1526" spans="1:4" x14ac:dyDescent="0.25">
      <c r="A1526" s="1">
        <v>40941</v>
      </c>
      <c r="B1526" t="s">
        <v>22</v>
      </c>
      <c r="C1526">
        <v>333</v>
      </c>
      <c r="D1526">
        <f>YEAR(cukier9[[#This Row],[data]])</f>
        <v>2012</v>
      </c>
    </row>
    <row r="1527" spans="1:4" x14ac:dyDescent="0.25">
      <c r="A1527" s="1">
        <v>40943</v>
      </c>
      <c r="B1527" t="s">
        <v>108</v>
      </c>
      <c r="C1527">
        <v>9</v>
      </c>
      <c r="D1527">
        <f>YEAR(cukier9[[#This Row],[data]])</f>
        <v>2012</v>
      </c>
    </row>
    <row r="1528" spans="1:4" x14ac:dyDescent="0.25">
      <c r="A1528" s="1">
        <v>40945</v>
      </c>
      <c r="B1528" t="s">
        <v>25</v>
      </c>
      <c r="C1528">
        <v>104</v>
      </c>
      <c r="D1528">
        <f>YEAR(cukier9[[#This Row],[data]])</f>
        <v>2012</v>
      </c>
    </row>
    <row r="1529" spans="1:4" x14ac:dyDescent="0.25">
      <c r="A1529" s="1">
        <v>40945</v>
      </c>
      <c r="B1529" t="s">
        <v>173</v>
      </c>
      <c r="C1529">
        <v>104</v>
      </c>
      <c r="D1529">
        <f>YEAR(cukier9[[#This Row],[data]])</f>
        <v>2012</v>
      </c>
    </row>
    <row r="1530" spans="1:4" x14ac:dyDescent="0.25">
      <c r="A1530" s="1">
        <v>40947</v>
      </c>
      <c r="B1530" t="s">
        <v>18</v>
      </c>
      <c r="C1530">
        <v>78</v>
      </c>
      <c r="D1530">
        <f>YEAR(cukier9[[#This Row],[data]])</f>
        <v>2012</v>
      </c>
    </row>
    <row r="1531" spans="1:4" x14ac:dyDescent="0.25">
      <c r="A1531" s="1">
        <v>40950</v>
      </c>
      <c r="B1531" t="s">
        <v>30</v>
      </c>
      <c r="C1531">
        <v>53</v>
      </c>
      <c r="D1531">
        <f>YEAR(cukier9[[#This Row],[data]])</f>
        <v>2012</v>
      </c>
    </row>
    <row r="1532" spans="1:4" x14ac:dyDescent="0.25">
      <c r="A1532" s="1">
        <v>40951</v>
      </c>
      <c r="B1532" t="s">
        <v>45</v>
      </c>
      <c r="C1532">
        <v>305</v>
      </c>
      <c r="D1532">
        <f>YEAR(cukier9[[#This Row],[data]])</f>
        <v>2012</v>
      </c>
    </row>
    <row r="1533" spans="1:4" x14ac:dyDescent="0.25">
      <c r="A1533" s="1">
        <v>40953</v>
      </c>
      <c r="B1533" t="s">
        <v>9</v>
      </c>
      <c r="C1533">
        <v>363</v>
      </c>
      <c r="D1533">
        <f>YEAR(cukier9[[#This Row],[data]])</f>
        <v>2012</v>
      </c>
    </row>
    <row r="1534" spans="1:4" x14ac:dyDescent="0.25">
      <c r="A1534" s="1">
        <v>40955</v>
      </c>
      <c r="B1534" t="s">
        <v>228</v>
      </c>
      <c r="C1534">
        <v>19</v>
      </c>
      <c r="D1534">
        <f>YEAR(cukier9[[#This Row],[data]])</f>
        <v>2012</v>
      </c>
    </row>
    <row r="1535" spans="1:4" x14ac:dyDescent="0.25">
      <c r="A1535" s="1">
        <v>40955</v>
      </c>
      <c r="B1535" t="s">
        <v>102</v>
      </c>
      <c r="C1535">
        <v>248</v>
      </c>
      <c r="D1535">
        <f>YEAR(cukier9[[#This Row],[data]])</f>
        <v>2012</v>
      </c>
    </row>
    <row r="1536" spans="1:4" x14ac:dyDescent="0.25">
      <c r="A1536" s="1">
        <v>40955</v>
      </c>
      <c r="B1536" t="s">
        <v>19</v>
      </c>
      <c r="C1536">
        <v>64</v>
      </c>
      <c r="D1536">
        <f>YEAR(cukier9[[#This Row],[data]])</f>
        <v>2012</v>
      </c>
    </row>
    <row r="1537" spans="1:4" x14ac:dyDescent="0.25">
      <c r="A1537" s="1">
        <v>40956</v>
      </c>
      <c r="B1537" t="s">
        <v>50</v>
      </c>
      <c r="C1537">
        <v>288</v>
      </c>
      <c r="D1537">
        <f>YEAR(cukier9[[#This Row],[data]])</f>
        <v>2012</v>
      </c>
    </row>
    <row r="1538" spans="1:4" x14ac:dyDescent="0.25">
      <c r="A1538" s="1">
        <v>40957</v>
      </c>
      <c r="B1538" t="s">
        <v>144</v>
      </c>
      <c r="C1538">
        <v>18</v>
      </c>
      <c r="D1538">
        <f>YEAR(cukier9[[#This Row],[data]])</f>
        <v>2012</v>
      </c>
    </row>
    <row r="1539" spans="1:4" x14ac:dyDescent="0.25">
      <c r="A1539" s="1">
        <v>40959</v>
      </c>
      <c r="B1539" t="s">
        <v>31</v>
      </c>
      <c r="C1539">
        <v>54</v>
      </c>
      <c r="D1539">
        <f>YEAR(cukier9[[#This Row],[data]])</f>
        <v>2012</v>
      </c>
    </row>
    <row r="1540" spans="1:4" x14ac:dyDescent="0.25">
      <c r="A1540" s="1">
        <v>40959</v>
      </c>
      <c r="B1540" t="s">
        <v>201</v>
      </c>
      <c r="C1540">
        <v>3</v>
      </c>
      <c r="D1540">
        <f>YEAR(cukier9[[#This Row],[data]])</f>
        <v>2012</v>
      </c>
    </row>
    <row r="1541" spans="1:4" x14ac:dyDescent="0.25">
      <c r="A1541" s="1">
        <v>40960</v>
      </c>
      <c r="B1541" t="s">
        <v>65</v>
      </c>
      <c r="C1541">
        <v>9</v>
      </c>
      <c r="D1541">
        <f>YEAR(cukier9[[#This Row],[data]])</f>
        <v>2012</v>
      </c>
    </row>
    <row r="1542" spans="1:4" x14ac:dyDescent="0.25">
      <c r="A1542" s="1">
        <v>40961</v>
      </c>
      <c r="B1542" t="s">
        <v>149</v>
      </c>
      <c r="C1542">
        <v>19</v>
      </c>
      <c r="D1542">
        <f>YEAR(cukier9[[#This Row],[data]])</f>
        <v>2012</v>
      </c>
    </row>
    <row r="1543" spans="1:4" x14ac:dyDescent="0.25">
      <c r="A1543" s="1">
        <v>40961</v>
      </c>
      <c r="B1543" t="s">
        <v>26</v>
      </c>
      <c r="C1543">
        <v>198</v>
      </c>
      <c r="D1543">
        <f>YEAR(cukier9[[#This Row],[data]])</f>
        <v>2012</v>
      </c>
    </row>
    <row r="1544" spans="1:4" x14ac:dyDescent="0.25">
      <c r="A1544" s="1">
        <v>40966</v>
      </c>
      <c r="B1544" t="s">
        <v>5</v>
      </c>
      <c r="C1544">
        <v>417</v>
      </c>
      <c r="D1544">
        <f>YEAR(cukier9[[#This Row],[data]])</f>
        <v>2012</v>
      </c>
    </row>
    <row r="1545" spans="1:4" x14ac:dyDescent="0.25">
      <c r="A1545" s="1">
        <v>40971</v>
      </c>
      <c r="B1545" t="s">
        <v>102</v>
      </c>
      <c r="C1545">
        <v>221</v>
      </c>
      <c r="D1545">
        <f>YEAR(cukier9[[#This Row],[data]])</f>
        <v>2012</v>
      </c>
    </row>
    <row r="1546" spans="1:4" x14ac:dyDescent="0.25">
      <c r="A1546" s="1">
        <v>40971</v>
      </c>
      <c r="B1546" t="s">
        <v>18</v>
      </c>
      <c r="C1546">
        <v>53</v>
      </c>
      <c r="D1546">
        <f>YEAR(cukier9[[#This Row],[data]])</f>
        <v>2012</v>
      </c>
    </row>
    <row r="1547" spans="1:4" x14ac:dyDescent="0.25">
      <c r="A1547" s="1">
        <v>40973</v>
      </c>
      <c r="B1547" t="s">
        <v>69</v>
      </c>
      <c r="C1547">
        <v>127</v>
      </c>
      <c r="D1547">
        <f>YEAR(cukier9[[#This Row],[data]])</f>
        <v>2012</v>
      </c>
    </row>
    <row r="1548" spans="1:4" x14ac:dyDescent="0.25">
      <c r="A1548" s="1">
        <v>40974</v>
      </c>
      <c r="B1548" t="s">
        <v>14</v>
      </c>
      <c r="C1548">
        <v>340</v>
      </c>
      <c r="D1548">
        <f>YEAR(cukier9[[#This Row],[data]])</f>
        <v>2012</v>
      </c>
    </row>
    <row r="1549" spans="1:4" x14ac:dyDescent="0.25">
      <c r="A1549" s="1">
        <v>40977</v>
      </c>
      <c r="B1549" t="s">
        <v>7</v>
      </c>
      <c r="C1549">
        <v>310</v>
      </c>
      <c r="D1549">
        <f>YEAR(cukier9[[#This Row],[data]])</f>
        <v>2012</v>
      </c>
    </row>
    <row r="1550" spans="1:4" x14ac:dyDescent="0.25">
      <c r="A1550" s="1">
        <v>40979</v>
      </c>
      <c r="B1550" t="s">
        <v>222</v>
      </c>
      <c r="C1550">
        <v>8</v>
      </c>
      <c r="D1550">
        <f>YEAR(cukier9[[#This Row],[data]])</f>
        <v>2012</v>
      </c>
    </row>
    <row r="1551" spans="1:4" x14ac:dyDescent="0.25">
      <c r="A1551" s="1">
        <v>40980</v>
      </c>
      <c r="B1551" t="s">
        <v>61</v>
      </c>
      <c r="C1551">
        <v>132</v>
      </c>
      <c r="D1551">
        <f>YEAR(cukier9[[#This Row],[data]])</f>
        <v>2012</v>
      </c>
    </row>
    <row r="1552" spans="1:4" x14ac:dyDescent="0.25">
      <c r="A1552" s="1">
        <v>40980</v>
      </c>
      <c r="B1552" t="s">
        <v>26</v>
      </c>
      <c r="C1552">
        <v>168</v>
      </c>
      <c r="D1552">
        <f>YEAR(cukier9[[#This Row],[data]])</f>
        <v>2012</v>
      </c>
    </row>
    <row r="1553" spans="1:4" x14ac:dyDescent="0.25">
      <c r="A1553" s="1">
        <v>40982</v>
      </c>
      <c r="B1553" t="s">
        <v>26</v>
      </c>
      <c r="C1553">
        <v>49</v>
      </c>
      <c r="D1553">
        <f>YEAR(cukier9[[#This Row],[data]])</f>
        <v>2012</v>
      </c>
    </row>
    <row r="1554" spans="1:4" x14ac:dyDescent="0.25">
      <c r="A1554" s="1">
        <v>40984</v>
      </c>
      <c r="B1554" t="s">
        <v>37</v>
      </c>
      <c r="C1554">
        <v>140</v>
      </c>
      <c r="D1554">
        <f>YEAR(cukier9[[#This Row],[data]])</f>
        <v>2012</v>
      </c>
    </row>
    <row r="1555" spans="1:4" x14ac:dyDescent="0.25">
      <c r="A1555" s="1">
        <v>40986</v>
      </c>
      <c r="B1555" t="s">
        <v>35</v>
      </c>
      <c r="C1555">
        <v>140</v>
      </c>
      <c r="D1555">
        <f>YEAR(cukier9[[#This Row],[data]])</f>
        <v>2012</v>
      </c>
    </row>
    <row r="1556" spans="1:4" x14ac:dyDescent="0.25">
      <c r="A1556" s="1">
        <v>40986</v>
      </c>
      <c r="B1556" t="s">
        <v>23</v>
      </c>
      <c r="C1556">
        <v>194</v>
      </c>
      <c r="D1556">
        <f>YEAR(cukier9[[#This Row],[data]])</f>
        <v>2012</v>
      </c>
    </row>
    <row r="1557" spans="1:4" x14ac:dyDescent="0.25">
      <c r="A1557" s="1">
        <v>40992</v>
      </c>
      <c r="B1557" t="s">
        <v>23</v>
      </c>
      <c r="C1557">
        <v>123</v>
      </c>
      <c r="D1557">
        <f>YEAR(cukier9[[#This Row],[data]])</f>
        <v>2012</v>
      </c>
    </row>
    <row r="1558" spans="1:4" x14ac:dyDescent="0.25">
      <c r="A1558" s="1">
        <v>40992</v>
      </c>
      <c r="B1558" t="s">
        <v>74</v>
      </c>
      <c r="C1558">
        <v>11</v>
      </c>
      <c r="D1558">
        <f>YEAR(cukier9[[#This Row],[data]])</f>
        <v>2012</v>
      </c>
    </row>
    <row r="1559" spans="1:4" x14ac:dyDescent="0.25">
      <c r="A1559" s="1">
        <v>40994</v>
      </c>
      <c r="B1559" t="s">
        <v>150</v>
      </c>
      <c r="C1559">
        <v>1</v>
      </c>
      <c r="D1559">
        <f>YEAR(cukier9[[#This Row],[data]])</f>
        <v>2012</v>
      </c>
    </row>
    <row r="1560" spans="1:4" x14ac:dyDescent="0.25">
      <c r="A1560" s="1">
        <v>40995</v>
      </c>
      <c r="B1560" t="s">
        <v>9</v>
      </c>
      <c r="C1560">
        <v>267</v>
      </c>
      <c r="D1560">
        <f>YEAR(cukier9[[#This Row],[data]])</f>
        <v>2012</v>
      </c>
    </row>
    <row r="1561" spans="1:4" x14ac:dyDescent="0.25">
      <c r="A1561" s="1">
        <v>40998</v>
      </c>
      <c r="B1561" t="s">
        <v>149</v>
      </c>
      <c r="C1561">
        <v>14</v>
      </c>
      <c r="D1561">
        <f>YEAR(cukier9[[#This Row],[data]])</f>
        <v>2012</v>
      </c>
    </row>
    <row r="1562" spans="1:4" x14ac:dyDescent="0.25">
      <c r="A1562" s="1">
        <v>40999</v>
      </c>
      <c r="B1562" t="s">
        <v>20</v>
      </c>
      <c r="C1562">
        <v>160</v>
      </c>
      <c r="D1562">
        <f>YEAR(cukier9[[#This Row],[data]])</f>
        <v>2012</v>
      </c>
    </row>
    <row r="1563" spans="1:4" x14ac:dyDescent="0.25">
      <c r="A1563" s="1">
        <v>40999</v>
      </c>
      <c r="B1563" t="s">
        <v>9</v>
      </c>
      <c r="C1563">
        <v>437</v>
      </c>
      <c r="D1563">
        <f>YEAR(cukier9[[#This Row],[data]])</f>
        <v>2012</v>
      </c>
    </row>
    <row r="1564" spans="1:4" x14ac:dyDescent="0.25">
      <c r="A1564" s="1">
        <v>41003</v>
      </c>
      <c r="B1564" t="s">
        <v>123</v>
      </c>
      <c r="C1564">
        <v>71</v>
      </c>
      <c r="D1564">
        <f>YEAR(cukier9[[#This Row],[data]])</f>
        <v>2012</v>
      </c>
    </row>
    <row r="1565" spans="1:4" x14ac:dyDescent="0.25">
      <c r="A1565" s="1">
        <v>41004</v>
      </c>
      <c r="B1565" t="s">
        <v>66</v>
      </c>
      <c r="C1565">
        <v>35</v>
      </c>
      <c r="D1565">
        <f>YEAR(cukier9[[#This Row],[data]])</f>
        <v>2012</v>
      </c>
    </row>
    <row r="1566" spans="1:4" x14ac:dyDescent="0.25">
      <c r="A1566" s="1">
        <v>41005</v>
      </c>
      <c r="B1566" t="s">
        <v>22</v>
      </c>
      <c r="C1566">
        <v>116</v>
      </c>
      <c r="D1566">
        <f>YEAR(cukier9[[#This Row],[data]])</f>
        <v>2012</v>
      </c>
    </row>
    <row r="1567" spans="1:4" x14ac:dyDescent="0.25">
      <c r="A1567" s="1">
        <v>41006</v>
      </c>
      <c r="B1567" t="s">
        <v>6</v>
      </c>
      <c r="C1567">
        <v>152</v>
      </c>
      <c r="D1567">
        <f>YEAR(cukier9[[#This Row],[data]])</f>
        <v>2012</v>
      </c>
    </row>
    <row r="1568" spans="1:4" x14ac:dyDescent="0.25">
      <c r="A1568" s="1">
        <v>41011</v>
      </c>
      <c r="B1568" t="s">
        <v>7</v>
      </c>
      <c r="C1568">
        <v>309</v>
      </c>
      <c r="D1568">
        <f>YEAR(cukier9[[#This Row],[data]])</f>
        <v>2012</v>
      </c>
    </row>
    <row r="1569" spans="1:4" x14ac:dyDescent="0.25">
      <c r="A1569" s="1">
        <v>41011</v>
      </c>
      <c r="B1569" t="s">
        <v>81</v>
      </c>
      <c r="C1569">
        <v>7</v>
      </c>
      <c r="D1569">
        <f>YEAR(cukier9[[#This Row],[data]])</f>
        <v>2012</v>
      </c>
    </row>
    <row r="1570" spans="1:4" x14ac:dyDescent="0.25">
      <c r="A1570" s="1">
        <v>41011</v>
      </c>
      <c r="B1570" t="s">
        <v>102</v>
      </c>
      <c r="C1570">
        <v>353</v>
      </c>
      <c r="D1570">
        <f>YEAR(cukier9[[#This Row],[data]])</f>
        <v>2012</v>
      </c>
    </row>
    <row r="1571" spans="1:4" x14ac:dyDescent="0.25">
      <c r="A1571" s="1">
        <v>41012</v>
      </c>
      <c r="B1571" t="s">
        <v>187</v>
      </c>
      <c r="C1571">
        <v>3</v>
      </c>
      <c r="D1571">
        <f>YEAR(cukier9[[#This Row],[data]])</f>
        <v>2012</v>
      </c>
    </row>
    <row r="1572" spans="1:4" x14ac:dyDescent="0.25">
      <c r="A1572" s="1">
        <v>41013</v>
      </c>
      <c r="B1572" t="s">
        <v>14</v>
      </c>
      <c r="C1572">
        <v>166</v>
      </c>
      <c r="D1572">
        <f>YEAR(cukier9[[#This Row],[data]])</f>
        <v>2012</v>
      </c>
    </row>
    <row r="1573" spans="1:4" x14ac:dyDescent="0.25">
      <c r="A1573" s="1">
        <v>41014</v>
      </c>
      <c r="B1573" t="s">
        <v>224</v>
      </c>
      <c r="C1573">
        <v>14</v>
      </c>
      <c r="D1573">
        <f>YEAR(cukier9[[#This Row],[data]])</f>
        <v>2012</v>
      </c>
    </row>
    <row r="1574" spans="1:4" x14ac:dyDescent="0.25">
      <c r="A1574" s="1">
        <v>41014</v>
      </c>
      <c r="B1574" t="s">
        <v>6</v>
      </c>
      <c r="C1574">
        <v>141</v>
      </c>
      <c r="D1574">
        <f>YEAR(cukier9[[#This Row],[data]])</f>
        <v>2012</v>
      </c>
    </row>
    <row r="1575" spans="1:4" x14ac:dyDescent="0.25">
      <c r="A1575" s="1">
        <v>41014</v>
      </c>
      <c r="B1575" t="s">
        <v>229</v>
      </c>
      <c r="C1575">
        <v>15</v>
      </c>
      <c r="D1575">
        <f>YEAR(cukier9[[#This Row],[data]])</f>
        <v>2012</v>
      </c>
    </row>
    <row r="1576" spans="1:4" x14ac:dyDescent="0.25">
      <c r="A1576" s="1">
        <v>41020</v>
      </c>
      <c r="B1576" t="s">
        <v>22</v>
      </c>
      <c r="C1576">
        <v>157</v>
      </c>
      <c r="D1576">
        <f>YEAR(cukier9[[#This Row],[data]])</f>
        <v>2012</v>
      </c>
    </row>
    <row r="1577" spans="1:4" x14ac:dyDescent="0.25">
      <c r="A1577" s="1">
        <v>41025</v>
      </c>
      <c r="B1577" t="s">
        <v>9</v>
      </c>
      <c r="C1577">
        <v>191</v>
      </c>
      <c r="D1577">
        <f>YEAR(cukier9[[#This Row],[data]])</f>
        <v>2012</v>
      </c>
    </row>
    <row r="1578" spans="1:4" x14ac:dyDescent="0.25">
      <c r="A1578" s="1">
        <v>41026</v>
      </c>
      <c r="B1578" t="s">
        <v>36</v>
      </c>
      <c r="C1578">
        <v>7</v>
      </c>
      <c r="D1578">
        <f>YEAR(cukier9[[#This Row],[data]])</f>
        <v>2012</v>
      </c>
    </row>
    <row r="1579" spans="1:4" x14ac:dyDescent="0.25">
      <c r="A1579" s="1">
        <v>41027</v>
      </c>
      <c r="B1579" t="s">
        <v>26</v>
      </c>
      <c r="C1579">
        <v>200</v>
      </c>
      <c r="D1579">
        <f>YEAR(cukier9[[#This Row],[data]])</f>
        <v>2012</v>
      </c>
    </row>
    <row r="1580" spans="1:4" x14ac:dyDescent="0.25">
      <c r="A1580" s="1">
        <v>41033</v>
      </c>
      <c r="B1580" t="s">
        <v>149</v>
      </c>
      <c r="C1580">
        <v>15</v>
      </c>
      <c r="D1580">
        <f>YEAR(cukier9[[#This Row],[data]])</f>
        <v>2012</v>
      </c>
    </row>
    <row r="1581" spans="1:4" x14ac:dyDescent="0.25">
      <c r="A1581" s="1">
        <v>41033</v>
      </c>
      <c r="B1581" t="s">
        <v>171</v>
      </c>
      <c r="C1581">
        <v>7</v>
      </c>
      <c r="D1581">
        <f>YEAR(cukier9[[#This Row],[data]])</f>
        <v>2012</v>
      </c>
    </row>
    <row r="1582" spans="1:4" x14ac:dyDescent="0.25">
      <c r="A1582" s="1">
        <v>41033</v>
      </c>
      <c r="B1582" t="s">
        <v>14</v>
      </c>
      <c r="C1582">
        <v>235</v>
      </c>
      <c r="D1582">
        <f>YEAR(cukier9[[#This Row],[data]])</f>
        <v>2012</v>
      </c>
    </row>
    <row r="1583" spans="1:4" x14ac:dyDescent="0.25">
      <c r="A1583" s="1">
        <v>41034</v>
      </c>
      <c r="B1583" t="s">
        <v>50</v>
      </c>
      <c r="C1583">
        <v>301</v>
      </c>
      <c r="D1583">
        <f>YEAR(cukier9[[#This Row],[data]])</f>
        <v>2012</v>
      </c>
    </row>
    <row r="1584" spans="1:4" x14ac:dyDescent="0.25">
      <c r="A1584" s="1">
        <v>41036</v>
      </c>
      <c r="B1584" t="s">
        <v>5</v>
      </c>
      <c r="C1584">
        <v>136</v>
      </c>
      <c r="D1584">
        <f>YEAR(cukier9[[#This Row],[data]])</f>
        <v>2012</v>
      </c>
    </row>
    <row r="1585" spans="1:4" x14ac:dyDescent="0.25">
      <c r="A1585" s="1">
        <v>41036</v>
      </c>
      <c r="B1585" t="s">
        <v>126</v>
      </c>
      <c r="C1585">
        <v>5</v>
      </c>
      <c r="D1585">
        <f>YEAR(cukier9[[#This Row],[data]])</f>
        <v>2012</v>
      </c>
    </row>
    <row r="1586" spans="1:4" x14ac:dyDescent="0.25">
      <c r="A1586" s="1">
        <v>41037</v>
      </c>
      <c r="B1586" t="s">
        <v>7</v>
      </c>
      <c r="C1586">
        <v>280</v>
      </c>
      <c r="D1586">
        <f>YEAR(cukier9[[#This Row],[data]])</f>
        <v>2012</v>
      </c>
    </row>
    <row r="1587" spans="1:4" x14ac:dyDescent="0.25">
      <c r="A1587" s="1">
        <v>41037</v>
      </c>
      <c r="B1587" t="s">
        <v>65</v>
      </c>
      <c r="C1587">
        <v>3</v>
      </c>
      <c r="D1587">
        <f>YEAR(cukier9[[#This Row],[data]])</f>
        <v>2012</v>
      </c>
    </row>
    <row r="1588" spans="1:4" x14ac:dyDescent="0.25">
      <c r="A1588" s="1">
        <v>41040</v>
      </c>
      <c r="B1588" t="s">
        <v>206</v>
      </c>
      <c r="C1588">
        <v>14</v>
      </c>
      <c r="D1588">
        <f>YEAR(cukier9[[#This Row],[data]])</f>
        <v>2012</v>
      </c>
    </row>
    <row r="1589" spans="1:4" x14ac:dyDescent="0.25">
      <c r="A1589" s="1">
        <v>41041</v>
      </c>
      <c r="B1589" t="s">
        <v>10</v>
      </c>
      <c r="C1589">
        <v>79</v>
      </c>
      <c r="D1589">
        <f>YEAR(cukier9[[#This Row],[data]])</f>
        <v>2012</v>
      </c>
    </row>
    <row r="1590" spans="1:4" x14ac:dyDescent="0.25">
      <c r="A1590" s="1">
        <v>41042</v>
      </c>
      <c r="B1590" t="s">
        <v>173</v>
      </c>
      <c r="C1590">
        <v>86</v>
      </c>
      <c r="D1590">
        <f>YEAR(cukier9[[#This Row],[data]])</f>
        <v>2012</v>
      </c>
    </row>
    <row r="1591" spans="1:4" x14ac:dyDescent="0.25">
      <c r="A1591" s="1">
        <v>41042</v>
      </c>
      <c r="B1591" t="s">
        <v>23</v>
      </c>
      <c r="C1591">
        <v>70</v>
      </c>
      <c r="D1591">
        <f>YEAR(cukier9[[#This Row],[data]])</f>
        <v>2012</v>
      </c>
    </row>
    <row r="1592" spans="1:4" x14ac:dyDescent="0.25">
      <c r="A1592" s="1">
        <v>41043</v>
      </c>
      <c r="B1592" t="s">
        <v>20</v>
      </c>
      <c r="C1592">
        <v>189</v>
      </c>
      <c r="D1592">
        <f>YEAR(cukier9[[#This Row],[data]])</f>
        <v>2012</v>
      </c>
    </row>
    <row r="1593" spans="1:4" x14ac:dyDescent="0.25">
      <c r="A1593" s="1">
        <v>41043</v>
      </c>
      <c r="B1593" t="s">
        <v>55</v>
      </c>
      <c r="C1593">
        <v>111</v>
      </c>
      <c r="D1593">
        <f>YEAR(cukier9[[#This Row],[data]])</f>
        <v>2012</v>
      </c>
    </row>
    <row r="1594" spans="1:4" x14ac:dyDescent="0.25">
      <c r="A1594" s="1">
        <v>41046</v>
      </c>
      <c r="B1594" t="s">
        <v>19</v>
      </c>
      <c r="C1594">
        <v>158</v>
      </c>
      <c r="D1594">
        <f>YEAR(cukier9[[#This Row],[data]])</f>
        <v>2012</v>
      </c>
    </row>
    <row r="1595" spans="1:4" x14ac:dyDescent="0.25">
      <c r="A1595" s="1">
        <v>41051</v>
      </c>
      <c r="B1595" t="s">
        <v>66</v>
      </c>
      <c r="C1595">
        <v>172</v>
      </c>
      <c r="D1595">
        <f>YEAR(cukier9[[#This Row],[data]])</f>
        <v>2012</v>
      </c>
    </row>
    <row r="1596" spans="1:4" x14ac:dyDescent="0.25">
      <c r="A1596" s="1">
        <v>41052</v>
      </c>
      <c r="B1596" t="s">
        <v>50</v>
      </c>
      <c r="C1596">
        <v>179</v>
      </c>
      <c r="D1596">
        <f>YEAR(cukier9[[#This Row],[data]])</f>
        <v>2012</v>
      </c>
    </row>
    <row r="1597" spans="1:4" x14ac:dyDescent="0.25">
      <c r="A1597" s="1">
        <v>41053</v>
      </c>
      <c r="B1597" t="s">
        <v>104</v>
      </c>
      <c r="C1597">
        <v>19</v>
      </c>
      <c r="D1597">
        <f>YEAR(cukier9[[#This Row],[data]])</f>
        <v>2012</v>
      </c>
    </row>
    <row r="1598" spans="1:4" x14ac:dyDescent="0.25">
      <c r="A1598" s="1">
        <v>41053</v>
      </c>
      <c r="B1598" t="s">
        <v>28</v>
      </c>
      <c r="C1598">
        <v>57</v>
      </c>
      <c r="D1598">
        <f>YEAR(cukier9[[#This Row],[data]])</f>
        <v>2012</v>
      </c>
    </row>
    <row r="1599" spans="1:4" x14ac:dyDescent="0.25">
      <c r="A1599" s="1">
        <v>41054</v>
      </c>
      <c r="B1599" t="s">
        <v>50</v>
      </c>
      <c r="C1599">
        <v>335</v>
      </c>
      <c r="D1599">
        <f>YEAR(cukier9[[#This Row],[data]])</f>
        <v>2012</v>
      </c>
    </row>
    <row r="1600" spans="1:4" x14ac:dyDescent="0.25">
      <c r="A1600" s="1">
        <v>41060</v>
      </c>
      <c r="B1600" t="s">
        <v>164</v>
      </c>
      <c r="C1600">
        <v>12</v>
      </c>
      <c r="D1600">
        <f>YEAR(cukier9[[#This Row],[data]])</f>
        <v>2012</v>
      </c>
    </row>
    <row r="1601" spans="1:4" x14ac:dyDescent="0.25">
      <c r="A1601" s="1">
        <v>41061</v>
      </c>
      <c r="B1601" t="s">
        <v>125</v>
      </c>
      <c r="C1601">
        <v>2</v>
      </c>
      <c r="D1601">
        <f>YEAR(cukier9[[#This Row],[data]])</f>
        <v>2012</v>
      </c>
    </row>
    <row r="1602" spans="1:4" x14ac:dyDescent="0.25">
      <c r="A1602" s="1">
        <v>41061</v>
      </c>
      <c r="B1602" t="s">
        <v>50</v>
      </c>
      <c r="C1602">
        <v>237</v>
      </c>
      <c r="D1602">
        <f>YEAR(cukier9[[#This Row],[data]])</f>
        <v>2012</v>
      </c>
    </row>
    <row r="1603" spans="1:4" x14ac:dyDescent="0.25">
      <c r="A1603" s="1">
        <v>41064</v>
      </c>
      <c r="B1603" t="s">
        <v>7</v>
      </c>
      <c r="C1603">
        <v>482</v>
      </c>
      <c r="D1603">
        <f>YEAR(cukier9[[#This Row],[data]])</f>
        <v>2012</v>
      </c>
    </row>
    <row r="1604" spans="1:4" x14ac:dyDescent="0.25">
      <c r="A1604" s="1">
        <v>41064</v>
      </c>
      <c r="B1604" t="s">
        <v>125</v>
      </c>
      <c r="C1604">
        <v>8</v>
      </c>
      <c r="D1604">
        <f>YEAR(cukier9[[#This Row],[data]])</f>
        <v>2012</v>
      </c>
    </row>
    <row r="1605" spans="1:4" x14ac:dyDescent="0.25">
      <c r="A1605" s="1">
        <v>41067</v>
      </c>
      <c r="B1605" t="s">
        <v>35</v>
      </c>
      <c r="C1605">
        <v>147</v>
      </c>
      <c r="D1605">
        <f>YEAR(cukier9[[#This Row],[data]])</f>
        <v>2012</v>
      </c>
    </row>
    <row r="1606" spans="1:4" x14ac:dyDescent="0.25">
      <c r="A1606" s="1">
        <v>41069</v>
      </c>
      <c r="B1606" t="s">
        <v>22</v>
      </c>
      <c r="C1606">
        <v>224</v>
      </c>
      <c r="D1606">
        <f>YEAR(cukier9[[#This Row],[data]])</f>
        <v>2012</v>
      </c>
    </row>
    <row r="1607" spans="1:4" x14ac:dyDescent="0.25">
      <c r="A1607" s="1">
        <v>41070</v>
      </c>
      <c r="B1607" t="s">
        <v>177</v>
      </c>
      <c r="C1607">
        <v>11</v>
      </c>
      <c r="D1607">
        <f>YEAR(cukier9[[#This Row],[data]])</f>
        <v>2012</v>
      </c>
    </row>
    <row r="1608" spans="1:4" x14ac:dyDescent="0.25">
      <c r="A1608" s="1">
        <v>41074</v>
      </c>
      <c r="B1608" t="s">
        <v>37</v>
      </c>
      <c r="C1608">
        <v>184</v>
      </c>
      <c r="D1608">
        <f>YEAR(cukier9[[#This Row],[data]])</f>
        <v>2012</v>
      </c>
    </row>
    <row r="1609" spans="1:4" x14ac:dyDescent="0.25">
      <c r="A1609" s="1">
        <v>41076</v>
      </c>
      <c r="B1609" t="s">
        <v>168</v>
      </c>
      <c r="C1609">
        <v>20</v>
      </c>
      <c r="D1609">
        <f>YEAR(cukier9[[#This Row],[data]])</f>
        <v>2012</v>
      </c>
    </row>
    <row r="1610" spans="1:4" x14ac:dyDescent="0.25">
      <c r="A1610" s="1">
        <v>41076</v>
      </c>
      <c r="B1610" t="s">
        <v>50</v>
      </c>
      <c r="C1610">
        <v>221</v>
      </c>
      <c r="D1610">
        <f>YEAR(cukier9[[#This Row],[data]])</f>
        <v>2012</v>
      </c>
    </row>
    <row r="1611" spans="1:4" x14ac:dyDescent="0.25">
      <c r="A1611" s="1">
        <v>41079</v>
      </c>
      <c r="B1611" t="s">
        <v>37</v>
      </c>
      <c r="C1611">
        <v>162</v>
      </c>
      <c r="D1611">
        <f>YEAR(cukier9[[#This Row],[data]])</f>
        <v>2012</v>
      </c>
    </row>
    <row r="1612" spans="1:4" x14ac:dyDescent="0.25">
      <c r="A1612" s="1">
        <v>41083</v>
      </c>
      <c r="B1612" t="s">
        <v>91</v>
      </c>
      <c r="C1612">
        <v>19</v>
      </c>
      <c r="D1612">
        <f>YEAR(cukier9[[#This Row],[data]])</f>
        <v>2012</v>
      </c>
    </row>
    <row r="1613" spans="1:4" x14ac:dyDescent="0.25">
      <c r="A1613" s="1">
        <v>41088</v>
      </c>
      <c r="B1613" t="s">
        <v>178</v>
      </c>
      <c r="C1613">
        <v>1</v>
      </c>
      <c r="D1613">
        <f>YEAR(cukier9[[#This Row],[data]])</f>
        <v>2012</v>
      </c>
    </row>
    <row r="1614" spans="1:4" x14ac:dyDescent="0.25">
      <c r="A1614" s="1">
        <v>41090</v>
      </c>
      <c r="B1614" t="s">
        <v>12</v>
      </c>
      <c r="C1614">
        <v>122</v>
      </c>
      <c r="D1614">
        <f>YEAR(cukier9[[#This Row],[data]])</f>
        <v>2012</v>
      </c>
    </row>
    <row r="1615" spans="1:4" x14ac:dyDescent="0.25">
      <c r="A1615" s="1">
        <v>41090</v>
      </c>
      <c r="B1615" t="s">
        <v>17</v>
      </c>
      <c r="C1615">
        <v>163</v>
      </c>
      <c r="D1615">
        <f>YEAR(cukier9[[#This Row],[data]])</f>
        <v>2012</v>
      </c>
    </row>
    <row r="1616" spans="1:4" x14ac:dyDescent="0.25">
      <c r="A1616" s="1">
        <v>41091</v>
      </c>
      <c r="B1616" t="s">
        <v>66</v>
      </c>
      <c r="C1616">
        <v>29</v>
      </c>
      <c r="D1616">
        <f>YEAR(cukier9[[#This Row],[data]])</f>
        <v>2012</v>
      </c>
    </row>
    <row r="1617" spans="1:4" x14ac:dyDescent="0.25">
      <c r="A1617" s="1">
        <v>41095</v>
      </c>
      <c r="B1617" t="s">
        <v>55</v>
      </c>
      <c r="C1617">
        <v>106</v>
      </c>
      <c r="D1617">
        <f>YEAR(cukier9[[#This Row],[data]])</f>
        <v>2012</v>
      </c>
    </row>
    <row r="1618" spans="1:4" x14ac:dyDescent="0.25">
      <c r="A1618" s="1">
        <v>41096</v>
      </c>
      <c r="B1618" t="s">
        <v>14</v>
      </c>
      <c r="C1618">
        <v>112</v>
      </c>
      <c r="D1618">
        <f>YEAR(cukier9[[#This Row],[data]])</f>
        <v>2012</v>
      </c>
    </row>
    <row r="1619" spans="1:4" x14ac:dyDescent="0.25">
      <c r="A1619" s="1">
        <v>41097</v>
      </c>
      <c r="B1619" t="s">
        <v>28</v>
      </c>
      <c r="C1619">
        <v>90</v>
      </c>
      <c r="D1619">
        <f>YEAR(cukier9[[#This Row],[data]])</f>
        <v>2012</v>
      </c>
    </row>
    <row r="1620" spans="1:4" x14ac:dyDescent="0.25">
      <c r="A1620" s="1">
        <v>41099</v>
      </c>
      <c r="B1620" t="s">
        <v>16</v>
      </c>
      <c r="C1620">
        <v>7</v>
      </c>
      <c r="D1620">
        <f>YEAR(cukier9[[#This Row],[data]])</f>
        <v>2012</v>
      </c>
    </row>
    <row r="1621" spans="1:4" x14ac:dyDescent="0.25">
      <c r="A1621" s="1">
        <v>41099</v>
      </c>
      <c r="B1621" t="s">
        <v>23</v>
      </c>
      <c r="C1621">
        <v>27</v>
      </c>
      <c r="D1621">
        <f>YEAR(cukier9[[#This Row],[data]])</f>
        <v>2012</v>
      </c>
    </row>
    <row r="1622" spans="1:4" x14ac:dyDescent="0.25">
      <c r="A1622" s="1">
        <v>41099</v>
      </c>
      <c r="B1622" t="s">
        <v>61</v>
      </c>
      <c r="C1622">
        <v>185</v>
      </c>
      <c r="D1622">
        <f>YEAR(cukier9[[#This Row],[data]])</f>
        <v>2012</v>
      </c>
    </row>
    <row r="1623" spans="1:4" x14ac:dyDescent="0.25">
      <c r="A1623" s="1">
        <v>41100</v>
      </c>
      <c r="B1623" t="s">
        <v>22</v>
      </c>
      <c r="C1623">
        <v>153</v>
      </c>
      <c r="D1623">
        <f>YEAR(cukier9[[#This Row],[data]])</f>
        <v>2012</v>
      </c>
    </row>
    <row r="1624" spans="1:4" x14ac:dyDescent="0.25">
      <c r="A1624" s="1">
        <v>41102</v>
      </c>
      <c r="B1624" t="s">
        <v>61</v>
      </c>
      <c r="C1624">
        <v>109</v>
      </c>
      <c r="D1624">
        <f>YEAR(cukier9[[#This Row],[data]])</f>
        <v>2012</v>
      </c>
    </row>
    <row r="1625" spans="1:4" x14ac:dyDescent="0.25">
      <c r="A1625" s="1">
        <v>41104</v>
      </c>
      <c r="B1625" t="s">
        <v>211</v>
      </c>
      <c r="C1625">
        <v>10</v>
      </c>
      <c r="D1625">
        <f>YEAR(cukier9[[#This Row],[data]])</f>
        <v>2012</v>
      </c>
    </row>
    <row r="1626" spans="1:4" x14ac:dyDescent="0.25">
      <c r="A1626" s="1">
        <v>41104</v>
      </c>
      <c r="B1626" t="s">
        <v>79</v>
      </c>
      <c r="C1626">
        <v>10</v>
      </c>
      <c r="D1626">
        <f>YEAR(cukier9[[#This Row],[data]])</f>
        <v>2012</v>
      </c>
    </row>
    <row r="1627" spans="1:4" x14ac:dyDescent="0.25">
      <c r="A1627" s="1">
        <v>41106</v>
      </c>
      <c r="B1627" t="s">
        <v>131</v>
      </c>
      <c r="C1627">
        <v>90</v>
      </c>
      <c r="D1627">
        <f>YEAR(cukier9[[#This Row],[data]])</f>
        <v>2012</v>
      </c>
    </row>
    <row r="1628" spans="1:4" x14ac:dyDescent="0.25">
      <c r="A1628" s="1">
        <v>41106</v>
      </c>
      <c r="B1628" t="s">
        <v>58</v>
      </c>
      <c r="C1628">
        <v>34</v>
      </c>
      <c r="D1628">
        <f>YEAR(cukier9[[#This Row],[data]])</f>
        <v>2012</v>
      </c>
    </row>
    <row r="1629" spans="1:4" x14ac:dyDescent="0.25">
      <c r="A1629" s="1">
        <v>41108</v>
      </c>
      <c r="B1629" t="s">
        <v>9</v>
      </c>
      <c r="C1629">
        <v>106</v>
      </c>
      <c r="D1629">
        <f>YEAR(cukier9[[#This Row],[data]])</f>
        <v>2012</v>
      </c>
    </row>
    <row r="1630" spans="1:4" x14ac:dyDescent="0.25">
      <c r="A1630" s="1">
        <v>41109</v>
      </c>
      <c r="B1630" t="s">
        <v>9</v>
      </c>
      <c r="C1630">
        <v>229</v>
      </c>
      <c r="D1630">
        <f>YEAR(cukier9[[#This Row],[data]])</f>
        <v>2012</v>
      </c>
    </row>
    <row r="1631" spans="1:4" x14ac:dyDescent="0.25">
      <c r="A1631" s="1">
        <v>41115</v>
      </c>
      <c r="B1631" t="s">
        <v>17</v>
      </c>
      <c r="C1631">
        <v>229</v>
      </c>
      <c r="D1631">
        <f>YEAR(cukier9[[#This Row],[data]])</f>
        <v>2012</v>
      </c>
    </row>
    <row r="1632" spans="1:4" x14ac:dyDescent="0.25">
      <c r="A1632" s="1">
        <v>41115</v>
      </c>
      <c r="B1632" t="s">
        <v>47</v>
      </c>
      <c r="C1632">
        <v>20</v>
      </c>
      <c r="D1632">
        <f>YEAR(cukier9[[#This Row],[data]])</f>
        <v>2012</v>
      </c>
    </row>
    <row r="1633" spans="1:4" x14ac:dyDescent="0.25">
      <c r="A1633" s="1">
        <v>41115</v>
      </c>
      <c r="B1633" t="s">
        <v>45</v>
      </c>
      <c r="C1633">
        <v>261</v>
      </c>
      <c r="D1633">
        <f>YEAR(cukier9[[#This Row],[data]])</f>
        <v>2012</v>
      </c>
    </row>
    <row r="1634" spans="1:4" x14ac:dyDescent="0.25">
      <c r="A1634" s="1">
        <v>41118</v>
      </c>
      <c r="B1634" t="s">
        <v>147</v>
      </c>
      <c r="C1634">
        <v>10</v>
      </c>
      <c r="D1634">
        <f>YEAR(cukier9[[#This Row],[data]])</f>
        <v>2012</v>
      </c>
    </row>
    <row r="1635" spans="1:4" x14ac:dyDescent="0.25">
      <c r="A1635" s="1">
        <v>41118</v>
      </c>
      <c r="B1635" t="s">
        <v>7</v>
      </c>
      <c r="C1635">
        <v>400</v>
      </c>
      <c r="D1635">
        <f>YEAR(cukier9[[#This Row],[data]])</f>
        <v>2012</v>
      </c>
    </row>
    <row r="1636" spans="1:4" x14ac:dyDescent="0.25">
      <c r="A1636" s="1">
        <v>41122</v>
      </c>
      <c r="B1636" t="s">
        <v>14</v>
      </c>
      <c r="C1636">
        <v>401</v>
      </c>
      <c r="D1636">
        <f>YEAR(cukier9[[#This Row],[data]])</f>
        <v>2012</v>
      </c>
    </row>
    <row r="1637" spans="1:4" x14ac:dyDescent="0.25">
      <c r="A1637" s="1">
        <v>41124</v>
      </c>
      <c r="B1637" t="s">
        <v>55</v>
      </c>
      <c r="C1637">
        <v>170</v>
      </c>
      <c r="D1637">
        <f>YEAR(cukier9[[#This Row],[data]])</f>
        <v>2012</v>
      </c>
    </row>
    <row r="1638" spans="1:4" x14ac:dyDescent="0.25">
      <c r="A1638" s="1">
        <v>41125</v>
      </c>
      <c r="B1638" t="s">
        <v>22</v>
      </c>
      <c r="C1638">
        <v>124</v>
      </c>
      <c r="D1638">
        <f>YEAR(cukier9[[#This Row],[data]])</f>
        <v>2012</v>
      </c>
    </row>
    <row r="1639" spans="1:4" x14ac:dyDescent="0.25">
      <c r="A1639" s="1">
        <v>41127</v>
      </c>
      <c r="B1639" t="s">
        <v>201</v>
      </c>
      <c r="C1639">
        <v>13</v>
      </c>
      <c r="D1639">
        <f>YEAR(cukier9[[#This Row],[data]])</f>
        <v>2012</v>
      </c>
    </row>
    <row r="1640" spans="1:4" x14ac:dyDescent="0.25">
      <c r="A1640" s="1">
        <v>41130</v>
      </c>
      <c r="B1640" t="s">
        <v>19</v>
      </c>
      <c r="C1640">
        <v>87</v>
      </c>
      <c r="D1640">
        <f>YEAR(cukier9[[#This Row],[data]])</f>
        <v>2012</v>
      </c>
    </row>
    <row r="1641" spans="1:4" x14ac:dyDescent="0.25">
      <c r="A1641" s="1">
        <v>41130</v>
      </c>
      <c r="B1641" t="s">
        <v>24</v>
      </c>
      <c r="C1641">
        <v>190</v>
      </c>
      <c r="D1641">
        <f>YEAR(cukier9[[#This Row],[data]])</f>
        <v>2012</v>
      </c>
    </row>
    <row r="1642" spans="1:4" x14ac:dyDescent="0.25">
      <c r="A1642" s="1">
        <v>41130</v>
      </c>
      <c r="B1642" t="s">
        <v>50</v>
      </c>
      <c r="C1642">
        <v>349</v>
      </c>
      <c r="D1642">
        <f>YEAR(cukier9[[#This Row],[data]])</f>
        <v>2012</v>
      </c>
    </row>
    <row r="1643" spans="1:4" x14ac:dyDescent="0.25">
      <c r="A1643" s="1">
        <v>41132</v>
      </c>
      <c r="B1643" t="s">
        <v>181</v>
      </c>
      <c r="C1643">
        <v>16</v>
      </c>
      <c r="D1643">
        <f>YEAR(cukier9[[#This Row],[data]])</f>
        <v>2012</v>
      </c>
    </row>
    <row r="1644" spans="1:4" x14ac:dyDescent="0.25">
      <c r="A1644" s="1">
        <v>41133</v>
      </c>
      <c r="B1644" t="s">
        <v>71</v>
      </c>
      <c r="C1644">
        <v>42</v>
      </c>
      <c r="D1644">
        <f>YEAR(cukier9[[#This Row],[data]])</f>
        <v>2012</v>
      </c>
    </row>
    <row r="1645" spans="1:4" x14ac:dyDescent="0.25">
      <c r="A1645" s="1">
        <v>41134</v>
      </c>
      <c r="B1645" t="s">
        <v>23</v>
      </c>
      <c r="C1645">
        <v>70</v>
      </c>
      <c r="D1645">
        <f>YEAR(cukier9[[#This Row],[data]])</f>
        <v>2012</v>
      </c>
    </row>
    <row r="1646" spans="1:4" x14ac:dyDescent="0.25">
      <c r="A1646" s="1">
        <v>41136</v>
      </c>
      <c r="B1646" t="s">
        <v>52</v>
      </c>
      <c r="C1646">
        <v>189</v>
      </c>
      <c r="D1646">
        <f>YEAR(cukier9[[#This Row],[data]])</f>
        <v>2012</v>
      </c>
    </row>
    <row r="1647" spans="1:4" x14ac:dyDescent="0.25">
      <c r="A1647" s="1">
        <v>41137</v>
      </c>
      <c r="B1647" t="s">
        <v>55</v>
      </c>
      <c r="C1647">
        <v>64</v>
      </c>
      <c r="D1647">
        <f>YEAR(cukier9[[#This Row],[data]])</f>
        <v>2012</v>
      </c>
    </row>
    <row r="1648" spans="1:4" x14ac:dyDescent="0.25">
      <c r="A1648" s="1">
        <v>41141</v>
      </c>
      <c r="B1648" t="s">
        <v>35</v>
      </c>
      <c r="C1648">
        <v>76</v>
      </c>
      <c r="D1648">
        <f>YEAR(cukier9[[#This Row],[data]])</f>
        <v>2012</v>
      </c>
    </row>
    <row r="1649" spans="1:4" x14ac:dyDescent="0.25">
      <c r="A1649" s="1">
        <v>41142</v>
      </c>
      <c r="B1649" t="s">
        <v>49</v>
      </c>
      <c r="C1649">
        <v>11</v>
      </c>
      <c r="D1649">
        <f>YEAR(cukier9[[#This Row],[data]])</f>
        <v>2012</v>
      </c>
    </row>
    <row r="1650" spans="1:4" x14ac:dyDescent="0.25">
      <c r="A1650" s="1">
        <v>41142</v>
      </c>
      <c r="B1650" t="s">
        <v>66</v>
      </c>
      <c r="C1650">
        <v>96</v>
      </c>
      <c r="D1650">
        <f>YEAR(cukier9[[#This Row],[data]])</f>
        <v>2012</v>
      </c>
    </row>
    <row r="1651" spans="1:4" x14ac:dyDescent="0.25">
      <c r="A1651" s="1">
        <v>41143</v>
      </c>
      <c r="B1651" t="s">
        <v>111</v>
      </c>
      <c r="C1651">
        <v>17</v>
      </c>
      <c r="D1651">
        <f>YEAR(cukier9[[#This Row],[data]])</f>
        <v>2012</v>
      </c>
    </row>
    <row r="1652" spans="1:4" x14ac:dyDescent="0.25">
      <c r="A1652" s="1">
        <v>41143</v>
      </c>
      <c r="B1652" t="s">
        <v>18</v>
      </c>
      <c r="C1652">
        <v>92</v>
      </c>
      <c r="D1652">
        <f>YEAR(cukier9[[#This Row],[data]])</f>
        <v>2012</v>
      </c>
    </row>
    <row r="1653" spans="1:4" x14ac:dyDescent="0.25">
      <c r="A1653" s="1">
        <v>41144</v>
      </c>
      <c r="B1653" t="s">
        <v>8</v>
      </c>
      <c r="C1653">
        <v>76</v>
      </c>
      <c r="D1653">
        <f>YEAR(cukier9[[#This Row],[data]])</f>
        <v>2012</v>
      </c>
    </row>
    <row r="1654" spans="1:4" x14ac:dyDescent="0.25">
      <c r="A1654" s="1">
        <v>41146</v>
      </c>
      <c r="B1654" t="s">
        <v>10</v>
      </c>
      <c r="C1654">
        <v>77</v>
      </c>
      <c r="D1654">
        <f>YEAR(cukier9[[#This Row],[data]])</f>
        <v>2012</v>
      </c>
    </row>
    <row r="1655" spans="1:4" x14ac:dyDescent="0.25">
      <c r="A1655" s="1">
        <v>41147</v>
      </c>
      <c r="B1655" t="s">
        <v>102</v>
      </c>
      <c r="C1655">
        <v>344</v>
      </c>
      <c r="D1655">
        <f>YEAR(cukier9[[#This Row],[data]])</f>
        <v>2012</v>
      </c>
    </row>
    <row r="1656" spans="1:4" x14ac:dyDescent="0.25">
      <c r="A1656" s="1">
        <v>41147</v>
      </c>
      <c r="B1656" t="s">
        <v>7</v>
      </c>
      <c r="C1656">
        <v>218</v>
      </c>
      <c r="D1656">
        <f>YEAR(cukier9[[#This Row],[data]])</f>
        <v>2012</v>
      </c>
    </row>
    <row r="1657" spans="1:4" x14ac:dyDescent="0.25">
      <c r="A1657" s="1">
        <v>41148</v>
      </c>
      <c r="B1657" t="s">
        <v>50</v>
      </c>
      <c r="C1657">
        <v>115</v>
      </c>
      <c r="D1657">
        <f>YEAR(cukier9[[#This Row],[data]])</f>
        <v>2012</v>
      </c>
    </row>
    <row r="1658" spans="1:4" x14ac:dyDescent="0.25">
      <c r="A1658" s="1">
        <v>41149</v>
      </c>
      <c r="B1658" t="s">
        <v>80</v>
      </c>
      <c r="C1658">
        <v>143</v>
      </c>
      <c r="D1658">
        <f>YEAR(cukier9[[#This Row],[data]])</f>
        <v>2012</v>
      </c>
    </row>
    <row r="1659" spans="1:4" x14ac:dyDescent="0.25">
      <c r="A1659" s="1">
        <v>41149</v>
      </c>
      <c r="B1659" t="s">
        <v>137</v>
      </c>
      <c r="C1659">
        <v>1</v>
      </c>
      <c r="D1659">
        <f>YEAR(cukier9[[#This Row],[data]])</f>
        <v>2012</v>
      </c>
    </row>
    <row r="1660" spans="1:4" x14ac:dyDescent="0.25">
      <c r="A1660" s="1">
        <v>41154</v>
      </c>
      <c r="B1660" t="s">
        <v>69</v>
      </c>
      <c r="C1660">
        <v>133</v>
      </c>
      <c r="D1660">
        <f>YEAR(cukier9[[#This Row],[data]])</f>
        <v>2012</v>
      </c>
    </row>
    <row r="1661" spans="1:4" x14ac:dyDescent="0.25">
      <c r="A1661" s="1">
        <v>41154</v>
      </c>
      <c r="B1661" t="s">
        <v>17</v>
      </c>
      <c r="C1661">
        <v>496</v>
      </c>
      <c r="D1661">
        <f>YEAR(cukier9[[#This Row],[data]])</f>
        <v>2012</v>
      </c>
    </row>
    <row r="1662" spans="1:4" x14ac:dyDescent="0.25">
      <c r="A1662" s="1">
        <v>41154</v>
      </c>
      <c r="B1662" t="s">
        <v>108</v>
      </c>
      <c r="C1662">
        <v>5</v>
      </c>
      <c r="D1662">
        <f>YEAR(cukier9[[#This Row],[data]])</f>
        <v>2012</v>
      </c>
    </row>
    <row r="1663" spans="1:4" x14ac:dyDescent="0.25">
      <c r="A1663" s="1">
        <v>41156</v>
      </c>
      <c r="B1663" t="s">
        <v>172</v>
      </c>
      <c r="C1663">
        <v>8</v>
      </c>
      <c r="D1663">
        <f>YEAR(cukier9[[#This Row],[data]])</f>
        <v>2012</v>
      </c>
    </row>
    <row r="1664" spans="1:4" x14ac:dyDescent="0.25">
      <c r="A1664" s="1">
        <v>41157</v>
      </c>
      <c r="B1664" t="s">
        <v>52</v>
      </c>
      <c r="C1664">
        <v>59</v>
      </c>
      <c r="D1664">
        <f>YEAR(cukier9[[#This Row],[data]])</f>
        <v>2012</v>
      </c>
    </row>
    <row r="1665" spans="1:4" x14ac:dyDescent="0.25">
      <c r="A1665" s="1">
        <v>41157</v>
      </c>
      <c r="B1665" t="s">
        <v>17</v>
      </c>
      <c r="C1665">
        <v>273</v>
      </c>
      <c r="D1665">
        <f>YEAR(cukier9[[#This Row],[data]])</f>
        <v>2012</v>
      </c>
    </row>
    <row r="1666" spans="1:4" x14ac:dyDescent="0.25">
      <c r="A1666" s="1">
        <v>41158</v>
      </c>
      <c r="B1666" t="s">
        <v>9</v>
      </c>
      <c r="C1666">
        <v>165</v>
      </c>
      <c r="D1666">
        <f>YEAR(cukier9[[#This Row],[data]])</f>
        <v>2012</v>
      </c>
    </row>
    <row r="1667" spans="1:4" x14ac:dyDescent="0.25">
      <c r="A1667" s="1">
        <v>41162</v>
      </c>
      <c r="B1667" t="s">
        <v>48</v>
      </c>
      <c r="C1667">
        <v>13</v>
      </c>
      <c r="D1667">
        <f>YEAR(cukier9[[#This Row],[data]])</f>
        <v>2012</v>
      </c>
    </row>
    <row r="1668" spans="1:4" x14ac:dyDescent="0.25">
      <c r="A1668" s="1">
        <v>41163</v>
      </c>
      <c r="B1668" t="s">
        <v>69</v>
      </c>
      <c r="C1668">
        <v>143</v>
      </c>
      <c r="D1668">
        <f>YEAR(cukier9[[#This Row],[data]])</f>
        <v>2012</v>
      </c>
    </row>
    <row r="1669" spans="1:4" x14ac:dyDescent="0.25">
      <c r="A1669" s="1">
        <v>41167</v>
      </c>
      <c r="B1669" t="s">
        <v>230</v>
      </c>
      <c r="C1669">
        <v>20</v>
      </c>
      <c r="D1669">
        <f>YEAR(cukier9[[#This Row],[data]])</f>
        <v>2012</v>
      </c>
    </row>
    <row r="1670" spans="1:4" x14ac:dyDescent="0.25">
      <c r="A1670" s="1">
        <v>41171</v>
      </c>
      <c r="B1670" t="s">
        <v>54</v>
      </c>
      <c r="C1670">
        <v>4</v>
      </c>
      <c r="D1670">
        <f>YEAR(cukier9[[#This Row],[data]])</f>
        <v>2012</v>
      </c>
    </row>
    <row r="1671" spans="1:4" x14ac:dyDescent="0.25">
      <c r="A1671" s="1">
        <v>41175</v>
      </c>
      <c r="B1671" t="s">
        <v>131</v>
      </c>
      <c r="C1671">
        <v>102</v>
      </c>
      <c r="D1671">
        <f>YEAR(cukier9[[#This Row],[data]])</f>
        <v>2012</v>
      </c>
    </row>
    <row r="1672" spans="1:4" x14ac:dyDescent="0.25">
      <c r="A1672" s="1">
        <v>41177</v>
      </c>
      <c r="B1672" t="s">
        <v>6</v>
      </c>
      <c r="C1672">
        <v>155</v>
      </c>
      <c r="D1672">
        <f>YEAR(cukier9[[#This Row],[data]])</f>
        <v>2012</v>
      </c>
    </row>
    <row r="1673" spans="1:4" x14ac:dyDescent="0.25">
      <c r="A1673" s="1">
        <v>41179</v>
      </c>
      <c r="B1673" t="s">
        <v>7</v>
      </c>
      <c r="C1673">
        <v>226</v>
      </c>
      <c r="D1673">
        <f>YEAR(cukier9[[#This Row],[data]])</f>
        <v>2012</v>
      </c>
    </row>
    <row r="1674" spans="1:4" x14ac:dyDescent="0.25">
      <c r="A1674" s="1">
        <v>41179</v>
      </c>
      <c r="B1674" t="s">
        <v>14</v>
      </c>
      <c r="C1674">
        <v>346</v>
      </c>
      <c r="D1674">
        <f>YEAR(cukier9[[#This Row],[data]])</f>
        <v>2012</v>
      </c>
    </row>
    <row r="1675" spans="1:4" x14ac:dyDescent="0.25">
      <c r="A1675" s="1">
        <v>41180</v>
      </c>
      <c r="B1675" t="s">
        <v>52</v>
      </c>
      <c r="C1675">
        <v>45</v>
      </c>
      <c r="D1675">
        <f>YEAR(cukier9[[#This Row],[data]])</f>
        <v>2012</v>
      </c>
    </row>
    <row r="1676" spans="1:4" x14ac:dyDescent="0.25">
      <c r="A1676" s="1">
        <v>41182</v>
      </c>
      <c r="B1676" t="s">
        <v>151</v>
      </c>
      <c r="C1676">
        <v>11</v>
      </c>
      <c r="D1676">
        <f>YEAR(cukier9[[#This Row],[data]])</f>
        <v>2012</v>
      </c>
    </row>
    <row r="1677" spans="1:4" x14ac:dyDescent="0.25">
      <c r="A1677" s="1">
        <v>41185</v>
      </c>
      <c r="B1677" t="s">
        <v>130</v>
      </c>
      <c r="C1677">
        <v>14</v>
      </c>
      <c r="D1677">
        <f>YEAR(cukier9[[#This Row],[data]])</f>
        <v>2012</v>
      </c>
    </row>
    <row r="1678" spans="1:4" x14ac:dyDescent="0.25">
      <c r="A1678" s="1">
        <v>41190</v>
      </c>
      <c r="B1678" t="s">
        <v>51</v>
      </c>
      <c r="C1678">
        <v>12</v>
      </c>
      <c r="D1678">
        <f>YEAR(cukier9[[#This Row],[data]])</f>
        <v>2012</v>
      </c>
    </row>
    <row r="1679" spans="1:4" x14ac:dyDescent="0.25">
      <c r="A1679" s="1">
        <v>41195</v>
      </c>
      <c r="B1679" t="s">
        <v>154</v>
      </c>
      <c r="C1679">
        <v>11</v>
      </c>
      <c r="D1679">
        <f>YEAR(cukier9[[#This Row],[data]])</f>
        <v>2012</v>
      </c>
    </row>
    <row r="1680" spans="1:4" x14ac:dyDescent="0.25">
      <c r="A1680" s="1">
        <v>41195</v>
      </c>
      <c r="B1680" t="s">
        <v>26</v>
      </c>
      <c r="C1680">
        <v>142</v>
      </c>
      <c r="D1680">
        <f>YEAR(cukier9[[#This Row],[data]])</f>
        <v>2012</v>
      </c>
    </row>
    <row r="1681" spans="1:4" x14ac:dyDescent="0.25">
      <c r="A1681" s="1">
        <v>41201</v>
      </c>
      <c r="B1681" t="s">
        <v>71</v>
      </c>
      <c r="C1681">
        <v>184</v>
      </c>
      <c r="D1681">
        <f>YEAR(cukier9[[#This Row],[data]])</f>
        <v>2012</v>
      </c>
    </row>
    <row r="1682" spans="1:4" x14ac:dyDescent="0.25">
      <c r="A1682" s="1">
        <v>41202</v>
      </c>
      <c r="B1682" t="s">
        <v>45</v>
      </c>
      <c r="C1682">
        <v>390</v>
      </c>
      <c r="D1682">
        <f>YEAR(cukier9[[#This Row],[data]])</f>
        <v>2012</v>
      </c>
    </row>
    <row r="1683" spans="1:4" x14ac:dyDescent="0.25">
      <c r="A1683" s="1">
        <v>41206</v>
      </c>
      <c r="B1683" t="s">
        <v>37</v>
      </c>
      <c r="C1683">
        <v>110</v>
      </c>
      <c r="D1683">
        <f>YEAR(cukier9[[#This Row],[data]])</f>
        <v>2012</v>
      </c>
    </row>
    <row r="1684" spans="1:4" x14ac:dyDescent="0.25">
      <c r="A1684" s="1">
        <v>41207</v>
      </c>
      <c r="B1684" t="s">
        <v>19</v>
      </c>
      <c r="C1684">
        <v>92</v>
      </c>
      <c r="D1684">
        <f>YEAR(cukier9[[#This Row],[data]])</f>
        <v>2012</v>
      </c>
    </row>
    <row r="1685" spans="1:4" x14ac:dyDescent="0.25">
      <c r="A1685" s="1">
        <v>41208</v>
      </c>
      <c r="B1685" t="s">
        <v>68</v>
      </c>
      <c r="C1685">
        <v>5</v>
      </c>
      <c r="D1685">
        <f>YEAR(cukier9[[#This Row],[data]])</f>
        <v>2012</v>
      </c>
    </row>
    <row r="1686" spans="1:4" x14ac:dyDescent="0.25">
      <c r="A1686" s="1">
        <v>41208</v>
      </c>
      <c r="B1686" t="s">
        <v>229</v>
      </c>
      <c r="C1686">
        <v>2</v>
      </c>
      <c r="D1686">
        <f>YEAR(cukier9[[#This Row],[data]])</f>
        <v>2012</v>
      </c>
    </row>
    <row r="1687" spans="1:4" x14ac:dyDescent="0.25">
      <c r="A1687" s="1">
        <v>41210</v>
      </c>
      <c r="B1687" t="s">
        <v>175</v>
      </c>
      <c r="C1687">
        <v>14</v>
      </c>
      <c r="D1687">
        <f>YEAR(cukier9[[#This Row],[data]])</f>
        <v>2012</v>
      </c>
    </row>
    <row r="1688" spans="1:4" x14ac:dyDescent="0.25">
      <c r="A1688" s="1">
        <v>41213</v>
      </c>
      <c r="B1688" t="s">
        <v>84</v>
      </c>
      <c r="C1688">
        <v>6</v>
      </c>
      <c r="D1688">
        <f>YEAR(cukier9[[#This Row],[data]])</f>
        <v>2012</v>
      </c>
    </row>
    <row r="1689" spans="1:4" x14ac:dyDescent="0.25">
      <c r="A1689" s="1">
        <v>41214</v>
      </c>
      <c r="B1689" t="s">
        <v>18</v>
      </c>
      <c r="C1689">
        <v>65</v>
      </c>
      <c r="D1689">
        <f>YEAR(cukier9[[#This Row],[data]])</f>
        <v>2012</v>
      </c>
    </row>
    <row r="1690" spans="1:4" x14ac:dyDescent="0.25">
      <c r="A1690" s="1">
        <v>41214</v>
      </c>
      <c r="B1690" t="s">
        <v>69</v>
      </c>
      <c r="C1690">
        <v>45</v>
      </c>
      <c r="D1690">
        <f>YEAR(cukier9[[#This Row],[data]])</f>
        <v>2012</v>
      </c>
    </row>
    <row r="1691" spans="1:4" x14ac:dyDescent="0.25">
      <c r="A1691" s="1">
        <v>41214</v>
      </c>
      <c r="B1691" t="s">
        <v>7</v>
      </c>
      <c r="C1691">
        <v>108</v>
      </c>
      <c r="D1691">
        <f>YEAR(cukier9[[#This Row],[data]])</f>
        <v>2012</v>
      </c>
    </row>
    <row r="1692" spans="1:4" x14ac:dyDescent="0.25">
      <c r="A1692" s="1">
        <v>41215</v>
      </c>
      <c r="B1692" t="s">
        <v>37</v>
      </c>
      <c r="C1692">
        <v>159</v>
      </c>
      <c r="D1692">
        <f>YEAR(cukier9[[#This Row],[data]])</f>
        <v>2012</v>
      </c>
    </row>
    <row r="1693" spans="1:4" x14ac:dyDescent="0.25">
      <c r="A1693" s="1">
        <v>41219</v>
      </c>
      <c r="B1693" t="s">
        <v>19</v>
      </c>
      <c r="C1693">
        <v>141</v>
      </c>
      <c r="D1693">
        <f>YEAR(cukier9[[#This Row],[data]])</f>
        <v>2012</v>
      </c>
    </row>
    <row r="1694" spans="1:4" x14ac:dyDescent="0.25">
      <c r="A1694" s="1">
        <v>41219</v>
      </c>
      <c r="B1694" t="s">
        <v>38</v>
      </c>
      <c r="C1694">
        <v>14</v>
      </c>
      <c r="D1694">
        <f>YEAR(cukier9[[#This Row],[data]])</f>
        <v>2012</v>
      </c>
    </row>
    <row r="1695" spans="1:4" x14ac:dyDescent="0.25">
      <c r="A1695" s="1">
        <v>41222</v>
      </c>
      <c r="B1695" t="s">
        <v>10</v>
      </c>
      <c r="C1695">
        <v>142</v>
      </c>
      <c r="D1695">
        <f>YEAR(cukier9[[#This Row],[data]])</f>
        <v>2012</v>
      </c>
    </row>
    <row r="1696" spans="1:4" x14ac:dyDescent="0.25">
      <c r="A1696" s="1">
        <v>41223</v>
      </c>
      <c r="B1696" t="s">
        <v>9</v>
      </c>
      <c r="C1696">
        <v>167</v>
      </c>
      <c r="D1696">
        <f>YEAR(cukier9[[#This Row],[data]])</f>
        <v>2012</v>
      </c>
    </row>
    <row r="1697" spans="1:4" x14ac:dyDescent="0.25">
      <c r="A1697" s="1">
        <v>41224</v>
      </c>
      <c r="B1697" t="s">
        <v>175</v>
      </c>
      <c r="C1697">
        <v>12</v>
      </c>
      <c r="D1697">
        <f>YEAR(cukier9[[#This Row],[data]])</f>
        <v>2012</v>
      </c>
    </row>
    <row r="1698" spans="1:4" x14ac:dyDescent="0.25">
      <c r="A1698" s="1">
        <v>41229</v>
      </c>
      <c r="B1698" t="s">
        <v>28</v>
      </c>
      <c r="C1698">
        <v>187</v>
      </c>
      <c r="D1698">
        <f>YEAR(cukier9[[#This Row],[data]])</f>
        <v>2012</v>
      </c>
    </row>
    <row r="1699" spans="1:4" x14ac:dyDescent="0.25">
      <c r="A1699" s="1">
        <v>41232</v>
      </c>
      <c r="B1699" t="s">
        <v>41</v>
      </c>
      <c r="C1699">
        <v>14</v>
      </c>
      <c r="D1699">
        <f>YEAR(cukier9[[#This Row],[data]])</f>
        <v>2012</v>
      </c>
    </row>
    <row r="1700" spans="1:4" x14ac:dyDescent="0.25">
      <c r="A1700" s="1">
        <v>41235</v>
      </c>
      <c r="B1700" t="s">
        <v>165</v>
      </c>
      <c r="C1700">
        <v>10</v>
      </c>
      <c r="D1700">
        <f>YEAR(cukier9[[#This Row],[data]])</f>
        <v>2012</v>
      </c>
    </row>
    <row r="1701" spans="1:4" x14ac:dyDescent="0.25">
      <c r="A1701" s="1">
        <v>41236</v>
      </c>
      <c r="B1701" t="s">
        <v>22</v>
      </c>
      <c r="C1701">
        <v>269</v>
      </c>
      <c r="D1701">
        <f>YEAR(cukier9[[#This Row],[data]])</f>
        <v>2012</v>
      </c>
    </row>
    <row r="1702" spans="1:4" x14ac:dyDescent="0.25">
      <c r="A1702" s="1">
        <v>41236</v>
      </c>
      <c r="B1702" t="s">
        <v>5</v>
      </c>
      <c r="C1702">
        <v>328</v>
      </c>
      <c r="D1702">
        <f>YEAR(cukier9[[#This Row],[data]])</f>
        <v>2012</v>
      </c>
    </row>
    <row r="1703" spans="1:4" x14ac:dyDescent="0.25">
      <c r="A1703" s="1">
        <v>41237</v>
      </c>
      <c r="B1703" t="s">
        <v>9</v>
      </c>
      <c r="C1703">
        <v>228</v>
      </c>
      <c r="D1703">
        <f>YEAR(cukier9[[#This Row],[data]])</f>
        <v>2012</v>
      </c>
    </row>
    <row r="1704" spans="1:4" x14ac:dyDescent="0.25">
      <c r="A1704" s="1">
        <v>41239</v>
      </c>
      <c r="B1704" t="s">
        <v>2</v>
      </c>
      <c r="C1704">
        <v>12</v>
      </c>
      <c r="D1704">
        <f>YEAR(cukier9[[#This Row],[data]])</f>
        <v>2012</v>
      </c>
    </row>
    <row r="1705" spans="1:4" x14ac:dyDescent="0.25">
      <c r="A1705" s="1">
        <v>41244</v>
      </c>
      <c r="B1705" t="s">
        <v>93</v>
      </c>
      <c r="C1705">
        <v>16</v>
      </c>
      <c r="D1705">
        <f>YEAR(cukier9[[#This Row],[data]])</f>
        <v>2012</v>
      </c>
    </row>
    <row r="1706" spans="1:4" x14ac:dyDescent="0.25">
      <c r="A1706" s="1">
        <v>41247</v>
      </c>
      <c r="B1706" t="s">
        <v>17</v>
      </c>
      <c r="C1706">
        <v>233</v>
      </c>
      <c r="D1706">
        <f>YEAR(cukier9[[#This Row],[data]])</f>
        <v>2012</v>
      </c>
    </row>
    <row r="1707" spans="1:4" x14ac:dyDescent="0.25">
      <c r="A1707" s="1">
        <v>41248</v>
      </c>
      <c r="B1707" t="s">
        <v>132</v>
      </c>
      <c r="C1707">
        <v>10</v>
      </c>
      <c r="D1707">
        <f>YEAR(cukier9[[#This Row],[data]])</f>
        <v>2012</v>
      </c>
    </row>
    <row r="1708" spans="1:4" x14ac:dyDescent="0.25">
      <c r="A1708" s="1">
        <v>41251</v>
      </c>
      <c r="B1708" t="s">
        <v>10</v>
      </c>
      <c r="C1708">
        <v>168</v>
      </c>
      <c r="D1708">
        <f>YEAR(cukier9[[#This Row],[data]])</f>
        <v>2012</v>
      </c>
    </row>
    <row r="1709" spans="1:4" x14ac:dyDescent="0.25">
      <c r="A1709" s="1">
        <v>41251</v>
      </c>
      <c r="B1709" t="s">
        <v>5</v>
      </c>
      <c r="C1709">
        <v>388</v>
      </c>
      <c r="D1709">
        <f>YEAR(cukier9[[#This Row],[data]])</f>
        <v>2012</v>
      </c>
    </row>
    <row r="1710" spans="1:4" x14ac:dyDescent="0.25">
      <c r="A1710" s="1">
        <v>41252</v>
      </c>
      <c r="B1710" t="s">
        <v>50</v>
      </c>
      <c r="C1710">
        <v>319</v>
      </c>
      <c r="D1710">
        <f>YEAR(cukier9[[#This Row],[data]])</f>
        <v>2012</v>
      </c>
    </row>
    <row r="1711" spans="1:4" x14ac:dyDescent="0.25">
      <c r="A1711" s="1">
        <v>41254</v>
      </c>
      <c r="B1711" t="s">
        <v>67</v>
      </c>
      <c r="C1711">
        <v>12</v>
      </c>
      <c r="D1711">
        <f>YEAR(cukier9[[#This Row],[data]])</f>
        <v>2012</v>
      </c>
    </row>
    <row r="1712" spans="1:4" x14ac:dyDescent="0.25">
      <c r="A1712" s="1">
        <v>41256</v>
      </c>
      <c r="B1712" t="s">
        <v>173</v>
      </c>
      <c r="C1712">
        <v>150</v>
      </c>
      <c r="D1712">
        <f>YEAR(cukier9[[#This Row],[data]])</f>
        <v>2012</v>
      </c>
    </row>
    <row r="1713" spans="1:4" x14ac:dyDescent="0.25">
      <c r="A1713" s="1">
        <v>41258</v>
      </c>
      <c r="B1713" t="s">
        <v>9</v>
      </c>
      <c r="C1713">
        <v>347</v>
      </c>
      <c r="D1713">
        <f>YEAR(cukier9[[#This Row],[data]])</f>
        <v>2012</v>
      </c>
    </row>
    <row r="1714" spans="1:4" x14ac:dyDescent="0.25">
      <c r="A1714" s="1">
        <v>41259</v>
      </c>
      <c r="B1714" t="s">
        <v>23</v>
      </c>
      <c r="C1714">
        <v>177</v>
      </c>
      <c r="D1714">
        <f>YEAR(cukier9[[#This Row],[data]])</f>
        <v>2012</v>
      </c>
    </row>
    <row r="1715" spans="1:4" x14ac:dyDescent="0.25">
      <c r="A1715" s="1">
        <v>41262</v>
      </c>
      <c r="B1715" t="s">
        <v>45</v>
      </c>
      <c r="C1715">
        <v>222</v>
      </c>
      <c r="D1715">
        <f>YEAR(cukier9[[#This Row],[data]])</f>
        <v>2012</v>
      </c>
    </row>
    <row r="1716" spans="1:4" x14ac:dyDescent="0.25">
      <c r="A1716" s="1">
        <v>41273</v>
      </c>
      <c r="B1716" t="s">
        <v>49</v>
      </c>
      <c r="C1716">
        <v>9</v>
      </c>
      <c r="D1716">
        <f>YEAR(cukier9[[#This Row],[data]])</f>
        <v>2012</v>
      </c>
    </row>
    <row r="1717" spans="1:4" x14ac:dyDescent="0.25">
      <c r="A1717" s="1">
        <v>41273</v>
      </c>
      <c r="B1717" t="s">
        <v>231</v>
      </c>
      <c r="C1717">
        <v>14</v>
      </c>
      <c r="D1717">
        <f>YEAR(cukier9[[#This Row],[data]])</f>
        <v>2012</v>
      </c>
    </row>
    <row r="1718" spans="1:4" x14ac:dyDescent="0.25">
      <c r="A1718" s="1">
        <v>41275</v>
      </c>
      <c r="B1718" t="s">
        <v>3</v>
      </c>
      <c r="C1718">
        <v>7</v>
      </c>
      <c r="D1718">
        <f>YEAR(cukier9[[#This Row],[data]])</f>
        <v>2013</v>
      </c>
    </row>
    <row r="1719" spans="1:4" x14ac:dyDescent="0.25">
      <c r="A1719" s="1">
        <v>41279</v>
      </c>
      <c r="B1719" t="s">
        <v>66</v>
      </c>
      <c r="C1719">
        <v>171</v>
      </c>
      <c r="D1719">
        <f>YEAR(cukier9[[#This Row],[data]])</f>
        <v>2013</v>
      </c>
    </row>
    <row r="1720" spans="1:4" x14ac:dyDescent="0.25">
      <c r="A1720" s="1">
        <v>41283</v>
      </c>
      <c r="B1720" t="s">
        <v>208</v>
      </c>
      <c r="C1720">
        <v>16</v>
      </c>
      <c r="D1720">
        <f>YEAR(cukier9[[#This Row],[data]])</f>
        <v>2013</v>
      </c>
    </row>
    <row r="1721" spans="1:4" x14ac:dyDescent="0.25">
      <c r="A1721" s="1">
        <v>41284</v>
      </c>
      <c r="B1721" t="s">
        <v>18</v>
      </c>
      <c r="C1721">
        <v>176</v>
      </c>
      <c r="D1721">
        <f>YEAR(cukier9[[#This Row],[data]])</f>
        <v>2013</v>
      </c>
    </row>
    <row r="1722" spans="1:4" x14ac:dyDescent="0.25">
      <c r="A1722" s="1">
        <v>41287</v>
      </c>
      <c r="B1722" t="s">
        <v>55</v>
      </c>
      <c r="C1722">
        <v>37</v>
      </c>
      <c r="D1722">
        <f>YEAR(cukier9[[#This Row],[data]])</f>
        <v>2013</v>
      </c>
    </row>
    <row r="1723" spans="1:4" x14ac:dyDescent="0.25">
      <c r="A1723" s="1">
        <v>41290</v>
      </c>
      <c r="B1723" t="s">
        <v>18</v>
      </c>
      <c r="C1723">
        <v>186</v>
      </c>
      <c r="D1723">
        <f>YEAR(cukier9[[#This Row],[data]])</f>
        <v>2013</v>
      </c>
    </row>
    <row r="1724" spans="1:4" x14ac:dyDescent="0.25">
      <c r="A1724" s="1">
        <v>41290</v>
      </c>
      <c r="B1724" t="s">
        <v>61</v>
      </c>
      <c r="C1724">
        <v>45</v>
      </c>
      <c r="D1724">
        <f>YEAR(cukier9[[#This Row],[data]])</f>
        <v>2013</v>
      </c>
    </row>
    <row r="1725" spans="1:4" x14ac:dyDescent="0.25">
      <c r="A1725" s="1">
        <v>41294</v>
      </c>
      <c r="B1725" t="s">
        <v>52</v>
      </c>
      <c r="C1725">
        <v>186</v>
      </c>
      <c r="D1725">
        <f>YEAR(cukier9[[#This Row],[data]])</f>
        <v>2013</v>
      </c>
    </row>
    <row r="1726" spans="1:4" x14ac:dyDescent="0.25">
      <c r="A1726" s="1">
        <v>41294</v>
      </c>
      <c r="B1726" t="s">
        <v>14</v>
      </c>
      <c r="C1726">
        <v>211</v>
      </c>
      <c r="D1726">
        <f>YEAR(cukier9[[#This Row],[data]])</f>
        <v>2013</v>
      </c>
    </row>
    <row r="1727" spans="1:4" x14ac:dyDescent="0.25">
      <c r="A1727" s="1">
        <v>41300</v>
      </c>
      <c r="B1727" t="s">
        <v>9</v>
      </c>
      <c r="C1727">
        <v>330</v>
      </c>
      <c r="D1727">
        <f>YEAR(cukier9[[#This Row],[data]])</f>
        <v>2013</v>
      </c>
    </row>
    <row r="1728" spans="1:4" x14ac:dyDescent="0.25">
      <c r="A1728" s="1">
        <v>41301</v>
      </c>
      <c r="B1728" t="s">
        <v>14</v>
      </c>
      <c r="C1728">
        <v>134</v>
      </c>
      <c r="D1728">
        <f>YEAR(cukier9[[#This Row],[data]])</f>
        <v>2013</v>
      </c>
    </row>
    <row r="1729" spans="1:4" x14ac:dyDescent="0.25">
      <c r="A1729" s="1">
        <v>41301</v>
      </c>
      <c r="B1729" t="s">
        <v>9</v>
      </c>
      <c r="C1729">
        <v>459</v>
      </c>
      <c r="D1729">
        <f>YEAR(cukier9[[#This Row],[data]])</f>
        <v>2013</v>
      </c>
    </row>
    <row r="1730" spans="1:4" x14ac:dyDescent="0.25">
      <c r="A1730" s="1">
        <v>41302</v>
      </c>
      <c r="B1730" t="s">
        <v>26</v>
      </c>
      <c r="C1730">
        <v>185</v>
      </c>
      <c r="D1730">
        <f>YEAR(cukier9[[#This Row],[data]])</f>
        <v>2013</v>
      </c>
    </row>
    <row r="1731" spans="1:4" x14ac:dyDescent="0.25">
      <c r="A1731" s="1">
        <v>41303</v>
      </c>
      <c r="B1731" t="s">
        <v>67</v>
      </c>
      <c r="C1731">
        <v>3</v>
      </c>
      <c r="D1731">
        <f>YEAR(cukier9[[#This Row],[data]])</f>
        <v>2013</v>
      </c>
    </row>
    <row r="1732" spans="1:4" x14ac:dyDescent="0.25">
      <c r="A1732" s="1">
        <v>41305</v>
      </c>
      <c r="B1732" t="s">
        <v>30</v>
      </c>
      <c r="C1732">
        <v>181</v>
      </c>
      <c r="D1732">
        <f>YEAR(cukier9[[#This Row],[data]])</f>
        <v>2013</v>
      </c>
    </row>
    <row r="1733" spans="1:4" x14ac:dyDescent="0.25">
      <c r="A1733" s="1">
        <v>41309</v>
      </c>
      <c r="B1733" t="s">
        <v>17</v>
      </c>
      <c r="C1733">
        <v>441</v>
      </c>
      <c r="D1733">
        <f>YEAR(cukier9[[#This Row],[data]])</f>
        <v>2013</v>
      </c>
    </row>
    <row r="1734" spans="1:4" x14ac:dyDescent="0.25">
      <c r="A1734" s="1">
        <v>41310</v>
      </c>
      <c r="B1734" t="s">
        <v>45</v>
      </c>
      <c r="C1734">
        <v>487</v>
      </c>
      <c r="D1734">
        <f>YEAR(cukier9[[#This Row],[data]])</f>
        <v>2013</v>
      </c>
    </row>
    <row r="1735" spans="1:4" x14ac:dyDescent="0.25">
      <c r="A1735" s="1">
        <v>41310</v>
      </c>
      <c r="B1735" t="s">
        <v>52</v>
      </c>
      <c r="C1735">
        <v>56</v>
      </c>
      <c r="D1735">
        <f>YEAR(cukier9[[#This Row],[data]])</f>
        <v>2013</v>
      </c>
    </row>
    <row r="1736" spans="1:4" x14ac:dyDescent="0.25">
      <c r="A1736" s="1">
        <v>41314</v>
      </c>
      <c r="B1736" t="s">
        <v>12</v>
      </c>
      <c r="C1736">
        <v>23</v>
      </c>
      <c r="D1736">
        <f>YEAR(cukier9[[#This Row],[data]])</f>
        <v>2013</v>
      </c>
    </row>
    <row r="1737" spans="1:4" x14ac:dyDescent="0.25">
      <c r="A1737" s="1">
        <v>41314</v>
      </c>
      <c r="B1737" t="s">
        <v>131</v>
      </c>
      <c r="C1737">
        <v>113</v>
      </c>
      <c r="D1737">
        <f>YEAR(cukier9[[#This Row],[data]])</f>
        <v>2013</v>
      </c>
    </row>
    <row r="1738" spans="1:4" x14ac:dyDescent="0.25">
      <c r="A1738" s="1">
        <v>41315</v>
      </c>
      <c r="B1738" t="s">
        <v>200</v>
      </c>
      <c r="C1738">
        <v>19</v>
      </c>
      <c r="D1738">
        <f>YEAR(cukier9[[#This Row],[data]])</f>
        <v>2013</v>
      </c>
    </row>
    <row r="1739" spans="1:4" x14ac:dyDescent="0.25">
      <c r="A1739" s="1">
        <v>41316</v>
      </c>
      <c r="B1739" t="s">
        <v>78</v>
      </c>
      <c r="C1739">
        <v>188</v>
      </c>
      <c r="D1739">
        <f>YEAR(cukier9[[#This Row],[data]])</f>
        <v>2013</v>
      </c>
    </row>
    <row r="1740" spans="1:4" x14ac:dyDescent="0.25">
      <c r="A1740" s="1">
        <v>41316</v>
      </c>
      <c r="B1740" t="s">
        <v>7</v>
      </c>
      <c r="C1740">
        <v>338</v>
      </c>
      <c r="D1740">
        <f>YEAR(cukier9[[#This Row],[data]])</f>
        <v>2013</v>
      </c>
    </row>
    <row r="1741" spans="1:4" x14ac:dyDescent="0.25">
      <c r="A1741" s="1">
        <v>41317</v>
      </c>
      <c r="B1741" t="s">
        <v>31</v>
      </c>
      <c r="C1741">
        <v>80</v>
      </c>
      <c r="D1741">
        <f>YEAR(cukier9[[#This Row],[data]])</f>
        <v>2013</v>
      </c>
    </row>
    <row r="1742" spans="1:4" x14ac:dyDescent="0.25">
      <c r="A1742" s="1">
        <v>41318</v>
      </c>
      <c r="B1742" t="s">
        <v>171</v>
      </c>
      <c r="C1742">
        <v>20</v>
      </c>
      <c r="D1742">
        <f>YEAR(cukier9[[#This Row],[data]])</f>
        <v>2013</v>
      </c>
    </row>
    <row r="1743" spans="1:4" x14ac:dyDescent="0.25">
      <c r="A1743" s="1">
        <v>41321</v>
      </c>
      <c r="B1743" t="s">
        <v>159</v>
      </c>
      <c r="C1743">
        <v>1</v>
      </c>
      <c r="D1743">
        <f>YEAR(cukier9[[#This Row],[data]])</f>
        <v>2013</v>
      </c>
    </row>
    <row r="1744" spans="1:4" x14ac:dyDescent="0.25">
      <c r="A1744" s="1">
        <v>41322</v>
      </c>
      <c r="B1744" t="s">
        <v>52</v>
      </c>
      <c r="C1744">
        <v>200</v>
      </c>
      <c r="D1744">
        <f>YEAR(cukier9[[#This Row],[data]])</f>
        <v>2013</v>
      </c>
    </row>
    <row r="1745" spans="1:4" x14ac:dyDescent="0.25">
      <c r="A1745" s="1">
        <v>41323</v>
      </c>
      <c r="B1745" t="s">
        <v>5</v>
      </c>
      <c r="C1745">
        <v>429</v>
      </c>
      <c r="D1745">
        <f>YEAR(cukier9[[#This Row],[data]])</f>
        <v>2013</v>
      </c>
    </row>
    <row r="1746" spans="1:4" x14ac:dyDescent="0.25">
      <c r="A1746" s="1">
        <v>41324</v>
      </c>
      <c r="B1746" t="s">
        <v>12</v>
      </c>
      <c r="C1746">
        <v>183</v>
      </c>
      <c r="D1746">
        <f>YEAR(cukier9[[#This Row],[data]])</f>
        <v>2013</v>
      </c>
    </row>
    <row r="1747" spans="1:4" x14ac:dyDescent="0.25">
      <c r="A1747" s="1">
        <v>41325</v>
      </c>
      <c r="B1747" t="s">
        <v>10</v>
      </c>
      <c r="C1747">
        <v>26</v>
      </c>
      <c r="D1747">
        <f>YEAR(cukier9[[#This Row],[data]])</f>
        <v>2013</v>
      </c>
    </row>
    <row r="1748" spans="1:4" x14ac:dyDescent="0.25">
      <c r="A1748" s="1">
        <v>41326</v>
      </c>
      <c r="B1748" t="s">
        <v>180</v>
      </c>
      <c r="C1748">
        <v>2</v>
      </c>
      <c r="D1748">
        <f>YEAR(cukier9[[#This Row],[data]])</f>
        <v>2013</v>
      </c>
    </row>
    <row r="1749" spans="1:4" x14ac:dyDescent="0.25">
      <c r="A1749" s="1">
        <v>41328</v>
      </c>
      <c r="B1749" t="s">
        <v>7</v>
      </c>
      <c r="C1749">
        <v>174</v>
      </c>
      <c r="D1749">
        <f>YEAR(cukier9[[#This Row],[data]])</f>
        <v>2013</v>
      </c>
    </row>
    <row r="1750" spans="1:4" x14ac:dyDescent="0.25">
      <c r="A1750" s="1">
        <v>41329</v>
      </c>
      <c r="B1750" t="s">
        <v>52</v>
      </c>
      <c r="C1750">
        <v>98</v>
      </c>
      <c r="D1750">
        <f>YEAR(cukier9[[#This Row],[data]])</f>
        <v>2013</v>
      </c>
    </row>
    <row r="1751" spans="1:4" x14ac:dyDescent="0.25">
      <c r="A1751" s="1">
        <v>41329</v>
      </c>
      <c r="B1751" t="s">
        <v>185</v>
      </c>
      <c r="C1751">
        <v>11</v>
      </c>
      <c r="D1751">
        <f>YEAR(cukier9[[#This Row],[data]])</f>
        <v>2013</v>
      </c>
    </row>
    <row r="1752" spans="1:4" x14ac:dyDescent="0.25">
      <c r="A1752" s="1">
        <v>41332</v>
      </c>
      <c r="B1752" t="s">
        <v>28</v>
      </c>
      <c r="C1752">
        <v>58</v>
      </c>
      <c r="D1752">
        <f>YEAR(cukier9[[#This Row],[data]])</f>
        <v>2013</v>
      </c>
    </row>
    <row r="1753" spans="1:4" x14ac:dyDescent="0.25">
      <c r="A1753" s="1">
        <v>41336</v>
      </c>
      <c r="B1753" t="s">
        <v>15</v>
      </c>
      <c r="C1753">
        <v>17</v>
      </c>
      <c r="D1753">
        <f>YEAR(cukier9[[#This Row],[data]])</f>
        <v>2013</v>
      </c>
    </row>
    <row r="1754" spans="1:4" x14ac:dyDescent="0.25">
      <c r="A1754" s="1">
        <v>41337</v>
      </c>
      <c r="B1754" t="s">
        <v>17</v>
      </c>
      <c r="C1754">
        <v>143</v>
      </c>
      <c r="D1754">
        <f>YEAR(cukier9[[#This Row],[data]])</f>
        <v>2013</v>
      </c>
    </row>
    <row r="1755" spans="1:4" x14ac:dyDescent="0.25">
      <c r="A1755" s="1">
        <v>41339</v>
      </c>
      <c r="B1755" t="s">
        <v>52</v>
      </c>
      <c r="C1755">
        <v>108</v>
      </c>
      <c r="D1755">
        <f>YEAR(cukier9[[#This Row],[data]])</f>
        <v>2013</v>
      </c>
    </row>
    <row r="1756" spans="1:4" x14ac:dyDescent="0.25">
      <c r="A1756" s="1">
        <v>41346</v>
      </c>
      <c r="B1756" t="s">
        <v>102</v>
      </c>
      <c r="C1756">
        <v>424</v>
      </c>
      <c r="D1756">
        <f>YEAR(cukier9[[#This Row],[data]])</f>
        <v>2013</v>
      </c>
    </row>
    <row r="1757" spans="1:4" x14ac:dyDescent="0.25">
      <c r="A1757" s="1">
        <v>41351</v>
      </c>
      <c r="B1757" t="s">
        <v>221</v>
      </c>
      <c r="C1757">
        <v>9</v>
      </c>
      <c r="D1757">
        <f>YEAR(cukier9[[#This Row],[data]])</f>
        <v>2013</v>
      </c>
    </row>
    <row r="1758" spans="1:4" x14ac:dyDescent="0.25">
      <c r="A1758" s="1">
        <v>41352</v>
      </c>
      <c r="B1758" t="s">
        <v>28</v>
      </c>
      <c r="C1758">
        <v>135</v>
      </c>
      <c r="D1758">
        <f>YEAR(cukier9[[#This Row],[data]])</f>
        <v>2013</v>
      </c>
    </row>
    <row r="1759" spans="1:4" x14ac:dyDescent="0.25">
      <c r="A1759" s="1">
        <v>41356</v>
      </c>
      <c r="B1759" t="s">
        <v>14</v>
      </c>
      <c r="C1759">
        <v>202</v>
      </c>
      <c r="D1759">
        <f>YEAR(cukier9[[#This Row],[data]])</f>
        <v>2013</v>
      </c>
    </row>
    <row r="1760" spans="1:4" x14ac:dyDescent="0.25">
      <c r="A1760" s="1">
        <v>41357</v>
      </c>
      <c r="B1760" t="s">
        <v>45</v>
      </c>
      <c r="C1760">
        <v>459</v>
      </c>
      <c r="D1760">
        <f>YEAR(cukier9[[#This Row],[data]])</f>
        <v>2013</v>
      </c>
    </row>
    <row r="1761" spans="1:4" x14ac:dyDescent="0.25">
      <c r="A1761" s="1">
        <v>41361</v>
      </c>
      <c r="B1761" t="s">
        <v>58</v>
      </c>
      <c r="C1761">
        <v>107</v>
      </c>
      <c r="D1761">
        <f>YEAR(cukier9[[#This Row],[data]])</f>
        <v>2013</v>
      </c>
    </row>
    <row r="1762" spans="1:4" x14ac:dyDescent="0.25">
      <c r="A1762" s="1">
        <v>41362</v>
      </c>
      <c r="B1762" t="s">
        <v>35</v>
      </c>
      <c r="C1762">
        <v>37</v>
      </c>
      <c r="D1762">
        <f>YEAR(cukier9[[#This Row],[data]])</f>
        <v>2013</v>
      </c>
    </row>
    <row r="1763" spans="1:4" x14ac:dyDescent="0.25">
      <c r="A1763" s="1">
        <v>41363</v>
      </c>
      <c r="B1763" t="s">
        <v>61</v>
      </c>
      <c r="C1763">
        <v>43</v>
      </c>
      <c r="D1763">
        <f>YEAR(cukier9[[#This Row],[data]])</f>
        <v>2013</v>
      </c>
    </row>
    <row r="1764" spans="1:4" x14ac:dyDescent="0.25">
      <c r="A1764" s="1">
        <v>41365</v>
      </c>
      <c r="B1764" t="s">
        <v>9</v>
      </c>
      <c r="C1764">
        <v>352</v>
      </c>
      <c r="D1764">
        <f>YEAR(cukier9[[#This Row],[data]])</f>
        <v>2013</v>
      </c>
    </row>
    <row r="1765" spans="1:4" x14ac:dyDescent="0.25">
      <c r="A1765" s="1">
        <v>41368</v>
      </c>
      <c r="B1765" t="s">
        <v>18</v>
      </c>
      <c r="C1765">
        <v>94</v>
      </c>
      <c r="D1765">
        <f>YEAR(cukier9[[#This Row],[data]])</f>
        <v>2013</v>
      </c>
    </row>
    <row r="1766" spans="1:4" x14ac:dyDescent="0.25">
      <c r="A1766" s="1">
        <v>41368</v>
      </c>
      <c r="B1766" t="s">
        <v>66</v>
      </c>
      <c r="C1766">
        <v>112</v>
      </c>
      <c r="D1766">
        <f>YEAR(cukier9[[#This Row],[data]])</f>
        <v>2013</v>
      </c>
    </row>
    <row r="1767" spans="1:4" x14ac:dyDescent="0.25">
      <c r="A1767" s="1">
        <v>41369</v>
      </c>
      <c r="B1767" t="s">
        <v>61</v>
      </c>
      <c r="C1767">
        <v>136</v>
      </c>
      <c r="D1767">
        <f>YEAR(cukier9[[#This Row],[data]])</f>
        <v>2013</v>
      </c>
    </row>
    <row r="1768" spans="1:4" x14ac:dyDescent="0.25">
      <c r="A1768" s="1">
        <v>41370</v>
      </c>
      <c r="B1768" t="s">
        <v>78</v>
      </c>
      <c r="C1768">
        <v>56</v>
      </c>
      <c r="D1768">
        <f>YEAR(cukier9[[#This Row],[data]])</f>
        <v>2013</v>
      </c>
    </row>
    <row r="1769" spans="1:4" x14ac:dyDescent="0.25">
      <c r="A1769" s="1">
        <v>41372</v>
      </c>
      <c r="B1769" t="s">
        <v>14</v>
      </c>
      <c r="C1769">
        <v>286</v>
      </c>
      <c r="D1769">
        <f>YEAR(cukier9[[#This Row],[data]])</f>
        <v>2013</v>
      </c>
    </row>
    <row r="1770" spans="1:4" x14ac:dyDescent="0.25">
      <c r="A1770" s="1">
        <v>41373</v>
      </c>
      <c r="B1770" t="s">
        <v>7</v>
      </c>
      <c r="C1770">
        <v>296</v>
      </c>
      <c r="D1770">
        <f>YEAR(cukier9[[#This Row],[data]])</f>
        <v>2013</v>
      </c>
    </row>
    <row r="1771" spans="1:4" x14ac:dyDescent="0.25">
      <c r="A1771" s="1">
        <v>41373</v>
      </c>
      <c r="B1771" t="s">
        <v>25</v>
      </c>
      <c r="C1771">
        <v>81</v>
      </c>
      <c r="D1771">
        <f>YEAR(cukier9[[#This Row],[data]])</f>
        <v>2013</v>
      </c>
    </row>
    <row r="1772" spans="1:4" x14ac:dyDescent="0.25">
      <c r="A1772" s="1">
        <v>41374</v>
      </c>
      <c r="B1772" t="s">
        <v>14</v>
      </c>
      <c r="C1772">
        <v>231</v>
      </c>
      <c r="D1772">
        <f>YEAR(cukier9[[#This Row],[data]])</f>
        <v>2013</v>
      </c>
    </row>
    <row r="1773" spans="1:4" x14ac:dyDescent="0.25">
      <c r="A1773" s="1">
        <v>41375</v>
      </c>
      <c r="B1773" t="s">
        <v>17</v>
      </c>
      <c r="C1773">
        <v>149</v>
      </c>
      <c r="D1773">
        <f>YEAR(cukier9[[#This Row],[data]])</f>
        <v>2013</v>
      </c>
    </row>
    <row r="1774" spans="1:4" x14ac:dyDescent="0.25">
      <c r="A1774" s="1">
        <v>41375</v>
      </c>
      <c r="B1774" t="s">
        <v>132</v>
      </c>
      <c r="C1774">
        <v>3</v>
      </c>
      <c r="D1774">
        <f>YEAR(cukier9[[#This Row],[data]])</f>
        <v>2013</v>
      </c>
    </row>
    <row r="1775" spans="1:4" x14ac:dyDescent="0.25">
      <c r="A1775" s="1">
        <v>41376</v>
      </c>
      <c r="B1775" t="s">
        <v>14</v>
      </c>
      <c r="C1775">
        <v>311</v>
      </c>
      <c r="D1775">
        <f>YEAR(cukier9[[#This Row],[data]])</f>
        <v>2013</v>
      </c>
    </row>
    <row r="1776" spans="1:4" x14ac:dyDescent="0.25">
      <c r="A1776" s="1">
        <v>41379</v>
      </c>
      <c r="B1776" t="s">
        <v>66</v>
      </c>
      <c r="C1776">
        <v>121</v>
      </c>
      <c r="D1776">
        <f>YEAR(cukier9[[#This Row],[data]])</f>
        <v>2013</v>
      </c>
    </row>
    <row r="1777" spans="1:4" x14ac:dyDescent="0.25">
      <c r="A1777" s="1">
        <v>41380</v>
      </c>
      <c r="B1777" t="s">
        <v>153</v>
      </c>
      <c r="C1777">
        <v>15</v>
      </c>
      <c r="D1777">
        <f>YEAR(cukier9[[#This Row],[data]])</f>
        <v>2013</v>
      </c>
    </row>
    <row r="1778" spans="1:4" x14ac:dyDescent="0.25">
      <c r="A1778" s="1">
        <v>41381</v>
      </c>
      <c r="B1778" t="s">
        <v>136</v>
      </c>
      <c r="C1778">
        <v>14</v>
      </c>
      <c r="D1778">
        <f>YEAR(cukier9[[#This Row],[data]])</f>
        <v>2013</v>
      </c>
    </row>
    <row r="1779" spans="1:4" x14ac:dyDescent="0.25">
      <c r="A1779" s="1">
        <v>41381</v>
      </c>
      <c r="B1779" t="s">
        <v>7</v>
      </c>
      <c r="C1779">
        <v>240</v>
      </c>
      <c r="D1779">
        <f>YEAR(cukier9[[#This Row],[data]])</f>
        <v>2013</v>
      </c>
    </row>
    <row r="1780" spans="1:4" x14ac:dyDescent="0.25">
      <c r="A1780" s="1">
        <v>41383</v>
      </c>
      <c r="B1780" t="s">
        <v>56</v>
      </c>
      <c r="C1780">
        <v>12</v>
      </c>
      <c r="D1780">
        <f>YEAR(cukier9[[#This Row],[data]])</f>
        <v>2013</v>
      </c>
    </row>
    <row r="1781" spans="1:4" x14ac:dyDescent="0.25">
      <c r="A1781" s="1">
        <v>41385</v>
      </c>
      <c r="B1781" t="s">
        <v>199</v>
      </c>
      <c r="C1781">
        <v>1</v>
      </c>
      <c r="D1781">
        <f>YEAR(cukier9[[#This Row],[data]])</f>
        <v>2013</v>
      </c>
    </row>
    <row r="1782" spans="1:4" x14ac:dyDescent="0.25">
      <c r="A1782" s="1">
        <v>41388</v>
      </c>
      <c r="B1782" t="s">
        <v>232</v>
      </c>
      <c r="C1782">
        <v>12</v>
      </c>
      <c r="D1782">
        <f>YEAR(cukier9[[#This Row],[data]])</f>
        <v>2013</v>
      </c>
    </row>
    <row r="1783" spans="1:4" x14ac:dyDescent="0.25">
      <c r="A1783" s="1">
        <v>41391</v>
      </c>
      <c r="B1783" t="s">
        <v>18</v>
      </c>
      <c r="C1783">
        <v>190</v>
      </c>
      <c r="D1783">
        <f>YEAR(cukier9[[#This Row],[data]])</f>
        <v>2013</v>
      </c>
    </row>
    <row r="1784" spans="1:4" x14ac:dyDescent="0.25">
      <c r="A1784" s="1">
        <v>41392</v>
      </c>
      <c r="B1784" t="s">
        <v>63</v>
      </c>
      <c r="C1784">
        <v>179</v>
      </c>
      <c r="D1784">
        <f>YEAR(cukier9[[#This Row],[data]])</f>
        <v>2013</v>
      </c>
    </row>
    <row r="1785" spans="1:4" x14ac:dyDescent="0.25">
      <c r="A1785" s="1">
        <v>41394</v>
      </c>
      <c r="B1785" t="s">
        <v>22</v>
      </c>
      <c r="C1785">
        <v>106</v>
      </c>
      <c r="D1785">
        <f>YEAR(cukier9[[#This Row],[data]])</f>
        <v>2013</v>
      </c>
    </row>
    <row r="1786" spans="1:4" x14ac:dyDescent="0.25">
      <c r="A1786" s="1">
        <v>41396</v>
      </c>
      <c r="B1786" t="s">
        <v>7</v>
      </c>
      <c r="C1786">
        <v>267</v>
      </c>
      <c r="D1786">
        <f>YEAR(cukier9[[#This Row],[data]])</f>
        <v>2013</v>
      </c>
    </row>
    <row r="1787" spans="1:4" x14ac:dyDescent="0.25">
      <c r="A1787" s="1">
        <v>41396</v>
      </c>
      <c r="B1787" t="s">
        <v>123</v>
      </c>
      <c r="C1787">
        <v>66</v>
      </c>
      <c r="D1787">
        <f>YEAR(cukier9[[#This Row],[data]])</f>
        <v>2013</v>
      </c>
    </row>
    <row r="1788" spans="1:4" x14ac:dyDescent="0.25">
      <c r="A1788" s="1">
        <v>41398</v>
      </c>
      <c r="B1788" t="s">
        <v>14</v>
      </c>
      <c r="C1788">
        <v>471</v>
      </c>
      <c r="D1788">
        <f>YEAR(cukier9[[#This Row],[data]])</f>
        <v>2013</v>
      </c>
    </row>
    <row r="1789" spans="1:4" x14ac:dyDescent="0.25">
      <c r="A1789" s="1">
        <v>41399</v>
      </c>
      <c r="B1789" t="s">
        <v>60</v>
      </c>
      <c r="C1789">
        <v>5</v>
      </c>
      <c r="D1789">
        <f>YEAR(cukier9[[#This Row],[data]])</f>
        <v>2013</v>
      </c>
    </row>
    <row r="1790" spans="1:4" x14ac:dyDescent="0.25">
      <c r="A1790" s="1">
        <v>41401</v>
      </c>
      <c r="B1790" t="s">
        <v>221</v>
      </c>
      <c r="C1790">
        <v>11</v>
      </c>
      <c r="D1790">
        <f>YEAR(cukier9[[#This Row],[data]])</f>
        <v>2013</v>
      </c>
    </row>
    <row r="1791" spans="1:4" x14ac:dyDescent="0.25">
      <c r="A1791" s="1">
        <v>41403</v>
      </c>
      <c r="B1791" t="s">
        <v>71</v>
      </c>
      <c r="C1791">
        <v>103</v>
      </c>
      <c r="D1791">
        <f>YEAR(cukier9[[#This Row],[data]])</f>
        <v>2013</v>
      </c>
    </row>
    <row r="1792" spans="1:4" x14ac:dyDescent="0.25">
      <c r="A1792" s="1">
        <v>41403</v>
      </c>
      <c r="B1792" t="s">
        <v>19</v>
      </c>
      <c r="C1792">
        <v>92</v>
      </c>
      <c r="D1792">
        <f>YEAR(cukier9[[#This Row],[data]])</f>
        <v>2013</v>
      </c>
    </row>
    <row r="1793" spans="1:4" x14ac:dyDescent="0.25">
      <c r="A1793" s="1">
        <v>41405</v>
      </c>
      <c r="B1793" t="s">
        <v>10</v>
      </c>
      <c r="C1793">
        <v>115</v>
      </c>
      <c r="D1793">
        <f>YEAR(cukier9[[#This Row],[data]])</f>
        <v>2013</v>
      </c>
    </row>
    <row r="1794" spans="1:4" x14ac:dyDescent="0.25">
      <c r="A1794" s="1">
        <v>41406</v>
      </c>
      <c r="B1794" t="s">
        <v>52</v>
      </c>
      <c r="C1794">
        <v>62</v>
      </c>
      <c r="D1794">
        <f>YEAR(cukier9[[#This Row],[data]])</f>
        <v>2013</v>
      </c>
    </row>
    <row r="1795" spans="1:4" x14ac:dyDescent="0.25">
      <c r="A1795" s="1">
        <v>41406</v>
      </c>
      <c r="B1795" t="s">
        <v>5</v>
      </c>
      <c r="C1795">
        <v>420</v>
      </c>
      <c r="D1795">
        <f>YEAR(cukier9[[#This Row],[data]])</f>
        <v>2013</v>
      </c>
    </row>
    <row r="1796" spans="1:4" x14ac:dyDescent="0.25">
      <c r="A1796" s="1">
        <v>41406</v>
      </c>
      <c r="B1796" t="s">
        <v>30</v>
      </c>
      <c r="C1796">
        <v>81</v>
      </c>
      <c r="D1796">
        <f>YEAR(cukier9[[#This Row],[data]])</f>
        <v>2013</v>
      </c>
    </row>
    <row r="1797" spans="1:4" x14ac:dyDescent="0.25">
      <c r="A1797" s="1">
        <v>41407</v>
      </c>
      <c r="B1797" t="s">
        <v>9</v>
      </c>
      <c r="C1797">
        <v>412</v>
      </c>
      <c r="D1797">
        <f>YEAR(cukier9[[#This Row],[data]])</f>
        <v>2013</v>
      </c>
    </row>
    <row r="1798" spans="1:4" x14ac:dyDescent="0.25">
      <c r="A1798" s="1">
        <v>41409</v>
      </c>
      <c r="B1798" t="s">
        <v>45</v>
      </c>
      <c r="C1798">
        <v>377</v>
      </c>
      <c r="D1798">
        <f>YEAR(cukier9[[#This Row],[data]])</f>
        <v>2013</v>
      </c>
    </row>
    <row r="1799" spans="1:4" x14ac:dyDescent="0.25">
      <c r="A1799" s="1">
        <v>41414</v>
      </c>
      <c r="B1799" t="s">
        <v>45</v>
      </c>
      <c r="C1799">
        <v>461</v>
      </c>
      <c r="D1799">
        <f>YEAR(cukier9[[#This Row],[data]])</f>
        <v>2013</v>
      </c>
    </row>
    <row r="1800" spans="1:4" x14ac:dyDescent="0.25">
      <c r="A1800" s="1">
        <v>41414</v>
      </c>
      <c r="B1800" t="s">
        <v>71</v>
      </c>
      <c r="C1800">
        <v>138</v>
      </c>
      <c r="D1800">
        <f>YEAR(cukier9[[#This Row],[data]])</f>
        <v>2013</v>
      </c>
    </row>
    <row r="1801" spans="1:4" x14ac:dyDescent="0.25">
      <c r="A1801" s="1">
        <v>41418</v>
      </c>
      <c r="B1801" t="s">
        <v>47</v>
      </c>
      <c r="C1801">
        <v>17</v>
      </c>
      <c r="D1801">
        <f>YEAR(cukier9[[#This Row],[data]])</f>
        <v>2013</v>
      </c>
    </row>
    <row r="1802" spans="1:4" x14ac:dyDescent="0.25">
      <c r="A1802" s="1">
        <v>41422</v>
      </c>
      <c r="B1802" t="s">
        <v>197</v>
      </c>
      <c r="C1802">
        <v>8</v>
      </c>
      <c r="D1802">
        <f>YEAR(cukier9[[#This Row],[data]])</f>
        <v>2013</v>
      </c>
    </row>
    <row r="1803" spans="1:4" x14ac:dyDescent="0.25">
      <c r="A1803" s="1">
        <v>41424</v>
      </c>
      <c r="B1803" t="s">
        <v>9</v>
      </c>
      <c r="C1803">
        <v>448</v>
      </c>
      <c r="D1803">
        <f>YEAR(cukier9[[#This Row],[data]])</f>
        <v>2013</v>
      </c>
    </row>
    <row r="1804" spans="1:4" x14ac:dyDescent="0.25">
      <c r="A1804" s="1">
        <v>41426</v>
      </c>
      <c r="B1804" t="s">
        <v>9</v>
      </c>
      <c r="C1804">
        <v>240</v>
      </c>
      <c r="D1804">
        <f>YEAR(cukier9[[#This Row],[data]])</f>
        <v>2013</v>
      </c>
    </row>
    <row r="1805" spans="1:4" x14ac:dyDescent="0.25">
      <c r="A1805" s="1">
        <v>41427</v>
      </c>
      <c r="B1805" t="s">
        <v>22</v>
      </c>
      <c r="C1805">
        <v>388</v>
      </c>
      <c r="D1805">
        <f>YEAR(cukier9[[#This Row],[data]])</f>
        <v>2013</v>
      </c>
    </row>
    <row r="1806" spans="1:4" x14ac:dyDescent="0.25">
      <c r="A1806" s="1">
        <v>41429</v>
      </c>
      <c r="B1806" t="s">
        <v>7</v>
      </c>
      <c r="C1806">
        <v>455</v>
      </c>
      <c r="D1806">
        <f>YEAR(cukier9[[#This Row],[data]])</f>
        <v>2013</v>
      </c>
    </row>
    <row r="1807" spans="1:4" x14ac:dyDescent="0.25">
      <c r="A1807" s="1">
        <v>41429</v>
      </c>
      <c r="B1807" t="s">
        <v>17</v>
      </c>
      <c r="C1807">
        <v>269</v>
      </c>
      <c r="D1807">
        <f>YEAR(cukier9[[#This Row],[data]])</f>
        <v>2013</v>
      </c>
    </row>
    <row r="1808" spans="1:4" x14ac:dyDescent="0.25">
      <c r="A1808" s="1">
        <v>41432</v>
      </c>
      <c r="B1808" t="s">
        <v>6</v>
      </c>
      <c r="C1808">
        <v>81</v>
      </c>
      <c r="D1808">
        <f>YEAR(cukier9[[#This Row],[data]])</f>
        <v>2013</v>
      </c>
    </row>
    <row r="1809" spans="1:4" x14ac:dyDescent="0.25">
      <c r="A1809" s="1">
        <v>41432</v>
      </c>
      <c r="B1809" t="s">
        <v>10</v>
      </c>
      <c r="C1809">
        <v>99</v>
      </c>
      <c r="D1809">
        <f>YEAR(cukier9[[#This Row],[data]])</f>
        <v>2013</v>
      </c>
    </row>
    <row r="1810" spans="1:4" x14ac:dyDescent="0.25">
      <c r="A1810" s="1">
        <v>41437</v>
      </c>
      <c r="B1810" t="s">
        <v>170</v>
      </c>
      <c r="C1810">
        <v>12</v>
      </c>
      <c r="D1810">
        <f>YEAR(cukier9[[#This Row],[data]])</f>
        <v>2013</v>
      </c>
    </row>
    <row r="1811" spans="1:4" x14ac:dyDescent="0.25">
      <c r="A1811" s="1">
        <v>41439</v>
      </c>
      <c r="B1811" t="s">
        <v>233</v>
      </c>
      <c r="C1811">
        <v>4</v>
      </c>
      <c r="D1811">
        <f>YEAR(cukier9[[#This Row],[data]])</f>
        <v>2013</v>
      </c>
    </row>
    <row r="1812" spans="1:4" x14ac:dyDescent="0.25">
      <c r="A1812" s="1">
        <v>41440</v>
      </c>
      <c r="B1812" t="s">
        <v>30</v>
      </c>
      <c r="C1812">
        <v>132</v>
      </c>
      <c r="D1812">
        <f>YEAR(cukier9[[#This Row],[data]])</f>
        <v>2013</v>
      </c>
    </row>
    <row r="1813" spans="1:4" x14ac:dyDescent="0.25">
      <c r="A1813" s="1">
        <v>41441</v>
      </c>
      <c r="B1813" t="s">
        <v>131</v>
      </c>
      <c r="C1813">
        <v>83</v>
      </c>
      <c r="D1813">
        <f>YEAR(cukier9[[#This Row],[data]])</f>
        <v>2013</v>
      </c>
    </row>
    <row r="1814" spans="1:4" x14ac:dyDescent="0.25">
      <c r="A1814" s="1">
        <v>41446</v>
      </c>
      <c r="B1814" t="s">
        <v>205</v>
      </c>
      <c r="C1814">
        <v>7</v>
      </c>
      <c r="D1814">
        <f>YEAR(cukier9[[#This Row],[data]])</f>
        <v>2013</v>
      </c>
    </row>
    <row r="1815" spans="1:4" x14ac:dyDescent="0.25">
      <c r="A1815" s="1">
        <v>41447</v>
      </c>
      <c r="B1815" t="s">
        <v>154</v>
      </c>
      <c r="C1815">
        <v>9</v>
      </c>
      <c r="D1815">
        <f>YEAR(cukier9[[#This Row],[data]])</f>
        <v>2013</v>
      </c>
    </row>
    <row r="1816" spans="1:4" x14ac:dyDescent="0.25">
      <c r="A1816" s="1">
        <v>41448</v>
      </c>
      <c r="B1816" t="s">
        <v>159</v>
      </c>
      <c r="C1816">
        <v>20</v>
      </c>
      <c r="D1816">
        <f>YEAR(cukier9[[#This Row],[data]])</f>
        <v>2013</v>
      </c>
    </row>
    <row r="1817" spans="1:4" x14ac:dyDescent="0.25">
      <c r="A1817" s="1">
        <v>41449</v>
      </c>
      <c r="B1817" t="s">
        <v>10</v>
      </c>
      <c r="C1817">
        <v>98</v>
      </c>
      <c r="D1817">
        <f>YEAR(cukier9[[#This Row],[data]])</f>
        <v>2013</v>
      </c>
    </row>
    <row r="1818" spans="1:4" x14ac:dyDescent="0.25">
      <c r="A1818" s="1">
        <v>41451</v>
      </c>
      <c r="B1818" t="s">
        <v>137</v>
      </c>
      <c r="C1818">
        <v>9</v>
      </c>
      <c r="D1818">
        <f>YEAR(cukier9[[#This Row],[data]])</f>
        <v>2013</v>
      </c>
    </row>
    <row r="1819" spans="1:4" x14ac:dyDescent="0.25">
      <c r="A1819" s="1">
        <v>41453</v>
      </c>
      <c r="B1819" t="s">
        <v>64</v>
      </c>
      <c r="C1819">
        <v>13</v>
      </c>
      <c r="D1819">
        <f>YEAR(cukier9[[#This Row],[data]])</f>
        <v>2013</v>
      </c>
    </row>
    <row r="1820" spans="1:4" x14ac:dyDescent="0.25">
      <c r="A1820" s="1">
        <v>41456</v>
      </c>
      <c r="B1820" t="s">
        <v>50</v>
      </c>
      <c r="C1820">
        <v>424</v>
      </c>
      <c r="D1820">
        <f>YEAR(cukier9[[#This Row],[data]])</f>
        <v>2013</v>
      </c>
    </row>
    <row r="1821" spans="1:4" x14ac:dyDescent="0.25">
      <c r="A1821" s="1">
        <v>41461</v>
      </c>
      <c r="B1821" t="s">
        <v>39</v>
      </c>
      <c r="C1821">
        <v>31</v>
      </c>
      <c r="D1821">
        <f>YEAR(cukier9[[#This Row],[data]])</f>
        <v>2013</v>
      </c>
    </row>
    <row r="1822" spans="1:4" x14ac:dyDescent="0.25">
      <c r="A1822" s="1">
        <v>41462</v>
      </c>
      <c r="B1822" t="s">
        <v>57</v>
      </c>
      <c r="C1822">
        <v>18</v>
      </c>
      <c r="D1822">
        <f>YEAR(cukier9[[#This Row],[data]])</f>
        <v>2013</v>
      </c>
    </row>
    <row r="1823" spans="1:4" x14ac:dyDescent="0.25">
      <c r="A1823" s="1">
        <v>41464</v>
      </c>
      <c r="B1823" t="s">
        <v>6</v>
      </c>
      <c r="C1823">
        <v>172</v>
      </c>
      <c r="D1823">
        <f>YEAR(cukier9[[#This Row],[data]])</f>
        <v>2013</v>
      </c>
    </row>
    <row r="1824" spans="1:4" x14ac:dyDescent="0.25">
      <c r="A1824" s="1">
        <v>41464</v>
      </c>
      <c r="B1824" t="s">
        <v>45</v>
      </c>
      <c r="C1824">
        <v>373</v>
      </c>
      <c r="D1824">
        <f>YEAR(cukier9[[#This Row],[data]])</f>
        <v>2013</v>
      </c>
    </row>
    <row r="1825" spans="1:4" x14ac:dyDescent="0.25">
      <c r="A1825" s="1">
        <v>41465</v>
      </c>
      <c r="B1825" t="s">
        <v>17</v>
      </c>
      <c r="C1825">
        <v>299</v>
      </c>
      <c r="D1825">
        <f>YEAR(cukier9[[#This Row],[data]])</f>
        <v>2013</v>
      </c>
    </row>
    <row r="1826" spans="1:4" x14ac:dyDescent="0.25">
      <c r="A1826" s="1">
        <v>41471</v>
      </c>
      <c r="B1826" t="s">
        <v>37</v>
      </c>
      <c r="C1826">
        <v>20</v>
      </c>
      <c r="D1826">
        <f>YEAR(cukier9[[#This Row],[data]])</f>
        <v>2013</v>
      </c>
    </row>
    <row r="1827" spans="1:4" x14ac:dyDescent="0.25">
      <c r="A1827" s="1">
        <v>41472</v>
      </c>
      <c r="B1827" t="s">
        <v>69</v>
      </c>
      <c r="C1827">
        <v>89</v>
      </c>
      <c r="D1827">
        <f>YEAR(cukier9[[#This Row],[data]])</f>
        <v>2013</v>
      </c>
    </row>
    <row r="1828" spans="1:4" x14ac:dyDescent="0.25">
      <c r="A1828" s="1">
        <v>41472</v>
      </c>
      <c r="B1828" t="s">
        <v>35</v>
      </c>
      <c r="C1828">
        <v>60</v>
      </c>
      <c r="D1828">
        <f>YEAR(cukier9[[#This Row],[data]])</f>
        <v>2013</v>
      </c>
    </row>
    <row r="1829" spans="1:4" x14ac:dyDescent="0.25">
      <c r="A1829" s="1">
        <v>41475</v>
      </c>
      <c r="B1829" t="s">
        <v>3</v>
      </c>
      <c r="C1829">
        <v>5</v>
      </c>
      <c r="D1829">
        <f>YEAR(cukier9[[#This Row],[data]])</f>
        <v>2013</v>
      </c>
    </row>
    <row r="1830" spans="1:4" x14ac:dyDescent="0.25">
      <c r="A1830" s="1">
        <v>41476</v>
      </c>
      <c r="B1830" t="s">
        <v>102</v>
      </c>
      <c r="C1830">
        <v>125</v>
      </c>
      <c r="D1830">
        <f>YEAR(cukier9[[#This Row],[data]])</f>
        <v>2013</v>
      </c>
    </row>
    <row r="1831" spans="1:4" x14ac:dyDescent="0.25">
      <c r="A1831" s="1">
        <v>41476</v>
      </c>
      <c r="B1831" t="s">
        <v>12</v>
      </c>
      <c r="C1831">
        <v>177</v>
      </c>
      <c r="D1831">
        <f>YEAR(cukier9[[#This Row],[data]])</f>
        <v>2013</v>
      </c>
    </row>
    <row r="1832" spans="1:4" x14ac:dyDescent="0.25">
      <c r="A1832" s="1">
        <v>41477</v>
      </c>
      <c r="B1832" t="s">
        <v>20</v>
      </c>
      <c r="C1832">
        <v>58</v>
      </c>
      <c r="D1832">
        <f>YEAR(cukier9[[#This Row],[data]])</f>
        <v>2013</v>
      </c>
    </row>
    <row r="1833" spans="1:4" x14ac:dyDescent="0.25">
      <c r="A1833" s="1">
        <v>41478</v>
      </c>
      <c r="B1833" t="s">
        <v>19</v>
      </c>
      <c r="C1833">
        <v>174</v>
      </c>
      <c r="D1833">
        <f>YEAR(cukier9[[#This Row],[data]])</f>
        <v>2013</v>
      </c>
    </row>
    <row r="1834" spans="1:4" x14ac:dyDescent="0.25">
      <c r="A1834" s="1">
        <v>41479</v>
      </c>
      <c r="B1834" t="s">
        <v>7</v>
      </c>
      <c r="C1834">
        <v>485</v>
      </c>
      <c r="D1834">
        <f>YEAR(cukier9[[#This Row],[data]])</f>
        <v>2013</v>
      </c>
    </row>
    <row r="1835" spans="1:4" x14ac:dyDescent="0.25">
      <c r="A1835" s="1">
        <v>41481</v>
      </c>
      <c r="B1835" t="s">
        <v>232</v>
      </c>
      <c r="C1835">
        <v>7</v>
      </c>
      <c r="D1835">
        <f>YEAR(cukier9[[#This Row],[data]])</f>
        <v>2013</v>
      </c>
    </row>
    <row r="1836" spans="1:4" x14ac:dyDescent="0.25">
      <c r="A1836" s="1">
        <v>41482</v>
      </c>
      <c r="B1836" t="s">
        <v>9</v>
      </c>
      <c r="C1836">
        <v>109</v>
      </c>
      <c r="D1836">
        <f>YEAR(cukier9[[#This Row],[data]])</f>
        <v>2013</v>
      </c>
    </row>
    <row r="1837" spans="1:4" x14ac:dyDescent="0.25">
      <c r="A1837" s="1">
        <v>41485</v>
      </c>
      <c r="B1837" t="s">
        <v>6</v>
      </c>
      <c r="C1837">
        <v>116</v>
      </c>
      <c r="D1837">
        <f>YEAR(cukier9[[#This Row],[data]])</f>
        <v>2013</v>
      </c>
    </row>
    <row r="1838" spans="1:4" x14ac:dyDescent="0.25">
      <c r="A1838" s="1">
        <v>41486</v>
      </c>
      <c r="B1838" t="s">
        <v>39</v>
      </c>
      <c r="C1838">
        <v>125</v>
      </c>
      <c r="D1838">
        <f>YEAR(cukier9[[#This Row],[data]])</f>
        <v>2013</v>
      </c>
    </row>
    <row r="1839" spans="1:4" x14ac:dyDescent="0.25">
      <c r="A1839" s="1">
        <v>41486</v>
      </c>
      <c r="B1839" t="s">
        <v>222</v>
      </c>
      <c r="C1839">
        <v>15</v>
      </c>
      <c r="D1839">
        <f>YEAR(cukier9[[#This Row],[data]])</f>
        <v>2013</v>
      </c>
    </row>
    <row r="1840" spans="1:4" x14ac:dyDescent="0.25">
      <c r="A1840" s="1">
        <v>41488</v>
      </c>
      <c r="B1840" t="s">
        <v>177</v>
      </c>
      <c r="C1840">
        <v>4</v>
      </c>
      <c r="D1840">
        <f>YEAR(cukier9[[#This Row],[data]])</f>
        <v>2013</v>
      </c>
    </row>
    <row r="1841" spans="1:4" x14ac:dyDescent="0.25">
      <c r="A1841" s="1">
        <v>41489</v>
      </c>
      <c r="B1841" t="s">
        <v>144</v>
      </c>
      <c r="C1841">
        <v>13</v>
      </c>
      <c r="D1841">
        <f>YEAR(cukier9[[#This Row],[data]])</f>
        <v>2013</v>
      </c>
    </row>
    <row r="1842" spans="1:4" x14ac:dyDescent="0.25">
      <c r="A1842" s="1">
        <v>41491</v>
      </c>
      <c r="B1842" t="s">
        <v>102</v>
      </c>
      <c r="C1842">
        <v>338</v>
      </c>
      <c r="D1842">
        <f>YEAR(cukier9[[#This Row],[data]])</f>
        <v>2013</v>
      </c>
    </row>
    <row r="1843" spans="1:4" x14ac:dyDescent="0.25">
      <c r="A1843" s="1">
        <v>41492</v>
      </c>
      <c r="B1843" t="s">
        <v>167</v>
      </c>
      <c r="C1843">
        <v>2</v>
      </c>
      <c r="D1843">
        <f>YEAR(cukier9[[#This Row],[data]])</f>
        <v>2013</v>
      </c>
    </row>
    <row r="1844" spans="1:4" x14ac:dyDescent="0.25">
      <c r="A1844" s="1">
        <v>41493</v>
      </c>
      <c r="B1844" t="s">
        <v>37</v>
      </c>
      <c r="C1844">
        <v>108</v>
      </c>
      <c r="D1844">
        <f>YEAR(cukier9[[#This Row],[data]])</f>
        <v>2013</v>
      </c>
    </row>
    <row r="1845" spans="1:4" x14ac:dyDescent="0.25">
      <c r="A1845" s="1">
        <v>41494</v>
      </c>
      <c r="B1845" t="s">
        <v>61</v>
      </c>
      <c r="C1845">
        <v>119</v>
      </c>
      <c r="D1845">
        <f>YEAR(cukier9[[#This Row],[data]])</f>
        <v>2013</v>
      </c>
    </row>
    <row r="1846" spans="1:4" x14ac:dyDescent="0.25">
      <c r="A1846" s="1">
        <v>41495</v>
      </c>
      <c r="B1846" t="s">
        <v>7</v>
      </c>
      <c r="C1846">
        <v>385</v>
      </c>
      <c r="D1846">
        <f>YEAR(cukier9[[#This Row],[data]])</f>
        <v>2013</v>
      </c>
    </row>
    <row r="1847" spans="1:4" x14ac:dyDescent="0.25">
      <c r="A1847" s="1">
        <v>41495</v>
      </c>
      <c r="B1847" t="s">
        <v>45</v>
      </c>
      <c r="C1847">
        <v>239</v>
      </c>
      <c r="D1847">
        <f>YEAR(cukier9[[#This Row],[data]])</f>
        <v>2013</v>
      </c>
    </row>
    <row r="1848" spans="1:4" x14ac:dyDescent="0.25">
      <c r="A1848" s="1">
        <v>41498</v>
      </c>
      <c r="B1848" t="s">
        <v>229</v>
      </c>
      <c r="C1848">
        <v>8</v>
      </c>
      <c r="D1848">
        <f>YEAR(cukier9[[#This Row],[data]])</f>
        <v>2013</v>
      </c>
    </row>
    <row r="1849" spans="1:4" x14ac:dyDescent="0.25">
      <c r="A1849" s="1">
        <v>41499</v>
      </c>
      <c r="B1849" t="s">
        <v>17</v>
      </c>
      <c r="C1849">
        <v>219</v>
      </c>
      <c r="D1849">
        <f>YEAR(cukier9[[#This Row],[data]])</f>
        <v>2013</v>
      </c>
    </row>
    <row r="1850" spans="1:4" x14ac:dyDescent="0.25">
      <c r="A1850" s="1">
        <v>41503</v>
      </c>
      <c r="B1850" t="s">
        <v>25</v>
      </c>
      <c r="C1850">
        <v>40</v>
      </c>
      <c r="D1850">
        <f>YEAR(cukier9[[#This Row],[data]])</f>
        <v>2013</v>
      </c>
    </row>
    <row r="1851" spans="1:4" x14ac:dyDescent="0.25">
      <c r="A1851" s="1">
        <v>41503</v>
      </c>
      <c r="B1851" t="s">
        <v>102</v>
      </c>
      <c r="C1851">
        <v>166</v>
      </c>
      <c r="D1851">
        <f>YEAR(cukier9[[#This Row],[data]])</f>
        <v>2013</v>
      </c>
    </row>
    <row r="1852" spans="1:4" x14ac:dyDescent="0.25">
      <c r="A1852" s="1">
        <v>41504</v>
      </c>
      <c r="B1852" t="s">
        <v>66</v>
      </c>
      <c r="C1852">
        <v>168</v>
      </c>
      <c r="D1852">
        <f>YEAR(cukier9[[#This Row],[data]])</f>
        <v>2013</v>
      </c>
    </row>
    <row r="1853" spans="1:4" x14ac:dyDescent="0.25">
      <c r="A1853" s="1">
        <v>41505</v>
      </c>
      <c r="B1853" t="s">
        <v>131</v>
      </c>
      <c r="C1853">
        <v>96</v>
      </c>
      <c r="D1853">
        <f>YEAR(cukier9[[#This Row],[data]])</f>
        <v>2013</v>
      </c>
    </row>
    <row r="1854" spans="1:4" x14ac:dyDescent="0.25">
      <c r="A1854" s="1">
        <v>41506</v>
      </c>
      <c r="B1854" t="s">
        <v>10</v>
      </c>
      <c r="C1854">
        <v>23</v>
      </c>
      <c r="D1854">
        <f>YEAR(cukier9[[#This Row],[data]])</f>
        <v>2013</v>
      </c>
    </row>
    <row r="1855" spans="1:4" x14ac:dyDescent="0.25">
      <c r="A1855" s="1">
        <v>41509</v>
      </c>
      <c r="B1855" t="s">
        <v>177</v>
      </c>
      <c r="C1855">
        <v>8</v>
      </c>
      <c r="D1855">
        <f>YEAR(cukier9[[#This Row],[data]])</f>
        <v>2013</v>
      </c>
    </row>
    <row r="1856" spans="1:4" x14ac:dyDescent="0.25">
      <c r="A1856" s="1">
        <v>41509</v>
      </c>
      <c r="B1856" t="s">
        <v>106</v>
      </c>
      <c r="C1856">
        <v>1</v>
      </c>
      <c r="D1856">
        <f>YEAR(cukier9[[#This Row],[data]])</f>
        <v>2013</v>
      </c>
    </row>
    <row r="1857" spans="1:4" x14ac:dyDescent="0.25">
      <c r="A1857" s="1">
        <v>41509</v>
      </c>
      <c r="B1857" t="s">
        <v>15</v>
      </c>
      <c r="C1857">
        <v>4</v>
      </c>
      <c r="D1857">
        <f>YEAR(cukier9[[#This Row],[data]])</f>
        <v>2013</v>
      </c>
    </row>
    <row r="1858" spans="1:4" x14ac:dyDescent="0.25">
      <c r="A1858" s="1">
        <v>41512</v>
      </c>
      <c r="B1858" t="s">
        <v>120</v>
      </c>
      <c r="C1858">
        <v>170</v>
      </c>
      <c r="D1858">
        <f>YEAR(cukier9[[#This Row],[data]])</f>
        <v>2013</v>
      </c>
    </row>
    <row r="1859" spans="1:4" x14ac:dyDescent="0.25">
      <c r="A1859" s="1">
        <v>41514</v>
      </c>
      <c r="B1859" t="s">
        <v>45</v>
      </c>
      <c r="C1859">
        <v>193</v>
      </c>
      <c r="D1859">
        <f>YEAR(cukier9[[#This Row],[data]])</f>
        <v>2013</v>
      </c>
    </row>
    <row r="1860" spans="1:4" x14ac:dyDescent="0.25">
      <c r="A1860" s="1">
        <v>41517</v>
      </c>
      <c r="B1860" t="s">
        <v>234</v>
      </c>
      <c r="C1860">
        <v>5</v>
      </c>
      <c r="D1860">
        <f>YEAR(cukier9[[#This Row],[data]])</f>
        <v>2013</v>
      </c>
    </row>
    <row r="1861" spans="1:4" x14ac:dyDescent="0.25">
      <c r="A1861" s="1">
        <v>41520</v>
      </c>
      <c r="B1861" t="s">
        <v>62</v>
      </c>
      <c r="C1861">
        <v>5</v>
      </c>
      <c r="D1861">
        <f>YEAR(cukier9[[#This Row],[data]])</f>
        <v>2013</v>
      </c>
    </row>
    <row r="1862" spans="1:4" x14ac:dyDescent="0.25">
      <c r="A1862" s="1">
        <v>41520</v>
      </c>
      <c r="B1862" t="s">
        <v>64</v>
      </c>
      <c r="C1862">
        <v>15</v>
      </c>
      <c r="D1862">
        <f>YEAR(cukier9[[#This Row],[data]])</f>
        <v>2013</v>
      </c>
    </row>
    <row r="1863" spans="1:4" x14ac:dyDescent="0.25">
      <c r="A1863" s="1">
        <v>41525</v>
      </c>
      <c r="B1863" t="s">
        <v>109</v>
      </c>
      <c r="C1863">
        <v>14</v>
      </c>
      <c r="D1863">
        <f>YEAR(cukier9[[#This Row],[data]])</f>
        <v>2013</v>
      </c>
    </row>
    <row r="1864" spans="1:4" x14ac:dyDescent="0.25">
      <c r="A1864" s="1">
        <v>41525</v>
      </c>
      <c r="B1864" t="s">
        <v>37</v>
      </c>
      <c r="C1864">
        <v>96</v>
      </c>
      <c r="D1864">
        <f>YEAR(cukier9[[#This Row],[data]])</f>
        <v>2013</v>
      </c>
    </row>
    <row r="1865" spans="1:4" x14ac:dyDescent="0.25">
      <c r="A1865" s="1">
        <v>41529</v>
      </c>
      <c r="B1865" t="s">
        <v>162</v>
      </c>
      <c r="C1865">
        <v>1</v>
      </c>
      <c r="D1865">
        <f>YEAR(cukier9[[#This Row],[data]])</f>
        <v>2013</v>
      </c>
    </row>
    <row r="1866" spans="1:4" x14ac:dyDescent="0.25">
      <c r="A1866" s="1">
        <v>41533</v>
      </c>
      <c r="B1866" t="s">
        <v>69</v>
      </c>
      <c r="C1866">
        <v>164</v>
      </c>
      <c r="D1866">
        <f>YEAR(cukier9[[#This Row],[data]])</f>
        <v>2013</v>
      </c>
    </row>
    <row r="1867" spans="1:4" x14ac:dyDescent="0.25">
      <c r="A1867" s="1">
        <v>41534</v>
      </c>
      <c r="B1867" t="s">
        <v>22</v>
      </c>
      <c r="C1867">
        <v>105</v>
      </c>
      <c r="D1867">
        <f>YEAR(cukier9[[#This Row],[data]])</f>
        <v>2013</v>
      </c>
    </row>
    <row r="1868" spans="1:4" x14ac:dyDescent="0.25">
      <c r="A1868" s="1">
        <v>41536</v>
      </c>
      <c r="B1868" t="s">
        <v>210</v>
      </c>
      <c r="C1868">
        <v>17</v>
      </c>
      <c r="D1868">
        <f>YEAR(cukier9[[#This Row],[data]])</f>
        <v>2013</v>
      </c>
    </row>
    <row r="1869" spans="1:4" x14ac:dyDescent="0.25">
      <c r="A1869" s="1">
        <v>41538</v>
      </c>
      <c r="B1869" t="s">
        <v>200</v>
      </c>
      <c r="C1869">
        <v>5</v>
      </c>
      <c r="D1869">
        <f>YEAR(cukier9[[#This Row],[data]])</f>
        <v>2013</v>
      </c>
    </row>
    <row r="1870" spans="1:4" x14ac:dyDescent="0.25">
      <c r="A1870" s="1">
        <v>41543</v>
      </c>
      <c r="B1870" t="s">
        <v>45</v>
      </c>
      <c r="C1870">
        <v>212</v>
      </c>
      <c r="D1870">
        <f>YEAR(cukier9[[#This Row],[data]])</f>
        <v>2013</v>
      </c>
    </row>
    <row r="1871" spans="1:4" x14ac:dyDescent="0.25">
      <c r="A1871" s="1">
        <v>41543</v>
      </c>
      <c r="B1871" t="s">
        <v>9</v>
      </c>
      <c r="C1871">
        <v>128</v>
      </c>
      <c r="D1871">
        <f>YEAR(cukier9[[#This Row],[data]])</f>
        <v>2013</v>
      </c>
    </row>
    <row r="1872" spans="1:4" x14ac:dyDescent="0.25">
      <c r="A1872" s="1">
        <v>41543</v>
      </c>
      <c r="B1872" t="s">
        <v>28</v>
      </c>
      <c r="C1872">
        <v>147</v>
      </c>
      <c r="D1872">
        <f>YEAR(cukier9[[#This Row],[data]])</f>
        <v>2013</v>
      </c>
    </row>
    <row r="1873" spans="1:4" x14ac:dyDescent="0.25">
      <c r="A1873" s="1">
        <v>41544</v>
      </c>
      <c r="B1873" t="s">
        <v>14</v>
      </c>
      <c r="C1873">
        <v>436</v>
      </c>
      <c r="D1873">
        <f>YEAR(cukier9[[#This Row],[data]])</f>
        <v>2013</v>
      </c>
    </row>
    <row r="1874" spans="1:4" x14ac:dyDescent="0.25">
      <c r="A1874" s="1">
        <v>41545</v>
      </c>
      <c r="B1874" t="s">
        <v>235</v>
      </c>
      <c r="C1874">
        <v>4</v>
      </c>
      <c r="D1874">
        <f>YEAR(cukier9[[#This Row],[data]])</f>
        <v>2013</v>
      </c>
    </row>
    <row r="1875" spans="1:4" x14ac:dyDescent="0.25">
      <c r="A1875" s="1">
        <v>41545</v>
      </c>
      <c r="B1875" t="s">
        <v>154</v>
      </c>
      <c r="C1875">
        <v>4</v>
      </c>
      <c r="D1875">
        <f>YEAR(cukier9[[#This Row],[data]])</f>
        <v>2013</v>
      </c>
    </row>
    <row r="1876" spans="1:4" x14ac:dyDescent="0.25">
      <c r="A1876" s="1">
        <v>41551</v>
      </c>
      <c r="B1876" t="s">
        <v>131</v>
      </c>
      <c r="C1876">
        <v>78</v>
      </c>
      <c r="D1876">
        <f>YEAR(cukier9[[#This Row],[data]])</f>
        <v>2013</v>
      </c>
    </row>
    <row r="1877" spans="1:4" x14ac:dyDescent="0.25">
      <c r="A1877" s="1">
        <v>41558</v>
      </c>
      <c r="B1877" t="s">
        <v>10</v>
      </c>
      <c r="C1877">
        <v>159</v>
      </c>
      <c r="D1877">
        <f>YEAR(cukier9[[#This Row],[data]])</f>
        <v>2013</v>
      </c>
    </row>
    <row r="1878" spans="1:4" x14ac:dyDescent="0.25">
      <c r="A1878" s="1">
        <v>41558</v>
      </c>
      <c r="B1878" t="s">
        <v>8</v>
      </c>
      <c r="C1878">
        <v>103</v>
      </c>
      <c r="D1878">
        <f>YEAR(cukier9[[#This Row],[data]])</f>
        <v>2013</v>
      </c>
    </row>
    <row r="1879" spans="1:4" x14ac:dyDescent="0.25">
      <c r="A1879" s="1">
        <v>41559</v>
      </c>
      <c r="B1879" t="s">
        <v>52</v>
      </c>
      <c r="C1879">
        <v>57</v>
      </c>
      <c r="D1879">
        <f>YEAR(cukier9[[#This Row],[data]])</f>
        <v>2013</v>
      </c>
    </row>
    <row r="1880" spans="1:4" x14ac:dyDescent="0.25">
      <c r="A1880" s="1">
        <v>41559</v>
      </c>
      <c r="B1880" t="s">
        <v>20</v>
      </c>
      <c r="C1880">
        <v>121</v>
      </c>
      <c r="D1880">
        <f>YEAR(cukier9[[#This Row],[data]])</f>
        <v>2013</v>
      </c>
    </row>
    <row r="1881" spans="1:4" x14ac:dyDescent="0.25">
      <c r="A1881" s="1">
        <v>41559</v>
      </c>
      <c r="B1881" t="s">
        <v>77</v>
      </c>
      <c r="C1881">
        <v>14</v>
      </c>
      <c r="D1881">
        <f>YEAR(cukier9[[#This Row],[data]])</f>
        <v>2013</v>
      </c>
    </row>
    <row r="1882" spans="1:4" x14ac:dyDescent="0.25">
      <c r="A1882" s="1">
        <v>41560</v>
      </c>
      <c r="B1882" t="s">
        <v>44</v>
      </c>
      <c r="C1882">
        <v>2</v>
      </c>
      <c r="D1882">
        <f>YEAR(cukier9[[#This Row],[data]])</f>
        <v>2013</v>
      </c>
    </row>
    <row r="1883" spans="1:4" x14ac:dyDescent="0.25">
      <c r="A1883" s="1">
        <v>41560</v>
      </c>
      <c r="B1883" t="s">
        <v>53</v>
      </c>
      <c r="C1883">
        <v>19</v>
      </c>
      <c r="D1883">
        <f>YEAR(cukier9[[#This Row],[data]])</f>
        <v>2013</v>
      </c>
    </row>
    <row r="1884" spans="1:4" x14ac:dyDescent="0.25">
      <c r="A1884" s="1">
        <v>41561</v>
      </c>
      <c r="B1884" t="s">
        <v>236</v>
      </c>
      <c r="C1884">
        <v>20</v>
      </c>
      <c r="D1884">
        <f>YEAR(cukier9[[#This Row],[data]])</f>
        <v>2013</v>
      </c>
    </row>
    <row r="1885" spans="1:4" x14ac:dyDescent="0.25">
      <c r="A1885" s="1">
        <v>41562</v>
      </c>
      <c r="B1885" t="s">
        <v>14</v>
      </c>
      <c r="C1885">
        <v>367</v>
      </c>
      <c r="D1885">
        <f>YEAR(cukier9[[#This Row],[data]])</f>
        <v>2013</v>
      </c>
    </row>
    <row r="1886" spans="1:4" x14ac:dyDescent="0.25">
      <c r="A1886" s="1">
        <v>41562</v>
      </c>
      <c r="B1886" t="s">
        <v>9</v>
      </c>
      <c r="C1886">
        <v>458</v>
      </c>
      <c r="D1886">
        <f>YEAR(cukier9[[#This Row],[data]])</f>
        <v>2013</v>
      </c>
    </row>
    <row r="1887" spans="1:4" x14ac:dyDescent="0.25">
      <c r="A1887" s="1">
        <v>41563</v>
      </c>
      <c r="B1887" t="s">
        <v>45</v>
      </c>
      <c r="C1887">
        <v>100</v>
      </c>
      <c r="D1887">
        <f>YEAR(cukier9[[#This Row],[data]])</f>
        <v>2013</v>
      </c>
    </row>
    <row r="1888" spans="1:4" x14ac:dyDescent="0.25">
      <c r="A1888" s="1">
        <v>41563</v>
      </c>
      <c r="B1888" t="s">
        <v>6</v>
      </c>
      <c r="C1888">
        <v>62</v>
      </c>
      <c r="D1888">
        <f>YEAR(cukier9[[#This Row],[data]])</f>
        <v>2013</v>
      </c>
    </row>
    <row r="1889" spans="1:4" x14ac:dyDescent="0.25">
      <c r="A1889" s="1">
        <v>41567</v>
      </c>
      <c r="B1889" t="s">
        <v>6</v>
      </c>
      <c r="C1889">
        <v>184</v>
      </c>
      <c r="D1889">
        <f>YEAR(cukier9[[#This Row],[data]])</f>
        <v>2013</v>
      </c>
    </row>
    <row r="1890" spans="1:4" x14ac:dyDescent="0.25">
      <c r="A1890" s="1">
        <v>41568</v>
      </c>
      <c r="B1890" t="s">
        <v>19</v>
      </c>
      <c r="C1890">
        <v>156</v>
      </c>
      <c r="D1890">
        <f>YEAR(cukier9[[#This Row],[data]])</f>
        <v>2013</v>
      </c>
    </row>
    <row r="1891" spans="1:4" x14ac:dyDescent="0.25">
      <c r="A1891" s="1">
        <v>41569</v>
      </c>
      <c r="B1891" t="s">
        <v>7</v>
      </c>
      <c r="C1891">
        <v>142</v>
      </c>
      <c r="D1891">
        <f>YEAR(cukier9[[#This Row],[data]])</f>
        <v>2013</v>
      </c>
    </row>
    <row r="1892" spans="1:4" x14ac:dyDescent="0.25">
      <c r="A1892" s="1">
        <v>41570</v>
      </c>
      <c r="B1892" t="s">
        <v>6</v>
      </c>
      <c r="C1892">
        <v>97</v>
      </c>
      <c r="D1892">
        <f>YEAR(cukier9[[#This Row],[data]])</f>
        <v>2013</v>
      </c>
    </row>
    <row r="1893" spans="1:4" x14ac:dyDescent="0.25">
      <c r="A1893" s="1">
        <v>41570</v>
      </c>
      <c r="B1893" t="s">
        <v>7</v>
      </c>
      <c r="C1893">
        <v>136</v>
      </c>
      <c r="D1893">
        <f>YEAR(cukier9[[#This Row],[data]])</f>
        <v>2013</v>
      </c>
    </row>
    <row r="1894" spans="1:4" x14ac:dyDescent="0.25">
      <c r="A1894" s="1">
        <v>41570</v>
      </c>
      <c r="B1894" t="s">
        <v>131</v>
      </c>
      <c r="C1894">
        <v>108</v>
      </c>
      <c r="D1894">
        <f>YEAR(cukier9[[#This Row],[data]])</f>
        <v>2013</v>
      </c>
    </row>
    <row r="1895" spans="1:4" x14ac:dyDescent="0.25">
      <c r="A1895" s="1">
        <v>41572</v>
      </c>
      <c r="B1895" t="s">
        <v>25</v>
      </c>
      <c r="C1895">
        <v>51</v>
      </c>
      <c r="D1895">
        <f>YEAR(cukier9[[#This Row],[data]])</f>
        <v>2013</v>
      </c>
    </row>
    <row r="1896" spans="1:4" x14ac:dyDescent="0.25">
      <c r="A1896" s="1">
        <v>41574</v>
      </c>
      <c r="B1896" t="s">
        <v>130</v>
      </c>
      <c r="C1896">
        <v>7</v>
      </c>
      <c r="D1896">
        <f>YEAR(cukier9[[#This Row],[data]])</f>
        <v>2013</v>
      </c>
    </row>
    <row r="1897" spans="1:4" x14ac:dyDescent="0.25">
      <c r="A1897" s="1">
        <v>41576</v>
      </c>
      <c r="B1897" t="s">
        <v>99</v>
      </c>
      <c r="C1897">
        <v>19</v>
      </c>
      <c r="D1897">
        <f>YEAR(cukier9[[#This Row],[data]])</f>
        <v>2013</v>
      </c>
    </row>
    <row r="1898" spans="1:4" x14ac:dyDescent="0.25">
      <c r="A1898" s="1">
        <v>41577</v>
      </c>
      <c r="B1898" t="s">
        <v>75</v>
      </c>
      <c r="C1898">
        <v>4</v>
      </c>
      <c r="D1898">
        <f>YEAR(cukier9[[#This Row],[data]])</f>
        <v>2013</v>
      </c>
    </row>
    <row r="1899" spans="1:4" x14ac:dyDescent="0.25">
      <c r="A1899" s="1">
        <v>41580</v>
      </c>
      <c r="B1899" t="s">
        <v>45</v>
      </c>
      <c r="C1899">
        <v>163</v>
      </c>
      <c r="D1899">
        <f>YEAR(cukier9[[#This Row],[data]])</f>
        <v>2013</v>
      </c>
    </row>
    <row r="1900" spans="1:4" x14ac:dyDescent="0.25">
      <c r="A1900" s="1">
        <v>41580</v>
      </c>
      <c r="B1900" t="s">
        <v>30</v>
      </c>
      <c r="C1900">
        <v>165</v>
      </c>
      <c r="D1900">
        <f>YEAR(cukier9[[#This Row],[data]])</f>
        <v>2013</v>
      </c>
    </row>
    <row r="1901" spans="1:4" x14ac:dyDescent="0.25">
      <c r="A1901" s="1">
        <v>41581</v>
      </c>
      <c r="B1901" t="s">
        <v>210</v>
      </c>
      <c r="C1901">
        <v>14</v>
      </c>
      <c r="D1901">
        <f>YEAR(cukier9[[#This Row],[data]])</f>
        <v>2013</v>
      </c>
    </row>
    <row r="1902" spans="1:4" x14ac:dyDescent="0.25">
      <c r="A1902" s="1">
        <v>41583</v>
      </c>
      <c r="B1902" t="s">
        <v>28</v>
      </c>
      <c r="C1902">
        <v>177</v>
      </c>
      <c r="D1902">
        <f>YEAR(cukier9[[#This Row],[data]])</f>
        <v>2013</v>
      </c>
    </row>
    <row r="1903" spans="1:4" x14ac:dyDescent="0.25">
      <c r="A1903" s="1">
        <v>41584</v>
      </c>
      <c r="B1903" t="s">
        <v>147</v>
      </c>
      <c r="C1903">
        <v>1</v>
      </c>
      <c r="D1903">
        <f>YEAR(cukier9[[#This Row],[data]])</f>
        <v>2013</v>
      </c>
    </row>
    <row r="1904" spans="1:4" x14ac:dyDescent="0.25">
      <c r="A1904" s="1">
        <v>41585</v>
      </c>
      <c r="B1904" t="s">
        <v>131</v>
      </c>
      <c r="C1904">
        <v>193</v>
      </c>
      <c r="D1904">
        <f>YEAR(cukier9[[#This Row],[data]])</f>
        <v>2013</v>
      </c>
    </row>
    <row r="1905" spans="1:4" x14ac:dyDescent="0.25">
      <c r="A1905" s="1">
        <v>41585</v>
      </c>
      <c r="B1905" t="s">
        <v>110</v>
      </c>
      <c r="C1905">
        <v>8</v>
      </c>
      <c r="D1905">
        <f>YEAR(cukier9[[#This Row],[data]])</f>
        <v>2013</v>
      </c>
    </row>
    <row r="1906" spans="1:4" x14ac:dyDescent="0.25">
      <c r="A1906" s="1">
        <v>41588</v>
      </c>
      <c r="B1906" t="s">
        <v>233</v>
      </c>
      <c r="C1906">
        <v>11</v>
      </c>
      <c r="D1906">
        <f>YEAR(cukier9[[#This Row],[data]])</f>
        <v>2013</v>
      </c>
    </row>
    <row r="1907" spans="1:4" x14ac:dyDescent="0.25">
      <c r="A1907" s="1">
        <v>41594</v>
      </c>
      <c r="B1907" t="s">
        <v>22</v>
      </c>
      <c r="C1907">
        <v>249</v>
      </c>
      <c r="D1907">
        <f>YEAR(cukier9[[#This Row],[data]])</f>
        <v>2013</v>
      </c>
    </row>
    <row r="1908" spans="1:4" x14ac:dyDescent="0.25">
      <c r="A1908" s="1">
        <v>41598</v>
      </c>
      <c r="B1908" t="s">
        <v>5</v>
      </c>
      <c r="C1908">
        <v>360</v>
      </c>
      <c r="D1908">
        <f>YEAR(cukier9[[#This Row],[data]])</f>
        <v>2013</v>
      </c>
    </row>
    <row r="1909" spans="1:4" x14ac:dyDescent="0.25">
      <c r="A1909" s="1">
        <v>41602</v>
      </c>
      <c r="B1909" t="s">
        <v>26</v>
      </c>
      <c r="C1909">
        <v>186</v>
      </c>
      <c r="D1909">
        <f>YEAR(cukier9[[#This Row],[data]])</f>
        <v>2013</v>
      </c>
    </row>
    <row r="1910" spans="1:4" x14ac:dyDescent="0.25">
      <c r="A1910" s="1">
        <v>41603</v>
      </c>
      <c r="B1910" t="s">
        <v>52</v>
      </c>
      <c r="C1910">
        <v>29</v>
      </c>
      <c r="D1910">
        <f>YEAR(cukier9[[#This Row],[data]])</f>
        <v>2013</v>
      </c>
    </row>
    <row r="1911" spans="1:4" x14ac:dyDescent="0.25">
      <c r="A1911" s="1">
        <v>41606</v>
      </c>
      <c r="B1911" t="s">
        <v>30</v>
      </c>
      <c r="C1911">
        <v>174</v>
      </c>
      <c r="D1911">
        <f>YEAR(cukier9[[#This Row],[data]])</f>
        <v>2013</v>
      </c>
    </row>
    <row r="1912" spans="1:4" x14ac:dyDescent="0.25">
      <c r="A1912" s="1">
        <v>41607</v>
      </c>
      <c r="B1912" t="s">
        <v>7</v>
      </c>
      <c r="C1912">
        <v>131</v>
      </c>
      <c r="D1912">
        <f>YEAR(cukier9[[#This Row],[data]])</f>
        <v>2013</v>
      </c>
    </row>
    <row r="1913" spans="1:4" x14ac:dyDescent="0.25">
      <c r="A1913" s="1">
        <v>41609</v>
      </c>
      <c r="B1913" t="s">
        <v>7</v>
      </c>
      <c r="C1913">
        <v>157</v>
      </c>
      <c r="D1913">
        <f>YEAR(cukier9[[#This Row],[data]])</f>
        <v>2013</v>
      </c>
    </row>
    <row r="1914" spans="1:4" x14ac:dyDescent="0.25">
      <c r="A1914" s="1">
        <v>41609</v>
      </c>
      <c r="B1914" t="s">
        <v>14</v>
      </c>
      <c r="C1914">
        <v>284</v>
      </c>
      <c r="D1914">
        <f>YEAR(cukier9[[#This Row],[data]])</f>
        <v>2013</v>
      </c>
    </row>
    <row r="1915" spans="1:4" x14ac:dyDescent="0.25">
      <c r="A1915" s="1">
        <v>41610</v>
      </c>
      <c r="B1915" t="s">
        <v>17</v>
      </c>
      <c r="C1915">
        <v>292</v>
      </c>
      <c r="D1915">
        <f>YEAR(cukier9[[#This Row],[data]])</f>
        <v>2013</v>
      </c>
    </row>
    <row r="1916" spans="1:4" x14ac:dyDescent="0.25">
      <c r="A1916" s="1">
        <v>41612</v>
      </c>
      <c r="B1916" t="s">
        <v>81</v>
      </c>
      <c r="C1916">
        <v>13</v>
      </c>
      <c r="D1916">
        <f>YEAR(cukier9[[#This Row],[data]])</f>
        <v>2013</v>
      </c>
    </row>
    <row r="1917" spans="1:4" x14ac:dyDescent="0.25">
      <c r="A1917" s="1">
        <v>41614</v>
      </c>
      <c r="B1917" t="s">
        <v>85</v>
      </c>
      <c r="C1917">
        <v>16</v>
      </c>
      <c r="D1917">
        <f>YEAR(cukier9[[#This Row],[data]])</f>
        <v>2013</v>
      </c>
    </row>
    <row r="1918" spans="1:4" x14ac:dyDescent="0.25">
      <c r="A1918" s="1">
        <v>41614</v>
      </c>
      <c r="B1918" t="s">
        <v>22</v>
      </c>
      <c r="C1918">
        <v>364</v>
      </c>
      <c r="D1918">
        <f>YEAR(cukier9[[#This Row],[data]])</f>
        <v>2013</v>
      </c>
    </row>
    <row r="1919" spans="1:4" x14ac:dyDescent="0.25">
      <c r="A1919" s="1">
        <v>41615</v>
      </c>
      <c r="B1919" t="s">
        <v>44</v>
      </c>
      <c r="C1919">
        <v>16</v>
      </c>
      <c r="D1919">
        <f>YEAR(cukier9[[#This Row],[data]])</f>
        <v>2013</v>
      </c>
    </row>
    <row r="1920" spans="1:4" x14ac:dyDescent="0.25">
      <c r="A1920" s="1">
        <v>41615</v>
      </c>
      <c r="B1920" t="s">
        <v>49</v>
      </c>
      <c r="C1920">
        <v>3</v>
      </c>
      <c r="D1920">
        <f>YEAR(cukier9[[#This Row],[data]])</f>
        <v>2013</v>
      </c>
    </row>
    <row r="1921" spans="1:4" x14ac:dyDescent="0.25">
      <c r="A1921" s="1">
        <v>41616</v>
      </c>
      <c r="B1921" t="s">
        <v>207</v>
      </c>
      <c r="C1921">
        <v>9</v>
      </c>
      <c r="D1921">
        <f>YEAR(cukier9[[#This Row],[data]])</f>
        <v>2013</v>
      </c>
    </row>
    <row r="1922" spans="1:4" x14ac:dyDescent="0.25">
      <c r="A1922" s="1">
        <v>41617</v>
      </c>
      <c r="B1922" t="s">
        <v>206</v>
      </c>
      <c r="C1922">
        <v>6</v>
      </c>
      <c r="D1922">
        <f>YEAR(cukier9[[#This Row],[data]])</f>
        <v>2013</v>
      </c>
    </row>
    <row r="1923" spans="1:4" x14ac:dyDescent="0.25">
      <c r="A1923" s="1">
        <v>41621</v>
      </c>
      <c r="B1923" t="s">
        <v>71</v>
      </c>
      <c r="C1923">
        <v>117</v>
      </c>
      <c r="D1923">
        <f>YEAR(cukier9[[#This Row],[data]])</f>
        <v>2013</v>
      </c>
    </row>
    <row r="1924" spans="1:4" x14ac:dyDescent="0.25">
      <c r="A1924" s="1">
        <v>41622</v>
      </c>
      <c r="B1924" t="s">
        <v>42</v>
      </c>
      <c r="C1924">
        <v>6</v>
      </c>
      <c r="D1924">
        <f>YEAR(cukier9[[#This Row],[data]])</f>
        <v>2013</v>
      </c>
    </row>
    <row r="1925" spans="1:4" x14ac:dyDescent="0.25">
      <c r="A1925" s="1">
        <v>41623</v>
      </c>
      <c r="B1925" t="s">
        <v>9</v>
      </c>
      <c r="C1925">
        <v>186</v>
      </c>
      <c r="D1925">
        <f>YEAR(cukier9[[#This Row],[data]])</f>
        <v>2013</v>
      </c>
    </row>
    <row r="1926" spans="1:4" x14ac:dyDescent="0.25">
      <c r="A1926" s="1">
        <v>41623</v>
      </c>
      <c r="B1926" t="s">
        <v>42</v>
      </c>
      <c r="C1926">
        <v>16</v>
      </c>
      <c r="D1926">
        <f>YEAR(cukier9[[#This Row],[data]])</f>
        <v>2013</v>
      </c>
    </row>
    <row r="1927" spans="1:4" x14ac:dyDescent="0.25">
      <c r="A1927" s="1">
        <v>41624</v>
      </c>
      <c r="B1927" t="s">
        <v>6</v>
      </c>
      <c r="C1927">
        <v>100</v>
      </c>
      <c r="D1927">
        <f>YEAR(cukier9[[#This Row],[data]])</f>
        <v>2013</v>
      </c>
    </row>
    <row r="1928" spans="1:4" x14ac:dyDescent="0.25">
      <c r="A1928" s="1">
        <v>41629</v>
      </c>
      <c r="B1928" t="s">
        <v>1</v>
      </c>
      <c r="C1928">
        <v>20</v>
      </c>
      <c r="D1928">
        <f>YEAR(cukier9[[#This Row],[data]])</f>
        <v>2013</v>
      </c>
    </row>
    <row r="1929" spans="1:4" x14ac:dyDescent="0.25">
      <c r="A1929" s="1">
        <v>41629</v>
      </c>
      <c r="B1929" t="s">
        <v>35</v>
      </c>
      <c r="C1929">
        <v>192</v>
      </c>
      <c r="D1929">
        <f>YEAR(cukier9[[#This Row],[data]])</f>
        <v>2013</v>
      </c>
    </row>
    <row r="1930" spans="1:4" x14ac:dyDescent="0.25">
      <c r="A1930" s="1">
        <v>41630</v>
      </c>
      <c r="B1930" t="s">
        <v>35</v>
      </c>
      <c r="C1930">
        <v>92</v>
      </c>
      <c r="D1930">
        <f>YEAR(cukier9[[#This Row],[data]])</f>
        <v>2013</v>
      </c>
    </row>
    <row r="1931" spans="1:4" x14ac:dyDescent="0.25">
      <c r="A1931" s="1">
        <v>41631</v>
      </c>
      <c r="B1931" t="s">
        <v>118</v>
      </c>
      <c r="C1931">
        <v>11</v>
      </c>
      <c r="D1931">
        <f>YEAR(cukier9[[#This Row],[data]])</f>
        <v>2013</v>
      </c>
    </row>
    <row r="1932" spans="1:4" x14ac:dyDescent="0.25">
      <c r="A1932" s="1">
        <v>41633</v>
      </c>
      <c r="B1932" t="s">
        <v>237</v>
      </c>
      <c r="C1932">
        <v>10</v>
      </c>
      <c r="D1932">
        <f>YEAR(cukier9[[#This Row],[data]])</f>
        <v>2013</v>
      </c>
    </row>
    <row r="1933" spans="1:4" x14ac:dyDescent="0.25">
      <c r="A1933" s="1">
        <v>41634</v>
      </c>
      <c r="B1933" t="s">
        <v>71</v>
      </c>
      <c r="C1933">
        <v>180</v>
      </c>
      <c r="D1933">
        <f>YEAR(cukier9[[#This Row],[data]])</f>
        <v>2013</v>
      </c>
    </row>
    <row r="1934" spans="1:4" x14ac:dyDescent="0.25">
      <c r="A1934" s="1">
        <v>41637</v>
      </c>
      <c r="B1934" t="s">
        <v>38</v>
      </c>
      <c r="C1934">
        <v>12</v>
      </c>
      <c r="D1934">
        <f>YEAR(cukier9[[#This Row],[data]])</f>
        <v>2013</v>
      </c>
    </row>
    <row r="1935" spans="1:4" x14ac:dyDescent="0.25">
      <c r="A1935" s="1">
        <v>41638</v>
      </c>
      <c r="B1935" t="s">
        <v>222</v>
      </c>
      <c r="C1935">
        <v>12</v>
      </c>
      <c r="D1935">
        <f>YEAR(cukier9[[#This Row],[data]])</f>
        <v>2013</v>
      </c>
    </row>
    <row r="1936" spans="1:4" x14ac:dyDescent="0.25">
      <c r="A1936" s="1">
        <v>41639</v>
      </c>
      <c r="B1936" t="s">
        <v>97</v>
      </c>
      <c r="C1936">
        <v>8</v>
      </c>
      <c r="D1936">
        <f>YEAR(cukier9[[#This Row],[data]])</f>
        <v>2013</v>
      </c>
    </row>
    <row r="1937" spans="1:4" x14ac:dyDescent="0.25">
      <c r="A1937" s="1">
        <v>41641</v>
      </c>
      <c r="B1937" t="s">
        <v>12</v>
      </c>
      <c r="C1937">
        <v>56</v>
      </c>
      <c r="D1937">
        <f>YEAR(cukier9[[#This Row],[data]])</f>
        <v>2014</v>
      </c>
    </row>
    <row r="1938" spans="1:4" x14ac:dyDescent="0.25">
      <c r="A1938" s="1">
        <v>41642</v>
      </c>
      <c r="B1938" t="s">
        <v>82</v>
      </c>
      <c r="C1938">
        <v>18</v>
      </c>
      <c r="D1938">
        <f>YEAR(cukier9[[#This Row],[data]])</f>
        <v>2014</v>
      </c>
    </row>
    <row r="1939" spans="1:4" x14ac:dyDescent="0.25">
      <c r="A1939" s="1">
        <v>41642</v>
      </c>
      <c r="B1939" t="s">
        <v>14</v>
      </c>
      <c r="C1939">
        <v>164</v>
      </c>
      <c r="D1939">
        <f>YEAR(cukier9[[#This Row],[data]])</f>
        <v>2014</v>
      </c>
    </row>
    <row r="1940" spans="1:4" x14ac:dyDescent="0.25">
      <c r="A1940" s="1">
        <v>41645</v>
      </c>
      <c r="B1940" t="s">
        <v>30</v>
      </c>
      <c r="C1940">
        <v>111</v>
      </c>
      <c r="D1940">
        <f>YEAR(cukier9[[#This Row],[data]])</f>
        <v>2014</v>
      </c>
    </row>
    <row r="1941" spans="1:4" x14ac:dyDescent="0.25">
      <c r="A1941" s="1">
        <v>41646</v>
      </c>
      <c r="B1941" t="s">
        <v>190</v>
      </c>
      <c r="C1941">
        <v>14</v>
      </c>
      <c r="D1941">
        <f>YEAR(cukier9[[#This Row],[data]])</f>
        <v>2014</v>
      </c>
    </row>
    <row r="1942" spans="1:4" x14ac:dyDescent="0.25">
      <c r="A1942" s="1">
        <v>41647</v>
      </c>
      <c r="B1942" t="s">
        <v>102</v>
      </c>
      <c r="C1942">
        <v>143</v>
      </c>
      <c r="D1942">
        <f>YEAR(cukier9[[#This Row],[data]])</f>
        <v>2014</v>
      </c>
    </row>
    <row r="1943" spans="1:4" x14ac:dyDescent="0.25">
      <c r="A1943" s="1">
        <v>41648</v>
      </c>
      <c r="B1943" t="s">
        <v>10</v>
      </c>
      <c r="C1943">
        <v>64</v>
      </c>
      <c r="D1943">
        <f>YEAR(cukier9[[#This Row],[data]])</f>
        <v>2014</v>
      </c>
    </row>
    <row r="1944" spans="1:4" x14ac:dyDescent="0.25">
      <c r="A1944" s="1">
        <v>41651</v>
      </c>
      <c r="B1944" t="s">
        <v>234</v>
      </c>
      <c r="C1944">
        <v>3</v>
      </c>
      <c r="D1944">
        <f>YEAR(cukier9[[#This Row],[data]])</f>
        <v>2014</v>
      </c>
    </row>
    <row r="1945" spans="1:4" x14ac:dyDescent="0.25">
      <c r="A1945" s="1">
        <v>41652</v>
      </c>
      <c r="B1945" t="s">
        <v>45</v>
      </c>
      <c r="C1945">
        <v>152</v>
      </c>
      <c r="D1945">
        <f>YEAR(cukier9[[#This Row],[data]])</f>
        <v>2014</v>
      </c>
    </row>
    <row r="1946" spans="1:4" x14ac:dyDescent="0.25">
      <c r="A1946" s="1">
        <v>41653</v>
      </c>
      <c r="B1946" t="s">
        <v>10</v>
      </c>
      <c r="C1946">
        <v>152</v>
      </c>
      <c r="D1946">
        <f>YEAR(cukier9[[#This Row],[data]])</f>
        <v>2014</v>
      </c>
    </row>
    <row r="1947" spans="1:4" x14ac:dyDescent="0.25">
      <c r="A1947" s="1">
        <v>41655</v>
      </c>
      <c r="B1947" t="s">
        <v>221</v>
      </c>
      <c r="C1947">
        <v>15</v>
      </c>
      <c r="D1947">
        <f>YEAR(cukier9[[#This Row],[data]])</f>
        <v>2014</v>
      </c>
    </row>
    <row r="1948" spans="1:4" x14ac:dyDescent="0.25">
      <c r="A1948" s="1">
        <v>41656</v>
      </c>
      <c r="B1948" t="s">
        <v>71</v>
      </c>
      <c r="C1948">
        <v>117</v>
      </c>
      <c r="D1948">
        <f>YEAR(cukier9[[#This Row],[data]])</f>
        <v>2014</v>
      </c>
    </row>
    <row r="1949" spans="1:4" x14ac:dyDescent="0.25">
      <c r="A1949" s="1">
        <v>41656</v>
      </c>
      <c r="B1949" t="s">
        <v>215</v>
      </c>
      <c r="C1949">
        <v>14</v>
      </c>
      <c r="D1949">
        <f>YEAR(cukier9[[#This Row],[data]])</f>
        <v>2014</v>
      </c>
    </row>
    <row r="1950" spans="1:4" x14ac:dyDescent="0.25">
      <c r="A1950" s="1">
        <v>41656</v>
      </c>
      <c r="B1950" t="s">
        <v>45</v>
      </c>
      <c r="C1950">
        <v>431</v>
      </c>
      <c r="D1950">
        <f>YEAR(cukier9[[#This Row],[data]])</f>
        <v>2014</v>
      </c>
    </row>
    <row r="1951" spans="1:4" x14ac:dyDescent="0.25">
      <c r="A1951" s="1">
        <v>41658</v>
      </c>
      <c r="B1951" t="s">
        <v>22</v>
      </c>
      <c r="C1951">
        <v>390</v>
      </c>
      <c r="D1951">
        <f>YEAR(cukier9[[#This Row],[data]])</f>
        <v>2014</v>
      </c>
    </row>
    <row r="1952" spans="1:4" x14ac:dyDescent="0.25">
      <c r="A1952" s="1">
        <v>41663</v>
      </c>
      <c r="B1952" t="s">
        <v>222</v>
      </c>
      <c r="C1952">
        <v>1</v>
      </c>
      <c r="D1952">
        <f>YEAR(cukier9[[#This Row],[data]])</f>
        <v>2014</v>
      </c>
    </row>
    <row r="1953" spans="1:4" x14ac:dyDescent="0.25">
      <c r="A1953" s="1">
        <v>41666</v>
      </c>
      <c r="B1953" t="s">
        <v>17</v>
      </c>
      <c r="C1953">
        <v>392</v>
      </c>
      <c r="D1953">
        <f>YEAR(cukier9[[#This Row],[data]])</f>
        <v>2014</v>
      </c>
    </row>
    <row r="1954" spans="1:4" x14ac:dyDescent="0.25">
      <c r="A1954" s="1">
        <v>41668</v>
      </c>
      <c r="B1954" t="s">
        <v>37</v>
      </c>
      <c r="C1954">
        <v>175</v>
      </c>
      <c r="D1954">
        <f>YEAR(cukier9[[#This Row],[data]])</f>
        <v>2014</v>
      </c>
    </row>
    <row r="1955" spans="1:4" x14ac:dyDescent="0.25">
      <c r="A1955" s="1">
        <v>41668</v>
      </c>
      <c r="B1955" t="s">
        <v>55</v>
      </c>
      <c r="C1955">
        <v>118</v>
      </c>
      <c r="D1955">
        <f>YEAR(cukier9[[#This Row],[data]])</f>
        <v>2014</v>
      </c>
    </row>
    <row r="1956" spans="1:4" x14ac:dyDescent="0.25">
      <c r="A1956" s="1">
        <v>41672</v>
      </c>
      <c r="B1956" t="s">
        <v>9</v>
      </c>
      <c r="C1956">
        <v>297</v>
      </c>
      <c r="D1956">
        <f>YEAR(cukier9[[#This Row],[data]])</f>
        <v>2014</v>
      </c>
    </row>
    <row r="1957" spans="1:4" x14ac:dyDescent="0.25">
      <c r="A1957" s="1">
        <v>41676</v>
      </c>
      <c r="B1957" t="s">
        <v>23</v>
      </c>
      <c r="C1957">
        <v>89</v>
      </c>
      <c r="D1957">
        <f>YEAR(cukier9[[#This Row],[data]])</f>
        <v>2014</v>
      </c>
    </row>
    <row r="1958" spans="1:4" x14ac:dyDescent="0.25">
      <c r="A1958" s="1">
        <v>41676</v>
      </c>
      <c r="B1958" t="s">
        <v>22</v>
      </c>
      <c r="C1958">
        <v>182</v>
      </c>
      <c r="D1958">
        <f>YEAR(cukier9[[#This Row],[data]])</f>
        <v>2014</v>
      </c>
    </row>
    <row r="1959" spans="1:4" x14ac:dyDescent="0.25">
      <c r="A1959" s="1">
        <v>41677</v>
      </c>
      <c r="B1959" t="s">
        <v>10</v>
      </c>
      <c r="C1959">
        <v>130</v>
      </c>
      <c r="D1959">
        <f>YEAR(cukier9[[#This Row],[data]])</f>
        <v>2014</v>
      </c>
    </row>
    <row r="1960" spans="1:4" x14ac:dyDescent="0.25">
      <c r="A1960" s="1">
        <v>41680</v>
      </c>
      <c r="B1960" t="s">
        <v>26</v>
      </c>
      <c r="C1960">
        <v>187</v>
      </c>
      <c r="D1960">
        <f>YEAR(cukier9[[#This Row],[data]])</f>
        <v>2014</v>
      </c>
    </row>
    <row r="1961" spans="1:4" x14ac:dyDescent="0.25">
      <c r="A1961" s="1">
        <v>41681</v>
      </c>
      <c r="B1961" t="s">
        <v>50</v>
      </c>
      <c r="C1961">
        <v>166</v>
      </c>
      <c r="D1961">
        <f>YEAR(cukier9[[#This Row],[data]])</f>
        <v>2014</v>
      </c>
    </row>
    <row r="1962" spans="1:4" x14ac:dyDescent="0.25">
      <c r="A1962" s="1">
        <v>41682</v>
      </c>
      <c r="B1962" t="s">
        <v>23</v>
      </c>
      <c r="C1962">
        <v>58</v>
      </c>
      <c r="D1962">
        <f>YEAR(cukier9[[#This Row],[data]])</f>
        <v>2014</v>
      </c>
    </row>
    <row r="1963" spans="1:4" x14ac:dyDescent="0.25">
      <c r="A1963" s="1">
        <v>41686</v>
      </c>
      <c r="B1963" t="s">
        <v>25</v>
      </c>
      <c r="C1963">
        <v>187</v>
      </c>
      <c r="D1963">
        <f>YEAR(cukier9[[#This Row],[data]])</f>
        <v>2014</v>
      </c>
    </row>
    <row r="1964" spans="1:4" x14ac:dyDescent="0.25">
      <c r="A1964" s="1">
        <v>41687</v>
      </c>
      <c r="B1964" t="s">
        <v>23</v>
      </c>
      <c r="C1964">
        <v>58</v>
      </c>
      <c r="D1964">
        <f>YEAR(cukier9[[#This Row],[data]])</f>
        <v>2014</v>
      </c>
    </row>
    <row r="1965" spans="1:4" x14ac:dyDescent="0.25">
      <c r="A1965" s="1">
        <v>41689</v>
      </c>
      <c r="B1965" t="s">
        <v>60</v>
      </c>
      <c r="C1965">
        <v>19</v>
      </c>
      <c r="D1965">
        <f>YEAR(cukier9[[#This Row],[data]])</f>
        <v>2014</v>
      </c>
    </row>
    <row r="1966" spans="1:4" x14ac:dyDescent="0.25">
      <c r="A1966" s="1">
        <v>41689</v>
      </c>
      <c r="B1966" t="s">
        <v>9</v>
      </c>
      <c r="C1966">
        <v>388</v>
      </c>
      <c r="D1966">
        <f>YEAR(cukier9[[#This Row],[data]])</f>
        <v>2014</v>
      </c>
    </row>
    <row r="1967" spans="1:4" x14ac:dyDescent="0.25">
      <c r="A1967" s="1">
        <v>41690</v>
      </c>
      <c r="B1967" t="s">
        <v>105</v>
      </c>
      <c r="C1967">
        <v>20</v>
      </c>
      <c r="D1967">
        <f>YEAR(cukier9[[#This Row],[data]])</f>
        <v>2014</v>
      </c>
    </row>
    <row r="1968" spans="1:4" x14ac:dyDescent="0.25">
      <c r="A1968" s="1">
        <v>41690</v>
      </c>
      <c r="B1968" t="s">
        <v>6</v>
      </c>
      <c r="C1968">
        <v>185</v>
      </c>
      <c r="D1968">
        <f>YEAR(cukier9[[#This Row],[data]])</f>
        <v>2014</v>
      </c>
    </row>
    <row r="1969" spans="1:4" x14ac:dyDescent="0.25">
      <c r="A1969" s="1">
        <v>41690</v>
      </c>
      <c r="B1969" t="s">
        <v>66</v>
      </c>
      <c r="C1969">
        <v>191</v>
      </c>
      <c r="D1969">
        <f>YEAR(cukier9[[#This Row],[data]])</f>
        <v>2014</v>
      </c>
    </row>
    <row r="1970" spans="1:4" x14ac:dyDescent="0.25">
      <c r="A1970" s="1">
        <v>41691</v>
      </c>
      <c r="B1970" t="s">
        <v>87</v>
      </c>
      <c r="C1970">
        <v>1</v>
      </c>
      <c r="D1970">
        <f>YEAR(cukier9[[#This Row],[data]])</f>
        <v>2014</v>
      </c>
    </row>
    <row r="1971" spans="1:4" x14ac:dyDescent="0.25">
      <c r="A1971" s="1">
        <v>41692</v>
      </c>
      <c r="B1971" t="s">
        <v>71</v>
      </c>
      <c r="C1971">
        <v>90</v>
      </c>
      <c r="D1971">
        <f>YEAR(cukier9[[#This Row],[data]])</f>
        <v>2014</v>
      </c>
    </row>
    <row r="1972" spans="1:4" x14ac:dyDescent="0.25">
      <c r="A1972" s="1">
        <v>41696</v>
      </c>
      <c r="B1972" t="s">
        <v>9</v>
      </c>
      <c r="C1972">
        <v>234</v>
      </c>
      <c r="D1972">
        <f>YEAR(cukier9[[#This Row],[data]])</f>
        <v>2014</v>
      </c>
    </row>
    <row r="1973" spans="1:4" x14ac:dyDescent="0.25">
      <c r="A1973" s="1">
        <v>41699</v>
      </c>
      <c r="B1973" t="s">
        <v>45</v>
      </c>
      <c r="C1973">
        <v>212</v>
      </c>
      <c r="D1973">
        <f>YEAR(cukier9[[#This Row],[data]])</f>
        <v>2014</v>
      </c>
    </row>
    <row r="1974" spans="1:4" x14ac:dyDescent="0.25">
      <c r="A1974" s="1">
        <v>41701</v>
      </c>
      <c r="B1974" t="s">
        <v>45</v>
      </c>
      <c r="C1974">
        <v>372</v>
      </c>
      <c r="D1974">
        <f>YEAR(cukier9[[#This Row],[data]])</f>
        <v>2014</v>
      </c>
    </row>
    <row r="1975" spans="1:4" x14ac:dyDescent="0.25">
      <c r="A1975" s="1">
        <v>41701</v>
      </c>
      <c r="B1975" t="s">
        <v>35</v>
      </c>
      <c r="C1975">
        <v>102</v>
      </c>
      <c r="D1975">
        <f>YEAR(cukier9[[#This Row],[data]])</f>
        <v>2014</v>
      </c>
    </row>
    <row r="1976" spans="1:4" x14ac:dyDescent="0.25">
      <c r="A1976" s="1">
        <v>41701</v>
      </c>
      <c r="B1976" t="s">
        <v>10</v>
      </c>
      <c r="C1976">
        <v>69</v>
      </c>
      <c r="D1976">
        <f>YEAR(cukier9[[#This Row],[data]])</f>
        <v>2014</v>
      </c>
    </row>
    <row r="1977" spans="1:4" x14ac:dyDescent="0.25">
      <c r="A1977" s="1">
        <v>41708</v>
      </c>
      <c r="B1977" t="s">
        <v>175</v>
      </c>
      <c r="C1977">
        <v>5</v>
      </c>
      <c r="D1977">
        <f>YEAR(cukier9[[#This Row],[data]])</f>
        <v>2014</v>
      </c>
    </row>
    <row r="1978" spans="1:4" x14ac:dyDescent="0.25">
      <c r="A1978" s="1">
        <v>41713</v>
      </c>
      <c r="B1978" t="s">
        <v>69</v>
      </c>
      <c r="C1978">
        <v>146</v>
      </c>
      <c r="D1978">
        <f>YEAR(cukier9[[#This Row],[data]])</f>
        <v>2014</v>
      </c>
    </row>
    <row r="1979" spans="1:4" x14ac:dyDescent="0.25">
      <c r="A1979" s="1">
        <v>41714</v>
      </c>
      <c r="B1979" t="s">
        <v>20</v>
      </c>
      <c r="C1979">
        <v>114</v>
      </c>
      <c r="D1979">
        <f>YEAR(cukier9[[#This Row],[data]])</f>
        <v>2014</v>
      </c>
    </row>
    <row r="1980" spans="1:4" x14ac:dyDescent="0.25">
      <c r="A1980" s="1">
        <v>41716</v>
      </c>
      <c r="B1980" t="s">
        <v>14</v>
      </c>
      <c r="C1980">
        <v>265</v>
      </c>
      <c r="D1980">
        <f>YEAR(cukier9[[#This Row],[data]])</f>
        <v>2014</v>
      </c>
    </row>
    <row r="1981" spans="1:4" x14ac:dyDescent="0.25">
      <c r="A1981" s="1">
        <v>41716</v>
      </c>
      <c r="B1981" t="s">
        <v>128</v>
      </c>
      <c r="C1981">
        <v>1</v>
      </c>
      <c r="D1981">
        <f>YEAR(cukier9[[#This Row],[data]])</f>
        <v>2014</v>
      </c>
    </row>
    <row r="1982" spans="1:4" x14ac:dyDescent="0.25">
      <c r="A1982" s="1">
        <v>41719</v>
      </c>
      <c r="B1982" t="s">
        <v>156</v>
      </c>
      <c r="C1982">
        <v>16</v>
      </c>
      <c r="D1982">
        <f>YEAR(cukier9[[#This Row],[data]])</f>
        <v>2014</v>
      </c>
    </row>
    <row r="1983" spans="1:4" x14ac:dyDescent="0.25">
      <c r="A1983" s="1">
        <v>41721</v>
      </c>
      <c r="B1983" t="s">
        <v>191</v>
      </c>
      <c r="C1983">
        <v>11</v>
      </c>
      <c r="D1983">
        <f>YEAR(cukier9[[#This Row],[data]])</f>
        <v>2014</v>
      </c>
    </row>
    <row r="1984" spans="1:4" x14ac:dyDescent="0.25">
      <c r="A1984" s="1">
        <v>41721</v>
      </c>
      <c r="B1984" t="s">
        <v>22</v>
      </c>
      <c r="C1984">
        <v>118</v>
      </c>
      <c r="D1984">
        <f>YEAR(cukier9[[#This Row],[data]])</f>
        <v>2014</v>
      </c>
    </row>
    <row r="1985" spans="1:4" x14ac:dyDescent="0.25">
      <c r="A1985" s="1">
        <v>41728</v>
      </c>
      <c r="B1985" t="s">
        <v>45</v>
      </c>
      <c r="C1985">
        <v>213</v>
      </c>
      <c r="D1985">
        <f>YEAR(cukier9[[#This Row],[data]])</f>
        <v>2014</v>
      </c>
    </row>
    <row r="1986" spans="1:4" x14ac:dyDescent="0.25">
      <c r="A1986" s="1">
        <v>41732</v>
      </c>
      <c r="B1986" t="s">
        <v>9</v>
      </c>
      <c r="C1986">
        <v>146</v>
      </c>
      <c r="D1986">
        <f>YEAR(cukier9[[#This Row],[data]])</f>
        <v>2014</v>
      </c>
    </row>
    <row r="1987" spans="1:4" x14ac:dyDescent="0.25">
      <c r="A1987" s="1">
        <v>41734</v>
      </c>
      <c r="B1987" t="s">
        <v>124</v>
      </c>
      <c r="C1987">
        <v>6</v>
      </c>
      <c r="D1987">
        <f>YEAR(cukier9[[#This Row],[data]])</f>
        <v>2014</v>
      </c>
    </row>
    <row r="1988" spans="1:4" x14ac:dyDescent="0.25">
      <c r="A1988" s="1">
        <v>41736</v>
      </c>
      <c r="B1988" t="s">
        <v>45</v>
      </c>
      <c r="C1988">
        <v>392</v>
      </c>
      <c r="D1988">
        <f>YEAR(cukier9[[#This Row],[data]])</f>
        <v>2014</v>
      </c>
    </row>
    <row r="1989" spans="1:4" x14ac:dyDescent="0.25">
      <c r="A1989" s="1">
        <v>41736</v>
      </c>
      <c r="B1989" t="s">
        <v>102</v>
      </c>
      <c r="C1989">
        <v>422</v>
      </c>
      <c r="D1989">
        <f>YEAR(cukier9[[#This Row],[data]])</f>
        <v>2014</v>
      </c>
    </row>
    <row r="1990" spans="1:4" x14ac:dyDescent="0.25">
      <c r="A1990" s="1">
        <v>41740</v>
      </c>
      <c r="B1990" t="s">
        <v>22</v>
      </c>
      <c r="C1990">
        <v>474</v>
      </c>
      <c r="D1990">
        <f>YEAR(cukier9[[#This Row],[data]])</f>
        <v>2014</v>
      </c>
    </row>
    <row r="1991" spans="1:4" x14ac:dyDescent="0.25">
      <c r="A1991" s="1">
        <v>41741</v>
      </c>
      <c r="B1991" t="s">
        <v>55</v>
      </c>
      <c r="C1991">
        <v>166</v>
      </c>
      <c r="D1991">
        <f>YEAR(cukier9[[#This Row],[data]])</f>
        <v>2014</v>
      </c>
    </row>
    <row r="1992" spans="1:4" x14ac:dyDescent="0.25">
      <c r="A1992" s="1">
        <v>41743</v>
      </c>
      <c r="B1992" t="s">
        <v>55</v>
      </c>
      <c r="C1992">
        <v>121</v>
      </c>
      <c r="D1992">
        <f>YEAR(cukier9[[#This Row],[data]])</f>
        <v>2014</v>
      </c>
    </row>
    <row r="1993" spans="1:4" x14ac:dyDescent="0.25">
      <c r="A1993" s="1">
        <v>41744</v>
      </c>
      <c r="B1993" t="s">
        <v>17</v>
      </c>
      <c r="C1993">
        <v>406</v>
      </c>
      <c r="D1993">
        <f>YEAR(cukier9[[#This Row],[data]])</f>
        <v>2014</v>
      </c>
    </row>
    <row r="1994" spans="1:4" x14ac:dyDescent="0.25">
      <c r="A1994" s="1">
        <v>41746</v>
      </c>
      <c r="B1994" t="s">
        <v>26</v>
      </c>
      <c r="C1994">
        <v>41</v>
      </c>
      <c r="D1994">
        <f>YEAR(cukier9[[#This Row],[data]])</f>
        <v>2014</v>
      </c>
    </row>
    <row r="1995" spans="1:4" x14ac:dyDescent="0.25">
      <c r="A1995" s="1">
        <v>41750</v>
      </c>
      <c r="B1995" t="s">
        <v>50</v>
      </c>
      <c r="C1995">
        <v>254</v>
      </c>
      <c r="D1995">
        <f>YEAR(cukier9[[#This Row],[data]])</f>
        <v>2014</v>
      </c>
    </row>
    <row r="1996" spans="1:4" x14ac:dyDescent="0.25">
      <c r="A1996" s="1">
        <v>41750</v>
      </c>
      <c r="B1996" t="s">
        <v>9</v>
      </c>
      <c r="C1996">
        <v>246</v>
      </c>
      <c r="D1996">
        <f>YEAR(cukier9[[#This Row],[data]])</f>
        <v>2014</v>
      </c>
    </row>
    <row r="1997" spans="1:4" x14ac:dyDescent="0.25">
      <c r="A1997" s="1">
        <v>41755</v>
      </c>
      <c r="B1997" t="s">
        <v>19</v>
      </c>
      <c r="C1997">
        <v>148</v>
      </c>
      <c r="D1997">
        <f>YEAR(cukier9[[#This Row],[data]])</f>
        <v>2014</v>
      </c>
    </row>
    <row r="1998" spans="1:4" x14ac:dyDescent="0.25">
      <c r="A1998" s="1">
        <v>41755</v>
      </c>
      <c r="B1998" t="s">
        <v>5</v>
      </c>
      <c r="C1998">
        <v>365</v>
      </c>
      <c r="D1998">
        <f>YEAR(cukier9[[#This Row],[data]])</f>
        <v>2014</v>
      </c>
    </row>
    <row r="1999" spans="1:4" x14ac:dyDescent="0.25">
      <c r="A1999" s="1">
        <v>41756</v>
      </c>
      <c r="B1999" t="s">
        <v>20</v>
      </c>
      <c r="C1999">
        <v>20</v>
      </c>
      <c r="D1999">
        <f>YEAR(cukier9[[#This Row],[data]])</f>
        <v>2014</v>
      </c>
    </row>
    <row r="2000" spans="1:4" x14ac:dyDescent="0.25">
      <c r="A2000" s="1">
        <v>41761</v>
      </c>
      <c r="B2000" t="s">
        <v>137</v>
      </c>
      <c r="C2000">
        <v>4</v>
      </c>
      <c r="D2000">
        <f>YEAR(cukier9[[#This Row],[data]])</f>
        <v>2014</v>
      </c>
    </row>
    <row r="2001" spans="1:4" x14ac:dyDescent="0.25">
      <c r="A2001" s="1">
        <v>41764</v>
      </c>
      <c r="B2001" t="s">
        <v>45</v>
      </c>
      <c r="C2001">
        <v>215</v>
      </c>
      <c r="D2001">
        <f>YEAR(cukier9[[#This Row],[data]])</f>
        <v>2014</v>
      </c>
    </row>
    <row r="2002" spans="1:4" x14ac:dyDescent="0.25">
      <c r="A2002" s="1">
        <v>41766</v>
      </c>
      <c r="B2002" t="s">
        <v>12</v>
      </c>
      <c r="C2002">
        <v>138</v>
      </c>
      <c r="D2002">
        <f>YEAR(cukier9[[#This Row],[data]])</f>
        <v>2014</v>
      </c>
    </row>
    <row r="2003" spans="1:4" x14ac:dyDescent="0.25">
      <c r="A2003" s="1">
        <v>41766</v>
      </c>
      <c r="B2003" t="s">
        <v>7</v>
      </c>
      <c r="C2003">
        <v>496</v>
      </c>
      <c r="D2003">
        <f>YEAR(cukier9[[#This Row],[data]])</f>
        <v>2014</v>
      </c>
    </row>
    <row r="2004" spans="1:4" x14ac:dyDescent="0.25">
      <c r="A2004" s="1">
        <v>41767</v>
      </c>
      <c r="B2004" t="s">
        <v>37</v>
      </c>
      <c r="C2004">
        <v>155</v>
      </c>
      <c r="D2004">
        <f>YEAR(cukier9[[#This Row],[data]])</f>
        <v>2014</v>
      </c>
    </row>
    <row r="2005" spans="1:4" x14ac:dyDescent="0.25">
      <c r="A2005" s="1">
        <v>41770</v>
      </c>
      <c r="B2005" t="s">
        <v>24</v>
      </c>
      <c r="C2005">
        <v>386</v>
      </c>
      <c r="D2005">
        <f>YEAR(cukier9[[#This Row],[data]])</f>
        <v>2014</v>
      </c>
    </row>
    <row r="2006" spans="1:4" x14ac:dyDescent="0.25">
      <c r="A2006" s="1">
        <v>41773</v>
      </c>
      <c r="B2006" t="s">
        <v>71</v>
      </c>
      <c r="C2006">
        <v>124</v>
      </c>
      <c r="D2006">
        <f>YEAR(cukier9[[#This Row],[data]])</f>
        <v>2014</v>
      </c>
    </row>
    <row r="2007" spans="1:4" x14ac:dyDescent="0.25">
      <c r="A2007" s="1">
        <v>41774</v>
      </c>
      <c r="B2007" t="s">
        <v>14</v>
      </c>
      <c r="C2007">
        <v>173</v>
      </c>
      <c r="D2007">
        <f>YEAR(cukier9[[#This Row],[data]])</f>
        <v>2014</v>
      </c>
    </row>
    <row r="2008" spans="1:4" x14ac:dyDescent="0.25">
      <c r="A2008" s="1">
        <v>41776</v>
      </c>
      <c r="B2008" t="s">
        <v>35</v>
      </c>
      <c r="C2008">
        <v>161</v>
      </c>
      <c r="D2008">
        <f>YEAR(cukier9[[#This Row],[data]])</f>
        <v>2014</v>
      </c>
    </row>
    <row r="2009" spans="1:4" x14ac:dyDescent="0.25">
      <c r="A2009" s="1">
        <v>41778</v>
      </c>
      <c r="B2009" t="s">
        <v>69</v>
      </c>
      <c r="C2009">
        <v>147</v>
      </c>
      <c r="D2009">
        <f>YEAR(cukier9[[#This Row],[data]])</f>
        <v>2014</v>
      </c>
    </row>
    <row r="2010" spans="1:4" x14ac:dyDescent="0.25">
      <c r="A2010" s="1">
        <v>41784</v>
      </c>
      <c r="B2010" t="s">
        <v>22</v>
      </c>
      <c r="C2010">
        <v>401</v>
      </c>
      <c r="D2010">
        <f>YEAR(cukier9[[#This Row],[data]])</f>
        <v>2014</v>
      </c>
    </row>
    <row r="2011" spans="1:4" x14ac:dyDescent="0.25">
      <c r="A2011" s="1">
        <v>41784</v>
      </c>
      <c r="B2011" t="s">
        <v>50</v>
      </c>
      <c r="C2011">
        <v>101</v>
      </c>
      <c r="D2011">
        <f>YEAR(cukier9[[#This Row],[data]])</f>
        <v>2014</v>
      </c>
    </row>
    <row r="2012" spans="1:4" x14ac:dyDescent="0.25">
      <c r="A2012" s="1">
        <v>41785</v>
      </c>
      <c r="B2012" t="s">
        <v>22</v>
      </c>
      <c r="C2012">
        <v>169</v>
      </c>
      <c r="D2012">
        <f>YEAR(cukier9[[#This Row],[data]])</f>
        <v>2014</v>
      </c>
    </row>
    <row r="2013" spans="1:4" x14ac:dyDescent="0.25">
      <c r="A2013" s="1">
        <v>41786</v>
      </c>
      <c r="B2013" t="s">
        <v>14</v>
      </c>
      <c r="C2013">
        <v>324</v>
      </c>
      <c r="D2013">
        <f>YEAR(cukier9[[#This Row],[data]])</f>
        <v>2014</v>
      </c>
    </row>
    <row r="2014" spans="1:4" x14ac:dyDescent="0.25">
      <c r="A2014" s="1">
        <v>41787</v>
      </c>
      <c r="B2014" t="s">
        <v>219</v>
      </c>
      <c r="C2014">
        <v>16</v>
      </c>
      <c r="D2014">
        <f>YEAR(cukier9[[#This Row],[data]])</f>
        <v>2014</v>
      </c>
    </row>
    <row r="2015" spans="1:4" x14ac:dyDescent="0.25">
      <c r="A2015" s="1">
        <v>41788</v>
      </c>
      <c r="B2015" t="s">
        <v>71</v>
      </c>
      <c r="C2015">
        <v>194</v>
      </c>
      <c r="D2015">
        <f>YEAR(cukier9[[#This Row],[data]])</f>
        <v>2014</v>
      </c>
    </row>
    <row r="2016" spans="1:4" x14ac:dyDescent="0.25">
      <c r="A2016" s="1">
        <v>41789</v>
      </c>
      <c r="B2016" t="s">
        <v>102</v>
      </c>
      <c r="C2016">
        <v>197</v>
      </c>
      <c r="D2016">
        <f>YEAR(cukier9[[#This Row],[data]])</f>
        <v>2014</v>
      </c>
    </row>
    <row r="2017" spans="1:4" x14ac:dyDescent="0.25">
      <c r="A2017" s="1">
        <v>41789</v>
      </c>
      <c r="B2017" t="s">
        <v>23</v>
      </c>
      <c r="C2017">
        <v>23</v>
      </c>
      <c r="D2017">
        <f>YEAR(cukier9[[#This Row],[data]])</f>
        <v>2014</v>
      </c>
    </row>
    <row r="2018" spans="1:4" x14ac:dyDescent="0.25">
      <c r="A2018" s="1">
        <v>41790</v>
      </c>
      <c r="B2018" t="s">
        <v>12</v>
      </c>
      <c r="C2018">
        <v>138</v>
      </c>
      <c r="D2018">
        <f>YEAR(cukier9[[#This Row],[data]])</f>
        <v>2014</v>
      </c>
    </row>
    <row r="2019" spans="1:4" x14ac:dyDescent="0.25">
      <c r="A2019" s="1">
        <v>41791</v>
      </c>
      <c r="B2019" t="s">
        <v>61</v>
      </c>
      <c r="C2019">
        <v>121</v>
      </c>
      <c r="D2019">
        <f>YEAR(cukier9[[#This Row],[data]])</f>
        <v>2014</v>
      </c>
    </row>
    <row r="2020" spans="1:4" x14ac:dyDescent="0.25">
      <c r="A2020" s="1">
        <v>41793</v>
      </c>
      <c r="B2020" t="s">
        <v>204</v>
      </c>
      <c r="C2020">
        <v>10</v>
      </c>
      <c r="D2020">
        <f>YEAR(cukier9[[#This Row],[data]])</f>
        <v>2014</v>
      </c>
    </row>
    <row r="2021" spans="1:4" x14ac:dyDescent="0.25">
      <c r="A2021" s="1">
        <v>41795</v>
      </c>
      <c r="B2021" t="s">
        <v>130</v>
      </c>
      <c r="C2021">
        <v>9</v>
      </c>
      <c r="D2021">
        <f>YEAR(cukier9[[#This Row],[data]])</f>
        <v>2014</v>
      </c>
    </row>
    <row r="2022" spans="1:4" x14ac:dyDescent="0.25">
      <c r="A2022" s="1">
        <v>41798</v>
      </c>
      <c r="B2022" t="s">
        <v>52</v>
      </c>
      <c r="C2022">
        <v>35</v>
      </c>
      <c r="D2022">
        <f>YEAR(cukier9[[#This Row],[data]])</f>
        <v>2014</v>
      </c>
    </row>
    <row r="2023" spans="1:4" x14ac:dyDescent="0.25">
      <c r="A2023" s="1">
        <v>41802</v>
      </c>
      <c r="B2023" t="s">
        <v>35</v>
      </c>
      <c r="C2023">
        <v>154</v>
      </c>
      <c r="D2023">
        <f>YEAR(cukier9[[#This Row],[data]])</f>
        <v>2014</v>
      </c>
    </row>
    <row r="2024" spans="1:4" x14ac:dyDescent="0.25">
      <c r="A2024" s="1">
        <v>41806</v>
      </c>
      <c r="B2024" t="s">
        <v>113</v>
      </c>
      <c r="C2024">
        <v>1</v>
      </c>
      <c r="D2024">
        <f>YEAR(cukier9[[#This Row],[data]])</f>
        <v>2014</v>
      </c>
    </row>
    <row r="2025" spans="1:4" x14ac:dyDescent="0.25">
      <c r="A2025" s="1">
        <v>41807</v>
      </c>
      <c r="B2025" t="s">
        <v>14</v>
      </c>
      <c r="C2025">
        <v>249</v>
      </c>
      <c r="D2025">
        <f>YEAR(cukier9[[#This Row],[data]])</f>
        <v>2014</v>
      </c>
    </row>
    <row r="2026" spans="1:4" x14ac:dyDescent="0.25">
      <c r="A2026" s="1">
        <v>41807</v>
      </c>
      <c r="B2026" t="s">
        <v>37</v>
      </c>
      <c r="C2026">
        <v>27</v>
      </c>
      <c r="D2026">
        <f>YEAR(cukier9[[#This Row],[data]])</f>
        <v>2014</v>
      </c>
    </row>
    <row r="2027" spans="1:4" x14ac:dyDescent="0.25">
      <c r="A2027" s="1">
        <v>41809</v>
      </c>
      <c r="B2027" t="s">
        <v>12</v>
      </c>
      <c r="C2027">
        <v>167</v>
      </c>
      <c r="D2027">
        <f>YEAR(cukier9[[#This Row],[data]])</f>
        <v>2014</v>
      </c>
    </row>
    <row r="2028" spans="1:4" x14ac:dyDescent="0.25">
      <c r="A2028" s="1">
        <v>41810</v>
      </c>
      <c r="B2028" t="s">
        <v>12</v>
      </c>
      <c r="C2028">
        <v>71</v>
      </c>
      <c r="D2028">
        <f>YEAR(cukier9[[#This Row],[data]])</f>
        <v>2014</v>
      </c>
    </row>
    <row r="2029" spans="1:4" x14ac:dyDescent="0.25">
      <c r="A2029" s="1">
        <v>41810</v>
      </c>
      <c r="B2029" t="s">
        <v>83</v>
      </c>
      <c r="C2029">
        <v>13</v>
      </c>
      <c r="D2029">
        <f>YEAR(cukier9[[#This Row],[data]])</f>
        <v>2014</v>
      </c>
    </row>
    <row r="2030" spans="1:4" x14ac:dyDescent="0.25">
      <c r="A2030" s="1">
        <v>41811</v>
      </c>
      <c r="B2030" t="s">
        <v>30</v>
      </c>
      <c r="C2030">
        <v>90</v>
      </c>
      <c r="D2030">
        <f>YEAR(cukier9[[#This Row],[data]])</f>
        <v>2014</v>
      </c>
    </row>
    <row r="2031" spans="1:4" x14ac:dyDescent="0.25">
      <c r="A2031" s="1">
        <v>41814</v>
      </c>
      <c r="B2031" t="s">
        <v>9</v>
      </c>
      <c r="C2031">
        <v>106</v>
      </c>
      <c r="D2031">
        <f>YEAR(cukier9[[#This Row],[data]])</f>
        <v>2014</v>
      </c>
    </row>
    <row r="2032" spans="1:4" x14ac:dyDescent="0.25">
      <c r="A2032" s="1">
        <v>41815</v>
      </c>
      <c r="B2032" t="s">
        <v>66</v>
      </c>
      <c r="C2032">
        <v>57</v>
      </c>
      <c r="D2032">
        <f>YEAR(cukier9[[#This Row],[data]])</f>
        <v>2014</v>
      </c>
    </row>
    <row r="2033" spans="1:4" x14ac:dyDescent="0.25">
      <c r="A2033" s="1">
        <v>41815</v>
      </c>
      <c r="B2033" t="s">
        <v>18</v>
      </c>
      <c r="C2033">
        <v>59</v>
      </c>
      <c r="D2033">
        <f>YEAR(cukier9[[#This Row],[data]])</f>
        <v>2014</v>
      </c>
    </row>
    <row r="2034" spans="1:4" x14ac:dyDescent="0.25">
      <c r="A2034" s="1">
        <v>41817</v>
      </c>
      <c r="B2034" t="s">
        <v>79</v>
      </c>
      <c r="C2034">
        <v>11</v>
      </c>
      <c r="D2034">
        <f>YEAR(cukier9[[#This Row],[data]])</f>
        <v>2014</v>
      </c>
    </row>
    <row r="2035" spans="1:4" x14ac:dyDescent="0.25">
      <c r="A2035" s="1">
        <v>41818</v>
      </c>
      <c r="B2035" t="s">
        <v>102</v>
      </c>
      <c r="C2035">
        <v>361</v>
      </c>
      <c r="D2035">
        <f>YEAR(cukier9[[#This Row],[data]])</f>
        <v>2014</v>
      </c>
    </row>
    <row r="2036" spans="1:4" x14ac:dyDescent="0.25">
      <c r="A2036" s="1">
        <v>41819</v>
      </c>
      <c r="B2036" t="s">
        <v>8</v>
      </c>
      <c r="C2036">
        <v>153</v>
      </c>
      <c r="D2036">
        <f>YEAR(cukier9[[#This Row],[data]])</f>
        <v>2014</v>
      </c>
    </row>
    <row r="2037" spans="1:4" x14ac:dyDescent="0.25">
      <c r="A2037" s="1">
        <v>41820</v>
      </c>
      <c r="B2037" t="s">
        <v>147</v>
      </c>
      <c r="C2037">
        <v>7</v>
      </c>
      <c r="D2037">
        <f>YEAR(cukier9[[#This Row],[data]])</f>
        <v>2014</v>
      </c>
    </row>
    <row r="2038" spans="1:4" x14ac:dyDescent="0.25">
      <c r="A2038" s="1">
        <v>41821</v>
      </c>
      <c r="B2038" t="s">
        <v>71</v>
      </c>
      <c r="C2038">
        <v>65</v>
      </c>
      <c r="D2038">
        <f>YEAR(cukier9[[#This Row],[data]])</f>
        <v>2014</v>
      </c>
    </row>
    <row r="2039" spans="1:4" x14ac:dyDescent="0.25">
      <c r="A2039" s="1">
        <v>41823</v>
      </c>
      <c r="B2039" t="s">
        <v>9</v>
      </c>
      <c r="C2039">
        <v>409</v>
      </c>
      <c r="D2039">
        <f>YEAR(cukier9[[#This Row],[data]])</f>
        <v>2014</v>
      </c>
    </row>
    <row r="2040" spans="1:4" x14ac:dyDescent="0.25">
      <c r="A2040" s="1">
        <v>41825</v>
      </c>
      <c r="B2040" t="s">
        <v>63</v>
      </c>
      <c r="C2040">
        <v>63</v>
      </c>
      <c r="D2040">
        <f>YEAR(cukier9[[#This Row],[data]])</f>
        <v>2014</v>
      </c>
    </row>
    <row r="2041" spans="1:4" x14ac:dyDescent="0.25">
      <c r="A2041" s="1">
        <v>41826</v>
      </c>
      <c r="B2041" t="s">
        <v>7</v>
      </c>
      <c r="C2041">
        <v>441</v>
      </c>
      <c r="D2041">
        <f>YEAR(cukier9[[#This Row],[data]])</f>
        <v>2014</v>
      </c>
    </row>
    <row r="2042" spans="1:4" x14ac:dyDescent="0.25">
      <c r="A2042" s="1">
        <v>41830</v>
      </c>
      <c r="B2042" t="s">
        <v>52</v>
      </c>
      <c r="C2042">
        <v>91</v>
      </c>
      <c r="D2042">
        <f>YEAR(cukier9[[#This Row],[data]])</f>
        <v>2014</v>
      </c>
    </row>
    <row r="2043" spans="1:4" x14ac:dyDescent="0.25">
      <c r="A2043" s="1">
        <v>41831</v>
      </c>
      <c r="B2043" t="s">
        <v>12</v>
      </c>
      <c r="C2043">
        <v>73</v>
      </c>
      <c r="D2043">
        <f>YEAR(cukier9[[#This Row],[data]])</f>
        <v>2014</v>
      </c>
    </row>
    <row r="2044" spans="1:4" x14ac:dyDescent="0.25">
      <c r="A2044" s="1">
        <v>41832</v>
      </c>
      <c r="B2044" t="s">
        <v>6</v>
      </c>
      <c r="C2044">
        <v>184</v>
      </c>
      <c r="D2044">
        <f>YEAR(cukier9[[#This Row],[data]])</f>
        <v>2014</v>
      </c>
    </row>
    <row r="2045" spans="1:4" x14ac:dyDescent="0.25">
      <c r="A2045" s="1">
        <v>41836</v>
      </c>
      <c r="B2045" t="s">
        <v>61</v>
      </c>
      <c r="C2045">
        <v>191</v>
      </c>
      <c r="D2045">
        <f>YEAR(cukier9[[#This Row],[data]])</f>
        <v>2014</v>
      </c>
    </row>
    <row r="2046" spans="1:4" x14ac:dyDescent="0.25">
      <c r="A2046" s="1">
        <v>41837</v>
      </c>
      <c r="B2046" t="s">
        <v>17</v>
      </c>
      <c r="C2046">
        <v>371</v>
      </c>
      <c r="D2046">
        <f>YEAR(cukier9[[#This Row],[data]])</f>
        <v>2014</v>
      </c>
    </row>
    <row r="2047" spans="1:4" x14ac:dyDescent="0.25">
      <c r="A2047" s="1">
        <v>41838</v>
      </c>
      <c r="B2047" t="s">
        <v>22</v>
      </c>
      <c r="C2047">
        <v>485</v>
      </c>
      <c r="D2047">
        <f>YEAR(cukier9[[#This Row],[data]])</f>
        <v>2014</v>
      </c>
    </row>
    <row r="2048" spans="1:4" x14ac:dyDescent="0.25">
      <c r="A2048" s="1">
        <v>41838</v>
      </c>
      <c r="B2048" t="s">
        <v>37</v>
      </c>
      <c r="C2048">
        <v>92</v>
      </c>
      <c r="D2048">
        <f>YEAR(cukier9[[#This Row],[data]])</f>
        <v>2014</v>
      </c>
    </row>
    <row r="2049" spans="1:4" x14ac:dyDescent="0.25">
      <c r="A2049" s="1">
        <v>41840</v>
      </c>
      <c r="B2049" t="s">
        <v>17</v>
      </c>
      <c r="C2049">
        <v>442</v>
      </c>
      <c r="D2049">
        <f>YEAR(cukier9[[#This Row],[data]])</f>
        <v>2014</v>
      </c>
    </row>
    <row r="2050" spans="1:4" x14ac:dyDescent="0.25">
      <c r="A2050" s="1">
        <v>41841</v>
      </c>
      <c r="B2050" t="s">
        <v>8</v>
      </c>
      <c r="C2050">
        <v>44</v>
      </c>
      <c r="D2050">
        <f>YEAR(cukier9[[#This Row],[data]])</f>
        <v>2014</v>
      </c>
    </row>
    <row r="2051" spans="1:4" x14ac:dyDescent="0.25">
      <c r="A2051" s="1">
        <v>41843</v>
      </c>
      <c r="B2051" t="s">
        <v>39</v>
      </c>
      <c r="C2051">
        <v>39</v>
      </c>
      <c r="D2051">
        <f>YEAR(cukier9[[#This Row],[data]])</f>
        <v>2014</v>
      </c>
    </row>
    <row r="2052" spans="1:4" x14ac:dyDescent="0.25">
      <c r="A2052" s="1">
        <v>41848</v>
      </c>
      <c r="B2052" t="s">
        <v>17</v>
      </c>
      <c r="C2052">
        <v>288</v>
      </c>
      <c r="D2052">
        <f>YEAR(cukier9[[#This Row],[data]])</f>
        <v>2014</v>
      </c>
    </row>
    <row r="2053" spans="1:4" x14ac:dyDescent="0.25">
      <c r="A2053" s="1">
        <v>41848</v>
      </c>
      <c r="B2053" t="s">
        <v>190</v>
      </c>
      <c r="C2053">
        <v>4</v>
      </c>
      <c r="D2053">
        <f>YEAR(cukier9[[#This Row],[data]])</f>
        <v>2014</v>
      </c>
    </row>
    <row r="2054" spans="1:4" x14ac:dyDescent="0.25">
      <c r="A2054" s="1">
        <v>41851</v>
      </c>
      <c r="B2054" t="s">
        <v>238</v>
      </c>
      <c r="C2054">
        <v>6</v>
      </c>
      <c r="D2054">
        <f>YEAR(cukier9[[#This Row],[data]])</f>
        <v>2014</v>
      </c>
    </row>
    <row r="2055" spans="1:4" x14ac:dyDescent="0.25">
      <c r="A2055" s="1">
        <v>41851</v>
      </c>
      <c r="B2055" t="s">
        <v>116</v>
      </c>
      <c r="C2055">
        <v>9</v>
      </c>
      <c r="D2055">
        <f>YEAR(cukier9[[#This Row],[data]])</f>
        <v>2014</v>
      </c>
    </row>
    <row r="2056" spans="1:4" x14ac:dyDescent="0.25">
      <c r="A2056" s="1">
        <v>41852</v>
      </c>
      <c r="B2056" t="s">
        <v>37</v>
      </c>
      <c r="C2056">
        <v>178</v>
      </c>
      <c r="D2056">
        <f>YEAR(cukier9[[#This Row],[data]])</f>
        <v>2014</v>
      </c>
    </row>
    <row r="2057" spans="1:4" x14ac:dyDescent="0.25">
      <c r="A2057" s="1">
        <v>41853</v>
      </c>
      <c r="B2057" t="s">
        <v>50</v>
      </c>
      <c r="C2057">
        <v>455</v>
      </c>
      <c r="D2057">
        <f>YEAR(cukier9[[#This Row],[data]])</f>
        <v>2014</v>
      </c>
    </row>
    <row r="2058" spans="1:4" x14ac:dyDescent="0.25">
      <c r="A2058" s="1">
        <v>41854</v>
      </c>
      <c r="B2058" t="s">
        <v>78</v>
      </c>
      <c r="C2058">
        <v>56</v>
      </c>
      <c r="D2058">
        <f>YEAR(cukier9[[#This Row],[data]])</f>
        <v>2014</v>
      </c>
    </row>
    <row r="2059" spans="1:4" x14ac:dyDescent="0.25">
      <c r="A2059" s="1">
        <v>41858</v>
      </c>
      <c r="B2059" t="s">
        <v>61</v>
      </c>
      <c r="C2059">
        <v>46</v>
      </c>
      <c r="D2059">
        <f>YEAR(cukier9[[#This Row],[data]])</f>
        <v>2014</v>
      </c>
    </row>
    <row r="2060" spans="1:4" x14ac:dyDescent="0.25">
      <c r="A2060" s="1">
        <v>41859</v>
      </c>
      <c r="B2060" t="s">
        <v>124</v>
      </c>
      <c r="C2060">
        <v>15</v>
      </c>
      <c r="D2060">
        <f>YEAR(cukier9[[#This Row],[data]])</f>
        <v>2014</v>
      </c>
    </row>
    <row r="2061" spans="1:4" x14ac:dyDescent="0.25">
      <c r="A2061" s="1">
        <v>41860</v>
      </c>
      <c r="B2061" t="s">
        <v>8</v>
      </c>
      <c r="C2061">
        <v>130</v>
      </c>
      <c r="D2061">
        <f>YEAR(cukier9[[#This Row],[data]])</f>
        <v>2014</v>
      </c>
    </row>
    <row r="2062" spans="1:4" x14ac:dyDescent="0.25">
      <c r="A2062" s="1">
        <v>41861</v>
      </c>
      <c r="B2062" t="s">
        <v>20</v>
      </c>
      <c r="C2062">
        <v>154</v>
      </c>
      <c r="D2062">
        <f>YEAR(cukier9[[#This Row],[data]])</f>
        <v>2014</v>
      </c>
    </row>
    <row r="2063" spans="1:4" x14ac:dyDescent="0.25">
      <c r="A2063" s="1">
        <v>41861</v>
      </c>
      <c r="B2063" t="s">
        <v>8</v>
      </c>
      <c r="C2063">
        <v>137</v>
      </c>
      <c r="D2063">
        <f>YEAR(cukier9[[#This Row],[data]])</f>
        <v>2014</v>
      </c>
    </row>
    <row r="2064" spans="1:4" x14ac:dyDescent="0.25">
      <c r="A2064" s="1">
        <v>41863</v>
      </c>
      <c r="B2064" t="s">
        <v>58</v>
      </c>
      <c r="C2064">
        <v>119</v>
      </c>
      <c r="D2064">
        <f>YEAR(cukier9[[#This Row],[data]])</f>
        <v>2014</v>
      </c>
    </row>
    <row r="2065" spans="1:4" x14ac:dyDescent="0.25">
      <c r="A2065" s="1">
        <v>41863</v>
      </c>
      <c r="B2065" t="s">
        <v>50</v>
      </c>
      <c r="C2065">
        <v>138</v>
      </c>
      <c r="D2065">
        <f>YEAR(cukier9[[#This Row],[data]])</f>
        <v>2014</v>
      </c>
    </row>
    <row r="2066" spans="1:4" x14ac:dyDescent="0.25">
      <c r="A2066" s="1">
        <v>41864</v>
      </c>
      <c r="B2066" t="s">
        <v>50</v>
      </c>
      <c r="C2066">
        <v>303</v>
      </c>
      <c r="D2066">
        <f>YEAR(cukier9[[#This Row],[data]])</f>
        <v>2014</v>
      </c>
    </row>
    <row r="2067" spans="1:4" x14ac:dyDescent="0.25">
      <c r="A2067" s="1">
        <v>41866</v>
      </c>
      <c r="B2067" t="s">
        <v>18</v>
      </c>
      <c r="C2067">
        <v>73</v>
      </c>
      <c r="D2067">
        <f>YEAR(cukier9[[#This Row],[data]])</f>
        <v>2014</v>
      </c>
    </row>
    <row r="2068" spans="1:4" x14ac:dyDescent="0.25">
      <c r="A2068" s="1">
        <v>41868</v>
      </c>
      <c r="B2068" t="s">
        <v>55</v>
      </c>
      <c r="C2068">
        <v>35</v>
      </c>
      <c r="D2068">
        <f>YEAR(cukier9[[#This Row],[data]])</f>
        <v>2014</v>
      </c>
    </row>
    <row r="2069" spans="1:4" x14ac:dyDescent="0.25">
      <c r="A2069" s="1">
        <v>41868</v>
      </c>
      <c r="B2069" t="s">
        <v>14</v>
      </c>
      <c r="C2069">
        <v>435</v>
      </c>
      <c r="D2069">
        <f>YEAR(cukier9[[#This Row],[data]])</f>
        <v>2014</v>
      </c>
    </row>
    <row r="2070" spans="1:4" x14ac:dyDescent="0.25">
      <c r="A2070" s="1">
        <v>41871</v>
      </c>
      <c r="B2070" t="s">
        <v>9</v>
      </c>
      <c r="C2070">
        <v>476</v>
      </c>
      <c r="D2070">
        <f>YEAR(cukier9[[#This Row],[data]])</f>
        <v>2014</v>
      </c>
    </row>
    <row r="2071" spans="1:4" x14ac:dyDescent="0.25">
      <c r="A2071" s="1">
        <v>41874</v>
      </c>
      <c r="B2071" t="s">
        <v>7</v>
      </c>
      <c r="C2071">
        <v>386</v>
      </c>
      <c r="D2071">
        <f>YEAR(cukier9[[#This Row],[data]])</f>
        <v>2014</v>
      </c>
    </row>
    <row r="2072" spans="1:4" x14ac:dyDescent="0.25">
      <c r="A2072" s="1">
        <v>41877</v>
      </c>
      <c r="B2072" t="s">
        <v>10</v>
      </c>
      <c r="C2072">
        <v>147</v>
      </c>
      <c r="D2072">
        <f>YEAR(cukier9[[#This Row],[data]])</f>
        <v>2014</v>
      </c>
    </row>
    <row r="2073" spans="1:4" x14ac:dyDescent="0.25">
      <c r="A2073" s="1">
        <v>41880</v>
      </c>
      <c r="B2073" t="s">
        <v>14</v>
      </c>
      <c r="C2073">
        <v>112</v>
      </c>
      <c r="D2073">
        <f>YEAR(cukier9[[#This Row],[data]])</f>
        <v>2014</v>
      </c>
    </row>
    <row r="2074" spans="1:4" x14ac:dyDescent="0.25">
      <c r="A2074" s="1">
        <v>41885</v>
      </c>
      <c r="B2074" t="s">
        <v>61</v>
      </c>
      <c r="C2074">
        <v>156</v>
      </c>
      <c r="D2074">
        <f>YEAR(cukier9[[#This Row],[data]])</f>
        <v>2014</v>
      </c>
    </row>
    <row r="2075" spans="1:4" x14ac:dyDescent="0.25">
      <c r="A2075" s="1">
        <v>41886</v>
      </c>
      <c r="B2075" t="s">
        <v>102</v>
      </c>
      <c r="C2075">
        <v>106</v>
      </c>
      <c r="D2075">
        <f>YEAR(cukier9[[#This Row],[data]])</f>
        <v>2014</v>
      </c>
    </row>
    <row r="2076" spans="1:4" x14ac:dyDescent="0.25">
      <c r="A2076" s="1">
        <v>41888</v>
      </c>
      <c r="B2076" t="s">
        <v>139</v>
      </c>
      <c r="C2076">
        <v>2</v>
      </c>
      <c r="D2076">
        <f>YEAR(cukier9[[#This Row],[data]])</f>
        <v>2014</v>
      </c>
    </row>
    <row r="2077" spans="1:4" x14ac:dyDescent="0.25">
      <c r="A2077" s="1">
        <v>41888</v>
      </c>
      <c r="B2077" t="s">
        <v>86</v>
      </c>
      <c r="C2077">
        <v>19</v>
      </c>
      <c r="D2077">
        <f>YEAR(cukier9[[#This Row],[data]])</f>
        <v>2014</v>
      </c>
    </row>
    <row r="2078" spans="1:4" x14ac:dyDescent="0.25">
      <c r="A2078" s="1">
        <v>41889</v>
      </c>
      <c r="B2078" t="s">
        <v>59</v>
      </c>
      <c r="C2078">
        <v>18</v>
      </c>
      <c r="D2078">
        <f>YEAR(cukier9[[#This Row],[data]])</f>
        <v>2014</v>
      </c>
    </row>
    <row r="2079" spans="1:4" x14ac:dyDescent="0.25">
      <c r="A2079" s="1">
        <v>41892</v>
      </c>
      <c r="B2079" t="s">
        <v>102</v>
      </c>
      <c r="C2079">
        <v>332</v>
      </c>
      <c r="D2079">
        <f>YEAR(cukier9[[#This Row],[data]])</f>
        <v>2014</v>
      </c>
    </row>
    <row r="2080" spans="1:4" x14ac:dyDescent="0.25">
      <c r="A2080" s="1">
        <v>41893</v>
      </c>
      <c r="B2080" t="s">
        <v>110</v>
      </c>
      <c r="C2080">
        <v>1</v>
      </c>
      <c r="D2080">
        <f>YEAR(cukier9[[#This Row],[data]])</f>
        <v>2014</v>
      </c>
    </row>
    <row r="2081" spans="1:4" x14ac:dyDescent="0.25">
      <c r="A2081" s="1">
        <v>41894</v>
      </c>
      <c r="B2081" t="s">
        <v>17</v>
      </c>
      <c r="C2081">
        <v>438</v>
      </c>
      <c r="D2081">
        <f>YEAR(cukier9[[#This Row],[data]])</f>
        <v>2014</v>
      </c>
    </row>
    <row r="2082" spans="1:4" x14ac:dyDescent="0.25">
      <c r="A2082" s="1">
        <v>41895</v>
      </c>
      <c r="B2082" t="s">
        <v>19</v>
      </c>
      <c r="C2082">
        <v>25</v>
      </c>
      <c r="D2082">
        <f>YEAR(cukier9[[#This Row],[data]])</f>
        <v>2014</v>
      </c>
    </row>
    <row r="2083" spans="1:4" x14ac:dyDescent="0.25">
      <c r="A2083" s="1">
        <v>41897</v>
      </c>
      <c r="B2083" t="s">
        <v>14</v>
      </c>
      <c r="C2083">
        <v>220</v>
      </c>
      <c r="D2083">
        <f>YEAR(cukier9[[#This Row],[data]])</f>
        <v>2014</v>
      </c>
    </row>
    <row r="2084" spans="1:4" x14ac:dyDescent="0.25">
      <c r="A2084" s="1">
        <v>41897</v>
      </c>
      <c r="B2084" t="s">
        <v>39</v>
      </c>
      <c r="C2084">
        <v>47</v>
      </c>
      <c r="D2084">
        <f>YEAR(cukier9[[#This Row],[data]])</f>
        <v>2014</v>
      </c>
    </row>
    <row r="2085" spans="1:4" x14ac:dyDescent="0.25">
      <c r="A2085" s="1">
        <v>41897</v>
      </c>
      <c r="B2085" t="s">
        <v>239</v>
      </c>
      <c r="C2085">
        <v>1</v>
      </c>
      <c r="D2085">
        <f>YEAR(cukier9[[#This Row],[data]])</f>
        <v>2014</v>
      </c>
    </row>
    <row r="2086" spans="1:4" x14ac:dyDescent="0.25">
      <c r="A2086" s="1">
        <v>41898</v>
      </c>
      <c r="B2086" t="s">
        <v>186</v>
      </c>
      <c r="C2086">
        <v>14</v>
      </c>
      <c r="D2086">
        <f>YEAR(cukier9[[#This Row],[data]])</f>
        <v>2014</v>
      </c>
    </row>
    <row r="2087" spans="1:4" x14ac:dyDescent="0.25">
      <c r="A2087" s="1">
        <v>41899</v>
      </c>
      <c r="B2087" t="s">
        <v>9</v>
      </c>
      <c r="C2087">
        <v>132</v>
      </c>
      <c r="D2087">
        <f>YEAR(cukier9[[#This Row],[data]])</f>
        <v>2014</v>
      </c>
    </row>
    <row r="2088" spans="1:4" x14ac:dyDescent="0.25">
      <c r="A2088" s="1">
        <v>41904</v>
      </c>
      <c r="B2088" t="s">
        <v>146</v>
      </c>
      <c r="C2088">
        <v>18</v>
      </c>
      <c r="D2088">
        <f>YEAR(cukier9[[#This Row],[data]])</f>
        <v>2014</v>
      </c>
    </row>
    <row r="2089" spans="1:4" x14ac:dyDescent="0.25">
      <c r="A2089" s="1">
        <v>41906</v>
      </c>
      <c r="B2089" t="s">
        <v>9</v>
      </c>
      <c r="C2089">
        <v>266</v>
      </c>
      <c r="D2089">
        <f>YEAR(cukier9[[#This Row],[data]])</f>
        <v>2014</v>
      </c>
    </row>
    <row r="2090" spans="1:4" x14ac:dyDescent="0.25">
      <c r="A2090" s="1">
        <v>41907</v>
      </c>
      <c r="B2090" t="s">
        <v>8</v>
      </c>
      <c r="C2090">
        <v>30</v>
      </c>
      <c r="D2090">
        <f>YEAR(cukier9[[#This Row],[data]])</f>
        <v>2014</v>
      </c>
    </row>
    <row r="2091" spans="1:4" x14ac:dyDescent="0.25">
      <c r="A2091" s="1">
        <v>41909</v>
      </c>
      <c r="B2091" t="s">
        <v>45</v>
      </c>
      <c r="C2091">
        <v>452</v>
      </c>
      <c r="D2091">
        <f>YEAR(cukier9[[#This Row],[data]])</f>
        <v>2014</v>
      </c>
    </row>
    <row r="2092" spans="1:4" x14ac:dyDescent="0.25">
      <c r="A2092" s="1">
        <v>41911</v>
      </c>
      <c r="B2092" t="s">
        <v>5</v>
      </c>
      <c r="C2092">
        <v>306</v>
      </c>
      <c r="D2092">
        <f>YEAR(cukier9[[#This Row],[data]])</f>
        <v>2014</v>
      </c>
    </row>
    <row r="2093" spans="1:4" x14ac:dyDescent="0.25">
      <c r="A2093" s="1">
        <v>41912</v>
      </c>
      <c r="B2093" t="s">
        <v>61</v>
      </c>
      <c r="C2093">
        <v>98</v>
      </c>
      <c r="D2093">
        <f>YEAR(cukier9[[#This Row],[data]])</f>
        <v>2014</v>
      </c>
    </row>
    <row r="2094" spans="1:4" x14ac:dyDescent="0.25">
      <c r="A2094" s="1">
        <v>41913</v>
      </c>
      <c r="B2094" t="s">
        <v>58</v>
      </c>
      <c r="C2094">
        <v>110</v>
      </c>
      <c r="D2094">
        <f>YEAR(cukier9[[#This Row],[data]])</f>
        <v>2014</v>
      </c>
    </row>
    <row r="2095" spans="1:4" x14ac:dyDescent="0.25">
      <c r="A2095" s="1">
        <v>41913</v>
      </c>
      <c r="B2095" t="s">
        <v>8</v>
      </c>
      <c r="C2095">
        <v>57</v>
      </c>
      <c r="D2095">
        <f>YEAR(cukier9[[#This Row],[data]])</f>
        <v>2014</v>
      </c>
    </row>
    <row r="2096" spans="1:4" x14ac:dyDescent="0.25">
      <c r="A2096" s="1">
        <v>41913</v>
      </c>
      <c r="B2096" t="s">
        <v>157</v>
      </c>
      <c r="C2096">
        <v>16</v>
      </c>
      <c r="D2096">
        <f>YEAR(cukier9[[#This Row],[data]])</f>
        <v>2014</v>
      </c>
    </row>
    <row r="2097" spans="1:4" x14ac:dyDescent="0.25">
      <c r="A2097" s="1">
        <v>41916</v>
      </c>
      <c r="B2097" t="s">
        <v>104</v>
      </c>
      <c r="C2097">
        <v>5</v>
      </c>
      <c r="D2097">
        <f>YEAR(cukier9[[#This Row],[data]])</f>
        <v>2014</v>
      </c>
    </row>
    <row r="2098" spans="1:4" x14ac:dyDescent="0.25">
      <c r="A2098" s="1">
        <v>41919</v>
      </c>
      <c r="B2098" t="s">
        <v>22</v>
      </c>
      <c r="C2098">
        <v>433</v>
      </c>
      <c r="D2098">
        <f>YEAR(cukier9[[#This Row],[data]])</f>
        <v>2014</v>
      </c>
    </row>
    <row r="2099" spans="1:4" x14ac:dyDescent="0.25">
      <c r="A2099" s="1">
        <v>41920</v>
      </c>
      <c r="B2099" t="s">
        <v>69</v>
      </c>
      <c r="C2099">
        <v>180</v>
      </c>
      <c r="D2099">
        <f>YEAR(cukier9[[#This Row],[data]])</f>
        <v>2014</v>
      </c>
    </row>
    <row r="2100" spans="1:4" x14ac:dyDescent="0.25">
      <c r="A2100" s="1">
        <v>41920</v>
      </c>
      <c r="B2100" t="s">
        <v>22</v>
      </c>
      <c r="C2100">
        <v>381</v>
      </c>
      <c r="D2100">
        <f>YEAR(cukier9[[#This Row],[data]])</f>
        <v>2014</v>
      </c>
    </row>
    <row r="2101" spans="1:4" x14ac:dyDescent="0.25">
      <c r="A2101" s="1">
        <v>41921</v>
      </c>
      <c r="B2101" t="s">
        <v>70</v>
      </c>
      <c r="C2101">
        <v>16</v>
      </c>
      <c r="D2101">
        <f>YEAR(cukier9[[#This Row],[data]])</f>
        <v>2014</v>
      </c>
    </row>
    <row r="2102" spans="1:4" x14ac:dyDescent="0.25">
      <c r="A2102" s="1">
        <v>41921</v>
      </c>
      <c r="B2102" t="s">
        <v>28</v>
      </c>
      <c r="C2102">
        <v>85</v>
      </c>
      <c r="D2102">
        <f>YEAR(cukier9[[#This Row],[data]])</f>
        <v>2014</v>
      </c>
    </row>
    <row r="2103" spans="1:4" x14ac:dyDescent="0.25">
      <c r="A2103" s="1">
        <v>41921</v>
      </c>
      <c r="B2103" t="s">
        <v>25</v>
      </c>
      <c r="C2103">
        <v>37</v>
      </c>
      <c r="D2103">
        <f>YEAR(cukier9[[#This Row],[data]])</f>
        <v>2014</v>
      </c>
    </row>
    <row r="2104" spans="1:4" x14ac:dyDescent="0.25">
      <c r="A2104" s="1">
        <v>41924</v>
      </c>
      <c r="B2104" t="s">
        <v>20</v>
      </c>
      <c r="C2104">
        <v>69</v>
      </c>
      <c r="D2104">
        <f>YEAR(cukier9[[#This Row],[data]])</f>
        <v>2014</v>
      </c>
    </row>
    <row r="2105" spans="1:4" x14ac:dyDescent="0.25">
      <c r="A2105" s="1">
        <v>41925</v>
      </c>
      <c r="B2105" t="s">
        <v>7</v>
      </c>
      <c r="C2105">
        <v>304</v>
      </c>
      <c r="D2105">
        <f>YEAR(cukier9[[#This Row],[data]])</f>
        <v>2014</v>
      </c>
    </row>
    <row r="2106" spans="1:4" x14ac:dyDescent="0.25">
      <c r="A2106" s="1">
        <v>41928</v>
      </c>
      <c r="B2106" t="s">
        <v>22</v>
      </c>
      <c r="C2106">
        <v>491</v>
      </c>
      <c r="D2106">
        <f>YEAR(cukier9[[#This Row],[data]])</f>
        <v>2014</v>
      </c>
    </row>
    <row r="2107" spans="1:4" x14ac:dyDescent="0.25">
      <c r="A2107" s="1">
        <v>41931</v>
      </c>
      <c r="B2107" t="s">
        <v>23</v>
      </c>
      <c r="C2107">
        <v>106</v>
      </c>
      <c r="D2107">
        <f>YEAR(cukier9[[#This Row],[data]])</f>
        <v>2014</v>
      </c>
    </row>
    <row r="2108" spans="1:4" x14ac:dyDescent="0.25">
      <c r="A2108" s="1">
        <v>41935</v>
      </c>
      <c r="B2108" t="s">
        <v>52</v>
      </c>
      <c r="C2108">
        <v>188</v>
      </c>
      <c r="D2108">
        <f>YEAR(cukier9[[#This Row],[data]])</f>
        <v>2014</v>
      </c>
    </row>
    <row r="2109" spans="1:4" x14ac:dyDescent="0.25">
      <c r="A2109" s="1">
        <v>41935</v>
      </c>
      <c r="B2109" t="s">
        <v>8</v>
      </c>
      <c r="C2109">
        <v>131</v>
      </c>
      <c r="D2109">
        <f>YEAR(cukier9[[#This Row],[data]])</f>
        <v>2014</v>
      </c>
    </row>
    <row r="2110" spans="1:4" x14ac:dyDescent="0.25">
      <c r="A2110" s="1">
        <v>41936</v>
      </c>
      <c r="B2110" t="s">
        <v>148</v>
      </c>
      <c r="C2110">
        <v>9</v>
      </c>
      <c r="D2110">
        <f>YEAR(cukier9[[#This Row],[data]])</f>
        <v>2014</v>
      </c>
    </row>
    <row r="2111" spans="1:4" x14ac:dyDescent="0.25">
      <c r="A2111" s="1">
        <v>41938</v>
      </c>
      <c r="B2111" t="s">
        <v>45</v>
      </c>
      <c r="C2111">
        <v>245</v>
      </c>
      <c r="D2111">
        <f>YEAR(cukier9[[#This Row],[data]])</f>
        <v>2014</v>
      </c>
    </row>
    <row r="2112" spans="1:4" x14ac:dyDescent="0.25">
      <c r="A2112" s="1">
        <v>41943</v>
      </c>
      <c r="B2112" t="s">
        <v>22</v>
      </c>
      <c r="C2112">
        <v>166</v>
      </c>
      <c r="D2112">
        <f>YEAR(cukier9[[#This Row],[data]])</f>
        <v>2014</v>
      </c>
    </row>
    <row r="2113" spans="1:4" x14ac:dyDescent="0.25">
      <c r="A2113" s="1">
        <v>41945</v>
      </c>
      <c r="B2113" t="s">
        <v>55</v>
      </c>
      <c r="C2113">
        <v>171</v>
      </c>
      <c r="D2113">
        <f>YEAR(cukier9[[#This Row],[data]])</f>
        <v>2014</v>
      </c>
    </row>
    <row r="2114" spans="1:4" x14ac:dyDescent="0.25">
      <c r="A2114" s="1">
        <v>41945</v>
      </c>
      <c r="B2114" t="s">
        <v>119</v>
      </c>
      <c r="C2114">
        <v>11</v>
      </c>
      <c r="D2114">
        <f>YEAR(cukier9[[#This Row],[data]])</f>
        <v>2014</v>
      </c>
    </row>
    <row r="2115" spans="1:4" x14ac:dyDescent="0.25">
      <c r="A2115" s="1">
        <v>41946</v>
      </c>
      <c r="B2115" t="s">
        <v>20</v>
      </c>
      <c r="C2115">
        <v>52</v>
      </c>
      <c r="D2115">
        <f>YEAR(cukier9[[#This Row],[data]])</f>
        <v>2014</v>
      </c>
    </row>
    <row r="2116" spans="1:4" x14ac:dyDescent="0.25">
      <c r="A2116" s="1">
        <v>41949</v>
      </c>
      <c r="B2116" t="s">
        <v>120</v>
      </c>
      <c r="C2116">
        <v>56</v>
      </c>
      <c r="D2116">
        <f>YEAR(cukier9[[#This Row],[data]])</f>
        <v>2014</v>
      </c>
    </row>
    <row r="2117" spans="1:4" x14ac:dyDescent="0.25">
      <c r="A2117" s="1">
        <v>41950</v>
      </c>
      <c r="B2117" t="s">
        <v>54</v>
      </c>
      <c r="C2117">
        <v>6</v>
      </c>
      <c r="D2117">
        <f>YEAR(cukier9[[#This Row],[data]])</f>
        <v>2014</v>
      </c>
    </row>
    <row r="2118" spans="1:4" x14ac:dyDescent="0.25">
      <c r="A2118" s="1">
        <v>41950</v>
      </c>
      <c r="B2118" t="s">
        <v>55</v>
      </c>
      <c r="C2118">
        <v>179</v>
      </c>
      <c r="D2118">
        <f>YEAR(cukier9[[#This Row],[data]])</f>
        <v>2014</v>
      </c>
    </row>
    <row r="2119" spans="1:4" x14ac:dyDescent="0.25">
      <c r="A2119" s="1">
        <v>41951</v>
      </c>
      <c r="B2119" t="s">
        <v>22</v>
      </c>
      <c r="C2119">
        <v>398</v>
      </c>
      <c r="D2119">
        <f>YEAR(cukier9[[#This Row],[data]])</f>
        <v>2014</v>
      </c>
    </row>
    <row r="2120" spans="1:4" x14ac:dyDescent="0.25">
      <c r="A2120" s="1">
        <v>41952</v>
      </c>
      <c r="B2120" t="s">
        <v>69</v>
      </c>
      <c r="C2120">
        <v>68</v>
      </c>
      <c r="D2120">
        <f>YEAR(cukier9[[#This Row],[data]])</f>
        <v>2014</v>
      </c>
    </row>
    <row r="2121" spans="1:4" x14ac:dyDescent="0.25">
      <c r="A2121" s="1">
        <v>41952</v>
      </c>
      <c r="B2121" t="s">
        <v>12</v>
      </c>
      <c r="C2121">
        <v>160</v>
      </c>
      <c r="D2121">
        <f>YEAR(cukier9[[#This Row],[data]])</f>
        <v>2014</v>
      </c>
    </row>
    <row r="2122" spans="1:4" x14ac:dyDescent="0.25">
      <c r="A2122" s="1">
        <v>41953</v>
      </c>
      <c r="B2122" t="s">
        <v>12</v>
      </c>
      <c r="C2122">
        <v>183</v>
      </c>
      <c r="D2122">
        <f>YEAR(cukier9[[#This Row],[data]])</f>
        <v>2014</v>
      </c>
    </row>
    <row r="2123" spans="1:4" x14ac:dyDescent="0.25">
      <c r="A2123" s="1">
        <v>41954</v>
      </c>
      <c r="B2123" t="s">
        <v>22</v>
      </c>
      <c r="C2123">
        <v>178</v>
      </c>
      <c r="D2123">
        <f>YEAR(cukier9[[#This Row],[data]])</f>
        <v>2014</v>
      </c>
    </row>
    <row r="2124" spans="1:4" x14ac:dyDescent="0.25">
      <c r="A2124" s="1">
        <v>41955</v>
      </c>
      <c r="B2124" t="s">
        <v>7</v>
      </c>
      <c r="C2124">
        <v>381</v>
      </c>
      <c r="D2124">
        <f>YEAR(cukier9[[#This Row],[data]])</f>
        <v>2014</v>
      </c>
    </row>
    <row r="2125" spans="1:4" x14ac:dyDescent="0.25">
      <c r="A2125" s="1">
        <v>41957</v>
      </c>
      <c r="B2125" t="s">
        <v>62</v>
      </c>
      <c r="C2125">
        <v>12</v>
      </c>
      <c r="D2125">
        <f>YEAR(cukier9[[#This Row],[data]])</f>
        <v>2014</v>
      </c>
    </row>
    <row r="2126" spans="1:4" x14ac:dyDescent="0.25">
      <c r="A2126" s="1">
        <v>41959</v>
      </c>
      <c r="B2126" t="s">
        <v>28</v>
      </c>
      <c r="C2126">
        <v>116</v>
      </c>
      <c r="D2126">
        <f>YEAR(cukier9[[#This Row],[data]])</f>
        <v>2014</v>
      </c>
    </row>
    <row r="2127" spans="1:4" x14ac:dyDescent="0.25">
      <c r="A2127" s="1">
        <v>41961</v>
      </c>
      <c r="B2127" t="s">
        <v>7</v>
      </c>
      <c r="C2127">
        <v>117</v>
      </c>
      <c r="D2127">
        <f>YEAR(cukier9[[#This Row],[data]])</f>
        <v>2014</v>
      </c>
    </row>
    <row r="2128" spans="1:4" x14ac:dyDescent="0.25">
      <c r="A2128" s="1">
        <v>41961</v>
      </c>
      <c r="B2128" t="s">
        <v>69</v>
      </c>
      <c r="C2128">
        <v>31</v>
      </c>
      <c r="D2128">
        <f>YEAR(cukier9[[#This Row],[data]])</f>
        <v>2014</v>
      </c>
    </row>
    <row r="2129" spans="1:4" x14ac:dyDescent="0.25">
      <c r="A2129" s="1">
        <v>41962</v>
      </c>
      <c r="B2129" t="s">
        <v>8</v>
      </c>
      <c r="C2129">
        <v>131</v>
      </c>
      <c r="D2129">
        <f>YEAR(cukier9[[#This Row],[data]])</f>
        <v>2014</v>
      </c>
    </row>
    <row r="2130" spans="1:4" x14ac:dyDescent="0.25">
      <c r="A2130" s="1">
        <v>41962</v>
      </c>
      <c r="B2130" t="s">
        <v>10</v>
      </c>
      <c r="C2130">
        <v>21</v>
      </c>
      <c r="D2130">
        <f>YEAR(cukier9[[#This Row],[data]])</f>
        <v>2014</v>
      </c>
    </row>
    <row r="2131" spans="1:4" x14ac:dyDescent="0.25">
      <c r="A2131" s="1">
        <v>41963</v>
      </c>
      <c r="B2131" t="s">
        <v>9</v>
      </c>
      <c r="C2131">
        <v>300</v>
      </c>
      <c r="D2131">
        <f>YEAR(cukier9[[#This Row],[data]])</f>
        <v>2014</v>
      </c>
    </row>
    <row r="2132" spans="1:4" x14ac:dyDescent="0.25">
      <c r="A2132" s="1">
        <v>41963</v>
      </c>
      <c r="B2132" t="s">
        <v>18</v>
      </c>
      <c r="C2132">
        <v>32</v>
      </c>
      <c r="D2132">
        <f>YEAR(cukier9[[#This Row],[data]])</f>
        <v>2014</v>
      </c>
    </row>
    <row r="2133" spans="1:4" x14ac:dyDescent="0.25">
      <c r="A2133" s="1">
        <v>41966</v>
      </c>
      <c r="B2133" t="s">
        <v>132</v>
      </c>
      <c r="C2133">
        <v>4</v>
      </c>
      <c r="D2133">
        <f>YEAR(cukier9[[#This Row],[data]])</f>
        <v>2014</v>
      </c>
    </row>
    <row r="2134" spans="1:4" x14ac:dyDescent="0.25">
      <c r="A2134" s="1">
        <v>41967</v>
      </c>
      <c r="B2134" t="s">
        <v>45</v>
      </c>
      <c r="C2134">
        <v>230</v>
      </c>
      <c r="D2134">
        <f>YEAR(cukier9[[#This Row],[data]])</f>
        <v>2014</v>
      </c>
    </row>
    <row r="2135" spans="1:4" x14ac:dyDescent="0.25">
      <c r="A2135" s="1">
        <v>41968</v>
      </c>
      <c r="B2135" t="s">
        <v>61</v>
      </c>
      <c r="C2135">
        <v>164</v>
      </c>
      <c r="D2135">
        <f>YEAR(cukier9[[#This Row],[data]])</f>
        <v>2014</v>
      </c>
    </row>
    <row r="2136" spans="1:4" x14ac:dyDescent="0.25">
      <c r="A2136" s="1">
        <v>41969</v>
      </c>
      <c r="B2136" t="s">
        <v>98</v>
      </c>
      <c r="C2136">
        <v>4</v>
      </c>
      <c r="D2136">
        <f>YEAR(cukier9[[#This Row],[data]])</f>
        <v>2014</v>
      </c>
    </row>
    <row r="2137" spans="1:4" x14ac:dyDescent="0.25">
      <c r="A2137" s="1">
        <v>41972</v>
      </c>
      <c r="B2137" t="s">
        <v>20</v>
      </c>
      <c r="C2137">
        <v>96</v>
      </c>
      <c r="D2137">
        <f>YEAR(cukier9[[#This Row],[data]])</f>
        <v>2014</v>
      </c>
    </row>
    <row r="2138" spans="1:4" x14ac:dyDescent="0.25">
      <c r="A2138" s="1">
        <v>41975</v>
      </c>
      <c r="B2138" t="s">
        <v>131</v>
      </c>
      <c r="C2138">
        <v>94</v>
      </c>
      <c r="D2138">
        <f>YEAR(cukier9[[#This Row],[data]])</f>
        <v>2014</v>
      </c>
    </row>
    <row r="2139" spans="1:4" x14ac:dyDescent="0.25">
      <c r="A2139" s="1">
        <v>41975</v>
      </c>
      <c r="B2139" t="s">
        <v>71</v>
      </c>
      <c r="C2139">
        <v>21</v>
      </c>
      <c r="D2139">
        <f>YEAR(cukier9[[#This Row],[data]])</f>
        <v>2014</v>
      </c>
    </row>
    <row r="2140" spans="1:4" x14ac:dyDescent="0.25">
      <c r="A2140" s="1">
        <v>41977</v>
      </c>
      <c r="B2140" t="s">
        <v>7</v>
      </c>
      <c r="C2140">
        <v>129</v>
      </c>
      <c r="D2140">
        <f>YEAR(cukier9[[#This Row],[data]])</f>
        <v>2014</v>
      </c>
    </row>
    <row r="2141" spans="1:4" x14ac:dyDescent="0.25">
      <c r="A2141" s="1">
        <v>41977</v>
      </c>
      <c r="B2141" t="s">
        <v>25</v>
      </c>
      <c r="C2141">
        <v>197</v>
      </c>
      <c r="D2141">
        <f>YEAR(cukier9[[#This Row],[data]])</f>
        <v>2014</v>
      </c>
    </row>
    <row r="2142" spans="1:4" x14ac:dyDescent="0.25">
      <c r="A2142" s="1">
        <v>41978</v>
      </c>
      <c r="B2142" t="s">
        <v>113</v>
      </c>
      <c r="C2142">
        <v>16</v>
      </c>
      <c r="D2142">
        <f>YEAR(cukier9[[#This Row],[data]])</f>
        <v>2014</v>
      </c>
    </row>
    <row r="2143" spans="1:4" x14ac:dyDescent="0.25">
      <c r="A2143" s="1">
        <v>41978</v>
      </c>
      <c r="B2143" t="s">
        <v>24</v>
      </c>
      <c r="C2143">
        <v>332</v>
      </c>
      <c r="D2143">
        <f>YEAR(cukier9[[#This Row],[data]])</f>
        <v>2014</v>
      </c>
    </row>
    <row r="2144" spans="1:4" x14ac:dyDescent="0.25">
      <c r="A2144" s="1">
        <v>41980</v>
      </c>
      <c r="B2144" t="s">
        <v>69</v>
      </c>
      <c r="C2144">
        <v>75</v>
      </c>
      <c r="D2144">
        <f>YEAR(cukier9[[#This Row],[data]])</f>
        <v>2014</v>
      </c>
    </row>
    <row r="2145" spans="1:4" x14ac:dyDescent="0.25">
      <c r="A2145" s="1">
        <v>41981</v>
      </c>
      <c r="B2145" t="s">
        <v>74</v>
      </c>
      <c r="C2145">
        <v>10</v>
      </c>
      <c r="D2145">
        <f>YEAR(cukier9[[#This Row],[data]])</f>
        <v>2014</v>
      </c>
    </row>
    <row r="2146" spans="1:4" x14ac:dyDescent="0.25">
      <c r="A2146" s="1">
        <v>41982</v>
      </c>
      <c r="B2146" t="s">
        <v>37</v>
      </c>
      <c r="C2146">
        <v>93</v>
      </c>
      <c r="D2146">
        <f>YEAR(cukier9[[#This Row],[data]])</f>
        <v>2014</v>
      </c>
    </row>
    <row r="2147" spans="1:4" x14ac:dyDescent="0.25">
      <c r="A2147" s="1">
        <v>41983</v>
      </c>
      <c r="B2147" t="s">
        <v>45</v>
      </c>
      <c r="C2147">
        <v>146</v>
      </c>
      <c r="D2147">
        <f>YEAR(cukier9[[#This Row],[data]])</f>
        <v>2014</v>
      </c>
    </row>
    <row r="2148" spans="1:4" x14ac:dyDescent="0.25">
      <c r="A2148" s="1">
        <v>41984</v>
      </c>
      <c r="B2148" t="s">
        <v>58</v>
      </c>
      <c r="C2148">
        <v>197</v>
      </c>
      <c r="D2148">
        <f>YEAR(cukier9[[#This Row],[data]])</f>
        <v>2014</v>
      </c>
    </row>
    <row r="2149" spans="1:4" x14ac:dyDescent="0.25">
      <c r="A2149" s="1">
        <v>41986</v>
      </c>
      <c r="B2149" t="s">
        <v>17</v>
      </c>
      <c r="C2149">
        <v>482</v>
      </c>
      <c r="D2149">
        <f>YEAR(cukier9[[#This Row],[data]])</f>
        <v>2014</v>
      </c>
    </row>
    <row r="2150" spans="1:4" x14ac:dyDescent="0.25">
      <c r="A2150" s="1">
        <v>41988</v>
      </c>
      <c r="B2150" t="s">
        <v>8</v>
      </c>
      <c r="C2150">
        <v>43</v>
      </c>
      <c r="D2150">
        <f>YEAR(cukier9[[#This Row],[data]])</f>
        <v>2014</v>
      </c>
    </row>
    <row r="2151" spans="1:4" x14ac:dyDescent="0.25">
      <c r="A2151" s="1">
        <v>41989</v>
      </c>
      <c r="B2151" t="s">
        <v>22</v>
      </c>
      <c r="C2151">
        <v>367</v>
      </c>
      <c r="D2151">
        <f>YEAR(cukier9[[#This Row],[data]])</f>
        <v>2014</v>
      </c>
    </row>
    <row r="2152" spans="1:4" x14ac:dyDescent="0.25">
      <c r="A2152" s="1">
        <v>41989</v>
      </c>
      <c r="B2152" t="s">
        <v>14</v>
      </c>
      <c r="C2152">
        <v>274</v>
      </c>
      <c r="D2152">
        <f>YEAR(cukier9[[#This Row],[data]])</f>
        <v>2014</v>
      </c>
    </row>
    <row r="2153" spans="1:4" x14ac:dyDescent="0.25">
      <c r="A2153" s="1">
        <v>41991</v>
      </c>
      <c r="B2153" t="s">
        <v>17</v>
      </c>
      <c r="C2153">
        <v>283</v>
      </c>
      <c r="D2153">
        <f>YEAR(cukier9[[#This Row],[data]])</f>
        <v>2014</v>
      </c>
    </row>
    <row r="2154" spans="1:4" x14ac:dyDescent="0.25">
      <c r="A2154" s="1">
        <v>41992</v>
      </c>
      <c r="B2154" t="s">
        <v>55</v>
      </c>
      <c r="C2154">
        <v>98</v>
      </c>
      <c r="D2154">
        <f>YEAR(cukier9[[#This Row],[data]])</f>
        <v>2014</v>
      </c>
    </row>
    <row r="2155" spans="1:4" x14ac:dyDescent="0.25">
      <c r="A2155" s="1">
        <v>41993</v>
      </c>
      <c r="B2155" t="s">
        <v>22</v>
      </c>
      <c r="C2155">
        <v>485</v>
      </c>
      <c r="D2155">
        <f>YEAR(cukier9[[#This Row],[data]])</f>
        <v>2014</v>
      </c>
    </row>
    <row r="2156" spans="1:4" x14ac:dyDescent="0.25">
      <c r="A2156" s="1">
        <v>41994</v>
      </c>
      <c r="B2156" t="s">
        <v>167</v>
      </c>
      <c r="C2156">
        <v>3</v>
      </c>
      <c r="D2156">
        <f>YEAR(cukier9[[#This Row],[data]])</f>
        <v>2014</v>
      </c>
    </row>
    <row r="2157" spans="1:4" x14ac:dyDescent="0.25">
      <c r="A2157" s="1">
        <v>41996</v>
      </c>
      <c r="B2157" t="s">
        <v>45</v>
      </c>
      <c r="C2157">
        <v>331</v>
      </c>
      <c r="D2157">
        <f>YEAR(cukier9[[#This Row],[data]])</f>
        <v>2014</v>
      </c>
    </row>
    <row r="2158" spans="1:4" x14ac:dyDescent="0.25">
      <c r="A2158" s="1">
        <v>41997</v>
      </c>
      <c r="B2158" t="s">
        <v>8</v>
      </c>
      <c r="C2158">
        <v>150</v>
      </c>
      <c r="D2158">
        <f>YEAR(cukier9[[#This Row],[data]])</f>
        <v>2014</v>
      </c>
    </row>
    <row r="2159" spans="1:4" x14ac:dyDescent="0.25">
      <c r="A2159" s="1">
        <v>41998</v>
      </c>
      <c r="B2159" t="s">
        <v>7</v>
      </c>
      <c r="C2159">
        <v>463</v>
      </c>
      <c r="D2159">
        <f>YEAR(cukier9[[#This Row],[data]])</f>
        <v>2014</v>
      </c>
    </row>
    <row r="2160" spans="1:4" x14ac:dyDescent="0.25">
      <c r="A2160" s="1">
        <v>41999</v>
      </c>
      <c r="B2160" t="s">
        <v>159</v>
      </c>
      <c r="C2160">
        <v>8</v>
      </c>
      <c r="D2160">
        <f>YEAR(cukier9[[#This Row],[data]])</f>
        <v>2014</v>
      </c>
    </row>
    <row r="2161" spans="1:4" x14ac:dyDescent="0.25">
      <c r="A2161" s="1">
        <v>41999</v>
      </c>
      <c r="B2161" t="s">
        <v>12</v>
      </c>
      <c r="C2161">
        <v>178</v>
      </c>
      <c r="D2161">
        <f>YEAR(cukier9[[#This Row],[data]])</f>
        <v>2014</v>
      </c>
    </row>
    <row r="2162" spans="1:4" x14ac:dyDescent="0.25">
      <c r="A2162" s="1">
        <v>42001</v>
      </c>
      <c r="B2162" t="s">
        <v>19</v>
      </c>
      <c r="C2162">
        <v>166</v>
      </c>
      <c r="D2162">
        <f>YEAR(cukier9[[#This Row],[data]])</f>
        <v>2014</v>
      </c>
    </row>
    <row r="2163" spans="1:4" x14ac:dyDescent="0.25">
      <c r="A2163" s="1">
        <v>42002</v>
      </c>
      <c r="B2163" t="s">
        <v>232</v>
      </c>
      <c r="C2163">
        <v>14</v>
      </c>
      <c r="D2163">
        <f>YEAR(cukier9[[#This Row],[data]])</f>
        <v>2014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EE2A-4F05-4FA1-BCD5-5A27E6856490}">
  <dimension ref="A1:M2163"/>
  <sheetViews>
    <sheetView topLeftCell="B1" zoomScale="145" zoomScaleNormal="145" workbookViewId="0">
      <selection activeCell="I5" sqref="I5"/>
    </sheetView>
  </sheetViews>
  <sheetFormatPr defaultRowHeight="15" x14ac:dyDescent="0.25"/>
  <cols>
    <col min="1" max="1" width="11.140625" bestFit="1" customWidth="1"/>
    <col min="2" max="2" width="13.28515625" bestFit="1" customWidth="1"/>
    <col min="3" max="3" width="18.85546875" bestFit="1" customWidth="1"/>
    <col min="4" max="4" width="26.28515625" bestFit="1" customWidth="1"/>
    <col min="15" max="15" width="10.140625" bestFit="1" customWidth="1"/>
  </cols>
  <sheetData>
    <row r="1" spans="1:13" x14ac:dyDescent="0.25">
      <c r="A1" t="s">
        <v>240</v>
      </c>
      <c r="B1" t="s">
        <v>241</v>
      </c>
      <c r="C1" t="s">
        <v>242</v>
      </c>
      <c r="D1" t="s">
        <v>249</v>
      </c>
      <c r="E1" t="s">
        <v>250</v>
      </c>
      <c r="F1" t="s">
        <v>251</v>
      </c>
      <c r="H1" s="7">
        <f>SUM(cukier10[wartość_rabatu])</f>
        <v>38126.349999999969</v>
      </c>
      <c r="L1" t="s">
        <v>244</v>
      </c>
      <c r="M1" t="s">
        <v>243</v>
      </c>
    </row>
    <row r="2" spans="1:13" x14ac:dyDescent="0.25">
      <c r="A2" s="1">
        <v>38643</v>
      </c>
      <c r="B2" t="s">
        <v>83</v>
      </c>
      <c r="C2">
        <v>2</v>
      </c>
      <c r="D2">
        <v>2</v>
      </c>
      <c r="E2" cm="1">
        <f t="array" ref="E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">
        <f>cukier10[[#This Row],[sprzedany_cukier]]*cukier10[[#This Row],[rabat]]</f>
        <v>0</v>
      </c>
      <c r="L2" s="4">
        <v>2005</v>
      </c>
      <c r="M2" s="2">
        <v>2</v>
      </c>
    </row>
    <row r="3" spans="1:13" x14ac:dyDescent="0.25">
      <c r="A3" s="1">
        <v>39577</v>
      </c>
      <c r="B3" t="s">
        <v>83</v>
      </c>
      <c r="C3">
        <v>1</v>
      </c>
      <c r="D3">
        <f>IF(cukier10[[#This Row],[nip_klienta]]=B2,D2+cukier10[[#This Row],[sprzedany_cukier]],cukier10[[#This Row],[sprzedany_cukier]])</f>
        <v>3</v>
      </c>
      <c r="E3" cm="1">
        <f t="array" ref="E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">
        <f>cukier10[[#This Row],[sprzedany_cukier]]*cukier10[[#This Row],[rabat]]</f>
        <v>0</v>
      </c>
      <c r="L3" s="5">
        <v>2006</v>
      </c>
      <c r="M3" s="3">
        <v>2.0499999999999998</v>
      </c>
    </row>
    <row r="4" spans="1:13" x14ac:dyDescent="0.25">
      <c r="A4" s="1">
        <v>41810</v>
      </c>
      <c r="B4" t="s">
        <v>83</v>
      </c>
      <c r="C4">
        <v>13</v>
      </c>
      <c r="D4">
        <f>IF(cukier10[[#This Row],[nip_klienta]]=B3,D3+cukier10[[#This Row],[sprzedany_cukier]],cukier10[[#This Row],[sprzedany_cukier]])</f>
        <v>16</v>
      </c>
      <c r="E4" cm="1">
        <f t="array" ref="E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4">
        <f>cukier10[[#This Row],[sprzedany_cukier]]*cukier10[[#This Row],[rabat]]</f>
        <v>0</v>
      </c>
      <c r="L4" s="4">
        <v>2007</v>
      </c>
      <c r="M4" s="2">
        <v>2.09</v>
      </c>
    </row>
    <row r="5" spans="1:13" x14ac:dyDescent="0.25">
      <c r="A5" s="1">
        <v>38725</v>
      </c>
      <c r="B5" t="s">
        <v>93</v>
      </c>
      <c r="C5">
        <v>16</v>
      </c>
      <c r="D5">
        <f>IF(cukier10[[#This Row],[nip_klienta]]=B4,D4+cukier10[[#This Row],[sprzedany_cukier]],cukier10[[#This Row],[sprzedany_cukier]])</f>
        <v>16</v>
      </c>
      <c r="E5" cm="1">
        <f t="array" ref="E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">
        <f>cukier10[[#This Row],[sprzedany_cukier]]*cukier10[[#This Row],[rabat]]</f>
        <v>0</v>
      </c>
      <c r="L5" s="5">
        <v>2008</v>
      </c>
      <c r="M5" s="3">
        <v>2.15</v>
      </c>
    </row>
    <row r="6" spans="1:13" x14ac:dyDescent="0.25">
      <c r="A6" s="1">
        <v>40568</v>
      </c>
      <c r="B6" t="s">
        <v>93</v>
      </c>
      <c r="C6">
        <v>3</v>
      </c>
      <c r="D6">
        <f>IF(cukier10[[#This Row],[nip_klienta]]=B5,D5+cukier10[[#This Row],[sprzedany_cukier]],cukier10[[#This Row],[sprzedany_cukier]])</f>
        <v>19</v>
      </c>
      <c r="E6" cm="1">
        <f t="array" ref="E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">
        <f>cukier10[[#This Row],[sprzedany_cukier]]*cukier10[[#This Row],[rabat]]</f>
        <v>0</v>
      </c>
      <c r="L6" s="4">
        <v>2009</v>
      </c>
      <c r="M6" s="2">
        <v>2.13</v>
      </c>
    </row>
    <row r="7" spans="1:13" x14ac:dyDescent="0.25">
      <c r="A7" s="1">
        <v>41244</v>
      </c>
      <c r="B7" t="s">
        <v>93</v>
      </c>
      <c r="C7">
        <v>16</v>
      </c>
      <c r="D7">
        <f>IF(cukier10[[#This Row],[nip_klienta]]=B6,D6+cukier10[[#This Row],[sprzedany_cukier]],cukier10[[#This Row],[sprzedany_cukier]])</f>
        <v>35</v>
      </c>
      <c r="E7" cm="1">
        <f t="array" ref="E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">
        <f>cukier10[[#This Row],[sprzedany_cukier]]*cukier10[[#This Row],[rabat]]</f>
        <v>0</v>
      </c>
      <c r="L7" s="5">
        <v>2010</v>
      </c>
      <c r="M7" s="3">
        <v>2.1</v>
      </c>
    </row>
    <row r="8" spans="1:13" x14ac:dyDescent="0.25">
      <c r="A8" s="1">
        <v>38439</v>
      </c>
      <c r="B8" t="s">
        <v>33</v>
      </c>
      <c r="C8">
        <v>12</v>
      </c>
      <c r="D8">
        <f>IF(cukier10[[#This Row],[nip_klienta]]=B7,D7+cukier10[[#This Row],[sprzedany_cukier]],cukier10[[#This Row],[sprzedany_cukier]])</f>
        <v>12</v>
      </c>
      <c r="E8" cm="1">
        <f t="array" ref="E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8">
        <f>cukier10[[#This Row],[sprzedany_cukier]]*cukier10[[#This Row],[rabat]]</f>
        <v>0</v>
      </c>
      <c r="L8" s="4">
        <v>2011</v>
      </c>
      <c r="M8" s="2">
        <v>2.2000000000000002</v>
      </c>
    </row>
    <row r="9" spans="1:13" x14ac:dyDescent="0.25">
      <c r="A9" s="1">
        <v>39328</v>
      </c>
      <c r="B9" t="s">
        <v>33</v>
      </c>
      <c r="C9">
        <v>11</v>
      </c>
      <c r="D9">
        <f>IF(cukier10[[#This Row],[nip_klienta]]=B8,D8+cukier10[[#This Row],[sprzedany_cukier]],cukier10[[#This Row],[sprzedany_cukier]])</f>
        <v>23</v>
      </c>
      <c r="E9" cm="1">
        <f t="array" ref="E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">
        <f>cukier10[[#This Row],[sprzedany_cukier]]*cukier10[[#This Row],[rabat]]</f>
        <v>0</v>
      </c>
      <c r="L9" s="5">
        <v>2012</v>
      </c>
      <c r="M9" s="3">
        <v>2.25</v>
      </c>
    </row>
    <row r="10" spans="1:13" x14ac:dyDescent="0.25">
      <c r="A10" s="1">
        <v>39738</v>
      </c>
      <c r="B10" t="s">
        <v>33</v>
      </c>
      <c r="C10">
        <v>4</v>
      </c>
      <c r="D10">
        <f>IF(cukier10[[#This Row],[nip_klienta]]=B9,D9+cukier10[[#This Row],[sprzedany_cukier]],cukier10[[#This Row],[sprzedany_cukier]])</f>
        <v>27</v>
      </c>
      <c r="E10" cm="1">
        <f t="array" ref="E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">
        <f>cukier10[[#This Row],[sprzedany_cukier]]*cukier10[[#This Row],[rabat]]</f>
        <v>0</v>
      </c>
      <c r="L10" s="4">
        <v>2013</v>
      </c>
      <c r="M10" s="2">
        <v>2.2200000000000002</v>
      </c>
    </row>
    <row r="11" spans="1:13" x14ac:dyDescent="0.25">
      <c r="A11" s="1">
        <v>40088</v>
      </c>
      <c r="B11" t="s">
        <v>33</v>
      </c>
      <c r="C11">
        <v>1</v>
      </c>
      <c r="D11">
        <f>IF(cukier10[[#This Row],[nip_klienta]]=B10,D10+cukier10[[#This Row],[sprzedany_cukier]],cukier10[[#This Row],[sprzedany_cukier]])</f>
        <v>28</v>
      </c>
      <c r="E11" cm="1">
        <f t="array" ref="E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">
        <f>cukier10[[#This Row],[sprzedany_cukier]]*cukier10[[#This Row],[rabat]]</f>
        <v>0</v>
      </c>
      <c r="L11" s="5">
        <v>2014</v>
      </c>
      <c r="M11" s="3">
        <v>2.23</v>
      </c>
    </row>
    <row r="12" spans="1:13" x14ac:dyDescent="0.25">
      <c r="A12" s="1">
        <v>38734</v>
      </c>
      <c r="B12" t="s">
        <v>95</v>
      </c>
      <c r="C12">
        <v>2</v>
      </c>
      <c r="D12">
        <f>IF(cukier10[[#This Row],[nip_klienta]]=B11,D11+cukier10[[#This Row],[sprzedany_cukier]],cukier10[[#This Row],[sprzedany_cukier]])</f>
        <v>2</v>
      </c>
      <c r="E12" cm="1">
        <f t="array" ref="E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">
        <f>cukier10[[#This Row],[sprzedany_cukier]]*cukier10[[#This Row],[rabat]]</f>
        <v>0</v>
      </c>
    </row>
    <row r="13" spans="1:13" x14ac:dyDescent="0.25">
      <c r="A13" s="1">
        <v>40121</v>
      </c>
      <c r="B13" t="s">
        <v>95</v>
      </c>
      <c r="C13">
        <v>6</v>
      </c>
      <c r="D13">
        <f>IF(cukier10[[#This Row],[nip_klienta]]=B12,D12+cukier10[[#This Row],[sprzedany_cukier]],cukier10[[#This Row],[sprzedany_cukier]])</f>
        <v>8</v>
      </c>
      <c r="E13" cm="1">
        <f t="array" ref="E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">
        <f>cukier10[[#This Row],[sprzedany_cukier]]*cukier10[[#This Row],[rabat]]</f>
        <v>0</v>
      </c>
    </row>
    <row r="14" spans="1:13" x14ac:dyDescent="0.25">
      <c r="A14" s="1">
        <v>38410</v>
      </c>
      <c r="B14" t="s">
        <v>23</v>
      </c>
      <c r="C14">
        <v>110</v>
      </c>
      <c r="D14">
        <f>IF(cukier10[[#This Row],[nip_klienta]]=B13,D13+cukier10[[#This Row],[sprzedany_cukier]],cukier10[[#This Row],[sprzedany_cukier]])</f>
        <v>110</v>
      </c>
      <c r="E14" cm="1">
        <f t="array" ref="E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">
        <f>cukier10[[#This Row],[sprzedany_cukier]]*cukier10[[#This Row],[rabat]]</f>
        <v>5.5</v>
      </c>
    </row>
    <row r="15" spans="1:13" x14ac:dyDescent="0.25">
      <c r="A15" s="1">
        <v>38510</v>
      </c>
      <c r="B15" t="s">
        <v>23</v>
      </c>
      <c r="C15">
        <v>83</v>
      </c>
      <c r="D15">
        <f>IF(cukier10[[#This Row],[nip_klienta]]=B14,D14+cukier10[[#This Row],[sprzedany_cukier]],cukier10[[#This Row],[sprzedany_cukier]])</f>
        <v>193</v>
      </c>
      <c r="E15" cm="1">
        <f t="array" ref="E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5">
        <f>cukier10[[#This Row],[sprzedany_cukier]]*cukier10[[#This Row],[rabat]]</f>
        <v>4.1500000000000004</v>
      </c>
    </row>
    <row r="16" spans="1:13" x14ac:dyDescent="0.25">
      <c r="A16" s="1">
        <v>38617</v>
      </c>
      <c r="B16" t="s">
        <v>23</v>
      </c>
      <c r="C16">
        <v>127</v>
      </c>
      <c r="D16">
        <f>IF(cukier10[[#This Row],[nip_klienta]]=B15,D15+cukier10[[#This Row],[sprzedany_cukier]],cukier10[[#This Row],[sprzedany_cukier]])</f>
        <v>320</v>
      </c>
      <c r="E16" cm="1">
        <f t="array" ref="E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6">
        <f>cukier10[[#This Row],[sprzedany_cukier]]*cukier10[[#This Row],[rabat]]</f>
        <v>6.3500000000000005</v>
      </c>
    </row>
    <row r="17" spans="1:6" x14ac:dyDescent="0.25">
      <c r="A17" s="1">
        <v>38834</v>
      </c>
      <c r="B17" t="s">
        <v>23</v>
      </c>
      <c r="C17">
        <v>136</v>
      </c>
      <c r="D17">
        <f>IF(cukier10[[#This Row],[nip_klienta]]=B16,D16+cukier10[[#This Row],[sprzedany_cukier]],cukier10[[#This Row],[sprzedany_cukier]])</f>
        <v>456</v>
      </c>
      <c r="E17" cm="1">
        <f t="array" ref="E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">
        <f>cukier10[[#This Row],[sprzedany_cukier]]*cukier10[[#This Row],[rabat]]</f>
        <v>6.8000000000000007</v>
      </c>
    </row>
    <row r="18" spans="1:6" x14ac:dyDescent="0.25">
      <c r="A18" s="1">
        <v>38929</v>
      </c>
      <c r="B18" t="s">
        <v>23</v>
      </c>
      <c r="C18">
        <v>144</v>
      </c>
      <c r="D18">
        <f>IF(cukier10[[#This Row],[nip_klienta]]=B17,D17+cukier10[[#This Row],[sprzedany_cukier]],cukier10[[#This Row],[sprzedany_cukier]])</f>
        <v>600</v>
      </c>
      <c r="E18" cm="1">
        <f t="array" ref="E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">
        <f>cukier10[[#This Row],[sprzedany_cukier]]*cukier10[[#This Row],[rabat]]</f>
        <v>7.2</v>
      </c>
    </row>
    <row r="19" spans="1:6" x14ac:dyDescent="0.25">
      <c r="A19" s="1">
        <v>39048</v>
      </c>
      <c r="B19" t="s">
        <v>23</v>
      </c>
      <c r="C19">
        <v>151</v>
      </c>
      <c r="D19">
        <f>IF(cukier10[[#This Row],[nip_klienta]]=B18,D18+cukier10[[#This Row],[sprzedany_cukier]],cukier10[[#This Row],[sprzedany_cukier]])</f>
        <v>751</v>
      </c>
      <c r="E19" cm="1">
        <f t="array" ref="E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">
        <f>cukier10[[#This Row],[sprzedany_cukier]]*cukier10[[#This Row],[rabat]]</f>
        <v>7.5500000000000007</v>
      </c>
    </row>
    <row r="20" spans="1:6" x14ac:dyDescent="0.25">
      <c r="A20" s="1">
        <v>39079</v>
      </c>
      <c r="B20" t="s">
        <v>23</v>
      </c>
      <c r="C20">
        <v>27</v>
      </c>
      <c r="D20">
        <f>IF(cukier10[[#This Row],[nip_klienta]]=B19,D19+cukier10[[#This Row],[sprzedany_cukier]],cukier10[[#This Row],[sprzedany_cukier]])</f>
        <v>778</v>
      </c>
      <c r="E20" cm="1">
        <f t="array" ref="E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0">
        <f>cukier10[[#This Row],[sprzedany_cukier]]*cukier10[[#This Row],[rabat]]</f>
        <v>1.35</v>
      </c>
    </row>
    <row r="21" spans="1:6" x14ac:dyDescent="0.25">
      <c r="A21" s="1">
        <v>39080</v>
      </c>
      <c r="B21" t="s">
        <v>23</v>
      </c>
      <c r="C21">
        <v>116</v>
      </c>
      <c r="D21">
        <f>IF(cukier10[[#This Row],[nip_klienta]]=B20,D20+cukier10[[#This Row],[sprzedany_cukier]],cukier10[[#This Row],[sprzedany_cukier]])</f>
        <v>894</v>
      </c>
      <c r="E21" cm="1">
        <f t="array" ref="E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1">
        <f>cukier10[[#This Row],[sprzedany_cukier]]*cukier10[[#This Row],[rabat]]</f>
        <v>5.8000000000000007</v>
      </c>
    </row>
    <row r="22" spans="1:6" x14ac:dyDescent="0.25">
      <c r="A22" s="1">
        <v>39081</v>
      </c>
      <c r="B22" t="s">
        <v>23</v>
      </c>
      <c r="C22">
        <v>61</v>
      </c>
      <c r="D22">
        <f>IF(cukier10[[#This Row],[nip_klienta]]=B21,D21+cukier10[[#This Row],[sprzedany_cukier]],cukier10[[#This Row],[sprzedany_cukier]])</f>
        <v>955</v>
      </c>
      <c r="E22" cm="1">
        <f t="array" ref="E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2">
        <f>cukier10[[#This Row],[sprzedany_cukier]]*cukier10[[#This Row],[rabat]]</f>
        <v>3.0500000000000003</v>
      </c>
    </row>
    <row r="23" spans="1:6" x14ac:dyDescent="0.25">
      <c r="A23" s="1">
        <v>39097</v>
      </c>
      <c r="B23" t="s">
        <v>23</v>
      </c>
      <c r="C23">
        <v>99</v>
      </c>
      <c r="D23">
        <f>IF(cukier10[[#This Row],[nip_klienta]]=B22,D22+cukier10[[#This Row],[sprzedany_cukier]],cukier10[[#This Row],[sprzedany_cukier]])</f>
        <v>1054</v>
      </c>
      <c r="E23" cm="1">
        <f t="array" ref="E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3">
        <f>cukier10[[#This Row],[sprzedany_cukier]]*cukier10[[#This Row],[rabat]]</f>
        <v>9.9</v>
      </c>
    </row>
    <row r="24" spans="1:6" x14ac:dyDescent="0.25">
      <c r="A24" s="1">
        <v>39120</v>
      </c>
      <c r="B24" t="s">
        <v>23</v>
      </c>
      <c r="C24">
        <v>197</v>
      </c>
      <c r="D24">
        <f>IF(cukier10[[#This Row],[nip_klienta]]=B23,D23+cukier10[[#This Row],[sprzedany_cukier]],cukier10[[#This Row],[sprzedany_cukier]])</f>
        <v>1251</v>
      </c>
      <c r="E24" cm="1">
        <f t="array" ref="E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4">
        <f>cukier10[[#This Row],[sprzedany_cukier]]*cukier10[[#This Row],[rabat]]</f>
        <v>19.700000000000003</v>
      </c>
    </row>
    <row r="25" spans="1:6" x14ac:dyDescent="0.25">
      <c r="A25" s="1">
        <v>39331</v>
      </c>
      <c r="B25" t="s">
        <v>23</v>
      </c>
      <c r="C25">
        <v>186</v>
      </c>
      <c r="D25">
        <f>IF(cukier10[[#This Row],[nip_klienta]]=B24,D24+cukier10[[#This Row],[sprzedany_cukier]],cukier10[[#This Row],[sprzedany_cukier]])</f>
        <v>1437</v>
      </c>
      <c r="E25" cm="1">
        <f t="array" ref="E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5">
        <f>cukier10[[#This Row],[sprzedany_cukier]]*cukier10[[#This Row],[rabat]]</f>
        <v>18.600000000000001</v>
      </c>
    </row>
    <row r="26" spans="1:6" x14ac:dyDescent="0.25">
      <c r="A26" s="1">
        <v>39434</v>
      </c>
      <c r="B26" t="s">
        <v>23</v>
      </c>
      <c r="C26">
        <v>138</v>
      </c>
      <c r="D26">
        <f>IF(cukier10[[#This Row],[nip_klienta]]=B25,D25+cukier10[[#This Row],[sprzedany_cukier]],cukier10[[#This Row],[sprzedany_cukier]])</f>
        <v>1575</v>
      </c>
      <c r="E26" cm="1">
        <f t="array" ref="E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6">
        <f>cukier10[[#This Row],[sprzedany_cukier]]*cukier10[[#This Row],[rabat]]</f>
        <v>13.8</v>
      </c>
    </row>
    <row r="27" spans="1:6" x14ac:dyDescent="0.25">
      <c r="A27" s="1">
        <v>39445</v>
      </c>
      <c r="B27" t="s">
        <v>23</v>
      </c>
      <c r="C27">
        <v>156</v>
      </c>
      <c r="D27">
        <f>IF(cukier10[[#This Row],[nip_klienta]]=B26,D26+cukier10[[#This Row],[sprzedany_cukier]],cukier10[[#This Row],[sprzedany_cukier]])</f>
        <v>1731</v>
      </c>
      <c r="E27" cm="1">
        <f t="array" ref="E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7">
        <f>cukier10[[#This Row],[sprzedany_cukier]]*cukier10[[#This Row],[rabat]]</f>
        <v>15.600000000000001</v>
      </c>
    </row>
    <row r="28" spans="1:6" x14ac:dyDescent="0.25">
      <c r="A28" s="1">
        <v>39469</v>
      </c>
      <c r="B28" t="s">
        <v>23</v>
      </c>
      <c r="C28">
        <v>179</v>
      </c>
      <c r="D28">
        <f>IF(cukier10[[#This Row],[nip_klienta]]=B27,D27+cukier10[[#This Row],[sprzedany_cukier]],cukier10[[#This Row],[sprzedany_cukier]])</f>
        <v>1910</v>
      </c>
      <c r="E28" cm="1">
        <f t="array" ref="E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8">
        <f>cukier10[[#This Row],[sprzedany_cukier]]*cukier10[[#This Row],[rabat]]</f>
        <v>17.900000000000002</v>
      </c>
    </row>
    <row r="29" spans="1:6" x14ac:dyDescent="0.25">
      <c r="A29" s="1">
        <v>39559</v>
      </c>
      <c r="B29" t="s">
        <v>23</v>
      </c>
      <c r="C29">
        <v>170</v>
      </c>
      <c r="D29">
        <f>IF(cukier10[[#This Row],[nip_klienta]]=B28,D28+cukier10[[#This Row],[sprzedany_cukier]],cukier10[[#This Row],[sprzedany_cukier]])</f>
        <v>2080</v>
      </c>
      <c r="E29" cm="1">
        <f t="array" ref="E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9">
        <f>cukier10[[#This Row],[sprzedany_cukier]]*cukier10[[#This Row],[rabat]]</f>
        <v>17</v>
      </c>
    </row>
    <row r="30" spans="1:6" x14ac:dyDescent="0.25">
      <c r="A30" s="1">
        <v>39587</v>
      </c>
      <c r="B30" t="s">
        <v>23</v>
      </c>
      <c r="C30">
        <v>54</v>
      </c>
      <c r="D30">
        <f>IF(cukier10[[#This Row],[nip_klienta]]=B29,D29+cukier10[[#This Row],[sprzedany_cukier]],cukier10[[#This Row],[sprzedany_cukier]])</f>
        <v>2134</v>
      </c>
      <c r="E30" cm="1">
        <f t="array" ref="E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30">
        <f>cukier10[[#This Row],[sprzedany_cukier]]*cukier10[[#This Row],[rabat]]</f>
        <v>5.4</v>
      </c>
    </row>
    <row r="31" spans="1:6" x14ac:dyDescent="0.25">
      <c r="A31" s="1">
        <v>39622</v>
      </c>
      <c r="B31" t="s">
        <v>23</v>
      </c>
      <c r="C31">
        <v>152</v>
      </c>
      <c r="D31">
        <f>IF(cukier10[[#This Row],[nip_klienta]]=B30,D30+cukier10[[#This Row],[sprzedany_cukier]],cukier10[[#This Row],[sprzedany_cukier]])</f>
        <v>2286</v>
      </c>
      <c r="E31" cm="1">
        <f t="array" ref="E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31">
        <f>cukier10[[#This Row],[sprzedany_cukier]]*cukier10[[#This Row],[rabat]]</f>
        <v>15.200000000000001</v>
      </c>
    </row>
    <row r="32" spans="1:6" x14ac:dyDescent="0.25">
      <c r="A32" s="1">
        <v>39858</v>
      </c>
      <c r="B32" t="s">
        <v>23</v>
      </c>
      <c r="C32">
        <v>50</v>
      </c>
      <c r="D32">
        <f>IF(cukier10[[#This Row],[nip_klienta]]=B31,D31+cukier10[[#This Row],[sprzedany_cukier]],cukier10[[#This Row],[sprzedany_cukier]])</f>
        <v>2336</v>
      </c>
      <c r="E32" cm="1">
        <f t="array" ref="E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32">
        <f>cukier10[[#This Row],[sprzedany_cukier]]*cukier10[[#This Row],[rabat]]</f>
        <v>5</v>
      </c>
    </row>
    <row r="33" spans="1:6" x14ac:dyDescent="0.25">
      <c r="A33" s="1">
        <v>40121</v>
      </c>
      <c r="B33" t="s">
        <v>23</v>
      </c>
      <c r="C33">
        <v>68</v>
      </c>
      <c r="D33">
        <f>IF(cukier10[[#This Row],[nip_klienta]]=B32,D32+cukier10[[#This Row],[sprzedany_cukier]],cukier10[[#This Row],[sprzedany_cukier]])</f>
        <v>2404</v>
      </c>
      <c r="E33" cm="1">
        <f t="array" ref="E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33">
        <f>cukier10[[#This Row],[sprzedany_cukier]]*cukier10[[#This Row],[rabat]]</f>
        <v>6.8000000000000007</v>
      </c>
    </row>
    <row r="34" spans="1:6" x14ac:dyDescent="0.25">
      <c r="A34" s="1">
        <v>40164</v>
      </c>
      <c r="B34" t="s">
        <v>23</v>
      </c>
      <c r="C34">
        <v>131</v>
      </c>
      <c r="D34">
        <f>IF(cukier10[[#This Row],[nip_klienta]]=B33,D33+cukier10[[#This Row],[sprzedany_cukier]],cukier10[[#This Row],[sprzedany_cukier]])</f>
        <v>2535</v>
      </c>
      <c r="E34" cm="1">
        <f t="array" ref="E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34">
        <f>cukier10[[#This Row],[sprzedany_cukier]]*cukier10[[#This Row],[rabat]]</f>
        <v>13.100000000000001</v>
      </c>
    </row>
    <row r="35" spans="1:6" x14ac:dyDescent="0.25">
      <c r="A35" s="1">
        <v>40171</v>
      </c>
      <c r="B35" t="s">
        <v>23</v>
      </c>
      <c r="C35">
        <v>105</v>
      </c>
      <c r="D35">
        <f>IF(cukier10[[#This Row],[nip_klienta]]=B34,D34+cukier10[[#This Row],[sprzedany_cukier]],cukier10[[#This Row],[sprzedany_cukier]])</f>
        <v>2640</v>
      </c>
      <c r="E35" cm="1">
        <f t="array" ref="E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35">
        <f>cukier10[[#This Row],[sprzedany_cukier]]*cukier10[[#This Row],[rabat]]</f>
        <v>10.5</v>
      </c>
    </row>
    <row r="36" spans="1:6" x14ac:dyDescent="0.25">
      <c r="A36" s="1">
        <v>40290</v>
      </c>
      <c r="B36" t="s">
        <v>23</v>
      </c>
      <c r="C36">
        <v>96</v>
      </c>
      <c r="D36">
        <f>IF(cukier10[[#This Row],[nip_klienta]]=B35,D35+cukier10[[#This Row],[sprzedany_cukier]],cukier10[[#This Row],[sprzedany_cukier]])</f>
        <v>2736</v>
      </c>
      <c r="E36" cm="1">
        <f t="array" ref="E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36">
        <f>cukier10[[#This Row],[sprzedany_cukier]]*cukier10[[#This Row],[rabat]]</f>
        <v>9.6000000000000014</v>
      </c>
    </row>
    <row r="37" spans="1:6" x14ac:dyDescent="0.25">
      <c r="A37" s="1">
        <v>40323</v>
      </c>
      <c r="B37" t="s">
        <v>23</v>
      </c>
      <c r="C37">
        <v>74</v>
      </c>
      <c r="D37">
        <f>IF(cukier10[[#This Row],[nip_klienta]]=B36,D36+cukier10[[#This Row],[sprzedany_cukier]],cukier10[[#This Row],[sprzedany_cukier]])</f>
        <v>2810</v>
      </c>
      <c r="E37" cm="1">
        <f t="array" ref="E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37">
        <f>cukier10[[#This Row],[sprzedany_cukier]]*cukier10[[#This Row],[rabat]]</f>
        <v>7.4</v>
      </c>
    </row>
    <row r="38" spans="1:6" x14ac:dyDescent="0.25">
      <c r="A38" s="1">
        <v>40488</v>
      </c>
      <c r="B38" t="s">
        <v>23</v>
      </c>
      <c r="C38">
        <v>100</v>
      </c>
      <c r="D38">
        <f>IF(cukier10[[#This Row],[nip_klienta]]=B37,D37+cukier10[[#This Row],[sprzedany_cukier]],cukier10[[#This Row],[sprzedany_cukier]])</f>
        <v>2910</v>
      </c>
      <c r="E38" cm="1">
        <f t="array" ref="E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38">
        <f>cukier10[[#This Row],[sprzedany_cukier]]*cukier10[[#This Row],[rabat]]</f>
        <v>10</v>
      </c>
    </row>
    <row r="39" spans="1:6" x14ac:dyDescent="0.25">
      <c r="A39" s="1">
        <v>40986</v>
      </c>
      <c r="B39" t="s">
        <v>23</v>
      </c>
      <c r="C39">
        <v>194</v>
      </c>
      <c r="D39">
        <f>IF(cukier10[[#This Row],[nip_klienta]]=B38,D38+cukier10[[#This Row],[sprzedany_cukier]],cukier10[[#This Row],[sprzedany_cukier]])</f>
        <v>3104</v>
      </c>
      <c r="E39" cm="1">
        <f t="array" ref="E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39">
        <f>cukier10[[#This Row],[sprzedany_cukier]]*cukier10[[#This Row],[rabat]]</f>
        <v>19.400000000000002</v>
      </c>
    </row>
    <row r="40" spans="1:6" x14ac:dyDescent="0.25">
      <c r="A40" s="1">
        <v>40992</v>
      </c>
      <c r="B40" t="s">
        <v>23</v>
      </c>
      <c r="C40">
        <v>123</v>
      </c>
      <c r="D40">
        <f>IF(cukier10[[#This Row],[nip_klienta]]=B39,D39+cukier10[[#This Row],[sprzedany_cukier]],cukier10[[#This Row],[sprzedany_cukier]])</f>
        <v>3227</v>
      </c>
      <c r="E40" cm="1">
        <f t="array" ref="E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0">
        <f>cukier10[[#This Row],[sprzedany_cukier]]*cukier10[[#This Row],[rabat]]</f>
        <v>12.3</v>
      </c>
    </row>
    <row r="41" spans="1:6" x14ac:dyDescent="0.25">
      <c r="A41" s="1">
        <v>41042</v>
      </c>
      <c r="B41" t="s">
        <v>23</v>
      </c>
      <c r="C41">
        <v>70</v>
      </c>
      <c r="D41">
        <f>IF(cukier10[[#This Row],[nip_klienta]]=B40,D40+cukier10[[#This Row],[sprzedany_cukier]],cukier10[[#This Row],[sprzedany_cukier]])</f>
        <v>3297</v>
      </c>
      <c r="E41" cm="1">
        <f t="array" ref="E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1">
        <f>cukier10[[#This Row],[sprzedany_cukier]]*cukier10[[#This Row],[rabat]]</f>
        <v>7</v>
      </c>
    </row>
    <row r="42" spans="1:6" x14ac:dyDescent="0.25">
      <c r="A42" s="1">
        <v>41099</v>
      </c>
      <c r="B42" t="s">
        <v>23</v>
      </c>
      <c r="C42">
        <v>27</v>
      </c>
      <c r="D42">
        <f>IF(cukier10[[#This Row],[nip_klienta]]=B41,D41+cukier10[[#This Row],[sprzedany_cukier]],cukier10[[#This Row],[sprzedany_cukier]])</f>
        <v>3324</v>
      </c>
      <c r="E42" cm="1">
        <f t="array" ref="E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2">
        <f>cukier10[[#This Row],[sprzedany_cukier]]*cukier10[[#This Row],[rabat]]</f>
        <v>2.7</v>
      </c>
    </row>
    <row r="43" spans="1:6" x14ac:dyDescent="0.25">
      <c r="A43" s="1">
        <v>41134</v>
      </c>
      <c r="B43" t="s">
        <v>23</v>
      </c>
      <c r="C43">
        <v>70</v>
      </c>
      <c r="D43">
        <f>IF(cukier10[[#This Row],[nip_klienta]]=B42,D42+cukier10[[#This Row],[sprzedany_cukier]],cukier10[[#This Row],[sprzedany_cukier]])</f>
        <v>3394</v>
      </c>
      <c r="E43" cm="1">
        <f t="array" ref="E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3">
        <f>cukier10[[#This Row],[sprzedany_cukier]]*cukier10[[#This Row],[rabat]]</f>
        <v>7</v>
      </c>
    </row>
    <row r="44" spans="1:6" x14ac:dyDescent="0.25">
      <c r="A44" s="1">
        <v>41259</v>
      </c>
      <c r="B44" t="s">
        <v>23</v>
      </c>
      <c r="C44">
        <v>177</v>
      </c>
      <c r="D44">
        <f>IF(cukier10[[#This Row],[nip_klienta]]=B43,D43+cukier10[[#This Row],[sprzedany_cukier]],cukier10[[#This Row],[sprzedany_cukier]])</f>
        <v>3571</v>
      </c>
      <c r="E44" cm="1">
        <f t="array" ref="E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4">
        <f>cukier10[[#This Row],[sprzedany_cukier]]*cukier10[[#This Row],[rabat]]</f>
        <v>17.7</v>
      </c>
    </row>
    <row r="45" spans="1:6" x14ac:dyDescent="0.25">
      <c r="A45" s="1">
        <v>41676</v>
      </c>
      <c r="B45" t="s">
        <v>23</v>
      </c>
      <c r="C45">
        <v>89</v>
      </c>
      <c r="D45">
        <f>IF(cukier10[[#This Row],[nip_klienta]]=B44,D44+cukier10[[#This Row],[sprzedany_cukier]],cukier10[[#This Row],[sprzedany_cukier]])</f>
        <v>3660</v>
      </c>
      <c r="E45" cm="1">
        <f t="array" ref="E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5">
        <f>cukier10[[#This Row],[sprzedany_cukier]]*cukier10[[#This Row],[rabat]]</f>
        <v>8.9</v>
      </c>
    </row>
    <row r="46" spans="1:6" x14ac:dyDescent="0.25">
      <c r="A46" s="1">
        <v>41682</v>
      </c>
      <c r="B46" t="s">
        <v>23</v>
      </c>
      <c r="C46">
        <v>58</v>
      </c>
      <c r="D46">
        <f>IF(cukier10[[#This Row],[nip_klienta]]=B45,D45+cukier10[[#This Row],[sprzedany_cukier]],cukier10[[#This Row],[sprzedany_cukier]])</f>
        <v>3718</v>
      </c>
      <c r="E46" cm="1">
        <f t="array" ref="E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6">
        <f>cukier10[[#This Row],[sprzedany_cukier]]*cukier10[[#This Row],[rabat]]</f>
        <v>5.8000000000000007</v>
      </c>
    </row>
    <row r="47" spans="1:6" x14ac:dyDescent="0.25">
      <c r="A47" s="1">
        <v>41687</v>
      </c>
      <c r="B47" t="s">
        <v>23</v>
      </c>
      <c r="C47">
        <v>58</v>
      </c>
      <c r="D47">
        <f>IF(cukier10[[#This Row],[nip_klienta]]=B46,D46+cukier10[[#This Row],[sprzedany_cukier]],cukier10[[#This Row],[sprzedany_cukier]])</f>
        <v>3776</v>
      </c>
      <c r="E47" cm="1">
        <f t="array" ref="E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7">
        <f>cukier10[[#This Row],[sprzedany_cukier]]*cukier10[[#This Row],[rabat]]</f>
        <v>5.8000000000000007</v>
      </c>
    </row>
    <row r="48" spans="1:6" x14ac:dyDescent="0.25">
      <c r="A48" s="1">
        <v>41789</v>
      </c>
      <c r="B48" t="s">
        <v>23</v>
      </c>
      <c r="C48">
        <v>23</v>
      </c>
      <c r="D48">
        <f>IF(cukier10[[#This Row],[nip_klienta]]=B47,D47+cukier10[[#This Row],[sprzedany_cukier]],cukier10[[#This Row],[sprzedany_cukier]])</f>
        <v>3799</v>
      </c>
      <c r="E48" cm="1">
        <f t="array" ref="E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8">
        <f>cukier10[[#This Row],[sprzedany_cukier]]*cukier10[[#This Row],[rabat]]</f>
        <v>2.3000000000000003</v>
      </c>
    </row>
    <row r="49" spans="1:6" x14ac:dyDescent="0.25">
      <c r="A49" s="1">
        <v>41931</v>
      </c>
      <c r="B49" t="s">
        <v>23</v>
      </c>
      <c r="C49">
        <v>106</v>
      </c>
      <c r="D49">
        <f>IF(cukier10[[#This Row],[nip_klienta]]=B48,D48+cukier10[[#This Row],[sprzedany_cukier]],cukier10[[#This Row],[sprzedany_cukier]])</f>
        <v>3905</v>
      </c>
      <c r="E49" cm="1">
        <f t="array" ref="E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9">
        <f>cukier10[[#This Row],[sprzedany_cukier]]*cukier10[[#This Row],[rabat]]</f>
        <v>10.600000000000001</v>
      </c>
    </row>
    <row r="50" spans="1:6" x14ac:dyDescent="0.25">
      <c r="A50" s="1">
        <v>38918</v>
      </c>
      <c r="B50" t="s">
        <v>122</v>
      </c>
      <c r="C50">
        <v>9</v>
      </c>
      <c r="D50">
        <f>IF(cukier10[[#This Row],[nip_klienta]]=B49,D49+cukier10[[#This Row],[sprzedany_cukier]],cukier10[[#This Row],[sprzedany_cukier]])</f>
        <v>9</v>
      </c>
      <c r="E50" cm="1">
        <f t="array" ref="E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0">
        <f>cukier10[[#This Row],[sprzedany_cukier]]*cukier10[[#This Row],[rabat]]</f>
        <v>0</v>
      </c>
    </row>
    <row r="51" spans="1:6" x14ac:dyDescent="0.25">
      <c r="A51" s="1">
        <v>38985</v>
      </c>
      <c r="B51" t="s">
        <v>122</v>
      </c>
      <c r="C51">
        <v>17</v>
      </c>
      <c r="D51">
        <f>IF(cukier10[[#This Row],[nip_klienta]]=B50,D50+cukier10[[#This Row],[sprzedany_cukier]],cukier10[[#This Row],[sprzedany_cukier]])</f>
        <v>26</v>
      </c>
      <c r="E51" cm="1">
        <f t="array" ref="E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1">
        <f>cukier10[[#This Row],[sprzedany_cukier]]*cukier10[[#This Row],[rabat]]</f>
        <v>0</v>
      </c>
    </row>
    <row r="52" spans="1:6" x14ac:dyDescent="0.25">
      <c r="A52" s="1">
        <v>40815</v>
      </c>
      <c r="B52" t="s">
        <v>223</v>
      </c>
      <c r="C52">
        <v>1</v>
      </c>
      <c r="D52">
        <f>IF(cukier10[[#This Row],[nip_klienta]]=B51,D51+cukier10[[#This Row],[sprzedany_cukier]],cukier10[[#This Row],[sprzedany_cukier]])</f>
        <v>1</v>
      </c>
      <c r="E52" cm="1">
        <f t="array" ref="E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2">
        <f>cukier10[[#This Row],[sprzedany_cukier]]*cukier10[[#This Row],[rabat]]</f>
        <v>0</v>
      </c>
    </row>
    <row r="53" spans="1:6" x14ac:dyDescent="0.25">
      <c r="A53" s="1">
        <v>38366</v>
      </c>
      <c r="B53" t="s">
        <v>6</v>
      </c>
      <c r="C53">
        <v>95</v>
      </c>
      <c r="D53">
        <f>IF(cukier10[[#This Row],[nip_klienta]]=B52,D52+cukier10[[#This Row],[sprzedany_cukier]],cukier10[[#This Row],[sprzedany_cukier]])</f>
        <v>95</v>
      </c>
      <c r="E53" cm="1">
        <f t="array" ref="E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3">
        <f>cukier10[[#This Row],[sprzedany_cukier]]*cukier10[[#This Row],[rabat]]</f>
        <v>0</v>
      </c>
    </row>
    <row r="54" spans="1:6" x14ac:dyDescent="0.25">
      <c r="A54" s="1">
        <v>38526</v>
      </c>
      <c r="B54" t="s">
        <v>6</v>
      </c>
      <c r="C54">
        <v>81</v>
      </c>
      <c r="D54">
        <f>IF(cukier10[[#This Row],[nip_klienta]]=B53,D53+cukier10[[#This Row],[sprzedany_cukier]],cukier10[[#This Row],[sprzedany_cukier]])</f>
        <v>176</v>
      </c>
      <c r="E54" cm="1">
        <f t="array" ref="E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4">
        <f>cukier10[[#This Row],[sprzedany_cukier]]*cukier10[[#This Row],[rabat]]</f>
        <v>4.05</v>
      </c>
    </row>
    <row r="55" spans="1:6" x14ac:dyDescent="0.25">
      <c r="A55" s="1">
        <v>38547</v>
      </c>
      <c r="B55" t="s">
        <v>6</v>
      </c>
      <c r="C55">
        <v>173</v>
      </c>
      <c r="D55">
        <f>IF(cukier10[[#This Row],[nip_klienta]]=B54,D54+cukier10[[#This Row],[sprzedany_cukier]],cukier10[[#This Row],[sprzedany_cukier]])</f>
        <v>349</v>
      </c>
      <c r="E55" cm="1">
        <f t="array" ref="E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5">
        <f>cukier10[[#This Row],[sprzedany_cukier]]*cukier10[[#This Row],[rabat]]</f>
        <v>8.65</v>
      </c>
    </row>
    <row r="56" spans="1:6" x14ac:dyDescent="0.25">
      <c r="A56" s="1">
        <v>38624</v>
      </c>
      <c r="B56" t="s">
        <v>6</v>
      </c>
      <c r="C56">
        <v>122</v>
      </c>
      <c r="D56">
        <f>IF(cukier10[[#This Row],[nip_klienta]]=B55,D55+cukier10[[#This Row],[sprzedany_cukier]],cukier10[[#This Row],[sprzedany_cukier]])</f>
        <v>471</v>
      </c>
      <c r="E56" cm="1">
        <f t="array" ref="E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6">
        <f>cukier10[[#This Row],[sprzedany_cukier]]*cukier10[[#This Row],[rabat]]</f>
        <v>6.1000000000000005</v>
      </c>
    </row>
    <row r="57" spans="1:6" x14ac:dyDescent="0.25">
      <c r="A57" s="1">
        <v>38859</v>
      </c>
      <c r="B57" t="s">
        <v>6</v>
      </c>
      <c r="C57">
        <v>40</v>
      </c>
      <c r="D57">
        <f>IF(cukier10[[#This Row],[nip_klienta]]=B56,D56+cukier10[[#This Row],[sprzedany_cukier]],cukier10[[#This Row],[sprzedany_cukier]])</f>
        <v>511</v>
      </c>
      <c r="E57" cm="1">
        <f t="array" ref="E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7">
        <f>cukier10[[#This Row],[sprzedany_cukier]]*cukier10[[#This Row],[rabat]]</f>
        <v>2</v>
      </c>
    </row>
    <row r="58" spans="1:6" x14ac:dyDescent="0.25">
      <c r="A58" s="1">
        <v>39003</v>
      </c>
      <c r="B58" t="s">
        <v>6</v>
      </c>
      <c r="C58">
        <v>163</v>
      </c>
      <c r="D58">
        <f>IF(cukier10[[#This Row],[nip_klienta]]=B57,D57+cukier10[[#This Row],[sprzedany_cukier]],cukier10[[#This Row],[sprzedany_cukier]])</f>
        <v>674</v>
      </c>
      <c r="E58" cm="1">
        <f t="array" ref="E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8">
        <f>cukier10[[#This Row],[sprzedany_cukier]]*cukier10[[#This Row],[rabat]]</f>
        <v>8.15</v>
      </c>
    </row>
    <row r="59" spans="1:6" x14ac:dyDescent="0.25">
      <c r="A59" s="1">
        <v>39021</v>
      </c>
      <c r="B59" t="s">
        <v>6</v>
      </c>
      <c r="C59">
        <v>194</v>
      </c>
      <c r="D59">
        <f>IF(cukier10[[#This Row],[nip_klienta]]=B58,D58+cukier10[[#This Row],[sprzedany_cukier]],cukier10[[#This Row],[sprzedany_cukier]])</f>
        <v>868</v>
      </c>
      <c r="E59" cm="1">
        <f t="array" ref="E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9">
        <f>cukier10[[#This Row],[sprzedany_cukier]]*cukier10[[#This Row],[rabat]]</f>
        <v>9.7000000000000011</v>
      </c>
    </row>
    <row r="60" spans="1:6" x14ac:dyDescent="0.25">
      <c r="A60" s="1">
        <v>39052</v>
      </c>
      <c r="B60" t="s">
        <v>6</v>
      </c>
      <c r="C60">
        <v>124</v>
      </c>
      <c r="D60">
        <f>IF(cukier10[[#This Row],[nip_klienta]]=B59,D59+cukier10[[#This Row],[sprzedany_cukier]],cukier10[[#This Row],[sprzedany_cukier]])</f>
        <v>992</v>
      </c>
      <c r="E60" cm="1">
        <f t="array" ref="E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60">
        <f>cukier10[[#This Row],[sprzedany_cukier]]*cukier10[[#This Row],[rabat]]</f>
        <v>6.2</v>
      </c>
    </row>
    <row r="61" spans="1:6" x14ac:dyDescent="0.25">
      <c r="A61" s="1">
        <v>39191</v>
      </c>
      <c r="B61" t="s">
        <v>6</v>
      </c>
      <c r="C61">
        <v>67</v>
      </c>
      <c r="D61">
        <f>IF(cukier10[[#This Row],[nip_klienta]]=B60,D60+cukier10[[#This Row],[sprzedany_cukier]],cukier10[[#This Row],[sprzedany_cukier]])</f>
        <v>1059</v>
      </c>
      <c r="E61" cm="1">
        <f t="array" ref="E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1">
        <f>cukier10[[#This Row],[sprzedany_cukier]]*cukier10[[#This Row],[rabat]]</f>
        <v>6.7</v>
      </c>
    </row>
    <row r="62" spans="1:6" x14ac:dyDescent="0.25">
      <c r="A62" s="1">
        <v>39408</v>
      </c>
      <c r="B62" t="s">
        <v>6</v>
      </c>
      <c r="C62">
        <v>103</v>
      </c>
      <c r="D62">
        <f>IF(cukier10[[#This Row],[nip_klienta]]=B61,D61+cukier10[[#This Row],[sprzedany_cukier]],cukier10[[#This Row],[sprzedany_cukier]])</f>
        <v>1162</v>
      </c>
      <c r="E62" cm="1">
        <f t="array" ref="E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2">
        <f>cukier10[[#This Row],[sprzedany_cukier]]*cukier10[[#This Row],[rabat]]</f>
        <v>10.3</v>
      </c>
    </row>
    <row r="63" spans="1:6" x14ac:dyDescent="0.25">
      <c r="A63" s="1">
        <v>39586</v>
      </c>
      <c r="B63" t="s">
        <v>6</v>
      </c>
      <c r="C63">
        <v>52</v>
      </c>
      <c r="D63">
        <f>IF(cukier10[[#This Row],[nip_klienta]]=B62,D62+cukier10[[#This Row],[sprzedany_cukier]],cukier10[[#This Row],[sprzedany_cukier]])</f>
        <v>1214</v>
      </c>
      <c r="E63" cm="1">
        <f t="array" ref="E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3">
        <f>cukier10[[#This Row],[sprzedany_cukier]]*cukier10[[#This Row],[rabat]]</f>
        <v>5.2</v>
      </c>
    </row>
    <row r="64" spans="1:6" x14ac:dyDescent="0.25">
      <c r="A64" s="1">
        <v>39664</v>
      </c>
      <c r="B64" t="s">
        <v>6</v>
      </c>
      <c r="C64">
        <v>28</v>
      </c>
      <c r="D64">
        <f>IF(cukier10[[#This Row],[nip_klienta]]=B63,D63+cukier10[[#This Row],[sprzedany_cukier]],cukier10[[#This Row],[sprzedany_cukier]])</f>
        <v>1242</v>
      </c>
      <c r="E64" cm="1">
        <f t="array" ref="E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4">
        <f>cukier10[[#This Row],[sprzedany_cukier]]*cukier10[[#This Row],[rabat]]</f>
        <v>2.8000000000000003</v>
      </c>
    </row>
    <row r="65" spans="1:6" x14ac:dyDescent="0.25">
      <c r="A65" s="1">
        <v>40049</v>
      </c>
      <c r="B65" t="s">
        <v>6</v>
      </c>
      <c r="C65">
        <v>70</v>
      </c>
      <c r="D65">
        <f>IF(cukier10[[#This Row],[nip_klienta]]=B64,D64+cukier10[[#This Row],[sprzedany_cukier]],cukier10[[#This Row],[sprzedany_cukier]])</f>
        <v>1312</v>
      </c>
      <c r="E65" cm="1">
        <f t="array" ref="E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5">
        <f>cukier10[[#This Row],[sprzedany_cukier]]*cukier10[[#This Row],[rabat]]</f>
        <v>7</v>
      </c>
    </row>
    <row r="66" spans="1:6" x14ac:dyDescent="0.25">
      <c r="A66" s="1">
        <v>40075</v>
      </c>
      <c r="B66" t="s">
        <v>6</v>
      </c>
      <c r="C66">
        <v>73</v>
      </c>
      <c r="D66">
        <f>IF(cukier10[[#This Row],[nip_klienta]]=B65,D65+cukier10[[#This Row],[sprzedany_cukier]],cukier10[[#This Row],[sprzedany_cukier]])</f>
        <v>1385</v>
      </c>
      <c r="E66" cm="1">
        <f t="array" ref="E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6">
        <f>cukier10[[#This Row],[sprzedany_cukier]]*cukier10[[#This Row],[rabat]]</f>
        <v>7.3000000000000007</v>
      </c>
    </row>
    <row r="67" spans="1:6" x14ac:dyDescent="0.25">
      <c r="A67" s="1">
        <v>40152</v>
      </c>
      <c r="B67" t="s">
        <v>6</v>
      </c>
      <c r="C67">
        <v>168</v>
      </c>
      <c r="D67">
        <f>IF(cukier10[[#This Row],[nip_klienta]]=B66,D66+cukier10[[#This Row],[sprzedany_cukier]],cukier10[[#This Row],[sprzedany_cukier]])</f>
        <v>1553</v>
      </c>
      <c r="E67" cm="1">
        <f t="array" ref="E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7">
        <f>cukier10[[#This Row],[sprzedany_cukier]]*cukier10[[#This Row],[rabat]]</f>
        <v>16.8</v>
      </c>
    </row>
    <row r="68" spans="1:6" x14ac:dyDescent="0.25">
      <c r="A68" s="1">
        <v>40221</v>
      </c>
      <c r="B68" t="s">
        <v>6</v>
      </c>
      <c r="C68">
        <v>81</v>
      </c>
      <c r="D68">
        <f>IF(cukier10[[#This Row],[nip_klienta]]=B67,D67+cukier10[[#This Row],[sprzedany_cukier]],cukier10[[#This Row],[sprzedany_cukier]])</f>
        <v>1634</v>
      </c>
      <c r="E68" cm="1">
        <f t="array" ref="E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8">
        <f>cukier10[[#This Row],[sprzedany_cukier]]*cukier10[[#This Row],[rabat]]</f>
        <v>8.1</v>
      </c>
    </row>
    <row r="69" spans="1:6" x14ac:dyDescent="0.25">
      <c r="A69" s="1">
        <v>40225</v>
      </c>
      <c r="B69" t="s">
        <v>6</v>
      </c>
      <c r="C69">
        <v>194</v>
      </c>
      <c r="D69">
        <f>IF(cukier10[[#This Row],[nip_klienta]]=B68,D68+cukier10[[#This Row],[sprzedany_cukier]],cukier10[[#This Row],[sprzedany_cukier]])</f>
        <v>1828</v>
      </c>
      <c r="E69" cm="1">
        <f t="array" ref="E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9">
        <f>cukier10[[#This Row],[sprzedany_cukier]]*cukier10[[#This Row],[rabat]]</f>
        <v>19.400000000000002</v>
      </c>
    </row>
    <row r="70" spans="1:6" x14ac:dyDescent="0.25">
      <c r="A70" s="1">
        <v>40610</v>
      </c>
      <c r="B70" t="s">
        <v>6</v>
      </c>
      <c r="C70">
        <v>25</v>
      </c>
      <c r="D70">
        <f>IF(cukier10[[#This Row],[nip_klienta]]=B69,D69+cukier10[[#This Row],[sprzedany_cukier]],cukier10[[#This Row],[sprzedany_cukier]])</f>
        <v>1853</v>
      </c>
      <c r="E70" cm="1">
        <f t="array" ref="E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0">
        <f>cukier10[[#This Row],[sprzedany_cukier]]*cukier10[[#This Row],[rabat]]</f>
        <v>2.5</v>
      </c>
    </row>
    <row r="71" spans="1:6" x14ac:dyDescent="0.25">
      <c r="A71" s="1">
        <v>40670</v>
      </c>
      <c r="B71" t="s">
        <v>6</v>
      </c>
      <c r="C71">
        <v>99</v>
      </c>
      <c r="D71">
        <f>IF(cukier10[[#This Row],[nip_klienta]]=B70,D70+cukier10[[#This Row],[sprzedany_cukier]],cukier10[[#This Row],[sprzedany_cukier]])</f>
        <v>1952</v>
      </c>
      <c r="E71" cm="1">
        <f t="array" ref="E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1">
        <f>cukier10[[#This Row],[sprzedany_cukier]]*cukier10[[#This Row],[rabat]]</f>
        <v>9.9</v>
      </c>
    </row>
    <row r="72" spans="1:6" x14ac:dyDescent="0.25">
      <c r="A72" s="1">
        <v>40753</v>
      </c>
      <c r="B72" t="s">
        <v>6</v>
      </c>
      <c r="C72">
        <v>162</v>
      </c>
      <c r="D72">
        <f>IF(cukier10[[#This Row],[nip_klienta]]=B71,D71+cukier10[[#This Row],[sprzedany_cukier]],cukier10[[#This Row],[sprzedany_cukier]])</f>
        <v>2114</v>
      </c>
      <c r="E72" cm="1">
        <f t="array" ref="E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2">
        <f>cukier10[[#This Row],[sprzedany_cukier]]*cukier10[[#This Row],[rabat]]</f>
        <v>16.2</v>
      </c>
    </row>
    <row r="73" spans="1:6" x14ac:dyDescent="0.25">
      <c r="A73" s="1">
        <v>40768</v>
      </c>
      <c r="B73" t="s">
        <v>6</v>
      </c>
      <c r="C73">
        <v>184</v>
      </c>
      <c r="D73">
        <f>IF(cukier10[[#This Row],[nip_klienta]]=B72,D72+cukier10[[#This Row],[sprzedany_cukier]],cukier10[[#This Row],[sprzedany_cukier]])</f>
        <v>2298</v>
      </c>
      <c r="E73" cm="1">
        <f t="array" ref="E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3">
        <f>cukier10[[#This Row],[sprzedany_cukier]]*cukier10[[#This Row],[rabat]]</f>
        <v>18.400000000000002</v>
      </c>
    </row>
    <row r="74" spans="1:6" x14ac:dyDescent="0.25">
      <c r="A74" s="1">
        <v>40789</v>
      </c>
      <c r="B74" t="s">
        <v>6</v>
      </c>
      <c r="C74">
        <v>77</v>
      </c>
      <c r="D74">
        <f>IF(cukier10[[#This Row],[nip_klienta]]=B73,D73+cukier10[[#This Row],[sprzedany_cukier]],cukier10[[#This Row],[sprzedany_cukier]])</f>
        <v>2375</v>
      </c>
      <c r="E74" cm="1">
        <f t="array" ref="E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4">
        <f>cukier10[[#This Row],[sprzedany_cukier]]*cukier10[[#This Row],[rabat]]</f>
        <v>7.7</v>
      </c>
    </row>
    <row r="75" spans="1:6" x14ac:dyDescent="0.25">
      <c r="A75" s="1">
        <v>40892</v>
      </c>
      <c r="B75" t="s">
        <v>6</v>
      </c>
      <c r="C75">
        <v>108</v>
      </c>
      <c r="D75">
        <f>IF(cukier10[[#This Row],[nip_klienta]]=B74,D74+cukier10[[#This Row],[sprzedany_cukier]],cukier10[[#This Row],[sprzedany_cukier]])</f>
        <v>2483</v>
      </c>
      <c r="E75" cm="1">
        <f t="array" ref="E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5">
        <f>cukier10[[#This Row],[sprzedany_cukier]]*cukier10[[#This Row],[rabat]]</f>
        <v>10.8</v>
      </c>
    </row>
    <row r="76" spans="1:6" x14ac:dyDescent="0.25">
      <c r="A76" s="1">
        <v>40903</v>
      </c>
      <c r="B76" t="s">
        <v>6</v>
      </c>
      <c r="C76">
        <v>197</v>
      </c>
      <c r="D76">
        <f>IF(cukier10[[#This Row],[nip_klienta]]=B75,D75+cukier10[[#This Row],[sprzedany_cukier]],cukier10[[#This Row],[sprzedany_cukier]])</f>
        <v>2680</v>
      </c>
      <c r="E76" cm="1">
        <f t="array" ref="E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6">
        <f>cukier10[[#This Row],[sprzedany_cukier]]*cukier10[[#This Row],[rabat]]</f>
        <v>19.700000000000003</v>
      </c>
    </row>
    <row r="77" spans="1:6" x14ac:dyDescent="0.25">
      <c r="A77" s="1">
        <v>41006</v>
      </c>
      <c r="B77" t="s">
        <v>6</v>
      </c>
      <c r="C77">
        <v>152</v>
      </c>
      <c r="D77">
        <f>IF(cukier10[[#This Row],[nip_klienta]]=B76,D76+cukier10[[#This Row],[sprzedany_cukier]],cukier10[[#This Row],[sprzedany_cukier]])</f>
        <v>2832</v>
      </c>
      <c r="E77" cm="1">
        <f t="array" ref="E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7">
        <f>cukier10[[#This Row],[sprzedany_cukier]]*cukier10[[#This Row],[rabat]]</f>
        <v>15.200000000000001</v>
      </c>
    </row>
    <row r="78" spans="1:6" x14ac:dyDescent="0.25">
      <c r="A78" s="1">
        <v>41014</v>
      </c>
      <c r="B78" t="s">
        <v>6</v>
      </c>
      <c r="C78">
        <v>141</v>
      </c>
      <c r="D78">
        <f>IF(cukier10[[#This Row],[nip_klienta]]=B77,D77+cukier10[[#This Row],[sprzedany_cukier]],cukier10[[#This Row],[sprzedany_cukier]])</f>
        <v>2973</v>
      </c>
      <c r="E78" cm="1">
        <f t="array" ref="E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8">
        <f>cukier10[[#This Row],[sprzedany_cukier]]*cukier10[[#This Row],[rabat]]</f>
        <v>14.100000000000001</v>
      </c>
    </row>
    <row r="79" spans="1:6" x14ac:dyDescent="0.25">
      <c r="A79" s="1">
        <v>41177</v>
      </c>
      <c r="B79" t="s">
        <v>6</v>
      </c>
      <c r="C79">
        <v>155</v>
      </c>
      <c r="D79">
        <f>IF(cukier10[[#This Row],[nip_klienta]]=B78,D78+cukier10[[#This Row],[sprzedany_cukier]],cukier10[[#This Row],[sprzedany_cukier]])</f>
        <v>3128</v>
      </c>
      <c r="E79" cm="1">
        <f t="array" ref="E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9">
        <f>cukier10[[#This Row],[sprzedany_cukier]]*cukier10[[#This Row],[rabat]]</f>
        <v>15.5</v>
      </c>
    </row>
    <row r="80" spans="1:6" x14ac:dyDescent="0.25">
      <c r="A80" s="1">
        <v>41432</v>
      </c>
      <c r="B80" t="s">
        <v>6</v>
      </c>
      <c r="C80">
        <v>81</v>
      </c>
      <c r="D80">
        <f>IF(cukier10[[#This Row],[nip_klienta]]=B79,D79+cukier10[[#This Row],[sprzedany_cukier]],cukier10[[#This Row],[sprzedany_cukier]])</f>
        <v>3209</v>
      </c>
      <c r="E80" cm="1">
        <f t="array" ref="E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0">
        <f>cukier10[[#This Row],[sprzedany_cukier]]*cukier10[[#This Row],[rabat]]</f>
        <v>8.1</v>
      </c>
    </row>
    <row r="81" spans="1:6" x14ac:dyDescent="0.25">
      <c r="A81" s="1">
        <v>41464</v>
      </c>
      <c r="B81" t="s">
        <v>6</v>
      </c>
      <c r="C81">
        <v>172</v>
      </c>
      <c r="D81">
        <f>IF(cukier10[[#This Row],[nip_klienta]]=B80,D80+cukier10[[#This Row],[sprzedany_cukier]],cukier10[[#This Row],[sprzedany_cukier]])</f>
        <v>3381</v>
      </c>
      <c r="E81" cm="1">
        <f t="array" ref="E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1">
        <f>cukier10[[#This Row],[sprzedany_cukier]]*cukier10[[#This Row],[rabat]]</f>
        <v>17.2</v>
      </c>
    </row>
    <row r="82" spans="1:6" x14ac:dyDescent="0.25">
      <c r="A82" s="1">
        <v>41485</v>
      </c>
      <c r="B82" t="s">
        <v>6</v>
      </c>
      <c r="C82">
        <v>116</v>
      </c>
      <c r="D82">
        <f>IF(cukier10[[#This Row],[nip_klienta]]=B81,D81+cukier10[[#This Row],[sprzedany_cukier]],cukier10[[#This Row],[sprzedany_cukier]])</f>
        <v>3497</v>
      </c>
      <c r="E82" cm="1">
        <f t="array" ref="E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2">
        <f>cukier10[[#This Row],[sprzedany_cukier]]*cukier10[[#This Row],[rabat]]</f>
        <v>11.600000000000001</v>
      </c>
    </row>
    <row r="83" spans="1:6" x14ac:dyDescent="0.25">
      <c r="A83" s="1">
        <v>41563</v>
      </c>
      <c r="B83" t="s">
        <v>6</v>
      </c>
      <c r="C83">
        <v>62</v>
      </c>
      <c r="D83">
        <f>IF(cukier10[[#This Row],[nip_klienta]]=B82,D82+cukier10[[#This Row],[sprzedany_cukier]],cukier10[[#This Row],[sprzedany_cukier]])</f>
        <v>3559</v>
      </c>
      <c r="E83" cm="1">
        <f t="array" ref="E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3">
        <f>cukier10[[#This Row],[sprzedany_cukier]]*cukier10[[#This Row],[rabat]]</f>
        <v>6.2</v>
      </c>
    </row>
    <row r="84" spans="1:6" x14ac:dyDescent="0.25">
      <c r="A84" s="1">
        <v>41567</v>
      </c>
      <c r="B84" t="s">
        <v>6</v>
      </c>
      <c r="C84">
        <v>184</v>
      </c>
      <c r="D84">
        <f>IF(cukier10[[#This Row],[nip_klienta]]=B83,D83+cukier10[[#This Row],[sprzedany_cukier]],cukier10[[#This Row],[sprzedany_cukier]])</f>
        <v>3743</v>
      </c>
      <c r="E84" cm="1">
        <f t="array" ref="E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4">
        <f>cukier10[[#This Row],[sprzedany_cukier]]*cukier10[[#This Row],[rabat]]</f>
        <v>18.400000000000002</v>
      </c>
    </row>
    <row r="85" spans="1:6" x14ac:dyDescent="0.25">
      <c r="A85" s="1">
        <v>41570</v>
      </c>
      <c r="B85" t="s">
        <v>6</v>
      </c>
      <c r="C85">
        <v>97</v>
      </c>
      <c r="D85">
        <f>IF(cukier10[[#This Row],[nip_klienta]]=B84,D84+cukier10[[#This Row],[sprzedany_cukier]],cukier10[[#This Row],[sprzedany_cukier]])</f>
        <v>3840</v>
      </c>
      <c r="E85" cm="1">
        <f t="array" ref="E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5">
        <f>cukier10[[#This Row],[sprzedany_cukier]]*cukier10[[#This Row],[rabat]]</f>
        <v>9.7000000000000011</v>
      </c>
    </row>
    <row r="86" spans="1:6" x14ac:dyDescent="0.25">
      <c r="A86" s="1">
        <v>41624</v>
      </c>
      <c r="B86" t="s">
        <v>6</v>
      </c>
      <c r="C86">
        <v>100</v>
      </c>
      <c r="D86">
        <f>IF(cukier10[[#This Row],[nip_klienta]]=B85,D85+cukier10[[#This Row],[sprzedany_cukier]],cukier10[[#This Row],[sprzedany_cukier]])</f>
        <v>3940</v>
      </c>
      <c r="E86" cm="1">
        <f t="array" ref="E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6">
        <f>cukier10[[#This Row],[sprzedany_cukier]]*cukier10[[#This Row],[rabat]]</f>
        <v>10</v>
      </c>
    </row>
    <row r="87" spans="1:6" x14ac:dyDescent="0.25">
      <c r="A87" s="1">
        <v>41690</v>
      </c>
      <c r="B87" t="s">
        <v>6</v>
      </c>
      <c r="C87">
        <v>185</v>
      </c>
      <c r="D87">
        <f>IF(cukier10[[#This Row],[nip_klienta]]=B86,D86+cukier10[[#This Row],[sprzedany_cukier]],cukier10[[#This Row],[sprzedany_cukier]])</f>
        <v>4125</v>
      </c>
      <c r="E87" cm="1">
        <f t="array" ref="E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7">
        <f>cukier10[[#This Row],[sprzedany_cukier]]*cukier10[[#This Row],[rabat]]</f>
        <v>18.5</v>
      </c>
    </row>
    <row r="88" spans="1:6" x14ac:dyDescent="0.25">
      <c r="A88" s="1">
        <v>41832</v>
      </c>
      <c r="B88" t="s">
        <v>6</v>
      </c>
      <c r="C88">
        <v>184</v>
      </c>
      <c r="D88">
        <f>IF(cukier10[[#This Row],[nip_klienta]]=B87,D87+cukier10[[#This Row],[sprzedany_cukier]],cukier10[[#This Row],[sprzedany_cukier]])</f>
        <v>4309</v>
      </c>
      <c r="E88" cm="1">
        <f t="array" ref="E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8">
        <f>cukier10[[#This Row],[sprzedany_cukier]]*cukier10[[#This Row],[rabat]]</f>
        <v>18.400000000000002</v>
      </c>
    </row>
    <row r="89" spans="1:6" x14ac:dyDescent="0.25">
      <c r="A89" s="1">
        <v>38388</v>
      </c>
      <c r="B89" t="s">
        <v>15</v>
      </c>
      <c r="C89">
        <v>12</v>
      </c>
      <c r="D89">
        <f>IF(cukier10[[#This Row],[nip_klienta]]=B88,D88+cukier10[[#This Row],[sprzedany_cukier]],cukier10[[#This Row],[sprzedany_cukier]])</f>
        <v>12</v>
      </c>
      <c r="E89" cm="1">
        <f t="array" ref="E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89">
        <f>cukier10[[#This Row],[sprzedany_cukier]]*cukier10[[#This Row],[rabat]]</f>
        <v>0</v>
      </c>
    </row>
    <row r="90" spans="1:6" x14ac:dyDescent="0.25">
      <c r="A90" s="1">
        <v>39120</v>
      </c>
      <c r="B90" t="s">
        <v>15</v>
      </c>
      <c r="C90">
        <v>5</v>
      </c>
      <c r="D90">
        <f>IF(cukier10[[#This Row],[nip_klienta]]=B89,D89+cukier10[[#This Row],[sprzedany_cukier]],cukier10[[#This Row],[sprzedany_cukier]])</f>
        <v>17</v>
      </c>
      <c r="E90" cm="1">
        <f t="array" ref="E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0">
        <f>cukier10[[#This Row],[sprzedany_cukier]]*cukier10[[#This Row],[rabat]]</f>
        <v>0</v>
      </c>
    </row>
    <row r="91" spans="1:6" x14ac:dyDescent="0.25">
      <c r="A91" s="1">
        <v>39448</v>
      </c>
      <c r="B91" t="s">
        <v>15</v>
      </c>
      <c r="C91">
        <v>1</v>
      </c>
      <c r="D91">
        <f>IF(cukier10[[#This Row],[nip_klienta]]=B90,D90+cukier10[[#This Row],[sprzedany_cukier]],cukier10[[#This Row],[sprzedany_cukier]])</f>
        <v>18</v>
      </c>
      <c r="E91" cm="1">
        <f t="array" ref="E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1">
        <f>cukier10[[#This Row],[sprzedany_cukier]]*cukier10[[#This Row],[rabat]]</f>
        <v>0</v>
      </c>
    </row>
    <row r="92" spans="1:6" x14ac:dyDescent="0.25">
      <c r="A92" s="1">
        <v>41336</v>
      </c>
      <c r="B92" t="s">
        <v>15</v>
      </c>
      <c r="C92">
        <v>17</v>
      </c>
      <c r="D92">
        <f>IF(cukier10[[#This Row],[nip_klienta]]=B91,D91+cukier10[[#This Row],[sprzedany_cukier]],cukier10[[#This Row],[sprzedany_cukier]])</f>
        <v>35</v>
      </c>
      <c r="E92" cm="1">
        <f t="array" ref="E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2">
        <f>cukier10[[#This Row],[sprzedany_cukier]]*cukier10[[#This Row],[rabat]]</f>
        <v>0</v>
      </c>
    </row>
    <row r="93" spans="1:6" x14ac:dyDescent="0.25">
      <c r="A93" s="1">
        <v>41509</v>
      </c>
      <c r="B93" t="s">
        <v>15</v>
      </c>
      <c r="C93">
        <v>4</v>
      </c>
      <c r="D93">
        <f>IF(cukier10[[#This Row],[nip_klienta]]=B92,D92+cukier10[[#This Row],[sprzedany_cukier]],cukier10[[#This Row],[sprzedany_cukier]])</f>
        <v>39</v>
      </c>
      <c r="E93" cm="1">
        <f t="array" ref="E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3">
        <f>cukier10[[#This Row],[sprzedany_cukier]]*cukier10[[#This Row],[rabat]]</f>
        <v>0</v>
      </c>
    </row>
    <row r="94" spans="1:6" x14ac:dyDescent="0.25">
      <c r="A94" s="1">
        <v>40073</v>
      </c>
      <c r="B94" t="s">
        <v>200</v>
      </c>
      <c r="C94">
        <v>3</v>
      </c>
      <c r="D94">
        <f>IF(cukier10[[#This Row],[nip_klienta]]=B93,D93+cukier10[[#This Row],[sprzedany_cukier]],cukier10[[#This Row],[sprzedany_cukier]])</f>
        <v>3</v>
      </c>
      <c r="E94" cm="1">
        <f t="array" ref="E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4">
        <f>cukier10[[#This Row],[sprzedany_cukier]]*cukier10[[#This Row],[rabat]]</f>
        <v>0</v>
      </c>
    </row>
    <row r="95" spans="1:6" x14ac:dyDescent="0.25">
      <c r="A95" s="1">
        <v>41315</v>
      </c>
      <c r="B95" t="s">
        <v>200</v>
      </c>
      <c r="C95">
        <v>19</v>
      </c>
      <c r="D95">
        <f>IF(cukier10[[#This Row],[nip_klienta]]=B94,D94+cukier10[[#This Row],[sprzedany_cukier]],cukier10[[#This Row],[sprzedany_cukier]])</f>
        <v>22</v>
      </c>
      <c r="E95" cm="1">
        <f t="array" ref="E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5">
        <f>cukier10[[#This Row],[sprzedany_cukier]]*cukier10[[#This Row],[rabat]]</f>
        <v>0</v>
      </c>
    </row>
    <row r="96" spans="1:6" x14ac:dyDescent="0.25">
      <c r="A96" s="1">
        <v>41538</v>
      </c>
      <c r="B96" t="s">
        <v>200</v>
      </c>
      <c r="C96">
        <v>5</v>
      </c>
      <c r="D96">
        <f>IF(cukier10[[#This Row],[nip_klienta]]=B95,D95+cukier10[[#This Row],[sprzedany_cukier]],cukier10[[#This Row],[sprzedany_cukier]])</f>
        <v>27</v>
      </c>
      <c r="E96" cm="1">
        <f t="array" ref="E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6">
        <f>cukier10[[#This Row],[sprzedany_cukier]]*cukier10[[#This Row],[rabat]]</f>
        <v>0</v>
      </c>
    </row>
    <row r="97" spans="1:6" x14ac:dyDescent="0.25">
      <c r="A97" s="1">
        <v>38583</v>
      </c>
      <c r="B97" t="s">
        <v>72</v>
      </c>
      <c r="C97">
        <v>16</v>
      </c>
      <c r="D97">
        <f>IF(cukier10[[#This Row],[nip_klienta]]=B96,D96+cukier10[[#This Row],[sprzedany_cukier]],cukier10[[#This Row],[sprzedany_cukier]])</f>
        <v>16</v>
      </c>
      <c r="E97" cm="1">
        <f t="array" ref="E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7">
        <f>cukier10[[#This Row],[sprzedany_cukier]]*cukier10[[#This Row],[rabat]]</f>
        <v>0</v>
      </c>
    </row>
    <row r="98" spans="1:6" x14ac:dyDescent="0.25">
      <c r="A98" s="1">
        <v>38978</v>
      </c>
      <c r="B98" t="s">
        <v>72</v>
      </c>
      <c r="C98">
        <v>10</v>
      </c>
      <c r="D98">
        <f>IF(cukier10[[#This Row],[nip_klienta]]=B97,D97+cukier10[[#This Row],[sprzedany_cukier]],cukier10[[#This Row],[sprzedany_cukier]])</f>
        <v>26</v>
      </c>
      <c r="E98" cm="1">
        <f t="array" ref="E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8">
        <f>cukier10[[#This Row],[sprzedany_cukier]]*cukier10[[#This Row],[rabat]]</f>
        <v>0</v>
      </c>
    </row>
    <row r="99" spans="1:6" x14ac:dyDescent="0.25">
      <c r="A99" s="1">
        <v>39573</v>
      </c>
      <c r="B99" t="s">
        <v>72</v>
      </c>
      <c r="C99">
        <v>8</v>
      </c>
      <c r="D99">
        <f>IF(cukier10[[#This Row],[nip_klienta]]=B98,D98+cukier10[[#This Row],[sprzedany_cukier]],cukier10[[#This Row],[sprzedany_cukier]])</f>
        <v>34</v>
      </c>
      <c r="E99" cm="1">
        <f t="array" ref="E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9">
        <f>cukier10[[#This Row],[sprzedany_cukier]]*cukier10[[#This Row],[rabat]]</f>
        <v>0</v>
      </c>
    </row>
    <row r="100" spans="1:6" x14ac:dyDescent="0.25">
      <c r="A100" s="1">
        <v>40336</v>
      </c>
      <c r="B100" t="s">
        <v>72</v>
      </c>
      <c r="C100">
        <v>17</v>
      </c>
      <c r="D100">
        <f>IF(cukier10[[#This Row],[nip_klienta]]=B99,D99+cukier10[[#This Row],[sprzedany_cukier]],cukier10[[#This Row],[sprzedany_cukier]])</f>
        <v>51</v>
      </c>
      <c r="E100" cm="1">
        <f t="array" ref="E1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0">
        <f>cukier10[[#This Row],[sprzedany_cukier]]*cukier10[[#This Row],[rabat]]</f>
        <v>0</v>
      </c>
    </row>
    <row r="101" spans="1:6" x14ac:dyDescent="0.25">
      <c r="A101" s="1">
        <v>40348</v>
      </c>
      <c r="B101" t="s">
        <v>72</v>
      </c>
      <c r="C101">
        <v>11</v>
      </c>
      <c r="D101">
        <f>IF(cukier10[[#This Row],[nip_klienta]]=B100,D100+cukier10[[#This Row],[sprzedany_cukier]],cukier10[[#This Row],[sprzedany_cukier]])</f>
        <v>62</v>
      </c>
      <c r="E101" cm="1">
        <f t="array" ref="E1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1">
        <f>cukier10[[#This Row],[sprzedany_cukier]]*cukier10[[#This Row],[rabat]]</f>
        <v>0</v>
      </c>
    </row>
    <row r="102" spans="1:6" x14ac:dyDescent="0.25">
      <c r="A102" s="1">
        <v>38851</v>
      </c>
      <c r="B102" t="s">
        <v>108</v>
      </c>
      <c r="C102">
        <v>19</v>
      </c>
      <c r="D102">
        <f>IF(cukier10[[#This Row],[nip_klienta]]=B101,D101+cukier10[[#This Row],[sprzedany_cukier]],cukier10[[#This Row],[sprzedany_cukier]])</f>
        <v>19</v>
      </c>
      <c r="E102" cm="1">
        <f t="array" ref="E1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2">
        <f>cukier10[[#This Row],[sprzedany_cukier]]*cukier10[[#This Row],[rabat]]</f>
        <v>0</v>
      </c>
    </row>
    <row r="103" spans="1:6" x14ac:dyDescent="0.25">
      <c r="A103" s="1">
        <v>40101</v>
      </c>
      <c r="B103" t="s">
        <v>108</v>
      </c>
      <c r="C103">
        <v>10</v>
      </c>
      <c r="D103">
        <f>IF(cukier10[[#This Row],[nip_klienta]]=B102,D102+cukier10[[#This Row],[sprzedany_cukier]],cukier10[[#This Row],[sprzedany_cukier]])</f>
        <v>29</v>
      </c>
      <c r="E103" cm="1">
        <f t="array" ref="E1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3">
        <f>cukier10[[#This Row],[sprzedany_cukier]]*cukier10[[#This Row],[rabat]]</f>
        <v>0</v>
      </c>
    </row>
    <row r="104" spans="1:6" x14ac:dyDescent="0.25">
      <c r="A104" s="1">
        <v>40669</v>
      </c>
      <c r="B104" t="s">
        <v>108</v>
      </c>
      <c r="C104">
        <v>1</v>
      </c>
      <c r="D104">
        <f>IF(cukier10[[#This Row],[nip_klienta]]=B103,D103+cukier10[[#This Row],[sprzedany_cukier]],cukier10[[#This Row],[sprzedany_cukier]])</f>
        <v>30</v>
      </c>
      <c r="E104" cm="1">
        <f t="array" ref="E1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4">
        <f>cukier10[[#This Row],[sprzedany_cukier]]*cukier10[[#This Row],[rabat]]</f>
        <v>0</v>
      </c>
    </row>
    <row r="105" spans="1:6" x14ac:dyDescent="0.25">
      <c r="A105" s="1">
        <v>40943</v>
      </c>
      <c r="B105" t="s">
        <v>108</v>
      </c>
      <c r="C105">
        <v>9</v>
      </c>
      <c r="D105">
        <f>IF(cukier10[[#This Row],[nip_klienta]]=B104,D104+cukier10[[#This Row],[sprzedany_cukier]],cukier10[[#This Row],[sprzedany_cukier]])</f>
        <v>39</v>
      </c>
      <c r="E105" cm="1">
        <f t="array" ref="E1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5">
        <f>cukier10[[#This Row],[sprzedany_cukier]]*cukier10[[#This Row],[rabat]]</f>
        <v>0</v>
      </c>
    </row>
    <row r="106" spans="1:6" x14ac:dyDescent="0.25">
      <c r="A106" s="1">
        <v>41154</v>
      </c>
      <c r="B106" t="s">
        <v>108</v>
      </c>
      <c r="C106">
        <v>5</v>
      </c>
      <c r="D106">
        <f>IF(cukier10[[#This Row],[nip_klienta]]=B105,D105+cukier10[[#This Row],[sprzedany_cukier]],cukier10[[#This Row],[sprzedany_cukier]])</f>
        <v>44</v>
      </c>
      <c r="E106" cm="1">
        <f t="array" ref="E1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6">
        <f>cukier10[[#This Row],[sprzedany_cukier]]*cukier10[[#This Row],[rabat]]</f>
        <v>0</v>
      </c>
    </row>
    <row r="107" spans="1:6" x14ac:dyDescent="0.25">
      <c r="A107" s="1">
        <v>38596</v>
      </c>
      <c r="B107" t="s">
        <v>77</v>
      </c>
      <c r="C107">
        <v>8</v>
      </c>
      <c r="D107">
        <f>IF(cukier10[[#This Row],[nip_klienta]]=B106,D106+cukier10[[#This Row],[sprzedany_cukier]],cukier10[[#This Row],[sprzedany_cukier]])</f>
        <v>8</v>
      </c>
      <c r="E107" cm="1">
        <f t="array" ref="E1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7">
        <f>cukier10[[#This Row],[sprzedany_cukier]]*cukier10[[#This Row],[rabat]]</f>
        <v>0</v>
      </c>
    </row>
    <row r="108" spans="1:6" x14ac:dyDescent="0.25">
      <c r="A108" s="1">
        <v>41559</v>
      </c>
      <c r="B108" t="s">
        <v>77</v>
      </c>
      <c r="C108">
        <v>14</v>
      </c>
      <c r="D108">
        <f>IF(cukier10[[#This Row],[nip_klienta]]=B107,D107+cukier10[[#This Row],[sprzedany_cukier]],cukier10[[#This Row],[sprzedany_cukier]])</f>
        <v>22</v>
      </c>
      <c r="E108" cm="1">
        <f t="array" ref="E1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8">
        <f>cukier10[[#This Row],[sprzedany_cukier]]*cukier10[[#This Row],[rabat]]</f>
        <v>0</v>
      </c>
    </row>
    <row r="109" spans="1:6" x14ac:dyDescent="0.25">
      <c r="A109" s="1">
        <v>38640</v>
      </c>
      <c r="B109" t="s">
        <v>82</v>
      </c>
      <c r="C109">
        <v>17</v>
      </c>
      <c r="D109">
        <f>IF(cukier10[[#This Row],[nip_klienta]]=B108,D108+cukier10[[#This Row],[sprzedany_cukier]],cukier10[[#This Row],[sprzedany_cukier]])</f>
        <v>17</v>
      </c>
      <c r="E109" cm="1">
        <f t="array" ref="E1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9">
        <f>cukier10[[#This Row],[sprzedany_cukier]]*cukier10[[#This Row],[rabat]]</f>
        <v>0</v>
      </c>
    </row>
    <row r="110" spans="1:6" x14ac:dyDescent="0.25">
      <c r="A110" s="1">
        <v>39064</v>
      </c>
      <c r="B110" t="s">
        <v>82</v>
      </c>
      <c r="C110">
        <v>6</v>
      </c>
      <c r="D110">
        <f>IF(cukier10[[#This Row],[nip_klienta]]=B109,D109+cukier10[[#This Row],[sprzedany_cukier]],cukier10[[#This Row],[sprzedany_cukier]])</f>
        <v>23</v>
      </c>
      <c r="E110" cm="1">
        <f t="array" ref="E1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0">
        <f>cukier10[[#This Row],[sprzedany_cukier]]*cukier10[[#This Row],[rabat]]</f>
        <v>0</v>
      </c>
    </row>
    <row r="111" spans="1:6" x14ac:dyDescent="0.25">
      <c r="A111" s="1">
        <v>39821</v>
      </c>
      <c r="B111" t="s">
        <v>82</v>
      </c>
      <c r="C111">
        <v>11</v>
      </c>
      <c r="D111">
        <f>IF(cukier10[[#This Row],[nip_klienta]]=B110,D110+cukier10[[#This Row],[sprzedany_cukier]],cukier10[[#This Row],[sprzedany_cukier]])</f>
        <v>34</v>
      </c>
      <c r="E111" cm="1">
        <f t="array" ref="E1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1">
        <f>cukier10[[#This Row],[sprzedany_cukier]]*cukier10[[#This Row],[rabat]]</f>
        <v>0</v>
      </c>
    </row>
    <row r="112" spans="1:6" x14ac:dyDescent="0.25">
      <c r="A112" s="1">
        <v>41642</v>
      </c>
      <c r="B112" t="s">
        <v>82</v>
      </c>
      <c r="C112">
        <v>18</v>
      </c>
      <c r="D112">
        <f>IF(cukier10[[#This Row],[nip_klienta]]=B111,D111+cukier10[[#This Row],[sprzedany_cukier]],cukier10[[#This Row],[sprzedany_cukier]])</f>
        <v>52</v>
      </c>
      <c r="E112" cm="1">
        <f t="array" ref="E1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2">
        <f>cukier10[[#This Row],[sprzedany_cukier]]*cukier10[[#This Row],[rabat]]</f>
        <v>0</v>
      </c>
    </row>
    <row r="113" spans="1:6" x14ac:dyDescent="0.25">
      <c r="A113" s="1">
        <v>39925</v>
      </c>
      <c r="B113" t="s">
        <v>186</v>
      </c>
      <c r="C113">
        <v>15</v>
      </c>
      <c r="D113">
        <f>IF(cukier10[[#This Row],[nip_klienta]]=B112,D112+cukier10[[#This Row],[sprzedany_cukier]],cukier10[[#This Row],[sprzedany_cukier]])</f>
        <v>15</v>
      </c>
      <c r="E113" cm="1">
        <f t="array" ref="E1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3">
        <f>cukier10[[#This Row],[sprzedany_cukier]]*cukier10[[#This Row],[rabat]]</f>
        <v>0</v>
      </c>
    </row>
    <row r="114" spans="1:6" x14ac:dyDescent="0.25">
      <c r="A114" s="1">
        <v>41898</v>
      </c>
      <c r="B114" t="s">
        <v>186</v>
      </c>
      <c r="C114">
        <v>14</v>
      </c>
      <c r="D114">
        <f>IF(cukier10[[#This Row],[nip_klienta]]=B113,D113+cukier10[[#This Row],[sprzedany_cukier]],cukier10[[#This Row],[sprzedany_cukier]])</f>
        <v>29</v>
      </c>
      <c r="E114" cm="1">
        <f t="array" ref="E1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4">
        <f>cukier10[[#This Row],[sprzedany_cukier]]*cukier10[[#This Row],[rabat]]</f>
        <v>0</v>
      </c>
    </row>
    <row r="115" spans="1:6" x14ac:dyDescent="0.25">
      <c r="A115" s="1">
        <v>41273</v>
      </c>
      <c r="B115" t="s">
        <v>231</v>
      </c>
      <c r="C115">
        <v>14</v>
      </c>
      <c r="D115">
        <f>IF(cukier10[[#This Row],[nip_klienta]]=B114,D114+cukier10[[#This Row],[sprzedany_cukier]],cukier10[[#This Row],[sprzedany_cukier]])</f>
        <v>14</v>
      </c>
      <c r="E115" cm="1">
        <f t="array" ref="E1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5">
        <f>cukier10[[#This Row],[sprzedany_cukier]]*cukier10[[#This Row],[rabat]]</f>
        <v>0</v>
      </c>
    </row>
    <row r="116" spans="1:6" x14ac:dyDescent="0.25">
      <c r="A116" s="1">
        <v>41014</v>
      </c>
      <c r="B116" t="s">
        <v>229</v>
      </c>
      <c r="C116">
        <v>15</v>
      </c>
      <c r="D116">
        <f>IF(cukier10[[#This Row],[nip_klienta]]=B115,D115+cukier10[[#This Row],[sprzedany_cukier]],cukier10[[#This Row],[sprzedany_cukier]])</f>
        <v>15</v>
      </c>
      <c r="E116" cm="1">
        <f t="array" ref="E1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6">
        <f>cukier10[[#This Row],[sprzedany_cukier]]*cukier10[[#This Row],[rabat]]</f>
        <v>0</v>
      </c>
    </row>
    <row r="117" spans="1:6" x14ac:dyDescent="0.25">
      <c r="A117" s="1">
        <v>41208</v>
      </c>
      <c r="B117" t="s">
        <v>229</v>
      </c>
      <c r="C117">
        <v>2</v>
      </c>
      <c r="D117">
        <f>IF(cukier10[[#This Row],[nip_klienta]]=B116,D116+cukier10[[#This Row],[sprzedany_cukier]],cukier10[[#This Row],[sprzedany_cukier]])</f>
        <v>17</v>
      </c>
      <c r="E117" cm="1">
        <f t="array" ref="E1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7">
        <f>cukier10[[#This Row],[sprzedany_cukier]]*cukier10[[#This Row],[rabat]]</f>
        <v>0</v>
      </c>
    </row>
    <row r="118" spans="1:6" x14ac:dyDescent="0.25">
      <c r="A118" s="1">
        <v>41498</v>
      </c>
      <c r="B118" t="s">
        <v>229</v>
      </c>
      <c r="C118">
        <v>8</v>
      </c>
      <c r="D118">
        <f>IF(cukier10[[#This Row],[nip_klienta]]=B117,D117+cukier10[[#This Row],[sprzedany_cukier]],cukier10[[#This Row],[sprzedany_cukier]])</f>
        <v>25</v>
      </c>
      <c r="E118" cm="1">
        <f t="array" ref="E1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8">
        <f>cukier10[[#This Row],[sprzedany_cukier]]*cukier10[[#This Row],[rabat]]</f>
        <v>0</v>
      </c>
    </row>
    <row r="119" spans="1:6" x14ac:dyDescent="0.25">
      <c r="A119" s="1">
        <v>38401</v>
      </c>
      <c r="B119" t="s">
        <v>19</v>
      </c>
      <c r="C119">
        <v>91</v>
      </c>
      <c r="D119">
        <f>IF(cukier10[[#This Row],[nip_klienta]]=B118,D118+cukier10[[#This Row],[sprzedany_cukier]],cukier10[[#This Row],[sprzedany_cukier]])</f>
        <v>91</v>
      </c>
      <c r="E119" cm="1">
        <f t="array" ref="E1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9">
        <f>cukier10[[#This Row],[sprzedany_cukier]]*cukier10[[#This Row],[rabat]]</f>
        <v>0</v>
      </c>
    </row>
    <row r="120" spans="1:6" x14ac:dyDescent="0.25">
      <c r="A120" s="1">
        <v>38581</v>
      </c>
      <c r="B120" t="s">
        <v>19</v>
      </c>
      <c r="C120">
        <v>41</v>
      </c>
      <c r="D120">
        <f>IF(cukier10[[#This Row],[nip_klienta]]=B119,D119+cukier10[[#This Row],[sprzedany_cukier]],cukier10[[#This Row],[sprzedany_cukier]])</f>
        <v>132</v>
      </c>
      <c r="E120" cm="1">
        <f t="array" ref="E1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20">
        <f>cukier10[[#This Row],[sprzedany_cukier]]*cukier10[[#This Row],[rabat]]</f>
        <v>2.0500000000000003</v>
      </c>
    </row>
    <row r="121" spans="1:6" x14ac:dyDescent="0.25">
      <c r="A121" s="1">
        <v>38599</v>
      </c>
      <c r="B121" t="s">
        <v>19</v>
      </c>
      <c r="C121">
        <v>63</v>
      </c>
      <c r="D121">
        <f>IF(cukier10[[#This Row],[nip_klienta]]=B120,D120+cukier10[[#This Row],[sprzedany_cukier]],cukier10[[#This Row],[sprzedany_cukier]])</f>
        <v>195</v>
      </c>
      <c r="E121" cm="1">
        <f t="array" ref="E1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21">
        <f>cukier10[[#This Row],[sprzedany_cukier]]*cukier10[[#This Row],[rabat]]</f>
        <v>3.1500000000000004</v>
      </c>
    </row>
    <row r="122" spans="1:6" x14ac:dyDescent="0.25">
      <c r="A122" s="1">
        <v>38645</v>
      </c>
      <c r="B122" t="s">
        <v>19</v>
      </c>
      <c r="C122">
        <v>125</v>
      </c>
      <c r="D122">
        <f>IF(cukier10[[#This Row],[nip_klienta]]=B121,D121+cukier10[[#This Row],[sprzedany_cukier]],cukier10[[#This Row],[sprzedany_cukier]])</f>
        <v>320</v>
      </c>
      <c r="E122" cm="1">
        <f t="array" ref="E1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22">
        <f>cukier10[[#This Row],[sprzedany_cukier]]*cukier10[[#This Row],[rabat]]</f>
        <v>6.25</v>
      </c>
    </row>
    <row r="123" spans="1:6" x14ac:dyDescent="0.25">
      <c r="A123" s="1">
        <v>38786</v>
      </c>
      <c r="B123" t="s">
        <v>19</v>
      </c>
      <c r="C123">
        <v>170</v>
      </c>
      <c r="D123">
        <f>IF(cukier10[[#This Row],[nip_klienta]]=B122,D122+cukier10[[#This Row],[sprzedany_cukier]],cukier10[[#This Row],[sprzedany_cukier]])</f>
        <v>490</v>
      </c>
      <c r="E123" cm="1">
        <f t="array" ref="E1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23">
        <f>cukier10[[#This Row],[sprzedany_cukier]]*cukier10[[#This Row],[rabat]]</f>
        <v>8.5</v>
      </c>
    </row>
    <row r="124" spans="1:6" x14ac:dyDescent="0.25">
      <c r="A124" s="1">
        <v>39021</v>
      </c>
      <c r="B124" t="s">
        <v>19</v>
      </c>
      <c r="C124">
        <v>186</v>
      </c>
      <c r="D124">
        <f>IF(cukier10[[#This Row],[nip_klienta]]=B123,D123+cukier10[[#This Row],[sprzedany_cukier]],cukier10[[#This Row],[sprzedany_cukier]])</f>
        <v>676</v>
      </c>
      <c r="E124" cm="1">
        <f t="array" ref="E1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24">
        <f>cukier10[[#This Row],[sprzedany_cukier]]*cukier10[[#This Row],[rabat]]</f>
        <v>9.3000000000000007</v>
      </c>
    </row>
    <row r="125" spans="1:6" x14ac:dyDescent="0.25">
      <c r="A125" s="1">
        <v>39220</v>
      </c>
      <c r="B125" t="s">
        <v>19</v>
      </c>
      <c r="C125">
        <v>186</v>
      </c>
      <c r="D125">
        <f>IF(cukier10[[#This Row],[nip_klienta]]=B124,D124+cukier10[[#This Row],[sprzedany_cukier]],cukier10[[#This Row],[sprzedany_cukier]])</f>
        <v>862</v>
      </c>
      <c r="E125" cm="1">
        <f t="array" ref="E1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25">
        <f>cukier10[[#This Row],[sprzedany_cukier]]*cukier10[[#This Row],[rabat]]</f>
        <v>9.3000000000000007</v>
      </c>
    </row>
    <row r="126" spans="1:6" x14ac:dyDescent="0.25">
      <c r="A126" s="1">
        <v>39239</v>
      </c>
      <c r="B126" t="s">
        <v>19</v>
      </c>
      <c r="C126">
        <v>128</v>
      </c>
      <c r="D126">
        <f>IF(cukier10[[#This Row],[nip_klienta]]=B125,D125+cukier10[[#This Row],[sprzedany_cukier]],cukier10[[#This Row],[sprzedany_cukier]])</f>
        <v>990</v>
      </c>
      <c r="E126" cm="1">
        <f t="array" ref="E1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26">
        <f>cukier10[[#This Row],[sprzedany_cukier]]*cukier10[[#This Row],[rabat]]</f>
        <v>6.4</v>
      </c>
    </row>
    <row r="127" spans="1:6" x14ac:dyDescent="0.25">
      <c r="A127" s="1">
        <v>39357</v>
      </c>
      <c r="B127" t="s">
        <v>19</v>
      </c>
      <c r="C127">
        <v>151</v>
      </c>
      <c r="D127">
        <f>IF(cukier10[[#This Row],[nip_klienta]]=B126,D126+cukier10[[#This Row],[sprzedany_cukier]],cukier10[[#This Row],[sprzedany_cukier]])</f>
        <v>1141</v>
      </c>
      <c r="E127" cm="1">
        <f t="array" ref="E1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7">
        <f>cukier10[[#This Row],[sprzedany_cukier]]*cukier10[[#This Row],[rabat]]</f>
        <v>15.100000000000001</v>
      </c>
    </row>
    <row r="128" spans="1:6" x14ac:dyDescent="0.25">
      <c r="A128" s="1">
        <v>39432</v>
      </c>
      <c r="B128" t="s">
        <v>19</v>
      </c>
      <c r="C128">
        <v>146</v>
      </c>
      <c r="D128">
        <f>IF(cukier10[[#This Row],[nip_klienta]]=B127,D127+cukier10[[#This Row],[sprzedany_cukier]],cukier10[[#This Row],[sprzedany_cukier]])</f>
        <v>1287</v>
      </c>
      <c r="E128" cm="1">
        <f t="array" ref="E1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8">
        <f>cukier10[[#This Row],[sprzedany_cukier]]*cukier10[[#This Row],[rabat]]</f>
        <v>14.600000000000001</v>
      </c>
    </row>
    <row r="129" spans="1:6" x14ac:dyDescent="0.25">
      <c r="A129" s="1">
        <v>39440</v>
      </c>
      <c r="B129" t="s">
        <v>19</v>
      </c>
      <c r="C129">
        <v>100</v>
      </c>
      <c r="D129">
        <f>IF(cukier10[[#This Row],[nip_klienta]]=B128,D128+cukier10[[#This Row],[sprzedany_cukier]],cukier10[[#This Row],[sprzedany_cukier]])</f>
        <v>1387</v>
      </c>
      <c r="E129" cm="1">
        <f t="array" ref="E1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9">
        <f>cukier10[[#This Row],[sprzedany_cukier]]*cukier10[[#This Row],[rabat]]</f>
        <v>10</v>
      </c>
    </row>
    <row r="130" spans="1:6" x14ac:dyDescent="0.25">
      <c r="A130" s="1">
        <v>39529</v>
      </c>
      <c r="B130" t="s">
        <v>19</v>
      </c>
      <c r="C130">
        <v>46</v>
      </c>
      <c r="D130">
        <f>IF(cukier10[[#This Row],[nip_klienta]]=B129,D129+cukier10[[#This Row],[sprzedany_cukier]],cukier10[[#This Row],[sprzedany_cukier]])</f>
        <v>1433</v>
      </c>
      <c r="E130" cm="1">
        <f t="array" ref="E1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0">
        <f>cukier10[[#This Row],[sprzedany_cukier]]*cukier10[[#This Row],[rabat]]</f>
        <v>4.6000000000000005</v>
      </c>
    </row>
    <row r="131" spans="1:6" x14ac:dyDescent="0.25">
      <c r="A131" s="1">
        <v>39713</v>
      </c>
      <c r="B131" t="s">
        <v>19</v>
      </c>
      <c r="C131">
        <v>104</v>
      </c>
      <c r="D131">
        <f>IF(cukier10[[#This Row],[nip_klienta]]=B130,D130+cukier10[[#This Row],[sprzedany_cukier]],cukier10[[#This Row],[sprzedany_cukier]])</f>
        <v>1537</v>
      </c>
      <c r="E131" cm="1">
        <f t="array" ref="E1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1">
        <f>cukier10[[#This Row],[sprzedany_cukier]]*cukier10[[#This Row],[rabat]]</f>
        <v>10.4</v>
      </c>
    </row>
    <row r="132" spans="1:6" x14ac:dyDescent="0.25">
      <c r="A132" s="1">
        <v>39733</v>
      </c>
      <c r="B132" t="s">
        <v>19</v>
      </c>
      <c r="C132">
        <v>54</v>
      </c>
      <c r="D132">
        <f>IF(cukier10[[#This Row],[nip_klienta]]=B131,D131+cukier10[[#This Row],[sprzedany_cukier]],cukier10[[#This Row],[sprzedany_cukier]])</f>
        <v>1591</v>
      </c>
      <c r="E132" cm="1">
        <f t="array" ref="E1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2">
        <f>cukier10[[#This Row],[sprzedany_cukier]]*cukier10[[#This Row],[rabat]]</f>
        <v>5.4</v>
      </c>
    </row>
    <row r="133" spans="1:6" x14ac:dyDescent="0.25">
      <c r="A133" s="1">
        <v>39916</v>
      </c>
      <c r="B133" t="s">
        <v>19</v>
      </c>
      <c r="C133">
        <v>29</v>
      </c>
      <c r="D133">
        <f>IF(cukier10[[#This Row],[nip_klienta]]=B132,D132+cukier10[[#This Row],[sprzedany_cukier]],cukier10[[#This Row],[sprzedany_cukier]])</f>
        <v>1620</v>
      </c>
      <c r="E133" cm="1">
        <f t="array" ref="E1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3">
        <f>cukier10[[#This Row],[sprzedany_cukier]]*cukier10[[#This Row],[rabat]]</f>
        <v>2.9000000000000004</v>
      </c>
    </row>
    <row r="134" spans="1:6" x14ac:dyDescent="0.25">
      <c r="A134" s="1">
        <v>40007</v>
      </c>
      <c r="B134" t="s">
        <v>19</v>
      </c>
      <c r="C134">
        <v>163</v>
      </c>
      <c r="D134">
        <f>IF(cukier10[[#This Row],[nip_klienta]]=B133,D133+cukier10[[#This Row],[sprzedany_cukier]],cukier10[[#This Row],[sprzedany_cukier]])</f>
        <v>1783</v>
      </c>
      <c r="E134" cm="1">
        <f t="array" ref="E1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4">
        <f>cukier10[[#This Row],[sprzedany_cukier]]*cukier10[[#This Row],[rabat]]</f>
        <v>16.3</v>
      </c>
    </row>
    <row r="135" spans="1:6" x14ac:dyDescent="0.25">
      <c r="A135" s="1">
        <v>40130</v>
      </c>
      <c r="B135" t="s">
        <v>19</v>
      </c>
      <c r="C135">
        <v>95</v>
      </c>
      <c r="D135">
        <f>IF(cukier10[[#This Row],[nip_klienta]]=B134,D134+cukier10[[#This Row],[sprzedany_cukier]],cukier10[[#This Row],[sprzedany_cukier]])</f>
        <v>1878</v>
      </c>
      <c r="E135" cm="1">
        <f t="array" ref="E1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5">
        <f>cukier10[[#This Row],[sprzedany_cukier]]*cukier10[[#This Row],[rabat]]</f>
        <v>9.5</v>
      </c>
    </row>
    <row r="136" spans="1:6" x14ac:dyDescent="0.25">
      <c r="A136" s="1">
        <v>40144</v>
      </c>
      <c r="B136" t="s">
        <v>19</v>
      </c>
      <c r="C136">
        <v>125</v>
      </c>
      <c r="D136">
        <f>IF(cukier10[[#This Row],[nip_klienta]]=B135,D135+cukier10[[#This Row],[sprzedany_cukier]],cukier10[[#This Row],[sprzedany_cukier]])</f>
        <v>2003</v>
      </c>
      <c r="E136" cm="1">
        <f t="array" ref="E1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6">
        <f>cukier10[[#This Row],[sprzedany_cukier]]*cukier10[[#This Row],[rabat]]</f>
        <v>12.5</v>
      </c>
    </row>
    <row r="137" spans="1:6" x14ac:dyDescent="0.25">
      <c r="A137" s="1">
        <v>40209</v>
      </c>
      <c r="B137" t="s">
        <v>19</v>
      </c>
      <c r="C137">
        <v>189</v>
      </c>
      <c r="D137">
        <f>IF(cukier10[[#This Row],[nip_klienta]]=B136,D136+cukier10[[#This Row],[sprzedany_cukier]],cukier10[[#This Row],[sprzedany_cukier]])</f>
        <v>2192</v>
      </c>
      <c r="E137" cm="1">
        <f t="array" ref="E1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7">
        <f>cukier10[[#This Row],[sprzedany_cukier]]*cukier10[[#This Row],[rabat]]</f>
        <v>18.900000000000002</v>
      </c>
    </row>
    <row r="138" spans="1:6" x14ac:dyDescent="0.25">
      <c r="A138" s="1">
        <v>40254</v>
      </c>
      <c r="B138" t="s">
        <v>19</v>
      </c>
      <c r="C138">
        <v>69</v>
      </c>
      <c r="D138">
        <f>IF(cukier10[[#This Row],[nip_klienta]]=B137,D137+cukier10[[#This Row],[sprzedany_cukier]],cukier10[[#This Row],[sprzedany_cukier]])</f>
        <v>2261</v>
      </c>
      <c r="E138" cm="1">
        <f t="array" ref="E1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8">
        <f>cukier10[[#This Row],[sprzedany_cukier]]*cukier10[[#This Row],[rabat]]</f>
        <v>6.9</v>
      </c>
    </row>
    <row r="139" spans="1:6" x14ac:dyDescent="0.25">
      <c r="A139" s="1">
        <v>40305</v>
      </c>
      <c r="B139" t="s">
        <v>19</v>
      </c>
      <c r="C139">
        <v>183</v>
      </c>
      <c r="D139">
        <f>IF(cukier10[[#This Row],[nip_klienta]]=B138,D138+cukier10[[#This Row],[sprzedany_cukier]],cukier10[[#This Row],[sprzedany_cukier]])</f>
        <v>2444</v>
      </c>
      <c r="E139" cm="1">
        <f t="array" ref="E1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9">
        <f>cukier10[[#This Row],[sprzedany_cukier]]*cukier10[[#This Row],[rabat]]</f>
        <v>18.3</v>
      </c>
    </row>
    <row r="140" spans="1:6" x14ac:dyDescent="0.25">
      <c r="A140" s="1">
        <v>40366</v>
      </c>
      <c r="B140" t="s">
        <v>19</v>
      </c>
      <c r="C140">
        <v>80</v>
      </c>
      <c r="D140">
        <f>IF(cukier10[[#This Row],[nip_klienta]]=B139,D139+cukier10[[#This Row],[sprzedany_cukier]],cukier10[[#This Row],[sprzedany_cukier]])</f>
        <v>2524</v>
      </c>
      <c r="E140" cm="1">
        <f t="array" ref="E1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0">
        <f>cukier10[[#This Row],[sprzedany_cukier]]*cukier10[[#This Row],[rabat]]</f>
        <v>8</v>
      </c>
    </row>
    <row r="141" spans="1:6" x14ac:dyDescent="0.25">
      <c r="A141" s="1">
        <v>40473</v>
      </c>
      <c r="B141" t="s">
        <v>19</v>
      </c>
      <c r="C141">
        <v>104</v>
      </c>
      <c r="D141">
        <f>IF(cukier10[[#This Row],[nip_klienta]]=B140,D140+cukier10[[#This Row],[sprzedany_cukier]],cukier10[[#This Row],[sprzedany_cukier]])</f>
        <v>2628</v>
      </c>
      <c r="E141" cm="1">
        <f t="array" ref="E1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1">
        <f>cukier10[[#This Row],[sprzedany_cukier]]*cukier10[[#This Row],[rabat]]</f>
        <v>10.4</v>
      </c>
    </row>
    <row r="142" spans="1:6" x14ac:dyDescent="0.25">
      <c r="A142" s="1">
        <v>40487</v>
      </c>
      <c r="B142" t="s">
        <v>19</v>
      </c>
      <c r="C142">
        <v>50</v>
      </c>
      <c r="D142">
        <f>IF(cukier10[[#This Row],[nip_klienta]]=B141,D141+cukier10[[#This Row],[sprzedany_cukier]],cukier10[[#This Row],[sprzedany_cukier]])</f>
        <v>2678</v>
      </c>
      <c r="E142" cm="1">
        <f t="array" ref="E1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2">
        <f>cukier10[[#This Row],[sprzedany_cukier]]*cukier10[[#This Row],[rabat]]</f>
        <v>5</v>
      </c>
    </row>
    <row r="143" spans="1:6" x14ac:dyDescent="0.25">
      <c r="A143" s="1">
        <v>40584</v>
      </c>
      <c r="B143" t="s">
        <v>19</v>
      </c>
      <c r="C143">
        <v>127</v>
      </c>
      <c r="D143">
        <f>IF(cukier10[[#This Row],[nip_klienta]]=B142,D142+cukier10[[#This Row],[sprzedany_cukier]],cukier10[[#This Row],[sprzedany_cukier]])</f>
        <v>2805</v>
      </c>
      <c r="E143" cm="1">
        <f t="array" ref="E1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3">
        <f>cukier10[[#This Row],[sprzedany_cukier]]*cukier10[[#This Row],[rabat]]</f>
        <v>12.700000000000001</v>
      </c>
    </row>
    <row r="144" spans="1:6" x14ac:dyDescent="0.25">
      <c r="A144" s="1">
        <v>40696</v>
      </c>
      <c r="B144" t="s">
        <v>19</v>
      </c>
      <c r="C144">
        <v>180</v>
      </c>
      <c r="D144">
        <f>IF(cukier10[[#This Row],[nip_klienta]]=B143,D143+cukier10[[#This Row],[sprzedany_cukier]],cukier10[[#This Row],[sprzedany_cukier]])</f>
        <v>2985</v>
      </c>
      <c r="E144" cm="1">
        <f t="array" ref="E1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4">
        <f>cukier10[[#This Row],[sprzedany_cukier]]*cukier10[[#This Row],[rabat]]</f>
        <v>18</v>
      </c>
    </row>
    <row r="145" spans="1:6" x14ac:dyDescent="0.25">
      <c r="A145" s="1">
        <v>40704</v>
      </c>
      <c r="B145" t="s">
        <v>19</v>
      </c>
      <c r="C145">
        <v>104</v>
      </c>
      <c r="D145">
        <f>IF(cukier10[[#This Row],[nip_klienta]]=B144,D144+cukier10[[#This Row],[sprzedany_cukier]],cukier10[[#This Row],[sprzedany_cukier]])</f>
        <v>3089</v>
      </c>
      <c r="E145" cm="1">
        <f t="array" ref="E1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5">
        <f>cukier10[[#This Row],[sprzedany_cukier]]*cukier10[[#This Row],[rabat]]</f>
        <v>10.4</v>
      </c>
    </row>
    <row r="146" spans="1:6" x14ac:dyDescent="0.25">
      <c r="A146" s="1">
        <v>40714</v>
      </c>
      <c r="B146" t="s">
        <v>19</v>
      </c>
      <c r="C146">
        <v>139</v>
      </c>
      <c r="D146">
        <f>IF(cukier10[[#This Row],[nip_klienta]]=B145,D145+cukier10[[#This Row],[sprzedany_cukier]],cukier10[[#This Row],[sprzedany_cukier]])</f>
        <v>3228</v>
      </c>
      <c r="E146" cm="1">
        <f t="array" ref="E1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6">
        <f>cukier10[[#This Row],[sprzedany_cukier]]*cukier10[[#This Row],[rabat]]</f>
        <v>13.9</v>
      </c>
    </row>
    <row r="147" spans="1:6" x14ac:dyDescent="0.25">
      <c r="A147" s="1">
        <v>40730</v>
      </c>
      <c r="B147" t="s">
        <v>19</v>
      </c>
      <c r="C147">
        <v>103</v>
      </c>
      <c r="D147">
        <f>IF(cukier10[[#This Row],[nip_klienta]]=B146,D146+cukier10[[#This Row],[sprzedany_cukier]],cukier10[[#This Row],[sprzedany_cukier]])</f>
        <v>3331</v>
      </c>
      <c r="E147" cm="1">
        <f t="array" ref="E1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7">
        <f>cukier10[[#This Row],[sprzedany_cukier]]*cukier10[[#This Row],[rabat]]</f>
        <v>10.3</v>
      </c>
    </row>
    <row r="148" spans="1:6" x14ac:dyDescent="0.25">
      <c r="A148" s="1">
        <v>40748</v>
      </c>
      <c r="B148" t="s">
        <v>19</v>
      </c>
      <c r="C148">
        <v>30</v>
      </c>
      <c r="D148">
        <f>IF(cukier10[[#This Row],[nip_klienta]]=B147,D147+cukier10[[#This Row],[sprzedany_cukier]],cukier10[[#This Row],[sprzedany_cukier]])</f>
        <v>3361</v>
      </c>
      <c r="E148" cm="1">
        <f t="array" ref="E1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8">
        <f>cukier10[[#This Row],[sprzedany_cukier]]*cukier10[[#This Row],[rabat]]</f>
        <v>3</v>
      </c>
    </row>
    <row r="149" spans="1:6" x14ac:dyDescent="0.25">
      <c r="A149" s="1">
        <v>40857</v>
      </c>
      <c r="B149" t="s">
        <v>19</v>
      </c>
      <c r="C149">
        <v>100</v>
      </c>
      <c r="D149">
        <f>IF(cukier10[[#This Row],[nip_klienta]]=B148,D148+cukier10[[#This Row],[sprzedany_cukier]],cukier10[[#This Row],[sprzedany_cukier]])</f>
        <v>3461</v>
      </c>
      <c r="E149" cm="1">
        <f t="array" ref="E1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9">
        <f>cukier10[[#This Row],[sprzedany_cukier]]*cukier10[[#This Row],[rabat]]</f>
        <v>10</v>
      </c>
    </row>
    <row r="150" spans="1:6" x14ac:dyDescent="0.25">
      <c r="A150" s="1">
        <v>40889</v>
      </c>
      <c r="B150" t="s">
        <v>19</v>
      </c>
      <c r="C150">
        <v>20</v>
      </c>
      <c r="D150">
        <f>IF(cukier10[[#This Row],[nip_klienta]]=B149,D149+cukier10[[#This Row],[sprzedany_cukier]],cukier10[[#This Row],[sprzedany_cukier]])</f>
        <v>3481</v>
      </c>
      <c r="E150" cm="1">
        <f t="array" ref="E1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0">
        <f>cukier10[[#This Row],[sprzedany_cukier]]*cukier10[[#This Row],[rabat]]</f>
        <v>2</v>
      </c>
    </row>
    <row r="151" spans="1:6" x14ac:dyDescent="0.25">
      <c r="A151" s="1">
        <v>40955</v>
      </c>
      <c r="B151" t="s">
        <v>19</v>
      </c>
      <c r="C151">
        <v>64</v>
      </c>
      <c r="D151">
        <f>IF(cukier10[[#This Row],[nip_klienta]]=B150,D150+cukier10[[#This Row],[sprzedany_cukier]],cukier10[[#This Row],[sprzedany_cukier]])</f>
        <v>3545</v>
      </c>
      <c r="E151" cm="1">
        <f t="array" ref="E1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1">
        <f>cukier10[[#This Row],[sprzedany_cukier]]*cukier10[[#This Row],[rabat]]</f>
        <v>6.4</v>
      </c>
    </row>
    <row r="152" spans="1:6" x14ac:dyDescent="0.25">
      <c r="A152" s="1">
        <v>41046</v>
      </c>
      <c r="B152" t="s">
        <v>19</v>
      </c>
      <c r="C152">
        <v>158</v>
      </c>
      <c r="D152">
        <f>IF(cukier10[[#This Row],[nip_klienta]]=B151,D151+cukier10[[#This Row],[sprzedany_cukier]],cukier10[[#This Row],[sprzedany_cukier]])</f>
        <v>3703</v>
      </c>
      <c r="E152" cm="1">
        <f t="array" ref="E1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2">
        <f>cukier10[[#This Row],[sprzedany_cukier]]*cukier10[[#This Row],[rabat]]</f>
        <v>15.8</v>
      </c>
    </row>
    <row r="153" spans="1:6" x14ac:dyDescent="0.25">
      <c r="A153" s="1">
        <v>41130</v>
      </c>
      <c r="B153" t="s">
        <v>19</v>
      </c>
      <c r="C153">
        <v>87</v>
      </c>
      <c r="D153">
        <f>IF(cukier10[[#This Row],[nip_klienta]]=B152,D152+cukier10[[#This Row],[sprzedany_cukier]],cukier10[[#This Row],[sprzedany_cukier]])</f>
        <v>3790</v>
      </c>
      <c r="E153" cm="1">
        <f t="array" ref="E1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3">
        <f>cukier10[[#This Row],[sprzedany_cukier]]*cukier10[[#This Row],[rabat]]</f>
        <v>8.7000000000000011</v>
      </c>
    </row>
    <row r="154" spans="1:6" x14ac:dyDescent="0.25">
      <c r="A154" s="1">
        <v>41207</v>
      </c>
      <c r="B154" t="s">
        <v>19</v>
      </c>
      <c r="C154">
        <v>92</v>
      </c>
      <c r="D154">
        <f>IF(cukier10[[#This Row],[nip_klienta]]=B153,D153+cukier10[[#This Row],[sprzedany_cukier]],cukier10[[#This Row],[sprzedany_cukier]])</f>
        <v>3882</v>
      </c>
      <c r="E154" cm="1">
        <f t="array" ref="E1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4">
        <f>cukier10[[#This Row],[sprzedany_cukier]]*cukier10[[#This Row],[rabat]]</f>
        <v>9.2000000000000011</v>
      </c>
    </row>
    <row r="155" spans="1:6" x14ac:dyDescent="0.25">
      <c r="A155" s="1">
        <v>41219</v>
      </c>
      <c r="B155" t="s">
        <v>19</v>
      </c>
      <c r="C155">
        <v>141</v>
      </c>
      <c r="D155">
        <f>IF(cukier10[[#This Row],[nip_klienta]]=B154,D154+cukier10[[#This Row],[sprzedany_cukier]],cukier10[[#This Row],[sprzedany_cukier]])</f>
        <v>4023</v>
      </c>
      <c r="E155" cm="1">
        <f t="array" ref="E1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5">
        <f>cukier10[[#This Row],[sprzedany_cukier]]*cukier10[[#This Row],[rabat]]</f>
        <v>14.100000000000001</v>
      </c>
    </row>
    <row r="156" spans="1:6" x14ac:dyDescent="0.25">
      <c r="A156" s="1">
        <v>41403</v>
      </c>
      <c r="B156" t="s">
        <v>19</v>
      </c>
      <c r="C156">
        <v>92</v>
      </c>
      <c r="D156">
        <f>IF(cukier10[[#This Row],[nip_klienta]]=B155,D155+cukier10[[#This Row],[sprzedany_cukier]],cukier10[[#This Row],[sprzedany_cukier]])</f>
        <v>4115</v>
      </c>
      <c r="E156" cm="1">
        <f t="array" ref="E1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6">
        <f>cukier10[[#This Row],[sprzedany_cukier]]*cukier10[[#This Row],[rabat]]</f>
        <v>9.2000000000000011</v>
      </c>
    </row>
    <row r="157" spans="1:6" x14ac:dyDescent="0.25">
      <c r="A157" s="1">
        <v>41478</v>
      </c>
      <c r="B157" t="s">
        <v>19</v>
      </c>
      <c r="C157">
        <v>174</v>
      </c>
      <c r="D157">
        <f>IF(cukier10[[#This Row],[nip_klienta]]=B156,D156+cukier10[[#This Row],[sprzedany_cukier]],cukier10[[#This Row],[sprzedany_cukier]])</f>
        <v>4289</v>
      </c>
      <c r="E157" cm="1">
        <f t="array" ref="E1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7">
        <f>cukier10[[#This Row],[sprzedany_cukier]]*cukier10[[#This Row],[rabat]]</f>
        <v>17.400000000000002</v>
      </c>
    </row>
    <row r="158" spans="1:6" x14ac:dyDescent="0.25">
      <c r="A158" s="1">
        <v>41568</v>
      </c>
      <c r="B158" t="s">
        <v>19</v>
      </c>
      <c r="C158">
        <v>156</v>
      </c>
      <c r="D158">
        <f>IF(cukier10[[#This Row],[nip_klienta]]=B157,D157+cukier10[[#This Row],[sprzedany_cukier]],cukier10[[#This Row],[sprzedany_cukier]])</f>
        <v>4445</v>
      </c>
      <c r="E158" cm="1">
        <f t="array" ref="E1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8">
        <f>cukier10[[#This Row],[sprzedany_cukier]]*cukier10[[#This Row],[rabat]]</f>
        <v>15.600000000000001</v>
      </c>
    </row>
    <row r="159" spans="1:6" x14ac:dyDescent="0.25">
      <c r="A159" s="1">
        <v>41755</v>
      </c>
      <c r="B159" t="s">
        <v>19</v>
      </c>
      <c r="C159">
        <v>148</v>
      </c>
      <c r="D159">
        <f>IF(cukier10[[#This Row],[nip_klienta]]=B158,D158+cukier10[[#This Row],[sprzedany_cukier]],cukier10[[#This Row],[sprzedany_cukier]])</f>
        <v>4593</v>
      </c>
      <c r="E159" cm="1">
        <f t="array" ref="E1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9">
        <f>cukier10[[#This Row],[sprzedany_cukier]]*cukier10[[#This Row],[rabat]]</f>
        <v>14.8</v>
      </c>
    </row>
    <row r="160" spans="1:6" x14ac:dyDescent="0.25">
      <c r="A160" s="1">
        <v>41895</v>
      </c>
      <c r="B160" t="s">
        <v>19</v>
      </c>
      <c r="C160">
        <v>25</v>
      </c>
      <c r="D160">
        <f>IF(cukier10[[#This Row],[nip_klienta]]=B159,D159+cukier10[[#This Row],[sprzedany_cukier]],cukier10[[#This Row],[sprzedany_cukier]])</f>
        <v>4618</v>
      </c>
      <c r="E160" cm="1">
        <f t="array" ref="E1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0">
        <f>cukier10[[#This Row],[sprzedany_cukier]]*cukier10[[#This Row],[rabat]]</f>
        <v>2.5</v>
      </c>
    </row>
    <row r="161" spans="1:6" x14ac:dyDescent="0.25">
      <c r="A161" s="1">
        <v>42001</v>
      </c>
      <c r="B161" t="s">
        <v>19</v>
      </c>
      <c r="C161">
        <v>166</v>
      </c>
      <c r="D161">
        <f>IF(cukier10[[#This Row],[nip_klienta]]=B160,D160+cukier10[[#This Row],[sprzedany_cukier]],cukier10[[#This Row],[sprzedany_cukier]])</f>
        <v>4784</v>
      </c>
      <c r="E161" cm="1">
        <f t="array" ref="E1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1">
        <f>cukier10[[#This Row],[sprzedany_cukier]]*cukier10[[#This Row],[rabat]]</f>
        <v>16.600000000000001</v>
      </c>
    </row>
    <row r="162" spans="1:6" x14ac:dyDescent="0.25">
      <c r="A162" s="1">
        <v>38982</v>
      </c>
      <c r="B162" t="s">
        <v>126</v>
      </c>
      <c r="C162">
        <v>17</v>
      </c>
      <c r="D162">
        <f>IF(cukier10[[#This Row],[nip_klienta]]=B161,D161+cukier10[[#This Row],[sprzedany_cukier]],cukier10[[#This Row],[sprzedany_cukier]])</f>
        <v>17</v>
      </c>
      <c r="E162" cm="1">
        <f t="array" ref="E1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2">
        <f>cukier10[[#This Row],[sprzedany_cukier]]*cukier10[[#This Row],[rabat]]</f>
        <v>0</v>
      </c>
    </row>
    <row r="163" spans="1:6" x14ac:dyDescent="0.25">
      <c r="A163" s="1">
        <v>39776</v>
      </c>
      <c r="B163" t="s">
        <v>126</v>
      </c>
      <c r="C163">
        <v>13</v>
      </c>
      <c r="D163">
        <f>IF(cukier10[[#This Row],[nip_klienta]]=B162,D162+cukier10[[#This Row],[sprzedany_cukier]],cukier10[[#This Row],[sprzedany_cukier]])</f>
        <v>30</v>
      </c>
      <c r="E163" cm="1">
        <f t="array" ref="E1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3">
        <f>cukier10[[#This Row],[sprzedany_cukier]]*cukier10[[#This Row],[rabat]]</f>
        <v>0</v>
      </c>
    </row>
    <row r="164" spans="1:6" x14ac:dyDescent="0.25">
      <c r="A164" s="1">
        <v>39971</v>
      </c>
      <c r="B164" t="s">
        <v>126</v>
      </c>
      <c r="C164">
        <v>15</v>
      </c>
      <c r="D164">
        <f>IF(cukier10[[#This Row],[nip_klienta]]=B163,D163+cukier10[[#This Row],[sprzedany_cukier]],cukier10[[#This Row],[sprzedany_cukier]])</f>
        <v>45</v>
      </c>
      <c r="E164" cm="1">
        <f t="array" ref="E1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4">
        <f>cukier10[[#This Row],[sprzedany_cukier]]*cukier10[[#This Row],[rabat]]</f>
        <v>0</v>
      </c>
    </row>
    <row r="165" spans="1:6" x14ac:dyDescent="0.25">
      <c r="A165" s="1">
        <v>41036</v>
      </c>
      <c r="B165" t="s">
        <v>126</v>
      </c>
      <c r="C165">
        <v>5</v>
      </c>
      <c r="D165">
        <f>IF(cukier10[[#This Row],[nip_klienta]]=B164,D164+cukier10[[#This Row],[sprzedany_cukier]],cukier10[[#This Row],[sprzedany_cukier]])</f>
        <v>50</v>
      </c>
      <c r="E165" cm="1">
        <f t="array" ref="E1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5">
        <f>cukier10[[#This Row],[sprzedany_cukier]]*cukier10[[#This Row],[rabat]]</f>
        <v>0</v>
      </c>
    </row>
    <row r="166" spans="1:6" x14ac:dyDescent="0.25">
      <c r="A166" s="1">
        <v>38493</v>
      </c>
      <c r="B166" t="s">
        <v>46</v>
      </c>
      <c r="C166">
        <v>16</v>
      </c>
      <c r="D166">
        <f>IF(cukier10[[#This Row],[nip_klienta]]=B165,D165+cukier10[[#This Row],[sprzedany_cukier]],cukier10[[#This Row],[sprzedany_cukier]])</f>
        <v>16</v>
      </c>
      <c r="E166" cm="1">
        <f t="array" ref="E1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6">
        <f>cukier10[[#This Row],[sprzedany_cukier]]*cukier10[[#This Row],[rabat]]</f>
        <v>0</v>
      </c>
    </row>
    <row r="167" spans="1:6" x14ac:dyDescent="0.25">
      <c r="A167" s="1">
        <v>39639</v>
      </c>
      <c r="B167" t="s">
        <v>46</v>
      </c>
      <c r="C167">
        <v>6</v>
      </c>
      <c r="D167">
        <f>IF(cukier10[[#This Row],[nip_klienta]]=B166,D166+cukier10[[#This Row],[sprzedany_cukier]],cukier10[[#This Row],[sprzedany_cukier]])</f>
        <v>22</v>
      </c>
      <c r="E167" cm="1">
        <f t="array" ref="E1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7">
        <f>cukier10[[#This Row],[sprzedany_cukier]]*cukier10[[#This Row],[rabat]]</f>
        <v>0</v>
      </c>
    </row>
    <row r="168" spans="1:6" x14ac:dyDescent="0.25">
      <c r="A168" s="1">
        <v>40656</v>
      </c>
      <c r="B168" t="s">
        <v>222</v>
      </c>
      <c r="C168">
        <v>12</v>
      </c>
      <c r="D168">
        <f>IF(cukier10[[#This Row],[nip_klienta]]=B167,D167+cukier10[[#This Row],[sprzedany_cukier]],cukier10[[#This Row],[sprzedany_cukier]])</f>
        <v>12</v>
      </c>
      <c r="E168" cm="1">
        <f t="array" ref="E1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8">
        <f>cukier10[[#This Row],[sprzedany_cukier]]*cukier10[[#This Row],[rabat]]</f>
        <v>0</v>
      </c>
    </row>
    <row r="169" spans="1:6" x14ac:dyDescent="0.25">
      <c r="A169" s="1">
        <v>40979</v>
      </c>
      <c r="B169" t="s">
        <v>222</v>
      </c>
      <c r="C169">
        <v>8</v>
      </c>
      <c r="D169">
        <f>IF(cukier10[[#This Row],[nip_klienta]]=B168,D168+cukier10[[#This Row],[sprzedany_cukier]],cukier10[[#This Row],[sprzedany_cukier]])</f>
        <v>20</v>
      </c>
      <c r="E169" cm="1">
        <f t="array" ref="E1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9">
        <f>cukier10[[#This Row],[sprzedany_cukier]]*cukier10[[#This Row],[rabat]]</f>
        <v>0</v>
      </c>
    </row>
    <row r="170" spans="1:6" x14ac:dyDescent="0.25">
      <c r="A170" s="1">
        <v>41486</v>
      </c>
      <c r="B170" t="s">
        <v>222</v>
      </c>
      <c r="C170">
        <v>15</v>
      </c>
      <c r="D170">
        <f>IF(cukier10[[#This Row],[nip_klienta]]=B169,D169+cukier10[[#This Row],[sprzedany_cukier]],cukier10[[#This Row],[sprzedany_cukier]])</f>
        <v>35</v>
      </c>
      <c r="E170" cm="1">
        <f t="array" ref="E1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0">
        <f>cukier10[[#This Row],[sprzedany_cukier]]*cukier10[[#This Row],[rabat]]</f>
        <v>0</v>
      </c>
    </row>
    <row r="171" spans="1:6" x14ac:dyDescent="0.25">
      <c r="A171" s="1">
        <v>41638</v>
      </c>
      <c r="B171" t="s">
        <v>222</v>
      </c>
      <c r="C171">
        <v>12</v>
      </c>
      <c r="D171">
        <f>IF(cukier10[[#This Row],[nip_klienta]]=B170,D170+cukier10[[#This Row],[sprzedany_cukier]],cukier10[[#This Row],[sprzedany_cukier]])</f>
        <v>47</v>
      </c>
      <c r="E171" cm="1">
        <f t="array" ref="E1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1">
        <f>cukier10[[#This Row],[sprzedany_cukier]]*cukier10[[#This Row],[rabat]]</f>
        <v>0</v>
      </c>
    </row>
    <row r="172" spans="1:6" x14ac:dyDescent="0.25">
      <c r="A172" s="1">
        <v>41663</v>
      </c>
      <c r="B172" t="s">
        <v>222</v>
      </c>
      <c r="C172">
        <v>1</v>
      </c>
      <c r="D172">
        <f>IF(cukier10[[#This Row],[nip_klienta]]=B171,D171+cukier10[[#This Row],[sprzedany_cukier]],cukier10[[#This Row],[sprzedany_cukier]])</f>
        <v>48</v>
      </c>
      <c r="E172" cm="1">
        <f t="array" ref="E1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2">
        <f>cukier10[[#This Row],[sprzedany_cukier]]*cukier10[[#This Row],[rabat]]</f>
        <v>0</v>
      </c>
    </row>
    <row r="173" spans="1:6" x14ac:dyDescent="0.25">
      <c r="A173" s="1">
        <v>39670</v>
      </c>
      <c r="B173" t="s">
        <v>172</v>
      </c>
      <c r="C173">
        <v>16</v>
      </c>
      <c r="D173">
        <f>IF(cukier10[[#This Row],[nip_klienta]]=B172,D172+cukier10[[#This Row],[sprzedany_cukier]],cukier10[[#This Row],[sprzedany_cukier]])</f>
        <v>16</v>
      </c>
      <c r="E173" cm="1">
        <f t="array" ref="E1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3">
        <f>cukier10[[#This Row],[sprzedany_cukier]]*cukier10[[#This Row],[rabat]]</f>
        <v>0</v>
      </c>
    </row>
    <row r="174" spans="1:6" x14ac:dyDescent="0.25">
      <c r="A174" s="1">
        <v>39853</v>
      </c>
      <c r="B174" t="s">
        <v>172</v>
      </c>
      <c r="C174">
        <v>9</v>
      </c>
      <c r="D174">
        <f>IF(cukier10[[#This Row],[nip_klienta]]=B173,D173+cukier10[[#This Row],[sprzedany_cukier]],cukier10[[#This Row],[sprzedany_cukier]])</f>
        <v>25</v>
      </c>
      <c r="E174" cm="1">
        <f t="array" ref="E1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4">
        <f>cukier10[[#This Row],[sprzedany_cukier]]*cukier10[[#This Row],[rabat]]</f>
        <v>0</v>
      </c>
    </row>
    <row r="175" spans="1:6" x14ac:dyDescent="0.25">
      <c r="A175" s="1">
        <v>40395</v>
      </c>
      <c r="B175" t="s">
        <v>172</v>
      </c>
      <c r="C175">
        <v>9</v>
      </c>
      <c r="D175">
        <f>IF(cukier10[[#This Row],[nip_klienta]]=B174,D174+cukier10[[#This Row],[sprzedany_cukier]],cukier10[[#This Row],[sprzedany_cukier]])</f>
        <v>34</v>
      </c>
      <c r="E175" cm="1">
        <f t="array" ref="E1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5">
        <f>cukier10[[#This Row],[sprzedany_cukier]]*cukier10[[#This Row],[rabat]]</f>
        <v>0</v>
      </c>
    </row>
    <row r="176" spans="1:6" x14ac:dyDescent="0.25">
      <c r="A176" s="1">
        <v>40496</v>
      </c>
      <c r="B176" t="s">
        <v>172</v>
      </c>
      <c r="C176">
        <v>2</v>
      </c>
      <c r="D176">
        <f>IF(cukier10[[#This Row],[nip_klienta]]=B175,D175+cukier10[[#This Row],[sprzedany_cukier]],cukier10[[#This Row],[sprzedany_cukier]])</f>
        <v>36</v>
      </c>
      <c r="E176" cm="1">
        <f t="array" ref="E1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6">
        <f>cukier10[[#This Row],[sprzedany_cukier]]*cukier10[[#This Row],[rabat]]</f>
        <v>0</v>
      </c>
    </row>
    <row r="177" spans="1:6" x14ac:dyDescent="0.25">
      <c r="A177" s="1">
        <v>41156</v>
      </c>
      <c r="B177" t="s">
        <v>172</v>
      </c>
      <c r="C177">
        <v>8</v>
      </c>
      <c r="D177">
        <f>IF(cukier10[[#This Row],[nip_klienta]]=B176,D176+cukier10[[#This Row],[sprzedany_cukier]],cukier10[[#This Row],[sprzedany_cukier]])</f>
        <v>44</v>
      </c>
      <c r="E177" cm="1">
        <f t="array" ref="E1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7">
        <f>cukier10[[#This Row],[sprzedany_cukier]]*cukier10[[#This Row],[rabat]]</f>
        <v>0</v>
      </c>
    </row>
    <row r="178" spans="1:6" x14ac:dyDescent="0.25">
      <c r="A178" s="1">
        <v>40598</v>
      </c>
      <c r="B178" t="s">
        <v>218</v>
      </c>
      <c r="C178">
        <v>7</v>
      </c>
      <c r="D178">
        <f>IF(cukier10[[#This Row],[nip_klienta]]=B177,D177+cukier10[[#This Row],[sprzedany_cukier]],cukier10[[#This Row],[sprzedany_cukier]])</f>
        <v>7</v>
      </c>
      <c r="E178" cm="1">
        <f t="array" ref="E1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8">
        <f>cukier10[[#This Row],[sprzedany_cukier]]*cukier10[[#This Row],[rabat]]</f>
        <v>0</v>
      </c>
    </row>
    <row r="179" spans="1:6" x14ac:dyDescent="0.25">
      <c r="A179" s="1">
        <v>39526</v>
      </c>
      <c r="B179" t="s">
        <v>165</v>
      </c>
      <c r="C179">
        <v>2</v>
      </c>
      <c r="D179">
        <f>IF(cukier10[[#This Row],[nip_klienta]]=B178,D178+cukier10[[#This Row],[sprzedany_cukier]],cukier10[[#This Row],[sprzedany_cukier]])</f>
        <v>2</v>
      </c>
      <c r="E179" cm="1">
        <f t="array" ref="E1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9">
        <f>cukier10[[#This Row],[sprzedany_cukier]]*cukier10[[#This Row],[rabat]]</f>
        <v>0</v>
      </c>
    </row>
    <row r="180" spans="1:6" x14ac:dyDescent="0.25">
      <c r="A180" s="1">
        <v>41235</v>
      </c>
      <c r="B180" t="s">
        <v>165</v>
      </c>
      <c r="C180">
        <v>10</v>
      </c>
      <c r="D180">
        <f>IF(cukier10[[#This Row],[nip_klienta]]=B179,D179+cukier10[[#This Row],[sprzedany_cukier]],cukier10[[#This Row],[sprzedany_cukier]])</f>
        <v>12</v>
      </c>
      <c r="E180" cm="1">
        <f t="array" ref="E1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80">
        <f>cukier10[[#This Row],[sprzedany_cukier]]*cukier10[[#This Row],[rabat]]</f>
        <v>0</v>
      </c>
    </row>
    <row r="181" spans="1:6" x14ac:dyDescent="0.25">
      <c r="A181" s="1">
        <v>38965</v>
      </c>
      <c r="B181" t="s">
        <v>123</v>
      </c>
      <c r="C181">
        <v>190</v>
      </c>
      <c r="D181">
        <f>IF(cukier10[[#This Row],[nip_klienta]]=B180,D180+cukier10[[#This Row],[sprzedany_cukier]],cukier10[[#This Row],[sprzedany_cukier]])</f>
        <v>190</v>
      </c>
      <c r="E181" cm="1">
        <f t="array" ref="E1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1">
        <f>cukier10[[#This Row],[sprzedany_cukier]]*cukier10[[#This Row],[rabat]]</f>
        <v>9.5</v>
      </c>
    </row>
    <row r="182" spans="1:6" x14ac:dyDescent="0.25">
      <c r="A182" s="1">
        <v>39001</v>
      </c>
      <c r="B182" t="s">
        <v>123</v>
      </c>
      <c r="C182">
        <v>42</v>
      </c>
      <c r="D182">
        <f>IF(cukier10[[#This Row],[nip_klienta]]=B181,D181+cukier10[[#This Row],[sprzedany_cukier]],cukier10[[#This Row],[sprzedany_cukier]])</f>
        <v>232</v>
      </c>
      <c r="E182" cm="1">
        <f t="array" ref="E1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2">
        <f>cukier10[[#This Row],[sprzedany_cukier]]*cukier10[[#This Row],[rabat]]</f>
        <v>2.1</v>
      </c>
    </row>
    <row r="183" spans="1:6" x14ac:dyDescent="0.25">
      <c r="A183" s="1">
        <v>39407</v>
      </c>
      <c r="B183" t="s">
        <v>123</v>
      </c>
      <c r="C183">
        <v>57</v>
      </c>
      <c r="D183">
        <f>IF(cukier10[[#This Row],[nip_klienta]]=B182,D182+cukier10[[#This Row],[sprzedany_cukier]],cukier10[[#This Row],[sprzedany_cukier]])</f>
        <v>289</v>
      </c>
      <c r="E183" cm="1">
        <f t="array" ref="E1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3">
        <f>cukier10[[#This Row],[sprzedany_cukier]]*cukier10[[#This Row],[rabat]]</f>
        <v>2.85</v>
      </c>
    </row>
    <row r="184" spans="1:6" x14ac:dyDescent="0.25">
      <c r="A184" s="1">
        <v>39696</v>
      </c>
      <c r="B184" t="s">
        <v>123</v>
      </c>
      <c r="C184">
        <v>35</v>
      </c>
      <c r="D184">
        <f>IF(cukier10[[#This Row],[nip_klienta]]=B183,D183+cukier10[[#This Row],[sprzedany_cukier]],cukier10[[#This Row],[sprzedany_cukier]])</f>
        <v>324</v>
      </c>
      <c r="E184" cm="1">
        <f t="array" ref="E1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4">
        <f>cukier10[[#This Row],[sprzedany_cukier]]*cukier10[[#This Row],[rabat]]</f>
        <v>1.75</v>
      </c>
    </row>
    <row r="185" spans="1:6" x14ac:dyDescent="0.25">
      <c r="A185" s="1">
        <v>40094</v>
      </c>
      <c r="B185" t="s">
        <v>123</v>
      </c>
      <c r="C185">
        <v>28</v>
      </c>
      <c r="D185">
        <f>IF(cukier10[[#This Row],[nip_klienta]]=B184,D184+cukier10[[#This Row],[sprzedany_cukier]],cukier10[[#This Row],[sprzedany_cukier]])</f>
        <v>352</v>
      </c>
      <c r="E185" cm="1">
        <f t="array" ref="E1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5">
        <f>cukier10[[#This Row],[sprzedany_cukier]]*cukier10[[#This Row],[rabat]]</f>
        <v>1.4000000000000001</v>
      </c>
    </row>
    <row r="186" spans="1:6" x14ac:dyDescent="0.25">
      <c r="A186" s="1">
        <v>40605</v>
      </c>
      <c r="B186" t="s">
        <v>123</v>
      </c>
      <c r="C186">
        <v>151</v>
      </c>
      <c r="D186">
        <f>IF(cukier10[[#This Row],[nip_klienta]]=B185,D185+cukier10[[#This Row],[sprzedany_cukier]],cukier10[[#This Row],[sprzedany_cukier]])</f>
        <v>503</v>
      </c>
      <c r="E186" cm="1">
        <f t="array" ref="E1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6">
        <f>cukier10[[#This Row],[sprzedany_cukier]]*cukier10[[#This Row],[rabat]]</f>
        <v>7.5500000000000007</v>
      </c>
    </row>
    <row r="187" spans="1:6" x14ac:dyDescent="0.25">
      <c r="A187" s="1">
        <v>40635</v>
      </c>
      <c r="B187" t="s">
        <v>123</v>
      </c>
      <c r="C187">
        <v>124</v>
      </c>
      <c r="D187">
        <f>IF(cukier10[[#This Row],[nip_klienta]]=B186,D186+cukier10[[#This Row],[sprzedany_cukier]],cukier10[[#This Row],[sprzedany_cukier]])</f>
        <v>627</v>
      </c>
      <c r="E187" cm="1">
        <f t="array" ref="E1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7">
        <f>cukier10[[#This Row],[sprzedany_cukier]]*cukier10[[#This Row],[rabat]]</f>
        <v>6.2</v>
      </c>
    </row>
    <row r="188" spans="1:6" x14ac:dyDescent="0.25">
      <c r="A188" s="1">
        <v>40852</v>
      </c>
      <c r="B188" t="s">
        <v>123</v>
      </c>
      <c r="C188">
        <v>43</v>
      </c>
      <c r="D188">
        <f>IF(cukier10[[#This Row],[nip_klienta]]=B187,D187+cukier10[[#This Row],[sprzedany_cukier]],cukier10[[#This Row],[sprzedany_cukier]])</f>
        <v>670</v>
      </c>
      <c r="E188" cm="1">
        <f t="array" ref="E1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8">
        <f>cukier10[[#This Row],[sprzedany_cukier]]*cukier10[[#This Row],[rabat]]</f>
        <v>2.15</v>
      </c>
    </row>
    <row r="189" spans="1:6" x14ac:dyDescent="0.25">
      <c r="A189" s="1">
        <v>41003</v>
      </c>
      <c r="B189" t="s">
        <v>123</v>
      </c>
      <c r="C189">
        <v>71</v>
      </c>
      <c r="D189">
        <f>IF(cukier10[[#This Row],[nip_klienta]]=B188,D188+cukier10[[#This Row],[sprzedany_cukier]],cukier10[[#This Row],[sprzedany_cukier]])</f>
        <v>741</v>
      </c>
      <c r="E189" cm="1">
        <f t="array" ref="E1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9">
        <f>cukier10[[#This Row],[sprzedany_cukier]]*cukier10[[#This Row],[rabat]]</f>
        <v>3.5500000000000003</v>
      </c>
    </row>
    <row r="190" spans="1:6" x14ac:dyDescent="0.25">
      <c r="A190" s="1">
        <v>41396</v>
      </c>
      <c r="B190" t="s">
        <v>123</v>
      </c>
      <c r="C190">
        <v>66</v>
      </c>
      <c r="D190">
        <f>IF(cukier10[[#This Row],[nip_klienta]]=B189,D189+cukier10[[#This Row],[sprzedany_cukier]],cukier10[[#This Row],[sprzedany_cukier]])</f>
        <v>807</v>
      </c>
      <c r="E190" cm="1">
        <f t="array" ref="E1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0">
        <f>cukier10[[#This Row],[sprzedany_cukier]]*cukier10[[#This Row],[rabat]]</f>
        <v>3.3000000000000003</v>
      </c>
    </row>
    <row r="191" spans="1:6" x14ac:dyDescent="0.25">
      <c r="A191" s="1">
        <v>38528</v>
      </c>
      <c r="B191" t="s">
        <v>57</v>
      </c>
      <c r="C191">
        <v>7</v>
      </c>
      <c r="D191">
        <f>IF(cukier10[[#This Row],[nip_klienta]]=B190,D190+cukier10[[#This Row],[sprzedany_cukier]],cukier10[[#This Row],[sprzedany_cukier]])</f>
        <v>7</v>
      </c>
      <c r="E191" cm="1">
        <f t="array" ref="E1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1">
        <f>cukier10[[#This Row],[sprzedany_cukier]]*cukier10[[#This Row],[rabat]]</f>
        <v>0</v>
      </c>
    </row>
    <row r="192" spans="1:6" x14ac:dyDescent="0.25">
      <c r="A192" s="1">
        <v>38741</v>
      </c>
      <c r="B192" t="s">
        <v>57</v>
      </c>
      <c r="C192">
        <v>16</v>
      </c>
      <c r="D192">
        <f>IF(cukier10[[#This Row],[nip_klienta]]=B191,D191+cukier10[[#This Row],[sprzedany_cukier]],cukier10[[#This Row],[sprzedany_cukier]])</f>
        <v>23</v>
      </c>
      <c r="E192" cm="1">
        <f t="array" ref="E1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2">
        <f>cukier10[[#This Row],[sprzedany_cukier]]*cukier10[[#This Row],[rabat]]</f>
        <v>0</v>
      </c>
    </row>
    <row r="193" spans="1:6" x14ac:dyDescent="0.25">
      <c r="A193" s="1">
        <v>39550</v>
      </c>
      <c r="B193" t="s">
        <v>57</v>
      </c>
      <c r="C193">
        <v>6</v>
      </c>
      <c r="D193">
        <f>IF(cukier10[[#This Row],[nip_klienta]]=B192,D192+cukier10[[#This Row],[sprzedany_cukier]],cukier10[[#This Row],[sprzedany_cukier]])</f>
        <v>29</v>
      </c>
      <c r="E193" cm="1">
        <f t="array" ref="E1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3">
        <f>cukier10[[#This Row],[sprzedany_cukier]]*cukier10[[#This Row],[rabat]]</f>
        <v>0</v>
      </c>
    </row>
    <row r="194" spans="1:6" x14ac:dyDescent="0.25">
      <c r="A194" s="1">
        <v>40665</v>
      </c>
      <c r="B194" t="s">
        <v>57</v>
      </c>
      <c r="C194">
        <v>1</v>
      </c>
      <c r="D194">
        <f>IF(cukier10[[#This Row],[nip_klienta]]=B193,D193+cukier10[[#This Row],[sprzedany_cukier]],cukier10[[#This Row],[sprzedany_cukier]])</f>
        <v>30</v>
      </c>
      <c r="E194" cm="1">
        <f t="array" ref="E1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4">
        <f>cukier10[[#This Row],[sprzedany_cukier]]*cukier10[[#This Row],[rabat]]</f>
        <v>0</v>
      </c>
    </row>
    <row r="195" spans="1:6" x14ac:dyDescent="0.25">
      <c r="A195" s="1">
        <v>41462</v>
      </c>
      <c r="B195" t="s">
        <v>57</v>
      </c>
      <c r="C195">
        <v>18</v>
      </c>
      <c r="D195">
        <f>IF(cukier10[[#This Row],[nip_klienta]]=B194,D194+cukier10[[#This Row],[sprzedany_cukier]],cukier10[[#This Row],[sprzedany_cukier]])</f>
        <v>48</v>
      </c>
      <c r="E195" cm="1">
        <f t="array" ref="E1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5">
        <f>cukier10[[#This Row],[sprzedany_cukier]]*cukier10[[#This Row],[rabat]]</f>
        <v>0</v>
      </c>
    </row>
    <row r="196" spans="1:6" x14ac:dyDescent="0.25">
      <c r="A196" s="1">
        <v>41545</v>
      </c>
      <c r="B196" t="s">
        <v>235</v>
      </c>
      <c r="C196">
        <v>4</v>
      </c>
      <c r="D196">
        <f>IF(cukier10[[#This Row],[nip_klienta]]=B195,D195+cukier10[[#This Row],[sprzedany_cukier]],cukier10[[#This Row],[sprzedany_cukier]])</f>
        <v>4</v>
      </c>
      <c r="E196" cm="1">
        <f t="array" ref="E1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6">
        <f>cukier10[[#This Row],[sprzedany_cukier]]*cukier10[[#This Row],[rabat]]</f>
        <v>0</v>
      </c>
    </row>
    <row r="197" spans="1:6" x14ac:dyDescent="0.25">
      <c r="A197" s="1">
        <v>38377</v>
      </c>
      <c r="B197" t="s">
        <v>11</v>
      </c>
      <c r="C197">
        <v>11</v>
      </c>
      <c r="D197">
        <f>IF(cukier10[[#This Row],[nip_klienta]]=B196,D196+cukier10[[#This Row],[sprzedany_cukier]],cukier10[[#This Row],[sprzedany_cukier]])</f>
        <v>11</v>
      </c>
      <c r="E197" cm="1">
        <f t="array" ref="E1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7">
        <f>cukier10[[#This Row],[sprzedany_cukier]]*cukier10[[#This Row],[rabat]]</f>
        <v>0</v>
      </c>
    </row>
    <row r="198" spans="1:6" x14ac:dyDescent="0.25">
      <c r="A198" s="1">
        <v>39510</v>
      </c>
      <c r="B198" t="s">
        <v>11</v>
      </c>
      <c r="C198">
        <v>6</v>
      </c>
      <c r="D198">
        <f>IF(cukier10[[#This Row],[nip_klienta]]=B197,D197+cukier10[[#This Row],[sprzedany_cukier]],cukier10[[#This Row],[sprzedany_cukier]])</f>
        <v>17</v>
      </c>
      <c r="E198" cm="1">
        <f t="array" ref="E1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8">
        <f>cukier10[[#This Row],[sprzedany_cukier]]*cukier10[[#This Row],[rabat]]</f>
        <v>0</v>
      </c>
    </row>
    <row r="199" spans="1:6" x14ac:dyDescent="0.25">
      <c r="A199" s="1">
        <v>40147</v>
      </c>
      <c r="B199" t="s">
        <v>11</v>
      </c>
      <c r="C199">
        <v>8</v>
      </c>
      <c r="D199">
        <f>IF(cukier10[[#This Row],[nip_klienta]]=B198,D198+cukier10[[#This Row],[sprzedany_cukier]],cukier10[[#This Row],[sprzedany_cukier]])</f>
        <v>25</v>
      </c>
      <c r="E199" cm="1">
        <f t="array" ref="E1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9">
        <f>cukier10[[#This Row],[sprzedany_cukier]]*cukier10[[#This Row],[rabat]]</f>
        <v>0</v>
      </c>
    </row>
    <row r="200" spans="1:6" x14ac:dyDescent="0.25">
      <c r="A200" s="1">
        <v>39977</v>
      </c>
      <c r="B200" t="s">
        <v>189</v>
      </c>
      <c r="C200">
        <v>9</v>
      </c>
      <c r="D200">
        <f>IF(cukier10[[#This Row],[nip_klienta]]=B199,D199+cukier10[[#This Row],[sprzedany_cukier]],cukier10[[#This Row],[sprzedany_cukier]])</f>
        <v>9</v>
      </c>
      <c r="E200" cm="1">
        <f t="array" ref="E2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0">
        <f>cukier10[[#This Row],[sprzedany_cukier]]*cukier10[[#This Row],[rabat]]</f>
        <v>0</v>
      </c>
    </row>
    <row r="201" spans="1:6" x14ac:dyDescent="0.25">
      <c r="A201" s="1">
        <v>39501</v>
      </c>
      <c r="B201" t="s">
        <v>161</v>
      </c>
      <c r="C201">
        <v>10</v>
      </c>
      <c r="D201">
        <f>IF(cukier10[[#This Row],[nip_klienta]]=B200,D200+cukier10[[#This Row],[sprzedany_cukier]],cukier10[[#This Row],[sprzedany_cukier]])</f>
        <v>10</v>
      </c>
      <c r="E201" cm="1">
        <f t="array" ref="E2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1">
        <f>cukier10[[#This Row],[sprzedany_cukier]]*cukier10[[#This Row],[rabat]]</f>
        <v>0</v>
      </c>
    </row>
    <row r="202" spans="1:6" x14ac:dyDescent="0.25">
      <c r="A202" s="1">
        <v>40225</v>
      </c>
      <c r="B202" t="s">
        <v>161</v>
      </c>
      <c r="C202">
        <v>15</v>
      </c>
      <c r="D202">
        <f>IF(cukier10[[#This Row],[nip_klienta]]=B201,D201+cukier10[[#This Row],[sprzedany_cukier]],cukier10[[#This Row],[sprzedany_cukier]])</f>
        <v>25</v>
      </c>
      <c r="E202" cm="1">
        <f t="array" ref="E2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2">
        <f>cukier10[[#This Row],[sprzedany_cukier]]*cukier10[[#This Row],[rabat]]</f>
        <v>0</v>
      </c>
    </row>
    <row r="203" spans="1:6" x14ac:dyDescent="0.25">
      <c r="A203" s="1">
        <v>39517</v>
      </c>
      <c r="B203" t="s">
        <v>162</v>
      </c>
      <c r="C203">
        <v>11</v>
      </c>
      <c r="D203">
        <f>IF(cukier10[[#This Row],[nip_klienta]]=B202,D202+cukier10[[#This Row],[sprzedany_cukier]],cukier10[[#This Row],[sprzedany_cukier]])</f>
        <v>11</v>
      </c>
      <c r="E203" cm="1">
        <f t="array" ref="E2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3">
        <f>cukier10[[#This Row],[sprzedany_cukier]]*cukier10[[#This Row],[rabat]]</f>
        <v>0</v>
      </c>
    </row>
    <row r="204" spans="1:6" x14ac:dyDescent="0.25">
      <c r="A204" s="1">
        <v>39558</v>
      </c>
      <c r="B204" t="s">
        <v>162</v>
      </c>
      <c r="C204">
        <v>19</v>
      </c>
      <c r="D204">
        <f>IF(cukier10[[#This Row],[nip_klienta]]=B203,D203+cukier10[[#This Row],[sprzedany_cukier]],cukier10[[#This Row],[sprzedany_cukier]])</f>
        <v>30</v>
      </c>
      <c r="E204" cm="1">
        <f t="array" ref="E2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4">
        <f>cukier10[[#This Row],[sprzedany_cukier]]*cukier10[[#This Row],[rabat]]</f>
        <v>0</v>
      </c>
    </row>
    <row r="205" spans="1:6" x14ac:dyDescent="0.25">
      <c r="A205" s="1">
        <v>41529</v>
      </c>
      <c r="B205" t="s">
        <v>162</v>
      </c>
      <c r="C205">
        <v>1</v>
      </c>
      <c r="D205">
        <f>IF(cukier10[[#This Row],[nip_klienta]]=B204,D204+cukier10[[#This Row],[sprzedany_cukier]],cukier10[[#This Row],[sprzedany_cukier]])</f>
        <v>31</v>
      </c>
      <c r="E205" cm="1">
        <f t="array" ref="E2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5">
        <f>cukier10[[#This Row],[sprzedany_cukier]]*cukier10[[#This Row],[rabat]]</f>
        <v>0</v>
      </c>
    </row>
    <row r="206" spans="1:6" x14ac:dyDescent="0.25">
      <c r="A206" s="1">
        <v>38682</v>
      </c>
      <c r="B206" t="s">
        <v>88</v>
      </c>
      <c r="C206">
        <v>8</v>
      </c>
      <c r="D206">
        <f>IF(cukier10[[#This Row],[nip_klienta]]=B205,D205+cukier10[[#This Row],[sprzedany_cukier]],cukier10[[#This Row],[sprzedany_cukier]])</f>
        <v>8</v>
      </c>
      <c r="E206" cm="1">
        <f t="array" ref="E2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6">
        <f>cukier10[[#This Row],[sprzedany_cukier]]*cukier10[[#This Row],[rabat]]</f>
        <v>0</v>
      </c>
    </row>
    <row r="207" spans="1:6" x14ac:dyDescent="0.25">
      <c r="A207" s="1">
        <v>39889</v>
      </c>
      <c r="B207" t="s">
        <v>88</v>
      </c>
      <c r="C207">
        <v>14</v>
      </c>
      <c r="D207">
        <f>IF(cukier10[[#This Row],[nip_klienta]]=B206,D206+cukier10[[#This Row],[sprzedany_cukier]],cukier10[[#This Row],[sprzedany_cukier]])</f>
        <v>22</v>
      </c>
      <c r="E207" cm="1">
        <f t="array" ref="E2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7">
        <f>cukier10[[#This Row],[sprzedany_cukier]]*cukier10[[#This Row],[rabat]]</f>
        <v>0</v>
      </c>
    </row>
    <row r="208" spans="1:6" x14ac:dyDescent="0.25">
      <c r="A208" s="1">
        <v>38563</v>
      </c>
      <c r="B208" t="s">
        <v>65</v>
      </c>
      <c r="C208">
        <v>9</v>
      </c>
      <c r="D208">
        <f>IF(cukier10[[#This Row],[nip_klienta]]=B207,D207+cukier10[[#This Row],[sprzedany_cukier]],cukier10[[#This Row],[sprzedany_cukier]])</f>
        <v>9</v>
      </c>
      <c r="E208" cm="1">
        <f t="array" ref="E2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8">
        <f>cukier10[[#This Row],[sprzedany_cukier]]*cukier10[[#This Row],[rabat]]</f>
        <v>0</v>
      </c>
    </row>
    <row r="209" spans="1:6" x14ac:dyDescent="0.25">
      <c r="A209" s="1">
        <v>38700</v>
      </c>
      <c r="B209" t="s">
        <v>65</v>
      </c>
      <c r="C209">
        <v>2</v>
      </c>
      <c r="D209">
        <f>IF(cukier10[[#This Row],[nip_klienta]]=B208,D208+cukier10[[#This Row],[sprzedany_cukier]],cukier10[[#This Row],[sprzedany_cukier]])</f>
        <v>11</v>
      </c>
      <c r="E209" cm="1">
        <f t="array" ref="E2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9">
        <f>cukier10[[#This Row],[sprzedany_cukier]]*cukier10[[#This Row],[rabat]]</f>
        <v>0</v>
      </c>
    </row>
    <row r="210" spans="1:6" x14ac:dyDescent="0.25">
      <c r="A210" s="1">
        <v>40960</v>
      </c>
      <c r="B210" t="s">
        <v>65</v>
      </c>
      <c r="C210">
        <v>9</v>
      </c>
      <c r="D210">
        <f>IF(cukier10[[#This Row],[nip_klienta]]=B209,D209+cukier10[[#This Row],[sprzedany_cukier]],cukier10[[#This Row],[sprzedany_cukier]])</f>
        <v>20</v>
      </c>
      <c r="E210" cm="1">
        <f t="array" ref="E2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0">
        <f>cukier10[[#This Row],[sprzedany_cukier]]*cukier10[[#This Row],[rabat]]</f>
        <v>0</v>
      </c>
    </row>
    <row r="211" spans="1:6" x14ac:dyDescent="0.25">
      <c r="A211" s="1">
        <v>41037</v>
      </c>
      <c r="B211" t="s">
        <v>65</v>
      </c>
      <c r="C211">
        <v>3</v>
      </c>
      <c r="D211">
        <f>IF(cukier10[[#This Row],[nip_klienta]]=B210,D210+cukier10[[#This Row],[sprzedany_cukier]],cukier10[[#This Row],[sprzedany_cukier]])</f>
        <v>23</v>
      </c>
      <c r="E211" cm="1">
        <f t="array" ref="E2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1">
        <f>cukier10[[#This Row],[sprzedany_cukier]]*cukier10[[#This Row],[rabat]]</f>
        <v>0</v>
      </c>
    </row>
    <row r="212" spans="1:6" x14ac:dyDescent="0.25">
      <c r="A212" s="1">
        <v>38474</v>
      </c>
      <c r="B212" t="s">
        <v>42</v>
      </c>
      <c r="C212">
        <v>9</v>
      </c>
      <c r="D212">
        <f>IF(cukier10[[#This Row],[nip_klienta]]=B211,D211+cukier10[[#This Row],[sprzedany_cukier]],cukier10[[#This Row],[sprzedany_cukier]])</f>
        <v>9</v>
      </c>
      <c r="E212" cm="1">
        <f t="array" ref="E2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2">
        <f>cukier10[[#This Row],[sprzedany_cukier]]*cukier10[[#This Row],[rabat]]</f>
        <v>0</v>
      </c>
    </row>
    <row r="213" spans="1:6" x14ac:dyDescent="0.25">
      <c r="A213" s="1">
        <v>39557</v>
      </c>
      <c r="B213" t="s">
        <v>42</v>
      </c>
      <c r="C213">
        <v>18</v>
      </c>
      <c r="D213">
        <f>IF(cukier10[[#This Row],[nip_klienta]]=B212,D212+cukier10[[#This Row],[sprzedany_cukier]],cukier10[[#This Row],[sprzedany_cukier]])</f>
        <v>27</v>
      </c>
      <c r="E213" cm="1">
        <f t="array" ref="E2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3">
        <f>cukier10[[#This Row],[sprzedany_cukier]]*cukier10[[#This Row],[rabat]]</f>
        <v>0</v>
      </c>
    </row>
    <row r="214" spans="1:6" x14ac:dyDescent="0.25">
      <c r="A214" s="1">
        <v>39725</v>
      </c>
      <c r="B214" t="s">
        <v>42</v>
      </c>
      <c r="C214">
        <v>14</v>
      </c>
      <c r="D214">
        <f>IF(cukier10[[#This Row],[nip_klienta]]=B213,D213+cukier10[[#This Row],[sprzedany_cukier]],cukier10[[#This Row],[sprzedany_cukier]])</f>
        <v>41</v>
      </c>
      <c r="E214" cm="1">
        <f t="array" ref="E2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4">
        <f>cukier10[[#This Row],[sprzedany_cukier]]*cukier10[[#This Row],[rabat]]</f>
        <v>0</v>
      </c>
    </row>
    <row r="215" spans="1:6" x14ac:dyDescent="0.25">
      <c r="A215" s="1">
        <v>41622</v>
      </c>
      <c r="B215" t="s">
        <v>42</v>
      </c>
      <c r="C215">
        <v>6</v>
      </c>
      <c r="D215">
        <f>IF(cukier10[[#This Row],[nip_klienta]]=B214,D214+cukier10[[#This Row],[sprzedany_cukier]],cukier10[[#This Row],[sprzedany_cukier]])</f>
        <v>47</v>
      </c>
      <c r="E215" cm="1">
        <f t="array" ref="E2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5">
        <f>cukier10[[#This Row],[sprzedany_cukier]]*cukier10[[#This Row],[rabat]]</f>
        <v>0</v>
      </c>
    </row>
    <row r="216" spans="1:6" x14ac:dyDescent="0.25">
      <c r="A216" s="1">
        <v>41623</v>
      </c>
      <c r="B216" t="s">
        <v>42</v>
      </c>
      <c r="C216">
        <v>16</v>
      </c>
      <c r="D216">
        <f>IF(cukier10[[#This Row],[nip_klienta]]=B215,D215+cukier10[[#This Row],[sprzedany_cukier]],cukier10[[#This Row],[sprzedany_cukier]])</f>
        <v>63</v>
      </c>
      <c r="E216" cm="1">
        <f t="array" ref="E2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6">
        <f>cukier10[[#This Row],[sprzedany_cukier]]*cukier10[[#This Row],[rabat]]</f>
        <v>0</v>
      </c>
    </row>
    <row r="217" spans="1:6" x14ac:dyDescent="0.25">
      <c r="A217" s="1">
        <v>38815</v>
      </c>
      <c r="B217" t="s">
        <v>103</v>
      </c>
      <c r="C217">
        <v>1</v>
      </c>
      <c r="D217">
        <f>IF(cukier10[[#This Row],[nip_klienta]]=B216,D216+cukier10[[#This Row],[sprzedany_cukier]],cukier10[[#This Row],[sprzedany_cukier]])</f>
        <v>1</v>
      </c>
      <c r="E217" cm="1">
        <f t="array" ref="E2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7">
        <f>cukier10[[#This Row],[sprzedany_cukier]]*cukier10[[#This Row],[rabat]]</f>
        <v>0</v>
      </c>
    </row>
    <row r="218" spans="1:6" x14ac:dyDescent="0.25">
      <c r="A218" s="1">
        <v>39357</v>
      </c>
      <c r="B218" t="s">
        <v>148</v>
      </c>
      <c r="C218">
        <v>17</v>
      </c>
      <c r="D218">
        <f>IF(cukier10[[#This Row],[nip_klienta]]=B217,D217+cukier10[[#This Row],[sprzedany_cukier]],cukier10[[#This Row],[sprzedany_cukier]])</f>
        <v>17</v>
      </c>
      <c r="E218" cm="1">
        <f t="array" ref="E2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8">
        <f>cukier10[[#This Row],[sprzedany_cukier]]*cukier10[[#This Row],[rabat]]</f>
        <v>0</v>
      </c>
    </row>
    <row r="219" spans="1:6" x14ac:dyDescent="0.25">
      <c r="A219" s="1">
        <v>41936</v>
      </c>
      <c r="B219" t="s">
        <v>148</v>
      </c>
      <c r="C219">
        <v>9</v>
      </c>
      <c r="D219">
        <f>IF(cukier10[[#This Row],[nip_klienta]]=B218,D218+cukier10[[#This Row],[sprzedany_cukier]],cukier10[[#This Row],[sprzedany_cukier]])</f>
        <v>26</v>
      </c>
      <c r="E219" cm="1">
        <f t="array" ref="E2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9">
        <f>cukier10[[#This Row],[sprzedany_cukier]]*cukier10[[#This Row],[rabat]]</f>
        <v>0</v>
      </c>
    </row>
    <row r="220" spans="1:6" x14ac:dyDescent="0.25">
      <c r="A220" s="1">
        <v>38855</v>
      </c>
      <c r="B220" t="s">
        <v>109</v>
      </c>
      <c r="C220">
        <v>18</v>
      </c>
      <c r="D220">
        <f>IF(cukier10[[#This Row],[nip_klienta]]=B219,D219+cukier10[[#This Row],[sprzedany_cukier]],cukier10[[#This Row],[sprzedany_cukier]])</f>
        <v>18</v>
      </c>
      <c r="E220" cm="1">
        <f t="array" ref="E2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20">
        <f>cukier10[[#This Row],[sprzedany_cukier]]*cukier10[[#This Row],[rabat]]</f>
        <v>0</v>
      </c>
    </row>
    <row r="221" spans="1:6" x14ac:dyDescent="0.25">
      <c r="A221" s="1">
        <v>38945</v>
      </c>
      <c r="B221" t="s">
        <v>109</v>
      </c>
      <c r="C221">
        <v>12</v>
      </c>
      <c r="D221">
        <f>IF(cukier10[[#This Row],[nip_klienta]]=B220,D220+cukier10[[#This Row],[sprzedany_cukier]],cukier10[[#This Row],[sprzedany_cukier]])</f>
        <v>30</v>
      </c>
      <c r="E221" cm="1">
        <f t="array" ref="E2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21">
        <f>cukier10[[#This Row],[sprzedany_cukier]]*cukier10[[#This Row],[rabat]]</f>
        <v>0</v>
      </c>
    </row>
    <row r="222" spans="1:6" x14ac:dyDescent="0.25">
      <c r="A222" s="1">
        <v>40120</v>
      </c>
      <c r="B222" t="s">
        <v>109</v>
      </c>
      <c r="C222">
        <v>8</v>
      </c>
      <c r="D222">
        <f>IF(cukier10[[#This Row],[nip_klienta]]=B221,D221+cukier10[[#This Row],[sprzedany_cukier]],cukier10[[#This Row],[sprzedany_cukier]])</f>
        <v>38</v>
      </c>
      <c r="E222" cm="1">
        <f t="array" ref="E2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22">
        <f>cukier10[[#This Row],[sprzedany_cukier]]*cukier10[[#This Row],[rabat]]</f>
        <v>0</v>
      </c>
    </row>
    <row r="223" spans="1:6" x14ac:dyDescent="0.25">
      <c r="A223" s="1">
        <v>41525</v>
      </c>
      <c r="B223" t="s">
        <v>109</v>
      </c>
      <c r="C223">
        <v>14</v>
      </c>
      <c r="D223">
        <f>IF(cukier10[[#This Row],[nip_klienta]]=B222,D222+cukier10[[#This Row],[sprzedany_cukier]],cukier10[[#This Row],[sprzedany_cukier]])</f>
        <v>52</v>
      </c>
      <c r="E223" cm="1">
        <f t="array" ref="E2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23">
        <f>cukier10[[#This Row],[sprzedany_cukier]]*cukier10[[#This Row],[rabat]]</f>
        <v>0</v>
      </c>
    </row>
    <row r="224" spans="1:6" x14ac:dyDescent="0.25">
      <c r="A224" s="1">
        <v>39626</v>
      </c>
      <c r="B224" t="s">
        <v>171</v>
      </c>
      <c r="C224">
        <v>2</v>
      </c>
      <c r="D224">
        <f>IF(cukier10[[#This Row],[nip_klienta]]=B223,D223+cukier10[[#This Row],[sprzedany_cukier]],cukier10[[#This Row],[sprzedany_cukier]])</f>
        <v>2</v>
      </c>
      <c r="E224" cm="1">
        <f t="array" ref="E2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24">
        <f>cukier10[[#This Row],[sprzedany_cukier]]*cukier10[[#This Row],[rabat]]</f>
        <v>0</v>
      </c>
    </row>
    <row r="225" spans="1:6" x14ac:dyDescent="0.25">
      <c r="A225" s="1">
        <v>41033</v>
      </c>
      <c r="B225" t="s">
        <v>171</v>
      </c>
      <c r="C225">
        <v>7</v>
      </c>
      <c r="D225">
        <f>IF(cukier10[[#This Row],[nip_klienta]]=B224,D224+cukier10[[#This Row],[sprzedany_cukier]],cukier10[[#This Row],[sprzedany_cukier]])</f>
        <v>9</v>
      </c>
      <c r="E225" cm="1">
        <f t="array" ref="E2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25">
        <f>cukier10[[#This Row],[sprzedany_cukier]]*cukier10[[#This Row],[rabat]]</f>
        <v>0</v>
      </c>
    </row>
    <row r="226" spans="1:6" x14ac:dyDescent="0.25">
      <c r="A226" s="1">
        <v>41318</v>
      </c>
      <c r="B226" t="s">
        <v>171</v>
      </c>
      <c r="C226">
        <v>20</v>
      </c>
      <c r="D226">
        <f>IF(cukier10[[#This Row],[nip_klienta]]=B225,D225+cukier10[[#This Row],[sprzedany_cukier]],cukier10[[#This Row],[sprzedany_cukier]])</f>
        <v>29</v>
      </c>
      <c r="E226" cm="1">
        <f t="array" ref="E2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26">
        <f>cukier10[[#This Row],[sprzedany_cukier]]*cukier10[[#This Row],[rabat]]</f>
        <v>0</v>
      </c>
    </row>
    <row r="227" spans="1:6" x14ac:dyDescent="0.25">
      <c r="A227" s="1">
        <v>39082</v>
      </c>
      <c r="B227" t="s">
        <v>136</v>
      </c>
      <c r="C227">
        <v>19</v>
      </c>
      <c r="D227">
        <f>IF(cukier10[[#This Row],[nip_klienta]]=B226,D226+cukier10[[#This Row],[sprzedany_cukier]],cukier10[[#This Row],[sprzedany_cukier]])</f>
        <v>19</v>
      </c>
      <c r="E227" cm="1">
        <f t="array" ref="E2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27">
        <f>cukier10[[#This Row],[sprzedany_cukier]]*cukier10[[#This Row],[rabat]]</f>
        <v>0</v>
      </c>
    </row>
    <row r="228" spans="1:6" x14ac:dyDescent="0.25">
      <c r="A228" s="1">
        <v>40134</v>
      </c>
      <c r="B228" t="s">
        <v>136</v>
      </c>
      <c r="C228">
        <v>7</v>
      </c>
      <c r="D228">
        <f>IF(cukier10[[#This Row],[nip_klienta]]=B227,D227+cukier10[[#This Row],[sprzedany_cukier]],cukier10[[#This Row],[sprzedany_cukier]])</f>
        <v>26</v>
      </c>
      <c r="E228" cm="1">
        <f t="array" ref="E2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28">
        <f>cukier10[[#This Row],[sprzedany_cukier]]*cukier10[[#This Row],[rabat]]</f>
        <v>0</v>
      </c>
    </row>
    <row r="229" spans="1:6" x14ac:dyDescent="0.25">
      <c r="A229" s="1">
        <v>40485</v>
      </c>
      <c r="B229" t="s">
        <v>136</v>
      </c>
      <c r="C229">
        <v>9</v>
      </c>
      <c r="D229">
        <f>IF(cukier10[[#This Row],[nip_klienta]]=B228,D228+cukier10[[#This Row],[sprzedany_cukier]],cukier10[[#This Row],[sprzedany_cukier]])</f>
        <v>35</v>
      </c>
      <c r="E229" cm="1">
        <f t="array" ref="E2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29">
        <f>cukier10[[#This Row],[sprzedany_cukier]]*cukier10[[#This Row],[rabat]]</f>
        <v>0</v>
      </c>
    </row>
    <row r="230" spans="1:6" x14ac:dyDescent="0.25">
      <c r="A230" s="1">
        <v>40581</v>
      </c>
      <c r="B230" t="s">
        <v>136</v>
      </c>
      <c r="C230">
        <v>15</v>
      </c>
      <c r="D230">
        <f>IF(cukier10[[#This Row],[nip_klienta]]=B229,D229+cukier10[[#This Row],[sprzedany_cukier]],cukier10[[#This Row],[sprzedany_cukier]])</f>
        <v>50</v>
      </c>
      <c r="E230" cm="1">
        <f t="array" ref="E2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30">
        <f>cukier10[[#This Row],[sprzedany_cukier]]*cukier10[[#This Row],[rabat]]</f>
        <v>0</v>
      </c>
    </row>
    <row r="231" spans="1:6" x14ac:dyDescent="0.25">
      <c r="A231" s="1">
        <v>41381</v>
      </c>
      <c r="B231" t="s">
        <v>136</v>
      </c>
      <c r="C231">
        <v>14</v>
      </c>
      <c r="D231">
        <f>IF(cukier10[[#This Row],[nip_klienta]]=B230,D230+cukier10[[#This Row],[sprzedany_cukier]],cukier10[[#This Row],[sprzedany_cukier]])</f>
        <v>64</v>
      </c>
      <c r="E231" cm="1">
        <f t="array" ref="E2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31">
        <f>cukier10[[#This Row],[sprzedany_cukier]]*cukier10[[#This Row],[rabat]]</f>
        <v>0</v>
      </c>
    </row>
    <row r="232" spans="1:6" x14ac:dyDescent="0.25">
      <c r="A232" s="1">
        <v>38734</v>
      </c>
      <c r="B232" t="s">
        <v>96</v>
      </c>
      <c r="C232">
        <v>7</v>
      </c>
      <c r="D232">
        <f>IF(cukier10[[#This Row],[nip_klienta]]=B231,D231+cukier10[[#This Row],[sprzedany_cukier]],cukier10[[#This Row],[sprzedany_cukier]])</f>
        <v>7</v>
      </c>
      <c r="E232" cm="1">
        <f t="array" ref="E2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32">
        <f>cukier10[[#This Row],[sprzedany_cukier]]*cukier10[[#This Row],[rabat]]</f>
        <v>0</v>
      </c>
    </row>
    <row r="233" spans="1:6" x14ac:dyDescent="0.25">
      <c r="A233" s="1">
        <v>39847</v>
      </c>
      <c r="B233" t="s">
        <v>96</v>
      </c>
      <c r="C233">
        <v>14</v>
      </c>
      <c r="D233">
        <f>IF(cukier10[[#This Row],[nip_klienta]]=B232,D232+cukier10[[#This Row],[sprzedany_cukier]],cukier10[[#This Row],[sprzedany_cukier]])</f>
        <v>21</v>
      </c>
      <c r="E233" cm="1">
        <f t="array" ref="E2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33">
        <f>cukier10[[#This Row],[sprzedany_cukier]]*cukier10[[#This Row],[rabat]]</f>
        <v>0</v>
      </c>
    </row>
    <row r="234" spans="1:6" x14ac:dyDescent="0.25">
      <c r="A234" s="1">
        <v>40777</v>
      </c>
      <c r="B234" t="s">
        <v>96</v>
      </c>
      <c r="C234">
        <v>13</v>
      </c>
      <c r="D234">
        <f>IF(cukier10[[#This Row],[nip_klienta]]=B233,D233+cukier10[[#This Row],[sprzedany_cukier]],cukier10[[#This Row],[sprzedany_cukier]])</f>
        <v>34</v>
      </c>
      <c r="E234" cm="1">
        <f t="array" ref="E2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34">
        <f>cukier10[[#This Row],[sprzedany_cukier]]*cukier10[[#This Row],[rabat]]</f>
        <v>0</v>
      </c>
    </row>
    <row r="235" spans="1:6" x14ac:dyDescent="0.25">
      <c r="A235" s="1">
        <v>38473</v>
      </c>
      <c r="B235" t="s">
        <v>41</v>
      </c>
      <c r="C235">
        <v>15</v>
      </c>
      <c r="D235">
        <f>IF(cukier10[[#This Row],[nip_klienta]]=B234,D234+cukier10[[#This Row],[sprzedany_cukier]],cukier10[[#This Row],[sprzedany_cukier]])</f>
        <v>15</v>
      </c>
      <c r="E235" cm="1">
        <f t="array" ref="E2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35">
        <f>cukier10[[#This Row],[sprzedany_cukier]]*cukier10[[#This Row],[rabat]]</f>
        <v>0</v>
      </c>
    </row>
    <row r="236" spans="1:6" x14ac:dyDescent="0.25">
      <c r="A236" s="1">
        <v>39327</v>
      </c>
      <c r="B236" t="s">
        <v>41</v>
      </c>
      <c r="C236">
        <v>20</v>
      </c>
      <c r="D236">
        <f>IF(cukier10[[#This Row],[nip_klienta]]=B235,D235+cukier10[[#This Row],[sprzedany_cukier]],cukier10[[#This Row],[sprzedany_cukier]])</f>
        <v>35</v>
      </c>
      <c r="E236" cm="1">
        <f t="array" ref="E2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36">
        <f>cukier10[[#This Row],[sprzedany_cukier]]*cukier10[[#This Row],[rabat]]</f>
        <v>0</v>
      </c>
    </row>
    <row r="237" spans="1:6" x14ac:dyDescent="0.25">
      <c r="A237" s="1">
        <v>41232</v>
      </c>
      <c r="B237" t="s">
        <v>41</v>
      </c>
      <c r="C237">
        <v>14</v>
      </c>
      <c r="D237">
        <f>IF(cukier10[[#This Row],[nip_klienta]]=B236,D236+cukier10[[#This Row],[sprzedany_cukier]],cukier10[[#This Row],[sprzedany_cukier]])</f>
        <v>49</v>
      </c>
      <c r="E237" cm="1">
        <f t="array" ref="E2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37">
        <f>cukier10[[#This Row],[sprzedany_cukier]]*cukier10[[#This Row],[rabat]]</f>
        <v>0</v>
      </c>
    </row>
    <row r="238" spans="1:6" x14ac:dyDescent="0.25">
      <c r="A238" s="1">
        <v>41633</v>
      </c>
      <c r="B238" t="s">
        <v>237</v>
      </c>
      <c r="C238">
        <v>10</v>
      </c>
      <c r="D238">
        <f>IF(cukier10[[#This Row],[nip_klienta]]=B237,D237+cukier10[[#This Row],[sprzedany_cukier]],cukier10[[#This Row],[sprzedany_cukier]])</f>
        <v>10</v>
      </c>
      <c r="E238" cm="1">
        <f t="array" ref="E2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38">
        <f>cukier10[[#This Row],[sprzedany_cukier]]*cukier10[[#This Row],[rabat]]</f>
        <v>0</v>
      </c>
    </row>
    <row r="239" spans="1:6" x14ac:dyDescent="0.25">
      <c r="A239" s="1">
        <v>38409</v>
      </c>
      <c r="B239" t="s">
        <v>22</v>
      </c>
      <c r="C239">
        <v>348</v>
      </c>
      <c r="D239">
        <f>IF(cukier10[[#This Row],[nip_klienta]]=B238,D238+cukier10[[#This Row],[sprzedany_cukier]],cukier10[[#This Row],[sprzedany_cukier]])</f>
        <v>348</v>
      </c>
      <c r="E239" cm="1">
        <f t="array" ref="E2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39">
        <f>cukier10[[#This Row],[sprzedany_cukier]]*cukier10[[#This Row],[rabat]]</f>
        <v>17.400000000000002</v>
      </c>
    </row>
    <row r="240" spans="1:6" x14ac:dyDescent="0.25">
      <c r="A240" s="1">
        <v>38410</v>
      </c>
      <c r="B240" t="s">
        <v>22</v>
      </c>
      <c r="C240">
        <v>435</v>
      </c>
      <c r="D240">
        <f>IF(cukier10[[#This Row],[nip_klienta]]=B239,D239+cukier10[[#This Row],[sprzedany_cukier]],cukier10[[#This Row],[sprzedany_cukier]])</f>
        <v>783</v>
      </c>
      <c r="E240" cm="1">
        <f t="array" ref="E2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40">
        <f>cukier10[[#This Row],[sprzedany_cukier]]*cukier10[[#This Row],[rabat]]</f>
        <v>21.75</v>
      </c>
    </row>
    <row r="241" spans="1:6" x14ac:dyDescent="0.25">
      <c r="A241" s="1">
        <v>38418</v>
      </c>
      <c r="B241" t="s">
        <v>22</v>
      </c>
      <c r="C241">
        <v>329</v>
      </c>
      <c r="D241">
        <f>IF(cukier10[[#This Row],[nip_klienta]]=B240,D240+cukier10[[#This Row],[sprzedany_cukier]],cukier10[[#This Row],[sprzedany_cukier]])</f>
        <v>1112</v>
      </c>
      <c r="E241" cm="1">
        <f t="array" ref="E2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41">
        <f>cukier10[[#This Row],[sprzedany_cukier]]*cukier10[[#This Row],[rabat]]</f>
        <v>32.9</v>
      </c>
    </row>
    <row r="242" spans="1:6" x14ac:dyDescent="0.25">
      <c r="A242" s="1">
        <v>38479</v>
      </c>
      <c r="B242" t="s">
        <v>22</v>
      </c>
      <c r="C242">
        <v>444</v>
      </c>
      <c r="D242">
        <f>IF(cukier10[[#This Row],[nip_klienta]]=B241,D241+cukier10[[#This Row],[sprzedany_cukier]],cukier10[[#This Row],[sprzedany_cukier]])</f>
        <v>1556</v>
      </c>
      <c r="E242" cm="1">
        <f t="array" ref="E2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42">
        <f>cukier10[[#This Row],[sprzedany_cukier]]*cukier10[[#This Row],[rabat]]</f>
        <v>44.400000000000006</v>
      </c>
    </row>
    <row r="243" spans="1:6" x14ac:dyDescent="0.25">
      <c r="A243" s="1">
        <v>38497</v>
      </c>
      <c r="B243" t="s">
        <v>22</v>
      </c>
      <c r="C243">
        <v>251</v>
      </c>
      <c r="D243">
        <f>IF(cukier10[[#This Row],[nip_klienta]]=B242,D242+cukier10[[#This Row],[sprzedany_cukier]],cukier10[[#This Row],[sprzedany_cukier]])</f>
        <v>1807</v>
      </c>
      <c r="E243" cm="1">
        <f t="array" ref="E2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43">
        <f>cukier10[[#This Row],[sprzedany_cukier]]*cukier10[[#This Row],[rabat]]</f>
        <v>25.1</v>
      </c>
    </row>
    <row r="244" spans="1:6" x14ac:dyDescent="0.25">
      <c r="A244" s="1">
        <v>38523</v>
      </c>
      <c r="B244" t="s">
        <v>22</v>
      </c>
      <c r="C244">
        <v>212</v>
      </c>
      <c r="D244">
        <f>IF(cukier10[[#This Row],[nip_klienta]]=B243,D243+cukier10[[#This Row],[sprzedany_cukier]],cukier10[[#This Row],[sprzedany_cukier]])</f>
        <v>2019</v>
      </c>
      <c r="E244" cm="1">
        <f t="array" ref="E2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44">
        <f>cukier10[[#This Row],[sprzedany_cukier]]*cukier10[[#This Row],[rabat]]</f>
        <v>21.200000000000003</v>
      </c>
    </row>
    <row r="245" spans="1:6" x14ac:dyDescent="0.25">
      <c r="A245" s="1">
        <v>38632</v>
      </c>
      <c r="B245" t="s">
        <v>22</v>
      </c>
      <c r="C245">
        <v>392</v>
      </c>
      <c r="D245">
        <f>IF(cukier10[[#This Row],[nip_klienta]]=B244,D244+cukier10[[#This Row],[sprzedany_cukier]],cukier10[[#This Row],[sprzedany_cukier]])</f>
        <v>2411</v>
      </c>
      <c r="E245" cm="1">
        <f t="array" ref="E2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45">
        <f>cukier10[[#This Row],[sprzedany_cukier]]*cukier10[[#This Row],[rabat]]</f>
        <v>39.200000000000003</v>
      </c>
    </row>
    <row r="246" spans="1:6" x14ac:dyDescent="0.25">
      <c r="A246" s="1">
        <v>38754</v>
      </c>
      <c r="B246" t="s">
        <v>22</v>
      </c>
      <c r="C246">
        <v>223</v>
      </c>
      <c r="D246">
        <f>IF(cukier10[[#This Row],[nip_klienta]]=B245,D245+cukier10[[#This Row],[sprzedany_cukier]],cukier10[[#This Row],[sprzedany_cukier]])</f>
        <v>2634</v>
      </c>
      <c r="E246" cm="1">
        <f t="array" ref="E2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46">
        <f>cukier10[[#This Row],[sprzedany_cukier]]*cukier10[[#This Row],[rabat]]</f>
        <v>22.3</v>
      </c>
    </row>
    <row r="247" spans="1:6" x14ac:dyDescent="0.25">
      <c r="A247" s="1">
        <v>38834</v>
      </c>
      <c r="B247" t="s">
        <v>22</v>
      </c>
      <c r="C247">
        <v>289</v>
      </c>
      <c r="D247">
        <f>IF(cukier10[[#This Row],[nip_klienta]]=B246,D246+cukier10[[#This Row],[sprzedany_cukier]],cukier10[[#This Row],[sprzedany_cukier]])</f>
        <v>2923</v>
      </c>
      <c r="E247" cm="1">
        <f t="array" ref="E2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47">
        <f>cukier10[[#This Row],[sprzedany_cukier]]*cukier10[[#This Row],[rabat]]</f>
        <v>28.900000000000002</v>
      </c>
    </row>
    <row r="248" spans="1:6" x14ac:dyDescent="0.25">
      <c r="A248" s="1">
        <v>38856</v>
      </c>
      <c r="B248" t="s">
        <v>22</v>
      </c>
      <c r="C248">
        <v>187</v>
      </c>
      <c r="D248">
        <f>IF(cukier10[[#This Row],[nip_klienta]]=B247,D247+cukier10[[#This Row],[sprzedany_cukier]],cukier10[[#This Row],[sprzedany_cukier]])</f>
        <v>3110</v>
      </c>
      <c r="E248" cm="1">
        <f t="array" ref="E2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48">
        <f>cukier10[[#This Row],[sprzedany_cukier]]*cukier10[[#This Row],[rabat]]</f>
        <v>18.7</v>
      </c>
    </row>
    <row r="249" spans="1:6" x14ac:dyDescent="0.25">
      <c r="A249" s="1">
        <v>38886</v>
      </c>
      <c r="B249" t="s">
        <v>22</v>
      </c>
      <c r="C249">
        <v>136</v>
      </c>
      <c r="D249">
        <f>IF(cukier10[[#This Row],[nip_klienta]]=B248,D248+cukier10[[#This Row],[sprzedany_cukier]],cukier10[[#This Row],[sprzedany_cukier]])</f>
        <v>3246</v>
      </c>
      <c r="E249" cm="1">
        <f t="array" ref="E2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49">
        <f>cukier10[[#This Row],[sprzedany_cukier]]*cukier10[[#This Row],[rabat]]</f>
        <v>13.600000000000001</v>
      </c>
    </row>
    <row r="250" spans="1:6" x14ac:dyDescent="0.25">
      <c r="A250" s="1">
        <v>38912</v>
      </c>
      <c r="B250" t="s">
        <v>22</v>
      </c>
      <c r="C250">
        <v>346</v>
      </c>
      <c r="D250">
        <f>IF(cukier10[[#This Row],[nip_klienta]]=B249,D249+cukier10[[#This Row],[sprzedany_cukier]],cukier10[[#This Row],[sprzedany_cukier]])</f>
        <v>3592</v>
      </c>
      <c r="E250" cm="1">
        <f t="array" ref="E2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50">
        <f>cukier10[[#This Row],[sprzedany_cukier]]*cukier10[[#This Row],[rabat]]</f>
        <v>34.6</v>
      </c>
    </row>
    <row r="251" spans="1:6" x14ac:dyDescent="0.25">
      <c r="A251" s="1">
        <v>38956</v>
      </c>
      <c r="B251" t="s">
        <v>22</v>
      </c>
      <c r="C251">
        <v>297</v>
      </c>
      <c r="D251">
        <f>IF(cukier10[[#This Row],[nip_klienta]]=B250,D250+cukier10[[#This Row],[sprzedany_cukier]],cukier10[[#This Row],[sprzedany_cukier]])</f>
        <v>3889</v>
      </c>
      <c r="E251" cm="1">
        <f t="array" ref="E2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51">
        <f>cukier10[[#This Row],[sprzedany_cukier]]*cukier10[[#This Row],[rabat]]</f>
        <v>29.700000000000003</v>
      </c>
    </row>
    <row r="252" spans="1:6" x14ac:dyDescent="0.25">
      <c r="A252" s="1">
        <v>39099</v>
      </c>
      <c r="B252" t="s">
        <v>22</v>
      </c>
      <c r="C252">
        <v>213</v>
      </c>
      <c r="D252">
        <f>IF(cukier10[[#This Row],[nip_klienta]]=B251,D251+cukier10[[#This Row],[sprzedany_cukier]],cukier10[[#This Row],[sprzedany_cukier]])</f>
        <v>4102</v>
      </c>
      <c r="E252" cm="1">
        <f t="array" ref="E2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52">
        <f>cukier10[[#This Row],[sprzedany_cukier]]*cukier10[[#This Row],[rabat]]</f>
        <v>21.3</v>
      </c>
    </row>
    <row r="253" spans="1:6" x14ac:dyDescent="0.25">
      <c r="A253" s="1">
        <v>39165</v>
      </c>
      <c r="B253" t="s">
        <v>22</v>
      </c>
      <c r="C253">
        <v>431</v>
      </c>
      <c r="D253">
        <f>IF(cukier10[[#This Row],[nip_klienta]]=B252,D252+cukier10[[#This Row],[sprzedany_cukier]],cukier10[[#This Row],[sprzedany_cukier]])</f>
        <v>4533</v>
      </c>
      <c r="E253" cm="1">
        <f t="array" ref="E2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53">
        <f>cukier10[[#This Row],[sprzedany_cukier]]*cukier10[[#This Row],[rabat]]</f>
        <v>43.1</v>
      </c>
    </row>
    <row r="254" spans="1:6" x14ac:dyDescent="0.25">
      <c r="A254" s="1">
        <v>39167</v>
      </c>
      <c r="B254" t="s">
        <v>22</v>
      </c>
      <c r="C254">
        <v>440</v>
      </c>
      <c r="D254">
        <f>IF(cukier10[[#This Row],[nip_klienta]]=B253,D253+cukier10[[#This Row],[sprzedany_cukier]],cukier10[[#This Row],[sprzedany_cukier]])</f>
        <v>4973</v>
      </c>
      <c r="E254" cm="1">
        <f t="array" ref="E2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54">
        <f>cukier10[[#This Row],[sprzedany_cukier]]*cukier10[[#This Row],[rabat]]</f>
        <v>44</v>
      </c>
    </row>
    <row r="255" spans="1:6" x14ac:dyDescent="0.25">
      <c r="A255" s="1">
        <v>39200</v>
      </c>
      <c r="B255" t="s">
        <v>22</v>
      </c>
      <c r="C255">
        <v>102</v>
      </c>
      <c r="D255">
        <f>IF(cukier10[[#This Row],[nip_klienta]]=B254,D254+cukier10[[#This Row],[sprzedany_cukier]],cukier10[[#This Row],[sprzedany_cukier]])</f>
        <v>5075</v>
      </c>
      <c r="E255" cm="1">
        <f t="array" ref="E2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55">
        <f>cukier10[[#This Row],[sprzedany_cukier]]*cukier10[[#This Row],[rabat]]</f>
        <v>10.200000000000001</v>
      </c>
    </row>
    <row r="256" spans="1:6" x14ac:dyDescent="0.25">
      <c r="A256" s="1">
        <v>39317</v>
      </c>
      <c r="B256" t="s">
        <v>22</v>
      </c>
      <c r="C256">
        <v>373</v>
      </c>
      <c r="D256">
        <f>IF(cukier10[[#This Row],[nip_klienta]]=B255,D255+cukier10[[#This Row],[sprzedany_cukier]],cukier10[[#This Row],[sprzedany_cukier]])</f>
        <v>5448</v>
      </c>
      <c r="E256" cm="1">
        <f t="array" ref="E2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56">
        <f>cukier10[[#This Row],[sprzedany_cukier]]*cukier10[[#This Row],[rabat]]</f>
        <v>37.300000000000004</v>
      </c>
    </row>
    <row r="257" spans="1:6" x14ac:dyDescent="0.25">
      <c r="A257" s="1">
        <v>39324</v>
      </c>
      <c r="B257" t="s">
        <v>22</v>
      </c>
      <c r="C257">
        <v>329</v>
      </c>
      <c r="D257">
        <f>IF(cukier10[[#This Row],[nip_klienta]]=B256,D256+cukier10[[#This Row],[sprzedany_cukier]],cukier10[[#This Row],[sprzedany_cukier]])</f>
        <v>5777</v>
      </c>
      <c r="E257" cm="1">
        <f t="array" ref="E2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57">
        <f>cukier10[[#This Row],[sprzedany_cukier]]*cukier10[[#This Row],[rabat]]</f>
        <v>32.9</v>
      </c>
    </row>
    <row r="258" spans="1:6" x14ac:dyDescent="0.25">
      <c r="A258" s="1">
        <v>39326</v>
      </c>
      <c r="B258" t="s">
        <v>22</v>
      </c>
      <c r="C258">
        <v>217</v>
      </c>
      <c r="D258">
        <f>IF(cukier10[[#This Row],[nip_klienta]]=B257,D257+cukier10[[#This Row],[sprzedany_cukier]],cukier10[[#This Row],[sprzedany_cukier]])</f>
        <v>5994</v>
      </c>
      <c r="E258" cm="1">
        <f t="array" ref="E2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58">
        <f>cukier10[[#This Row],[sprzedany_cukier]]*cukier10[[#This Row],[rabat]]</f>
        <v>21.700000000000003</v>
      </c>
    </row>
    <row r="259" spans="1:6" x14ac:dyDescent="0.25">
      <c r="A259" s="1">
        <v>39336</v>
      </c>
      <c r="B259" t="s">
        <v>22</v>
      </c>
      <c r="C259">
        <v>343</v>
      </c>
      <c r="D259">
        <f>IF(cukier10[[#This Row],[nip_klienta]]=B258,D258+cukier10[[#This Row],[sprzedany_cukier]],cukier10[[#This Row],[sprzedany_cukier]])</f>
        <v>6337</v>
      </c>
      <c r="E259" cm="1">
        <f t="array" ref="E2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59">
        <f>cukier10[[#This Row],[sprzedany_cukier]]*cukier10[[#This Row],[rabat]]</f>
        <v>34.300000000000004</v>
      </c>
    </row>
    <row r="260" spans="1:6" x14ac:dyDescent="0.25">
      <c r="A260" s="1">
        <v>39518</v>
      </c>
      <c r="B260" t="s">
        <v>22</v>
      </c>
      <c r="C260">
        <v>383</v>
      </c>
      <c r="D260">
        <f>IF(cukier10[[#This Row],[nip_klienta]]=B259,D259+cukier10[[#This Row],[sprzedany_cukier]],cukier10[[#This Row],[sprzedany_cukier]])</f>
        <v>6720</v>
      </c>
      <c r="E260" cm="1">
        <f t="array" ref="E2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60">
        <f>cukier10[[#This Row],[sprzedany_cukier]]*cukier10[[#This Row],[rabat]]</f>
        <v>38.300000000000004</v>
      </c>
    </row>
    <row r="261" spans="1:6" x14ac:dyDescent="0.25">
      <c r="A261" s="1">
        <v>39527</v>
      </c>
      <c r="B261" t="s">
        <v>22</v>
      </c>
      <c r="C261">
        <v>248</v>
      </c>
      <c r="D261">
        <f>IF(cukier10[[#This Row],[nip_klienta]]=B260,D260+cukier10[[#This Row],[sprzedany_cukier]],cukier10[[#This Row],[sprzedany_cukier]])</f>
        <v>6968</v>
      </c>
      <c r="E261" cm="1">
        <f t="array" ref="E2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61">
        <f>cukier10[[#This Row],[sprzedany_cukier]]*cukier10[[#This Row],[rabat]]</f>
        <v>24.8</v>
      </c>
    </row>
    <row r="262" spans="1:6" x14ac:dyDescent="0.25">
      <c r="A262" s="1">
        <v>39528</v>
      </c>
      <c r="B262" t="s">
        <v>22</v>
      </c>
      <c r="C262">
        <v>406</v>
      </c>
      <c r="D262">
        <f>IF(cukier10[[#This Row],[nip_klienta]]=B261,D261+cukier10[[#This Row],[sprzedany_cukier]],cukier10[[#This Row],[sprzedany_cukier]])</f>
        <v>7374</v>
      </c>
      <c r="E262" cm="1">
        <f t="array" ref="E2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62">
        <f>cukier10[[#This Row],[sprzedany_cukier]]*cukier10[[#This Row],[rabat]]</f>
        <v>40.6</v>
      </c>
    </row>
    <row r="263" spans="1:6" x14ac:dyDescent="0.25">
      <c r="A263" s="1">
        <v>39619</v>
      </c>
      <c r="B263" t="s">
        <v>22</v>
      </c>
      <c r="C263">
        <v>411</v>
      </c>
      <c r="D263">
        <f>IF(cukier10[[#This Row],[nip_klienta]]=B262,D262+cukier10[[#This Row],[sprzedany_cukier]],cukier10[[#This Row],[sprzedany_cukier]])</f>
        <v>7785</v>
      </c>
      <c r="E263" cm="1">
        <f t="array" ref="E2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63">
        <f>cukier10[[#This Row],[sprzedany_cukier]]*cukier10[[#This Row],[rabat]]</f>
        <v>41.1</v>
      </c>
    </row>
    <row r="264" spans="1:6" x14ac:dyDescent="0.25">
      <c r="A264" s="1">
        <v>39644</v>
      </c>
      <c r="B264" t="s">
        <v>22</v>
      </c>
      <c r="C264">
        <v>386</v>
      </c>
      <c r="D264">
        <f>IF(cukier10[[#This Row],[nip_klienta]]=B263,D263+cukier10[[#This Row],[sprzedany_cukier]],cukier10[[#This Row],[sprzedany_cukier]])</f>
        <v>8171</v>
      </c>
      <c r="E264" cm="1">
        <f t="array" ref="E2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64">
        <f>cukier10[[#This Row],[sprzedany_cukier]]*cukier10[[#This Row],[rabat]]</f>
        <v>38.6</v>
      </c>
    </row>
    <row r="265" spans="1:6" x14ac:dyDescent="0.25">
      <c r="A265" s="1">
        <v>39645</v>
      </c>
      <c r="B265" t="s">
        <v>22</v>
      </c>
      <c r="C265">
        <v>104</v>
      </c>
      <c r="D265">
        <f>IF(cukier10[[#This Row],[nip_klienta]]=B264,D264+cukier10[[#This Row],[sprzedany_cukier]],cukier10[[#This Row],[sprzedany_cukier]])</f>
        <v>8275</v>
      </c>
      <c r="E265" cm="1">
        <f t="array" ref="E2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65">
        <f>cukier10[[#This Row],[sprzedany_cukier]]*cukier10[[#This Row],[rabat]]</f>
        <v>10.4</v>
      </c>
    </row>
    <row r="266" spans="1:6" x14ac:dyDescent="0.25">
      <c r="A266" s="1">
        <v>39656</v>
      </c>
      <c r="B266" t="s">
        <v>22</v>
      </c>
      <c r="C266">
        <v>319</v>
      </c>
      <c r="D266">
        <f>IF(cukier10[[#This Row],[nip_klienta]]=B265,D265+cukier10[[#This Row],[sprzedany_cukier]],cukier10[[#This Row],[sprzedany_cukier]])</f>
        <v>8594</v>
      </c>
      <c r="E266" cm="1">
        <f t="array" ref="E2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66">
        <f>cukier10[[#This Row],[sprzedany_cukier]]*cukier10[[#This Row],[rabat]]</f>
        <v>31.900000000000002</v>
      </c>
    </row>
    <row r="267" spans="1:6" x14ac:dyDescent="0.25">
      <c r="A267" s="1">
        <v>39681</v>
      </c>
      <c r="B267" t="s">
        <v>22</v>
      </c>
      <c r="C267">
        <v>113</v>
      </c>
      <c r="D267">
        <f>IF(cukier10[[#This Row],[nip_klienta]]=B266,D266+cukier10[[#This Row],[sprzedany_cukier]],cukier10[[#This Row],[sprzedany_cukier]])</f>
        <v>8707</v>
      </c>
      <c r="E267" cm="1">
        <f t="array" ref="E2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67">
        <f>cukier10[[#This Row],[sprzedany_cukier]]*cukier10[[#This Row],[rabat]]</f>
        <v>11.3</v>
      </c>
    </row>
    <row r="268" spans="1:6" x14ac:dyDescent="0.25">
      <c r="A268" s="1">
        <v>39722</v>
      </c>
      <c r="B268" t="s">
        <v>22</v>
      </c>
      <c r="C268">
        <v>113</v>
      </c>
      <c r="D268">
        <f>IF(cukier10[[#This Row],[nip_klienta]]=B267,D267+cukier10[[#This Row],[sprzedany_cukier]],cukier10[[#This Row],[sprzedany_cukier]])</f>
        <v>8820</v>
      </c>
      <c r="E268" cm="1">
        <f t="array" ref="E2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68">
        <f>cukier10[[#This Row],[sprzedany_cukier]]*cukier10[[#This Row],[rabat]]</f>
        <v>11.3</v>
      </c>
    </row>
    <row r="269" spans="1:6" x14ac:dyDescent="0.25">
      <c r="A269" s="1">
        <v>39738</v>
      </c>
      <c r="B269" t="s">
        <v>22</v>
      </c>
      <c r="C269">
        <v>390</v>
      </c>
      <c r="D269">
        <f>IF(cukier10[[#This Row],[nip_klienta]]=B268,D268+cukier10[[#This Row],[sprzedany_cukier]],cukier10[[#This Row],[sprzedany_cukier]])</f>
        <v>9210</v>
      </c>
      <c r="E269" cm="1">
        <f t="array" ref="E2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69">
        <f>cukier10[[#This Row],[sprzedany_cukier]]*cukier10[[#This Row],[rabat]]</f>
        <v>39</v>
      </c>
    </row>
    <row r="270" spans="1:6" x14ac:dyDescent="0.25">
      <c r="A270" s="1">
        <v>39759</v>
      </c>
      <c r="B270" t="s">
        <v>22</v>
      </c>
      <c r="C270">
        <v>358</v>
      </c>
      <c r="D270">
        <f>IF(cukier10[[#This Row],[nip_klienta]]=B269,D269+cukier10[[#This Row],[sprzedany_cukier]],cukier10[[#This Row],[sprzedany_cukier]])</f>
        <v>9568</v>
      </c>
      <c r="E270" cm="1">
        <f t="array" ref="E2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70">
        <f>cukier10[[#This Row],[sprzedany_cukier]]*cukier10[[#This Row],[rabat]]</f>
        <v>35.800000000000004</v>
      </c>
    </row>
    <row r="271" spans="1:6" x14ac:dyDescent="0.25">
      <c r="A271" s="1">
        <v>39763</v>
      </c>
      <c r="B271" t="s">
        <v>22</v>
      </c>
      <c r="C271">
        <v>189</v>
      </c>
      <c r="D271">
        <f>IF(cukier10[[#This Row],[nip_klienta]]=B270,D270+cukier10[[#This Row],[sprzedany_cukier]],cukier10[[#This Row],[sprzedany_cukier]])</f>
        <v>9757</v>
      </c>
      <c r="E271" cm="1">
        <f t="array" ref="E2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71">
        <f>cukier10[[#This Row],[sprzedany_cukier]]*cukier10[[#This Row],[rabat]]</f>
        <v>18.900000000000002</v>
      </c>
    </row>
    <row r="272" spans="1:6" x14ac:dyDescent="0.25">
      <c r="A272" s="1">
        <v>39775</v>
      </c>
      <c r="B272" t="s">
        <v>22</v>
      </c>
      <c r="C272">
        <v>235</v>
      </c>
      <c r="D272">
        <f>IF(cukier10[[#This Row],[nip_klienta]]=B271,D271+cukier10[[#This Row],[sprzedany_cukier]],cukier10[[#This Row],[sprzedany_cukier]])</f>
        <v>9992</v>
      </c>
      <c r="E272" cm="1">
        <f t="array" ref="E2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72">
        <f>cukier10[[#This Row],[sprzedany_cukier]]*cukier10[[#This Row],[rabat]]</f>
        <v>23.5</v>
      </c>
    </row>
    <row r="273" spans="1:6" x14ac:dyDescent="0.25">
      <c r="A273" s="1">
        <v>39854</v>
      </c>
      <c r="B273" t="s">
        <v>22</v>
      </c>
      <c r="C273">
        <v>186</v>
      </c>
      <c r="D273">
        <f>IF(cukier10[[#This Row],[nip_klienta]]=B272,D272+cukier10[[#This Row],[sprzedany_cukier]],cukier10[[#This Row],[sprzedany_cukier]])</f>
        <v>10178</v>
      </c>
      <c r="E273" cm="1">
        <f t="array" ref="E2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73">
        <f>cukier10[[#This Row],[sprzedany_cukier]]*cukier10[[#This Row],[rabat]]</f>
        <v>37.200000000000003</v>
      </c>
    </row>
    <row r="274" spans="1:6" x14ac:dyDescent="0.25">
      <c r="A274" s="1">
        <v>39863</v>
      </c>
      <c r="B274" t="s">
        <v>22</v>
      </c>
      <c r="C274">
        <v>361</v>
      </c>
      <c r="D274">
        <f>IF(cukier10[[#This Row],[nip_klienta]]=B273,D273+cukier10[[#This Row],[sprzedany_cukier]],cukier10[[#This Row],[sprzedany_cukier]])</f>
        <v>10539</v>
      </c>
      <c r="E274" cm="1">
        <f t="array" ref="E2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74">
        <f>cukier10[[#This Row],[sprzedany_cukier]]*cukier10[[#This Row],[rabat]]</f>
        <v>72.2</v>
      </c>
    </row>
    <row r="275" spans="1:6" x14ac:dyDescent="0.25">
      <c r="A275" s="1">
        <v>39891</v>
      </c>
      <c r="B275" t="s">
        <v>22</v>
      </c>
      <c r="C275">
        <v>145</v>
      </c>
      <c r="D275">
        <f>IF(cukier10[[#This Row],[nip_klienta]]=B274,D274+cukier10[[#This Row],[sprzedany_cukier]],cukier10[[#This Row],[sprzedany_cukier]])</f>
        <v>10684</v>
      </c>
      <c r="E275" cm="1">
        <f t="array" ref="E2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75">
        <f>cukier10[[#This Row],[sprzedany_cukier]]*cukier10[[#This Row],[rabat]]</f>
        <v>29</v>
      </c>
    </row>
    <row r="276" spans="1:6" x14ac:dyDescent="0.25">
      <c r="A276" s="1">
        <v>40015</v>
      </c>
      <c r="B276" t="s">
        <v>22</v>
      </c>
      <c r="C276">
        <v>246</v>
      </c>
      <c r="D276">
        <f>IF(cukier10[[#This Row],[nip_klienta]]=B275,D275+cukier10[[#This Row],[sprzedany_cukier]],cukier10[[#This Row],[sprzedany_cukier]])</f>
        <v>10930</v>
      </c>
      <c r="E276" cm="1">
        <f t="array" ref="E2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76">
        <f>cukier10[[#This Row],[sprzedany_cukier]]*cukier10[[#This Row],[rabat]]</f>
        <v>49.2</v>
      </c>
    </row>
    <row r="277" spans="1:6" x14ac:dyDescent="0.25">
      <c r="A277" s="1">
        <v>40044</v>
      </c>
      <c r="B277" t="s">
        <v>22</v>
      </c>
      <c r="C277">
        <v>164</v>
      </c>
      <c r="D277">
        <f>IF(cukier10[[#This Row],[nip_klienta]]=B276,D276+cukier10[[#This Row],[sprzedany_cukier]],cukier10[[#This Row],[sprzedany_cukier]])</f>
        <v>11094</v>
      </c>
      <c r="E277" cm="1">
        <f t="array" ref="E2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77">
        <f>cukier10[[#This Row],[sprzedany_cukier]]*cukier10[[#This Row],[rabat]]</f>
        <v>32.800000000000004</v>
      </c>
    </row>
    <row r="278" spans="1:6" x14ac:dyDescent="0.25">
      <c r="A278" s="1">
        <v>40180</v>
      </c>
      <c r="B278" t="s">
        <v>22</v>
      </c>
      <c r="C278">
        <v>413</v>
      </c>
      <c r="D278">
        <f>IF(cukier10[[#This Row],[nip_klienta]]=B277,D277+cukier10[[#This Row],[sprzedany_cukier]],cukier10[[#This Row],[sprzedany_cukier]])</f>
        <v>11507</v>
      </c>
      <c r="E278" cm="1">
        <f t="array" ref="E2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78">
        <f>cukier10[[#This Row],[sprzedany_cukier]]*cukier10[[#This Row],[rabat]]</f>
        <v>82.600000000000009</v>
      </c>
    </row>
    <row r="279" spans="1:6" x14ac:dyDescent="0.25">
      <c r="A279" s="1">
        <v>40185</v>
      </c>
      <c r="B279" t="s">
        <v>22</v>
      </c>
      <c r="C279">
        <v>211</v>
      </c>
      <c r="D279">
        <f>IF(cukier10[[#This Row],[nip_klienta]]=B278,D278+cukier10[[#This Row],[sprzedany_cukier]],cukier10[[#This Row],[sprzedany_cukier]])</f>
        <v>11718</v>
      </c>
      <c r="E279" cm="1">
        <f t="array" ref="E2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79">
        <f>cukier10[[#This Row],[sprzedany_cukier]]*cukier10[[#This Row],[rabat]]</f>
        <v>42.2</v>
      </c>
    </row>
    <row r="280" spans="1:6" x14ac:dyDescent="0.25">
      <c r="A280" s="1">
        <v>40224</v>
      </c>
      <c r="B280" t="s">
        <v>22</v>
      </c>
      <c r="C280">
        <v>265</v>
      </c>
      <c r="D280">
        <f>IF(cukier10[[#This Row],[nip_klienta]]=B279,D279+cukier10[[#This Row],[sprzedany_cukier]],cukier10[[#This Row],[sprzedany_cukier]])</f>
        <v>11983</v>
      </c>
      <c r="E280" cm="1">
        <f t="array" ref="E2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80">
        <f>cukier10[[#This Row],[sprzedany_cukier]]*cukier10[[#This Row],[rabat]]</f>
        <v>53</v>
      </c>
    </row>
    <row r="281" spans="1:6" x14ac:dyDescent="0.25">
      <c r="A281" s="1">
        <v>40227</v>
      </c>
      <c r="B281" t="s">
        <v>22</v>
      </c>
      <c r="C281">
        <v>279</v>
      </c>
      <c r="D281">
        <f>IF(cukier10[[#This Row],[nip_klienta]]=B280,D280+cukier10[[#This Row],[sprzedany_cukier]],cukier10[[#This Row],[sprzedany_cukier]])</f>
        <v>12262</v>
      </c>
      <c r="E281" cm="1">
        <f t="array" ref="E2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81">
        <f>cukier10[[#This Row],[sprzedany_cukier]]*cukier10[[#This Row],[rabat]]</f>
        <v>55.800000000000004</v>
      </c>
    </row>
    <row r="282" spans="1:6" x14ac:dyDescent="0.25">
      <c r="A282" s="1">
        <v>40234</v>
      </c>
      <c r="B282" t="s">
        <v>22</v>
      </c>
      <c r="C282">
        <v>487</v>
      </c>
      <c r="D282">
        <f>IF(cukier10[[#This Row],[nip_klienta]]=B281,D281+cukier10[[#This Row],[sprzedany_cukier]],cukier10[[#This Row],[sprzedany_cukier]])</f>
        <v>12749</v>
      </c>
      <c r="E282" cm="1">
        <f t="array" ref="E2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82">
        <f>cukier10[[#This Row],[sprzedany_cukier]]*cukier10[[#This Row],[rabat]]</f>
        <v>97.4</v>
      </c>
    </row>
    <row r="283" spans="1:6" x14ac:dyDescent="0.25">
      <c r="A283" s="1">
        <v>40236</v>
      </c>
      <c r="B283" t="s">
        <v>22</v>
      </c>
      <c r="C283">
        <v>312</v>
      </c>
      <c r="D283">
        <f>IF(cukier10[[#This Row],[nip_klienta]]=B282,D282+cukier10[[#This Row],[sprzedany_cukier]],cukier10[[#This Row],[sprzedany_cukier]])</f>
        <v>13061</v>
      </c>
      <c r="E283" cm="1">
        <f t="array" ref="E2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83">
        <f>cukier10[[#This Row],[sprzedany_cukier]]*cukier10[[#This Row],[rabat]]</f>
        <v>62.400000000000006</v>
      </c>
    </row>
    <row r="284" spans="1:6" x14ac:dyDescent="0.25">
      <c r="A284" s="1">
        <v>40268</v>
      </c>
      <c r="B284" t="s">
        <v>22</v>
      </c>
      <c r="C284">
        <v>230</v>
      </c>
      <c r="D284">
        <f>IF(cukier10[[#This Row],[nip_klienta]]=B283,D283+cukier10[[#This Row],[sprzedany_cukier]],cukier10[[#This Row],[sprzedany_cukier]])</f>
        <v>13291</v>
      </c>
      <c r="E284" cm="1">
        <f t="array" ref="E2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84">
        <f>cukier10[[#This Row],[sprzedany_cukier]]*cukier10[[#This Row],[rabat]]</f>
        <v>46</v>
      </c>
    </row>
    <row r="285" spans="1:6" x14ac:dyDescent="0.25">
      <c r="A285" s="1">
        <v>40279</v>
      </c>
      <c r="B285" t="s">
        <v>22</v>
      </c>
      <c r="C285">
        <v>143</v>
      </c>
      <c r="D285">
        <f>IF(cukier10[[#This Row],[nip_klienta]]=B284,D284+cukier10[[#This Row],[sprzedany_cukier]],cukier10[[#This Row],[sprzedany_cukier]])</f>
        <v>13434</v>
      </c>
      <c r="E285" cm="1">
        <f t="array" ref="E2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85">
        <f>cukier10[[#This Row],[sprzedany_cukier]]*cukier10[[#This Row],[rabat]]</f>
        <v>28.6</v>
      </c>
    </row>
    <row r="286" spans="1:6" x14ac:dyDescent="0.25">
      <c r="A286" s="1">
        <v>40320</v>
      </c>
      <c r="B286" t="s">
        <v>22</v>
      </c>
      <c r="C286">
        <v>383</v>
      </c>
      <c r="D286">
        <f>IF(cukier10[[#This Row],[nip_klienta]]=B285,D285+cukier10[[#This Row],[sprzedany_cukier]],cukier10[[#This Row],[sprzedany_cukier]])</f>
        <v>13817</v>
      </c>
      <c r="E286" cm="1">
        <f t="array" ref="E2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86">
        <f>cukier10[[#This Row],[sprzedany_cukier]]*cukier10[[#This Row],[rabat]]</f>
        <v>76.600000000000009</v>
      </c>
    </row>
    <row r="287" spans="1:6" x14ac:dyDescent="0.25">
      <c r="A287" s="1">
        <v>40382</v>
      </c>
      <c r="B287" t="s">
        <v>22</v>
      </c>
      <c r="C287">
        <v>404</v>
      </c>
      <c r="D287">
        <f>IF(cukier10[[#This Row],[nip_klienta]]=B286,D286+cukier10[[#This Row],[sprzedany_cukier]],cukier10[[#This Row],[sprzedany_cukier]])</f>
        <v>14221</v>
      </c>
      <c r="E287" cm="1">
        <f t="array" ref="E2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87">
        <f>cukier10[[#This Row],[sprzedany_cukier]]*cukier10[[#This Row],[rabat]]</f>
        <v>80.800000000000011</v>
      </c>
    </row>
    <row r="288" spans="1:6" x14ac:dyDescent="0.25">
      <c r="A288" s="1">
        <v>40443</v>
      </c>
      <c r="B288" t="s">
        <v>22</v>
      </c>
      <c r="C288">
        <v>279</v>
      </c>
      <c r="D288">
        <f>IF(cukier10[[#This Row],[nip_klienta]]=B287,D287+cukier10[[#This Row],[sprzedany_cukier]],cukier10[[#This Row],[sprzedany_cukier]])</f>
        <v>14500</v>
      </c>
      <c r="E288" cm="1">
        <f t="array" ref="E2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88">
        <f>cukier10[[#This Row],[sprzedany_cukier]]*cukier10[[#This Row],[rabat]]</f>
        <v>55.800000000000004</v>
      </c>
    </row>
    <row r="289" spans="1:6" x14ac:dyDescent="0.25">
      <c r="A289" s="1">
        <v>40447</v>
      </c>
      <c r="B289" t="s">
        <v>22</v>
      </c>
      <c r="C289">
        <v>154</v>
      </c>
      <c r="D289">
        <f>IF(cukier10[[#This Row],[nip_klienta]]=B288,D288+cukier10[[#This Row],[sprzedany_cukier]],cukier10[[#This Row],[sprzedany_cukier]])</f>
        <v>14654</v>
      </c>
      <c r="E289" cm="1">
        <f t="array" ref="E2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89">
        <f>cukier10[[#This Row],[sprzedany_cukier]]*cukier10[[#This Row],[rabat]]</f>
        <v>30.8</v>
      </c>
    </row>
    <row r="290" spans="1:6" x14ac:dyDescent="0.25">
      <c r="A290" s="1">
        <v>40477</v>
      </c>
      <c r="B290" t="s">
        <v>22</v>
      </c>
      <c r="C290">
        <v>339</v>
      </c>
      <c r="D290">
        <f>IF(cukier10[[#This Row],[nip_klienta]]=B289,D289+cukier10[[#This Row],[sprzedany_cukier]],cukier10[[#This Row],[sprzedany_cukier]])</f>
        <v>14993</v>
      </c>
      <c r="E290" cm="1">
        <f t="array" ref="E2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90">
        <f>cukier10[[#This Row],[sprzedany_cukier]]*cukier10[[#This Row],[rabat]]</f>
        <v>67.8</v>
      </c>
    </row>
    <row r="291" spans="1:6" x14ac:dyDescent="0.25">
      <c r="A291" s="1">
        <v>40538</v>
      </c>
      <c r="B291" t="s">
        <v>22</v>
      </c>
      <c r="C291">
        <v>408</v>
      </c>
      <c r="D291">
        <f>IF(cukier10[[#This Row],[nip_klienta]]=B290,D290+cukier10[[#This Row],[sprzedany_cukier]],cukier10[[#This Row],[sprzedany_cukier]])</f>
        <v>15401</v>
      </c>
      <c r="E291" cm="1">
        <f t="array" ref="E2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91">
        <f>cukier10[[#This Row],[sprzedany_cukier]]*cukier10[[#This Row],[rabat]]</f>
        <v>81.600000000000009</v>
      </c>
    </row>
    <row r="292" spans="1:6" x14ac:dyDescent="0.25">
      <c r="A292" s="1">
        <v>40585</v>
      </c>
      <c r="B292" t="s">
        <v>22</v>
      </c>
      <c r="C292">
        <v>483</v>
      </c>
      <c r="D292">
        <f>IF(cukier10[[#This Row],[nip_klienta]]=B291,D291+cukier10[[#This Row],[sprzedany_cukier]],cukier10[[#This Row],[sprzedany_cukier]])</f>
        <v>15884</v>
      </c>
      <c r="E292" cm="1">
        <f t="array" ref="E2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92">
        <f>cukier10[[#This Row],[sprzedany_cukier]]*cukier10[[#This Row],[rabat]]</f>
        <v>96.600000000000009</v>
      </c>
    </row>
    <row r="293" spans="1:6" x14ac:dyDescent="0.25">
      <c r="A293" s="1">
        <v>40638</v>
      </c>
      <c r="B293" t="s">
        <v>22</v>
      </c>
      <c r="C293">
        <v>355</v>
      </c>
      <c r="D293">
        <f>IF(cukier10[[#This Row],[nip_klienta]]=B292,D292+cukier10[[#This Row],[sprzedany_cukier]],cukier10[[#This Row],[sprzedany_cukier]])</f>
        <v>16239</v>
      </c>
      <c r="E293" cm="1">
        <f t="array" ref="E2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93">
        <f>cukier10[[#This Row],[sprzedany_cukier]]*cukier10[[#This Row],[rabat]]</f>
        <v>71</v>
      </c>
    </row>
    <row r="294" spans="1:6" x14ac:dyDescent="0.25">
      <c r="A294" s="1">
        <v>40664</v>
      </c>
      <c r="B294" t="s">
        <v>22</v>
      </c>
      <c r="C294">
        <v>289</v>
      </c>
      <c r="D294">
        <f>IF(cukier10[[#This Row],[nip_klienta]]=B293,D293+cukier10[[#This Row],[sprzedany_cukier]],cukier10[[#This Row],[sprzedany_cukier]])</f>
        <v>16528</v>
      </c>
      <c r="E294" cm="1">
        <f t="array" ref="E2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94">
        <f>cukier10[[#This Row],[sprzedany_cukier]]*cukier10[[#This Row],[rabat]]</f>
        <v>57.800000000000004</v>
      </c>
    </row>
    <row r="295" spans="1:6" x14ac:dyDescent="0.25">
      <c r="A295" s="1">
        <v>40745</v>
      </c>
      <c r="B295" t="s">
        <v>22</v>
      </c>
      <c r="C295">
        <v>150</v>
      </c>
      <c r="D295">
        <f>IF(cukier10[[#This Row],[nip_klienta]]=B294,D294+cukier10[[#This Row],[sprzedany_cukier]],cukier10[[#This Row],[sprzedany_cukier]])</f>
        <v>16678</v>
      </c>
      <c r="E295" cm="1">
        <f t="array" ref="E2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95">
        <f>cukier10[[#This Row],[sprzedany_cukier]]*cukier10[[#This Row],[rabat]]</f>
        <v>30</v>
      </c>
    </row>
    <row r="296" spans="1:6" x14ac:dyDescent="0.25">
      <c r="A296" s="1">
        <v>40815</v>
      </c>
      <c r="B296" t="s">
        <v>22</v>
      </c>
      <c r="C296">
        <v>340</v>
      </c>
      <c r="D296">
        <f>IF(cukier10[[#This Row],[nip_klienta]]=B295,D295+cukier10[[#This Row],[sprzedany_cukier]],cukier10[[#This Row],[sprzedany_cukier]])</f>
        <v>17018</v>
      </c>
      <c r="E296" cm="1">
        <f t="array" ref="E2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96">
        <f>cukier10[[#This Row],[sprzedany_cukier]]*cukier10[[#This Row],[rabat]]</f>
        <v>68</v>
      </c>
    </row>
    <row r="297" spans="1:6" x14ac:dyDescent="0.25">
      <c r="A297" s="1">
        <v>40857</v>
      </c>
      <c r="B297" t="s">
        <v>22</v>
      </c>
      <c r="C297">
        <v>438</v>
      </c>
      <c r="D297">
        <f>IF(cukier10[[#This Row],[nip_klienta]]=B296,D296+cukier10[[#This Row],[sprzedany_cukier]],cukier10[[#This Row],[sprzedany_cukier]])</f>
        <v>17456</v>
      </c>
      <c r="E297" cm="1">
        <f t="array" ref="E2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97">
        <f>cukier10[[#This Row],[sprzedany_cukier]]*cukier10[[#This Row],[rabat]]</f>
        <v>87.600000000000009</v>
      </c>
    </row>
    <row r="298" spans="1:6" x14ac:dyDescent="0.25">
      <c r="A298" s="1">
        <v>40889</v>
      </c>
      <c r="B298" t="s">
        <v>22</v>
      </c>
      <c r="C298">
        <v>153</v>
      </c>
      <c r="D298">
        <f>IF(cukier10[[#This Row],[nip_klienta]]=B297,D297+cukier10[[#This Row],[sprzedany_cukier]],cukier10[[#This Row],[sprzedany_cukier]])</f>
        <v>17609</v>
      </c>
      <c r="E298" cm="1">
        <f t="array" ref="E2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98">
        <f>cukier10[[#This Row],[sprzedany_cukier]]*cukier10[[#This Row],[rabat]]</f>
        <v>30.6</v>
      </c>
    </row>
    <row r="299" spans="1:6" x14ac:dyDescent="0.25">
      <c r="A299" s="1">
        <v>40915</v>
      </c>
      <c r="B299" t="s">
        <v>22</v>
      </c>
      <c r="C299">
        <v>460</v>
      </c>
      <c r="D299">
        <f>IF(cukier10[[#This Row],[nip_klienta]]=B298,D298+cukier10[[#This Row],[sprzedany_cukier]],cukier10[[#This Row],[sprzedany_cukier]])</f>
        <v>18069</v>
      </c>
      <c r="E299" cm="1">
        <f t="array" ref="E2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99">
        <f>cukier10[[#This Row],[sprzedany_cukier]]*cukier10[[#This Row],[rabat]]</f>
        <v>92</v>
      </c>
    </row>
    <row r="300" spans="1:6" x14ac:dyDescent="0.25">
      <c r="A300" s="1">
        <v>40917</v>
      </c>
      <c r="B300" t="s">
        <v>22</v>
      </c>
      <c r="C300">
        <v>250</v>
      </c>
      <c r="D300">
        <f>IF(cukier10[[#This Row],[nip_klienta]]=B299,D299+cukier10[[#This Row],[sprzedany_cukier]],cukier10[[#This Row],[sprzedany_cukier]])</f>
        <v>18319</v>
      </c>
      <c r="E300" cm="1">
        <f t="array" ref="E3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00">
        <f>cukier10[[#This Row],[sprzedany_cukier]]*cukier10[[#This Row],[rabat]]</f>
        <v>50</v>
      </c>
    </row>
    <row r="301" spans="1:6" x14ac:dyDescent="0.25">
      <c r="A301" s="1">
        <v>40941</v>
      </c>
      <c r="B301" t="s">
        <v>22</v>
      </c>
      <c r="C301">
        <v>333</v>
      </c>
      <c r="D301">
        <f>IF(cukier10[[#This Row],[nip_klienta]]=B300,D300+cukier10[[#This Row],[sprzedany_cukier]],cukier10[[#This Row],[sprzedany_cukier]])</f>
        <v>18652</v>
      </c>
      <c r="E301" cm="1">
        <f t="array" ref="E3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01">
        <f>cukier10[[#This Row],[sprzedany_cukier]]*cukier10[[#This Row],[rabat]]</f>
        <v>66.600000000000009</v>
      </c>
    </row>
    <row r="302" spans="1:6" x14ac:dyDescent="0.25">
      <c r="A302" s="1">
        <v>41005</v>
      </c>
      <c r="B302" t="s">
        <v>22</v>
      </c>
      <c r="C302">
        <v>116</v>
      </c>
      <c r="D302">
        <f>IF(cukier10[[#This Row],[nip_klienta]]=B301,D301+cukier10[[#This Row],[sprzedany_cukier]],cukier10[[#This Row],[sprzedany_cukier]])</f>
        <v>18768</v>
      </c>
      <c r="E302" cm="1">
        <f t="array" ref="E3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02">
        <f>cukier10[[#This Row],[sprzedany_cukier]]*cukier10[[#This Row],[rabat]]</f>
        <v>23.200000000000003</v>
      </c>
    </row>
    <row r="303" spans="1:6" x14ac:dyDescent="0.25">
      <c r="A303" s="1">
        <v>41020</v>
      </c>
      <c r="B303" t="s">
        <v>22</v>
      </c>
      <c r="C303">
        <v>157</v>
      </c>
      <c r="D303">
        <f>IF(cukier10[[#This Row],[nip_klienta]]=B302,D302+cukier10[[#This Row],[sprzedany_cukier]],cukier10[[#This Row],[sprzedany_cukier]])</f>
        <v>18925</v>
      </c>
      <c r="E303" cm="1">
        <f t="array" ref="E3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03">
        <f>cukier10[[#This Row],[sprzedany_cukier]]*cukier10[[#This Row],[rabat]]</f>
        <v>31.400000000000002</v>
      </c>
    </row>
    <row r="304" spans="1:6" x14ac:dyDescent="0.25">
      <c r="A304" s="1">
        <v>41069</v>
      </c>
      <c r="B304" t="s">
        <v>22</v>
      </c>
      <c r="C304">
        <v>224</v>
      </c>
      <c r="D304">
        <f>IF(cukier10[[#This Row],[nip_klienta]]=B303,D303+cukier10[[#This Row],[sprzedany_cukier]],cukier10[[#This Row],[sprzedany_cukier]])</f>
        <v>19149</v>
      </c>
      <c r="E304" cm="1">
        <f t="array" ref="E3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04">
        <f>cukier10[[#This Row],[sprzedany_cukier]]*cukier10[[#This Row],[rabat]]</f>
        <v>44.800000000000004</v>
      </c>
    </row>
    <row r="305" spans="1:6" x14ac:dyDescent="0.25">
      <c r="A305" s="1">
        <v>41100</v>
      </c>
      <c r="B305" t="s">
        <v>22</v>
      </c>
      <c r="C305">
        <v>153</v>
      </c>
      <c r="D305">
        <f>IF(cukier10[[#This Row],[nip_klienta]]=B304,D304+cukier10[[#This Row],[sprzedany_cukier]],cukier10[[#This Row],[sprzedany_cukier]])</f>
        <v>19302</v>
      </c>
      <c r="E305" cm="1">
        <f t="array" ref="E3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05">
        <f>cukier10[[#This Row],[sprzedany_cukier]]*cukier10[[#This Row],[rabat]]</f>
        <v>30.6</v>
      </c>
    </row>
    <row r="306" spans="1:6" x14ac:dyDescent="0.25">
      <c r="A306" s="1">
        <v>41125</v>
      </c>
      <c r="B306" t="s">
        <v>22</v>
      </c>
      <c r="C306">
        <v>124</v>
      </c>
      <c r="D306">
        <f>IF(cukier10[[#This Row],[nip_klienta]]=B305,D305+cukier10[[#This Row],[sprzedany_cukier]],cukier10[[#This Row],[sprzedany_cukier]])</f>
        <v>19426</v>
      </c>
      <c r="E306" cm="1">
        <f t="array" ref="E3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06">
        <f>cukier10[[#This Row],[sprzedany_cukier]]*cukier10[[#This Row],[rabat]]</f>
        <v>24.8</v>
      </c>
    </row>
    <row r="307" spans="1:6" x14ac:dyDescent="0.25">
      <c r="A307" s="1">
        <v>41236</v>
      </c>
      <c r="B307" t="s">
        <v>22</v>
      </c>
      <c r="C307">
        <v>269</v>
      </c>
      <c r="D307">
        <f>IF(cukier10[[#This Row],[nip_klienta]]=B306,D306+cukier10[[#This Row],[sprzedany_cukier]],cukier10[[#This Row],[sprzedany_cukier]])</f>
        <v>19695</v>
      </c>
      <c r="E307" cm="1">
        <f t="array" ref="E3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07">
        <f>cukier10[[#This Row],[sprzedany_cukier]]*cukier10[[#This Row],[rabat]]</f>
        <v>53.800000000000004</v>
      </c>
    </row>
    <row r="308" spans="1:6" x14ac:dyDescent="0.25">
      <c r="A308" s="1">
        <v>41394</v>
      </c>
      <c r="B308" t="s">
        <v>22</v>
      </c>
      <c r="C308">
        <v>106</v>
      </c>
      <c r="D308">
        <f>IF(cukier10[[#This Row],[nip_klienta]]=B307,D307+cukier10[[#This Row],[sprzedany_cukier]],cukier10[[#This Row],[sprzedany_cukier]])</f>
        <v>19801</v>
      </c>
      <c r="E308" cm="1">
        <f t="array" ref="E3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08">
        <f>cukier10[[#This Row],[sprzedany_cukier]]*cukier10[[#This Row],[rabat]]</f>
        <v>21.200000000000003</v>
      </c>
    </row>
    <row r="309" spans="1:6" x14ac:dyDescent="0.25">
      <c r="A309" s="1">
        <v>41427</v>
      </c>
      <c r="B309" t="s">
        <v>22</v>
      </c>
      <c r="C309">
        <v>388</v>
      </c>
      <c r="D309">
        <f>IF(cukier10[[#This Row],[nip_klienta]]=B308,D308+cukier10[[#This Row],[sprzedany_cukier]],cukier10[[#This Row],[sprzedany_cukier]])</f>
        <v>20189</v>
      </c>
      <c r="E309" cm="1">
        <f t="array" ref="E3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09">
        <f>cukier10[[#This Row],[sprzedany_cukier]]*cukier10[[#This Row],[rabat]]</f>
        <v>77.600000000000009</v>
      </c>
    </row>
    <row r="310" spans="1:6" x14ac:dyDescent="0.25">
      <c r="A310" s="1">
        <v>41534</v>
      </c>
      <c r="B310" t="s">
        <v>22</v>
      </c>
      <c r="C310">
        <v>105</v>
      </c>
      <c r="D310">
        <f>IF(cukier10[[#This Row],[nip_klienta]]=B309,D309+cukier10[[#This Row],[sprzedany_cukier]],cukier10[[#This Row],[sprzedany_cukier]])</f>
        <v>20294</v>
      </c>
      <c r="E310" cm="1">
        <f t="array" ref="E3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10">
        <f>cukier10[[#This Row],[sprzedany_cukier]]*cukier10[[#This Row],[rabat]]</f>
        <v>21</v>
      </c>
    </row>
    <row r="311" spans="1:6" x14ac:dyDescent="0.25">
      <c r="A311" s="1">
        <v>41594</v>
      </c>
      <c r="B311" t="s">
        <v>22</v>
      </c>
      <c r="C311">
        <v>249</v>
      </c>
      <c r="D311">
        <f>IF(cukier10[[#This Row],[nip_klienta]]=B310,D310+cukier10[[#This Row],[sprzedany_cukier]],cukier10[[#This Row],[sprzedany_cukier]])</f>
        <v>20543</v>
      </c>
      <c r="E311" cm="1">
        <f t="array" ref="E3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11">
        <f>cukier10[[#This Row],[sprzedany_cukier]]*cukier10[[#This Row],[rabat]]</f>
        <v>49.800000000000004</v>
      </c>
    </row>
    <row r="312" spans="1:6" x14ac:dyDescent="0.25">
      <c r="A312" s="1">
        <v>41614</v>
      </c>
      <c r="B312" t="s">
        <v>22</v>
      </c>
      <c r="C312">
        <v>364</v>
      </c>
      <c r="D312">
        <f>IF(cukier10[[#This Row],[nip_klienta]]=B311,D311+cukier10[[#This Row],[sprzedany_cukier]],cukier10[[#This Row],[sprzedany_cukier]])</f>
        <v>20907</v>
      </c>
      <c r="E312" cm="1">
        <f t="array" ref="E3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12">
        <f>cukier10[[#This Row],[sprzedany_cukier]]*cukier10[[#This Row],[rabat]]</f>
        <v>72.8</v>
      </c>
    </row>
    <row r="313" spans="1:6" x14ac:dyDescent="0.25">
      <c r="A313" s="1">
        <v>41658</v>
      </c>
      <c r="B313" t="s">
        <v>22</v>
      </c>
      <c r="C313">
        <v>390</v>
      </c>
      <c r="D313">
        <f>IF(cukier10[[#This Row],[nip_klienta]]=B312,D312+cukier10[[#This Row],[sprzedany_cukier]],cukier10[[#This Row],[sprzedany_cukier]])</f>
        <v>21297</v>
      </c>
      <c r="E313" cm="1">
        <f t="array" ref="E3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13">
        <f>cukier10[[#This Row],[sprzedany_cukier]]*cukier10[[#This Row],[rabat]]</f>
        <v>78</v>
      </c>
    </row>
    <row r="314" spans="1:6" x14ac:dyDescent="0.25">
      <c r="A314" s="1">
        <v>41676</v>
      </c>
      <c r="B314" t="s">
        <v>22</v>
      </c>
      <c r="C314">
        <v>182</v>
      </c>
      <c r="D314">
        <f>IF(cukier10[[#This Row],[nip_klienta]]=B313,D313+cukier10[[#This Row],[sprzedany_cukier]],cukier10[[#This Row],[sprzedany_cukier]])</f>
        <v>21479</v>
      </c>
      <c r="E314" cm="1">
        <f t="array" ref="E3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14">
        <f>cukier10[[#This Row],[sprzedany_cukier]]*cukier10[[#This Row],[rabat]]</f>
        <v>36.4</v>
      </c>
    </row>
    <row r="315" spans="1:6" x14ac:dyDescent="0.25">
      <c r="A315" s="1">
        <v>41721</v>
      </c>
      <c r="B315" t="s">
        <v>22</v>
      </c>
      <c r="C315">
        <v>118</v>
      </c>
      <c r="D315">
        <f>IF(cukier10[[#This Row],[nip_klienta]]=B314,D314+cukier10[[#This Row],[sprzedany_cukier]],cukier10[[#This Row],[sprzedany_cukier]])</f>
        <v>21597</v>
      </c>
      <c r="E315" cm="1">
        <f t="array" ref="E3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15">
        <f>cukier10[[#This Row],[sprzedany_cukier]]*cukier10[[#This Row],[rabat]]</f>
        <v>23.6</v>
      </c>
    </row>
    <row r="316" spans="1:6" x14ac:dyDescent="0.25">
      <c r="A316" s="1">
        <v>41740</v>
      </c>
      <c r="B316" t="s">
        <v>22</v>
      </c>
      <c r="C316">
        <v>474</v>
      </c>
      <c r="D316">
        <f>IF(cukier10[[#This Row],[nip_klienta]]=B315,D315+cukier10[[#This Row],[sprzedany_cukier]],cukier10[[#This Row],[sprzedany_cukier]])</f>
        <v>22071</v>
      </c>
      <c r="E316" cm="1">
        <f t="array" ref="E3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16">
        <f>cukier10[[#This Row],[sprzedany_cukier]]*cukier10[[#This Row],[rabat]]</f>
        <v>94.800000000000011</v>
      </c>
    </row>
    <row r="317" spans="1:6" x14ac:dyDescent="0.25">
      <c r="A317" s="1">
        <v>41784</v>
      </c>
      <c r="B317" t="s">
        <v>22</v>
      </c>
      <c r="C317">
        <v>401</v>
      </c>
      <c r="D317">
        <f>IF(cukier10[[#This Row],[nip_klienta]]=B316,D316+cukier10[[#This Row],[sprzedany_cukier]],cukier10[[#This Row],[sprzedany_cukier]])</f>
        <v>22472</v>
      </c>
      <c r="E317" cm="1">
        <f t="array" ref="E3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17">
        <f>cukier10[[#This Row],[sprzedany_cukier]]*cukier10[[#This Row],[rabat]]</f>
        <v>80.2</v>
      </c>
    </row>
    <row r="318" spans="1:6" x14ac:dyDescent="0.25">
      <c r="A318" s="1">
        <v>41785</v>
      </c>
      <c r="B318" t="s">
        <v>22</v>
      </c>
      <c r="C318">
        <v>169</v>
      </c>
      <c r="D318">
        <f>IF(cukier10[[#This Row],[nip_klienta]]=B317,D317+cukier10[[#This Row],[sprzedany_cukier]],cukier10[[#This Row],[sprzedany_cukier]])</f>
        <v>22641</v>
      </c>
      <c r="E318" cm="1">
        <f t="array" ref="E3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18">
        <f>cukier10[[#This Row],[sprzedany_cukier]]*cukier10[[#This Row],[rabat]]</f>
        <v>33.800000000000004</v>
      </c>
    </row>
    <row r="319" spans="1:6" x14ac:dyDescent="0.25">
      <c r="A319" s="1">
        <v>41838</v>
      </c>
      <c r="B319" t="s">
        <v>22</v>
      </c>
      <c r="C319">
        <v>485</v>
      </c>
      <c r="D319">
        <f>IF(cukier10[[#This Row],[nip_klienta]]=B318,D318+cukier10[[#This Row],[sprzedany_cukier]],cukier10[[#This Row],[sprzedany_cukier]])</f>
        <v>23126</v>
      </c>
      <c r="E319" cm="1">
        <f t="array" ref="E3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19">
        <f>cukier10[[#This Row],[sprzedany_cukier]]*cukier10[[#This Row],[rabat]]</f>
        <v>97</v>
      </c>
    </row>
    <row r="320" spans="1:6" x14ac:dyDescent="0.25">
      <c r="A320" s="1">
        <v>41919</v>
      </c>
      <c r="B320" t="s">
        <v>22</v>
      </c>
      <c r="C320">
        <v>433</v>
      </c>
      <c r="D320">
        <f>IF(cukier10[[#This Row],[nip_klienta]]=B319,D319+cukier10[[#This Row],[sprzedany_cukier]],cukier10[[#This Row],[sprzedany_cukier]])</f>
        <v>23559</v>
      </c>
      <c r="E320" cm="1">
        <f t="array" ref="E3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20">
        <f>cukier10[[#This Row],[sprzedany_cukier]]*cukier10[[#This Row],[rabat]]</f>
        <v>86.600000000000009</v>
      </c>
    </row>
    <row r="321" spans="1:6" x14ac:dyDescent="0.25">
      <c r="A321" s="1">
        <v>41920</v>
      </c>
      <c r="B321" t="s">
        <v>22</v>
      </c>
      <c r="C321">
        <v>381</v>
      </c>
      <c r="D321">
        <f>IF(cukier10[[#This Row],[nip_klienta]]=B320,D320+cukier10[[#This Row],[sprzedany_cukier]],cukier10[[#This Row],[sprzedany_cukier]])</f>
        <v>23940</v>
      </c>
      <c r="E321" cm="1">
        <f t="array" ref="E3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21">
        <f>cukier10[[#This Row],[sprzedany_cukier]]*cukier10[[#This Row],[rabat]]</f>
        <v>76.2</v>
      </c>
    </row>
    <row r="322" spans="1:6" x14ac:dyDescent="0.25">
      <c r="A322" s="1">
        <v>41928</v>
      </c>
      <c r="B322" t="s">
        <v>22</v>
      </c>
      <c r="C322">
        <v>491</v>
      </c>
      <c r="D322">
        <f>IF(cukier10[[#This Row],[nip_klienta]]=B321,D321+cukier10[[#This Row],[sprzedany_cukier]],cukier10[[#This Row],[sprzedany_cukier]])</f>
        <v>24431</v>
      </c>
      <c r="E322" cm="1">
        <f t="array" ref="E3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22">
        <f>cukier10[[#This Row],[sprzedany_cukier]]*cukier10[[#This Row],[rabat]]</f>
        <v>98.2</v>
      </c>
    </row>
    <row r="323" spans="1:6" x14ac:dyDescent="0.25">
      <c r="A323" s="1">
        <v>41943</v>
      </c>
      <c r="B323" t="s">
        <v>22</v>
      </c>
      <c r="C323">
        <v>166</v>
      </c>
      <c r="D323">
        <f>IF(cukier10[[#This Row],[nip_klienta]]=B322,D322+cukier10[[#This Row],[sprzedany_cukier]],cukier10[[#This Row],[sprzedany_cukier]])</f>
        <v>24597</v>
      </c>
      <c r="E323" cm="1">
        <f t="array" ref="E3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23">
        <f>cukier10[[#This Row],[sprzedany_cukier]]*cukier10[[#This Row],[rabat]]</f>
        <v>33.200000000000003</v>
      </c>
    </row>
    <row r="324" spans="1:6" x14ac:dyDescent="0.25">
      <c r="A324" s="1">
        <v>41951</v>
      </c>
      <c r="B324" t="s">
        <v>22</v>
      </c>
      <c r="C324">
        <v>398</v>
      </c>
      <c r="D324">
        <f>IF(cukier10[[#This Row],[nip_klienta]]=B323,D323+cukier10[[#This Row],[sprzedany_cukier]],cukier10[[#This Row],[sprzedany_cukier]])</f>
        <v>24995</v>
      </c>
      <c r="E324" cm="1">
        <f t="array" ref="E3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24">
        <f>cukier10[[#This Row],[sprzedany_cukier]]*cukier10[[#This Row],[rabat]]</f>
        <v>79.600000000000009</v>
      </c>
    </row>
    <row r="325" spans="1:6" x14ac:dyDescent="0.25">
      <c r="A325" s="1">
        <v>41954</v>
      </c>
      <c r="B325" t="s">
        <v>22</v>
      </c>
      <c r="C325">
        <v>178</v>
      </c>
      <c r="D325">
        <f>IF(cukier10[[#This Row],[nip_klienta]]=B324,D324+cukier10[[#This Row],[sprzedany_cukier]],cukier10[[#This Row],[sprzedany_cukier]])</f>
        <v>25173</v>
      </c>
      <c r="E325" cm="1">
        <f t="array" ref="E3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25">
        <f>cukier10[[#This Row],[sprzedany_cukier]]*cukier10[[#This Row],[rabat]]</f>
        <v>35.6</v>
      </c>
    </row>
    <row r="326" spans="1:6" x14ac:dyDescent="0.25">
      <c r="A326" s="1">
        <v>41989</v>
      </c>
      <c r="B326" t="s">
        <v>22</v>
      </c>
      <c r="C326">
        <v>367</v>
      </c>
      <c r="D326">
        <f>IF(cukier10[[#This Row],[nip_klienta]]=B325,D325+cukier10[[#This Row],[sprzedany_cukier]],cukier10[[#This Row],[sprzedany_cukier]])</f>
        <v>25540</v>
      </c>
      <c r="E326" cm="1">
        <f t="array" ref="E3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26">
        <f>cukier10[[#This Row],[sprzedany_cukier]]*cukier10[[#This Row],[rabat]]</f>
        <v>73.400000000000006</v>
      </c>
    </row>
    <row r="327" spans="1:6" x14ac:dyDescent="0.25">
      <c r="A327" s="1">
        <v>41993</v>
      </c>
      <c r="B327" t="s">
        <v>22</v>
      </c>
      <c r="C327">
        <v>485</v>
      </c>
      <c r="D327">
        <f>IF(cukier10[[#This Row],[nip_klienta]]=B326,D326+cukier10[[#This Row],[sprzedany_cukier]],cukier10[[#This Row],[sprzedany_cukier]])</f>
        <v>26025</v>
      </c>
      <c r="E327" cm="1">
        <f t="array" ref="E3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327">
        <f>cukier10[[#This Row],[sprzedany_cukier]]*cukier10[[#This Row],[rabat]]</f>
        <v>97</v>
      </c>
    </row>
    <row r="328" spans="1:6" x14ac:dyDescent="0.25">
      <c r="A328" s="1">
        <v>38568</v>
      </c>
      <c r="B328" t="s">
        <v>67</v>
      </c>
      <c r="C328">
        <v>19</v>
      </c>
      <c r="D328">
        <f>IF(cukier10[[#This Row],[nip_klienta]]=B327,D327+cukier10[[#This Row],[sprzedany_cukier]],cukier10[[#This Row],[sprzedany_cukier]])</f>
        <v>19</v>
      </c>
      <c r="E328" cm="1">
        <f t="array" ref="E3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28">
        <f>cukier10[[#This Row],[sprzedany_cukier]]*cukier10[[#This Row],[rabat]]</f>
        <v>0</v>
      </c>
    </row>
    <row r="329" spans="1:6" x14ac:dyDescent="0.25">
      <c r="A329" s="1">
        <v>41254</v>
      </c>
      <c r="B329" t="s">
        <v>67</v>
      </c>
      <c r="C329">
        <v>12</v>
      </c>
      <c r="D329">
        <f>IF(cukier10[[#This Row],[nip_klienta]]=B328,D328+cukier10[[#This Row],[sprzedany_cukier]],cukier10[[#This Row],[sprzedany_cukier]])</f>
        <v>31</v>
      </c>
      <c r="E329" cm="1">
        <f t="array" ref="E3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29">
        <f>cukier10[[#This Row],[sprzedany_cukier]]*cukier10[[#This Row],[rabat]]</f>
        <v>0</v>
      </c>
    </row>
    <row r="330" spans="1:6" x14ac:dyDescent="0.25">
      <c r="A330" s="1">
        <v>41303</v>
      </c>
      <c r="B330" t="s">
        <v>67</v>
      </c>
      <c r="C330">
        <v>3</v>
      </c>
      <c r="D330">
        <f>IF(cukier10[[#This Row],[nip_klienta]]=B329,D329+cukier10[[#This Row],[sprzedany_cukier]],cukier10[[#This Row],[sprzedany_cukier]])</f>
        <v>34</v>
      </c>
      <c r="E330" cm="1">
        <f t="array" ref="E3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30">
        <f>cukier10[[#This Row],[sprzedany_cukier]]*cukier10[[#This Row],[rabat]]</f>
        <v>0</v>
      </c>
    </row>
    <row r="331" spans="1:6" x14ac:dyDescent="0.25">
      <c r="A331" s="1">
        <v>40258</v>
      </c>
      <c r="B331" t="s">
        <v>209</v>
      </c>
      <c r="C331">
        <v>6</v>
      </c>
      <c r="D331">
        <f>IF(cukier10[[#This Row],[nip_klienta]]=B330,D330+cukier10[[#This Row],[sprzedany_cukier]],cukier10[[#This Row],[sprzedany_cukier]])</f>
        <v>6</v>
      </c>
      <c r="E331" cm="1">
        <f t="array" ref="E3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31">
        <f>cukier10[[#This Row],[sprzedany_cukier]]*cukier10[[#This Row],[rabat]]</f>
        <v>0</v>
      </c>
    </row>
    <row r="332" spans="1:6" x14ac:dyDescent="0.25">
      <c r="A332" s="1">
        <v>40703</v>
      </c>
      <c r="B332" t="s">
        <v>209</v>
      </c>
      <c r="C332">
        <v>6</v>
      </c>
      <c r="D332">
        <f>IF(cukier10[[#This Row],[nip_klienta]]=B331,D331+cukier10[[#This Row],[sprzedany_cukier]],cukier10[[#This Row],[sprzedany_cukier]])</f>
        <v>12</v>
      </c>
      <c r="E332" cm="1">
        <f t="array" ref="E3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32">
        <f>cukier10[[#This Row],[sprzedany_cukier]]*cukier10[[#This Row],[rabat]]</f>
        <v>0</v>
      </c>
    </row>
    <row r="333" spans="1:6" x14ac:dyDescent="0.25">
      <c r="A333" s="1">
        <v>39058</v>
      </c>
      <c r="B333" t="s">
        <v>131</v>
      </c>
      <c r="C333">
        <v>182</v>
      </c>
      <c r="D333">
        <f>IF(cukier10[[#This Row],[nip_klienta]]=B332,D332+cukier10[[#This Row],[sprzedany_cukier]],cukier10[[#This Row],[sprzedany_cukier]])</f>
        <v>182</v>
      </c>
      <c r="E333" cm="1">
        <f t="array" ref="E3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333">
        <f>cukier10[[#This Row],[sprzedany_cukier]]*cukier10[[#This Row],[rabat]]</f>
        <v>9.1</v>
      </c>
    </row>
    <row r="334" spans="1:6" x14ac:dyDescent="0.25">
      <c r="A334" s="1">
        <v>39134</v>
      </c>
      <c r="B334" t="s">
        <v>131</v>
      </c>
      <c r="C334">
        <v>39</v>
      </c>
      <c r="D334">
        <f>IF(cukier10[[#This Row],[nip_klienta]]=B333,D333+cukier10[[#This Row],[sprzedany_cukier]],cukier10[[#This Row],[sprzedany_cukier]])</f>
        <v>221</v>
      </c>
      <c r="E334" cm="1">
        <f t="array" ref="E3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334">
        <f>cukier10[[#This Row],[sprzedany_cukier]]*cukier10[[#This Row],[rabat]]</f>
        <v>1.9500000000000002</v>
      </c>
    </row>
    <row r="335" spans="1:6" x14ac:dyDescent="0.25">
      <c r="A335" s="1">
        <v>39371</v>
      </c>
      <c r="B335" t="s">
        <v>131</v>
      </c>
      <c r="C335">
        <v>60</v>
      </c>
      <c r="D335">
        <f>IF(cukier10[[#This Row],[nip_klienta]]=B334,D334+cukier10[[#This Row],[sprzedany_cukier]],cukier10[[#This Row],[sprzedany_cukier]])</f>
        <v>281</v>
      </c>
      <c r="E335" cm="1">
        <f t="array" ref="E3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335">
        <f>cukier10[[#This Row],[sprzedany_cukier]]*cukier10[[#This Row],[rabat]]</f>
        <v>3</v>
      </c>
    </row>
    <row r="336" spans="1:6" x14ac:dyDescent="0.25">
      <c r="A336" s="1">
        <v>39520</v>
      </c>
      <c r="B336" t="s">
        <v>131</v>
      </c>
      <c r="C336">
        <v>61</v>
      </c>
      <c r="D336">
        <f>IF(cukier10[[#This Row],[nip_klienta]]=B335,D335+cukier10[[#This Row],[sprzedany_cukier]],cukier10[[#This Row],[sprzedany_cukier]])</f>
        <v>342</v>
      </c>
      <c r="E336" cm="1">
        <f t="array" ref="E3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336">
        <f>cukier10[[#This Row],[sprzedany_cukier]]*cukier10[[#This Row],[rabat]]</f>
        <v>3.0500000000000003</v>
      </c>
    </row>
    <row r="337" spans="1:6" x14ac:dyDescent="0.25">
      <c r="A337" s="1">
        <v>39595</v>
      </c>
      <c r="B337" t="s">
        <v>131</v>
      </c>
      <c r="C337">
        <v>21</v>
      </c>
      <c r="D337">
        <f>IF(cukier10[[#This Row],[nip_klienta]]=B336,D336+cukier10[[#This Row],[sprzedany_cukier]],cukier10[[#This Row],[sprzedany_cukier]])</f>
        <v>363</v>
      </c>
      <c r="E337" cm="1">
        <f t="array" ref="E3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337">
        <f>cukier10[[#This Row],[sprzedany_cukier]]*cukier10[[#This Row],[rabat]]</f>
        <v>1.05</v>
      </c>
    </row>
    <row r="338" spans="1:6" x14ac:dyDescent="0.25">
      <c r="A338" s="1">
        <v>40520</v>
      </c>
      <c r="B338" t="s">
        <v>131</v>
      </c>
      <c r="C338">
        <v>183</v>
      </c>
      <c r="D338">
        <f>IF(cukier10[[#This Row],[nip_klienta]]=B337,D337+cukier10[[#This Row],[sprzedany_cukier]],cukier10[[#This Row],[sprzedany_cukier]])</f>
        <v>546</v>
      </c>
      <c r="E338" cm="1">
        <f t="array" ref="E3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338">
        <f>cukier10[[#This Row],[sprzedany_cukier]]*cukier10[[#This Row],[rabat]]</f>
        <v>9.15</v>
      </c>
    </row>
    <row r="339" spans="1:6" x14ac:dyDescent="0.25">
      <c r="A339" s="1">
        <v>41106</v>
      </c>
      <c r="B339" t="s">
        <v>131</v>
      </c>
      <c r="C339">
        <v>90</v>
      </c>
      <c r="D339">
        <f>IF(cukier10[[#This Row],[nip_klienta]]=B338,D338+cukier10[[#This Row],[sprzedany_cukier]],cukier10[[#This Row],[sprzedany_cukier]])</f>
        <v>636</v>
      </c>
      <c r="E339" cm="1">
        <f t="array" ref="E3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339">
        <f>cukier10[[#This Row],[sprzedany_cukier]]*cukier10[[#This Row],[rabat]]</f>
        <v>4.5</v>
      </c>
    </row>
    <row r="340" spans="1:6" x14ac:dyDescent="0.25">
      <c r="A340" s="1">
        <v>41175</v>
      </c>
      <c r="B340" t="s">
        <v>131</v>
      </c>
      <c r="C340">
        <v>102</v>
      </c>
      <c r="D340">
        <f>IF(cukier10[[#This Row],[nip_klienta]]=B339,D339+cukier10[[#This Row],[sprzedany_cukier]],cukier10[[#This Row],[sprzedany_cukier]])</f>
        <v>738</v>
      </c>
      <c r="E340" cm="1">
        <f t="array" ref="E3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340">
        <f>cukier10[[#This Row],[sprzedany_cukier]]*cukier10[[#This Row],[rabat]]</f>
        <v>5.1000000000000005</v>
      </c>
    </row>
    <row r="341" spans="1:6" x14ac:dyDescent="0.25">
      <c r="A341" s="1">
        <v>41314</v>
      </c>
      <c r="B341" t="s">
        <v>131</v>
      </c>
      <c r="C341">
        <v>113</v>
      </c>
      <c r="D341">
        <f>IF(cukier10[[#This Row],[nip_klienta]]=B340,D340+cukier10[[#This Row],[sprzedany_cukier]],cukier10[[#This Row],[sprzedany_cukier]])</f>
        <v>851</v>
      </c>
      <c r="E341" cm="1">
        <f t="array" ref="E3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341">
        <f>cukier10[[#This Row],[sprzedany_cukier]]*cukier10[[#This Row],[rabat]]</f>
        <v>5.65</v>
      </c>
    </row>
    <row r="342" spans="1:6" x14ac:dyDescent="0.25">
      <c r="A342" s="1">
        <v>41441</v>
      </c>
      <c r="B342" t="s">
        <v>131</v>
      </c>
      <c r="C342">
        <v>83</v>
      </c>
      <c r="D342">
        <f>IF(cukier10[[#This Row],[nip_klienta]]=B341,D341+cukier10[[#This Row],[sprzedany_cukier]],cukier10[[#This Row],[sprzedany_cukier]])</f>
        <v>934</v>
      </c>
      <c r="E342" cm="1">
        <f t="array" ref="E3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342">
        <f>cukier10[[#This Row],[sprzedany_cukier]]*cukier10[[#This Row],[rabat]]</f>
        <v>4.1500000000000004</v>
      </c>
    </row>
    <row r="343" spans="1:6" x14ac:dyDescent="0.25">
      <c r="A343" s="1">
        <v>41505</v>
      </c>
      <c r="B343" t="s">
        <v>131</v>
      </c>
      <c r="C343">
        <v>96</v>
      </c>
      <c r="D343">
        <f>IF(cukier10[[#This Row],[nip_klienta]]=B342,D342+cukier10[[#This Row],[sprzedany_cukier]],cukier10[[#This Row],[sprzedany_cukier]])</f>
        <v>1030</v>
      </c>
      <c r="E343" cm="1">
        <f t="array" ref="E3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343">
        <f>cukier10[[#This Row],[sprzedany_cukier]]*cukier10[[#This Row],[rabat]]</f>
        <v>9.6000000000000014</v>
      </c>
    </row>
    <row r="344" spans="1:6" x14ac:dyDescent="0.25">
      <c r="A344" s="1">
        <v>41551</v>
      </c>
      <c r="B344" t="s">
        <v>131</v>
      </c>
      <c r="C344">
        <v>78</v>
      </c>
      <c r="D344">
        <f>IF(cukier10[[#This Row],[nip_klienta]]=B343,D343+cukier10[[#This Row],[sprzedany_cukier]],cukier10[[#This Row],[sprzedany_cukier]])</f>
        <v>1108</v>
      </c>
      <c r="E344" cm="1">
        <f t="array" ref="E3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344">
        <f>cukier10[[#This Row],[sprzedany_cukier]]*cukier10[[#This Row],[rabat]]</f>
        <v>7.8000000000000007</v>
      </c>
    </row>
    <row r="345" spans="1:6" x14ac:dyDescent="0.25">
      <c r="A345" s="1">
        <v>41570</v>
      </c>
      <c r="B345" t="s">
        <v>131</v>
      </c>
      <c r="C345">
        <v>108</v>
      </c>
      <c r="D345">
        <f>IF(cukier10[[#This Row],[nip_klienta]]=B344,D344+cukier10[[#This Row],[sprzedany_cukier]],cukier10[[#This Row],[sprzedany_cukier]])</f>
        <v>1216</v>
      </c>
      <c r="E345" cm="1">
        <f t="array" ref="E3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345">
        <f>cukier10[[#This Row],[sprzedany_cukier]]*cukier10[[#This Row],[rabat]]</f>
        <v>10.8</v>
      </c>
    </row>
    <row r="346" spans="1:6" x14ac:dyDescent="0.25">
      <c r="A346" s="1">
        <v>41585</v>
      </c>
      <c r="B346" t="s">
        <v>131</v>
      </c>
      <c r="C346">
        <v>193</v>
      </c>
      <c r="D346">
        <f>IF(cukier10[[#This Row],[nip_klienta]]=B345,D345+cukier10[[#This Row],[sprzedany_cukier]],cukier10[[#This Row],[sprzedany_cukier]])</f>
        <v>1409</v>
      </c>
      <c r="E346" cm="1">
        <f t="array" ref="E3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346">
        <f>cukier10[[#This Row],[sprzedany_cukier]]*cukier10[[#This Row],[rabat]]</f>
        <v>19.3</v>
      </c>
    </row>
    <row r="347" spans="1:6" x14ac:dyDescent="0.25">
      <c r="A347" s="1">
        <v>41975</v>
      </c>
      <c r="B347" t="s">
        <v>131</v>
      </c>
      <c r="C347">
        <v>94</v>
      </c>
      <c r="D347">
        <f>IF(cukier10[[#This Row],[nip_klienta]]=B346,D346+cukier10[[#This Row],[sprzedany_cukier]],cukier10[[#This Row],[sprzedany_cukier]])</f>
        <v>1503</v>
      </c>
      <c r="E347" cm="1">
        <f t="array" ref="E3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347">
        <f>cukier10[[#This Row],[sprzedany_cukier]]*cukier10[[#This Row],[rabat]]</f>
        <v>9.4</v>
      </c>
    </row>
    <row r="348" spans="1:6" x14ac:dyDescent="0.25">
      <c r="A348" s="1">
        <v>39729</v>
      </c>
      <c r="B348" t="s">
        <v>175</v>
      </c>
      <c r="C348">
        <v>14</v>
      </c>
      <c r="D348">
        <f>IF(cukier10[[#This Row],[nip_klienta]]=B347,D347+cukier10[[#This Row],[sprzedany_cukier]],cukier10[[#This Row],[sprzedany_cukier]])</f>
        <v>14</v>
      </c>
      <c r="E348" cm="1">
        <f t="array" ref="E3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48">
        <f>cukier10[[#This Row],[sprzedany_cukier]]*cukier10[[#This Row],[rabat]]</f>
        <v>0</v>
      </c>
    </row>
    <row r="349" spans="1:6" x14ac:dyDescent="0.25">
      <c r="A349" s="1">
        <v>40318</v>
      </c>
      <c r="B349" t="s">
        <v>175</v>
      </c>
      <c r="C349">
        <v>14</v>
      </c>
      <c r="D349">
        <f>IF(cukier10[[#This Row],[nip_klienta]]=B348,D348+cukier10[[#This Row],[sprzedany_cukier]],cukier10[[#This Row],[sprzedany_cukier]])</f>
        <v>28</v>
      </c>
      <c r="E349" cm="1">
        <f t="array" ref="E3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49">
        <f>cukier10[[#This Row],[sprzedany_cukier]]*cukier10[[#This Row],[rabat]]</f>
        <v>0</v>
      </c>
    </row>
    <row r="350" spans="1:6" x14ac:dyDescent="0.25">
      <c r="A350" s="1">
        <v>41210</v>
      </c>
      <c r="B350" t="s">
        <v>175</v>
      </c>
      <c r="C350">
        <v>14</v>
      </c>
      <c r="D350">
        <f>IF(cukier10[[#This Row],[nip_klienta]]=B349,D349+cukier10[[#This Row],[sprzedany_cukier]],cukier10[[#This Row],[sprzedany_cukier]])</f>
        <v>42</v>
      </c>
      <c r="E350" cm="1">
        <f t="array" ref="E3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50">
        <f>cukier10[[#This Row],[sprzedany_cukier]]*cukier10[[#This Row],[rabat]]</f>
        <v>0</v>
      </c>
    </row>
    <row r="351" spans="1:6" x14ac:dyDescent="0.25">
      <c r="A351" s="1">
        <v>41224</v>
      </c>
      <c r="B351" t="s">
        <v>175</v>
      </c>
      <c r="C351">
        <v>12</v>
      </c>
      <c r="D351">
        <f>IF(cukier10[[#This Row],[nip_klienta]]=B350,D350+cukier10[[#This Row],[sprzedany_cukier]],cukier10[[#This Row],[sprzedany_cukier]])</f>
        <v>54</v>
      </c>
      <c r="E351" cm="1">
        <f t="array" ref="E3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51">
        <f>cukier10[[#This Row],[sprzedany_cukier]]*cukier10[[#This Row],[rabat]]</f>
        <v>0</v>
      </c>
    </row>
    <row r="352" spans="1:6" x14ac:dyDescent="0.25">
      <c r="A352" s="1">
        <v>41708</v>
      </c>
      <c r="B352" t="s">
        <v>175</v>
      </c>
      <c r="C352">
        <v>5</v>
      </c>
      <c r="D352">
        <f>IF(cukier10[[#This Row],[nip_klienta]]=B351,D351+cukier10[[#This Row],[sprzedany_cukier]],cukier10[[#This Row],[sprzedany_cukier]])</f>
        <v>59</v>
      </c>
      <c r="E352" cm="1">
        <f t="array" ref="E3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52">
        <f>cukier10[[#This Row],[sprzedany_cukier]]*cukier10[[#This Row],[rabat]]</f>
        <v>0</v>
      </c>
    </row>
    <row r="353" spans="1:6" x14ac:dyDescent="0.25">
      <c r="A353" s="1">
        <v>38691</v>
      </c>
      <c r="B353" t="s">
        <v>90</v>
      </c>
      <c r="C353">
        <v>16</v>
      </c>
      <c r="D353">
        <f>IF(cukier10[[#This Row],[nip_klienta]]=B352,D352+cukier10[[#This Row],[sprzedany_cukier]],cukier10[[#This Row],[sprzedany_cukier]])</f>
        <v>16</v>
      </c>
      <c r="E353" cm="1">
        <f t="array" ref="E3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53">
        <f>cukier10[[#This Row],[sprzedany_cukier]]*cukier10[[#This Row],[rabat]]</f>
        <v>0</v>
      </c>
    </row>
    <row r="354" spans="1:6" x14ac:dyDescent="0.25">
      <c r="A354" s="1">
        <v>39132</v>
      </c>
      <c r="B354" t="s">
        <v>90</v>
      </c>
      <c r="C354">
        <v>9</v>
      </c>
      <c r="D354">
        <f>IF(cukier10[[#This Row],[nip_klienta]]=B353,D353+cukier10[[#This Row],[sprzedany_cukier]],cukier10[[#This Row],[sprzedany_cukier]])</f>
        <v>25</v>
      </c>
      <c r="E354" cm="1">
        <f t="array" ref="E3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54">
        <f>cukier10[[#This Row],[sprzedany_cukier]]*cukier10[[#This Row],[rabat]]</f>
        <v>0</v>
      </c>
    </row>
    <row r="355" spans="1:6" x14ac:dyDescent="0.25">
      <c r="A355" s="1">
        <v>39307</v>
      </c>
      <c r="B355" t="s">
        <v>90</v>
      </c>
      <c r="C355">
        <v>17</v>
      </c>
      <c r="D355">
        <f>IF(cukier10[[#This Row],[nip_klienta]]=B354,D354+cukier10[[#This Row],[sprzedany_cukier]],cukier10[[#This Row],[sprzedany_cukier]])</f>
        <v>42</v>
      </c>
      <c r="E355" cm="1">
        <f t="array" ref="E3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55">
        <f>cukier10[[#This Row],[sprzedany_cukier]]*cukier10[[#This Row],[rabat]]</f>
        <v>0</v>
      </c>
    </row>
    <row r="356" spans="1:6" x14ac:dyDescent="0.25">
      <c r="A356" s="1">
        <v>39555</v>
      </c>
      <c r="B356" t="s">
        <v>90</v>
      </c>
      <c r="C356">
        <v>18</v>
      </c>
      <c r="D356">
        <f>IF(cukier10[[#This Row],[nip_klienta]]=B355,D355+cukier10[[#This Row],[sprzedany_cukier]],cukier10[[#This Row],[sprzedany_cukier]])</f>
        <v>60</v>
      </c>
      <c r="E356" cm="1">
        <f t="array" ref="E3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56">
        <f>cukier10[[#This Row],[sprzedany_cukier]]*cukier10[[#This Row],[rabat]]</f>
        <v>0</v>
      </c>
    </row>
    <row r="357" spans="1:6" x14ac:dyDescent="0.25">
      <c r="A357" s="1">
        <v>38865</v>
      </c>
      <c r="B357" t="s">
        <v>113</v>
      </c>
      <c r="C357">
        <v>8</v>
      </c>
      <c r="D357">
        <f>IF(cukier10[[#This Row],[nip_klienta]]=B356,D356+cukier10[[#This Row],[sprzedany_cukier]],cukier10[[#This Row],[sprzedany_cukier]])</f>
        <v>8</v>
      </c>
      <c r="E357" cm="1">
        <f t="array" ref="E3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57">
        <f>cukier10[[#This Row],[sprzedany_cukier]]*cukier10[[#This Row],[rabat]]</f>
        <v>0</v>
      </c>
    </row>
    <row r="358" spans="1:6" x14ac:dyDescent="0.25">
      <c r="A358" s="1">
        <v>38954</v>
      </c>
      <c r="B358" t="s">
        <v>113</v>
      </c>
      <c r="C358">
        <v>20</v>
      </c>
      <c r="D358">
        <f>IF(cukier10[[#This Row],[nip_klienta]]=B357,D357+cukier10[[#This Row],[sprzedany_cukier]],cukier10[[#This Row],[sprzedany_cukier]])</f>
        <v>28</v>
      </c>
      <c r="E358" cm="1">
        <f t="array" ref="E3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58">
        <f>cukier10[[#This Row],[sprzedany_cukier]]*cukier10[[#This Row],[rabat]]</f>
        <v>0</v>
      </c>
    </row>
    <row r="359" spans="1:6" x14ac:dyDescent="0.25">
      <c r="A359" s="1">
        <v>40399</v>
      </c>
      <c r="B359" t="s">
        <v>113</v>
      </c>
      <c r="C359">
        <v>18</v>
      </c>
      <c r="D359">
        <f>IF(cukier10[[#This Row],[nip_klienta]]=B358,D358+cukier10[[#This Row],[sprzedany_cukier]],cukier10[[#This Row],[sprzedany_cukier]])</f>
        <v>46</v>
      </c>
      <c r="E359" cm="1">
        <f t="array" ref="E3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59">
        <f>cukier10[[#This Row],[sprzedany_cukier]]*cukier10[[#This Row],[rabat]]</f>
        <v>0</v>
      </c>
    </row>
    <row r="360" spans="1:6" x14ac:dyDescent="0.25">
      <c r="A360" s="1">
        <v>41806</v>
      </c>
      <c r="B360" t="s">
        <v>113</v>
      </c>
      <c r="C360">
        <v>1</v>
      </c>
      <c r="D360">
        <f>IF(cukier10[[#This Row],[nip_klienta]]=B359,D359+cukier10[[#This Row],[sprzedany_cukier]],cukier10[[#This Row],[sprzedany_cukier]])</f>
        <v>47</v>
      </c>
      <c r="E360" cm="1">
        <f t="array" ref="E3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60">
        <f>cukier10[[#This Row],[sprzedany_cukier]]*cukier10[[#This Row],[rabat]]</f>
        <v>0</v>
      </c>
    </row>
    <row r="361" spans="1:6" x14ac:dyDescent="0.25">
      <c r="A361" s="1">
        <v>41978</v>
      </c>
      <c r="B361" t="s">
        <v>113</v>
      </c>
      <c r="C361">
        <v>16</v>
      </c>
      <c r="D361">
        <f>IF(cukier10[[#This Row],[nip_klienta]]=B360,D360+cukier10[[#This Row],[sprzedany_cukier]],cukier10[[#This Row],[sprzedany_cukier]])</f>
        <v>63</v>
      </c>
      <c r="E361" cm="1">
        <f t="array" ref="E3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61">
        <f>cukier10[[#This Row],[sprzedany_cukier]]*cukier10[[#This Row],[rabat]]</f>
        <v>0</v>
      </c>
    </row>
    <row r="362" spans="1:6" x14ac:dyDescent="0.25">
      <c r="A362" s="1">
        <v>39459</v>
      </c>
      <c r="B362" t="s">
        <v>152</v>
      </c>
      <c r="C362">
        <v>4</v>
      </c>
      <c r="D362">
        <f>IF(cukier10[[#This Row],[nip_klienta]]=B361,D361+cukier10[[#This Row],[sprzedany_cukier]],cukier10[[#This Row],[sprzedany_cukier]])</f>
        <v>4</v>
      </c>
      <c r="E362" cm="1">
        <f t="array" ref="E3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62">
        <f>cukier10[[#This Row],[sprzedany_cukier]]*cukier10[[#This Row],[rabat]]</f>
        <v>0</v>
      </c>
    </row>
    <row r="363" spans="1:6" x14ac:dyDescent="0.25">
      <c r="A363" s="1">
        <v>39937</v>
      </c>
      <c r="B363" t="s">
        <v>152</v>
      </c>
      <c r="C363">
        <v>8</v>
      </c>
      <c r="D363">
        <f>IF(cukier10[[#This Row],[nip_klienta]]=B362,D362+cukier10[[#This Row],[sprzedany_cukier]],cukier10[[#This Row],[sprzedany_cukier]])</f>
        <v>12</v>
      </c>
      <c r="E363" cm="1">
        <f t="array" ref="E3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63">
        <f>cukier10[[#This Row],[sprzedany_cukier]]*cukier10[[#This Row],[rabat]]</f>
        <v>0</v>
      </c>
    </row>
    <row r="364" spans="1:6" x14ac:dyDescent="0.25">
      <c r="A364" s="1">
        <v>40198</v>
      </c>
      <c r="B364" t="s">
        <v>152</v>
      </c>
      <c r="C364">
        <v>9</v>
      </c>
      <c r="D364">
        <f>IF(cukier10[[#This Row],[nip_klienta]]=B363,D363+cukier10[[#This Row],[sprzedany_cukier]],cukier10[[#This Row],[sprzedany_cukier]])</f>
        <v>21</v>
      </c>
      <c r="E364" cm="1">
        <f t="array" ref="E3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64">
        <f>cukier10[[#This Row],[sprzedany_cukier]]*cukier10[[#This Row],[rabat]]</f>
        <v>0</v>
      </c>
    </row>
    <row r="365" spans="1:6" x14ac:dyDescent="0.25">
      <c r="A365" s="1">
        <v>40802</v>
      </c>
      <c r="B365" t="s">
        <v>152</v>
      </c>
      <c r="C365">
        <v>11</v>
      </c>
      <c r="D365">
        <f>IF(cukier10[[#This Row],[nip_klienta]]=B364,D364+cukier10[[#This Row],[sprzedany_cukier]],cukier10[[#This Row],[sprzedany_cukier]])</f>
        <v>32</v>
      </c>
      <c r="E365" cm="1">
        <f t="array" ref="E3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65">
        <f>cukier10[[#This Row],[sprzedany_cukier]]*cukier10[[#This Row],[rabat]]</f>
        <v>0</v>
      </c>
    </row>
    <row r="366" spans="1:6" x14ac:dyDescent="0.25">
      <c r="A366" s="1">
        <v>40903</v>
      </c>
      <c r="B366" t="s">
        <v>152</v>
      </c>
      <c r="C366">
        <v>4</v>
      </c>
      <c r="D366">
        <f>IF(cukier10[[#This Row],[nip_klienta]]=B365,D365+cukier10[[#This Row],[sprzedany_cukier]],cukier10[[#This Row],[sprzedany_cukier]])</f>
        <v>36</v>
      </c>
      <c r="E366" cm="1">
        <f t="array" ref="E3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66">
        <f>cukier10[[#This Row],[sprzedany_cukier]]*cukier10[[#This Row],[rabat]]</f>
        <v>0</v>
      </c>
    </row>
    <row r="367" spans="1:6" x14ac:dyDescent="0.25">
      <c r="A367" s="1">
        <v>38828</v>
      </c>
      <c r="B367" t="s">
        <v>105</v>
      </c>
      <c r="C367">
        <v>19</v>
      </c>
      <c r="D367">
        <f>IF(cukier10[[#This Row],[nip_klienta]]=B366,D366+cukier10[[#This Row],[sprzedany_cukier]],cukier10[[#This Row],[sprzedany_cukier]])</f>
        <v>19</v>
      </c>
      <c r="E367" cm="1">
        <f t="array" ref="E3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67">
        <f>cukier10[[#This Row],[sprzedany_cukier]]*cukier10[[#This Row],[rabat]]</f>
        <v>0</v>
      </c>
    </row>
    <row r="368" spans="1:6" x14ac:dyDescent="0.25">
      <c r="A368" s="1">
        <v>38954</v>
      </c>
      <c r="B368" t="s">
        <v>105</v>
      </c>
      <c r="C368">
        <v>10</v>
      </c>
      <c r="D368">
        <f>IF(cukier10[[#This Row],[nip_klienta]]=B367,D367+cukier10[[#This Row],[sprzedany_cukier]],cukier10[[#This Row],[sprzedany_cukier]])</f>
        <v>29</v>
      </c>
      <c r="E368" cm="1">
        <f t="array" ref="E3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68">
        <f>cukier10[[#This Row],[sprzedany_cukier]]*cukier10[[#This Row],[rabat]]</f>
        <v>0</v>
      </c>
    </row>
    <row r="369" spans="1:6" x14ac:dyDescent="0.25">
      <c r="A369" s="1">
        <v>39078</v>
      </c>
      <c r="B369" t="s">
        <v>105</v>
      </c>
      <c r="C369">
        <v>15</v>
      </c>
      <c r="D369">
        <f>IF(cukier10[[#This Row],[nip_klienta]]=B368,D368+cukier10[[#This Row],[sprzedany_cukier]],cukier10[[#This Row],[sprzedany_cukier]])</f>
        <v>44</v>
      </c>
      <c r="E369" cm="1">
        <f t="array" ref="E3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69">
        <f>cukier10[[#This Row],[sprzedany_cukier]]*cukier10[[#This Row],[rabat]]</f>
        <v>0</v>
      </c>
    </row>
    <row r="370" spans="1:6" x14ac:dyDescent="0.25">
      <c r="A370" s="1">
        <v>39664</v>
      </c>
      <c r="B370" t="s">
        <v>105</v>
      </c>
      <c r="C370">
        <v>15</v>
      </c>
      <c r="D370">
        <f>IF(cukier10[[#This Row],[nip_klienta]]=B369,D369+cukier10[[#This Row],[sprzedany_cukier]],cukier10[[#This Row],[sprzedany_cukier]])</f>
        <v>59</v>
      </c>
      <c r="E370" cm="1">
        <f t="array" ref="E3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70">
        <f>cukier10[[#This Row],[sprzedany_cukier]]*cukier10[[#This Row],[rabat]]</f>
        <v>0</v>
      </c>
    </row>
    <row r="371" spans="1:6" x14ac:dyDescent="0.25">
      <c r="A371" s="1">
        <v>41690</v>
      </c>
      <c r="B371" t="s">
        <v>105</v>
      </c>
      <c r="C371">
        <v>20</v>
      </c>
      <c r="D371">
        <f>IF(cukier10[[#This Row],[nip_klienta]]=B370,D370+cukier10[[#This Row],[sprzedany_cukier]],cukier10[[#This Row],[sprzedany_cukier]])</f>
        <v>79</v>
      </c>
      <c r="E371" cm="1">
        <f t="array" ref="E3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71">
        <f>cukier10[[#This Row],[sprzedany_cukier]]*cukier10[[#This Row],[rabat]]</f>
        <v>0</v>
      </c>
    </row>
    <row r="372" spans="1:6" x14ac:dyDescent="0.25">
      <c r="A372" s="1">
        <v>40405</v>
      </c>
      <c r="B372" t="s">
        <v>214</v>
      </c>
      <c r="C372">
        <v>16</v>
      </c>
      <c r="D372">
        <f>IF(cukier10[[#This Row],[nip_klienta]]=B371,D371+cukier10[[#This Row],[sprzedany_cukier]],cukier10[[#This Row],[sprzedany_cukier]])</f>
        <v>16</v>
      </c>
      <c r="E372" cm="1">
        <f t="array" ref="E3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72">
        <f>cukier10[[#This Row],[sprzedany_cukier]]*cukier10[[#This Row],[rabat]]</f>
        <v>0</v>
      </c>
    </row>
    <row r="373" spans="1:6" x14ac:dyDescent="0.25">
      <c r="A373" s="1">
        <v>39873</v>
      </c>
      <c r="B373" t="s">
        <v>183</v>
      </c>
      <c r="C373">
        <v>20</v>
      </c>
      <c r="D373">
        <f>IF(cukier10[[#This Row],[nip_klienta]]=B372,D372+cukier10[[#This Row],[sprzedany_cukier]],cukier10[[#This Row],[sprzedany_cukier]])</f>
        <v>20</v>
      </c>
      <c r="E373" cm="1">
        <f t="array" ref="E3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73">
        <f>cukier10[[#This Row],[sprzedany_cukier]]*cukier10[[#This Row],[rabat]]</f>
        <v>0</v>
      </c>
    </row>
    <row r="374" spans="1:6" x14ac:dyDescent="0.25">
      <c r="A374" s="1">
        <v>40000</v>
      </c>
      <c r="B374" t="s">
        <v>183</v>
      </c>
      <c r="C374">
        <v>12</v>
      </c>
      <c r="D374">
        <f>IF(cukier10[[#This Row],[nip_klienta]]=B373,D373+cukier10[[#This Row],[sprzedany_cukier]],cukier10[[#This Row],[sprzedany_cukier]])</f>
        <v>32</v>
      </c>
      <c r="E374" cm="1">
        <f t="array" ref="E3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74">
        <f>cukier10[[#This Row],[sprzedany_cukier]]*cukier10[[#This Row],[rabat]]</f>
        <v>0</v>
      </c>
    </row>
    <row r="375" spans="1:6" x14ac:dyDescent="0.25">
      <c r="A375" s="1">
        <v>38456</v>
      </c>
      <c r="B375" t="s">
        <v>36</v>
      </c>
      <c r="C375">
        <v>12</v>
      </c>
      <c r="D375">
        <f>IF(cukier10[[#This Row],[nip_klienta]]=B374,D374+cukier10[[#This Row],[sprzedany_cukier]],cukier10[[#This Row],[sprzedany_cukier]])</f>
        <v>12</v>
      </c>
      <c r="E375" cm="1">
        <f t="array" ref="E3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75">
        <f>cukier10[[#This Row],[sprzedany_cukier]]*cukier10[[#This Row],[rabat]]</f>
        <v>0</v>
      </c>
    </row>
    <row r="376" spans="1:6" x14ac:dyDescent="0.25">
      <c r="A376" s="1">
        <v>38768</v>
      </c>
      <c r="B376" t="s">
        <v>36</v>
      </c>
      <c r="C376">
        <v>14</v>
      </c>
      <c r="D376">
        <f>IF(cukier10[[#This Row],[nip_klienta]]=B375,D375+cukier10[[#This Row],[sprzedany_cukier]],cukier10[[#This Row],[sprzedany_cukier]])</f>
        <v>26</v>
      </c>
      <c r="E376" cm="1">
        <f t="array" ref="E3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76">
        <f>cukier10[[#This Row],[sprzedany_cukier]]*cukier10[[#This Row],[rabat]]</f>
        <v>0</v>
      </c>
    </row>
    <row r="377" spans="1:6" x14ac:dyDescent="0.25">
      <c r="A377" s="1">
        <v>39722</v>
      </c>
      <c r="B377" t="s">
        <v>36</v>
      </c>
      <c r="C377">
        <v>8</v>
      </c>
      <c r="D377">
        <f>IF(cukier10[[#This Row],[nip_klienta]]=B376,D376+cukier10[[#This Row],[sprzedany_cukier]],cukier10[[#This Row],[sprzedany_cukier]])</f>
        <v>34</v>
      </c>
      <c r="E377" cm="1">
        <f t="array" ref="E3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77">
        <f>cukier10[[#This Row],[sprzedany_cukier]]*cukier10[[#This Row],[rabat]]</f>
        <v>0</v>
      </c>
    </row>
    <row r="378" spans="1:6" x14ac:dyDescent="0.25">
      <c r="A378" s="1">
        <v>40446</v>
      </c>
      <c r="B378" t="s">
        <v>36</v>
      </c>
      <c r="C378">
        <v>7</v>
      </c>
      <c r="D378">
        <f>IF(cukier10[[#This Row],[nip_klienta]]=B377,D377+cukier10[[#This Row],[sprzedany_cukier]],cukier10[[#This Row],[sprzedany_cukier]])</f>
        <v>41</v>
      </c>
      <c r="E378" cm="1">
        <f t="array" ref="E3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78">
        <f>cukier10[[#This Row],[sprzedany_cukier]]*cukier10[[#This Row],[rabat]]</f>
        <v>0</v>
      </c>
    </row>
    <row r="379" spans="1:6" x14ac:dyDescent="0.25">
      <c r="A379" s="1">
        <v>41026</v>
      </c>
      <c r="B379" t="s">
        <v>36</v>
      </c>
      <c r="C379">
        <v>7</v>
      </c>
      <c r="D379">
        <f>IF(cukier10[[#This Row],[nip_klienta]]=B378,D378+cukier10[[#This Row],[sprzedany_cukier]],cukier10[[#This Row],[sprzedany_cukier]])</f>
        <v>48</v>
      </c>
      <c r="E379" cm="1">
        <f t="array" ref="E3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79">
        <f>cukier10[[#This Row],[sprzedany_cukier]]*cukier10[[#This Row],[rabat]]</f>
        <v>0</v>
      </c>
    </row>
    <row r="380" spans="1:6" x14ac:dyDescent="0.25">
      <c r="A380" s="1">
        <v>39490</v>
      </c>
      <c r="B380" t="s">
        <v>155</v>
      </c>
      <c r="C380">
        <v>11</v>
      </c>
      <c r="D380">
        <f>IF(cukier10[[#This Row],[nip_klienta]]=B379,D379+cukier10[[#This Row],[sprzedany_cukier]],cukier10[[#This Row],[sprzedany_cukier]])</f>
        <v>11</v>
      </c>
      <c r="E380" cm="1">
        <f t="array" ref="E3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80">
        <f>cukier10[[#This Row],[sprzedany_cukier]]*cukier10[[#This Row],[rabat]]</f>
        <v>0</v>
      </c>
    </row>
    <row r="381" spans="1:6" x14ac:dyDescent="0.25">
      <c r="A381" s="1">
        <v>40007</v>
      </c>
      <c r="B381" t="s">
        <v>155</v>
      </c>
      <c r="C381">
        <v>4</v>
      </c>
      <c r="D381">
        <f>IF(cukier10[[#This Row],[nip_klienta]]=B380,D380+cukier10[[#This Row],[sprzedany_cukier]],cukier10[[#This Row],[sprzedany_cukier]])</f>
        <v>15</v>
      </c>
      <c r="E381" cm="1">
        <f t="array" ref="E3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81">
        <f>cukier10[[#This Row],[sprzedany_cukier]]*cukier10[[#This Row],[rabat]]</f>
        <v>0</v>
      </c>
    </row>
    <row r="382" spans="1:6" x14ac:dyDescent="0.25">
      <c r="A382" s="1">
        <v>40153</v>
      </c>
      <c r="B382" t="s">
        <v>155</v>
      </c>
      <c r="C382">
        <v>19</v>
      </c>
      <c r="D382">
        <f>IF(cukier10[[#This Row],[nip_klienta]]=B381,D381+cukier10[[#This Row],[sprzedany_cukier]],cukier10[[#This Row],[sprzedany_cukier]])</f>
        <v>34</v>
      </c>
      <c r="E382" cm="1">
        <f t="array" ref="E3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82">
        <f>cukier10[[#This Row],[sprzedany_cukier]]*cukier10[[#This Row],[rabat]]</f>
        <v>0</v>
      </c>
    </row>
    <row r="383" spans="1:6" x14ac:dyDescent="0.25">
      <c r="A383" s="1">
        <v>40755</v>
      </c>
      <c r="B383" t="s">
        <v>155</v>
      </c>
      <c r="C383">
        <v>16</v>
      </c>
      <c r="D383">
        <f>IF(cukier10[[#This Row],[nip_klienta]]=B382,D382+cukier10[[#This Row],[sprzedany_cukier]],cukier10[[#This Row],[sprzedany_cukier]])</f>
        <v>50</v>
      </c>
      <c r="E383" cm="1">
        <f t="array" ref="E3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83">
        <f>cukier10[[#This Row],[sprzedany_cukier]]*cukier10[[#This Row],[rabat]]</f>
        <v>0</v>
      </c>
    </row>
    <row r="384" spans="1:6" x14ac:dyDescent="0.25">
      <c r="A384" s="1">
        <v>40800</v>
      </c>
      <c r="B384" t="s">
        <v>155</v>
      </c>
      <c r="C384">
        <v>10</v>
      </c>
      <c r="D384">
        <f>IF(cukier10[[#This Row],[nip_klienta]]=B383,D383+cukier10[[#This Row],[sprzedany_cukier]],cukier10[[#This Row],[sprzedany_cukier]])</f>
        <v>60</v>
      </c>
      <c r="E384" cm="1">
        <f t="array" ref="E3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84">
        <f>cukier10[[#This Row],[sprzedany_cukier]]*cukier10[[#This Row],[rabat]]</f>
        <v>0</v>
      </c>
    </row>
    <row r="385" spans="1:6" x14ac:dyDescent="0.25">
      <c r="A385" s="1">
        <v>38908</v>
      </c>
      <c r="B385" t="s">
        <v>118</v>
      </c>
      <c r="C385">
        <v>20</v>
      </c>
      <c r="D385">
        <f>IF(cukier10[[#This Row],[nip_klienta]]=B384,D384+cukier10[[#This Row],[sprzedany_cukier]],cukier10[[#This Row],[sprzedany_cukier]])</f>
        <v>20</v>
      </c>
      <c r="E385" cm="1">
        <f t="array" ref="E3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85">
        <f>cukier10[[#This Row],[sprzedany_cukier]]*cukier10[[#This Row],[rabat]]</f>
        <v>0</v>
      </c>
    </row>
    <row r="386" spans="1:6" x14ac:dyDescent="0.25">
      <c r="A386" s="1">
        <v>40290</v>
      </c>
      <c r="B386" t="s">
        <v>118</v>
      </c>
      <c r="C386">
        <v>19</v>
      </c>
      <c r="D386">
        <f>IF(cukier10[[#This Row],[nip_klienta]]=B385,D385+cukier10[[#This Row],[sprzedany_cukier]],cukier10[[#This Row],[sprzedany_cukier]])</f>
        <v>39</v>
      </c>
      <c r="E386" cm="1">
        <f t="array" ref="E3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86">
        <f>cukier10[[#This Row],[sprzedany_cukier]]*cukier10[[#This Row],[rabat]]</f>
        <v>0</v>
      </c>
    </row>
    <row r="387" spans="1:6" x14ac:dyDescent="0.25">
      <c r="A387" s="1">
        <v>40647</v>
      </c>
      <c r="B387" t="s">
        <v>118</v>
      </c>
      <c r="C387">
        <v>14</v>
      </c>
      <c r="D387">
        <f>IF(cukier10[[#This Row],[nip_klienta]]=B386,D386+cukier10[[#This Row],[sprzedany_cukier]],cukier10[[#This Row],[sprzedany_cukier]])</f>
        <v>53</v>
      </c>
      <c r="E387" cm="1">
        <f t="array" ref="E3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87">
        <f>cukier10[[#This Row],[sprzedany_cukier]]*cukier10[[#This Row],[rabat]]</f>
        <v>0</v>
      </c>
    </row>
    <row r="388" spans="1:6" x14ac:dyDescent="0.25">
      <c r="A388" s="1">
        <v>40881</v>
      </c>
      <c r="B388" t="s">
        <v>118</v>
      </c>
      <c r="C388">
        <v>5</v>
      </c>
      <c r="D388">
        <f>IF(cukier10[[#This Row],[nip_klienta]]=B387,D387+cukier10[[#This Row],[sprzedany_cukier]],cukier10[[#This Row],[sprzedany_cukier]])</f>
        <v>58</v>
      </c>
      <c r="E388" cm="1">
        <f t="array" ref="E3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88">
        <f>cukier10[[#This Row],[sprzedany_cukier]]*cukier10[[#This Row],[rabat]]</f>
        <v>0</v>
      </c>
    </row>
    <row r="389" spans="1:6" x14ac:dyDescent="0.25">
      <c r="A389" s="1">
        <v>41631</v>
      </c>
      <c r="B389" t="s">
        <v>118</v>
      </c>
      <c r="C389">
        <v>11</v>
      </c>
      <c r="D389">
        <f>IF(cukier10[[#This Row],[nip_klienta]]=B388,D388+cukier10[[#This Row],[sprzedany_cukier]],cukier10[[#This Row],[sprzedany_cukier]])</f>
        <v>69</v>
      </c>
      <c r="E389" cm="1">
        <f t="array" ref="E3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89">
        <f>cukier10[[#This Row],[sprzedany_cukier]]*cukier10[[#This Row],[rabat]]</f>
        <v>0</v>
      </c>
    </row>
    <row r="390" spans="1:6" x14ac:dyDescent="0.25">
      <c r="A390" s="1">
        <v>40286</v>
      </c>
      <c r="B390" t="s">
        <v>210</v>
      </c>
      <c r="C390">
        <v>2</v>
      </c>
      <c r="D390">
        <f>IF(cukier10[[#This Row],[nip_klienta]]=B389,D389+cukier10[[#This Row],[sprzedany_cukier]],cukier10[[#This Row],[sprzedany_cukier]])</f>
        <v>2</v>
      </c>
      <c r="E390" cm="1">
        <f t="array" ref="E3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90">
        <f>cukier10[[#This Row],[sprzedany_cukier]]*cukier10[[#This Row],[rabat]]</f>
        <v>0</v>
      </c>
    </row>
    <row r="391" spans="1:6" x14ac:dyDescent="0.25">
      <c r="A391" s="1">
        <v>41536</v>
      </c>
      <c r="B391" t="s">
        <v>210</v>
      </c>
      <c r="C391">
        <v>17</v>
      </c>
      <c r="D391">
        <f>IF(cukier10[[#This Row],[nip_klienta]]=B390,D390+cukier10[[#This Row],[sprzedany_cukier]],cukier10[[#This Row],[sprzedany_cukier]])</f>
        <v>19</v>
      </c>
      <c r="E391" cm="1">
        <f t="array" ref="E3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91">
        <f>cukier10[[#This Row],[sprzedany_cukier]]*cukier10[[#This Row],[rabat]]</f>
        <v>0</v>
      </c>
    </row>
    <row r="392" spans="1:6" x14ac:dyDescent="0.25">
      <c r="A392" s="1">
        <v>41581</v>
      </c>
      <c r="B392" t="s">
        <v>210</v>
      </c>
      <c r="C392">
        <v>14</v>
      </c>
      <c r="D392">
        <f>IF(cukier10[[#This Row],[nip_klienta]]=B391,D391+cukier10[[#This Row],[sprzedany_cukier]],cukier10[[#This Row],[sprzedany_cukier]])</f>
        <v>33</v>
      </c>
      <c r="E392" cm="1">
        <f t="array" ref="E3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92">
        <f>cukier10[[#This Row],[sprzedany_cukier]]*cukier10[[#This Row],[rabat]]</f>
        <v>0</v>
      </c>
    </row>
    <row r="393" spans="1:6" x14ac:dyDescent="0.25">
      <c r="A393" s="1">
        <v>39470</v>
      </c>
      <c r="B393" t="s">
        <v>153</v>
      </c>
      <c r="C393">
        <v>5</v>
      </c>
      <c r="D393">
        <f>IF(cukier10[[#This Row],[nip_klienta]]=B392,D392+cukier10[[#This Row],[sprzedany_cukier]],cukier10[[#This Row],[sprzedany_cukier]])</f>
        <v>5</v>
      </c>
      <c r="E393" cm="1">
        <f t="array" ref="E3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93">
        <f>cukier10[[#This Row],[sprzedany_cukier]]*cukier10[[#This Row],[rabat]]</f>
        <v>0</v>
      </c>
    </row>
    <row r="394" spans="1:6" x14ac:dyDescent="0.25">
      <c r="A394" s="1">
        <v>40155</v>
      </c>
      <c r="B394" t="s">
        <v>153</v>
      </c>
      <c r="C394">
        <v>16</v>
      </c>
      <c r="D394">
        <f>IF(cukier10[[#This Row],[nip_klienta]]=B393,D393+cukier10[[#This Row],[sprzedany_cukier]],cukier10[[#This Row],[sprzedany_cukier]])</f>
        <v>21</v>
      </c>
      <c r="E394" cm="1">
        <f t="array" ref="E3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94">
        <f>cukier10[[#This Row],[sprzedany_cukier]]*cukier10[[#This Row],[rabat]]</f>
        <v>0</v>
      </c>
    </row>
    <row r="395" spans="1:6" x14ac:dyDescent="0.25">
      <c r="A395" s="1">
        <v>40626</v>
      </c>
      <c r="B395" t="s">
        <v>153</v>
      </c>
      <c r="C395">
        <v>8</v>
      </c>
      <c r="D395">
        <f>IF(cukier10[[#This Row],[nip_klienta]]=B394,D394+cukier10[[#This Row],[sprzedany_cukier]],cukier10[[#This Row],[sprzedany_cukier]])</f>
        <v>29</v>
      </c>
      <c r="E395" cm="1">
        <f t="array" ref="E3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95">
        <f>cukier10[[#This Row],[sprzedany_cukier]]*cukier10[[#This Row],[rabat]]</f>
        <v>0</v>
      </c>
    </row>
    <row r="396" spans="1:6" x14ac:dyDescent="0.25">
      <c r="A396" s="1">
        <v>41380</v>
      </c>
      <c r="B396" t="s">
        <v>153</v>
      </c>
      <c r="C396">
        <v>15</v>
      </c>
      <c r="D396">
        <f>IF(cukier10[[#This Row],[nip_klienta]]=B395,D395+cukier10[[#This Row],[sprzedany_cukier]],cukier10[[#This Row],[sprzedany_cukier]])</f>
        <v>44</v>
      </c>
      <c r="E396" cm="1">
        <f t="array" ref="E3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96">
        <f>cukier10[[#This Row],[sprzedany_cukier]]*cukier10[[#This Row],[rabat]]</f>
        <v>0</v>
      </c>
    </row>
    <row r="397" spans="1:6" x14ac:dyDescent="0.25">
      <c r="A397" s="1">
        <v>40160</v>
      </c>
      <c r="B397" t="s">
        <v>202</v>
      </c>
      <c r="C397">
        <v>11</v>
      </c>
      <c r="D397">
        <f>IF(cukier10[[#This Row],[nip_klienta]]=B396,D396+cukier10[[#This Row],[sprzedany_cukier]],cukier10[[#This Row],[sprzedany_cukier]])</f>
        <v>11</v>
      </c>
      <c r="E397" cm="1">
        <f t="array" ref="E3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97">
        <f>cukier10[[#This Row],[sprzedany_cukier]]*cukier10[[#This Row],[rabat]]</f>
        <v>0</v>
      </c>
    </row>
    <row r="398" spans="1:6" x14ac:dyDescent="0.25">
      <c r="A398" s="1">
        <v>39524</v>
      </c>
      <c r="B398" t="s">
        <v>163</v>
      </c>
      <c r="C398">
        <v>10</v>
      </c>
      <c r="D398">
        <f>IF(cukier10[[#This Row],[nip_klienta]]=B397,D397+cukier10[[#This Row],[sprzedany_cukier]],cukier10[[#This Row],[sprzedany_cukier]])</f>
        <v>10</v>
      </c>
      <c r="E398" cm="1">
        <f t="array" ref="E3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98">
        <f>cukier10[[#This Row],[sprzedany_cukier]]*cukier10[[#This Row],[rabat]]</f>
        <v>0</v>
      </c>
    </row>
    <row r="399" spans="1:6" x14ac:dyDescent="0.25">
      <c r="A399" s="1">
        <v>40676</v>
      </c>
      <c r="B399" t="s">
        <v>163</v>
      </c>
      <c r="C399">
        <v>3</v>
      </c>
      <c r="D399">
        <f>IF(cukier10[[#This Row],[nip_klienta]]=B398,D398+cukier10[[#This Row],[sprzedany_cukier]],cukier10[[#This Row],[sprzedany_cukier]])</f>
        <v>13</v>
      </c>
      <c r="E399" cm="1">
        <f t="array" ref="E3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399">
        <f>cukier10[[#This Row],[sprzedany_cukier]]*cukier10[[#This Row],[rabat]]</f>
        <v>0</v>
      </c>
    </row>
    <row r="400" spans="1:6" x14ac:dyDescent="0.25">
      <c r="A400" s="1">
        <v>40802</v>
      </c>
      <c r="B400" t="s">
        <v>163</v>
      </c>
      <c r="C400">
        <v>12</v>
      </c>
      <c r="D400">
        <f>IF(cukier10[[#This Row],[nip_klienta]]=B399,D399+cukier10[[#This Row],[sprzedany_cukier]],cukier10[[#This Row],[sprzedany_cukier]])</f>
        <v>25</v>
      </c>
      <c r="E400" cm="1">
        <f t="array" ref="E4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400">
        <f>cukier10[[#This Row],[sprzedany_cukier]]*cukier10[[#This Row],[rabat]]</f>
        <v>0</v>
      </c>
    </row>
    <row r="401" spans="1:6" x14ac:dyDescent="0.25">
      <c r="A401" s="1">
        <v>39284</v>
      </c>
      <c r="B401" t="s">
        <v>146</v>
      </c>
      <c r="C401">
        <v>14</v>
      </c>
      <c r="D401">
        <f>IF(cukier10[[#This Row],[nip_klienta]]=B400,D400+cukier10[[#This Row],[sprzedany_cukier]],cukier10[[#This Row],[sprzedany_cukier]])</f>
        <v>14</v>
      </c>
      <c r="E401" cm="1">
        <f t="array" ref="E4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401">
        <f>cukier10[[#This Row],[sprzedany_cukier]]*cukier10[[#This Row],[rabat]]</f>
        <v>0</v>
      </c>
    </row>
    <row r="402" spans="1:6" x14ac:dyDescent="0.25">
      <c r="A402" s="1">
        <v>39871</v>
      </c>
      <c r="B402" t="s">
        <v>146</v>
      </c>
      <c r="C402">
        <v>13</v>
      </c>
      <c r="D402">
        <f>IF(cukier10[[#This Row],[nip_klienta]]=B401,D401+cukier10[[#This Row],[sprzedany_cukier]],cukier10[[#This Row],[sprzedany_cukier]])</f>
        <v>27</v>
      </c>
      <c r="E402" cm="1">
        <f t="array" ref="E4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402">
        <f>cukier10[[#This Row],[sprzedany_cukier]]*cukier10[[#This Row],[rabat]]</f>
        <v>0</v>
      </c>
    </row>
    <row r="403" spans="1:6" x14ac:dyDescent="0.25">
      <c r="A403" s="1">
        <v>40513</v>
      </c>
      <c r="B403" t="s">
        <v>146</v>
      </c>
      <c r="C403">
        <v>5</v>
      </c>
      <c r="D403">
        <f>IF(cukier10[[#This Row],[nip_klienta]]=B402,D402+cukier10[[#This Row],[sprzedany_cukier]],cukier10[[#This Row],[sprzedany_cukier]])</f>
        <v>32</v>
      </c>
      <c r="E403" cm="1">
        <f t="array" ref="E4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403">
        <f>cukier10[[#This Row],[sprzedany_cukier]]*cukier10[[#This Row],[rabat]]</f>
        <v>0</v>
      </c>
    </row>
    <row r="404" spans="1:6" x14ac:dyDescent="0.25">
      <c r="A404" s="1">
        <v>41904</v>
      </c>
      <c r="B404" t="s">
        <v>146</v>
      </c>
      <c r="C404">
        <v>18</v>
      </c>
      <c r="D404">
        <f>IF(cukier10[[#This Row],[nip_klienta]]=B403,D403+cukier10[[#This Row],[sprzedany_cukier]],cukier10[[#This Row],[sprzedany_cukier]])</f>
        <v>50</v>
      </c>
      <c r="E404" cm="1">
        <f t="array" ref="E4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404">
        <f>cukier10[[#This Row],[sprzedany_cukier]]*cukier10[[#This Row],[rabat]]</f>
        <v>0</v>
      </c>
    </row>
    <row r="405" spans="1:6" x14ac:dyDescent="0.25">
      <c r="A405" s="1">
        <v>38458</v>
      </c>
      <c r="B405" t="s">
        <v>38</v>
      </c>
      <c r="C405">
        <v>3</v>
      </c>
      <c r="D405">
        <f>IF(cukier10[[#This Row],[nip_klienta]]=B404,D404+cukier10[[#This Row],[sprzedany_cukier]],cukier10[[#This Row],[sprzedany_cukier]])</f>
        <v>3</v>
      </c>
      <c r="E405" cm="1">
        <f t="array" ref="E4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405">
        <f>cukier10[[#This Row],[sprzedany_cukier]]*cukier10[[#This Row],[rabat]]</f>
        <v>0</v>
      </c>
    </row>
    <row r="406" spans="1:6" x14ac:dyDescent="0.25">
      <c r="A406" s="1">
        <v>39449</v>
      </c>
      <c r="B406" t="s">
        <v>38</v>
      </c>
      <c r="C406">
        <v>1</v>
      </c>
      <c r="D406">
        <f>IF(cukier10[[#This Row],[nip_klienta]]=B405,D405+cukier10[[#This Row],[sprzedany_cukier]],cukier10[[#This Row],[sprzedany_cukier]])</f>
        <v>4</v>
      </c>
      <c r="E406" cm="1">
        <f t="array" ref="E4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406">
        <f>cukier10[[#This Row],[sprzedany_cukier]]*cukier10[[#This Row],[rabat]]</f>
        <v>0</v>
      </c>
    </row>
    <row r="407" spans="1:6" x14ac:dyDescent="0.25">
      <c r="A407" s="1">
        <v>40087</v>
      </c>
      <c r="B407" t="s">
        <v>38</v>
      </c>
      <c r="C407">
        <v>18</v>
      </c>
      <c r="D407">
        <f>IF(cukier10[[#This Row],[nip_klienta]]=B406,D406+cukier10[[#This Row],[sprzedany_cukier]],cukier10[[#This Row],[sprzedany_cukier]])</f>
        <v>22</v>
      </c>
      <c r="E407" cm="1">
        <f t="array" ref="E4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407">
        <f>cukier10[[#This Row],[sprzedany_cukier]]*cukier10[[#This Row],[rabat]]</f>
        <v>0</v>
      </c>
    </row>
    <row r="408" spans="1:6" x14ac:dyDescent="0.25">
      <c r="A408" s="1">
        <v>41219</v>
      </c>
      <c r="B408" t="s">
        <v>38</v>
      </c>
      <c r="C408">
        <v>14</v>
      </c>
      <c r="D408">
        <f>IF(cukier10[[#This Row],[nip_klienta]]=B407,D407+cukier10[[#This Row],[sprzedany_cukier]],cukier10[[#This Row],[sprzedany_cukier]])</f>
        <v>36</v>
      </c>
      <c r="E408" cm="1">
        <f t="array" ref="E4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408">
        <f>cukier10[[#This Row],[sprzedany_cukier]]*cukier10[[#This Row],[rabat]]</f>
        <v>0</v>
      </c>
    </row>
    <row r="409" spans="1:6" x14ac:dyDescent="0.25">
      <c r="A409" s="1">
        <v>41637</v>
      </c>
      <c r="B409" t="s">
        <v>38</v>
      </c>
      <c r="C409">
        <v>12</v>
      </c>
      <c r="D409">
        <f>IF(cukier10[[#This Row],[nip_klienta]]=B408,D408+cukier10[[#This Row],[sprzedany_cukier]],cukier10[[#This Row],[sprzedany_cukier]])</f>
        <v>48</v>
      </c>
      <c r="E409" cm="1">
        <f t="array" ref="E4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409">
        <f>cukier10[[#This Row],[sprzedany_cukier]]*cukier10[[#This Row],[rabat]]</f>
        <v>0</v>
      </c>
    </row>
    <row r="410" spans="1:6" x14ac:dyDescent="0.25">
      <c r="A410" s="1">
        <v>38907</v>
      </c>
      <c r="B410" t="s">
        <v>116</v>
      </c>
      <c r="C410">
        <v>15</v>
      </c>
      <c r="D410">
        <f>IF(cukier10[[#This Row],[nip_klienta]]=B409,D409+cukier10[[#This Row],[sprzedany_cukier]],cukier10[[#This Row],[sprzedany_cukier]])</f>
        <v>15</v>
      </c>
      <c r="E410" cm="1">
        <f t="array" ref="E4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410">
        <f>cukier10[[#This Row],[sprzedany_cukier]]*cukier10[[#This Row],[rabat]]</f>
        <v>0</v>
      </c>
    </row>
    <row r="411" spans="1:6" x14ac:dyDescent="0.25">
      <c r="A411" s="1">
        <v>39725</v>
      </c>
      <c r="B411" t="s">
        <v>116</v>
      </c>
      <c r="C411">
        <v>5</v>
      </c>
      <c r="D411">
        <f>IF(cukier10[[#This Row],[nip_klienta]]=B410,D410+cukier10[[#This Row],[sprzedany_cukier]],cukier10[[#This Row],[sprzedany_cukier]])</f>
        <v>20</v>
      </c>
      <c r="E411" cm="1">
        <f t="array" ref="E4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411">
        <f>cukier10[[#This Row],[sprzedany_cukier]]*cukier10[[#This Row],[rabat]]</f>
        <v>0</v>
      </c>
    </row>
    <row r="412" spans="1:6" x14ac:dyDescent="0.25">
      <c r="A412" s="1">
        <v>40723</v>
      </c>
      <c r="B412" t="s">
        <v>116</v>
      </c>
      <c r="C412">
        <v>7</v>
      </c>
      <c r="D412">
        <f>IF(cukier10[[#This Row],[nip_klienta]]=B411,D411+cukier10[[#This Row],[sprzedany_cukier]],cukier10[[#This Row],[sprzedany_cukier]])</f>
        <v>27</v>
      </c>
      <c r="E412" cm="1">
        <f t="array" ref="E4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412">
        <f>cukier10[[#This Row],[sprzedany_cukier]]*cukier10[[#This Row],[rabat]]</f>
        <v>0</v>
      </c>
    </row>
    <row r="413" spans="1:6" x14ac:dyDescent="0.25">
      <c r="A413" s="1">
        <v>41851</v>
      </c>
      <c r="B413" t="s">
        <v>116</v>
      </c>
      <c r="C413">
        <v>9</v>
      </c>
      <c r="D413">
        <f>IF(cukier10[[#This Row],[nip_klienta]]=B412,D412+cukier10[[#This Row],[sprzedany_cukier]],cukier10[[#This Row],[sprzedany_cukier]])</f>
        <v>36</v>
      </c>
      <c r="E413" cm="1">
        <f t="array" ref="E4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413">
        <f>cukier10[[#This Row],[sprzedany_cukier]]*cukier10[[#This Row],[rabat]]</f>
        <v>0</v>
      </c>
    </row>
    <row r="414" spans="1:6" x14ac:dyDescent="0.25">
      <c r="A414" s="1">
        <v>40900</v>
      </c>
      <c r="B414" t="s">
        <v>225</v>
      </c>
      <c r="C414">
        <v>3</v>
      </c>
      <c r="D414">
        <f>IF(cukier10[[#This Row],[nip_klienta]]=B413,D413+cukier10[[#This Row],[sprzedany_cukier]],cukier10[[#This Row],[sprzedany_cukier]])</f>
        <v>3</v>
      </c>
      <c r="E414" cm="1">
        <f t="array" ref="E4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414">
        <f>cukier10[[#This Row],[sprzedany_cukier]]*cukier10[[#This Row],[rabat]]</f>
        <v>0</v>
      </c>
    </row>
    <row r="415" spans="1:6" x14ac:dyDescent="0.25">
      <c r="A415" s="1">
        <v>38370</v>
      </c>
      <c r="B415" t="s">
        <v>7</v>
      </c>
      <c r="C415">
        <v>350</v>
      </c>
      <c r="D415">
        <f>IF(cukier10[[#This Row],[nip_klienta]]=B414,D414+cukier10[[#This Row],[sprzedany_cukier]],cukier10[[#This Row],[sprzedany_cukier]])</f>
        <v>350</v>
      </c>
      <c r="E415" cm="1">
        <f t="array" ref="E4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415">
        <f>cukier10[[#This Row],[sprzedany_cukier]]*cukier10[[#This Row],[rabat]]</f>
        <v>17.5</v>
      </c>
    </row>
    <row r="416" spans="1:6" x14ac:dyDescent="0.25">
      <c r="A416" s="1">
        <v>38371</v>
      </c>
      <c r="B416" t="s">
        <v>7</v>
      </c>
      <c r="C416">
        <v>231</v>
      </c>
      <c r="D416">
        <f>IF(cukier10[[#This Row],[nip_klienta]]=B415,D415+cukier10[[#This Row],[sprzedany_cukier]],cukier10[[#This Row],[sprzedany_cukier]])</f>
        <v>581</v>
      </c>
      <c r="E416" cm="1">
        <f t="array" ref="E4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416">
        <f>cukier10[[#This Row],[sprzedany_cukier]]*cukier10[[#This Row],[rabat]]</f>
        <v>11.55</v>
      </c>
    </row>
    <row r="417" spans="1:6" x14ac:dyDescent="0.25">
      <c r="A417" s="1">
        <v>38385</v>
      </c>
      <c r="B417" t="s">
        <v>7</v>
      </c>
      <c r="C417">
        <v>465</v>
      </c>
      <c r="D417">
        <f>IF(cukier10[[#This Row],[nip_klienta]]=B416,D416+cukier10[[#This Row],[sprzedany_cukier]],cukier10[[#This Row],[sprzedany_cukier]])</f>
        <v>1046</v>
      </c>
      <c r="E417" cm="1">
        <f t="array" ref="E4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17">
        <f>cukier10[[#This Row],[sprzedany_cukier]]*cukier10[[#This Row],[rabat]]</f>
        <v>46.5</v>
      </c>
    </row>
    <row r="418" spans="1:6" x14ac:dyDescent="0.25">
      <c r="A418" s="1">
        <v>38442</v>
      </c>
      <c r="B418" t="s">
        <v>7</v>
      </c>
      <c r="C418">
        <v>416</v>
      </c>
      <c r="D418">
        <f>IF(cukier10[[#This Row],[nip_klienta]]=B417,D417+cukier10[[#This Row],[sprzedany_cukier]],cukier10[[#This Row],[sprzedany_cukier]])</f>
        <v>1462</v>
      </c>
      <c r="E418" cm="1">
        <f t="array" ref="E4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18">
        <f>cukier10[[#This Row],[sprzedany_cukier]]*cukier10[[#This Row],[rabat]]</f>
        <v>41.6</v>
      </c>
    </row>
    <row r="419" spans="1:6" x14ac:dyDescent="0.25">
      <c r="A419" s="1">
        <v>38445</v>
      </c>
      <c r="B419" t="s">
        <v>7</v>
      </c>
      <c r="C419">
        <v>263</v>
      </c>
      <c r="D419">
        <f>IF(cukier10[[#This Row],[nip_klienta]]=B418,D418+cukier10[[#This Row],[sprzedany_cukier]],cukier10[[#This Row],[sprzedany_cukier]])</f>
        <v>1725</v>
      </c>
      <c r="E419" cm="1">
        <f t="array" ref="E4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19">
        <f>cukier10[[#This Row],[sprzedany_cukier]]*cukier10[[#This Row],[rabat]]</f>
        <v>26.3</v>
      </c>
    </row>
    <row r="420" spans="1:6" x14ac:dyDescent="0.25">
      <c r="A420" s="1">
        <v>38454</v>
      </c>
      <c r="B420" t="s">
        <v>7</v>
      </c>
      <c r="C420">
        <v>175</v>
      </c>
      <c r="D420">
        <f>IF(cukier10[[#This Row],[nip_klienta]]=B419,D419+cukier10[[#This Row],[sprzedany_cukier]],cukier10[[#This Row],[sprzedany_cukier]])</f>
        <v>1900</v>
      </c>
      <c r="E420" cm="1">
        <f t="array" ref="E4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20">
        <f>cukier10[[#This Row],[sprzedany_cukier]]*cukier10[[#This Row],[rabat]]</f>
        <v>17.5</v>
      </c>
    </row>
    <row r="421" spans="1:6" x14ac:dyDescent="0.25">
      <c r="A421" s="1">
        <v>38577</v>
      </c>
      <c r="B421" t="s">
        <v>7</v>
      </c>
      <c r="C421">
        <v>396</v>
      </c>
      <c r="D421">
        <f>IF(cukier10[[#This Row],[nip_klienta]]=B420,D420+cukier10[[#This Row],[sprzedany_cukier]],cukier10[[#This Row],[sprzedany_cukier]])</f>
        <v>2296</v>
      </c>
      <c r="E421" cm="1">
        <f t="array" ref="E4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21">
        <f>cukier10[[#This Row],[sprzedany_cukier]]*cukier10[[#This Row],[rabat]]</f>
        <v>39.6</v>
      </c>
    </row>
    <row r="422" spans="1:6" x14ac:dyDescent="0.25">
      <c r="A422" s="1">
        <v>38606</v>
      </c>
      <c r="B422" t="s">
        <v>7</v>
      </c>
      <c r="C422">
        <v>147</v>
      </c>
      <c r="D422">
        <f>IF(cukier10[[#This Row],[nip_klienta]]=B421,D421+cukier10[[#This Row],[sprzedany_cukier]],cukier10[[#This Row],[sprzedany_cukier]])</f>
        <v>2443</v>
      </c>
      <c r="E422" cm="1">
        <f t="array" ref="E4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22">
        <f>cukier10[[#This Row],[sprzedany_cukier]]*cukier10[[#This Row],[rabat]]</f>
        <v>14.700000000000001</v>
      </c>
    </row>
    <row r="423" spans="1:6" x14ac:dyDescent="0.25">
      <c r="A423" s="1">
        <v>38663</v>
      </c>
      <c r="B423" t="s">
        <v>7</v>
      </c>
      <c r="C423">
        <v>434</v>
      </c>
      <c r="D423">
        <f>IF(cukier10[[#This Row],[nip_klienta]]=B422,D422+cukier10[[#This Row],[sprzedany_cukier]],cukier10[[#This Row],[sprzedany_cukier]])</f>
        <v>2877</v>
      </c>
      <c r="E423" cm="1">
        <f t="array" ref="E4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23">
        <f>cukier10[[#This Row],[sprzedany_cukier]]*cukier10[[#This Row],[rabat]]</f>
        <v>43.400000000000006</v>
      </c>
    </row>
    <row r="424" spans="1:6" x14ac:dyDescent="0.25">
      <c r="A424" s="1">
        <v>38761</v>
      </c>
      <c r="B424" t="s">
        <v>7</v>
      </c>
      <c r="C424">
        <v>230</v>
      </c>
      <c r="D424">
        <f>IF(cukier10[[#This Row],[nip_klienta]]=B423,D423+cukier10[[#This Row],[sprzedany_cukier]],cukier10[[#This Row],[sprzedany_cukier]])</f>
        <v>3107</v>
      </c>
      <c r="E424" cm="1">
        <f t="array" ref="E4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24">
        <f>cukier10[[#This Row],[sprzedany_cukier]]*cukier10[[#This Row],[rabat]]</f>
        <v>23</v>
      </c>
    </row>
    <row r="425" spans="1:6" x14ac:dyDescent="0.25">
      <c r="A425" s="1">
        <v>38801</v>
      </c>
      <c r="B425" t="s">
        <v>7</v>
      </c>
      <c r="C425">
        <v>224</v>
      </c>
      <c r="D425">
        <f>IF(cukier10[[#This Row],[nip_klienta]]=B424,D424+cukier10[[#This Row],[sprzedany_cukier]],cukier10[[#This Row],[sprzedany_cukier]])</f>
        <v>3331</v>
      </c>
      <c r="E425" cm="1">
        <f t="array" ref="E4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25">
        <f>cukier10[[#This Row],[sprzedany_cukier]]*cukier10[[#This Row],[rabat]]</f>
        <v>22.400000000000002</v>
      </c>
    </row>
    <row r="426" spans="1:6" x14ac:dyDescent="0.25">
      <c r="A426" s="1">
        <v>38911</v>
      </c>
      <c r="B426" t="s">
        <v>7</v>
      </c>
      <c r="C426">
        <v>139</v>
      </c>
      <c r="D426">
        <f>IF(cukier10[[#This Row],[nip_klienta]]=B425,D425+cukier10[[#This Row],[sprzedany_cukier]],cukier10[[#This Row],[sprzedany_cukier]])</f>
        <v>3470</v>
      </c>
      <c r="E426" cm="1">
        <f t="array" ref="E4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26">
        <f>cukier10[[#This Row],[sprzedany_cukier]]*cukier10[[#This Row],[rabat]]</f>
        <v>13.9</v>
      </c>
    </row>
    <row r="427" spans="1:6" x14ac:dyDescent="0.25">
      <c r="A427" s="1">
        <v>38940</v>
      </c>
      <c r="B427" t="s">
        <v>7</v>
      </c>
      <c r="C427">
        <v>290</v>
      </c>
      <c r="D427">
        <f>IF(cukier10[[#This Row],[nip_klienta]]=B426,D426+cukier10[[#This Row],[sprzedany_cukier]],cukier10[[#This Row],[sprzedany_cukier]])</f>
        <v>3760</v>
      </c>
      <c r="E427" cm="1">
        <f t="array" ref="E4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27">
        <f>cukier10[[#This Row],[sprzedany_cukier]]*cukier10[[#This Row],[rabat]]</f>
        <v>29</v>
      </c>
    </row>
    <row r="428" spans="1:6" x14ac:dyDescent="0.25">
      <c r="A428" s="1">
        <v>38955</v>
      </c>
      <c r="B428" t="s">
        <v>7</v>
      </c>
      <c r="C428">
        <v>407</v>
      </c>
      <c r="D428">
        <f>IF(cukier10[[#This Row],[nip_klienta]]=B427,D427+cukier10[[#This Row],[sprzedany_cukier]],cukier10[[#This Row],[sprzedany_cukier]])</f>
        <v>4167</v>
      </c>
      <c r="E428" cm="1">
        <f t="array" ref="E4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28">
        <f>cukier10[[#This Row],[sprzedany_cukier]]*cukier10[[#This Row],[rabat]]</f>
        <v>40.700000000000003</v>
      </c>
    </row>
    <row r="429" spans="1:6" x14ac:dyDescent="0.25">
      <c r="A429" s="1">
        <v>38965</v>
      </c>
      <c r="B429" t="s">
        <v>7</v>
      </c>
      <c r="C429">
        <v>255</v>
      </c>
      <c r="D429">
        <f>IF(cukier10[[#This Row],[nip_klienta]]=B428,D428+cukier10[[#This Row],[sprzedany_cukier]],cukier10[[#This Row],[sprzedany_cukier]])</f>
        <v>4422</v>
      </c>
      <c r="E429" cm="1">
        <f t="array" ref="E4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29">
        <f>cukier10[[#This Row],[sprzedany_cukier]]*cukier10[[#This Row],[rabat]]</f>
        <v>25.5</v>
      </c>
    </row>
    <row r="430" spans="1:6" x14ac:dyDescent="0.25">
      <c r="A430" s="1">
        <v>38972</v>
      </c>
      <c r="B430" t="s">
        <v>7</v>
      </c>
      <c r="C430">
        <v>364</v>
      </c>
      <c r="D430">
        <f>IF(cukier10[[#This Row],[nip_klienta]]=B429,D429+cukier10[[#This Row],[sprzedany_cukier]],cukier10[[#This Row],[sprzedany_cukier]])</f>
        <v>4786</v>
      </c>
      <c r="E430" cm="1">
        <f t="array" ref="E4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30">
        <f>cukier10[[#This Row],[sprzedany_cukier]]*cukier10[[#This Row],[rabat]]</f>
        <v>36.4</v>
      </c>
    </row>
    <row r="431" spans="1:6" x14ac:dyDescent="0.25">
      <c r="A431" s="1">
        <v>38987</v>
      </c>
      <c r="B431" t="s">
        <v>7</v>
      </c>
      <c r="C431">
        <v>380</v>
      </c>
      <c r="D431">
        <f>IF(cukier10[[#This Row],[nip_klienta]]=B430,D430+cukier10[[#This Row],[sprzedany_cukier]],cukier10[[#This Row],[sprzedany_cukier]])</f>
        <v>5166</v>
      </c>
      <c r="E431" cm="1">
        <f t="array" ref="E4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31">
        <f>cukier10[[#This Row],[sprzedany_cukier]]*cukier10[[#This Row],[rabat]]</f>
        <v>38</v>
      </c>
    </row>
    <row r="432" spans="1:6" x14ac:dyDescent="0.25">
      <c r="A432" s="1">
        <v>39040</v>
      </c>
      <c r="B432" t="s">
        <v>7</v>
      </c>
      <c r="C432">
        <v>426</v>
      </c>
      <c r="D432">
        <f>IF(cukier10[[#This Row],[nip_klienta]]=B431,D431+cukier10[[#This Row],[sprzedany_cukier]],cukier10[[#This Row],[sprzedany_cukier]])</f>
        <v>5592</v>
      </c>
      <c r="E432" cm="1">
        <f t="array" ref="E4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32">
        <f>cukier10[[#This Row],[sprzedany_cukier]]*cukier10[[#This Row],[rabat]]</f>
        <v>42.6</v>
      </c>
    </row>
    <row r="433" spans="1:6" x14ac:dyDescent="0.25">
      <c r="A433" s="1">
        <v>39063</v>
      </c>
      <c r="B433" t="s">
        <v>7</v>
      </c>
      <c r="C433">
        <v>422</v>
      </c>
      <c r="D433">
        <f>IF(cukier10[[#This Row],[nip_klienta]]=B432,D432+cukier10[[#This Row],[sprzedany_cukier]],cukier10[[#This Row],[sprzedany_cukier]])</f>
        <v>6014</v>
      </c>
      <c r="E433" cm="1">
        <f t="array" ref="E4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33">
        <f>cukier10[[#This Row],[sprzedany_cukier]]*cukier10[[#This Row],[rabat]]</f>
        <v>42.2</v>
      </c>
    </row>
    <row r="434" spans="1:6" x14ac:dyDescent="0.25">
      <c r="A434" s="1">
        <v>39086</v>
      </c>
      <c r="B434" t="s">
        <v>7</v>
      </c>
      <c r="C434">
        <v>142</v>
      </c>
      <c r="D434">
        <f>IF(cukier10[[#This Row],[nip_klienta]]=B433,D433+cukier10[[#This Row],[sprzedany_cukier]],cukier10[[#This Row],[sprzedany_cukier]])</f>
        <v>6156</v>
      </c>
      <c r="E434" cm="1">
        <f t="array" ref="E4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34">
        <f>cukier10[[#This Row],[sprzedany_cukier]]*cukier10[[#This Row],[rabat]]</f>
        <v>14.200000000000001</v>
      </c>
    </row>
    <row r="435" spans="1:6" x14ac:dyDescent="0.25">
      <c r="A435" s="1">
        <v>39186</v>
      </c>
      <c r="B435" t="s">
        <v>7</v>
      </c>
      <c r="C435">
        <v>412</v>
      </c>
      <c r="D435">
        <f>IF(cukier10[[#This Row],[nip_klienta]]=B434,D434+cukier10[[#This Row],[sprzedany_cukier]],cukier10[[#This Row],[sprzedany_cukier]])</f>
        <v>6568</v>
      </c>
      <c r="E435" cm="1">
        <f t="array" ref="E4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35">
        <f>cukier10[[#This Row],[sprzedany_cukier]]*cukier10[[#This Row],[rabat]]</f>
        <v>41.2</v>
      </c>
    </row>
    <row r="436" spans="1:6" x14ac:dyDescent="0.25">
      <c r="A436" s="1">
        <v>39188</v>
      </c>
      <c r="B436" t="s">
        <v>7</v>
      </c>
      <c r="C436">
        <v>495</v>
      </c>
      <c r="D436">
        <f>IF(cukier10[[#This Row],[nip_klienta]]=B435,D435+cukier10[[#This Row],[sprzedany_cukier]],cukier10[[#This Row],[sprzedany_cukier]])</f>
        <v>7063</v>
      </c>
      <c r="E436" cm="1">
        <f t="array" ref="E4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36">
        <f>cukier10[[#This Row],[sprzedany_cukier]]*cukier10[[#This Row],[rabat]]</f>
        <v>49.5</v>
      </c>
    </row>
    <row r="437" spans="1:6" x14ac:dyDescent="0.25">
      <c r="A437" s="1">
        <v>39203</v>
      </c>
      <c r="B437" t="s">
        <v>7</v>
      </c>
      <c r="C437">
        <v>322</v>
      </c>
      <c r="D437">
        <f>IF(cukier10[[#This Row],[nip_klienta]]=B436,D436+cukier10[[#This Row],[sprzedany_cukier]],cukier10[[#This Row],[sprzedany_cukier]])</f>
        <v>7385</v>
      </c>
      <c r="E437" cm="1">
        <f t="array" ref="E4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37">
        <f>cukier10[[#This Row],[sprzedany_cukier]]*cukier10[[#This Row],[rabat]]</f>
        <v>32.200000000000003</v>
      </c>
    </row>
    <row r="438" spans="1:6" x14ac:dyDescent="0.25">
      <c r="A438" s="1">
        <v>39212</v>
      </c>
      <c r="B438" t="s">
        <v>7</v>
      </c>
      <c r="C438">
        <v>297</v>
      </c>
      <c r="D438">
        <f>IF(cukier10[[#This Row],[nip_klienta]]=B437,D437+cukier10[[#This Row],[sprzedany_cukier]],cukier10[[#This Row],[sprzedany_cukier]])</f>
        <v>7682</v>
      </c>
      <c r="E438" cm="1">
        <f t="array" ref="E4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38">
        <f>cukier10[[#This Row],[sprzedany_cukier]]*cukier10[[#This Row],[rabat]]</f>
        <v>29.700000000000003</v>
      </c>
    </row>
    <row r="439" spans="1:6" x14ac:dyDescent="0.25">
      <c r="A439" s="1">
        <v>39305</v>
      </c>
      <c r="B439" t="s">
        <v>7</v>
      </c>
      <c r="C439">
        <v>220</v>
      </c>
      <c r="D439">
        <f>IF(cukier10[[#This Row],[nip_klienta]]=B438,D438+cukier10[[#This Row],[sprzedany_cukier]],cukier10[[#This Row],[sprzedany_cukier]])</f>
        <v>7902</v>
      </c>
      <c r="E439" cm="1">
        <f t="array" ref="E4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39">
        <f>cukier10[[#This Row],[sprzedany_cukier]]*cukier10[[#This Row],[rabat]]</f>
        <v>22</v>
      </c>
    </row>
    <row r="440" spans="1:6" x14ac:dyDescent="0.25">
      <c r="A440" s="1">
        <v>39340</v>
      </c>
      <c r="B440" t="s">
        <v>7</v>
      </c>
      <c r="C440">
        <v>260</v>
      </c>
      <c r="D440">
        <f>IF(cukier10[[#This Row],[nip_klienta]]=B439,D439+cukier10[[#This Row],[sprzedany_cukier]],cukier10[[#This Row],[sprzedany_cukier]])</f>
        <v>8162</v>
      </c>
      <c r="E440" cm="1">
        <f t="array" ref="E4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40">
        <f>cukier10[[#This Row],[sprzedany_cukier]]*cukier10[[#This Row],[rabat]]</f>
        <v>26</v>
      </c>
    </row>
    <row r="441" spans="1:6" x14ac:dyDescent="0.25">
      <c r="A441" s="1">
        <v>39393</v>
      </c>
      <c r="B441" t="s">
        <v>7</v>
      </c>
      <c r="C441">
        <v>143</v>
      </c>
      <c r="D441">
        <f>IF(cukier10[[#This Row],[nip_klienta]]=B440,D440+cukier10[[#This Row],[sprzedany_cukier]],cukier10[[#This Row],[sprzedany_cukier]])</f>
        <v>8305</v>
      </c>
      <c r="E441" cm="1">
        <f t="array" ref="E4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41">
        <f>cukier10[[#This Row],[sprzedany_cukier]]*cukier10[[#This Row],[rabat]]</f>
        <v>14.3</v>
      </c>
    </row>
    <row r="442" spans="1:6" x14ac:dyDescent="0.25">
      <c r="A442" s="1">
        <v>39414</v>
      </c>
      <c r="B442" t="s">
        <v>7</v>
      </c>
      <c r="C442">
        <v>216</v>
      </c>
      <c r="D442">
        <f>IF(cukier10[[#This Row],[nip_klienta]]=B441,D441+cukier10[[#This Row],[sprzedany_cukier]],cukier10[[#This Row],[sprzedany_cukier]])</f>
        <v>8521</v>
      </c>
      <c r="E442" cm="1">
        <f t="array" ref="E4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42">
        <f>cukier10[[#This Row],[sprzedany_cukier]]*cukier10[[#This Row],[rabat]]</f>
        <v>21.6</v>
      </c>
    </row>
    <row r="443" spans="1:6" x14ac:dyDescent="0.25">
      <c r="A443" s="1">
        <v>39416</v>
      </c>
      <c r="B443" t="s">
        <v>7</v>
      </c>
      <c r="C443">
        <v>140</v>
      </c>
      <c r="D443">
        <f>IF(cukier10[[#This Row],[nip_klienta]]=B442,D442+cukier10[[#This Row],[sprzedany_cukier]],cukier10[[#This Row],[sprzedany_cukier]])</f>
        <v>8661</v>
      </c>
      <c r="E443" cm="1">
        <f t="array" ref="E4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43">
        <f>cukier10[[#This Row],[sprzedany_cukier]]*cukier10[[#This Row],[rabat]]</f>
        <v>14</v>
      </c>
    </row>
    <row r="444" spans="1:6" x14ac:dyDescent="0.25">
      <c r="A444" s="1">
        <v>39506</v>
      </c>
      <c r="B444" t="s">
        <v>7</v>
      </c>
      <c r="C444">
        <v>281</v>
      </c>
      <c r="D444">
        <f>IF(cukier10[[#This Row],[nip_klienta]]=B443,D443+cukier10[[#This Row],[sprzedany_cukier]],cukier10[[#This Row],[sprzedany_cukier]])</f>
        <v>8942</v>
      </c>
      <c r="E444" cm="1">
        <f t="array" ref="E4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44">
        <f>cukier10[[#This Row],[sprzedany_cukier]]*cukier10[[#This Row],[rabat]]</f>
        <v>28.1</v>
      </c>
    </row>
    <row r="445" spans="1:6" x14ac:dyDescent="0.25">
      <c r="A445" s="1">
        <v>39511</v>
      </c>
      <c r="B445" t="s">
        <v>7</v>
      </c>
      <c r="C445">
        <v>409</v>
      </c>
      <c r="D445">
        <f>IF(cukier10[[#This Row],[nip_klienta]]=B444,D444+cukier10[[#This Row],[sprzedany_cukier]],cukier10[[#This Row],[sprzedany_cukier]])</f>
        <v>9351</v>
      </c>
      <c r="E445" cm="1">
        <f t="array" ref="E4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45">
        <f>cukier10[[#This Row],[sprzedany_cukier]]*cukier10[[#This Row],[rabat]]</f>
        <v>40.900000000000006</v>
      </c>
    </row>
    <row r="446" spans="1:6" x14ac:dyDescent="0.25">
      <c r="A446" s="1">
        <v>39539</v>
      </c>
      <c r="B446" t="s">
        <v>7</v>
      </c>
      <c r="C446">
        <v>354</v>
      </c>
      <c r="D446">
        <f>IF(cukier10[[#This Row],[nip_klienta]]=B445,D445+cukier10[[#This Row],[sprzedany_cukier]],cukier10[[#This Row],[sprzedany_cukier]])</f>
        <v>9705</v>
      </c>
      <c r="E446" cm="1">
        <f t="array" ref="E4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46">
        <f>cukier10[[#This Row],[sprzedany_cukier]]*cukier10[[#This Row],[rabat]]</f>
        <v>35.4</v>
      </c>
    </row>
    <row r="447" spans="1:6" x14ac:dyDescent="0.25">
      <c r="A447" s="1">
        <v>39584</v>
      </c>
      <c r="B447" t="s">
        <v>7</v>
      </c>
      <c r="C447">
        <v>252</v>
      </c>
      <c r="D447">
        <f>IF(cukier10[[#This Row],[nip_klienta]]=B446,D446+cukier10[[#This Row],[sprzedany_cukier]],cukier10[[#This Row],[sprzedany_cukier]])</f>
        <v>9957</v>
      </c>
      <c r="E447" cm="1">
        <f t="array" ref="E4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447">
        <f>cukier10[[#This Row],[sprzedany_cukier]]*cukier10[[#This Row],[rabat]]</f>
        <v>25.200000000000003</v>
      </c>
    </row>
    <row r="448" spans="1:6" x14ac:dyDescent="0.25">
      <c r="A448" s="1">
        <v>39598</v>
      </c>
      <c r="B448" t="s">
        <v>7</v>
      </c>
      <c r="C448">
        <v>443</v>
      </c>
      <c r="D448">
        <f>IF(cukier10[[#This Row],[nip_klienta]]=B447,D447+cukier10[[#This Row],[sprzedany_cukier]],cukier10[[#This Row],[sprzedany_cukier]])</f>
        <v>10400</v>
      </c>
      <c r="E448" cm="1">
        <f t="array" ref="E4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48">
        <f>cukier10[[#This Row],[sprzedany_cukier]]*cukier10[[#This Row],[rabat]]</f>
        <v>88.600000000000009</v>
      </c>
    </row>
    <row r="449" spans="1:6" x14ac:dyDescent="0.25">
      <c r="A449" s="1">
        <v>39681</v>
      </c>
      <c r="B449" t="s">
        <v>7</v>
      </c>
      <c r="C449">
        <v>297</v>
      </c>
      <c r="D449">
        <f>IF(cukier10[[#This Row],[nip_klienta]]=B448,D448+cukier10[[#This Row],[sprzedany_cukier]],cukier10[[#This Row],[sprzedany_cukier]])</f>
        <v>10697</v>
      </c>
      <c r="E449" cm="1">
        <f t="array" ref="E4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49">
        <f>cukier10[[#This Row],[sprzedany_cukier]]*cukier10[[#This Row],[rabat]]</f>
        <v>59.400000000000006</v>
      </c>
    </row>
    <row r="450" spans="1:6" x14ac:dyDescent="0.25">
      <c r="A450" s="1">
        <v>39690</v>
      </c>
      <c r="B450" t="s">
        <v>7</v>
      </c>
      <c r="C450">
        <v>418</v>
      </c>
      <c r="D450">
        <f>IF(cukier10[[#This Row],[nip_klienta]]=B449,D449+cukier10[[#This Row],[sprzedany_cukier]],cukier10[[#This Row],[sprzedany_cukier]])</f>
        <v>11115</v>
      </c>
      <c r="E450" cm="1">
        <f t="array" ref="E4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50">
        <f>cukier10[[#This Row],[sprzedany_cukier]]*cukier10[[#This Row],[rabat]]</f>
        <v>83.600000000000009</v>
      </c>
    </row>
    <row r="451" spans="1:6" x14ac:dyDescent="0.25">
      <c r="A451" s="1">
        <v>39790</v>
      </c>
      <c r="B451" t="s">
        <v>7</v>
      </c>
      <c r="C451">
        <v>496</v>
      </c>
      <c r="D451">
        <f>IF(cukier10[[#This Row],[nip_klienta]]=B450,D450+cukier10[[#This Row],[sprzedany_cukier]],cukier10[[#This Row],[sprzedany_cukier]])</f>
        <v>11611</v>
      </c>
      <c r="E451" cm="1">
        <f t="array" ref="E4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51">
        <f>cukier10[[#This Row],[sprzedany_cukier]]*cukier10[[#This Row],[rabat]]</f>
        <v>99.2</v>
      </c>
    </row>
    <row r="452" spans="1:6" x14ac:dyDescent="0.25">
      <c r="A452" s="1">
        <v>39803</v>
      </c>
      <c r="B452" t="s">
        <v>7</v>
      </c>
      <c r="C452">
        <v>121</v>
      </c>
      <c r="D452">
        <f>IF(cukier10[[#This Row],[nip_klienta]]=B451,D451+cukier10[[#This Row],[sprzedany_cukier]],cukier10[[#This Row],[sprzedany_cukier]])</f>
        <v>11732</v>
      </c>
      <c r="E452" cm="1">
        <f t="array" ref="E4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52">
        <f>cukier10[[#This Row],[sprzedany_cukier]]*cukier10[[#This Row],[rabat]]</f>
        <v>24.200000000000003</v>
      </c>
    </row>
    <row r="453" spans="1:6" x14ac:dyDescent="0.25">
      <c r="A453" s="1">
        <v>39804</v>
      </c>
      <c r="B453" t="s">
        <v>7</v>
      </c>
      <c r="C453">
        <v>338</v>
      </c>
      <c r="D453">
        <f>IF(cukier10[[#This Row],[nip_klienta]]=B452,D452+cukier10[[#This Row],[sprzedany_cukier]],cukier10[[#This Row],[sprzedany_cukier]])</f>
        <v>12070</v>
      </c>
      <c r="E453" cm="1">
        <f t="array" ref="E4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53">
        <f>cukier10[[#This Row],[sprzedany_cukier]]*cukier10[[#This Row],[rabat]]</f>
        <v>67.600000000000009</v>
      </c>
    </row>
    <row r="454" spans="1:6" x14ac:dyDescent="0.25">
      <c r="A454" s="1">
        <v>39849</v>
      </c>
      <c r="B454" t="s">
        <v>7</v>
      </c>
      <c r="C454">
        <v>469</v>
      </c>
      <c r="D454">
        <f>IF(cukier10[[#This Row],[nip_klienta]]=B453,D453+cukier10[[#This Row],[sprzedany_cukier]],cukier10[[#This Row],[sprzedany_cukier]])</f>
        <v>12539</v>
      </c>
      <c r="E454" cm="1">
        <f t="array" ref="E4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54">
        <f>cukier10[[#This Row],[sprzedany_cukier]]*cukier10[[#This Row],[rabat]]</f>
        <v>93.800000000000011</v>
      </c>
    </row>
    <row r="455" spans="1:6" x14ac:dyDescent="0.25">
      <c r="A455" s="1">
        <v>39854</v>
      </c>
      <c r="B455" t="s">
        <v>7</v>
      </c>
      <c r="C455">
        <v>390</v>
      </c>
      <c r="D455">
        <f>IF(cukier10[[#This Row],[nip_klienta]]=B454,D454+cukier10[[#This Row],[sprzedany_cukier]],cukier10[[#This Row],[sprzedany_cukier]])</f>
        <v>12929</v>
      </c>
      <c r="E455" cm="1">
        <f t="array" ref="E4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55">
        <f>cukier10[[#This Row],[sprzedany_cukier]]*cukier10[[#This Row],[rabat]]</f>
        <v>78</v>
      </c>
    </row>
    <row r="456" spans="1:6" x14ac:dyDescent="0.25">
      <c r="A456" s="1">
        <v>39877</v>
      </c>
      <c r="B456" t="s">
        <v>7</v>
      </c>
      <c r="C456">
        <v>110</v>
      </c>
      <c r="D456">
        <f>IF(cukier10[[#This Row],[nip_klienta]]=B455,D455+cukier10[[#This Row],[sprzedany_cukier]],cukier10[[#This Row],[sprzedany_cukier]])</f>
        <v>13039</v>
      </c>
      <c r="E456" cm="1">
        <f t="array" ref="E4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56">
        <f>cukier10[[#This Row],[sprzedany_cukier]]*cukier10[[#This Row],[rabat]]</f>
        <v>22</v>
      </c>
    </row>
    <row r="457" spans="1:6" x14ac:dyDescent="0.25">
      <c r="A457" s="1">
        <v>39951</v>
      </c>
      <c r="B457" t="s">
        <v>7</v>
      </c>
      <c r="C457">
        <v>319</v>
      </c>
      <c r="D457">
        <f>IF(cukier10[[#This Row],[nip_klienta]]=B456,D456+cukier10[[#This Row],[sprzedany_cukier]],cukier10[[#This Row],[sprzedany_cukier]])</f>
        <v>13358</v>
      </c>
      <c r="E457" cm="1">
        <f t="array" ref="E4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57">
        <f>cukier10[[#This Row],[sprzedany_cukier]]*cukier10[[#This Row],[rabat]]</f>
        <v>63.800000000000004</v>
      </c>
    </row>
    <row r="458" spans="1:6" x14ac:dyDescent="0.25">
      <c r="A458" s="1">
        <v>40122</v>
      </c>
      <c r="B458" t="s">
        <v>7</v>
      </c>
      <c r="C458">
        <v>298</v>
      </c>
      <c r="D458">
        <f>IF(cukier10[[#This Row],[nip_klienta]]=B457,D457+cukier10[[#This Row],[sprzedany_cukier]],cukier10[[#This Row],[sprzedany_cukier]])</f>
        <v>13656</v>
      </c>
      <c r="E458" cm="1">
        <f t="array" ref="E4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58">
        <f>cukier10[[#This Row],[sprzedany_cukier]]*cukier10[[#This Row],[rabat]]</f>
        <v>59.6</v>
      </c>
    </row>
    <row r="459" spans="1:6" x14ac:dyDescent="0.25">
      <c r="A459" s="1">
        <v>40129</v>
      </c>
      <c r="B459" t="s">
        <v>7</v>
      </c>
      <c r="C459">
        <v>332</v>
      </c>
      <c r="D459">
        <f>IF(cukier10[[#This Row],[nip_klienta]]=B458,D458+cukier10[[#This Row],[sprzedany_cukier]],cukier10[[#This Row],[sprzedany_cukier]])</f>
        <v>13988</v>
      </c>
      <c r="E459" cm="1">
        <f t="array" ref="E4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59">
        <f>cukier10[[#This Row],[sprzedany_cukier]]*cukier10[[#This Row],[rabat]]</f>
        <v>66.400000000000006</v>
      </c>
    </row>
    <row r="460" spans="1:6" x14ac:dyDescent="0.25">
      <c r="A460" s="1">
        <v>40158</v>
      </c>
      <c r="B460" t="s">
        <v>7</v>
      </c>
      <c r="C460">
        <v>399</v>
      </c>
      <c r="D460">
        <f>IF(cukier10[[#This Row],[nip_klienta]]=B459,D459+cukier10[[#This Row],[sprzedany_cukier]],cukier10[[#This Row],[sprzedany_cukier]])</f>
        <v>14387</v>
      </c>
      <c r="E460" cm="1">
        <f t="array" ref="E4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60">
        <f>cukier10[[#This Row],[sprzedany_cukier]]*cukier10[[#This Row],[rabat]]</f>
        <v>79.800000000000011</v>
      </c>
    </row>
    <row r="461" spans="1:6" x14ac:dyDescent="0.25">
      <c r="A461" s="1">
        <v>40173</v>
      </c>
      <c r="B461" t="s">
        <v>7</v>
      </c>
      <c r="C461">
        <v>444</v>
      </c>
      <c r="D461">
        <f>IF(cukier10[[#This Row],[nip_klienta]]=B460,D460+cukier10[[#This Row],[sprzedany_cukier]],cukier10[[#This Row],[sprzedany_cukier]])</f>
        <v>14831</v>
      </c>
      <c r="E461" cm="1">
        <f t="array" ref="E4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61">
        <f>cukier10[[#This Row],[sprzedany_cukier]]*cukier10[[#This Row],[rabat]]</f>
        <v>88.800000000000011</v>
      </c>
    </row>
    <row r="462" spans="1:6" x14ac:dyDescent="0.25">
      <c r="A462" s="1">
        <v>40174</v>
      </c>
      <c r="B462" t="s">
        <v>7</v>
      </c>
      <c r="C462">
        <v>274</v>
      </c>
      <c r="D462">
        <f>IF(cukier10[[#This Row],[nip_klienta]]=B461,D461+cukier10[[#This Row],[sprzedany_cukier]],cukier10[[#This Row],[sprzedany_cukier]])</f>
        <v>15105</v>
      </c>
      <c r="E462" cm="1">
        <f t="array" ref="E4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62">
        <f>cukier10[[#This Row],[sprzedany_cukier]]*cukier10[[#This Row],[rabat]]</f>
        <v>54.800000000000004</v>
      </c>
    </row>
    <row r="463" spans="1:6" x14ac:dyDescent="0.25">
      <c r="A463" s="1">
        <v>40181</v>
      </c>
      <c r="B463" t="s">
        <v>7</v>
      </c>
      <c r="C463">
        <v>393</v>
      </c>
      <c r="D463">
        <f>IF(cukier10[[#This Row],[nip_klienta]]=B462,D462+cukier10[[#This Row],[sprzedany_cukier]],cukier10[[#This Row],[sprzedany_cukier]])</f>
        <v>15498</v>
      </c>
      <c r="E463" cm="1">
        <f t="array" ref="E4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63">
        <f>cukier10[[#This Row],[sprzedany_cukier]]*cukier10[[#This Row],[rabat]]</f>
        <v>78.600000000000009</v>
      </c>
    </row>
    <row r="464" spans="1:6" x14ac:dyDescent="0.25">
      <c r="A464" s="1">
        <v>40234</v>
      </c>
      <c r="B464" t="s">
        <v>7</v>
      </c>
      <c r="C464">
        <v>395</v>
      </c>
      <c r="D464">
        <f>IF(cukier10[[#This Row],[nip_klienta]]=B463,D463+cukier10[[#This Row],[sprzedany_cukier]],cukier10[[#This Row],[sprzedany_cukier]])</f>
        <v>15893</v>
      </c>
      <c r="E464" cm="1">
        <f t="array" ref="E4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64">
        <f>cukier10[[#This Row],[sprzedany_cukier]]*cukier10[[#This Row],[rabat]]</f>
        <v>79</v>
      </c>
    </row>
    <row r="465" spans="1:6" x14ac:dyDescent="0.25">
      <c r="A465" s="1">
        <v>40263</v>
      </c>
      <c r="B465" t="s">
        <v>7</v>
      </c>
      <c r="C465">
        <v>155</v>
      </c>
      <c r="D465">
        <f>IF(cukier10[[#This Row],[nip_klienta]]=B464,D464+cukier10[[#This Row],[sprzedany_cukier]],cukier10[[#This Row],[sprzedany_cukier]])</f>
        <v>16048</v>
      </c>
      <c r="E465" cm="1">
        <f t="array" ref="E4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65">
        <f>cukier10[[#This Row],[sprzedany_cukier]]*cukier10[[#This Row],[rabat]]</f>
        <v>31</v>
      </c>
    </row>
    <row r="466" spans="1:6" x14ac:dyDescent="0.25">
      <c r="A466" s="1">
        <v>40277</v>
      </c>
      <c r="B466" t="s">
        <v>7</v>
      </c>
      <c r="C466">
        <v>116</v>
      </c>
      <c r="D466">
        <f>IF(cukier10[[#This Row],[nip_klienta]]=B465,D465+cukier10[[#This Row],[sprzedany_cukier]],cukier10[[#This Row],[sprzedany_cukier]])</f>
        <v>16164</v>
      </c>
      <c r="E466" cm="1">
        <f t="array" ref="E4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66">
        <f>cukier10[[#This Row],[sprzedany_cukier]]*cukier10[[#This Row],[rabat]]</f>
        <v>23.200000000000003</v>
      </c>
    </row>
    <row r="467" spans="1:6" x14ac:dyDescent="0.25">
      <c r="A467" s="1">
        <v>40300</v>
      </c>
      <c r="B467" t="s">
        <v>7</v>
      </c>
      <c r="C467">
        <v>162</v>
      </c>
      <c r="D467">
        <f>IF(cukier10[[#This Row],[nip_klienta]]=B466,D466+cukier10[[#This Row],[sprzedany_cukier]],cukier10[[#This Row],[sprzedany_cukier]])</f>
        <v>16326</v>
      </c>
      <c r="E467" cm="1">
        <f t="array" ref="E4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67">
        <f>cukier10[[#This Row],[sprzedany_cukier]]*cukier10[[#This Row],[rabat]]</f>
        <v>32.4</v>
      </c>
    </row>
    <row r="468" spans="1:6" x14ac:dyDescent="0.25">
      <c r="A468" s="1">
        <v>40302</v>
      </c>
      <c r="B468" t="s">
        <v>7</v>
      </c>
      <c r="C468">
        <v>150</v>
      </c>
      <c r="D468">
        <f>IF(cukier10[[#This Row],[nip_klienta]]=B467,D467+cukier10[[#This Row],[sprzedany_cukier]],cukier10[[#This Row],[sprzedany_cukier]])</f>
        <v>16476</v>
      </c>
      <c r="E468" cm="1">
        <f t="array" ref="E4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68">
        <f>cukier10[[#This Row],[sprzedany_cukier]]*cukier10[[#This Row],[rabat]]</f>
        <v>30</v>
      </c>
    </row>
    <row r="469" spans="1:6" x14ac:dyDescent="0.25">
      <c r="A469" s="1">
        <v>40315</v>
      </c>
      <c r="B469" t="s">
        <v>7</v>
      </c>
      <c r="C469">
        <v>214</v>
      </c>
      <c r="D469">
        <f>IF(cukier10[[#This Row],[nip_klienta]]=B468,D468+cukier10[[#This Row],[sprzedany_cukier]],cukier10[[#This Row],[sprzedany_cukier]])</f>
        <v>16690</v>
      </c>
      <c r="E469" cm="1">
        <f t="array" ref="E4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69">
        <f>cukier10[[#This Row],[sprzedany_cukier]]*cukier10[[#This Row],[rabat]]</f>
        <v>42.800000000000004</v>
      </c>
    </row>
    <row r="470" spans="1:6" x14ac:dyDescent="0.25">
      <c r="A470" s="1">
        <v>40331</v>
      </c>
      <c r="B470" t="s">
        <v>7</v>
      </c>
      <c r="C470">
        <v>331</v>
      </c>
      <c r="D470">
        <f>IF(cukier10[[#This Row],[nip_klienta]]=B469,D469+cukier10[[#This Row],[sprzedany_cukier]],cukier10[[#This Row],[sprzedany_cukier]])</f>
        <v>17021</v>
      </c>
      <c r="E470" cm="1">
        <f t="array" ref="E4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70">
        <f>cukier10[[#This Row],[sprzedany_cukier]]*cukier10[[#This Row],[rabat]]</f>
        <v>66.2</v>
      </c>
    </row>
    <row r="471" spans="1:6" x14ac:dyDescent="0.25">
      <c r="A471" s="1">
        <v>40467</v>
      </c>
      <c r="B471" t="s">
        <v>7</v>
      </c>
      <c r="C471">
        <v>406</v>
      </c>
      <c r="D471">
        <f>IF(cukier10[[#This Row],[nip_klienta]]=B470,D470+cukier10[[#This Row],[sprzedany_cukier]],cukier10[[#This Row],[sprzedany_cukier]])</f>
        <v>17427</v>
      </c>
      <c r="E471" cm="1">
        <f t="array" ref="E4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71">
        <f>cukier10[[#This Row],[sprzedany_cukier]]*cukier10[[#This Row],[rabat]]</f>
        <v>81.2</v>
      </c>
    </row>
    <row r="472" spans="1:6" x14ac:dyDescent="0.25">
      <c r="A472" s="1">
        <v>40505</v>
      </c>
      <c r="B472" t="s">
        <v>7</v>
      </c>
      <c r="C472">
        <v>276</v>
      </c>
      <c r="D472">
        <f>IF(cukier10[[#This Row],[nip_klienta]]=B471,D471+cukier10[[#This Row],[sprzedany_cukier]],cukier10[[#This Row],[sprzedany_cukier]])</f>
        <v>17703</v>
      </c>
      <c r="E472" cm="1">
        <f t="array" ref="E4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72">
        <f>cukier10[[#This Row],[sprzedany_cukier]]*cukier10[[#This Row],[rabat]]</f>
        <v>55.2</v>
      </c>
    </row>
    <row r="473" spans="1:6" x14ac:dyDescent="0.25">
      <c r="A473" s="1">
        <v>40513</v>
      </c>
      <c r="B473" t="s">
        <v>7</v>
      </c>
      <c r="C473">
        <v>330</v>
      </c>
      <c r="D473">
        <f>IF(cukier10[[#This Row],[nip_klienta]]=B472,D472+cukier10[[#This Row],[sprzedany_cukier]],cukier10[[#This Row],[sprzedany_cukier]])</f>
        <v>18033</v>
      </c>
      <c r="E473" cm="1">
        <f t="array" ref="E4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73">
        <f>cukier10[[#This Row],[sprzedany_cukier]]*cukier10[[#This Row],[rabat]]</f>
        <v>66</v>
      </c>
    </row>
    <row r="474" spans="1:6" x14ac:dyDescent="0.25">
      <c r="A474" s="1">
        <v>40617</v>
      </c>
      <c r="B474" t="s">
        <v>7</v>
      </c>
      <c r="C474">
        <v>199</v>
      </c>
      <c r="D474">
        <f>IF(cukier10[[#This Row],[nip_klienta]]=B473,D473+cukier10[[#This Row],[sprzedany_cukier]],cukier10[[#This Row],[sprzedany_cukier]])</f>
        <v>18232</v>
      </c>
      <c r="E474" cm="1">
        <f t="array" ref="E4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74">
        <f>cukier10[[#This Row],[sprzedany_cukier]]*cukier10[[#This Row],[rabat]]</f>
        <v>39.800000000000004</v>
      </c>
    </row>
    <row r="475" spans="1:6" x14ac:dyDescent="0.25">
      <c r="A475" s="1">
        <v>40668</v>
      </c>
      <c r="B475" t="s">
        <v>7</v>
      </c>
      <c r="C475">
        <v>400</v>
      </c>
      <c r="D475">
        <f>IF(cukier10[[#This Row],[nip_klienta]]=B474,D474+cukier10[[#This Row],[sprzedany_cukier]],cukier10[[#This Row],[sprzedany_cukier]])</f>
        <v>18632</v>
      </c>
      <c r="E475" cm="1">
        <f t="array" ref="E4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75">
        <f>cukier10[[#This Row],[sprzedany_cukier]]*cukier10[[#This Row],[rabat]]</f>
        <v>80</v>
      </c>
    </row>
    <row r="476" spans="1:6" x14ac:dyDescent="0.25">
      <c r="A476" s="1">
        <v>40747</v>
      </c>
      <c r="B476" t="s">
        <v>7</v>
      </c>
      <c r="C476">
        <v>155</v>
      </c>
      <c r="D476">
        <f>IF(cukier10[[#This Row],[nip_klienta]]=B475,D475+cukier10[[#This Row],[sprzedany_cukier]],cukier10[[#This Row],[sprzedany_cukier]])</f>
        <v>18787</v>
      </c>
      <c r="E476" cm="1">
        <f t="array" ref="E4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76">
        <f>cukier10[[#This Row],[sprzedany_cukier]]*cukier10[[#This Row],[rabat]]</f>
        <v>31</v>
      </c>
    </row>
    <row r="477" spans="1:6" x14ac:dyDescent="0.25">
      <c r="A477" s="1">
        <v>40939</v>
      </c>
      <c r="B477" t="s">
        <v>7</v>
      </c>
      <c r="C477">
        <v>462</v>
      </c>
      <c r="D477">
        <f>IF(cukier10[[#This Row],[nip_klienta]]=B476,D476+cukier10[[#This Row],[sprzedany_cukier]],cukier10[[#This Row],[sprzedany_cukier]])</f>
        <v>19249</v>
      </c>
      <c r="E477" cm="1">
        <f t="array" ref="E4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77">
        <f>cukier10[[#This Row],[sprzedany_cukier]]*cukier10[[#This Row],[rabat]]</f>
        <v>92.4</v>
      </c>
    </row>
    <row r="478" spans="1:6" x14ac:dyDescent="0.25">
      <c r="A478" s="1">
        <v>40977</v>
      </c>
      <c r="B478" t="s">
        <v>7</v>
      </c>
      <c r="C478">
        <v>310</v>
      </c>
      <c r="D478">
        <f>IF(cukier10[[#This Row],[nip_klienta]]=B477,D477+cukier10[[#This Row],[sprzedany_cukier]],cukier10[[#This Row],[sprzedany_cukier]])</f>
        <v>19559</v>
      </c>
      <c r="E478" cm="1">
        <f t="array" ref="E4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78">
        <f>cukier10[[#This Row],[sprzedany_cukier]]*cukier10[[#This Row],[rabat]]</f>
        <v>62</v>
      </c>
    </row>
    <row r="479" spans="1:6" x14ac:dyDescent="0.25">
      <c r="A479" s="1">
        <v>41011</v>
      </c>
      <c r="B479" t="s">
        <v>7</v>
      </c>
      <c r="C479">
        <v>309</v>
      </c>
      <c r="D479">
        <f>IF(cukier10[[#This Row],[nip_klienta]]=B478,D478+cukier10[[#This Row],[sprzedany_cukier]],cukier10[[#This Row],[sprzedany_cukier]])</f>
        <v>19868</v>
      </c>
      <c r="E479" cm="1">
        <f t="array" ref="E4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79">
        <f>cukier10[[#This Row],[sprzedany_cukier]]*cukier10[[#This Row],[rabat]]</f>
        <v>61.800000000000004</v>
      </c>
    </row>
    <row r="480" spans="1:6" x14ac:dyDescent="0.25">
      <c r="A480" s="1">
        <v>41037</v>
      </c>
      <c r="B480" t="s">
        <v>7</v>
      </c>
      <c r="C480">
        <v>280</v>
      </c>
      <c r="D480">
        <f>IF(cukier10[[#This Row],[nip_klienta]]=B479,D479+cukier10[[#This Row],[sprzedany_cukier]],cukier10[[#This Row],[sprzedany_cukier]])</f>
        <v>20148</v>
      </c>
      <c r="E480" cm="1">
        <f t="array" ref="E4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80">
        <f>cukier10[[#This Row],[sprzedany_cukier]]*cukier10[[#This Row],[rabat]]</f>
        <v>56</v>
      </c>
    </row>
    <row r="481" spans="1:6" x14ac:dyDescent="0.25">
      <c r="A481" s="1">
        <v>41064</v>
      </c>
      <c r="B481" t="s">
        <v>7</v>
      </c>
      <c r="C481">
        <v>482</v>
      </c>
      <c r="D481">
        <f>IF(cukier10[[#This Row],[nip_klienta]]=B480,D480+cukier10[[#This Row],[sprzedany_cukier]],cukier10[[#This Row],[sprzedany_cukier]])</f>
        <v>20630</v>
      </c>
      <c r="E481" cm="1">
        <f t="array" ref="E4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81">
        <f>cukier10[[#This Row],[sprzedany_cukier]]*cukier10[[#This Row],[rabat]]</f>
        <v>96.4</v>
      </c>
    </row>
    <row r="482" spans="1:6" x14ac:dyDescent="0.25">
      <c r="A482" s="1">
        <v>41118</v>
      </c>
      <c r="B482" t="s">
        <v>7</v>
      </c>
      <c r="C482">
        <v>400</v>
      </c>
      <c r="D482">
        <f>IF(cukier10[[#This Row],[nip_klienta]]=B481,D481+cukier10[[#This Row],[sprzedany_cukier]],cukier10[[#This Row],[sprzedany_cukier]])</f>
        <v>21030</v>
      </c>
      <c r="E482" cm="1">
        <f t="array" ref="E4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82">
        <f>cukier10[[#This Row],[sprzedany_cukier]]*cukier10[[#This Row],[rabat]]</f>
        <v>80</v>
      </c>
    </row>
    <row r="483" spans="1:6" x14ac:dyDescent="0.25">
      <c r="A483" s="1">
        <v>41147</v>
      </c>
      <c r="B483" t="s">
        <v>7</v>
      </c>
      <c r="C483">
        <v>218</v>
      </c>
      <c r="D483">
        <f>IF(cukier10[[#This Row],[nip_klienta]]=B482,D482+cukier10[[#This Row],[sprzedany_cukier]],cukier10[[#This Row],[sprzedany_cukier]])</f>
        <v>21248</v>
      </c>
      <c r="E483" cm="1">
        <f t="array" ref="E4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83">
        <f>cukier10[[#This Row],[sprzedany_cukier]]*cukier10[[#This Row],[rabat]]</f>
        <v>43.6</v>
      </c>
    </row>
    <row r="484" spans="1:6" x14ac:dyDescent="0.25">
      <c r="A484" s="1">
        <v>41179</v>
      </c>
      <c r="B484" t="s">
        <v>7</v>
      </c>
      <c r="C484">
        <v>226</v>
      </c>
      <c r="D484">
        <f>IF(cukier10[[#This Row],[nip_klienta]]=B483,D483+cukier10[[#This Row],[sprzedany_cukier]],cukier10[[#This Row],[sprzedany_cukier]])</f>
        <v>21474</v>
      </c>
      <c r="E484" cm="1">
        <f t="array" ref="E4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84">
        <f>cukier10[[#This Row],[sprzedany_cukier]]*cukier10[[#This Row],[rabat]]</f>
        <v>45.2</v>
      </c>
    </row>
    <row r="485" spans="1:6" x14ac:dyDescent="0.25">
      <c r="A485" s="1">
        <v>41214</v>
      </c>
      <c r="B485" t="s">
        <v>7</v>
      </c>
      <c r="C485">
        <v>108</v>
      </c>
      <c r="D485">
        <f>IF(cukier10[[#This Row],[nip_klienta]]=B484,D484+cukier10[[#This Row],[sprzedany_cukier]],cukier10[[#This Row],[sprzedany_cukier]])</f>
        <v>21582</v>
      </c>
      <c r="E485" cm="1">
        <f t="array" ref="E4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85">
        <f>cukier10[[#This Row],[sprzedany_cukier]]*cukier10[[#This Row],[rabat]]</f>
        <v>21.6</v>
      </c>
    </row>
    <row r="486" spans="1:6" x14ac:dyDescent="0.25">
      <c r="A486" s="1">
        <v>41316</v>
      </c>
      <c r="B486" t="s">
        <v>7</v>
      </c>
      <c r="C486">
        <v>338</v>
      </c>
      <c r="D486">
        <f>IF(cukier10[[#This Row],[nip_klienta]]=B485,D485+cukier10[[#This Row],[sprzedany_cukier]],cukier10[[#This Row],[sprzedany_cukier]])</f>
        <v>21920</v>
      </c>
      <c r="E486" cm="1">
        <f t="array" ref="E4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86">
        <f>cukier10[[#This Row],[sprzedany_cukier]]*cukier10[[#This Row],[rabat]]</f>
        <v>67.600000000000009</v>
      </c>
    </row>
    <row r="487" spans="1:6" x14ac:dyDescent="0.25">
      <c r="A487" s="1">
        <v>41328</v>
      </c>
      <c r="B487" t="s">
        <v>7</v>
      </c>
      <c r="C487">
        <v>174</v>
      </c>
      <c r="D487">
        <f>IF(cukier10[[#This Row],[nip_klienta]]=B486,D486+cukier10[[#This Row],[sprzedany_cukier]],cukier10[[#This Row],[sprzedany_cukier]])</f>
        <v>22094</v>
      </c>
      <c r="E487" cm="1">
        <f t="array" ref="E4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87">
        <f>cukier10[[#This Row],[sprzedany_cukier]]*cukier10[[#This Row],[rabat]]</f>
        <v>34.800000000000004</v>
      </c>
    </row>
    <row r="488" spans="1:6" x14ac:dyDescent="0.25">
      <c r="A488" s="1">
        <v>41373</v>
      </c>
      <c r="B488" t="s">
        <v>7</v>
      </c>
      <c r="C488">
        <v>296</v>
      </c>
      <c r="D488">
        <f>IF(cukier10[[#This Row],[nip_klienta]]=B487,D487+cukier10[[#This Row],[sprzedany_cukier]],cukier10[[#This Row],[sprzedany_cukier]])</f>
        <v>22390</v>
      </c>
      <c r="E488" cm="1">
        <f t="array" ref="E4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88">
        <f>cukier10[[#This Row],[sprzedany_cukier]]*cukier10[[#This Row],[rabat]]</f>
        <v>59.2</v>
      </c>
    </row>
    <row r="489" spans="1:6" x14ac:dyDescent="0.25">
      <c r="A489" s="1">
        <v>41381</v>
      </c>
      <c r="B489" t="s">
        <v>7</v>
      </c>
      <c r="C489">
        <v>240</v>
      </c>
      <c r="D489">
        <f>IF(cukier10[[#This Row],[nip_klienta]]=B488,D488+cukier10[[#This Row],[sprzedany_cukier]],cukier10[[#This Row],[sprzedany_cukier]])</f>
        <v>22630</v>
      </c>
      <c r="E489" cm="1">
        <f t="array" ref="E4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89">
        <f>cukier10[[#This Row],[sprzedany_cukier]]*cukier10[[#This Row],[rabat]]</f>
        <v>48</v>
      </c>
    </row>
    <row r="490" spans="1:6" x14ac:dyDescent="0.25">
      <c r="A490" s="1">
        <v>41396</v>
      </c>
      <c r="B490" t="s">
        <v>7</v>
      </c>
      <c r="C490">
        <v>267</v>
      </c>
      <c r="D490">
        <f>IF(cukier10[[#This Row],[nip_klienta]]=B489,D489+cukier10[[#This Row],[sprzedany_cukier]],cukier10[[#This Row],[sprzedany_cukier]])</f>
        <v>22897</v>
      </c>
      <c r="E490" cm="1">
        <f t="array" ref="E4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90">
        <f>cukier10[[#This Row],[sprzedany_cukier]]*cukier10[[#This Row],[rabat]]</f>
        <v>53.400000000000006</v>
      </c>
    </row>
    <row r="491" spans="1:6" x14ac:dyDescent="0.25">
      <c r="A491" s="1">
        <v>41429</v>
      </c>
      <c r="B491" t="s">
        <v>7</v>
      </c>
      <c r="C491">
        <v>455</v>
      </c>
      <c r="D491">
        <f>IF(cukier10[[#This Row],[nip_klienta]]=B490,D490+cukier10[[#This Row],[sprzedany_cukier]],cukier10[[#This Row],[sprzedany_cukier]])</f>
        <v>23352</v>
      </c>
      <c r="E491" cm="1">
        <f t="array" ref="E4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91">
        <f>cukier10[[#This Row],[sprzedany_cukier]]*cukier10[[#This Row],[rabat]]</f>
        <v>91</v>
      </c>
    </row>
    <row r="492" spans="1:6" x14ac:dyDescent="0.25">
      <c r="A492" s="1">
        <v>41479</v>
      </c>
      <c r="B492" t="s">
        <v>7</v>
      </c>
      <c r="C492">
        <v>485</v>
      </c>
      <c r="D492">
        <f>IF(cukier10[[#This Row],[nip_klienta]]=B491,D491+cukier10[[#This Row],[sprzedany_cukier]],cukier10[[#This Row],[sprzedany_cukier]])</f>
        <v>23837</v>
      </c>
      <c r="E492" cm="1">
        <f t="array" ref="E4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92">
        <f>cukier10[[#This Row],[sprzedany_cukier]]*cukier10[[#This Row],[rabat]]</f>
        <v>97</v>
      </c>
    </row>
    <row r="493" spans="1:6" x14ac:dyDescent="0.25">
      <c r="A493" s="1">
        <v>41495</v>
      </c>
      <c r="B493" t="s">
        <v>7</v>
      </c>
      <c r="C493">
        <v>385</v>
      </c>
      <c r="D493">
        <f>IF(cukier10[[#This Row],[nip_klienta]]=B492,D492+cukier10[[#This Row],[sprzedany_cukier]],cukier10[[#This Row],[sprzedany_cukier]])</f>
        <v>24222</v>
      </c>
      <c r="E493" cm="1">
        <f t="array" ref="E4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93">
        <f>cukier10[[#This Row],[sprzedany_cukier]]*cukier10[[#This Row],[rabat]]</f>
        <v>77</v>
      </c>
    </row>
    <row r="494" spans="1:6" x14ac:dyDescent="0.25">
      <c r="A494" s="1">
        <v>41569</v>
      </c>
      <c r="B494" t="s">
        <v>7</v>
      </c>
      <c r="C494">
        <v>142</v>
      </c>
      <c r="D494">
        <f>IF(cukier10[[#This Row],[nip_klienta]]=B493,D493+cukier10[[#This Row],[sprzedany_cukier]],cukier10[[#This Row],[sprzedany_cukier]])</f>
        <v>24364</v>
      </c>
      <c r="E494" cm="1">
        <f t="array" ref="E4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94">
        <f>cukier10[[#This Row],[sprzedany_cukier]]*cukier10[[#This Row],[rabat]]</f>
        <v>28.400000000000002</v>
      </c>
    </row>
    <row r="495" spans="1:6" x14ac:dyDescent="0.25">
      <c r="A495" s="1">
        <v>41570</v>
      </c>
      <c r="B495" t="s">
        <v>7</v>
      </c>
      <c r="C495">
        <v>136</v>
      </c>
      <c r="D495">
        <f>IF(cukier10[[#This Row],[nip_klienta]]=B494,D494+cukier10[[#This Row],[sprzedany_cukier]],cukier10[[#This Row],[sprzedany_cukier]])</f>
        <v>24500</v>
      </c>
      <c r="E495" cm="1">
        <f t="array" ref="E4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95">
        <f>cukier10[[#This Row],[sprzedany_cukier]]*cukier10[[#This Row],[rabat]]</f>
        <v>27.200000000000003</v>
      </c>
    </row>
    <row r="496" spans="1:6" x14ac:dyDescent="0.25">
      <c r="A496" s="1">
        <v>41607</v>
      </c>
      <c r="B496" t="s">
        <v>7</v>
      </c>
      <c r="C496">
        <v>131</v>
      </c>
      <c r="D496">
        <f>IF(cukier10[[#This Row],[nip_klienta]]=B495,D495+cukier10[[#This Row],[sprzedany_cukier]],cukier10[[#This Row],[sprzedany_cukier]])</f>
        <v>24631</v>
      </c>
      <c r="E496" cm="1">
        <f t="array" ref="E4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96">
        <f>cukier10[[#This Row],[sprzedany_cukier]]*cukier10[[#This Row],[rabat]]</f>
        <v>26.200000000000003</v>
      </c>
    </row>
    <row r="497" spans="1:6" x14ac:dyDescent="0.25">
      <c r="A497" s="1">
        <v>41609</v>
      </c>
      <c r="B497" t="s">
        <v>7</v>
      </c>
      <c r="C497">
        <v>157</v>
      </c>
      <c r="D497">
        <f>IF(cukier10[[#This Row],[nip_klienta]]=B496,D496+cukier10[[#This Row],[sprzedany_cukier]],cukier10[[#This Row],[sprzedany_cukier]])</f>
        <v>24788</v>
      </c>
      <c r="E497" cm="1">
        <f t="array" ref="E4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97">
        <f>cukier10[[#This Row],[sprzedany_cukier]]*cukier10[[#This Row],[rabat]]</f>
        <v>31.400000000000002</v>
      </c>
    </row>
    <row r="498" spans="1:6" x14ac:dyDescent="0.25">
      <c r="A498" s="1">
        <v>41766</v>
      </c>
      <c r="B498" t="s">
        <v>7</v>
      </c>
      <c r="C498">
        <v>496</v>
      </c>
      <c r="D498">
        <f>IF(cukier10[[#This Row],[nip_klienta]]=B497,D497+cukier10[[#This Row],[sprzedany_cukier]],cukier10[[#This Row],[sprzedany_cukier]])</f>
        <v>25284</v>
      </c>
      <c r="E498" cm="1">
        <f t="array" ref="E4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98">
        <f>cukier10[[#This Row],[sprzedany_cukier]]*cukier10[[#This Row],[rabat]]</f>
        <v>99.2</v>
      </c>
    </row>
    <row r="499" spans="1:6" x14ac:dyDescent="0.25">
      <c r="A499" s="1">
        <v>41826</v>
      </c>
      <c r="B499" t="s">
        <v>7</v>
      </c>
      <c r="C499">
        <v>441</v>
      </c>
      <c r="D499">
        <f>IF(cukier10[[#This Row],[nip_klienta]]=B498,D498+cukier10[[#This Row],[sprzedany_cukier]],cukier10[[#This Row],[sprzedany_cukier]])</f>
        <v>25725</v>
      </c>
      <c r="E499" cm="1">
        <f t="array" ref="E4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499">
        <f>cukier10[[#This Row],[sprzedany_cukier]]*cukier10[[#This Row],[rabat]]</f>
        <v>88.2</v>
      </c>
    </row>
    <row r="500" spans="1:6" x14ac:dyDescent="0.25">
      <c r="A500" s="1">
        <v>41874</v>
      </c>
      <c r="B500" t="s">
        <v>7</v>
      </c>
      <c r="C500">
        <v>386</v>
      </c>
      <c r="D500">
        <f>IF(cukier10[[#This Row],[nip_klienta]]=B499,D499+cukier10[[#This Row],[sprzedany_cukier]],cukier10[[#This Row],[sprzedany_cukier]])</f>
        <v>26111</v>
      </c>
      <c r="E500" cm="1">
        <f t="array" ref="E5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500">
        <f>cukier10[[#This Row],[sprzedany_cukier]]*cukier10[[#This Row],[rabat]]</f>
        <v>77.2</v>
      </c>
    </row>
    <row r="501" spans="1:6" x14ac:dyDescent="0.25">
      <c r="A501" s="1">
        <v>41925</v>
      </c>
      <c r="B501" t="s">
        <v>7</v>
      </c>
      <c r="C501">
        <v>304</v>
      </c>
      <c r="D501">
        <f>IF(cukier10[[#This Row],[nip_klienta]]=B500,D500+cukier10[[#This Row],[sprzedany_cukier]],cukier10[[#This Row],[sprzedany_cukier]])</f>
        <v>26415</v>
      </c>
      <c r="E501" cm="1">
        <f t="array" ref="E5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501">
        <f>cukier10[[#This Row],[sprzedany_cukier]]*cukier10[[#This Row],[rabat]]</f>
        <v>60.800000000000004</v>
      </c>
    </row>
    <row r="502" spans="1:6" x14ac:dyDescent="0.25">
      <c r="A502" s="1">
        <v>41955</v>
      </c>
      <c r="B502" t="s">
        <v>7</v>
      </c>
      <c r="C502">
        <v>381</v>
      </c>
      <c r="D502">
        <f>IF(cukier10[[#This Row],[nip_klienta]]=B501,D501+cukier10[[#This Row],[sprzedany_cukier]],cukier10[[#This Row],[sprzedany_cukier]])</f>
        <v>26796</v>
      </c>
      <c r="E502" cm="1">
        <f t="array" ref="E5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502">
        <f>cukier10[[#This Row],[sprzedany_cukier]]*cukier10[[#This Row],[rabat]]</f>
        <v>76.2</v>
      </c>
    </row>
    <row r="503" spans="1:6" x14ac:dyDescent="0.25">
      <c r="A503" s="1">
        <v>41961</v>
      </c>
      <c r="B503" t="s">
        <v>7</v>
      </c>
      <c r="C503">
        <v>117</v>
      </c>
      <c r="D503">
        <f>IF(cukier10[[#This Row],[nip_klienta]]=B502,D502+cukier10[[#This Row],[sprzedany_cukier]],cukier10[[#This Row],[sprzedany_cukier]])</f>
        <v>26913</v>
      </c>
      <c r="E503" cm="1">
        <f t="array" ref="E5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503">
        <f>cukier10[[#This Row],[sprzedany_cukier]]*cukier10[[#This Row],[rabat]]</f>
        <v>23.400000000000002</v>
      </c>
    </row>
    <row r="504" spans="1:6" x14ac:dyDescent="0.25">
      <c r="A504" s="1">
        <v>41977</v>
      </c>
      <c r="B504" t="s">
        <v>7</v>
      </c>
      <c r="C504">
        <v>129</v>
      </c>
      <c r="D504">
        <f>IF(cukier10[[#This Row],[nip_klienta]]=B503,D503+cukier10[[#This Row],[sprzedany_cukier]],cukier10[[#This Row],[sprzedany_cukier]])</f>
        <v>27042</v>
      </c>
      <c r="E504" cm="1">
        <f t="array" ref="E5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504">
        <f>cukier10[[#This Row],[sprzedany_cukier]]*cukier10[[#This Row],[rabat]]</f>
        <v>25.8</v>
      </c>
    </row>
    <row r="505" spans="1:6" x14ac:dyDescent="0.25">
      <c r="A505" s="1">
        <v>41998</v>
      </c>
      <c r="B505" t="s">
        <v>7</v>
      </c>
      <c r="C505">
        <v>463</v>
      </c>
      <c r="D505">
        <f>IF(cukier10[[#This Row],[nip_klienta]]=B504,D504+cukier10[[#This Row],[sprzedany_cukier]],cukier10[[#This Row],[sprzedany_cukier]])</f>
        <v>27505</v>
      </c>
      <c r="E505" cm="1">
        <f t="array" ref="E5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505">
        <f>cukier10[[#This Row],[sprzedany_cukier]]*cukier10[[#This Row],[rabat]]</f>
        <v>92.600000000000009</v>
      </c>
    </row>
    <row r="506" spans="1:6" x14ac:dyDescent="0.25">
      <c r="A506" s="1">
        <v>40588</v>
      </c>
      <c r="B506" t="s">
        <v>217</v>
      </c>
      <c r="C506">
        <v>9</v>
      </c>
      <c r="D506">
        <f>IF(cukier10[[#This Row],[nip_klienta]]=B505,D505+cukier10[[#This Row],[sprzedany_cukier]],cukier10[[#This Row],[sprzedany_cukier]])</f>
        <v>9</v>
      </c>
      <c r="E506" cm="1">
        <f t="array" ref="E5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06">
        <f>cukier10[[#This Row],[sprzedany_cukier]]*cukier10[[#This Row],[rabat]]</f>
        <v>0</v>
      </c>
    </row>
    <row r="507" spans="1:6" x14ac:dyDescent="0.25">
      <c r="A507" s="1">
        <v>41561</v>
      </c>
      <c r="B507" t="s">
        <v>236</v>
      </c>
      <c r="C507">
        <v>20</v>
      </c>
      <c r="D507">
        <f>IF(cukier10[[#This Row],[nip_klienta]]=B506,D506+cukier10[[#This Row],[sprzedany_cukier]],cukier10[[#This Row],[sprzedany_cukier]])</f>
        <v>20</v>
      </c>
      <c r="E507" cm="1">
        <f t="array" ref="E5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07">
        <f>cukier10[[#This Row],[sprzedany_cukier]]*cukier10[[#This Row],[rabat]]</f>
        <v>0</v>
      </c>
    </row>
    <row r="508" spans="1:6" x14ac:dyDescent="0.25">
      <c r="A508" s="1">
        <v>39679</v>
      </c>
      <c r="B508" t="s">
        <v>173</v>
      </c>
      <c r="C508">
        <v>122</v>
      </c>
      <c r="D508">
        <f>IF(cukier10[[#This Row],[nip_klienta]]=B507,D507+cukier10[[#This Row],[sprzedany_cukier]],cukier10[[#This Row],[sprzedany_cukier]])</f>
        <v>122</v>
      </c>
      <c r="E508" cm="1">
        <f t="array" ref="E5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08">
        <f>cukier10[[#This Row],[sprzedany_cukier]]*cukier10[[#This Row],[rabat]]</f>
        <v>6.1000000000000005</v>
      </c>
    </row>
    <row r="509" spans="1:6" x14ac:dyDescent="0.25">
      <c r="A509" s="1">
        <v>39962</v>
      </c>
      <c r="B509" t="s">
        <v>173</v>
      </c>
      <c r="C509">
        <v>179</v>
      </c>
      <c r="D509">
        <f>IF(cukier10[[#This Row],[nip_klienta]]=B508,D508+cukier10[[#This Row],[sprzedany_cukier]],cukier10[[#This Row],[sprzedany_cukier]])</f>
        <v>301</v>
      </c>
      <c r="E509" cm="1">
        <f t="array" ref="E5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09">
        <f>cukier10[[#This Row],[sprzedany_cukier]]*cukier10[[#This Row],[rabat]]</f>
        <v>8.9500000000000011</v>
      </c>
    </row>
    <row r="510" spans="1:6" x14ac:dyDescent="0.25">
      <c r="A510" s="1">
        <v>40945</v>
      </c>
      <c r="B510" t="s">
        <v>173</v>
      </c>
      <c r="C510">
        <v>104</v>
      </c>
      <c r="D510">
        <f>IF(cukier10[[#This Row],[nip_klienta]]=B509,D509+cukier10[[#This Row],[sprzedany_cukier]],cukier10[[#This Row],[sprzedany_cukier]])</f>
        <v>405</v>
      </c>
      <c r="E510" cm="1">
        <f t="array" ref="E5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10">
        <f>cukier10[[#This Row],[sprzedany_cukier]]*cukier10[[#This Row],[rabat]]</f>
        <v>5.2</v>
      </c>
    </row>
    <row r="511" spans="1:6" x14ac:dyDescent="0.25">
      <c r="A511" s="1">
        <v>41042</v>
      </c>
      <c r="B511" t="s">
        <v>173</v>
      </c>
      <c r="C511">
        <v>86</v>
      </c>
      <c r="D511">
        <f>IF(cukier10[[#This Row],[nip_klienta]]=B510,D510+cukier10[[#This Row],[sprzedany_cukier]],cukier10[[#This Row],[sprzedany_cukier]])</f>
        <v>491</v>
      </c>
      <c r="E511" cm="1">
        <f t="array" ref="E5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11">
        <f>cukier10[[#This Row],[sprzedany_cukier]]*cukier10[[#This Row],[rabat]]</f>
        <v>4.3</v>
      </c>
    </row>
    <row r="512" spans="1:6" x14ac:dyDescent="0.25">
      <c r="A512" s="1">
        <v>41256</v>
      </c>
      <c r="B512" t="s">
        <v>173</v>
      </c>
      <c r="C512">
        <v>150</v>
      </c>
      <c r="D512">
        <f>IF(cukier10[[#This Row],[nip_klienta]]=B511,D511+cukier10[[#This Row],[sprzedany_cukier]],cukier10[[#This Row],[sprzedany_cukier]])</f>
        <v>641</v>
      </c>
      <c r="E512" cm="1">
        <f t="array" ref="E5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12">
        <f>cukier10[[#This Row],[sprzedany_cukier]]*cukier10[[#This Row],[rabat]]</f>
        <v>7.5</v>
      </c>
    </row>
    <row r="513" spans="1:6" x14ac:dyDescent="0.25">
      <c r="A513" s="1">
        <v>38401</v>
      </c>
      <c r="B513" t="s">
        <v>18</v>
      </c>
      <c r="C513">
        <v>99</v>
      </c>
      <c r="D513">
        <f>IF(cukier10[[#This Row],[nip_klienta]]=B512,D512+cukier10[[#This Row],[sprzedany_cukier]],cukier10[[#This Row],[sprzedany_cukier]])</f>
        <v>99</v>
      </c>
      <c r="E513" cm="1">
        <f t="array" ref="E5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13">
        <f>cukier10[[#This Row],[sprzedany_cukier]]*cukier10[[#This Row],[rabat]]</f>
        <v>0</v>
      </c>
    </row>
    <row r="514" spans="1:6" x14ac:dyDescent="0.25">
      <c r="A514" s="1">
        <v>38412</v>
      </c>
      <c r="B514" t="s">
        <v>18</v>
      </c>
      <c r="C514">
        <v>20</v>
      </c>
      <c r="D514">
        <f>IF(cukier10[[#This Row],[nip_klienta]]=B513,D513+cukier10[[#This Row],[sprzedany_cukier]],cukier10[[#This Row],[sprzedany_cukier]])</f>
        <v>119</v>
      </c>
      <c r="E514" cm="1">
        <f t="array" ref="E5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14">
        <f>cukier10[[#This Row],[sprzedany_cukier]]*cukier10[[#This Row],[rabat]]</f>
        <v>1</v>
      </c>
    </row>
    <row r="515" spans="1:6" x14ac:dyDescent="0.25">
      <c r="A515" s="1">
        <v>38431</v>
      </c>
      <c r="B515" t="s">
        <v>18</v>
      </c>
      <c r="C515">
        <v>54</v>
      </c>
      <c r="D515">
        <f>IF(cukier10[[#This Row],[nip_klienta]]=B514,D514+cukier10[[#This Row],[sprzedany_cukier]],cukier10[[#This Row],[sprzedany_cukier]])</f>
        <v>173</v>
      </c>
      <c r="E515" cm="1">
        <f t="array" ref="E5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15">
        <f>cukier10[[#This Row],[sprzedany_cukier]]*cukier10[[#This Row],[rabat]]</f>
        <v>2.7</v>
      </c>
    </row>
    <row r="516" spans="1:6" x14ac:dyDescent="0.25">
      <c r="A516" s="1">
        <v>38512</v>
      </c>
      <c r="B516" t="s">
        <v>18</v>
      </c>
      <c r="C516">
        <v>177</v>
      </c>
      <c r="D516">
        <f>IF(cukier10[[#This Row],[nip_klienta]]=B515,D515+cukier10[[#This Row],[sprzedany_cukier]],cukier10[[#This Row],[sprzedany_cukier]])</f>
        <v>350</v>
      </c>
      <c r="E516" cm="1">
        <f t="array" ref="E5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16">
        <f>cukier10[[#This Row],[sprzedany_cukier]]*cukier10[[#This Row],[rabat]]</f>
        <v>8.85</v>
      </c>
    </row>
    <row r="517" spans="1:6" x14ac:dyDescent="0.25">
      <c r="A517" s="1">
        <v>38620</v>
      </c>
      <c r="B517" t="s">
        <v>18</v>
      </c>
      <c r="C517">
        <v>81</v>
      </c>
      <c r="D517">
        <f>IF(cukier10[[#This Row],[nip_klienta]]=B516,D516+cukier10[[#This Row],[sprzedany_cukier]],cukier10[[#This Row],[sprzedany_cukier]])</f>
        <v>431</v>
      </c>
      <c r="E517" cm="1">
        <f t="array" ref="E5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17">
        <f>cukier10[[#This Row],[sprzedany_cukier]]*cukier10[[#This Row],[rabat]]</f>
        <v>4.05</v>
      </c>
    </row>
    <row r="518" spans="1:6" x14ac:dyDescent="0.25">
      <c r="A518" s="1">
        <v>38655</v>
      </c>
      <c r="B518" t="s">
        <v>18</v>
      </c>
      <c r="C518">
        <v>103</v>
      </c>
      <c r="D518">
        <f>IF(cukier10[[#This Row],[nip_klienta]]=B517,D517+cukier10[[#This Row],[sprzedany_cukier]],cukier10[[#This Row],[sprzedany_cukier]])</f>
        <v>534</v>
      </c>
      <c r="E518" cm="1">
        <f t="array" ref="E5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18">
        <f>cukier10[[#This Row],[sprzedany_cukier]]*cukier10[[#This Row],[rabat]]</f>
        <v>5.15</v>
      </c>
    </row>
    <row r="519" spans="1:6" x14ac:dyDescent="0.25">
      <c r="A519" s="1">
        <v>38680</v>
      </c>
      <c r="B519" t="s">
        <v>18</v>
      </c>
      <c r="C519">
        <v>60</v>
      </c>
      <c r="D519">
        <f>IF(cukier10[[#This Row],[nip_klienta]]=B518,D518+cukier10[[#This Row],[sprzedany_cukier]],cukier10[[#This Row],[sprzedany_cukier]])</f>
        <v>594</v>
      </c>
      <c r="E519" cm="1">
        <f t="array" ref="E5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19">
        <f>cukier10[[#This Row],[sprzedany_cukier]]*cukier10[[#This Row],[rabat]]</f>
        <v>3</v>
      </c>
    </row>
    <row r="520" spans="1:6" x14ac:dyDescent="0.25">
      <c r="A520" s="1">
        <v>38767</v>
      </c>
      <c r="B520" t="s">
        <v>18</v>
      </c>
      <c r="C520">
        <v>163</v>
      </c>
      <c r="D520">
        <f>IF(cukier10[[#This Row],[nip_klienta]]=B519,D519+cukier10[[#This Row],[sprzedany_cukier]],cukier10[[#This Row],[sprzedany_cukier]])</f>
        <v>757</v>
      </c>
      <c r="E520" cm="1">
        <f t="array" ref="E5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20">
        <f>cukier10[[#This Row],[sprzedany_cukier]]*cukier10[[#This Row],[rabat]]</f>
        <v>8.15</v>
      </c>
    </row>
    <row r="521" spans="1:6" x14ac:dyDescent="0.25">
      <c r="A521" s="1">
        <v>38822</v>
      </c>
      <c r="B521" t="s">
        <v>18</v>
      </c>
      <c r="C521">
        <v>192</v>
      </c>
      <c r="D521">
        <f>IF(cukier10[[#This Row],[nip_klienta]]=B520,D520+cukier10[[#This Row],[sprzedany_cukier]],cukier10[[#This Row],[sprzedany_cukier]])</f>
        <v>949</v>
      </c>
      <c r="E521" cm="1">
        <f t="array" ref="E5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21">
        <f>cukier10[[#This Row],[sprzedany_cukier]]*cukier10[[#This Row],[rabat]]</f>
        <v>9.6000000000000014</v>
      </c>
    </row>
    <row r="522" spans="1:6" x14ac:dyDescent="0.25">
      <c r="A522" s="1">
        <v>38826</v>
      </c>
      <c r="B522" t="s">
        <v>18</v>
      </c>
      <c r="C522">
        <v>123</v>
      </c>
      <c r="D522">
        <f>IF(cukier10[[#This Row],[nip_klienta]]=B521,D521+cukier10[[#This Row],[sprzedany_cukier]],cukier10[[#This Row],[sprzedany_cukier]])</f>
        <v>1072</v>
      </c>
      <c r="E522" cm="1">
        <f t="array" ref="E5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22">
        <f>cukier10[[#This Row],[sprzedany_cukier]]*cukier10[[#This Row],[rabat]]</f>
        <v>12.3</v>
      </c>
    </row>
    <row r="523" spans="1:6" x14ac:dyDescent="0.25">
      <c r="A523" s="1">
        <v>38971</v>
      </c>
      <c r="B523" t="s">
        <v>18</v>
      </c>
      <c r="C523">
        <v>78</v>
      </c>
      <c r="D523">
        <f>IF(cukier10[[#This Row],[nip_klienta]]=B522,D522+cukier10[[#This Row],[sprzedany_cukier]],cukier10[[#This Row],[sprzedany_cukier]])</f>
        <v>1150</v>
      </c>
      <c r="E523" cm="1">
        <f t="array" ref="E5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23">
        <f>cukier10[[#This Row],[sprzedany_cukier]]*cukier10[[#This Row],[rabat]]</f>
        <v>7.8000000000000007</v>
      </c>
    </row>
    <row r="524" spans="1:6" x14ac:dyDescent="0.25">
      <c r="A524" s="1">
        <v>39085</v>
      </c>
      <c r="B524" t="s">
        <v>18</v>
      </c>
      <c r="C524">
        <v>86</v>
      </c>
      <c r="D524">
        <f>IF(cukier10[[#This Row],[nip_klienta]]=B523,D523+cukier10[[#This Row],[sprzedany_cukier]],cukier10[[#This Row],[sprzedany_cukier]])</f>
        <v>1236</v>
      </c>
      <c r="E524" cm="1">
        <f t="array" ref="E5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24">
        <f>cukier10[[#This Row],[sprzedany_cukier]]*cukier10[[#This Row],[rabat]]</f>
        <v>8.6</v>
      </c>
    </row>
    <row r="525" spans="1:6" x14ac:dyDescent="0.25">
      <c r="A525" s="1">
        <v>39167</v>
      </c>
      <c r="B525" t="s">
        <v>18</v>
      </c>
      <c r="C525">
        <v>157</v>
      </c>
      <c r="D525">
        <f>IF(cukier10[[#This Row],[nip_klienta]]=B524,D524+cukier10[[#This Row],[sprzedany_cukier]],cukier10[[#This Row],[sprzedany_cukier]])</f>
        <v>1393</v>
      </c>
      <c r="E525" cm="1">
        <f t="array" ref="E5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25">
        <f>cukier10[[#This Row],[sprzedany_cukier]]*cukier10[[#This Row],[rabat]]</f>
        <v>15.700000000000001</v>
      </c>
    </row>
    <row r="526" spans="1:6" x14ac:dyDescent="0.25">
      <c r="A526" s="1">
        <v>39215</v>
      </c>
      <c r="B526" t="s">
        <v>18</v>
      </c>
      <c r="C526">
        <v>114</v>
      </c>
      <c r="D526">
        <f>IF(cukier10[[#This Row],[nip_klienta]]=B525,D525+cukier10[[#This Row],[sprzedany_cukier]],cukier10[[#This Row],[sprzedany_cukier]])</f>
        <v>1507</v>
      </c>
      <c r="E526" cm="1">
        <f t="array" ref="E5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26">
        <f>cukier10[[#This Row],[sprzedany_cukier]]*cukier10[[#This Row],[rabat]]</f>
        <v>11.4</v>
      </c>
    </row>
    <row r="527" spans="1:6" x14ac:dyDescent="0.25">
      <c r="A527" s="1">
        <v>39230</v>
      </c>
      <c r="B527" t="s">
        <v>18</v>
      </c>
      <c r="C527">
        <v>159</v>
      </c>
      <c r="D527">
        <f>IF(cukier10[[#This Row],[nip_klienta]]=B526,D526+cukier10[[#This Row],[sprzedany_cukier]],cukier10[[#This Row],[sprzedany_cukier]])</f>
        <v>1666</v>
      </c>
      <c r="E527" cm="1">
        <f t="array" ref="E5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27">
        <f>cukier10[[#This Row],[sprzedany_cukier]]*cukier10[[#This Row],[rabat]]</f>
        <v>15.9</v>
      </c>
    </row>
    <row r="528" spans="1:6" x14ac:dyDescent="0.25">
      <c r="A528" s="1">
        <v>39326</v>
      </c>
      <c r="B528" t="s">
        <v>18</v>
      </c>
      <c r="C528">
        <v>165</v>
      </c>
      <c r="D528">
        <f>IF(cukier10[[#This Row],[nip_klienta]]=B527,D527+cukier10[[#This Row],[sprzedany_cukier]],cukier10[[#This Row],[sprzedany_cukier]])</f>
        <v>1831</v>
      </c>
      <c r="E528" cm="1">
        <f t="array" ref="E5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28">
        <f>cukier10[[#This Row],[sprzedany_cukier]]*cukier10[[#This Row],[rabat]]</f>
        <v>16.5</v>
      </c>
    </row>
    <row r="529" spans="1:6" x14ac:dyDescent="0.25">
      <c r="A529" s="1">
        <v>39394</v>
      </c>
      <c r="B529" t="s">
        <v>18</v>
      </c>
      <c r="C529">
        <v>20</v>
      </c>
      <c r="D529">
        <f>IF(cukier10[[#This Row],[nip_klienta]]=B528,D528+cukier10[[#This Row],[sprzedany_cukier]],cukier10[[#This Row],[sprzedany_cukier]])</f>
        <v>1851</v>
      </c>
      <c r="E529" cm="1">
        <f t="array" ref="E5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29">
        <f>cukier10[[#This Row],[sprzedany_cukier]]*cukier10[[#This Row],[rabat]]</f>
        <v>2</v>
      </c>
    </row>
    <row r="530" spans="1:6" x14ac:dyDescent="0.25">
      <c r="A530" s="1">
        <v>39470</v>
      </c>
      <c r="B530" t="s">
        <v>18</v>
      </c>
      <c r="C530">
        <v>100</v>
      </c>
      <c r="D530">
        <f>IF(cukier10[[#This Row],[nip_klienta]]=B529,D529+cukier10[[#This Row],[sprzedany_cukier]],cukier10[[#This Row],[sprzedany_cukier]])</f>
        <v>1951</v>
      </c>
      <c r="E530" cm="1">
        <f t="array" ref="E5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30">
        <f>cukier10[[#This Row],[sprzedany_cukier]]*cukier10[[#This Row],[rabat]]</f>
        <v>10</v>
      </c>
    </row>
    <row r="531" spans="1:6" x14ac:dyDescent="0.25">
      <c r="A531" s="1">
        <v>39552</v>
      </c>
      <c r="B531" t="s">
        <v>18</v>
      </c>
      <c r="C531">
        <v>190</v>
      </c>
      <c r="D531">
        <f>IF(cukier10[[#This Row],[nip_klienta]]=B530,D530+cukier10[[#This Row],[sprzedany_cukier]],cukier10[[#This Row],[sprzedany_cukier]])</f>
        <v>2141</v>
      </c>
      <c r="E531" cm="1">
        <f t="array" ref="E5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31">
        <f>cukier10[[#This Row],[sprzedany_cukier]]*cukier10[[#This Row],[rabat]]</f>
        <v>19</v>
      </c>
    </row>
    <row r="532" spans="1:6" x14ac:dyDescent="0.25">
      <c r="A532" s="1">
        <v>39590</v>
      </c>
      <c r="B532" t="s">
        <v>18</v>
      </c>
      <c r="C532">
        <v>152</v>
      </c>
      <c r="D532">
        <f>IF(cukier10[[#This Row],[nip_klienta]]=B531,D531+cukier10[[#This Row],[sprzedany_cukier]],cukier10[[#This Row],[sprzedany_cukier]])</f>
        <v>2293</v>
      </c>
      <c r="E532" cm="1">
        <f t="array" ref="E5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32">
        <f>cukier10[[#This Row],[sprzedany_cukier]]*cukier10[[#This Row],[rabat]]</f>
        <v>15.200000000000001</v>
      </c>
    </row>
    <row r="533" spans="1:6" x14ac:dyDescent="0.25">
      <c r="A533" s="1">
        <v>39592</v>
      </c>
      <c r="B533" t="s">
        <v>18</v>
      </c>
      <c r="C533">
        <v>77</v>
      </c>
      <c r="D533">
        <f>IF(cukier10[[#This Row],[nip_klienta]]=B532,D532+cukier10[[#This Row],[sprzedany_cukier]],cukier10[[#This Row],[sprzedany_cukier]])</f>
        <v>2370</v>
      </c>
      <c r="E533" cm="1">
        <f t="array" ref="E5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33">
        <f>cukier10[[#This Row],[sprzedany_cukier]]*cukier10[[#This Row],[rabat]]</f>
        <v>7.7</v>
      </c>
    </row>
    <row r="534" spans="1:6" x14ac:dyDescent="0.25">
      <c r="A534" s="1">
        <v>39624</v>
      </c>
      <c r="B534" t="s">
        <v>18</v>
      </c>
      <c r="C534">
        <v>75</v>
      </c>
      <c r="D534">
        <f>IF(cukier10[[#This Row],[nip_klienta]]=B533,D533+cukier10[[#This Row],[sprzedany_cukier]],cukier10[[#This Row],[sprzedany_cukier]])</f>
        <v>2445</v>
      </c>
      <c r="E534" cm="1">
        <f t="array" ref="E5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34">
        <f>cukier10[[#This Row],[sprzedany_cukier]]*cukier10[[#This Row],[rabat]]</f>
        <v>7.5</v>
      </c>
    </row>
    <row r="535" spans="1:6" x14ac:dyDescent="0.25">
      <c r="A535" s="1">
        <v>39679</v>
      </c>
      <c r="B535" t="s">
        <v>18</v>
      </c>
      <c r="C535">
        <v>107</v>
      </c>
      <c r="D535">
        <f>IF(cukier10[[#This Row],[nip_klienta]]=B534,D534+cukier10[[#This Row],[sprzedany_cukier]],cukier10[[#This Row],[sprzedany_cukier]])</f>
        <v>2552</v>
      </c>
      <c r="E535" cm="1">
        <f t="array" ref="E5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35">
        <f>cukier10[[#This Row],[sprzedany_cukier]]*cukier10[[#This Row],[rabat]]</f>
        <v>10.700000000000001</v>
      </c>
    </row>
    <row r="536" spans="1:6" x14ac:dyDescent="0.25">
      <c r="A536" s="1">
        <v>39702</v>
      </c>
      <c r="B536" t="s">
        <v>18</v>
      </c>
      <c r="C536">
        <v>93</v>
      </c>
      <c r="D536">
        <f>IF(cukier10[[#This Row],[nip_klienta]]=B535,D535+cukier10[[#This Row],[sprzedany_cukier]],cukier10[[#This Row],[sprzedany_cukier]])</f>
        <v>2645</v>
      </c>
      <c r="E536" cm="1">
        <f t="array" ref="E5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36">
        <f>cukier10[[#This Row],[sprzedany_cukier]]*cukier10[[#This Row],[rabat]]</f>
        <v>9.3000000000000007</v>
      </c>
    </row>
    <row r="537" spans="1:6" x14ac:dyDescent="0.25">
      <c r="A537" s="1">
        <v>39705</v>
      </c>
      <c r="B537" t="s">
        <v>18</v>
      </c>
      <c r="C537">
        <v>90</v>
      </c>
      <c r="D537">
        <f>IF(cukier10[[#This Row],[nip_klienta]]=B536,D536+cukier10[[#This Row],[sprzedany_cukier]],cukier10[[#This Row],[sprzedany_cukier]])</f>
        <v>2735</v>
      </c>
      <c r="E537" cm="1">
        <f t="array" ref="E5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37">
        <f>cukier10[[#This Row],[sprzedany_cukier]]*cukier10[[#This Row],[rabat]]</f>
        <v>9</v>
      </c>
    </row>
    <row r="538" spans="1:6" x14ac:dyDescent="0.25">
      <c r="A538" s="1">
        <v>39757</v>
      </c>
      <c r="B538" t="s">
        <v>18</v>
      </c>
      <c r="C538">
        <v>75</v>
      </c>
      <c r="D538">
        <f>IF(cukier10[[#This Row],[nip_klienta]]=B537,D537+cukier10[[#This Row],[sprzedany_cukier]],cukier10[[#This Row],[sprzedany_cukier]])</f>
        <v>2810</v>
      </c>
      <c r="E538" cm="1">
        <f t="array" ref="E5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38">
        <f>cukier10[[#This Row],[sprzedany_cukier]]*cukier10[[#This Row],[rabat]]</f>
        <v>7.5</v>
      </c>
    </row>
    <row r="539" spans="1:6" x14ac:dyDescent="0.25">
      <c r="A539" s="1">
        <v>39824</v>
      </c>
      <c r="B539" t="s">
        <v>18</v>
      </c>
      <c r="C539">
        <v>40</v>
      </c>
      <c r="D539">
        <f>IF(cukier10[[#This Row],[nip_klienta]]=B538,D538+cukier10[[#This Row],[sprzedany_cukier]],cukier10[[#This Row],[sprzedany_cukier]])</f>
        <v>2850</v>
      </c>
      <c r="E539" cm="1">
        <f t="array" ref="E5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39">
        <f>cukier10[[#This Row],[sprzedany_cukier]]*cukier10[[#This Row],[rabat]]</f>
        <v>4</v>
      </c>
    </row>
    <row r="540" spans="1:6" x14ac:dyDescent="0.25">
      <c r="A540" s="1">
        <v>39897</v>
      </c>
      <c r="B540" t="s">
        <v>18</v>
      </c>
      <c r="C540">
        <v>58</v>
      </c>
      <c r="D540">
        <f>IF(cukier10[[#This Row],[nip_klienta]]=B539,D539+cukier10[[#This Row],[sprzedany_cukier]],cukier10[[#This Row],[sprzedany_cukier]])</f>
        <v>2908</v>
      </c>
      <c r="E540" cm="1">
        <f t="array" ref="E5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40">
        <f>cukier10[[#This Row],[sprzedany_cukier]]*cukier10[[#This Row],[rabat]]</f>
        <v>5.8000000000000007</v>
      </c>
    </row>
    <row r="541" spans="1:6" x14ac:dyDescent="0.25">
      <c r="A541" s="1">
        <v>40001</v>
      </c>
      <c r="B541" t="s">
        <v>18</v>
      </c>
      <c r="C541">
        <v>66</v>
      </c>
      <c r="D541">
        <f>IF(cukier10[[#This Row],[nip_klienta]]=B540,D540+cukier10[[#This Row],[sprzedany_cukier]],cukier10[[#This Row],[sprzedany_cukier]])</f>
        <v>2974</v>
      </c>
      <c r="E541" cm="1">
        <f t="array" ref="E5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41">
        <f>cukier10[[#This Row],[sprzedany_cukier]]*cukier10[[#This Row],[rabat]]</f>
        <v>6.6000000000000005</v>
      </c>
    </row>
    <row r="542" spans="1:6" x14ac:dyDescent="0.25">
      <c r="A542" s="1">
        <v>40031</v>
      </c>
      <c r="B542" t="s">
        <v>18</v>
      </c>
      <c r="C542">
        <v>154</v>
      </c>
      <c r="D542">
        <f>IF(cukier10[[#This Row],[nip_klienta]]=B541,D541+cukier10[[#This Row],[sprzedany_cukier]],cukier10[[#This Row],[sprzedany_cukier]])</f>
        <v>3128</v>
      </c>
      <c r="E542" cm="1">
        <f t="array" ref="E5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42">
        <f>cukier10[[#This Row],[sprzedany_cukier]]*cukier10[[#This Row],[rabat]]</f>
        <v>15.4</v>
      </c>
    </row>
    <row r="543" spans="1:6" x14ac:dyDescent="0.25">
      <c r="A543" s="1">
        <v>40034</v>
      </c>
      <c r="B543" t="s">
        <v>18</v>
      </c>
      <c r="C543">
        <v>48</v>
      </c>
      <c r="D543">
        <f>IF(cukier10[[#This Row],[nip_klienta]]=B542,D542+cukier10[[#This Row],[sprzedany_cukier]],cukier10[[#This Row],[sprzedany_cukier]])</f>
        <v>3176</v>
      </c>
      <c r="E543" cm="1">
        <f t="array" ref="E5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43">
        <f>cukier10[[#This Row],[sprzedany_cukier]]*cukier10[[#This Row],[rabat]]</f>
        <v>4.8000000000000007</v>
      </c>
    </row>
    <row r="544" spans="1:6" x14ac:dyDescent="0.25">
      <c r="A544" s="1">
        <v>40108</v>
      </c>
      <c r="B544" t="s">
        <v>18</v>
      </c>
      <c r="C544">
        <v>89</v>
      </c>
      <c r="D544">
        <f>IF(cukier10[[#This Row],[nip_klienta]]=B543,D543+cukier10[[#This Row],[sprzedany_cukier]],cukier10[[#This Row],[sprzedany_cukier]])</f>
        <v>3265</v>
      </c>
      <c r="E544" cm="1">
        <f t="array" ref="E5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44">
        <f>cukier10[[#This Row],[sprzedany_cukier]]*cukier10[[#This Row],[rabat]]</f>
        <v>8.9</v>
      </c>
    </row>
    <row r="545" spans="1:6" x14ac:dyDescent="0.25">
      <c r="A545" s="1">
        <v>40114</v>
      </c>
      <c r="B545" t="s">
        <v>18</v>
      </c>
      <c r="C545">
        <v>199</v>
      </c>
      <c r="D545">
        <f>IF(cukier10[[#This Row],[nip_klienta]]=B544,D544+cukier10[[#This Row],[sprzedany_cukier]],cukier10[[#This Row],[sprzedany_cukier]])</f>
        <v>3464</v>
      </c>
      <c r="E545" cm="1">
        <f t="array" ref="E5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45">
        <f>cukier10[[#This Row],[sprzedany_cukier]]*cukier10[[#This Row],[rabat]]</f>
        <v>19.900000000000002</v>
      </c>
    </row>
    <row r="546" spans="1:6" x14ac:dyDescent="0.25">
      <c r="A546" s="1">
        <v>40120</v>
      </c>
      <c r="B546" t="s">
        <v>18</v>
      </c>
      <c r="C546">
        <v>198</v>
      </c>
      <c r="D546">
        <f>IF(cukier10[[#This Row],[nip_klienta]]=B545,D545+cukier10[[#This Row],[sprzedany_cukier]],cukier10[[#This Row],[sprzedany_cukier]])</f>
        <v>3662</v>
      </c>
      <c r="E546" cm="1">
        <f t="array" ref="E5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46">
        <f>cukier10[[#This Row],[sprzedany_cukier]]*cukier10[[#This Row],[rabat]]</f>
        <v>19.8</v>
      </c>
    </row>
    <row r="547" spans="1:6" x14ac:dyDescent="0.25">
      <c r="A547" s="1">
        <v>40364</v>
      </c>
      <c r="B547" t="s">
        <v>18</v>
      </c>
      <c r="C547">
        <v>29</v>
      </c>
      <c r="D547">
        <f>IF(cukier10[[#This Row],[nip_klienta]]=B546,D546+cukier10[[#This Row],[sprzedany_cukier]],cukier10[[#This Row],[sprzedany_cukier]])</f>
        <v>3691</v>
      </c>
      <c r="E547" cm="1">
        <f t="array" ref="E5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47">
        <f>cukier10[[#This Row],[sprzedany_cukier]]*cukier10[[#This Row],[rabat]]</f>
        <v>2.9000000000000004</v>
      </c>
    </row>
    <row r="548" spans="1:6" x14ac:dyDescent="0.25">
      <c r="A548" s="1">
        <v>40676</v>
      </c>
      <c r="B548" t="s">
        <v>18</v>
      </c>
      <c r="C548">
        <v>197</v>
      </c>
      <c r="D548">
        <f>IF(cukier10[[#This Row],[nip_klienta]]=B547,D547+cukier10[[#This Row],[sprzedany_cukier]],cukier10[[#This Row],[sprzedany_cukier]])</f>
        <v>3888</v>
      </c>
      <c r="E548" cm="1">
        <f t="array" ref="E5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48">
        <f>cukier10[[#This Row],[sprzedany_cukier]]*cukier10[[#This Row],[rabat]]</f>
        <v>19.700000000000003</v>
      </c>
    </row>
    <row r="549" spans="1:6" x14ac:dyDescent="0.25">
      <c r="A549" s="1">
        <v>40706</v>
      </c>
      <c r="B549" t="s">
        <v>18</v>
      </c>
      <c r="C549">
        <v>47</v>
      </c>
      <c r="D549">
        <f>IF(cukier10[[#This Row],[nip_klienta]]=B548,D548+cukier10[[#This Row],[sprzedany_cukier]],cukier10[[#This Row],[sprzedany_cukier]])</f>
        <v>3935</v>
      </c>
      <c r="E549" cm="1">
        <f t="array" ref="E5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49">
        <f>cukier10[[#This Row],[sprzedany_cukier]]*cukier10[[#This Row],[rabat]]</f>
        <v>4.7</v>
      </c>
    </row>
    <row r="550" spans="1:6" x14ac:dyDescent="0.25">
      <c r="A550" s="1">
        <v>40781</v>
      </c>
      <c r="B550" t="s">
        <v>18</v>
      </c>
      <c r="C550">
        <v>123</v>
      </c>
      <c r="D550">
        <f>IF(cukier10[[#This Row],[nip_klienta]]=B549,D549+cukier10[[#This Row],[sprzedany_cukier]],cukier10[[#This Row],[sprzedany_cukier]])</f>
        <v>4058</v>
      </c>
      <c r="E550" cm="1">
        <f t="array" ref="E5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50">
        <f>cukier10[[#This Row],[sprzedany_cukier]]*cukier10[[#This Row],[rabat]]</f>
        <v>12.3</v>
      </c>
    </row>
    <row r="551" spans="1:6" x14ac:dyDescent="0.25">
      <c r="A551" s="1">
        <v>40947</v>
      </c>
      <c r="B551" t="s">
        <v>18</v>
      </c>
      <c r="C551">
        <v>78</v>
      </c>
      <c r="D551">
        <f>IF(cukier10[[#This Row],[nip_klienta]]=B550,D550+cukier10[[#This Row],[sprzedany_cukier]],cukier10[[#This Row],[sprzedany_cukier]])</f>
        <v>4136</v>
      </c>
      <c r="E551" cm="1">
        <f t="array" ref="E5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51">
        <f>cukier10[[#This Row],[sprzedany_cukier]]*cukier10[[#This Row],[rabat]]</f>
        <v>7.8000000000000007</v>
      </c>
    </row>
    <row r="552" spans="1:6" x14ac:dyDescent="0.25">
      <c r="A552" s="1">
        <v>40971</v>
      </c>
      <c r="B552" t="s">
        <v>18</v>
      </c>
      <c r="C552">
        <v>53</v>
      </c>
      <c r="D552">
        <f>IF(cukier10[[#This Row],[nip_klienta]]=B551,D551+cukier10[[#This Row],[sprzedany_cukier]],cukier10[[#This Row],[sprzedany_cukier]])</f>
        <v>4189</v>
      </c>
      <c r="E552" cm="1">
        <f t="array" ref="E5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52">
        <f>cukier10[[#This Row],[sprzedany_cukier]]*cukier10[[#This Row],[rabat]]</f>
        <v>5.3000000000000007</v>
      </c>
    </row>
    <row r="553" spans="1:6" x14ac:dyDescent="0.25">
      <c r="A553" s="1">
        <v>41143</v>
      </c>
      <c r="B553" t="s">
        <v>18</v>
      </c>
      <c r="C553">
        <v>92</v>
      </c>
      <c r="D553">
        <f>IF(cukier10[[#This Row],[nip_klienta]]=B552,D552+cukier10[[#This Row],[sprzedany_cukier]],cukier10[[#This Row],[sprzedany_cukier]])</f>
        <v>4281</v>
      </c>
      <c r="E553" cm="1">
        <f t="array" ref="E5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53">
        <f>cukier10[[#This Row],[sprzedany_cukier]]*cukier10[[#This Row],[rabat]]</f>
        <v>9.2000000000000011</v>
      </c>
    </row>
    <row r="554" spans="1:6" x14ac:dyDescent="0.25">
      <c r="A554" s="1">
        <v>41214</v>
      </c>
      <c r="B554" t="s">
        <v>18</v>
      </c>
      <c r="C554">
        <v>65</v>
      </c>
      <c r="D554">
        <f>IF(cukier10[[#This Row],[nip_klienta]]=B553,D553+cukier10[[#This Row],[sprzedany_cukier]],cukier10[[#This Row],[sprzedany_cukier]])</f>
        <v>4346</v>
      </c>
      <c r="E554" cm="1">
        <f t="array" ref="E5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54">
        <f>cukier10[[#This Row],[sprzedany_cukier]]*cukier10[[#This Row],[rabat]]</f>
        <v>6.5</v>
      </c>
    </row>
    <row r="555" spans="1:6" x14ac:dyDescent="0.25">
      <c r="A555" s="1">
        <v>41284</v>
      </c>
      <c r="B555" t="s">
        <v>18</v>
      </c>
      <c r="C555">
        <v>176</v>
      </c>
      <c r="D555">
        <f>IF(cukier10[[#This Row],[nip_klienta]]=B554,D554+cukier10[[#This Row],[sprzedany_cukier]],cukier10[[#This Row],[sprzedany_cukier]])</f>
        <v>4522</v>
      </c>
      <c r="E555" cm="1">
        <f t="array" ref="E5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55">
        <f>cukier10[[#This Row],[sprzedany_cukier]]*cukier10[[#This Row],[rabat]]</f>
        <v>17.600000000000001</v>
      </c>
    </row>
    <row r="556" spans="1:6" x14ac:dyDescent="0.25">
      <c r="A556" s="1">
        <v>41290</v>
      </c>
      <c r="B556" t="s">
        <v>18</v>
      </c>
      <c r="C556">
        <v>186</v>
      </c>
      <c r="D556">
        <f>IF(cukier10[[#This Row],[nip_klienta]]=B555,D555+cukier10[[#This Row],[sprzedany_cukier]],cukier10[[#This Row],[sprzedany_cukier]])</f>
        <v>4708</v>
      </c>
      <c r="E556" cm="1">
        <f t="array" ref="E5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56">
        <f>cukier10[[#This Row],[sprzedany_cukier]]*cukier10[[#This Row],[rabat]]</f>
        <v>18.600000000000001</v>
      </c>
    </row>
    <row r="557" spans="1:6" x14ac:dyDescent="0.25">
      <c r="A557" s="1">
        <v>41368</v>
      </c>
      <c r="B557" t="s">
        <v>18</v>
      </c>
      <c r="C557">
        <v>94</v>
      </c>
      <c r="D557">
        <f>IF(cukier10[[#This Row],[nip_klienta]]=B556,D556+cukier10[[#This Row],[sprzedany_cukier]],cukier10[[#This Row],[sprzedany_cukier]])</f>
        <v>4802</v>
      </c>
      <c r="E557" cm="1">
        <f t="array" ref="E5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57">
        <f>cukier10[[#This Row],[sprzedany_cukier]]*cukier10[[#This Row],[rabat]]</f>
        <v>9.4</v>
      </c>
    </row>
    <row r="558" spans="1:6" x14ac:dyDescent="0.25">
      <c r="A558" s="1">
        <v>41391</v>
      </c>
      <c r="B558" t="s">
        <v>18</v>
      </c>
      <c r="C558">
        <v>190</v>
      </c>
      <c r="D558">
        <f>IF(cukier10[[#This Row],[nip_klienta]]=B557,D557+cukier10[[#This Row],[sprzedany_cukier]],cukier10[[#This Row],[sprzedany_cukier]])</f>
        <v>4992</v>
      </c>
      <c r="E558" cm="1">
        <f t="array" ref="E5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58">
        <f>cukier10[[#This Row],[sprzedany_cukier]]*cukier10[[#This Row],[rabat]]</f>
        <v>19</v>
      </c>
    </row>
    <row r="559" spans="1:6" x14ac:dyDescent="0.25">
      <c r="A559" s="1">
        <v>41815</v>
      </c>
      <c r="B559" t="s">
        <v>18</v>
      </c>
      <c r="C559">
        <v>59</v>
      </c>
      <c r="D559">
        <f>IF(cukier10[[#This Row],[nip_klienta]]=B558,D558+cukier10[[#This Row],[sprzedany_cukier]],cukier10[[#This Row],[sprzedany_cukier]])</f>
        <v>5051</v>
      </c>
      <c r="E559" cm="1">
        <f t="array" ref="E5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59">
        <f>cukier10[[#This Row],[sprzedany_cukier]]*cukier10[[#This Row],[rabat]]</f>
        <v>5.9</v>
      </c>
    </row>
    <row r="560" spans="1:6" x14ac:dyDescent="0.25">
      <c r="A560" s="1">
        <v>41866</v>
      </c>
      <c r="B560" t="s">
        <v>18</v>
      </c>
      <c r="C560">
        <v>73</v>
      </c>
      <c r="D560">
        <f>IF(cukier10[[#This Row],[nip_klienta]]=B559,D559+cukier10[[#This Row],[sprzedany_cukier]],cukier10[[#This Row],[sprzedany_cukier]])</f>
        <v>5124</v>
      </c>
      <c r="E560" cm="1">
        <f t="array" ref="E5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60">
        <f>cukier10[[#This Row],[sprzedany_cukier]]*cukier10[[#This Row],[rabat]]</f>
        <v>7.3000000000000007</v>
      </c>
    </row>
    <row r="561" spans="1:6" x14ac:dyDescent="0.25">
      <c r="A561" s="1">
        <v>41963</v>
      </c>
      <c r="B561" t="s">
        <v>18</v>
      </c>
      <c r="C561">
        <v>32</v>
      </c>
      <c r="D561">
        <f>IF(cukier10[[#This Row],[nip_klienta]]=B560,D560+cukier10[[#This Row],[sprzedany_cukier]],cukier10[[#This Row],[sprzedany_cukier]])</f>
        <v>5156</v>
      </c>
      <c r="E561" cm="1">
        <f t="array" ref="E5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561">
        <f>cukier10[[#This Row],[sprzedany_cukier]]*cukier10[[#This Row],[rabat]]</f>
        <v>3.2</v>
      </c>
    </row>
    <row r="562" spans="1:6" x14ac:dyDescent="0.25">
      <c r="A562" s="1">
        <v>39997</v>
      </c>
      <c r="B562" t="s">
        <v>194</v>
      </c>
      <c r="C562">
        <v>13</v>
      </c>
      <c r="D562">
        <f>IF(cukier10[[#This Row],[nip_klienta]]=B561,D561+cukier10[[#This Row],[sprzedany_cukier]],cukier10[[#This Row],[sprzedany_cukier]])</f>
        <v>13</v>
      </c>
      <c r="E562" cm="1">
        <f t="array" ref="E5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62">
        <f>cukier10[[#This Row],[sprzedany_cukier]]*cukier10[[#This Row],[rabat]]</f>
        <v>0</v>
      </c>
    </row>
    <row r="563" spans="1:6" x14ac:dyDescent="0.25">
      <c r="A563" s="1">
        <v>40733</v>
      </c>
      <c r="B563" t="s">
        <v>194</v>
      </c>
      <c r="C563">
        <v>6</v>
      </c>
      <c r="D563">
        <f>IF(cukier10[[#This Row],[nip_klienta]]=B562,D562+cukier10[[#This Row],[sprzedany_cukier]],cukier10[[#This Row],[sprzedany_cukier]])</f>
        <v>19</v>
      </c>
      <c r="E563" cm="1">
        <f t="array" ref="E5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63">
        <f>cukier10[[#This Row],[sprzedany_cukier]]*cukier10[[#This Row],[rabat]]</f>
        <v>0</v>
      </c>
    </row>
    <row r="564" spans="1:6" x14ac:dyDescent="0.25">
      <c r="A564" s="1">
        <v>39500</v>
      </c>
      <c r="B564" t="s">
        <v>159</v>
      </c>
      <c r="C564">
        <v>5</v>
      </c>
      <c r="D564">
        <f>IF(cukier10[[#This Row],[nip_klienta]]=B563,D563+cukier10[[#This Row],[sprzedany_cukier]],cukier10[[#This Row],[sprzedany_cukier]])</f>
        <v>5</v>
      </c>
      <c r="E564" cm="1">
        <f t="array" ref="E5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64">
        <f>cukier10[[#This Row],[sprzedany_cukier]]*cukier10[[#This Row],[rabat]]</f>
        <v>0</v>
      </c>
    </row>
    <row r="565" spans="1:6" x14ac:dyDescent="0.25">
      <c r="A565" s="1">
        <v>39729</v>
      </c>
      <c r="B565" t="s">
        <v>159</v>
      </c>
      <c r="C565">
        <v>12</v>
      </c>
      <c r="D565">
        <f>IF(cukier10[[#This Row],[nip_klienta]]=B564,D564+cukier10[[#This Row],[sprzedany_cukier]],cukier10[[#This Row],[sprzedany_cukier]])</f>
        <v>17</v>
      </c>
      <c r="E565" cm="1">
        <f t="array" ref="E5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65">
        <f>cukier10[[#This Row],[sprzedany_cukier]]*cukier10[[#This Row],[rabat]]</f>
        <v>0</v>
      </c>
    </row>
    <row r="566" spans="1:6" x14ac:dyDescent="0.25">
      <c r="A566" s="1">
        <v>41321</v>
      </c>
      <c r="B566" t="s">
        <v>159</v>
      </c>
      <c r="C566">
        <v>1</v>
      </c>
      <c r="D566">
        <f>IF(cukier10[[#This Row],[nip_klienta]]=B565,D565+cukier10[[#This Row],[sprzedany_cukier]],cukier10[[#This Row],[sprzedany_cukier]])</f>
        <v>18</v>
      </c>
      <c r="E566" cm="1">
        <f t="array" ref="E5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66">
        <f>cukier10[[#This Row],[sprzedany_cukier]]*cukier10[[#This Row],[rabat]]</f>
        <v>0</v>
      </c>
    </row>
    <row r="567" spans="1:6" x14ac:dyDescent="0.25">
      <c r="A567" s="1">
        <v>41448</v>
      </c>
      <c r="B567" t="s">
        <v>159</v>
      </c>
      <c r="C567">
        <v>20</v>
      </c>
      <c r="D567">
        <f>IF(cukier10[[#This Row],[nip_klienta]]=B566,D566+cukier10[[#This Row],[sprzedany_cukier]],cukier10[[#This Row],[sprzedany_cukier]])</f>
        <v>38</v>
      </c>
      <c r="E567" cm="1">
        <f t="array" ref="E5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67">
        <f>cukier10[[#This Row],[sprzedany_cukier]]*cukier10[[#This Row],[rabat]]</f>
        <v>0</v>
      </c>
    </row>
    <row r="568" spans="1:6" x14ac:dyDescent="0.25">
      <c r="A568" s="1">
        <v>41999</v>
      </c>
      <c r="B568" t="s">
        <v>159</v>
      </c>
      <c r="C568">
        <v>8</v>
      </c>
      <c r="D568">
        <f>IF(cukier10[[#This Row],[nip_klienta]]=B567,D567+cukier10[[#This Row],[sprzedany_cukier]],cukier10[[#This Row],[sprzedany_cukier]])</f>
        <v>46</v>
      </c>
      <c r="E568" cm="1">
        <f t="array" ref="E5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68">
        <f>cukier10[[#This Row],[sprzedany_cukier]]*cukier10[[#This Row],[rabat]]</f>
        <v>0</v>
      </c>
    </row>
    <row r="569" spans="1:6" x14ac:dyDescent="0.25">
      <c r="A569" s="1">
        <v>39843</v>
      </c>
      <c r="B569" t="s">
        <v>181</v>
      </c>
      <c r="C569">
        <v>11</v>
      </c>
      <c r="D569">
        <f>IF(cukier10[[#This Row],[nip_klienta]]=B568,D568+cukier10[[#This Row],[sprzedany_cukier]],cukier10[[#This Row],[sprzedany_cukier]])</f>
        <v>11</v>
      </c>
      <c r="E569" cm="1">
        <f t="array" ref="E5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69">
        <f>cukier10[[#This Row],[sprzedany_cukier]]*cukier10[[#This Row],[rabat]]</f>
        <v>0</v>
      </c>
    </row>
    <row r="570" spans="1:6" x14ac:dyDescent="0.25">
      <c r="A570" s="1">
        <v>40777</v>
      </c>
      <c r="B570" t="s">
        <v>181</v>
      </c>
      <c r="C570">
        <v>2</v>
      </c>
      <c r="D570">
        <f>IF(cukier10[[#This Row],[nip_klienta]]=B569,D569+cukier10[[#This Row],[sprzedany_cukier]],cukier10[[#This Row],[sprzedany_cukier]])</f>
        <v>13</v>
      </c>
      <c r="E570" cm="1">
        <f t="array" ref="E5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70">
        <f>cukier10[[#This Row],[sprzedany_cukier]]*cukier10[[#This Row],[rabat]]</f>
        <v>0</v>
      </c>
    </row>
    <row r="571" spans="1:6" x14ac:dyDescent="0.25">
      <c r="A571" s="1">
        <v>41132</v>
      </c>
      <c r="B571" t="s">
        <v>181</v>
      </c>
      <c r="C571">
        <v>16</v>
      </c>
      <c r="D571">
        <f>IF(cukier10[[#This Row],[nip_klienta]]=B570,D570+cukier10[[#This Row],[sprzedany_cukier]],cukier10[[#This Row],[sprzedany_cukier]])</f>
        <v>29</v>
      </c>
      <c r="E571" cm="1">
        <f t="array" ref="E5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71">
        <f>cukier10[[#This Row],[sprzedany_cukier]]*cukier10[[#This Row],[rabat]]</f>
        <v>0</v>
      </c>
    </row>
    <row r="572" spans="1:6" x14ac:dyDescent="0.25">
      <c r="A572" s="1">
        <v>39259</v>
      </c>
      <c r="B572" t="s">
        <v>144</v>
      </c>
      <c r="C572">
        <v>18</v>
      </c>
      <c r="D572">
        <f>IF(cukier10[[#This Row],[nip_klienta]]=B571,D571+cukier10[[#This Row],[sprzedany_cukier]],cukier10[[#This Row],[sprzedany_cukier]])</f>
        <v>18</v>
      </c>
      <c r="E572" cm="1">
        <f t="array" ref="E5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72">
        <f>cukier10[[#This Row],[sprzedany_cukier]]*cukier10[[#This Row],[rabat]]</f>
        <v>0</v>
      </c>
    </row>
    <row r="573" spans="1:6" x14ac:dyDescent="0.25">
      <c r="A573" s="1">
        <v>40957</v>
      </c>
      <c r="B573" t="s">
        <v>144</v>
      </c>
      <c r="C573">
        <v>18</v>
      </c>
      <c r="D573">
        <f>IF(cukier10[[#This Row],[nip_klienta]]=B572,D572+cukier10[[#This Row],[sprzedany_cukier]],cukier10[[#This Row],[sprzedany_cukier]])</f>
        <v>36</v>
      </c>
      <c r="E573" cm="1">
        <f t="array" ref="E5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73">
        <f>cukier10[[#This Row],[sprzedany_cukier]]*cukier10[[#This Row],[rabat]]</f>
        <v>0</v>
      </c>
    </row>
    <row r="574" spans="1:6" x14ac:dyDescent="0.25">
      <c r="A574" s="1">
        <v>41489</v>
      </c>
      <c r="B574" t="s">
        <v>144</v>
      </c>
      <c r="C574">
        <v>13</v>
      </c>
      <c r="D574">
        <f>IF(cukier10[[#This Row],[nip_klienta]]=B573,D573+cukier10[[#This Row],[sprzedany_cukier]],cukier10[[#This Row],[sprzedany_cukier]])</f>
        <v>49</v>
      </c>
      <c r="E574" cm="1">
        <f t="array" ref="E5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74">
        <f>cukier10[[#This Row],[sprzedany_cukier]]*cukier10[[#This Row],[rabat]]</f>
        <v>0</v>
      </c>
    </row>
    <row r="575" spans="1:6" x14ac:dyDescent="0.25">
      <c r="A575" s="1">
        <v>38674</v>
      </c>
      <c r="B575" t="s">
        <v>87</v>
      </c>
      <c r="C575">
        <v>16</v>
      </c>
      <c r="D575">
        <f>IF(cukier10[[#This Row],[nip_klienta]]=B574,D574+cukier10[[#This Row],[sprzedany_cukier]],cukier10[[#This Row],[sprzedany_cukier]])</f>
        <v>16</v>
      </c>
      <c r="E575" cm="1">
        <f t="array" ref="E5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75">
        <f>cukier10[[#This Row],[sprzedany_cukier]]*cukier10[[#This Row],[rabat]]</f>
        <v>0</v>
      </c>
    </row>
    <row r="576" spans="1:6" x14ac:dyDescent="0.25">
      <c r="A576" s="1">
        <v>38818</v>
      </c>
      <c r="B576" t="s">
        <v>87</v>
      </c>
      <c r="C576">
        <v>11</v>
      </c>
      <c r="D576">
        <f>IF(cukier10[[#This Row],[nip_klienta]]=B575,D575+cukier10[[#This Row],[sprzedany_cukier]],cukier10[[#This Row],[sprzedany_cukier]])</f>
        <v>27</v>
      </c>
      <c r="E576" cm="1">
        <f t="array" ref="E5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76">
        <f>cukier10[[#This Row],[sprzedany_cukier]]*cukier10[[#This Row],[rabat]]</f>
        <v>0</v>
      </c>
    </row>
    <row r="577" spans="1:6" x14ac:dyDescent="0.25">
      <c r="A577" s="1">
        <v>39812</v>
      </c>
      <c r="B577" t="s">
        <v>87</v>
      </c>
      <c r="C577">
        <v>18</v>
      </c>
      <c r="D577">
        <f>IF(cukier10[[#This Row],[nip_klienta]]=B576,D576+cukier10[[#This Row],[sprzedany_cukier]],cukier10[[#This Row],[sprzedany_cukier]])</f>
        <v>45</v>
      </c>
      <c r="E577" cm="1">
        <f t="array" ref="E5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77">
        <f>cukier10[[#This Row],[sprzedany_cukier]]*cukier10[[#This Row],[rabat]]</f>
        <v>0</v>
      </c>
    </row>
    <row r="578" spans="1:6" x14ac:dyDescent="0.25">
      <c r="A578" s="1">
        <v>39942</v>
      </c>
      <c r="B578" t="s">
        <v>87</v>
      </c>
      <c r="C578">
        <v>9</v>
      </c>
      <c r="D578">
        <f>IF(cukier10[[#This Row],[nip_klienta]]=B577,D577+cukier10[[#This Row],[sprzedany_cukier]],cukier10[[#This Row],[sprzedany_cukier]])</f>
        <v>54</v>
      </c>
      <c r="E578" cm="1">
        <f t="array" ref="E5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78">
        <f>cukier10[[#This Row],[sprzedany_cukier]]*cukier10[[#This Row],[rabat]]</f>
        <v>0</v>
      </c>
    </row>
    <row r="579" spans="1:6" x14ac:dyDescent="0.25">
      <c r="A579" s="1">
        <v>41691</v>
      </c>
      <c r="B579" t="s">
        <v>87</v>
      </c>
      <c r="C579">
        <v>1</v>
      </c>
      <c r="D579">
        <f>IF(cukier10[[#This Row],[nip_klienta]]=B578,D578+cukier10[[#This Row],[sprzedany_cukier]],cukier10[[#This Row],[sprzedany_cukier]])</f>
        <v>55</v>
      </c>
      <c r="E579" cm="1">
        <f t="array" ref="E5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79">
        <f>cukier10[[#This Row],[sprzedany_cukier]]*cukier10[[#This Row],[rabat]]</f>
        <v>0</v>
      </c>
    </row>
    <row r="580" spans="1:6" x14ac:dyDescent="0.25">
      <c r="A580" s="1">
        <v>39994</v>
      </c>
      <c r="B580" t="s">
        <v>192</v>
      </c>
      <c r="C580">
        <v>17</v>
      </c>
      <c r="D580">
        <f>IF(cukier10[[#This Row],[nip_klienta]]=B579,D579+cukier10[[#This Row],[sprzedany_cukier]],cukier10[[#This Row],[sprzedany_cukier]])</f>
        <v>17</v>
      </c>
      <c r="E580" cm="1">
        <f t="array" ref="E5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80">
        <f>cukier10[[#This Row],[sprzedany_cukier]]*cukier10[[#This Row],[rabat]]</f>
        <v>0</v>
      </c>
    </row>
    <row r="581" spans="1:6" x14ac:dyDescent="0.25">
      <c r="A581" s="1">
        <v>39061</v>
      </c>
      <c r="B581" t="s">
        <v>133</v>
      </c>
      <c r="C581">
        <v>4</v>
      </c>
      <c r="D581">
        <f>IF(cukier10[[#This Row],[nip_klienta]]=B580,D580+cukier10[[#This Row],[sprzedany_cukier]],cukier10[[#This Row],[sprzedany_cukier]])</f>
        <v>4</v>
      </c>
      <c r="E581" cm="1">
        <f t="array" ref="E5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81">
        <f>cukier10[[#This Row],[sprzedany_cukier]]*cukier10[[#This Row],[rabat]]</f>
        <v>0</v>
      </c>
    </row>
    <row r="582" spans="1:6" x14ac:dyDescent="0.25">
      <c r="A582" s="1">
        <v>39885</v>
      </c>
      <c r="B582" t="s">
        <v>133</v>
      </c>
      <c r="C582">
        <v>18</v>
      </c>
      <c r="D582">
        <f>IF(cukier10[[#This Row],[nip_klienta]]=B581,D581+cukier10[[#This Row],[sprzedany_cukier]],cukier10[[#This Row],[sprzedany_cukier]])</f>
        <v>22</v>
      </c>
      <c r="E582" cm="1">
        <f t="array" ref="E5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82">
        <f>cukier10[[#This Row],[sprzedany_cukier]]*cukier10[[#This Row],[rabat]]</f>
        <v>0</v>
      </c>
    </row>
    <row r="583" spans="1:6" x14ac:dyDescent="0.25">
      <c r="A583" s="1">
        <v>38570</v>
      </c>
      <c r="B583" t="s">
        <v>68</v>
      </c>
      <c r="C583">
        <v>8</v>
      </c>
      <c r="D583">
        <f>IF(cukier10[[#This Row],[nip_klienta]]=B582,D582+cukier10[[#This Row],[sprzedany_cukier]],cukier10[[#This Row],[sprzedany_cukier]])</f>
        <v>8</v>
      </c>
      <c r="E583" cm="1">
        <f t="array" ref="E5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83">
        <f>cukier10[[#This Row],[sprzedany_cukier]]*cukier10[[#This Row],[rabat]]</f>
        <v>0</v>
      </c>
    </row>
    <row r="584" spans="1:6" x14ac:dyDescent="0.25">
      <c r="A584" s="1">
        <v>39292</v>
      </c>
      <c r="B584" t="s">
        <v>68</v>
      </c>
      <c r="C584">
        <v>18</v>
      </c>
      <c r="D584">
        <f>IF(cukier10[[#This Row],[nip_klienta]]=B583,D583+cukier10[[#This Row],[sprzedany_cukier]],cukier10[[#This Row],[sprzedany_cukier]])</f>
        <v>26</v>
      </c>
      <c r="E584" cm="1">
        <f t="array" ref="E5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84">
        <f>cukier10[[#This Row],[sprzedany_cukier]]*cukier10[[#This Row],[rabat]]</f>
        <v>0</v>
      </c>
    </row>
    <row r="585" spans="1:6" x14ac:dyDescent="0.25">
      <c r="A585" s="1">
        <v>39853</v>
      </c>
      <c r="B585" t="s">
        <v>68</v>
      </c>
      <c r="C585">
        <v>3</v>
      </c>
      <c r="D585">
        <f>IF(cukier10[[#This Row],[nip_klienta]]=B584,D584+cukier10[[#This Row],[sprzedany_cukier]],cukier10[[#This Row],[sprzedany_cukier]])</f>
        <v>29</v>
      </c>
      <c r="E585" cm="1">
        <f t="array" ref="E5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85">
        <f>cukier10[[#This Row],[sprzedany_cukier]]*cukier10[[#This Row],[rabat]]</f>
        <v>0</v>
      </c>
    </row>
    <row r="586" spans="1:6" x14ac:dyDescent="0.25">
      <c r="A586" s="1">
        <v>40783</v>
      </c>
      <c r="B586" t="s">
        <v>68</v>
      </c>
      <c r="C586">
        <v>3</v>
      </c>
      <c r="D586">
        <f>IF(cukier10[[#This Row],[nip_klienta]]=B585,D585+cukier10[[#This Row],[sprzedany_cukier]],cukier10[[#This Row],[sprzedany_cukier]])</f>
        <v>32</v>
      </c>
      <c r="E586" cm="1">
        <f t="array" ref="E5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86">
        <f>cukier10[[#This Row],[sprzedany_cukier]]*cukier10[[#This Row],[rabat]]</f>
        <v>0</v>
      </c>
    </row>
    <row r="587" spans="1:6" x14ac:dyDescent="0.25">
      <c r="A587" s="1">
        <v>41208</v>
      </c>
      <c r="B587" t="s">
        <v>68</v>
      </c>
      <c r="C587">
        <v>5</v>
      </c>
      <c r="D587">
        <f>IF(cukier10[[#This Row],[nip_klienta]]=B586,D586+cukier10[[#This Row],[sprzedany_cukier]],cukier10[[#This Row],[sprzedany_cukier]])</f>
        <v>37</v>
      </c>
      <c r="E587" cm="1">
        <f t="array" ref="E5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87">
        <f>cukier10[[#This Row],[sprzedany_cukier]]*cukier10[[#This Row],[rabat]]</f>
        <v>0</v>
      </c>
    </row>
    <row r="588" spans="1:6" x14ac:dyDescent="0.25">
      <c r="A588" s="1">
        <v>39456</v>
      </c>
      <c r="B588" t="s">
        <v>151</v>
      </c>
      <c r="C588">
        <v>13</v>
      </c>
      <c r="D588">
        <f>IF(cukier10[[#This Row],[nip_klienta]]=B587,D587+cukier10[[#This Row],[sprzedany_cukier]],cukier10[[#This Row],[sprzedany_cukier]])</f>
        <v>13</v>
      </c>
      <c r="E588" cm="1">
        <f t="array" ref="E5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88">
        <f>cukier10[[#This Row],[sprzedany_cukier]]*cukier10[[#This Row],[rabat]]</f>
        <v>0</v>
      </c>
    </row>
    <row r="589" spans="1:6" x14ac:dyDescent="0.25">
      <c r="A589" s="1">
        <v>39568</v>
      </c>
      <c r="B589" t="s">
        <v>151</v>
      </c>
      <c r="C589">
        <v>15</v>
      </c>
      <c r="D589">
        <f>IF(cukier10[[#This Row],[nip_klienta]]=B588,D588+cukier10[[#This Row],[sprzedany_cukier]],cukier10[[#This Row],[sprzedany_cukier]])</f>
        <v>28</v>
      </c>
      <c r="E589" cm="1">
        <f t="array" ref="E5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89">
        <f>cukier10[[#This Row],[sprzedany_cukier]]*cukier10[[#This Row],[rabat]]</f>
        <v>0</v>
      </c>
    </row>
    <row r="590" spans="1:6" x14ac:dyDescent="0.25">
      <c r="A590" s="1">
        <v>39686</v>
      </c>
      <c r="B590" t="s">
        <v>151</v>
      </c>
      <c r="C590">
        <v>11</v>
      </c>
      <c r="D590">
        <f>IF(cukier10[[#This Row],[nip_klienta]]=B589,D589+cukier10[[#This Row],[sprzedany_cukier]],cukier10[[#This Row],[sprzedany_cukier]])</f>
        <v>39</v>
      </c>
      <c r="E590" cm="1">
        <f t="array" ref="E5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90">
        <f>cukier10[[#This Row],[sprzedany_cukier]]*cukier10[[#This Row],[rabat]]</f>
        <v>0</v>
      </c>
    </row>
    <row r="591" spans="1:6" x14ac:dyDescent="0.25">
      <c r="A591" s="1">
        <v>41182</v>
      </c>
      <c r="B591" t="s">
        <v>151</v>
      </c>
      <c r="C591">
        <v>11</v>
      </c>
      <c r="D591">
        <f>IF(cukier10[[#This Row],[nip_klienta]]=B590,D590+cukier10[[#This Row],[sprzedany_cukier]],cukier10[[#This Row],[sprzedany_cukier]])</f>
        <v>50</v>
      </c>
      <c r="E591" cm="1">
        <f t="array" ref="E5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91">
        <f>cukier10[[#This Row],[sprzedany_cukier]]*cukier10[[#This Row],[rabat]]</f>
        <v>0</v>
      </c>
    </row>
    <row r="592" spans="1:6" x14ac:dyDescent="0.25">
      <c r="A592" s="1">
        <v>38416</v>
      </c>
      <c r="B592" t="s">
        <v>26</v>
      </c>
      <c r="C592">
        <v>48</v>
      </c>
      <c r="D592">
        <f>IF(cukier10[[#This Row],[nip_klienta]]=B591,D591+cukier10[[#This Row],[sprzedany_cukier]],cukier10[[#This Row],[sprzedany_cukier]])</f>
        <v>48</v>
      </c>
      <c r="E592" cm="1">
        <f t="array" ref="E5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592">
        <f>cukier10[[#This Row],[sprzedany_cukier]]*cukier10[[#This Row],[rabat]]</f>
        <v>0</v>
      </c>
    </row>
    <row r="593" spans="1:6" x14ac:dyDescent="0.25">
      <c r="A593" s="1">
        <v>38780</v>
      </c>
      <c r="B593" t="s">
        <v>26</v>
      </c>
      <c r="C593">
        <v>80</v>
      </c>
      <c r="D593">
        <f>IF(cukier10[[#This Row],[nip_klienta]]=B592,D592+cukier10[[#This Row],[sprzedany_cukier]],cukier10[[#This Row],[sprzedany_cukier]])</f>
        <v>128</v>
      </c>
      <c r="E593" cm="1">
        <f t="array" ref="E5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93">
        <f>cukier10[[#This Row],[sprzedany_cukier]]*cukier10[[#This Row],[rabat]]</f>
        <v>4</v>
      </c>
    </row>
    <row r="594" spans="1:6" x14ac:dyDescent="0.25">
      <c r="A594" s="1">
        <v>38950</v>
      </c>
      <c r="B594" t="s">
        <v>26</v>
      </c>
      <c r="C594">
        <v>179</v>
      </c>
      <c r="D594">
        <f>IF(cukier10[[#This Row],[nip_klienta]]=B593,D593+cukier10[[#This Row],[sprzedany_cukier]],cukier10[[#This Row],[sprzedany_cukier]])</f>
        <v>307</v>
      </c>
      <c r="E594" cm="1">
        <f t="array" ref="E5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94">
        <f>cukier10[[#This Row],[sprzedany_cukier]]*cukier10[[#This Row],[rabat]]</f>
        <v>8.9500000000000011</v>
      </c>
    </row>
    <row r="595" spans="1:6" x14ac:dyDescent="0.25">
      <c r="A595" s="1">
        <v>39579</v>
      </c>
      <c r="B595" t="s">
        <v>26</v>
      </c>
      <c r="C595">
        <v>181</v>
      </c>
      <c r="D595">
        <f>IF(cukier10[[#This Row],[nip_klienta]]=B594,D594+cukier10[[#This Row],[sprzedany_cukier]],cukier10[[#This Row],[sprzedany_cukier]])</f>
        <v>488</v>
      </c>
      <c r="E595" cm="1">
        <f t="array" ref="E5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95">
        <f>cukier10[[#This Row],[sprzedany_cukier]]*cukier10[[#This Row],[rabat]]</f>
        <v>9.0500000000000007</v>
      </c>
    </row>
    <row r="596" spans="1:6" x14ac:dyDescent="0.25">
      <c r="A596" s="1">
        <v>40019</v>
      </c>
      <c r="B596" t="s">
        <v>26</v>
      </c>
      <c r="C596">
        <v>148</v>
      </c>
      <c r="D596">
        <f>IF(cukier10[[#This Row],[nip_klienta]]=B595,D595+cukier10[[#This Row],[sprzedany_cukier]],cukier10[[#This Row],[sprzedany_cukier]])</f>
        <v>636</v>
      </c>
      <c r="E596" cm="1">
        <f t="array" ref="E5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96">
        <f>cukier10[[#This Row],[sprzedany_cukier]]*cukier10[[#This Row],[rabat]]</f>
        <v>7.4</v>
      </c>
    </row>
    <row r="597" spans="1:6" x14ac:dyDescent="0.25">
      <c r="A597" s="1">
        <v>40444</v>
      </c>
      <c r="B597" t="s">
        <v>26</v>
      </c>
      <c r="C597">
        <v>38</v>
      </c>
      <c r="D597">
        <f>IF(cukier10[[#This Row],[nip_klienta]]=B596,D596+cukier10[[#This Row],[sprzedany_cukier]],cukier10[[#This Row],[sprzedany_cukier]])</f>
        <v>674</v>
      </c>
      <c r="E597" cm="1">
        <f t="array" ref="E5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97">
        <f>cukier10[[#This Row],[sprzedany_cukier]]*cukier10[[#This Row],[rabat]]</f>
        <v>1.9000000000000001</v>
      </c>
    </row>
    <row r="598" spans="1:6" x14ac:dyDescent="0.25">
      <c r="A598" s="1">
        <v>40554</v>
      </c>
      <c r="B598" t="s">
        <v>26</v>
      </c>
      <c r="C598">
        <v>187</v>
      </c>
      <c r="D598">
        <f>IF(cukier10[[#This Row],[nip_klienta]]=B597,D597+cukier10[[#This Row],[sprzedany_cukier]],cukier10[[#This Row],[sprzedany_cukier]])</f>
        <v>861</v>
      </c>
      <c r="E598" cm="1">
        <f t="array" ref="E5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98">
        <f>cukier10[[#This Row],[sprzedany_cukier]]*cukier10[[#This Row],[rabat]]</f>
        <v>9.35</v>
      </c>
    </row>
    <row r="599" spans="1:6" x14ac:dyDescent="0.25">
      <c r="A599" s="1">
        <v>40859</v>
      </c>
      <c r="B599" t="s">
        <v>26</v>
      </c>
      <c r="C599">
        <v>69</v>
      </c>
      <c r="D599">
        <f>IF(cukier10[[#This Row],[nip_klienta]]=B598,D598+cukier10[[#This Row],[sprzedany_cukier]],cukier10[[#This Row],[sprzedany_cukier]])</f>
        <v>930</v>
      </c>
      <c r="E599" cm="1">
        <f t="array" ref="E5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599">
        <f>cukier10[[#This Row],[sprzedany_cukier]]*cukier10[[#This Row],[rabat]]</f>
        <v>3.45</v>
      </c>
    </row>
    <row r="600" spans="1:6" x14ac:dyDescent="0.25">
      <c r="A600" s="1">
        <v>40961</v>
      </c>
      <c r="B600" t="s">
        <v>26</v>
      </c>
      <c r="C600">
        <v>198</v>
      </c>
      <c r="D600">
        <f>IF(cukier10[[#This Row],[nip_klienta]]=B599,D599+cukier10[[#This Row],[sprzedany_cukier]],cukier10[[#This Row],[sprzedany_cukier]])</f>
        <v>1128</v>
      </c>
      <c r="E600" cm="1">
        <f t="array" ref="E6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00">
        <f>cukier10[[#This Row],[sprzedany_cukier]]*cukier10[[#This Row],[rabat]]</f>
        <v>19.8</v>
      </c>
    </row>
    <row r="601" spans="1:6" x14ac:dyDescent="0.25">
      <c r="A601" s="1">
        <v>40980</v>
      </c>
      <c r="B601" t="s">
        <v>26</v>
      </c>
      <c r="C601">
        <v>168</v>
      </c>
      <c r="D601">
        <f>IF(cukier10[[#This Row],[nip_klienta]]=B600,D600+cukier10[[#This Row],[sprzedany_cukier]],cukier10[[#This Row],[sprzedany_cukier]])</f>
        <v>1296</v>
      </c>
      <c r="E601" cm="1">
        <f t="array" ref="E6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01">
        <f>cukier10[[#This Row],[sprzedany_cukier]]*cukier10[[#This Row],[rabat]]</f>
        <v>16.8</v>
      </c>
    </row>
    <row r="602" spans="1:6" x14ac:dyDescent="0.25">
      <c r="A602" s="1">
        <v>40982</v>
      </c>
      <c r="B602" t="s">
        <v>26</v>
      </c>
      <c r="C602">
        <v>49</v>
      </c>
      <c r="D602">
        <f>IF(cukier10[[#This Row],[nip_klienta]]=B601,D601+cukier10[[#This Row],[sprzedany_cukier]],cukier10[[#This Row],[sprzedany_cukier]])</f>
        <v>1345</v>
      </c>
      <c r="E602" cm="1">
        <f t="array" ref="E6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02">
        <f>cukier10[[#This Row],[sprzedany_cukier]]*cukier10[[#This Row],[rabat]]</f>
        <v>4.9000000000000004</v>
      </c>
    </row>
    <row r="603" spans="1:6" x14ac:dyDescent="0.25">
      <c r="A603" s="1">
        <v>41027</v>
      </c>
      <c r="B603" t="s">
        <v>26</v>
      </c>
      <c r="C603">
        <v>200</v>
      </c>
      <c r="D603">
        <f>IF(cukier10[[#This Row],[nip_klienta]]=B602,D602+cukier10[[#This Row],[sprzedany_cukier]],cukier10[[#This Row],[sprzedany_cukier]])</f>
        <v>1545</v>
      </c>
      <c r="E603" cm="1">
        <f t="array" ref="E6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03">
        <f>cukier10[[#This Row],[sprzedany_cukier]]*cukier10[[#This Row],[rabat]]</f>
        <v>20</v>
      </c>
    </row>
    <row r="604" spans="1:6" x14ac:dyDescent="0.25">
      <c r="A604" s="1">
        <v>41195</v>
      </c>
      <c r="B604" t="s">
        <v>26</v>
      </c>
      <c r="C604">
        <v>142</v>
      </c>
      <c r="D604">
        <f>IF(cukier10[[#This Row],[nip_klienta]]=B603,D603+cukier10[[#This Row],[sprzedany_cukier]],cukier10[[#This Row],[sprzedany_cukier]])</f>
        <v>1687</v>
      </c>
      <c r="E604" cm="1">
        <f t="array" ref="E6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04">
        <f>cukier10[[#This Row],[sprzedany_cukier]]*cukier10[[#This Row],[rabat]]</f>
        <v>14.200000000000001</v>
      </c>
    </row>
    <row r="605" spans="1:6" x14ac:dyDescent="0.25">
      <c r="A605" s="1">
        <v>41302</v>
      </c>
      <c r="B605" t="s">
        <v>26</v>
      </c>
      <c r="C605">
        <v>185</v>
      </c>
      <c r="D605">
        <f>IF(cukier10[[#This Row],[nip_klienta]]=B604,D604+cukier10[[#This Row],[sprzedany_cukier]],cukier10[[#This Row],[sprzedany_cukier]])</f>
        <v>1872</v>
      </c>
      <c r="E605" cm="1">
        <f t="array" ref="E6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05">
        <f>cukier10[[#This Row],[sprzedany_cukier]]*cukier10[[#This Row],[rabat]]</f>
        <v>18.5</v>
      </c>
    </row>
    <row r="606" spans="1:6" x14ac:dyDescent="0.25">
      <c r="A606" s="1">
        <v>41602</v>
      </c>
      <c r="B606" t="s">
        <v>26</v>
      </c>
      <c r="C606">
        <v>186</v>
      </c>
      <c r="D606">
        <f>IF(cukier10[[#This Row],[nip_klienta]]=B605,D605+cukier10[[#This Row],[sprzedany_cukier]],cukier10[[#This Row],[sprzedany_cukier]])</f>
        <v>2058</v>
      </c>
      <c r="E606" cm="1">
        <f t="array" ref="E6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06">
        <f>cukier10[[#This Row],[sprzedany_cukier]]*cukier10[[#This Row],[rabat]]</f>
        <v>18.600000000000001</v>
      </c>
    </row>
    <row r="607" spans="1:6" x14ac:dyDescent="0.25">
      <c r="A607" s="1">
        <v>41680</v>
      </c>
      <c r="B607" t="s">
        <v>26</v>
      </c>
      <c r="C607">
        <v>187</v>
      </c>
      <c r="D607">
        <f>IF(cukier10[[#This Row],[nip_klienta]]=B606,D606+cukier10[[#This Row],[sprzedany_cukier]],cukier10[[#This Row],[sprzedany_cukier]])</f>
        <v>2245</v>
      </c>
      <c r="E607" cm="1">
        <f t="array" ref="E6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07">
        <f>cukier10[[#This Row],[sprzedany_cukier]]*cukier10[[#This Row],[rabat]]</f>
        <v>18.7</v>
      </c>
    </row>
    <row r="608" spans="1:6" x14ac:dyDescent="0.25">
      <c r="A608" s="1">
        <v>41746</v>
      </c>
      <c r="B608" t="s">
        <v>26</v>
      </c>
      <c r="C608">
        <v>41</v>
      </c>
      <c r="D608">
        <f>IF(cukier10[[#This Row],[nip_klienta]]=B607,D607+cukier10[[#This Row],[sprzedany_cukier]],cukier10[[#This Row],[sprzedany_cukier]])</f>
        <v>2286</v>
      </c>
      <c r="E608" cm="1">
        <f t="array" ref="E6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08">
        <f>cukier10[[#This Row],[sprzedany_cukier]]*cukier10[[#This Row],[rabat]]</f>
        <v>4.1000000000000005</v>
      </c>
    </row>
    <row r="609" spans="1:6" x14ac:dyDescent="0.25">
      <c r="A609" s="1">
        <v>39278</v>
      </c>
      <c r="B609" t="s">
        <v>145</v>
      </c>
      <c r="C609">
        <v>3</v>
      </c>
      <c r="D609">
        <f>IF(cukier10[[#This Row],[nip_klienta]]=B608,D608+cukier10[[#This Row],[sprzedany_cukier]],cukier10[[#This Row],[sprzedany_cukier]])</f>
        <v>3</v>
      </c>
      <c r="E609" cm="1">
        <f t="array" ref="E6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09">
        <f>cukier10[[#This Row],[sprzedany_cukier]]*cukier10[[#This Row],[rabat]]</f>
        <v>0</v>
      </c>
    </row>
    <row r="610" spans="1:6" x14ac:dyDescent="0.25">
      <c r="A610" s="1">
        <v>39937</v>
      </c>
      <c r="B610" t="s">
        <v>145</v>
      </c>
      <c r="C610">
        <v>1</v>
      </c>
      <c r="D610">
        <f>IF(cukier10[[#This Row],[nip_klienta]]=B609,D609+cukier10[[#This Row],[sprzedany_cukier]],cukier10[[#This Row],[sprzedany_cukier]])</f>
        <v>4</v>
      </c>
      <c r="E610" cm="1">
        <f t="array" ref="E6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10">
        <f>cukier10[[#This Row],[sprzedany_cukier]]*cukier10[[#This Row],[rabat]]</f>
        <v>0</v>
      </c>
    </row>
    <row r="611" spans="1:6" x14ac:dyDescent="0.25">
      <c r="A611" s="1">
        <v>40009</v>
      </c>
      <c r="B611" t="s">
        <v>145</v>
      </c>
      <c r="C611">
        <v>10</v>
      </c>
      <c r="D611">
        <f>IF(cukier10[[#This Row],[nip_klienta]]=B610,D610+cukier10[[#This Row],[sprzedany_cukier]],cukier10[[#This Row],[sprzedany_cukier]])</f>
        <v>14</v>
      </c>
      <c r="E611" cm="1">
        <f t="array" ref="E6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11">
        <f>cukier10[[#This Row],[sprzedany_cukier]]*cukier10[[#This Row],[rabat]]</f>
        <v>0</v>
      </c>
    </row>
    <row r="612" spans="1:6" x14ac:dyDescent="0.25">
      <c r="A612" s="1">
        <v>38708</v>
      </c>
      <c r="B612" t="s">
        <v>91</v>
      </c>
      <c r="C612">
        <v>17</v>
      </c>
      <c r="D612">
        <f>IF(cukier10[[#This Row],[nip_klienta]]=B611,D611+cukier10[[#This Row],[sprzedany_cukier]],cukier10[[#This Row],[sprzedany_cukier]])</f>
        <v>17</v>
      </c>
      <c r="E612" cm="1">
        <f t="array" ref="E6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12">
        <f>cukier10[[#This Row],[sprzedany_cukier]]*cukier10[[#This Row],[rabat]]</f>
        <v>0</v>
      </c>
    </row>
    <row r="613" spans="1:6" x14ac:dyDescent="0.25">
      <c r="A613" s="1">
        <v>41083</v>
      </c>
      <c r="B613" t="s">
        <v>91</v>
      </c>
      <c r="C613">
        <v>19</v>
      </c>
      <c r="D613">
        <f>IF(cukier10[[#This Row],[nip_klienta]]=B612,D612+cukier10[[#This Row],[sprzedany_cukier]],cukier10[[#This Row],[sprzedany_cukier]])</f>
        <v>36</v>
      </c>
      <c r="E613" cm="1">
        <f t="array" ref="E6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13">
        <f>cukier10[[#This Row],[sprzedany_cukier]]*cukier10[[#This Row],[rabat]]</f>
        <v>0</v>
      </c>
    </row>
    <row r="614" spans="1:6" x14ac:dyDescent="0.25">
      <c r="A614" s="1">
        <v>39526</v>
      </c>
      <c r="B614" t="s">
        <v>164</v>
      </c>
      <c r="C614">
        <v>19</v>
      </c>
      <c r="D614">
        <f>IF(cukier10[[#This Row],[nip_klienta]]=B613,D613+cukier10[[#This Row],[sprzedany_cukier]],cukier10[[#This Row],[sprzedany_cukier]])</f>
        <v>19</v>
      </c>
      <c r="E614" cm="1">
        <f t="array" ref="E6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14">
        <f>cukier10[[#This Row],[sprzedany_cukier]]*cukier10[[#This Row],[rabat]]</f>
        <v>0</v>
      </c>
    </row>
    <row r="615" spans="1:6" x14ac:dyDescent="0.25">
      <c r="A615" s="1">
        <v>40810</v>
      </c>
      <c r="B615" t="s">
        <v>164</v>
      </c>
      <c r="C615">
        <v>8</v>
      </c>
      <c r="D615">
        <f>IF(cukier10[[#This Row],[nip_klienta]]=B614,D614+cukier10[[#This Row],[sprzedany_cukier]],cukier10[[#This Row],[sprzedany_cukier]])</f>
        <v>27</v>
      </c>
      <c r="E615" cm="1">
        <f t="array" ref="E6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15">
        <f>cukier10[[#This Row],[sprzedany_cukier]]*cukier10[[#This Row],[rabat]]</f>
        <v>0</v>
      </c>
    </row>
    <row r="616" spans="1:6" x14ac:dyDescent="0.25">
      <c r="A616" s="1">
        <v>41060</v>
      </c>
      <c r="B616" t="s">
        <v>164</v>
      </c>
      <c r="C616">
        <v>12</v>
      </c>
      <c r="D616">
        <f>IF(cukier10[[#This Row],[nip_klienta]]=B615,D615+cukier10[[#This Row],[sprzedany_cukier]],cukier10[[#This Row],[sprzedany_cukier]])</f>
        <v>39</v>
      </c>
      <c r="E616" cm="1">
        <f t="array" ref="E6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16">
        <f>cukier10[[#This Row],[sprzedany_cukier]]*cukier10[[#This Row],[rabat]]</f>
        <v>0</v>
      </c>
    </row>
    <row r="617" spans="1:6" x14ac:dyDescent="0.25">
      <c r="A617" s="1">
        <v>39495</v>
      </c>
      <c r="B617" t="s">
        <v>156</v>
      </c>
      <c r="C617">
        <v>5</v>
      </c>
      <c r="D617">
        <f>IF(cukier10[[#This Row],[nip_klienta]]=B616,D616+cukier10[[#This Row],[sprzedany_cukier]],cukier10[[#This Row],[sprzedany_cukier]])</f>
        <v>5</v>
      </c>
      <c r="E617" cm="1">
        <f t="array" ref="E6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17">
        <f>cukier10[[#This Row],[sprzedany_cukier]]*cukier10[[#This Row],[rabat]]</f>
        <v>0</v>
      </c>
    </row>
    <row r="618" spans="1:6" x14ac:dyDescent="0.25">
      <c r="A618" s="1">
        <v>40349</v>
      </c>
      <c r="B618" t="s">
        <v>156</v>
      </c>
      <c r="C618">
        <v>6</v>
      </c>
      <c r="D618">
        <f>IF(cukier10[[#This Row],[nip_klienta]]=B617,D617+cukier10[[#This Row],[sprzedany_cukier]],cukier10[[#This Row],[sprzedany_cukier]])</f>
        <v>11</v>
      </c>
      <c r="E618" cm="1">
        <f t="array" ref="E6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18">
        <f>cukier10[[#This Row],[sprzedany_cukier]]*cukier10[[#This Row],[rabat]]</f>
        <v>0</v>
      </c>
    </row>
    <row r="619" spans="1:6" x14ac:dyDescent="0.25">
      <c r="A619" s="1">
        <v>40533</v>
      </c>
      <c r="B619" t="s">
        <v>156</v>
      </c>
      <c r="C619">
        <v>4</v>
      </c>
      <c r="D619">
        <f>IF(cukier10[[#This Row],[nip_klienta]]=B618,D618+cukier10[[#This Row],[sprzedany_cukier]],cukier10[[#This Row],[sprzedany_cukier]])</f>
        <v>15</v>
      </c>
      <c r="E619" cm="1">
        <f t="array" ref="E6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19">
        <f>cukier10[[#This Row],[sprzedany_cukier]]*cukier10[[#This Row],[rabat]]</f>
        <v>0</v>
      </c>
    </row>
    <row r="620" spans="1:6" x14ac:dyDescent="0.25">
      <c r="A620" s="1">
        <v>41719</v>
      </c>
      <c r="B620" t="s">
        <v>156</v>
      </c>
      <c r="C620">
        <v>16</v>
      </c>
      <c r="D620">
        <f>IF(cukier10[[#This Row],[nip_klienta]]=B619,D619+cukier10[[#This Row],[sprzedany_cukier]],cukier10[[#This Row],[sprzedany_cukier]])</f>
        <v>31</v>
      </c>
      <c r="E620" cm="1">
        <f t="array" ref="E6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20">
        <f>cukier10[[#This Row],[sprzedany_cukier]]*cukier10[[#This Row],[rabat]]</f>
        <v>0</v>
      </c>
    </row>
    <row r="621" spans="1:6" x14ac:dyDescent="0.25">
      <c r="A621" s="1">
        <v>38585</v>
      </c>
      <c r="B621" t="s">
        <v>73</v>
      </c>
      <c r="C621">
        <v>18</v>
      </c>
      <c r="D621">
        <f>IF(cukier10[[#This Row],[nip_klienta]]=B620,D620+cukier10[[#This Row],[sprzedany_cukier]],cukier10[[#This Row],[sprzedany_cukier]])</f>
        <v>18</v>
      </c>
      <c r="E621" cm="1">
        <f t="array" ref="E6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21">
        <f>cukier10[[#This Row],[sprzedany_cukier]]*cukier10[[#This Row],[rabat]]</f>
        <v>0</v>
      </c>
    </row>
    <row r="622" spans="1:6" x14ac:dyDescent="0.25">
      <c r="A622" s="1">
        <v>39474</v>
      </c>
      <c r="B622" t="s">
        <v>154</v>
      </c>
      <c r="C622">
        <v>6</v>
      </c>
      <c r="D622">
        <f>IF(cukier10[[#This Row],[nip_klienta]]=B621,D621+cukier10[[#This Row],[sprzedany_cukier]],cukier10[[#This Row],[sprzedany_cukier]])</f>
        <v>6</v>
      </c>
      <c r="E622" cm="1">
        <f t="array" ref="E6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22">
        <f>cukier10[[#This Row],[sprzedany_cukier]]*cukier10[[#This Row],[rabat]]</f>
        <v>0</v>
      </c>
    </row>
    <row r="623" spans="1:6" x14ac:dyDescent="0.25">
      <c r="A623" s="1">
        <v>41195</v>
      </c>
      <c r="B623" t="s">
        <v>154</v>
      </c>
      <c r="C623">
        <v>11</v>
      </c>
      <c r="D623">
        <f>IF(cukier10[[#This Row],[nip_klienta]]=B622,D622+cukier10[[#This Row],[sprzedany_cukier]],cukier10[[#This Row],[sprzedany_cukier]])</f>
        <v>17</v>
      </c>
      <c r="E623" cm="1">
        <f t="array" ref="E6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23">
        <f>cukier10[[#This Row],[sprzedany_cukier]]*cukier10[[#This Row],[rabat]]</f>
        <v>0</v>
      </c>
    </row>
    <row r="624" spans="1:6" x14ac:dyDescent="0.25">
      <c r="A624" s="1">
        <v>41447</v>
      </c>
      <c r="B624" t="s">
        <v>154</v>
      </c>
      <c r="C624">
        <v>9</v>
      </c>
      <c r="D624">
        <f>IF(cukier10[[#This Row],[nip_klienta]]=B623,D623+cukier10[[#This Row],[sprzedany_cukier]],cukier10[[#This Row],[sprzedany_cukier]])</f>
        <v>26</v>
      </c>
      <c r="E624" cm="1">
        <f t="array" ref="E6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24">
        <f>cukier10[[#This Row],[sprzedany_cukier]]*cukier10[[#This Row],[rabat]]</f>
        <v>0</v>
      </c>
    </row>
    <row r="625" spans="1:6" x14ac:dyDescent="0.25">
      <c r="A625" s="1">
        <v>41545</v>
      </c>
      <c r="B625" t="s">
        <v>154</v>
      </c>
      <c r="C625">
        <v>4</v>
      </c>
      <c r="D625">
        <f>IF(cukier10[[#This Row],[nip_klienta]]=B624,D624+cukier10[[#This Row],[sprzedany_cukier]],cukier10[[#This Row],[sprzedany_cukier]])</f>
        <v>30</v>
      </c>
      <c r="E625" cm="1">
        <f t="array" ref="E6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25">
        <f>cukier10[[#This Row],[sprzedany_cukier]]*cukier10[[#This Row],[rabat]]</f>
        <v>0</v>
      </c>
    </row>
    <row r="626" spans="1:6" x14ac:dyDescent="0.25">
      <c r="A626" s="1">
        <v>39957</v>
      </c>
      <c r="B626" t="s">
        <v>187</v>
      </c>
      <c r="C626">
        <v>13</v>
      </c>
      <c r="D626">
        <f>IF(cukier10[[#This Row],[nip_klienta]]=B625,D625+cukier10[[#This Row],[sprzedany_cukier]],cukier10[[#This Row],[sprzedany_cukier]])</f>
        <v>13</v>
      </c>
      <c r="E626" cm="1">
        <f t="array" ref="E6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26">
        <f>cukier10[[#This Row],[sprzedany_cukier]]*cukier10[[#This Row],[rabat]]</f>
        <v>0</v>
      </c>
    </row>
    <row r="627" spans="1:6" x14ac:dyDescent="0.25">
      <c r="A627" s="1">
        <v>41012</v>
      </c>
      <c r="B627" t="s">
        <v>187</v>
      </c>
      <c r="C627">
        <v>3</v>
      </c>
      <c r="D627">
        <f>IF(cukier10[[#This Row],[nip_klienta]]=B626,D626+cukier10[[#This Row],[sprzedany_cukier]],cukier10[[#This Row],[sprzedany_cukier]])</f>
        <v>16</v>
      </c>
      <c r="E627" cm="1">
        <f t="array" ref="E6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27">
        <f>cukier10[[#This Row],[sprzedany_cukier]]*cukier10[[#This Row],[rabat]]</f>
        <v>0</v>
      </c>
    </row>
    <row r="628" spans="1:6" x14ac:dyDescent="0.25">
      <c r="A628" s="1">
        <v>38606</v>
      </c>
      <c r="B628" t="s">
        <v>79</v>
      </c>
      <c r="C628">
        <v>13</v>
      </c>
      <c r="D628">
        <f>IF(cukier10[[#This Row],[nip_klienta]]=B627,D627+cukier10[[#This Row],[sprzedany_cukier]],cukier10[[#This Row],[sprzedany_cukier]])</f>
        <v>13</v>
      </c>
      <c r="E628" cm="1">
        <f t="array" ref="E6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28">
        <f>cukier10[[#This Row],[sprzedany_cukier]]*cukier10[[#This Row],[rabat]]</f>
        <v>0</v>
      </c>
    </row>
    <row r="629" spans="1:6" x14ac:dyDescent="0.25">
      <c r="A629" s="1">
        <v>39029</v>
      </c>
      <c r="B629" t="s">
        <v>79</v>
      </c>
      <c r="C629">
        <v>10</v>
      </c>
      <c r="D629">
        <f>IF(cukier10[[#This Row],[nip_klienta]]=B628,D628+cukier10[[#This Row],[sprzedany_cukier]],cukier10[[#This Row],[sprzedany_cukier]])</f>
        <v>23</v>
      </c>
      <c r="E629" cm="1">
        <f t="array" ref="E6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29">
        <f>cukier10[[#This Row],[sprzedany_cukier]]*cukier10[[#This Row],[rabat]]</f>
        <v>0</v>
      </c>
    </row>
    <row r="630" spans="1:6" x14ac:dyDescent="0.25">
      <c r="A630" s="1">
        <v>39499</v>
      </c>
      <c r="B630" t="s">
        <v>79</v>
      </c>
      <c r="C630">
        <v>12</v>
      </c>
      <c r="D630">
        <f>IF(cukier10[[#This Row],[nip_klienta]]=B629,D629+cukier10[[#This Row],[sprzedany_cukier]],cukier10[[#This Row],[sprzedany_cukier]])</f>
        <v>35</v>
      </c>
      <c r="E630" cm="1">
        <f t="array" ref="E6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30">
        <f>cukier10[[#This Row],[sprzedany_cukier]]*cukier10[[#This Row],[rabat]]</f>
        <v>0</v>
      </c>
    </row>
    <row r="631" spans="1:6" x14ac:dyDescent="0.25">
      <c r="A631" s="1">
        <v>41104</v>
      </c>
      <c r="B631" t="s">
        <v>79</v>
      </c>
      <c r="C631">
        <v>10</v>
      </c>
      <c r="D631">
        <f>IF(cukier10[[#This Row],[nip_klienta]]=B630,D630+cukier10[[#This Row],[sprzedany_cukier]],cukier10[[#This Row],[sprzedany_cukier]])</f>
        <v>45</v>
      </c>
      <c r="E631" cm="1">
        <f t="array" ref="E6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31">
        <f>cukier10[[#This Row],[sprzedany_cukier]]*cukier10[[#This Row],[rabat]]</f>
        <v>0</v>
      </c>
    </row>
    <row r="632" spans="1:6" x14ac:dyDescent="0.25">
      <c r="A632" s="1">
        <v>41817</v>
      </c>
      <c r="B632" t="s">
        <v>79</v>
      </c>
      <c r="C632">
        <v>11</v>
      </c>
      <c r="D632">
        <f>IF(cukier10[[#This Row],[nip_klienta]]=B631,D631+cukier10[[#This Row],[sprzedany_cukier]],cukier10[[#This Row],[sprzedany_cukier]])</f>
        <v>56</v>
      </c>
      <c r="E632" cm="1">
        <f t="array" ref="E6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32">
        <f>cukier10[[#This Row],[sprzedany_cukier]]*cukier10[[#This Row],[rabat]]</f>
        <v>0</v>
      </c>
    </row>
    <row r="633" spans="1:6" x14ac:dyDescent="0.25">
      <c r="A633" s="1">
        <v>38907</v>
      </c>
      <c r="B633" t="s">
        <v>117</v>
      </c>
      <c r="C633">
        <v>9</v>
      </c>
      <c r="D633">
        <f>IF(cukier10[[#This Row],[nip_klienta]]=B632,D632+cukier10[[#This Row],[sprzedany_cukier]],cukier10[[#This Row],[sprzedany_cukier]])</f>
        <v>9</v>
      </c>
      <c r="E633" cm="1">
        <f t="array" ref="E6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33">
        <f>cukier10[[#This Row],[sprzedany_cukier]]*cukier10[[#This Row],[rabat]]</f>
        <v>0</v>
      </c>
    </row>
    <row r="634" spans="1:6" x14ac:dyDescent="0.25">
      <c r="A634" s="1">
        <v>39582</v>
      </c>
      <c r="B634" t="s">
        <v>167</v>
      </c>
      <c r="C634">
        <v>19</v>
      </c>
      <c r="D634">
        <f>IF(cukier10[[#This Row],[nip_klienta]]=B633,D633+cukier10[[#This Row],[sprzedany_cukier]],cukier10[[#This Row],[sprzedany_cukier]])</f>
        <v>19</v>
      </c>
      <c r="E634" cm="1">
        <f t="array" ref="E6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34">
        <f>cukier10[[#This Row],[sprzedany_cukier]]*cukier10[[#This Row],[rabat]]</f>
        <v>0</v>
      </c>
    </row>
    <row r="635" spans="1:6" x14ac:dyDescent="0.25">
      <c r="A635" s="1">
        <v>41492</v>
      </c>
      <c r="B635" t="s">
        <v>167</v>
      </c>
      <c r="C635">
        <v>2</v>
      </c>
      <c r="D635">
        <f>IF(cukier10[[#This Row],[nip_klienta]]=B634,D634+cukier10[[#This Row],[sprzedany_cukier]],cukier10[[#This Row],[sprzedany_cukier]])</f>
        <v>21</v>
      </c>
      <c r="E635" cm="1">
        <f t="array" ref="E6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35">
        <f>cukier10[[#This Row],[sprzedany_cukier]]*cukier10[[#This Row],[rabat]]</f>
        <v>0</v>
      </c>
    </row>
    <row r="636" spans="1:6" x14ac:dyDescent="0.25">
      <c r="A636" s="1">
        <v>41994</v>
      </c>
      <c r="B636" t="s">
        <v>167</v>
      </c>
      <c r="C636">
        <v>3</v>
      </c>
      <c r="D636">
        <f>IF(cukier10[[#This Row],[nip_klienta]]=B635,D635+cukier10[[#This Row],[sprzedany_cukier]],cukier10[[#This Row],[sprzedany_cukier]])</f>
        <v>24</v>
      </c>
      <c r="E636" cm="1">
        <f t="array" ref="E6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36">
        <f>cukier10[[#This Row],[sprzedany_cukier]]*cukier10[[#This Row],[rabat]]</f>
        <v>0</v>
      </c>
    </row>
    <row r="637" spans="1:6" x14ac:dyDescent="0.25">
      <c r="A637" s="1">
        <v>38517</v>
      </c>
      <c r="B637" t="s">
        <v>55</v>
      </c>
      <c r="C637">
        <v>67</v>
      </c>
      <c r="D637">
        <f>IF(cukier10[[#This Row],[nip_klienta]]=B636,D636+cukier10[[#This Row],[sprzedany_cukier]],cukier10[[#This Row],[sprzedany_cukier]])</f>
        <v>67</v>
      </c>
      <c r="E637" cm="1">
        <f t="array" ref="E6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37">
        <f>cukier10[[#This Row],[sprzedany_cukier]]*cukier10[[#This Row],[rabat]]</f>
        <v>0</v>
      </c>
    </row>
    <row r="638" spans="1:6" x14ac:dyDescent="0.25">
      <c r="A638" s="1">
        <v>38570</v>
      </c>
      <c r="B638" t="s">
        <v>55</v>
      </c>
      <c r="C638">
        <v>84</v>
      </c>
      <c r="D638">
        <f>IF(cukier10[[#This Row],[nip_klienta]]=B637,D637+cukier10[[#This Row],[sprzedany_cukier]],cukier10[[#This Row],[sprzedany_cukier]])</f>
        <v>151</v>
      </c>
      <c r="E638" cm="1">
        <f t="array" ref="E6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638">
        <f>cukier10[[#This Row],[sprzedany_cukier]]*cukier10[[#This Row],[rabat]]</f>
        <v>4.2</v>
      </c>
    </row>
    <row r="639" spans="1:6" x14ac:dyDescent="0.25">
      <c r="A639" s="1">
        <v>38725</v>
      </c>
      <c r="B639" t="s">
        <v>55</v>
      </c>
      <c r="C639">
        <v>26</v>
      </c>
      <c r="D639">
        <f>IF(cukier10[[#This Row],[nip_klienta]]=B638,D638+cukier10[[#This Row],[sprzedany_cukier]],cukier10[[#This Row],[sprzedany_cukier]])</f>
        <v>177</v>
      </c>
      <c r="E639" cm="1">
        <f t="array" ref="E6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639">
        <f>cukier10[[#This Row],[sprzedany_cukier]]*cukier10[[#This Row],[rabat]]</f>
        <v>1.3</v>
      </c>
    </row>
    <row r="640" spans="1:6" x14ac:dyDescent="0.25">
      <c r="A640" s="1">
        <v>38757</v>
      </c>
      <c r="B640" t="s">
        <v>55</v>
      </c>
      <c r="C640">
        <v>170</v>
      </c>
      <c r="D640">
        <f>IF(cukier10[[#This Row],[nip_klienta]]=B639,D639+cukier10[[#This Row],[sprzedany_cukier]],cukier10[[#This Row],[sprzedany_cukier]])</f>
        <v>347</v>
      </c>
      <c r="E640" cm="1">
        <f t="array" ref="E6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640">
        <f>cukier10[[#This Row],[sprzedany_cukier]]*cukier10[[#This Row],[rabat]]</f>
        <v>8.5</v>
      </c>
    </row>
    <row r="641" spans="1:6" x14ac:dyDescent="0.25">
      <c r="A641" s="1">
        <v>38936</v>
      </c>
      <c r="B641" t="s">
        <v>55</v>
      </c>
      <c r="C641">
        <v>172</v>
      </c>
      <c r="D641">
        <f>IF(cukier10[[#This Row],[nip_klienta]]=B640,D640+cukier10[[#This Row],[sprzedany_cukier]],cukier10[[#This Row],[sprzedany_cukier]])</f>
        <v>519</v>
      </c>
      <c r="E641" cm="1">
        <f t="array" ref="E6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641">
        <f>cukier10[[#This Row],[sprzedany_cukier]]*cukier10[[#This Row],[rabat]]</f>
        <v>8.6</v>
      </c>
    </row>
    <row r="642" spans="1:6" x14ac:dyDescent="0.25">
      <c r="A642" s="1">
        <v>38948</v>
      </c>
      <c r="B642" t="s">
        <v>55</v>
      </c>
      <c r="C642">
        <v>104</v>
      </c>
      <c r="D642">
        <f>IF(cukier10[[#This Row],[nip_klienta]]=B641,D641+cukier10[[#This Row],[sprzedany_cukier]],cukier10[[#This Row],[sprzedany_cukier]])</f>
        <v>623</v>
      </c>
      <c r="E642" cm="1">
        <f t="array" ref="E6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642">
        <f>cukier10[[#This Row],[sprzedany_cukier]]*cukier10[[#This Row],[rabat]]</f>
        <v>5.2</v>
      </c>
    </row>
    <row r="643" spans="1:6" x14ac:dyDescent="0.25">
      <c r="A643" s="1">
        <v>38981</v>
      </c>
      <c r="B643" t="s">
        <v>55</v>
      </c>
      <c r="C643">
        <v>30</v>
      </c>
      <c r="D643">
        <f>IF(cukier10[[#This Row],[nip_klienta]]=B642,D642+cukier10[[#This Row],[sprzedany_cukier]],cukier10[[#This Row],[sprzedany_cukier]])</f>
        <v>653</v>
      </c>
      <c r="E643" cm="1">
        <f t="array" ref="E6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643">
        <f>cukier10[[#This Row],[sprzedany_cukier]]*cukier10[[#This Row],[rabat]]</f>
        <v>1.5</v>
      </c>
    </row>
    <row r="644" spans="1:6" x14ac:dyDescent="0.25">
      <c r="A644" s="1">
        <v>39084</v>
      </c>
      <c r="B644" t="s">
        <v>55</v>
      </c>
      <c r="C644">
        <v>81</v>
      </c>
      <c r="D644">
        <f>IF(cukier10[[#This Row],[nip_klienta]]=B643,D643+cukier10[[#This Row],[sprzedany_cukier]],cukier10[[#This Row],[sprzedany_cukier]])</f>
        <v>734</v>
      </c>
      <c r="E644" cm="1">
        <f t="array" ref="E6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644">
        <f>cukier10[[#This Row],[sprzedany_cukier]]*cukier10[[#This Row],[rabat]]</f>
        <v>4.05</v>
      </c>
    </row>
    <row r="645" spans="1:6" x14ac:dyDescent="0.25">
      <c r="A645" s="1">
        <v>39250</v>
      </c>
      <c r="B645" t="s">
        <v>55</v>
      </c>
      <c r="C645">
        <v>118</v>
      </c>
      <c r="D645">
        <f>IF(cukier10[[#This Row],[nip_klienta]]=B644,D644+cukier10[[#This Row],[sprzedany_cukier]],cukier10[[#This Row],[sprzedany_cukier]])</f>
        <v>852</v>
      </c>
      <c r="E645" cm="1">
        <f t="array" ref="E6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645">
        <f>cukier10[[#This Row],[sprzedany_cukier]]*cukier10[[#This Row],[rabat]]</f>
        <v>5.9</v>
      </c>
    </row>
    <row r="646" spans="1:6" x14ac:dyDescent="0.25">
      <c r="A646" s="1">
        <v>39301</v>
      </c>
      <c r="B646" t="s">
        <v>55</v>
      </c>
      <c r="C646">
        <v>98</v>
      </c>
      <c r="D646">
        <f>IF(cukier10[[#This Row],[nip_klienta]]=B645,D645+cukier10[[#This Row],[sprzedany_cukier]],cukier10[[#This Row],[sprzedany_cukier]])</f>
        <v>950</v>
      </c>
      <c r="E646" cm="1">
        <f t="array" ref="E6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646">
        <f>cukier10[[#This Row],[sprzedany_cukier]]*cukier10[[#This Row],[rabat]]</f>
        <v>4.9000000000000004</v>
      </c>
    </row>
    <row r="647" spans="1:6" x14ac:dyDescent="0.25">
      <c r="A647" s="1">
        <v>39349</v>
      </c>
      <c r="B647" t="s">
        <v>55</v>
      </c>
      <c r="C647">
        <v>105</v>
      </c>
      <c r="D647">
        <f>IF(cukier10[[#This Row],[nip_klienta]]=B646,D646+cukier10[[#This Row],[sprzedany_cukier]],cukier10[[#This Row],[sprzedany_cukier]])</f>
        <v>1055</v>
      </c>
      <c r="E647" cm="1">
        <f t="array" ref="E6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47">
        <f>cukier10[[#This Row],[sprzedany_cukier]]*cukier10[[#This Row],[rabat]]</f>
        <v>10.5</v>
      </c>
    </row>
    <row r="648" spans="1:6" x14ac:dyDescent="0.25">
      <c r="A648" s="1">
        <v>39457</v>
      </c>
      <c r="B648" t="s">
        <v>55</v>
      </c>
      <c r="C648">
        <v>130</v>
      </c>
      <c r="D648">
        <f>IF(cukier10[[#This Row],[nip_klienta]]=B647,D647+cukier10[[#This Row],[sprzedany_cukier]],cukier10[[#This Row],[sprzedany_cukier]])</f>
        <v>1185</v>
      </c>
      <c r="E648" cm="1">
        <f t="array" ref="E6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48">
        <f>cukier10[[#This Row],[sprzedany_cukier]]*cukier10[[#This Row],[rabat]]</f>
        <v>13</v>
      </c>
    </row>
    <row r="649" spans="1:6" x14ac:dyDescent="0.25">
      <c r="A649" s="1">
        <v>39462</v>
      </c>
      <c r="B649" t="s">
        <v>55</v>
      </c>
      <c r="C649">
        <v>176</v>
      </c>
      <c r="D649">
        <f>IF(cukier10[[#This Row],[nip_klienta]]=B648,D648+cukier10[[#This Row],[sprzedany_cukier]],cukier10[[#This Row],[sprzedany_cukier]])</f>
        <v>1361</v>
      </c>
      <c r="E649" cm="1">
        <f t="array" ref="E6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49">
        <f>cukier10[[#This Row],[sprzedany_cukier]]*cukier10[[#This Row],[rabat]]</f>
        <v>17.600000000000001</v>
      </c>
    </row>
    <row r="650" spans="1:6" x14ac:dyDescent="0.25">
      <c r="A650" s="1">
        <v>39465</v>
      </c>
      <c r="B650" t="s">
        <v>55</v>
      </c>
      <c r="C650">
        <v>97</v>
      </c>
      <c r="D650">
        <f>IF(cukier10[[#This Row],[nip_klienta]]=B649,D649+cukier10[[#This Row],[sprzedany_cukier]],cukier10[[#This Row],[sprzedany_cukier]])</f>
        <v>1458</v>
      </c>
      <c r="E650" cm="1">
        <f t="array" ref="E6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50">
        <f>cukier10[[#This Row],[sprzedany_cukier]]*cukier10[[#This Row],[rabat]]</f>
        <v>9.7000000000000011</v>
      </c>
    </row>
    <row r="651" spans="1:6" x14ac:dyDescent="0.25">
      <c r="A651" s="1">
        <v>39572</v>
      </c>
      <c r="B651" t="s">
        <v>55</v>
      </c>
      <c r="C651">
        <v>44</v>
      </c>
      <c r="D651">
        <f>IF(cukier10[[#This Row],[nip_klienta]]=B650,D650+cukier10[[#This Row],[sprzedany_cukier]],cukier10[[#This Row],[sprzedany_cukier]])</f>
        <v>1502</v>
      </c>
      <c r="E651" cm="1">
        <f t="array" ref="E6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51">
        <f>cukier10[[#This Row],[sprzedany_cukier]]*cukier10[[#This Row],[rabat]]</f>
        <v>4.4000000000000004</v>
      </c>
    </row>
    <row r="652" spans="1:6" x14ac:dyDescent="0.25">
      <c r="A652" s="1">
        <v>39591</v>
      </c>
      <c r="B652" t="s">
        <v>55</v>
      </c>
      <c r="C652">
        <v>121</v>
      </c>
      <c r="D652">
        <f>IF(cukier10[[#This Row],[nip_klienta]]=B651,D651+cukier10[[#This Row],[sprzedany_cukier]],cukier10[[#This Row],[sprzedany_cukier]])</f>
        <v>1623</v>
      </c>
      <c r="E652" cm="1">
        <f t="array" ref="E6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52">
        <f>cukier10[[#This Row],[sprzedany_cukier]]*cukier10[[#This Row],[rabat]]</f>
        <v>12.100000000000001</v>
      </c>
    </row>
    <row r="653" spans="1:6" x14ac:dyDescent="0.25">
      <c r="A653" s="1">
        <v>39602</v>
      </c>
      <c r="B653" t="s">
        <v>55</v>
      </c>
      <c r="C653">
        <v>46</v>
      </c>
      <c r="D653">
        <f>IF(cukier10[[#This Row],[nip_klienta]]=B652,D652+cukier10[[#This Row],[sprzedany_cukier]],cukier10[[#This Row],[sprzedany_cukier]])</f>
        <v>1669</v>
      </c>
      <c r="E653" cm="1">
        <f t="array" ref="E6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53">
        <f>cukier10[[#This Row],[sprzedany_cukier]]*cukier10[[#This Row],[rabat]]</f>
        <v>4.6000000000000005</v>
      </c>
    </row>
    <row r="654" spans="1:6" x14ac:dyDescent="0.25">
      <c r="A654" s="1">
        <v>39605</v>
      </c>
      <c r="B654" t="s">
        <v>55</v>
      </c>
      <c r="C654">
        <v>98</v>
      </c>
      <c r="D654">
        <f>IF(cukier10[[#This Row],[nip_klienta]]=B653,D653+cukier10[[#This Row],[sprzedany_cukier]],cukier10[[#This Row],[sprzedany_cukier]])</f>
        <v>1767</v>
      </c>
      <c r="E654" cm="1">
        <f t="array" ref="E6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54">
        <f>cukier10[[#This Row],[sprzedany_cukier]]*cukier10[[#This Row],[rabat]]</f>
        <v>9.8000000000000007</v>
      </c>
    </row>
    <row r="655" spans="1:6" x14ac:dyDescent="0.25">
      <c r="A655" s="1">
        <v>39631</v>
      </c>
      <c r="B655" t="s">
        <v>55</v>
      </c>
      <c r="C655">
        <v>30</v>
      </c>
      <c r="D655">
        <f>IF(cukier10[[#This Row],[nip_klienta]]=B654,D654+cukier10[[#This Row],[sprzedany_cukier]],cukier10[[#This Row],[sprzedany_cukier]])</f>
        <v>1797</v>
      </c>
      <c r="E655" cm="1">
        <f t="array" ref="E6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55">
        <f>cukier10[[#This Row],[sprzedany_cukier]]*cukier10[[#This Row],[rabat]]</f>
        <v>3</v>
      </c>
    </row>
    <row r="656" spans="1:6" x14ac:dyDescent="0.25">
      <c r="A656" s="1">
        <v>39733</v>
      </c>
      <c r="B656" t="s">
        <v>55</v>
      </c>
      <c r="C656">
        <v>159</v>
      </c>
      <c r="D656">
        <f>IF(cukier10[[#This Row],[nip_klienta]]=B655,D655+cukier10[[#This Row],[sprzedany_cukier]],cukier10[[#This Row],[sprzedany_cukier]])</f>
        <v>1956</v>
      </c>
      <c r="E656" cm="1">
        <f t="array" ref="E6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56">
        <f>cukier10[[#This Row],[sprzedany_cukier]]*cukier10[[#This Row],[rabat]]</f>
        <v>15.9</v>
      </c>
    </row>
    <row r="657" spans="1:6" x14ac:dyDescent="0.25">
      <c r="A657" s="1">
        <v>39765</v>
      </c>
      <c r="B657" t="s">
        <v>55</v>
      </c>
      <c r="C657">
        <v>94</v>
      </c>
      <c r="D657">
        <f>IF(cukier10[[#This Row],[nip_klienta]]=B656,D656+cukier10[[#This Row],[sprzedany_cukier]],cukier10[[#This Row],[sprzedany_cukier]])</f>
        <v>2050</v>
      </c>
      <c r="E657" cm="1">
        <f t="array" ref="E6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57">
        <f>cukier10[[#This Row],[sprzedany_cukier]]*cukier10[[#This Row],[rabat]]</f>
        <v>9.4</v>
      </c>
    </row>
    <row r="658" spans="1:6" x14ac:dyDescent="0.25">
      <c r="A658" s="1">
        <v>39776</v>
      </c>
      <c r="B658" t="s">
        <v>55</v>
      </c>
      <c r="C658">
        <v>78</v>
      </c>
      <c r="D658">
        <f>IF(cukier10[[#This Row],[nip_klienta]]=B657,D657+cukier10[[#This Row],[sprzedany_cukier]],cukier10[[#This Row],[sprzedany_cukier]])</f>
        <v>2128</v>
      </c>
      <c r="E658" cm="1">
        <f t="array" ref="E6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58">
        <f>cukier10[[#This Row],[sprzedany_cukier]]*cukier10[[#This Row],[rabat]]</f>
        <v>7.8000000000000007</v>
      </c>
    </row>
    <row r="659" spans="1:6" x14ac:dyDescent="0.25">
      <c r="A659" s="1">
        <v>39831</v>
      </c>
      <c r="B659" t="s">
        <v>55</v>
      </c>
      <c r="C659">
        <v>153</v>
      </c>
      <c r="D659">
        <f>IF(cukier10[[#This Row],[nip_klienta]]=B658,D658+cukier10[[#This Row],[sprzedany_cukier]],cukier10[[#This Row],[sprzedany_cukier]])</f>
        <v>2281</v>
      </c>
      <c r="E659" cm="1">
        <f t="array" ref="E6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59">
        <f>cukier10[[#This Row],[sprzedany_cukier]]*cukier10[[#This Row],[rabat]]</f>
        <v>15.3</v>
      </c>
    </row>
    <row r="660" spans="1:6" x14ac:dyDescent="0.25">
      <c r="A660" s="1">
        <v>39918</v>
      </c>
      <c r="B660" t="s">
        <v>55</v>
      </c>
      <c r="C660">
        <v>107</v>
      </c>
      <c r="D660">
        <f>IF(cukier10[[#This Row],[nip_klienta]]=B659,D659+cukier10[[#This Row],[sprzedany_cukier]],cukier10[[#This Row],[sprzedany_cukier]])</f>
        <v>2388</v>
      </c>
      <c r="E660" cm="1">
        <f t="array" ref="E6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60">
        <f>cukier10[[#This Row],[sprzedany_cukier]]*cukier10[[#This Row],[rabat]]</f>
        <v>10.700000000000001</v>
      </c>
    </row>
    <row r="661" spans="1:6" x14ac:dyDescent="0.25">
      <c r="A661" s="1">
        <v>40031</v>
      </c>
      <c r="B661" t="s">
        <v>55</v>
      </c>
      <c r="C661">
        <v>100</v>
      </c>
      <c r="D661">
        <f>IF(cukier10[[#This Row],[nip_klienta]]=B660,D660+cukier10[[#This Row],[sprzedany_cukier]],cukier10[[#This Row],[sprzedany_cukier]])</f>
        <v>2488</v>
      </c>
      <c r="E661" cm="1">
        <f t="array" ref="E6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61">
        <f>cukier10[[#This Row],[sprzedany_cukier]]*cukier10[[#This Row],[rabat]]</f>
        <v>10</v>
      </c>
    </row>
    <row r="662" spans="1:6" x14ac:dyDescent="0.25">
      <c r="A662" s="1">
        <v>40033</v>
      </c>
      <c r="B662" t="s">
        <v>55</v>
      </c>
      <c r="C662">
        <v>200</v>
      </c>
      <c r="D662">
        <f>IF(cukier10[[#This Row],[nip_klienta]]=B661,D661+cukier10[[#This Row],[sprzedany_cukier]],cukier10[[#This Row],[sprzedany_cukier]])</f>
        <v>2688</v>
      </c>
      <c r="E662" cm="1">
        <f t="array" ref="E6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62">
        <f>cukier10[[#This Row],[sprzedany_cukier]]*cukier10[[#This Row],[rabat]]</f>
        <v>20</v>
      </c>
    </row>
    <row r="663" spans="1:6" x14ac:dyDescent="0.25">
      <c r="A663" s="1">
        <v>40085</v>
      </c>
      <c r="B663" t="s">
        <v>55</v>
      </c>
      <c r="C663">
        <v>179</v>
      </c>
      <c r="D663">
        <f>IF(cukier10[[#This Row],[nip_klienta]]=B662,D662+cukier10[[#This Row],[sprzedany_cukier]],cukier10[[#This Row],[sprzedany_cukier]])</f>
        <v>2867</v>
      </c>
      <c r="E663" cm="1">
        <f t="array" ref="E6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63">
        <f>cukier10[[#This Row],[sprzedany_cukier]]*cukier10[[#This Row],[rabat]]</f>
        <v>17.900000000000002</v>
      </c>
    </row>
    <row r="664" spans="1:6" x14ac:dyDescent="0.25">
      <c r="A664" s="1">
        <v>40267</v>
      </c>
      <c r="B664" t="s">
        <v>55</v>
      </c>
      <c r="C664">
        <v>146</v>
      </c>
      <c r="D664">
        <f>IF(cukier10[[#This Row],[nip_klienta]]=B663,D663+cukier10[[#This Row],[sprzedany_cukier]],cukier10[[#This Row],[sprzedany_cukier]])</f>
        <v>3013</v>
      </c>
      <c r="E664" cm="1">
        <f t="array" ref="E6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64">
        <f>cukier10[[#This Row],[sprzedany_cukier]]*cukier10[[#This Row],[rabat]]</f>
        <v>14.600000000000001</v>
      </c>
    </row>
    <row r="665" spans="1:6" x14ac:dyDescent="0.25">
      <c r="A665" s="1">
        <v>40568</v>
      </c>
      <c r="B665" t="s">
        <v>55</v>
      </c>
      <c r="C665">
        <v>25</v>
      </c>
      <c r="D665">
        <f>IF(cukier10[[#This Row],[nip_klienta]]=B664,D664+cukier10[[#This Row],[sprzedany_cukier]],cukier10[[#This Row],[sprzedany_cukier]])</f>
        <v>3038</v>
      </c>
      <c r="E665" cm="1">
        <f t="array" ref="E6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65">
        <f>cukier10[[#This Row],[sprzedany_cukier]]*cukier10[[#This Row],[rabat]]</f>
        <v>2.5</v>
      </c>
    </row>
    <row r="666" spans="1:6" x14ac:dyDescent="0.25">
      <c r="A666" s="1">
        <v>40654</v>
      </c>
      <c r="B666" t="s">
        <v>55</v>
      </c>
      <c r="C666">
        <v>140</v>
      </c>
      <c r="D666">
        <f>IF(cukier10[[#This Row],[nip_klienta]]=B665,D665+cukier10[[#This Row],[sprzedany_cukier]],cukier10[[#This Row],[sprzedany_cukier]])</f>
        <v>3178</v>
      </c>
      <c r="E666" cm="1">
        <f t="array" ref="E6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66">
        <f>cukier10[[#This Row],[sprzedany_cukier]]*cukier10[[#This Row],[rabat]]</f>
        <v>14</v>
      </c>
    </row>
    <row r="667" spans="1:6" x14ac:dyDescent="0.25">
      <c r="A667" s="1">
        <v>40718</v>
      </c>
      <c r="B667" t="s">
        <v>55</v>
      </c>
      <c r="C667">
        <v>170</v>
      </c>
      <c r="D667">
        <f>IF(cukier10[[#This Row],[nip_klienta]]=B666,D666+cukier10[[#This Row],[sprzedany_cukier]],cukier10[[#This Row],[sprzedany_cukier]])</f>
        <v>3348</v>
      </c>
      <c r="E667" cm="1">
        <f t="array" ref="E6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67">
        <f>cukier10[[#This Row],[sprzedany_cukier]]*cukier10[[#This Row],[rabat]]</f>
        <v>17</v>
      </c>
    </row>
    <row r="668" spans="1:6" x14ac:dyDescent="0.25">
      <c r="A668" s="1">
        <v>40822</v>
      </c>
      <c r="B668" t="s">
        <v>55</v>
      </c>
      <c r="C668">
        <v>26</v>
      </c>
      <c r="D668">
        <f>IF(cukier10[[#This Row],[nip_klienta]]=B667,D667+cukier10[[#This Row],[sprzedany_cukier]],cukier10[[#This Row],[sprzedany_cukier]])</f>
        <v>3374</v>
      </c>
      <c r="E668" cm="1">
        <f t="array" ref="E6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68">
        <f>cukier10[[#This Row],[sprzedany_cukier]]*cukier10[[#This Row],[rabat]]</f>
        <v>2.6</v>
      </c>
    </row>
    <row r="669" spans="1:6" x14ac:dyDescent="0.25">
      <c r="A669" s="1">
        <v>40850</v>
      </c>
      <c r="B669" t="s">
        <v>55</v>
      </c>
      <c r="C669">
        <v>46</v>
      </c>
      <c r="D669">
        <f>IF(cukier10[[#This Row],[nip_klienta]]=B668,D668+cukier10[[#This Row],[sprzedany_cukier]],cukier10[[#This Row],[sprzedany_cukier]])</f>
        <v>3420</v>
      </c>
      <c r="E669" cm="1">
        <f t="array" ref="E6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69">
        <f>cukier10[[#This Row],[sprzedany_cukier]]*cukier10[[#This Row],[rabat]]</f>
        <v>4.6000000000000005</v>
      </c>
    </row>
    <row r="670" spans="1:6" x14ac:dyDescent="0.25">
      <c r="A670" s="1">
        <v>40865</v>
      </c>
      <c r="B670" t="s">
        <v>55</v>
      </c>
      <c r="C670">
        <v>130</v>
      </c>
      <c r="D670">
        <f>IF(cukier10[[#This Row],[nip_klienta]]=B669,D669+cukier10[[#This Row],[sprzedany_cukier]],cukier10[[#This Row],[sprzedany_cukier]])</f>
        <v>3550</v>
      </c>
      <c r="E670" cm="1">
        <f t="array" ref="E6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70">
        <f>cukier10[[#This Row],[sprzedany_cukier]]*cukier10[[#This Row],[rabat]]</f>
        <v>13</v>
      </c>
    </row>
    <row r="671" spans="1:6" x14ac:dyDescent="0.25">
      <c r="A671" s="1">
        <v>41043</v>
      </c>
      <c r="B671" t="s">
        <v>55</v>
      </c>
      <c r="C671">
        <v>111</v>
      </c>
      <c r="D671">
        <f>IF(cukier10[[#This Row],[nip_klienta]]=B670,D670+cukier10[[#This Row],[sprzedany_cukier]],cukier10[[#This Row],[sprzedany_cukier]])</f>
        <v>3661</v>
      </c>
      <c r="E671" cm="1">
        <f t="array" ref="E6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71">
        <f>cukier10[[#This Row],[sprzedany_cukier]]*cukier10[[#This Row],[rabat]]</f>
        <v>11.100000000000001</v>
      </c>
    </row>
    <row r="672" spans="1:6" x14ac:dyDescent="0.25">
      <c r="A672" s="1">
        <v>41095</v>
      </c>
      <c r="B672" t="s">
        <v>55</v>
      </c>
      <c r="C672">
        <v>106</v>
      </c>
      <c r="D672">
        <f>IF(cukier10[[#This Row],[nip_klienta]]=B671,D671+cukier10[[#This Row],[sprzedany_cukier]],cukier10[[#This Row],[sprzedany_cukier]])</f>
        <v>3767</v>
      </c>
      <c r="E672" cm="1">
        <f t="array" ref="E6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72">
        <f>cukier10[[#This Row],[sprzedany_cukier]]*cukier10[[#This Row],[rabat]]</f>
        <v>10.600000000000001</v>
      </c>
    </row>
    <row r="673" spans="1:6" x14ac:dyDescent="0.25">
      <c r="A673" s="1">
        <v>41124</v>
      </c>
      <c r="B673" t="s">
        <v>55</v>
      </c>
      <c r="C673">
        <v>170</v>
      </c>
      <c r="D673">
        <f>IF(cukier10[[#This Row],[nip_klienta]]=B672,D672+cukier10[[#This Row],[sprzedany_cukier]],cukier10[[#This Row],[sprzedany_cukier]])</f>
        <v>3937</v>
      </c>
      <c r="E673" cm="1">
        <f t="array" ref="E6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73">
        <f>cukier10[[#This Row],[sprzedany_cukier]]*cukier10[[#This Row],[rabat]]</f>
        <v>17</v>
      </c>
    </row>
    <row r="674" spans="1:6" x14ac:dyDescent="0.25">
      <c r="A674" s="1">
        <v>41137</v>
      </c>
      <c r="B674" t="s">
        <v>55</v>
      </c>
      <c r="C674">
        <v>64</v>
      </c>
      <c r="D674">
        <f>IF(cukier10[[#This Row],[nip_klienta]]=B673,D673+cukier10[[#This Row],[sprzedany_cukier]],cukier10[[#This Row],[sprzedany_cukier]])</f>
        <v>4001</v>
      </c>
      <c r="E674" cm="1">
        <f t="array" ref="E6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74">
        <f>cukier10[[#This Row],[sprzedany_cukier]]*cukier10[[#This Row],[rabat]]</f>
        <v>6.4</v>
      </c>
    </row>
    <row r="675" spans="1:6" x14ac:dyDescent="0.25">
      <c r="A675" s="1">
        <v>41287</v>
      </c>
      <c r="B675" t="s">
        <v>55</v>
      </c>
      <c r="C675">
        <v>37</v>
      </c>
      <c r="D675">
        <f>IF(cukier10[[#This Row],[nip_klienta]]=B674,D674+cukier10[[#This Row],[sprzedany_cukier]],cukier10[[#This Row],[sprzedany_cukier]])</f>
        <v>4038</v>
      </c>
      <c r="E675" cm="1">
        <f t="array" ref="E6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75">
        <f>cukier10[[#This Row],[sprzedany_cukier]]*cukier10[[#This Row],[rabat]]</f>
        <v>3.7</v>
      </c>
    </row>
    <row r="676" spans="1:6" x14ac:dyDescent="0.25">
      <c r="A676" s="1">
        <v>41668</v>
      </c>
      <c r="B676" t="s">
        <v>55</v>
      </c>
      <c r="C676">
        <v>118</v>
      </c>
      <c r="D676">
        <f>IF(cukier10[[#This Row],[nip_klienta]]=B675,D675+cukier10[[#This Row],[sprzedany_cukier]],cukier10[[#This Row],[sprzedany_cukier]])</f>
        <v>4156</v>
      </c>
      <c r="E676" cm="1">
        <f t="array" ref="E6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76">
        <f>cukier10[[#This Row],[sprzedany_cukier]]*cukier10[[#This Row],[rabat]]</f>
        <v>11.8</v>
      </c>
    </row>
    <row r="677" spans="1:6" x14ac:dyDescent="0.25">
      <c r="A677" s="1">
        <v>41741</v>
      </c>
      <c r="B677" t="s">
        <v>55</v>
      </c>
      <c r="C677">
        <v>166</v>
      </c>
      <c r="D677">
        <f>IF(cukier10[[#This Row],[nip_klienta]]=B676,D676+cukier10[[#This Row],[sprzedany_cukier]],cukier10[[#This Row],[sprzedany_cukier]])</f>
        <v>4322</v>
      </c>
      <c r="E677" cm="1">
        <f t="array" ref="E6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77">
        <f>cukier10[[#This Row],[sprzedany_cukier]]*cukier10[[#This Row],[rabat]]</f>
        <v>16.600000000000001</v>
      </c>
    </row>
    <row r="678" spans="1:6" x14ac:dyDescent="0.25">
      <c r="A678" s="1">
        <v>41743</v>
      </c>
      <c r="B678" t="s">
        <v>55</v>
      </c>
      <c r="C678">
        <v>121</v>
      </c>
      <c r="D678">
        <f>IF(cukier10[[#This Row],[nip_klienta]]=B677,D677+cukier10[[#This Row],[sprzedany_cukier]],cukier10[[#This Row],[sprzedany_cukier]])</f>
        <v>4443</v>
      </c>
      <c r="E678" cm="1">
        <f t="array" ref="E6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78">
        <f>cukier10[[#This Row],[sprzedany_cukier]]*cukier10[[#This Row],[rabat]]</f>
        <v>12.100000000000001</v>
      </c>
    </row>
    <row r="679" spans="1:6" x14ac:dyDescent="0.25">
      <c r="A679" s="1">
        <v>41868</v>
      </c>
      <c r="B679" t="s">
        <v>55</v>
      </c>
      <c r="C679">
        <v>35</v>
      </c>
      <c r="D679">
        <f>IF(cukier10[[#This Row],[nip_klienta]]=B678,D678+cukier10[[#This Row],[sprzedany_cukier]],cukier10[[#This Row],[sprzedany_cukier]])</f>
        <v>4478</v>
      </c>
      <c r="E679" cm="1">
        <f t="array" ref="E6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79">
        <f>cukier10[[#This Row],[sprzedany_cukier]]*cukier10[[#This Row],[rabat]]</f>
        <v>3.5</v>
      </c>
    </row>
    <row r="680" spans="1:6" x14ac:dyDescent="0.25">
      <c r="A680" s="1">
        <v>41945</v>
      </c>
      <c r="B680" t="s">
        <v>55</v>
      </c>
      <c r="C680">
        <v>171</v>
      </c>
      <c r="D680">
        <f>IF(cukier10[[#This Row],[nip_klienta]]=B679,D679+cukier10[[#This Row],[sprzedany_cukier]],cukier10[[#This Row],[sprzedany_cukier]])</f>
        <v>4649</v>
      </c>
      <c r="E680" cm="1">
        <f t="array" ref="E6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80">
        <f>cukier10[[#This Row],[sprzedany_cukier]]*cukier10[[#This Row],[rabat]]</f>
        <v>17.100000000000001</v>
      </c>
    </row>
    <row r="681" spans="1:6" x14ac:dyDescent="0.25">
      <c r="A681" s="1">
        <v>41950</v>
      </c>
      <c r="B681" t="s">
        <v>55</v>
      </c>
      <c r="C681">
        <v>179</v>
      </c>
      <c r="D681">
        <f>IF(cukier10[[#This Row],[nip_klienta]]=B680,D680+cukier10[[#This Row],[sprzedany_cukier]],cukier10[[#This Row],[sprzedany_cukier]])</f>
        <v>4828</v>
      </c>
      <c r="E681" cm="1">
        <f t="array" ref="E6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81">
        <f>cukier10[[#This Row],[sprzedany_cukier]]*cukier10[[#This Row],[rabat]]</f>
        <v>17.900000000000002</v>
      </c>
    </row>
    <row r="682" spans="1:6" x14ac:dyDescent="0.25">
      <c r="A682" s="1">
        <v>41992</v>
      </c>
      <c r="B682" t="s">
        <v>55</v>
      </c>
      <c r="C682">
        <v>98</v>
      </c>
      <c r="D682">
        <f>IF(cukier10[[#This Row],[nip_klienta]]=B681,D681+cukier10[[#This Row],[sprzedany_cukier]],cukier10[[#This Row],[sprzedany_cukier]])</f>
        <v>4926</v>
      </c>
      <c r="E682" cm="1">
        <f t="array" ref="E6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82">
        <f>cukier10[[#This Row],[sprzedany_cukier]]*cukier10[[#This Row],[rabat]]</f>
        <v>9.8000000000000007</v>
      </c>
    </row>
    <row r="683" spans="1:6" x14ac:dyDescent="0.25">
      <c r="A683" s="1">
        <v>40246</v>
      </c>
      <c r="B683" t="s">
        <v>208</v>
      </c>
      <c r="C683">
        <v>7</v>
      </c>
      <c r="D683">
        <f>IF(cukier10[[#This Row],[nip_klienta]]=B682,D682+cukier10[[#This Row],[sprzedany_cukier]],cukier10[[#This Row],[sprzedany_cukier]])</f>
        <v>7</v>
      </c>
      <c r="E683" cm="1">
        <f t="array" ref="E6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83">
        <f>cukier10[[#This Row],[sprzedany_cukier]]*cukier10[[#This Row],[rabat]]</f>
        <v>0</v>
      </c>
    </row>
    <row r="684" spans="1:6" x14ac:dyDescent="0.25">
      <c r="A684" s="1">
        <v>41283</v>
      </c>
      <c r="B684" t="s">
        <v>208</v>
      </c>
      <c r="C684">
        <v>16</v>
      </c>
      <c r="D684">
        <f>IF(cukier10[[#This Row],[nip_klienta]]=B683,D683+cukier10[[#This Row],[sprzedany_cukier]],cukier10[[#This Row],[sprzedany_cukier]])</f>
        <v>23</v>
      </c>
      <c r="E684" cm="1">
        <f t="array" ref="E6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84">
        <f>cukier10[[#This Row],[sprzedany_cukier]]*cukier10[[#This Row],[rabat]]</f>
        <v>0</v>
      </c>
    </row>
    <row r="685" spans="1:6" x14ac:dyDescent="0.25">
      <c r="A685" s="1">
        <v>38780</v>
      </c>
      <c r="B685" t="s">
        <v>97</v>
      </c>
      <c r="C685">
        <v>16</v>
      </c>
      <c r="D685">
        <f>IF(cukier10[[#This Row],[nip_klienta]]=B684,D684+cukier10[[#This Row],[sprzedany_cukier]],cukier10[[#This Row],[sprzedany_cukier]])</f>
        <v>16</v>
      </c>
      <c r="E685" cm="1">
        <f t="array" ref="E6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85">
        <f>cukier10[[#This Row],[sprzedany_cukier]]*cukier10[[#This Row],[rabat]]</f>
        <v>0</v>
      </c>
    </row>
    <row r="686" spans="1:6" x14ac:dyDescent="0.25">
      <c r="A686" s="1">
        <v>38853</v>
      </c>
      <c r="B686" t="s">
        <v>97</v>
      </c>
      <c r="C686">
        <v>13</v>
      </c>
      <c r="D686">
        <f>IF(cukier10[[#This Row],[nip_klienta]]=B685,D685+cukier10[[#This Row],[sprzedany_cukier]],cukier10[[#This Row],[sprzedany_cukier]])</f>
        <v>29</v>
      </c>
      <c r="E686" cm="1">
        <f t="array" ref="E6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86">
        <f>cukier10[[#This Row],[sprzedany_cukier]]*cukier10[[#This Row],[rabat]]</f>
        <v>0</v>
      </c>
    </row>
    <row r="687" spans="1:6" x14ac:dyDescent="0.25">
      <c r="A687" s="1">
        <v>40084</v>
      </c>
      <c r="B687" t="s">
        <v>97</v>
      </c>
      <c r="C687">
        <v>5</v>
      </c>
      <c r="D687">
        <f>IF(cukier10[[#This Row],[nip_klienta]]=B686,D686+cukier10[[#This Row],[sprzedany_cukier]],cukier10[[#This Row],[sprzedany_cukier]])</f>
        <v>34</v>
      </c>
      <c r="E687" cm="1">
        <f t="array" ref="E6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87">
        <f>cukier10[[#This Row],[sprzedany_cukier]]*cukier10[[#This Row],[rabat]]</f>
        <v>0</v>
      </c>
    </row>
    <row r="688" spans="1:6" x14ac:dyDescent="0.25">
      <c r="A688" s="1">
        <v>41639</v>
      </c>
      <c r="B688" t="s">
        <v>97</v>
      </c>
      <c r="C688">
        <v>8</v>
      </c>
      <c r="D688">
        <f>IF(cukier10[[#This Row],[nip_klienta]]=B687,D687+cukier10[[#This Row],[sprzedany_cukier]],cukier10[[#This Row],[sprzedany_cukier]])</f>
        <v>42</v>
      </c>
      <c r="E688" cm="1">
        <f t="array" ref="E6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88">
        <f>cukier10[[#This Row],[sprzedany_cukier]]*cukier10[[#This Row],[rabat]]</f>
        <v>0</v>
      </c>
    </row>
    <row r="689" spans="1:6" x14ac:dyDescent="0.25">
      <c r="A689" s="1">
        <v>40361</v>
      </c>
      <c r="B689" t="s">
        <v>213</v>
      </c>
      <c r="C689">
        <v>13</v>
      </c>
      <c r="D689">
        <f>IF(cukier10[[#This Row],[nip_klienta]]=B688,D688+cukier10[[#This Row],[sprzedany_cukier]],cukier10[[#This Row],[sprzedany_cukier]])</f>
        <v>13</v>
      </c>
      <c r="E689" cm="1">
        <f t="array" ref="E6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89">
        <f>cukier10[[#This Row],[sprzedany_cukier]]*cukier10[[#This Row],[rabat]]</f>
        <v>0</v>
      </c>
    </row>
    <row r="690" spans="1:6" x14ac:dyDescent="0.25">
      <c r="A690" s="1">
        <v>41167</v>
      </c>
      <c r="B690" t="s">
        <v>230</v>
      </c>
      <c r="C690">
        <v>20</v>
      </c>
      <c r="D690">
        <f>IF(cukier10[[#This Row],[nip_klienta]]=B689,D689+cukier10[[#This Row],[sprzedany_cukier]],cukier10[[#This Row],[sprzedany_cukier]])</f>
        <v>20</v>
      </c>
      <c r="E690" cm="1">
        <f t="array" ref="E6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690">
        <f>cukier10[[#This Row],[sprzedany_cukier]]*cukier10[[#This Row],[rabat]]</f>
        <v>0</v>
      </c>
    </row>
    <row r="691" spans="1:6" x14ac:dyDescent="0.25">
      <c r="A691" s="1">
        <v>38412</v>
      </c>
      <c r="B691" t="s">
        <v>24</v>
      </c>
      <c r="C691">
        <v>204</v>
      </c>
      <c r="D691">
        <f>IF(cukier10[[#This Row],[nip_klienta]]=B690,D690+cukier10[[#This Row],[sprzedany_cukier]],cukier10[[#This Row],[sprzedany_cukier]])</f>
        <v>204</v>
      </c>
      <c r="E691" cm="1">
        <f t="array" ref="E6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691">
        <f>cukier10[[#This Row],[sprzedany_cukier]]*cukier10[[#This Row],[rabat]]</f>
        <v>10.200000000000001</v>
      </c>
    </row>
    <row r="692" spans="1:6" x14ac:dyDescent="0.25">
      <c r="A692" s="1">
        <v>38670</v>
      </c>
      <c r="B692" t="s">
        <v>24</v>
      </c>
      <c r="C692">
        <v>383</v>
      </c>
      <c r="D692">
        <f>IF(cukier10[[#This Row],[nip_klienta]]=B691,D691+cukier10[[#This Row],[sprzedany_cukier]],cukier10[[#This Row],[sprzedany_cukier]])</f>
        <v>587</v>
      </c>
      <c r="E692" cm="1">
        <f t="array" ref="E6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692">
        <f>cukier10[[#This Row],[sprzedany_cukier]]*cukier10[[#This Row],[rabat]]</f>
        <v>19.150000000000002</v>
      </c>
    </row>
    <row r="693" spans="1:6" x14ac:dyDescent="0.25">
      <c r="A693" s="1">
        <v>38824</v>
      </c>
      <c r="B693" t="s">
        <v>24</v>
      </c>
      <c r="C693">
        <v>127</v>
      </c>
      <c r="D693">
        <f>IF(cukier10[[#This Row],[nip_klienta]]=B692,D692+cukier10[[#This Row],[sprzedany_cukier]],cukier10[[#This Row],[sprzedany_cukier]])</f>
        <v>714</v>
      </c>
      <c r="E693" cm="1">
        <f t="array" ref="E6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693">
        <f>cukier10[[#This Row],[sprzedany_cukier]]*cukier10[[#This Row],[rabat]]</f>
        <v>6.3500000000000005</v>
      </c>
    </row>
    <row r="694" spans="1:6" x14ac:dyDescent="0.25">
      <c r="A694" s="1">
        <v>38857</v>
      </c>
      <c r="B694" t="s">
        <v>24</v>
      </c>
      <c r="C694">
        <v>412</v>
      </c>
      <c r="D694">
        <f>IF(cukier10[[#This Row],[nip_klienta]]=B693,D693+cukier10[[#This Row],[sprzedany_cukier]],cukier10[[#This Row],[sprzedany_cukier]])</f>
        <v>1126</v>
      </c>
      <c r="E694" cm="1">
        <f t="array" ref="E6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94">
        <f>cukier10[[#This Row],[sprzedany_cukier]]*cukier10[[#This Row],[rabat]]</f>
        <v>41.2</v>
      </c>
    </row>
    <row r="695" spans="1:6" x14ac:dyDescent="0.25">
      <c r="A695" s="1">
        <v>39263</v>
      </c>
      <c r="B695" t="s">
        <v>24</v>
      </c>
      <c r="C695">
        <v>291</v>
      </c>
      <c r="D695">
        <f>IF(cukier10[[#This Row],[nip_klienta]]=B694,D694+cukier10[[#This Row],[sprzedany_cukier]],cukier10[[#This Row],[sprzedany_cukier]])</f>
        <v>1417</v>
      </c>
      <c r="E695" cm="1">
        <f t="array" ref="E6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95">
        <f>cukier10[[#This Row],[sprzedany_cukier]]*cukier10[[#This Row],[rabat]]</f>
        <v>29.1</v>
      </c>
    </row>
    <row r="696" spans="1:6" x14ac:dyDescent="0.25">
      <c r="A696" s="1">
        <v>39318</v>
      </c>
      <c r="B696" t="s">
        <v>24</v>
      </c>
      <c r="C696">
        <v>445</v>
      </c>
      <c r="D696">
        <f>IF(cukier10[[#This Row],[nip_klienta]]=B695,D695+cukier10[[#This Row],[sprzedany_cukier]],cukier10[[#This Row],[sprzedany_cukier]])</f>
        <v>1862</v>
      </c>
      <c r="E696" cm="1">
        <f t="array" ref="E6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96">
        <f>cukier10[[#This Row],[sprzedany_cukier]]*cukier10[[#This Row],[rabat]]</f>
        <v>44.5</v>
      </c>
    </row>
    <row r="697" spans="1:6" x14ac:dyDescent="0.25">
      <c r="A697" s="1">
        <v>39371</v>
      </c>
      <c r="B697" t="s">
        <v>24</v>
      </c>
      <c r="C697">
        <v>369</v>
      </c>
      <c r="D697">
        <f>IF(cukier10[[#This Row],[nip_klienta]]=B696,D696+cukier10[[#This Row],[sprzedany_cukier]],cukier10[[#This Row],[sprzedany_cukier]])</f>
        <v>2231</v>
      </c>
      <c r="E697" cm="1">
        <f t="array" ref="E6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97">
        <f>cukier10[[#This Row],[sprzedany_cukier]]*cukier10[[#This Row],[rabat]]</f>
        <v>36.9</v>
      </c>
    </row>
    <row r="698" spans="1:6" x14ac:dyDescent="0.25">
      <c r="A698" s="1">
        <v>39456</v>
      </c>
      <c r="B698" t="s">
        <v>24</v>
      </c>
      <c r="C698">
        <v>412</v>
      </c>
      <c r="D698">
        <f>IF(cukier10[[#This Row],[nip_klienta]]=B697,D697+cukier10[[#This Row],[sprzedany_cukier]],cukier10[[#This Row],[sprzedany_cukier]])</f>
        <v>2643</v>
      </c>
      <c r="E698" cm="1">
        <f t="array" ref="E6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98">
        <f>cukier10[[#This Row],[sprzedany_cukier]]*cukier10[[#This Row],[rabat]]</f>
        <v>41.2</v>
      </c>
    </row>
    <row r="699" spans="1:6" x14ac:dyDescent="0.25">
      <c r="A699" s="1">
        <v>39481</v>
      </c>
      <c r="B699" t="s">
        <v>24</v>
      </c>
      <c r="C699">
        <v>171</v>
      </c>
      <c r="D699">
        <f>IF(cukier10[[#This Row],[nip_klienta]]=B698,D698+cukier10[[#This Row],[sprzedany_cukier]],cukier10[[#This Row],[sprzedany_cukier]])</f>
        <v>2814</v>
      </c>
      <c r="E699" cm="1">
        <f t="array" ref="E6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699">
        <f>cukier10[[#This Row],[sprzedany_cukier]]*cukier10[[#This Row],[rabat]]</f>
        <v>17.100000000000001</v>
      </c>
    </row>
    <row r="700" spans="1:6" x14ac:dyDescent="0.25">
      <c r="A700" s="1">
        <v>39484</v>
      </c>
      <c r="B700" t="s">
        <v>24</v>
      </c>
      <c r="C700">
        <v>365</v>
      </c>
      <c r="D700">
        <f>IF(cukier10[[#This Row],[nip_klienta]]=B699,D699+cukier10[[#This Row],[sprzedany_cukier]],cukier10[[#This Row],[sprzedany_cukier]])</f>
        <v>3179</v>
      </c>
      <c r="E700" cm="1">
        <f t="array" ref="E7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00">
        <f>cukier10[[#This Row],[sprzedany_cukier]]*cukier10[[#This Row],[rabat]]</f>
        <v>36.5</v>
      </c>
    </row>
    <row r="701" spans="1:6" x14ac:dyDescent="0.25">
      <c r="A701" s="1">
        <v>39544</v>
      </c>
      <c r="B701" t="s">
        <v>24</v>
      </c>
      <c r="C701">
        <v>176</v>
      </c>
      <c r="D701">
        <f>IF(cukier10[[#This Row],[nip_klienta]]=B700,D700+cukier10[[#This Row],[sprzedany_cukier]],cukier10[[#This Row],[sprzedany_cukier]])</f>
        <v>3355</v>
      </c>
      <c r="E701" cm="1">
        <f t="array" ref="E7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01">
        <f>cukier10[[#This Row],[sprzedany_cukier]]*cukier10[[#This Row],[rabat]]</f>
        <v>17.600000000000001</v>
      </c>
    </row>
    <row r="702" spans="1:6" x14ac:dyDescent="0.25">
      <c r="A702" s="1">
        <v>39764</v>
      </c>
      <c r="B702" t="s">
        <v>24</v>
      </c>
      <c r="C702">
        <v>226</v>
      </c>
      <c r="D702">
        <f>IF(cukier10[[#This Row],[nip_klienta]]=B701,D701+cukier10[[#This Row],[sprzedany_cukier]],cukier10[[#This Row],[sprzedany_cukier]])</f>
        <v>3581</v>
      </c>
      <c r="E702" cm="1">
        <f t="array" ref="E7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02">
        <f>cukier10[[#This Row],[sprzedany_cukier]]*cukier10[[#This Row],[rabat]]</f>
        <v>22.6</v>
      </c>
    </row>
    <row r="703" spans="1:6" x14ac:dyDescent="0.25">
      <c r="A703" s="1">
        <v>39859</v>
      </c>
      <c r="B703" t="s">
        <v>24</v>
      </c>
      <c r="C703">
        <v>284</v>
      </c>
      <c r="D703">
        <f>IF(cukier10[[#This Row],[nip_klienta]]=B702,D702+cukier10[[#This Row],[sprzedany_cukier]],cukier10[[#This Row],[sprzedany_cukier]])</f>
        <v>3865</v>
      </c>
      <c r="E703" cm="1">
        <f t="array" ref="E7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03">
        <f>cukier10[[#This Row],[sprzedany_cukier]]*cukier10[[#This Row],[rabat]]</f>
        <v>28.400000000000002</v>
      </c>
    </row>
    <row r="704" spans="1:6" x14ac:dyDescent="0.25">
      <c r="A704" s="1">
        <v>40381</v>
      </c>
      <c r="B704" t="s">
        <v>24</v>
      </c>
      <c r="C704">
        <v>138</v>
      </c>
      <c r="D704">
        <f>IF(cukier10[[#This Row],[nip_klienta]]=B703,D703+cukier10[[#This Row],[sprzedany_cukier]],cukier10[[#This Row],[sprzedany_cukier]])</f>
        <v>4003</v>
      </c>
      <c r="E704" cm="1">
        <f t="array" ref="E7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04">
        <f>cukier10[[#This Row],[sprzedany_cukier]]*cukier10[[#This Row],[rabat]]</f>
        <v>13.8</v>
      </c>
    </row>
    <row r="705" spans="1:6" x14ac:dyDescent="0.25">
      <c r="A705" s="1">
        <v>40701</v>
      </c>
      <c r="B705" t="s">
        <v>24</v>
      </c>
      <c r="C705">
        <v>110</v>
      </c>
      <c r="D705">
        <f>IF(cukier10[[#This Row],[nip_klienta]]=B704,D704+cukier10[[#This Row],[sprzedany_cukier]],cukier10[[#This Row],[sprzedany_cukier]])</f>
        <v>4113</v>
      </c>
      <c r="E705" cm="1">
        <f t="array" ref="E7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05">
        <f>cukier10[[#This Row],[sprzedany_cukier]]*cukier10[[#This Row],[rabat]]</f>
        <v>11</v>
      </c>
    </row>
    <row r="706" spans="1:6" x14ac:dyDescent="0.25">
      <c r="A706" s="1">
        <v>40789</v>
      </c>
      <c r="B706" t="s">
        <v>24</v>
      </c>
      <c r="C706">
        <v>310</v>
      </c>
      <c r="D706">
        <f>IF(cukier10[[#This Row],[nip_klienta]]=B705,D705+cukier10[[#This Row],[sprzedany_cukier]],cukier10[[#This Row],[sprzedany_cukier]])</f>
        <v>4423</v>
      </c>
      <c r="E706" cm="1">
        <f t="array" ref="E7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06">
        <f>cukier10[[#This Row],[sprzedany_cukier]]*cukier10[[#This Row],[rabat]]</f>
        <v>31</v>
      </c>
    </row>
    <row r="707" spans="1:6" x14ac:dyDescent="0.25">
      <c r="A707" s="1">
        <v>40800</v>
      </c>
      <c r="B707" t="s">
        <v>24</v>
      </c>
      <c r="C707">
        <v>230</v>
      </c>
      <c r="D707">
        <f>IF(cukier10[[#This Row],[nip_klienta]]=B706,D706+cukier10[[#This Row],[sprzedany_cukier]],cukier10[[#This Row],[sprzedany_cukier]])</f>
        <v>4653</v>
      </c>
      <c r="E707" cm="1">
        <f t="array" ref="E7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07">
        <f>cukier10[[#This Row],[sprzedany_cukier]]*cukier10[[#This Row],[rabat]]</f>
        <v>23</v>
      </c>
    </row>
    <row r="708" spans="1:6" x14ac:dyDescent="0.25">
      <c r="A708" s="1">
        <v>40895</v>
      </c>
      <c r="B708" t="s">
        <v>24</v>
      </c>
      <c r="C708">
        <v>236</v>
      </c>
      <c r="D708">
        <f>IF(cukier10[[#This Row],[nip_klienta]]=B707,D707+cukier10[[#This Row],[sprzedany_cukier]],cukier10[[#This Row],[sprzedany_cukier]])</f>
        <v>4889</v>
      </c>
      <c r="E708" cm="1">
        <f t="array" ref="E7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08">
        <f>cukier10[[#This Row],[sprzedany_cukier]]*cukier10[[#This Row],[rabat]]</f>
        <v>23.6</v>
      </c>
    </row>
    <row r="709" spans="1:6" x14ac:dyDescent="0.25">
      <c r="A709" s="1">
        <v>41130</v>
      </c>
      <c r="B709" t="s">
        <v>24</v>
      </c>
      <c r="C709">
        <v>190</v>
      </c>
      <c r="D709">
        <f>IF(cukier10[[#This Row],[nip_klienta]]=B708,D708+cukier10[[#This Row],[sprzedany_cukier]],cukier10[[#This Row],[sprzedany_cukier]])</f>
        <v>5079</v>
      </c>
      <c r="E709" cm="1">
        <f t="array" ref="E7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09">
        <f>cukier10[[#This Row],[sprzedany_cukier]]*cukier10[[#This Row],[rabat]]</f>
        <v>19</v>
      </c>
    </row>
    <row r="710" spans="1:6" x14ac:dyDescent="0.25">
      <c r="A710" s="1">
        <v>41770</v>
      </c>
      <c r="B710" t="s">
        <v>24</v>
      </c>
      <c r="C710">
        <v>386</v>
      </c>
      <c r="D710">
        <f>IF(cukier10[[#This Row],[nip_klienta]]=B709,D709+cukier10[[#This Row],[sprzedany_cukier]],cukier10[[#This Row],[sprzedany_cukier]])</f>
        <v>5465</v>
      </c>
      <c r="E710" cm="1">
        <f t="array" ref="E7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10">
        <f>cukier10[[#This Row],[sprzedany_cukier]]*cukier10[[#This Row],[rabat]]</f>
        <v>38.6</v>
      </c>
    </row>
    <row r="711" spans="1:6" x14ac:dyDescent="0.25">
      <c r="A711" s="1">
        <v>41978</v>
      </c>
      <c r="B711" t="s">
        <v>24</v>
      </c>
      <c r="C711">
        <v>332</v>
      </c>
      <c r="D711">
        <f>IF(cukier10[[#This Row],[nip_klienta]]=B710,D710+cukier10[[#This Row],[sprzedany_cukier]],cukier10[[#This Row],[sprzedany_cukier]])</f>
        <v>5797</v>
      </c>
      <c r="E711" cm="1">
        <f t="array" ref="E7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11">
        <f>cukier10[[#This Row],[sprzedany_cukier]]*cukier10[[#This Row],[rabat]]</f>
        <v>33.200000000000003</v>
      </c>
    </row>
    <row r="712" spans="1:6" x14ac:dyDescent="0.25">
      <c r="A712" s="1">
        <v>39834</v>
      </c>
      <c r="B712" t="s">
        <v>179</v>
      </c>
      <c r="C712">
        <v>16</v>
      </c>
      <c r="D712">
        <f>IF(cukier10[[#This Row],[nip_klienta]]=B711,D711+cukier10[[#This Row],[sprzedany_cukier]],cukier10[[#This Row],[sprzedany_cukier]])</f>
        <v>16</v>
      </c>
      <c r="E712" cm="1">
        <f t="array" ref="E7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12">
        <f>cukier10[[#This Row],[sprzedany_cukier]]*cukier10[[#This Row],[rabat]]</f>
        <v>0</v>
      </c>
    </row>
    <row r="713" spans="1:6" x14ac:dyDescent="0.25">
      <c r="A713" s="1">
        <v>38589</v>
      </c>
      <c r="B713" t="s">
        <v>74</v>
      </c>
      <c r="C713">
        <v>11</v>
      </c>
      <c r="D713">
        <f>IF(cukier10[[#This Row],[nip_klienta]]=B712,D712+cukier10[[#This Row],[sprzedany_cukier]],cukier10[[#This Row],[sprzedany_cukier]])</f>
        <v>11</v>
      </c>
      <c r="E713" cm="1">
        <f t="array" ref="E7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13">
        <f>cukier10[[#This Row],[sprzedany_cukier]]*cukier10[[#This Row],[rabat]]</f>
        <v>0</v>
      </c>
    </row>
    <row r="714" spans="1:6" x14ac:dyDescent="0.25">
      <c r="A714" s="1">
        <v>40103</v>
      </c>
      <c r="B714" t="s">
        <v>74</v>
      </c>
      <c r="C714">
        <v>6</v>
      </c>
      <c r="D714">
        <f>IF(cukier10[[#This Row],[nip_klienta]]=B713,D713+cukier10[[#This Row],[sprzedany_cukier]],cukier10[[#This Row],[sprzedany_cukier]])</f>
        <v>17</v>
      </c>
      <c r="E714" cm="1">
        <f t="array" ref="E7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14">
        <f>cukier10[[#This Row],[sprzedany_cukier]]*cukier10[[#This Row],[rabat]]</f>
        <v>0</v>
      </c>
    </row>
    <row r="715" spans="1:6" x14ac:dyDescent="0.25">
      <c r="A715" s="1">
        <v>40992</v>
      </c>
      <c r="B715" t="s">
        <v>74</v>
      </c>
      <c r="C715">
        <v>11</v>
      </c>
      <c r="D715">
        <f>IF(cukier10[[#This Row],[nip_klienta]]=B714,D714+cukier10[[#This Row],[sprzedany_cukier]],cukier10[[#This Row],[sprzedany_cukier]])</f>
        <v>28</v>
      </c>
      <c r="E715" cm="1">
        <f t="array" ref="E7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15">
        <f>cukier10[[#This Row],[sprzedany_cukier]]*cukier10[[#This Row],[rabat]]</f>
        <v>0</v>
      </c>
    </row>
    <row r="716" spans="1:6" x14ac:dyDescent="0.25">
      <c r="A716" s="1">
        <v>41981</v>
      </c>
      <c r="B716" t="s">
        <v>74</v>
      </c>
      <c r="C716">
        <v>10</v>
      </c>
      <c r="D716">
        <f>IF(cukier10[[#This Row],[nip_klienta]]=B715,D715+cukier10[[#This Row],[sprzedany_cukier]],cukier10[[#This Row],[sprzedany_cukier]])</f>
        <v>38</v>
      </c>
      <c r="E716" cm="1">
        <f t="array" ref="E7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16">
        <f>cukier10[[#This Row],[sprzedany_cukier]]*cukier10[[#This Row],[rabat]]</f>
        <v>0</v>
      </c>
    </row>
    <row r="717" spans="1:6" x14ac:dyDescent="0.25">
      <c r="A717" s="1">
        <v>40237</v>
      </c>
      <c r="B717" t="s">
        <v>207</v>
      </c>
      <c r="C717">
        <v>20</v>
      </c>
      <c r="D717">
        <f>IF(cukier10[[#This Row],[nip_klienta]]=B716,D716+cukier10[[#This Row],[sprzedany_cukier]],cukier10[[#This Row],[sprzedany_cukier]])</f>
        <v>20</v>
      </c>
      <c r="E717" cm="1">
        <f t="array" ref="E7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17">
        <f>cukier10[[#This Row],[sprzedany_cukier]]*cukier10[[#This Row],[rabat]]</f>
        <v>0</v>
      </c>
    </row>
    <row r="718" spans="1:6" x14ac:dyDescent="0.25">
      <c r="A718" s="1">
        <v>41616</v>
      </c>
      <c r="B718" t="s">
        <v>207</v>
      </c>
      <c r="C718">
        <v>9</v>
      </c>
      <c r="D718">
        <f>IF(cukier10[[#This Row],[nip_klienta]]=B717,D717+cukier10[[#This Row],[sprzedany_cukier]],cukier10[[#This Row],[sprzedany_cukier]])</f>
        <v>29</v>
      </c>
      <c r="E718" cm="1">
        <f t="array" ref="E7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18">
        <f>cukier10[[#This Row],[sprzedany_cukier]]*cukier10[[#This Row],[rabat]]</f>
        <v>0</v>
      </c>
    </row>
    <row r="719" spans="1:6" x14ac:dyDescent="0.25">
      <c r="A719" s="1">
        <v>38847</v>
      </c>
      <c r="B719" t="s">
        <v>107</v>
      </c>
      <c r="C719">
        <v>20</v>
      </c>
      <c r="D719">
        <f>IF(cukier10[[#This Row],[nip_klienta]]=B718,D718+cukier10[[#This Row],[sprzedany_cukier]],cukier10[[#This Row],[sprzedany_cukier]])</f>
        <v>20</v>
      </c>
      <c r="E719" cm="1">
        <f t="array" ref="E7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19">
        <f>cukier10[[#This Row],[sprzedany_cukier]]*cukier10[[#This Row],[rabat]]</f>
        <v>0</v>
      </c>
    </row>
    <row r="720" spans="1:6" x14ac:dyDescent="0.25">
      <c r="A720" s="1">
        <v>38393</v>
      </c>
      <c r="B720" t="s">
        <v>16</v>
      </c>
      <c r="C720">
        <v>6</v>
      </c>
      <c r="D720">
        <f>IF(cukier10[[#This Row],[nip_klienta]]=B719,D719+cukier10[[#This Row],[sprzedany_cukier]],cukier10[[#This Row],[sprzedany_cukier]])</f>
        <v>6</v>
      </c>
      <c r="E720" cm="1">
        <f t="array" ref="E7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20">
        <f>cukier10[[#This Row],[sprzedany_cukier]]*cukier10[[#This Row],[rabat]]</f>
        <v>0</v>
      </c>
    </row>
    <row r="721" spans="1:6" x14ac:dyDescent="0.25">
      <c r="A721" s="1">
        <v>38633</v>
      </c>
      <c r="B721" t="s">
        <v>16</v>
      </c>
      <c r="C721">
        <v>8</v>
      </c>
      <c r="D721">
        <f>IF(cukier10[[#This Row],[nip_klienta]]=B720,D720+cukier10[[#This Row],[sprzedany_cukier]],cukier10[[#This Row],[sprzedany_cukier]])</f>
        <v>14</v>
      </c>
      <c r="E721" cm="1">
        <f t="array" ref="E7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21">
        <f>cukier10[[#This Row],[sprzedany_cukier]]*cukier10[[#This Row],[rabat]]</f>
        <v>0</v>
      </c>
    </row>
    <row r="722" spans="1:6" x14ac:dyDescent="0.25">
      <c r="A722" s="1">
        <v>39430</v>
      </c>
      <c r="B722" t="s">
        <v>16</v>
      </c>
      <c r="C722">
        <v>7</v>
      </c>
      <c r="D722">
        <f>IF(cukier10[[#This Row],[nip_klienta]]=B721,D721+cukier10[[#This Row],[sprzedany_cukier]],cukier10[[#This Row],[sprzedany_cukier]])</f>
        <v>21</v>
      </c>
      <c r="E722" cm="1">
        <f t="array" ref="E7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22">
        <f>cukier10[[#This Row],[sprzedany_cukier]]*cukier10[[#This Row],[rabat]]</f>
        <v>0</v>
      </c>
    </row>
    <row r="723" spans="1:6" x14ac:dyDescent="0.25">
      <c r="A723" s="1">
        <v>39994</v>
      </c>
      <c r="B723" t="s">
        <v>16</v>
      </c>
      <c r="C723">
        <v>10</v>
      </c>
      <c r="D723">
        <f>IF(cukier10[[#This Row],[nip_klienta]]=B722,D722+cukier10[[#This Row],[sprzedany_cukier]],cukier10[[#This Row],[sprzedany_cukier]])</f>
        <v>31</v>
      </c>
      <c r="E723" cm="1">
        <f t="array" ref="E7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23">
        <f>cukier10[[#This Row],[sprzedany_cukier]]*cukier10[[#This Row],[rabat]]</f>
        <v>0</v>
      </c>
    </row>
    <row r="724" spans="1:6" x14ac:dyDescent="0.25">
      <c r="A724" s="1">
        <v>41099</v>
      </c>
      <c r="B724" t="s">
        <v>16</v>
      </c>
      <c r="C724">
        <v>7</v>
      </c>
      <c r="D724">
        <f>IF(cukier10[[#This Row],[nip_klienta]]=B723,D723+cukier10[[#This Row],[sprzedany_cukier]],cukier10[[#This Row],[sprzedany_cukier]])</f>
        <v>38</v>
      </c>
      <c r="E724" cm="1">
        <f t="array" ref="E7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24">
        <f>cukier10[[#This Row],[sprzedany_cukier]]*cukier10[[#This Row],[rabat]]</f>
        <v>0</v>
      </c>
    </row>
    <row r="725" spans="1:6" x14ac:dyDescent="0.25">
      <c r="A725" s="1">
        <v>40647</v>
      </c>
      <c r="B725" t="s">
        <v>219</v>
      </c>
      <c r="C725">
        <v>13</v>
      </c>
      <c r="D725">
        <f>IF(cukier10[[#This Row],[nip_klienta]]=B724,D724+cukier10[[#This Row],[sprzedany_cukier]],cukier10[[#This Row],[sprzedany_cukier]])</f>
        <v>13</v>
      </c>
      <c r="E725" cm="1">
        <f t="array" ref="E7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25">
        <f>cukier10[[#This Row],[sprzedany_cukier]]*cukier10[[#This Row],[rabat]]</f>
        <v>0</v>
      </c>
    </row>
    <row r="726" spans="1:6" x14ac:dyDescent="0.25">
      <c r="A726" s="1">
        <v>41787</v>
      </c>
      <c r="B726" t="s">
        <v>219</v>
      </c>
      <c r="C726">
        <v>16</v>
      </c>
      <c r="D726">
        <f>IF(cukier10[[#This Row],[nip_klienta]]=B725,D725+cukier10[[#This Row],[sprzedany_cukier]],cukier10[[#This Row],[sprzedany_cukier]])</f>
        <v>29</v>
      </c>
      <c r="E726" cm="1">
        <f t="array" ref="E7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26">
        <f>cukier10[[#This Row],[sprzedany_cukier]]*cukier10[[#This Row],[rabat]]</f>
        <v>0</v>
      </c>
    </row>
    <row r="727" spans="1:6" x14ac:dyDescent="0.25">
      <c r="A727" s="1">
        <v>38560</v>
      </c>
      <c r="B727" t="s">
        <v>64</v>
      </c>
      <c r="C727">
        <v>2</v>
      </c>
      <c r="D727">
        <f>IF(cukier10[[#This Row],[nip_klienta]]=B726,D726+cukier10[[#This Row],[sprzedany_cukier]],cukier10[[#This Row],[sprzedany_cukier]])</f>
        <v>2</v>
      </c>
      <c r="E727" cm="1">
        <f t="array" ref="E7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27">
        <f>cukier10[[#This Row],[sprzedany_cukier]]*cukier10[[#This Row],[rabat]]</f>
        <v>0</v>
      </c>
    </row>
    <row r="728" spans="1:6" x14ac:dyDescent="0.25">
      <c r="A728" s="1">
        <v>38755</v>
      </c>
      <c r="B728" t="s">
        <v>64</v>
      </c>
      <c r="C728">
        <v>1</v>
      </c>
      <c r="D728">
        <f>IF(cukier10[[#This Row],[nip_klienta]]=B727,D727+cukier10[[#This Row],[sprzedany_cukier]],cukier10[[#This Row],[sprzedany_cukier]])</f>
        <v>3</v>
      </c>
      <c r="E728" cm="1">
        <f t="array" ref="E7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28">
        <f>cukier10[[#This Row],[sprzedany_cukier]]*cukier10[[#This Row],[rabat]]</f>
        <v>0</v>
      </c>
    </row>
    <row r="729" spans="1:6" x14ac:dyDescent="0.25">
      <c r="A729" s="1">
        <v>39632</v>
      </c>
      <c r="B729" t="s">
        <v>64</v>
      </c>
      <c r="C729">
        <v>3</v>
      </c>
      <c r="D729">
        <f>IF(cukier10[[#This Row],[nip_klienta]]=B728,D728+cukier10[[#This Row],[sprzedany_cukier]],cukier10[[#This Row],[sprzedany_cukier]])</f>
        <v>6</v>
      </c>
      <c r="E729" cm="1">
        <f t="array" ref="E7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29">
        <f>cukier10[[#This Row],[sprzedany_cukier]]*cukier10[[#This Row],[rabat]]</f>
        <v>0</v>
      </c>
    </row>
    <row r="730" spans="1:6" x14ac:dyDescent="0.25">
      <c r="A730" s="1">
        <v>41453</v>
      </c>
      <c r="B730" t="s">
        <v>64</v>
      </c>
      <c r="C730">
        <v>13</v>
      </c>
      <c r="D730">
        <f>IF(cukier10[[#This Row],[nip_klienta]]=B729,D729+cukier10[[#This Row],[sprzedany_cukier]],cukier10[[#This Row],[sprzedany_cukier]])</f>
        <v>19</v>
      </c>
      <c r="E730" cm="1">
        <f t="array" ref="E7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30">
        <f>cukier10[[#This Row],[sprzedany_cukier]]*cukier10[[#This Row],[rabat]]</f>
        <v>0</v>
      </c>
    </row>
    <row r="731" spans="1:6" x14ac:dyDescent="0.25">
      <c r="A731" s="1">
        <v>41520</v>
      </c>
      <c r="B731" t="s">
        <v>64</v>
      </c>
      <c r="C731">
        <v>15</v>
      </c>
      <c r="D731">
        <f>IF(cukier10[[#This Row],[nip_klienta]]=B730,D730+cukier10[[#This Row],[sprzedany_cukier]],cukier10[[#This Row],[sprzedany_cukier]])</f>
        <v>34</v>
      </c>
      <c r="E731" cm="1">
        <f t="array" ref="E7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31">
        <f>cukier10[[#This Row],[sprzedany_cukier]]*cukier10[[#This Row],[rabat]]</f>
        <v>0</v>
      </c>
    </row>
    <row r="732" spans="1:6" x14ac:dyDescent="0.25">
      <c r="A732" s="1">
        <v>38356</v>
      </c>
      <c r="B732" t="s">
        <v>1</v>
      </c>
      <c r="C732">
        <v>2</v>
      </c>
      <c r="D732">
        <f>IF(cukier10[[#This Row],[nip_klienta]]=B731,D731+cukier10[[#This Row],[sprzedany_cukier]],cukier10[[#This Row],[sprzedany_cukier]])</f>
        <v>2</v>
      </c>
      <c r="E732" cm="1">
        <f t="array" ref="E7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32">
        <f>cukier10[[#This Row],[sprzedany_cukier]]*cukier10[[#This Row],[rabat]]</f>
        <v>0</v>
      </c>
    </row>
    <row r="733" spans="1:6" x14ac:dyDescent="0.25">
      <c r="A733" s="1">
        <v>38448</v>
      </c>
      <c r="B733" t="s">
        <v>1</v>
      </c>
      <c r="C733">
        <v>15</v>
      </c>
      <c r="D733">
        <f>IF(cukier10[[#This Row],[nip_klienta]]=B732,D732+cukier10[[#This Row],[sprzedany_cukier]],cukier10[[#This Row],[sprzedany_cukier]])</f>
        <v>17</v>
      </c>
      <c r="E733" cm="1">
        <f t="array" ref="E7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33">
        <f>cukier10[[#This Row],[sprzedany_cukier]]*cukier10[[#This Row],[rabat]]</f>
        <v>0</v>
      </c>
    </row>
    <row r="734" spans="1:6" x14ac:dyDescent="0.25">
      <c r="A734" s="1">
        <v>39808</v>
      </c>
      <c r="B734" t="s">
        <v>1</v>
      </c>
      <c r="C734">
        <v>14</v>
      </c>
      <c r="D734">
        <f>IF(cukier10[[#This Row],[nip_klienta]]=B733,D733+cukier10[[#This Row],[sprzedany_cukier]],cukier10[[#This Row],[sprzedany_cukier]])</f>
        <v>31</v>
      </c>
      <c r="E734" cm="1">
        <f t="array" ref="E7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34">
        <f>cukier10[[#This Row],[sprzedany_cukier]]*cukier10[[#This Row],[rabat]]</f>
        <v>0</v>
      </c>
    </row>
    <row r="735" spans="1:6" x14ac:dyDescent="0.25">
      <c r="A735" s="1">
        <v>40031</v>
      </c>
      <c r="B735" t="s">
        <v>1</v>
      </c>
      <c r="C735">
        <v>18</v>
      </c>
      <c r="D735">
        <f>IF(cukier10[[#This Row],[nip_klienta]]=B734,D734+cukier10[[#This Row],[sprzedany_cukier]],cukier10[[#This Row],[sprzedany_cukier]])</f>
        <v>49</v>
      </c>
      <c r="E735" cm="1">
        <f t="array" ref="E7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35">
        <f>cukier10[[#This Row],[sprzedany_cukier]]*cukier10[[#This Row],[rabat]]</f>
        <v>0</v>
      </c>
    </row>
    <row r="736" spans="1:6" x14ac:dyDescent="0.25">
      <c r="A736" s="1">
        <v>41629</v>
      </c>
      <c r="B736" t="s">
        <v>1</v>
      </c>
      <c r="C736">
        <v>20</v>
      </c>
      <c r="D736">
        <f>IF(cukier10[[#This Row],[nip_klienta]]=B735,D735+cukier10[[#This Row],[sprzedany_cukier]],cukier10[[#This Row],[sprzedany_cukier]])</f>
        <v>69</v>
      </c>
      <c r="E736" cm="1">
        <f t="array" ref="E7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36">
        <f>cukier10[[#This Row],[sprzedany_cukier]]*cukier10[[#This Row],[rabat]]</f>
        <v>0</v>
      </c>
    </row>
    <row r="737" spans="1:6" x14ac:dyDescent="0.25">
      <c r="A737" s="1">
        <v>39496</v>
      </c>
      <c r="B737" t="s">
        <v>157</v>
      </c>
      <c r="C737">
        <v>2</v>
      </c>
      <c r="D737">
        <f>IF(cukier10[[#This Row],[nip_klienta]]=B736,D736+cukier10[[#This Row],[sprzedany_cukier]],cukier10[[#This Row],[sprzedany_cukier]])</f>
        <v>2</v>
      </c>
      <c r="E737" cm="1">
        <f t="array" ref="E7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37">
        <f>cukier10[[#This Row],[sprzedany_cukier]]*cukier10[[#This Row],[rabat]]</f>
        <v>0</v>
      </c>
    </row>
    <row r="738" spans="1:6" x14ac:dyDescent="0.25">
      <c r="A738" s="1">
        <v>40139</v>
      </c>
      <c r="B738" t="s">
        <v>157</v>
      </c>
      <c r="C738">
        <v>2</v>
      </c>
      <c r="D738">
        <f>IF(cukier10[[#This Row],[nip_klienta]]=B737,D737+cukier10[[#This Row],[sprzedany_cukier]],cukier10[[#This Row],[sprzedany_cukier]])</f>
        <v>4</v>
      </c>
      <c r="E738" cm="1">
        <f t="array" ref="E7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38">
        <f>cukier10[[#This Row],[sprzedany_cukier]]*cukier10[[#This Row],[rabat]]</f>
        <v>0</v>
      </c>
    </row>
    <row r="739" spans="1:6" x14ac:dyDescent="0.25">
      <c r="A739" s="1">
        <v>41913</v>
      </c>
      <c r="B739" t="s">
        <v>157</v>
      </c>
      <c r="C739">
        <v>16</v>
      </c>
      <c r="D739">
        <f>IF(cukier10[[#This Row],[nip_klienta]]=B738,D738+cukier10[[#This Row],[sprzedany_cukier]],cukier10[[#This Row],[sprzedany_cukier]])</f>
        <v>20</v>
      </c>
      <c r="E739" cm="1">
        <f t="array" ref="E7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39">
        <f>cukier10[[#This Row],[sprzedany_cukier]]*cukier10[[#This Row],[rabat]]</f>
        <v>0</v>
      </c>
    </row>
    <row r="740" spans="1:6" x14ac:dyDescent="0.25">
      <c r="A740" s="1">
        <v>38978</v>
      </c>
      <c r="B740" t="s">
        <v>125</v>
      </c>
      <c r="C740">
        <v>8</v>
      </c>
      <c r="D740">
        <f>IF(cukier10[[#This Row],[nip_klienta]]=B739,D739+cukier10[[#This Row],[sprzedany_cukier]],cukier10[[#This Row],[sprzedany_cukier]])</f>
        <v>8</v>
      </c>
      <c r="E740" cm="1">
        <f t="array" ref="E7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40">
        <f>cukier10[[#This Row],[sprzedany_cukier]]*cukier10[[#This Row],[rabat]]</f>
        <v>0</v>
      </c>
    </row>
    <row r="741" spans="1:6" x14ac:dyDescent="0.25">
      <c r="A741" s="1">
        <v>41061</v>
      </c>
      <c r="B741" t="s">
        <v>125</v>
      </c>
      <c r="C741">
        <v>2</v>
      </c>
      <c r="D741">
        <f>IF(cukier10[[#This Row],[nip_klienta]]=B740,D740+cukier10[[#This Row],[sprzedany_cukier]],cukier10[[#This Row],[sprzedany_cukier]])</f>
        <v>10</v>
      </c>
      <c r="E741" cm="1">
        <f t="array" ref="E7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41">
        <f>cukier10[[#This Row],[sprzedany_cukier]]*cukier10[[#This Row],[rabat]]</f>
        <v>0</v>
      </c>
    </row>
    <row r="742" spans="1:6" x14ac:dyDescent="0.25">
      <c r="A742" s="1">
        <v>41064</v>
      </c>
      <c r="B742" t="s">
        <v>125</v>
      </c>
      <c r="C742">
        <v>8</v>
      </c>
      <c r="D742">
        <f>IF(cukier10[[#This Row],[nip_klienta]]=B741,D741+cukier10[[#This Row],[sprzedany_cukier]],cukier10[[#This Row],[sprzedany_cukier]])</f>
        <v>18</v>
      </c>
      <c r="E742" cm="1">
        <f t="array" ref="E7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42">
        <f>cukier10[[#This Row],[sprzedany_cukier]]*cukier10[[#This Row],[rabat]]</f>
        <v>0</v>
      </c>
    </row>
    <row r="743" spans="1:6" x14ac:dyDescent="0.25">
      <c r="A743" s="1">
        <v>38788</v>
      </c>
      <c r="B743" t="s">
        <v>98</v>
      </c>
      <c r="C743">
        <v>12</v>
      </c>
      <c r="D743">
        <f>IF(cukier10[[#This Row],[nip_klienta]]=B742,D742+cukier10[[#This Row],[sprzedany_cukier]],cukier10[[#This Row],[sprzedany_cukier]])</f>
        <v>12</v>
      </c>
      <c r="E743" cm="1">
        <f t="array" ref="E7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43">
        <f>cukier10[[#This Row],[sprzedany_cukier]]*cukier10[[#This Row],[rabat]]</f>
        <v>0</v>
      </c>
    </row>
    <row r="744" spans="1:6" x14ac:dyDescent="0.25">
      <c r="A744" s="1">
        <v>40275</v>
      </c>
      <c r="B744" t="s">
        <v>98</v>
      </c>
      <c r="C744">
        <v>19</v>
      </c>
      <c r="D744">
        <f>IF(cukier10[[#This Row],[nip_klienta]]=B743,D743+cukier10[[#This Row],[sprzedany_cukier]],cukier10[[#This Row],[sprzedany_cukier]])</f>
        <v>31</v>
      </c>
      <c r="E744" cm="1">
        <f t="array" ref="E7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44">
        <f>cukier10[[#This Row],[sprzedany_cukier]]*cukier10[[#This Row],[rabat]]</f>
        <v>0</v>
      </c>
    </row>
    <row r="745" spans="1:6" x14ac:dyDescent="0.25">
      <c r="A745" s="1">
        <v>40437</v>
      </c>
      <c r="B745" t="s">
        <v>98</v>
      </c>
      <c r="C745">
        <v>20</v>
      </c>
      <c r="D745">
        <f>IF(cukier10[[#This Row],[nip_klienta]]=B744,D744+cukier10[[#This Row],[sprzedany_cukier]],cukier10[[#This Row],[sprzedany_cukier]])</f>
        <v>51</v>
      </c>
      <c r="E745" cm="1">
        <f t="array" ref="E7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45">
        <f>cukier10[[#This Row],[sprzedany_cukier]]*cukier10[[#This Row],[rabat]]</f>
        <v>0</v>
      </c>
    </row>
    <row r="746" spans="1:6" x14ac:dyDescent="0.25">
      <c r="A746" s="1">
        <v>41969</v>
      </c>
      <c r="B746" t="s">
        <v>98</v>
      </c>
      <c r="C746">
        <v>4</v>
      </c>
      <c r="D746">
        <f>IF(cukier10[[#This Row],[nip_klienta]]=B745,D745+cukier10[[#This Row],[sprzedany_cukier]],cukier10[[#This Row],[sprzedany_cukier]])</f>
        <v>55</v>
      </c>
      <c r="E746" cm="1">
        <f t="array" ref="E7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46">
        <f>cukier10[[#This Row],[sprzedany_cukier]]*cukier10[[#This Row],[rabat]]</f>
        <v>0</v>
      </c>
    </row>
    <row r="747" spans="1:6" x14ac:dyDescent="0.25">
      <c r="A747" s="1">
        <v>38460</v>
      </c>
      <c r="B747" t="s">
        <v>40</v>
      </c>
      <c r="C747">
        <v>2</v>
      </c>
      <c r="D747">
        <f>IF(cukier10[[#This Row],[nip_klienta]]=B746,D746+cukier10[[#This Row],[sprzedany_cukier]],cukier10[[#This Row],[sprzedany_cukier]])</f>
        <v>2</v>
      </c>
      <c r="E747" cm="1">
        <f t="array" ref="E7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47">
        <f>cukier10[[#This Row],[sprzedany_cukier]]*cukier10[[#This Row],[rabat]]</f>
        <v>0</v>
      </c>
    </row>
    <row r="748" spans="1:6" x14ac:dyDescent="0.25">
      <c r="A748" s="1">
        <v>39093</v>
      </c>
      <c r="B748" t="s">
        <v>40</v>
      </c>
      <c r="C748">
        <v>20</v>
      </c>
      <c r="D748">
        <f>IF(cukier10[[#This Row],[nip_klienta]]=B747,D747+cukier10[[#This Row],[sprzedany_cukier]],cukier10[[#This Row],[sprzedany_cukier]])</f>
        <v>22</v>
      </c>
      <c r="E748" cm="1">
        <f t="array" ref="E7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48">
        <f>cukier10[[#This Row],[sprzedany_cukier]]*cukier10[[#This Row],[rabat]]</f>
        <v>0</v>
      </c>
    </row>
    <row r="749" spans="1:6" x14ac:dyDescent="0.25">
      <c r="A749" s="1">
        <v>39334</v>
      </c>
      <c r="B749" t="s">
        <v>40</v>
      </c>
      <c r="C749">
        <v>2</v>
      </c>
      <c r="D749">
        <f>IF(cukier10[[#This Row],[nip_klienta]]=B748,D748+cukier10[[#This Row],[sprzedany_cukier]],cukier10[[#This Row],[sprzedany_cukier]])</f>
        <v>24</v>
      </c>
      <c r="E749" cm="1">
        <f t="array" ref="E7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49">
        <f>cukier10[[#This Row],[sprzedany_cukier]]*cukier10[[#This Row],[rabat]]</f>
        <v>0</v>
      </c>
    </row>
    <row r="750" spans="1:6" x14ac:dyDescent="0.25">
      <c r="A750" s="1">
        <v>39392</v>
      </c>
      <c r="B750" t="s">
        <v>40</v>
      </c>
      <c r="C750">
        <v>8</v>
      </c>
      <c r="D750">
        <f>IF(cukier10[[#This Row],[nip_klienta]]=B749,D749+cukier10[[#This Row],[sprzedany_cukier]],cukier10[[#This Row],[sprzedany_cukier]])</f>
        <v>32</v>
      </c>
      <c r="E750" cm="1">
        <f t="array" ref="E7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50">
        <f>cukier10[[#This Row],[sprzedany_cukier]]*cukier10[[#This Row],[rabat]]</f>
        <v>0</v>
      </c>
    </row>
    <row r="751" spans="1:6" x14ac:dyDescent="0.25">
      <c r="A751" s="1">
        <v>40286</v>
      </c>
      <c r="B751" t="s">
        <v>40</v>
      </c>
      <c r="C751">
        <v>18</v>
      </c>
      <c r="D751">
        <f>IF(cukier10[[#This Row],[nip_klienta]]=B750,D750+cukier10[[#This Row],[sprzedany_cukier]],cukier10[[#This Row],[sprzedany_cukier]])</f>
        <v>50</v>
      </c>
      <c r="E751" cm="1">
        <f t="array" ref="E7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51">
        <f>cukier10[[#This Row],[sprzedany_cukier]]*cukier10[[#This Row],[rabat]]</f>
        <v>0</v>
      </c>
    </row>
    <row r="752" spans="1:6" x14ac:dyDescent="0.25">
      <c r="A752" s="1">
        <v>38421</v>
      </c>
      <c r="B752" t="s">
        <v>28</v>
      </c>
      <c r="C752">
        <v>102</v>
      </c>
      <c r="D752">
        <f>IF(cukier10[[#This Row],[nip_klienta]]=B751,D751+cukier10[[#This Row],[sprzedany_cukier]],cukier10[[#This Row],[sprzedany_cukier]])</f>
        <v>102</v>
      </c>
      <c r="E752" cm="1">
        <f t="array" ref="E7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752">
        <f>cukier10[[#This Row],[sprzedany_cukier]]*cukier10[[#This Row],[rabat]]</f>
        <v>5.1000000000000005</v>
      </c>
    </row>
    <row r="753" spans="1:6" x14ac:dyDescent="0.25">
      <c r="A753" s="1">
        <v>38496</v>
      </c>
      <c r="B753" t="s">
        <v>28</v>
      </c>
      <c r="C753">
        <v>49</v>
      </c>
      <c r="D753">
        <f>IF(cukier10[[#This Row],[nip_klienta]]=B752,D752+cukier10[[#This Row],[sprzedany_cukier]],cukier10[[#This Row],[sprzedany_cukier]])</f>
        <v>151</v>
      </c>
      <c r="E753" cm="1">
        <f t="array" ref="E7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753">
        <f>cukier10[[#This Row],[sprzedany_cukier]]*cukier10[[#This Row],[rabat]]</f>
        <v>2.4500000000000002</v>
      </c>
    </row>
    <row r="754" spans="1:6" x14ac:dyDescent="0.25">
      <c r="A754" s="1">
        <v>38579</v>
      </c>
      <c r="B754" t="s">
        <v>28</v>
      </c>
      <c r="C754">
        <v>47</v>
      </c>
      <c r="D754">
        <f>IF(cukier10[[#This Row],[nip_klienta]]=B753,D753+cukier10[[#This Row],[sprzedany_cukier]],cukier10[[#This Row],[sprzedany_cukier]])</f>
        <v>198</v>
      </c>
      <c r="E754" cm="1">
        <f t="array" ref="E7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754">
        <f>cukier10[[#This Row],[sprzedany_cukier]]*cukier10[[#This Row],[rabat]]</f>
        <v>2.35</v>
      </c>
    </row>
    <row r="755" spans="1:6" x14ac:dyDescent="0.25">
      <c r="A755" s="1">
        <v>38589</v>
      </c>
      <c r="B755" t="s">
        <v>28</v>
      </c>
      <c r="C755">
        <v>54</v>
      </c>
      <c r="D755">
        <f>IF(cukier10[[#This Row],[nip_klienta]]=B754,D754+cukier10[[#This Row],[sprzedany_cukier]],cukier10[[#This Row],[sprzedany_cukier]])</f>
        <v>252</v>
      </c>
      <c r="E755" cm="1">
        <f t="array" ref="E7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755">
        <f>cukier10[[#This Row],[sprzedany_cukier]]*cukier10[[#This Row],[rabat]]</f>
        <v>2.7</v>
      </c>
    </row>
    <row r="756" spans="1:6" x14ac:dyDescent="0.25">
      <c r="A756" s="1">
        <v>38610</v>
      </c>
      <c r="B756" t="s">
        <v>28</v>
      </c>
      <c r="C756">
        <v>47</v>
      </c>
      <c r="D756">
        <f>IF(cukier10[[#This Row],[nip_klienta]]=B755,D755+cukier10[[#This Row],[sprzedany_cukier]],cukier10[[#This Row],[sprzedany_cukier]])</f>
        <v>299</v>
      </c>
      <c r="E756" cm="1">
        <f t="array" ref="E7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756">
        <f>cukier10[[#This Row],[sprzedany_cukier]]*cukier10[[#This Row],[rabat]]</f>
        <v>2.35</v>
      </c>
    </row>
    <row r="757" spans="1:6" x14ac:dyDescent="0.25">
      <c r="A757" s="1">
        <v>38628</v>
      </c>
      <c r="B757" t="s">
        <v>28</v>
      </c>
      <c r="C757">
        <v>118</v>
      </c>
      <c r="D757">
        <f>IF(cukier10[[#This Row],[nip_klienta]]=B756,D756+cukier10[[#This Row],[sprzedany_cukier]],cukier10[[#This Row],[sprzedany_cukier]])</f>
        <v>417</v>
      </c>
      <c r="E757" cm="1">
        <f t="array" ref="E7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757">
        <f>cukier10[[#This Row],[sprzedany_cukier]]*cukier10[[#This Row],[rabat]]</f>
        <v>5.9</v>
      </c>
    </row>
    <row r="758" spans="1:6" x14ac:dyDescent="0.25">
      <c r="A758" s="1">
        <v>38638</v>
      </c>
      <c r="B758" t="s">
        <v>28</v>
      </c>
      <c r="C758">
        <v>132</v>
      </c>
      <c r="D758">
        <f>IF(cukier10[[#This Row],[nip_klienta]]=B757,D757+cukier10[[#This Row],[sprzedany_cukier]],cukier10[[#This Row],[sprzedany_cukier]])</f>
        <v>549</v>
      </c>
      <c r="E758" cm="1">
        <f t="array" ref="E7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758">
        <f>cukier10[[#This Row],[sprzedany_cukier]]*cukier10[[#This Row],[rabat]]</f>
        <v>6.6000000000000005</v>
      </c>
    </row>
    <row r="759" spans="1:6" x14ac:dyDescent="0.25">
      <c r="A759" s="1">
        <v>38959</v>
      </c>
      <c r="B759" t="s">
        <v>28</v>
      </c>
      <c r="C759">
        <v>114</v>
      </c>
      <c r="D759">
        <f>IF(cukier10[[#This Row],[nip_klienta]]=B758,D758+cukier10[[#This Row],[sprzedany_cukier]],cukier10[[#This Row],[sprzedany_cukier]])</f>
        <v>663</v>
      </c>
      <c r="E759" cm="1">
        <f t="array" ref="E7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759">
        <f>cukier10[[#This Row],[sprzedany_cukier]]*cukier10[[#This Row],[rabat]]</f>
        <v>5.7</v>
      </c>
    </row>
    <row r="760" spans="1:6" x14ac:dyDescent="0.25">
      <c r="A760" s="1">
        <v>38962</v>
      </c>
      <c r="B760" t="s">
        <v>28</v>
      </c>
      <c r="C760">
        <v>33</v>
      </c>
      <c r="D760">
        <f>IF(cukier10[[#This Row],[nip_klienta]]=B759,D759+cukier10[[#This Row],[sprzedany_cukier]],cukier10[[#This Row],[sprzedany_cukier]])</f>
        <v>696</v>
      </c>
      <c r="E760" cm="1">
        <f t="array" ref="E7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760">
        <f>cukier10[[#This Row],[sprzedany_cukier]]*cukier10[[#This Row],[rabat]]</f>
        <v>1.6500000000000001</v>
      </c>
    </row>
    <row r="761" spans="1:6" x14ac:dyDescent="0.25">
      <c r="A761" s="1">
        <v>39152</v>
      </c>
      <c r="B761" t="s">
        <v>28</v>
      </c>
      <c r="C761">
        <v>118</v>
      </c>
      <c r="D761">
        <f>IF(cukier10[[#This Row],[nip_klienta]]=B760,D760+cukier10[[#This Row],[sprzedany_cukier]],cukier10[[#This Row],[sprzedany_cukier]])</f>
        <v>814</v>
      </c>
      <c r="E761" cm="1">
        <f t="array" ref="E7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761">
        <f>cukier10[[#This Row],[sprzedany_cukier]]*cukier10[[#This Row],[rabat]]</f>
        <v>5.9</v>
      </c>
    </row>
    <row r="762" spans="1:6" x14ac:dyDescent="0.25">
      <c r="A762" s="1">
        <v>39223</v>
      </c>
      <c r="B762" t="s">
        <v>28</v>
      </c>
      <c r="C762">
        <v>119</v>
      </c>
      <c r="D762">
        <f>IF(cukier10[[#This Row],[nip_klienta]]=B761,D761+cukier10[[#This Row],[sprzedany_cukier]],cukier10[[#This Row],[sprzedany_cukier]])</f>
        <v>933</v>
      </c>
      <c r="E762" cm="1">
        <f t="array" ref="E7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762">
        <f>cukier10[[#This Row],[sprzedany_cukier]]*cukier10[[#This Row],[rabat]]</f>
        <v>5.95</v>
      </c>
    </row>
    <row r="763" spans="1:6" x14ac:dyDescent="0.25">
      <c r="A763" s="1">
        <v>39254</v>
      </c>
      <c r="B763" t="s">
        <v>28</v>
      </c>
      <c r="C763">
        <v>74</v>
      </c>
      <c r="D763">
        <f>IF(cukier10[[#This Row],[nip_klienta]]=B762,D762+cukier10[[#This Row],[sprzedany_cukier]],cukier10[[#This Row],[sprzedany_cukier]])</f>
        <v>1007</v>
      </c>
      <c r="E763" cm="1">
        <f t="array" ref="E7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63">
        <f>cukier10[[#This Row],[sprzedany_cukier]]*cukier10[[#This Row],[rabat]]</f>
        <v>7.4</v>
      </c>
    </row>
    <row r="764" spans="1:6" x14ac:dyDescent="0.25">
      <c r="A764" s="1">
        <v>39443</v>
      </c>
      <c r="B764" t="s">
        <v>28</v>
      </c>
      <c r="C764">
        <v>165</v>
      </c>
      <c r="D764">
        <f>IF(cukier10[[#This Row],[nip_klienta]]=B763,D763+cukier10[[#This Row],[sprzedany_cukier]],cukier10[[#This Row],[sprzedany_cukier]])</f>
        <v>1172</v>
      </c>
      <c r="E764" cm="1">
        <f t="array" ref="E7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64">
        <f>cukier10[[#This Row],[sprzedany_cukier]]*cukier10[[#This Row],[rabat]]</f>
        <v>16.5</v>
      </c>
    </row>
    <row r="765" spans="1:6" x14ac:dyDescent="0.25">
      <c r="A765" s="1">
        <v>39512</v>
      </c>
      <c r="B765" t="s">
        <v>28</v>
      </c>
      <c r="C765">
        <v>135</v>
      </c>
      <c r="D765">
        <f>IF(cukier10[[#This Row],[nip_klienta]]=B764,D764+cukier10[[#This Row],[sprzedany_cukier]],cukier10[[#This Row],[sprzedany_cukier]])</f>
        <v>1307</v>
      </c>
      <c r="E765" cm="1">
        <f t="array" ref="E7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65">
        <f>cukier10[[#This Row],[sprzedany_cukier]]*cukier10[[#This Row],[rabat]]</f>
        <v>13.5</v>
      </c>
    </row>
    <row r="766" spans="1:6" x14ac:dyDescent="0.25">
      <c r="A766" s="1">
        <v>39522</v>
      </c>
      <c r="B766" t="s">
        <v>28</v>
      </c>
      <c r="C766">
        <v>166</v>
      </c>
      <c r="D766">
        <f>IF(cukier10[[#This Row],[nip_klienta]]=B765,D765+cukier10[[#This Row],[sprzedany_cukier]],cukier10[[#This Row],[sprzedany_cukier]])</f>
        <v>1473</v>
      </c>
      <c r="E766" cm="1">
        <f t="array" ref="E7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66">
        <f>cukier10[[#This Row],[sprzedany_cukier]]*cukier10[[#This Row],[rabat]]</f>
        <v>16.600000000000001</v>
      </c>
    </row>
    <row r="767" spans="1:6" x14ac:dyDescent="0.25">
      <c r="A767" s="1">
        <v>39662</v>
      </c>
      <c r="B767" t="s">
        <v>28</v>
      </c>
      <c r="C767">
        <v>31</v>
      </c>
      <c r="D767">
        <f>IF(cukier10[[#This Row],[nip_klienta]]=B766,D766+cukier10[[#This Row],[sprzedany_cukier]],cukier10[[#This Row],[sprzedany_cukier]])</f>
        <v>1504</v>
      </c>
      <c r="E767" cm="1">
        <f t="array" ref="E7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67">
        <f>cukier10[[#This Row],[sprzedany_cukier]]*cukier10[[#This Row],[rabat]]</f>
        <v>3.1</v>
      </c>
    </row>
    <row r="768" spans="1:6" x14ac:dyDescent="0.25">
      <c r="A768" s="1">
        <v>39689</v>
      </c>
      <c r="B768" t="s">
        <v>28</v>
      </c>
      <c r="C768">
        <v>105</v>
      </c>
      <c r="D768">
        <f>IF(cukier10[[#This Row],[nip_klienta]]=B767,D767+cukier10[[#This Row],[sprzedany_cukier]],cukier10[[#This Row],[sprzedany_cukier]])</f>
        <v>1609</v>
      </c>
      <c r="E768" cm="1">
        <f t="array" ref="E7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68">
        <f>cukier10[[#This Row],[sprzedany_cukier]]*cukier10[[#This Row],[rabat]]</f>
        <v>10.5</v>
      </c>
    </row>
    <row r="769" spans="1:6" x14ac:dyDescent="0.25">
      <c r="A769" s="1">
        <v>39889</v>
      </c>
      <c r="B769" t="s">
        <v>28</v>
      </c>
      <c r="C769">
        <v>24</v>
      </c>
      <c r="D769">
        <f>IF(cukier10[[#This Row],[nip_klienta]]=B768,D768+cukier10[[#This Row],[sprzedany_cukier]],cukier10[[#This Row],[sprzedany_cukier]])</f>
        <v>1633</v>
      </c>
      <c r="E769" cm="1">
        <f t="array" ref="E7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69">
        <f>cukier10[[#This Row],[sprzedany_cukier]]*cukier10[[#This Row],[rabat]]</f>
        <v>2.4000000000000004</v>
      </c>
    </row>
    <row r="770" spans="1:6" x14ac:dyDescent="0.25">
      <c r="A770" s="1">
        <v>39893</v>
      </c>
      <c r="B770" t="s">
        <v>28</v>
      </c>
      <c r="C770">
        <v>73</v>
      </c>
      <c r="D770">
        <f>IF(cukier10[[#This Row],[nip_klienta]]=B769,D769+cukier10[[#This Row],[sprzedany_cukier]],cukier10[[#This Row],[sprzedany_cukier]])</f>
        <v>1706</v>
      </c>
      <c r="E770" cm="1">
        <f t="array" ref="E7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70">
        <f>cukier10[[#This Row],[sprzedany_cukier]]*cukier10[[#This Row],[rabat]]</f>
        <v>7.3000000000000007</v>
      </c>
    </row>
    <row r="771" spans="1:6" x14ac:dyDescent="0.25">
      <c r="A771" s="1">
        <v>39964</v>
      </c>
      <c r="B771" t="s">
        <v>28</v>
      </c>
      <c r="C771">
        <v>111</v>
      </c>
      <c r="D771">
        <f>IF(cukier10[[#This Row],[nip_klienta]]=B770,D770+cukier10[[#This Row],[sprzedany_cukier]],cukier10[[#This Row],[sprzedany_cukier]])</f>
        <v>1817</v>
      </c>
      <c r="E771" cm="1">
        <f t="array" ref="E7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71">
        <f>cukier10[[#This Row],[sprzedany_cukier]]*cukier10[[#This Row],[rabat]]</f>
        <v>11.100000000000001</v>
      </c>
    </row>
    <row r="772" spans="1:6" x14ac:dyDescent="0.25">
      <c r="A772" s="1">
        <v>40044</v>
      </c>
      <c r="B772" t="s">
        <v>28</v>
      </c>
      <c r="C772">
        <v>62</v>
      </c>
      <c r="D772">
        <f>IF(cukier10[[#This Row],[nip_klienta]]=B771,D771+cukier10[[#This Row],[sprzedany_cukier]],cukier10[[#This Row],[sprzedany_cukier]])</f>
        <v>1879</v>
      </c>
      <c r="E772" cm="1">
        <f t="array" ref="E7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72">
        <f>cukier10[[#This Row],[sprzedany_cukier]]*cukier10[[#This Row],[rabat]]</f>
        <v>6.2</v>
      </c>
    </row>
    <row r="773" spans="1:6" x14ac:dyDescent="0.25">
      <c r="A773" s="1">
        <v>40045</v>
      </c>
      <c r="B773" t="s">
        <v>28</v>
      </c>
      <c r="C773">
        <v>170</v>
      </c>
      <c r="D773">
        <f>IF(cukier10[[#This Row],[nip_klienta]]=B772,D772+cukier10[[#This Row],[sprzedany_cukier]],cukier10[[#This Row],[sprzedany_cukier]])</f>
        <v>2049</v>
      </c>
      <c r="E773" cm="1">
        <f t="array" ref="E7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73">
        <f>cukier10[[#This Row],[sprzedany_cukier]]*cukier10[[#This Row],[rabat]]</f>
        <v>17</v>
      </c>
    </row>
    <row r="774" spans="1:6" x14ac:dyDescent="0.25">
      <c r="A774" s="1">
        <v>40180</v>
      </c>
      <c r="B774" t="s">
        <v>28</v>
      </c>
      <c r="C774">
        <v>73</v>
      </c>
      <c r="D774">
        <f>IF(cukier10[[#This Row],[nip_klienta]]=B773,D773+cukier10[[#This Row],[sprzedany_cukier]],cukier10[[#This Row],[sprzedany_cukier]])</f>
        <v>2122</v>
      </c>
      <c r="E774" cm="1">
        <f t="array" ref="E7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74">
        <f>cukier10[[#This Row],[sprzedany_cukier]]*cukier10[[#This Row],[rabat]]</f>
        <v>7.3000000000000007</v>
      </c>
    </row>
    <row r="775" spans="1:6" x14ac:dyDescent="0.25">
      <c r="A775" s="1">
        <v>40220</v>
      </c>
      <c r="B775" t="s">
        <v>28</v>
      </c>
      <c r="C775">
        <v>121</v>
      </c>
      <c r="D775">
        <f>IF(cukier10[[#This Row],[nip_klienta]]=B774,D774+cukier10[[#This Row],[sprzedany_cukier]],cukier10[[#This Row],[sprzedany_cukier]])</f>
        <v>2243</v>
      </c>
      <c r="E775" cm="1">
        <f t="array" ref="E7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75">
        <f>cukier10[[#This Row],[sprzedany_cukier]]*cukier10[[#This Row],[rabat]]</f>
        <v>12.100000000000001</v>
      </c>
    </row>
    <row r="776" spans="1:6" x14ac:dyDescent="0.25">
      <c r="A776" s="1">
        <v>40240</v>
      </c>
      <c r="B776" t="s">
        <v>28</v>
      </c>
      <c r="C776">
        <v>35</v>
      </c>
      <c r="D776">
        <f>IF(cukier10[[#This Row],[nip_klienta]]=B775,D775+cukier10[[#This Row],[sprzedany_cukier]],cukier10[[#This Row],[sprzedany_cukier]])</f>
        <v>2278</v>
      </c>
      <c r="E776" cm="1">
        <f t="array" ref="E7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76">
        <f>cukier10[[#This Row],[sprzedany_cukier]]*cukier10[[#This Row],[rabat]]</f>
        <v>3.5</v>
      </c>
    </row>
    <row r="777" spans="1:6" x14ac:dyDescent="0.25">
      <c r="A777" s="1">
        <v>40265</v>
      </c>
      <c r="B777" t="s">
        <v>28</v>
      </c>
      <c r="C777">
        <v>158</v>
      </c>
      <c r="D777">
        <f>IF(cukier10[[#This Row],[nip_klienta]]=B776,D776+cukier10[[#This Row],[sprzedany_cukier]],cukier10[[#This Row],[sprzedany_cukier]])</f>
        <v>2436</v>
      </c>
      <c r="E777" cm="1">
        <f t="array" ref="E7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77">
        <f>cukier10[[#This Row],[sprzedany_cukier]]*cukier10[[#This Row],[rabat]]</f>
        <v>15.8</v>
      </c>
    </row>
    <row r="778" spans="1:6" x14ac:dyDescent="0.25">
      <c r="A778" s="1">
        <v>40295</v>
      </c>
      <c r="B778" t="s">
        <v>28</v>
      </c>
      <c r="C778">
        <v>57</v>
      </c>
      <c r="D778">
        <f>IF(cukier10[[#This Row],[nip_klienta]]=B777,D777+cukier10[[#This Row],[sprzedany_cukier]],cukier10[[#This Row],[sprzedany_cukier]])</f>
        <v>2493</v>
      </c>
      <c r="E778" cm="1">
        <f t="array" ref="E7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78">
        <f>cukier10[[#This Row],[sprzedany_cukier]]*cukier10[[#This Row],[rabat]]</f>
        <v>5.7</v>
      </c>
    </row>
    <row r="779" spans="1:6" x14ac:dyDescent="0.25">
      <c r="A779" s="1">
        <v>40391</v>
      </c>
      <c r="B779" t="s">
        <v>28</v>
      </c>
      <c r="C779">
        <v>161</v>
      </c>
      <c r="D779">
        <f>IF(cukier10[[#This Row],[nip_klienta]]=B778,D778+cukier10[[#This Row],[sprzedany_cukier]],cukier10[[#This Row],[sprzedany_cukier]])</f>
        <v>2654</v>
      </c>
      <c r="E779" cm="1">
        <f t="array" ref="E7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79">
        <f>cukier10[[#This Row],[sprzedany_cukier]]*cukier10[[#This Row],[rabat]]</f>
        <v>16.100000000000001</v>
      </c>
    </row>
    <row r="780" spans="1:6" x14ac:dyDescent="0.25">
      <c r="A780" s="1">
        <v>40456</v>
      </c>
      <c r="B780" t="s">
        <v>28</v>
      </c>
      <c r="C780">
        <v>61</v>
      </c>
      <c r="D780">
        <f>IF(cukier10[[#This Row],[nip_klienta]]=B779,D779+cukier10[[#This Row],[sprzedany_cukier]],cukier10[[#This Row],[sprzedany_cukier]])</f>
        <v>2715</v>
      </c>
      <c r="E780" cm="1">
        <f t="array" ref="E7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80">
        <f>cukier10[[#This Row],[sprzedany_cukier]]*cukier10[[#This Row],[rabat]]</f>
        <v>6.1000000000000005</v>
      </c>
    </row>
    <row r="781" spans="1:6" x14ac:dyDescent="0.25">
      <c r="A781" s="1">
        <v>40504</v>
      </c>
      <c r="B781" t="s">
        <v>28</v>
      </c>
      <c r="C781">
        <v>167</v>
      </c>
      <c r="D781">
        <f>IF(cukier10[[#This Row],[nip_klienta]]=B780,D780+cukier10[[#This Row],[sprzedany_cukier]],cukier10[[#This Row],[sprzedany_cukier]])</f>
        <v>2882</v>
      </c>
      <c r="E781" cm="1">
        <f t="array" ref="E7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81">
        <f>cukier10[[#This Row],[sprzedany_cukier]]*cukier10[[#This Row],[rabat]]</f>
        <v>16.7</v>
      </c>
    </row>
    <row r="782" spans="1:6" x14ac:dyDescent="0.25">
      <c r="A782" s="1">
        <v>40505</v>
      </c>
      <c r="B782" t="s">
        <v>28</v>
      </c>
      <c r="C782">
        <v>32</v>
      </c>
      <c r="D782">
        <f>IF(cukier10[[#This Row],[nip_klienta]]=B781,D781+cukier10[[#This Row],[sprzedany_cukier]],cukier10[[#This Row],[sprzedany_cukier]])</f>
        <v>2914</v>
      </c>
      <c r="E782" cm="1">
        <f t="array" ref="E7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82">
        <f>cukier10[[#This Row],[sprzedany_cukier]]*cukier10[[#This Row],[rabat]]</f>
        <v>3.2</v>
      </c>
    </row>
    <row r="783" spans="1:6" x14ac:dyDescent="0.25">
      <c r="A783" s="1">
        <v>40580</v>
      </c>
      <c r="B783" t="s">
        <v>28</v>
      </c>
      <c r="C783">
        <v>62</v>
      </c>
      <c r="D783">
        <f>IF(cukier10[[#This Row],[nip_klienta]]=B782,D782+cukier10[[#This Row],[sprzedany_cukier]],cukier10[[#This Row],[sprzedany_cukier]])</f>
        <v>2976</v>
      </c>
      <c r="E783" cm="1">
        <f t="array" ref="E7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83">
        <f>cukier10[[#This Row],[sprzedany_cukier]]*cukier10[[#This Row],[rabat]]</f>
        <v>6.2</v>
      </c>
    </row>
    <row r="784" spans="1:6" x14ac:dyDescent="0.25">
      <c r="A784" s="1">
        <v>40652</v>
      </c>
      <c r="B784" t="s">
        <v>28</v>
      </c>
      <c r="C784">
        <v>55</v>
      </c>
      <c r="D784">
        <f>IF(cukier10[[#This Row],[nip_klienta]]=B783,D783+cukier10[[#This Row],[sprzedany_cukier]],cukier10[[#This Row],[sprzedany_cukier]])</f>
        <v>3031</v>
      </c>
      <c r="E784" cm="1">
        <f t="array" ref="E7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84">
        <f>cukier10[[#This Row],[sprzedany_cukier]]*cukier10[[#This Row],[rabat]]</f>
        <v>5.5</v>
      </c>
    </row>
    <row r="785" spans="1:6" x14ac:dyDescent="0.25">
      <c r="A785" s="1">
        <v>40799</v>
      </c>
      <c r="B785" t="s">
        <v>28</v>
      </c>
      <c r="C785">
        <v>176</v>
      </c>
      <c r="D785">
        <f>IF(cukier10[[#This Row],[nip_klienta]]=B784,D784+cukier10[[#This Row],[sprzedany_cukier]],cukier10[[#This Row],[sprzedany_cukier]])</f>
        <v>3207</v>
      </c>
      <c r="E785" cm="1">
        <f t="array" ref="E7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85">
        <f>cukier10[[#This Row],[sprzedany_cukier]]*cukier10[[#This Row],[rabat]]</f>
        <v>17.600000000000001</v>
      </c>
    </row>
    <row r="786" spans="1:6" x14ac:dyDescent="0.25">
      <c r="A786" s="1">
        <v>40818</v>
      </c>
      <c r="B786" t="s">
        <v>28</v>
      </c>
      <c r="C786">
        <v>181</v>
      </c>
      <c r="D786">
        <f>IF(cukier10[[#This Row],[nip_klienta]]=B785,D785+cukier10[[#This Row],[sprzedany_cukier]],cukier10[[#This Row],[sprzedany_cukier]])</f>
        <v>3388</v>
      </c>
      <c r="E786" cm="1">
        <f t="array" ref="E7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86">
        <f>cukier10[[#This Row],[sprzedany_cukier]]*cukier10[[#This Row],[rabat]]</f>
        <v>18.100000000000001</v>
      </c>
    </row>
    <row r="787" spans="1:6" x14ac:dyDescent="0.25">
      <c r="A787" s="1">
        <v>41053</v>
      </c>
      <c r="B787" t="s">
        <v>28</v>
      </c>
      <c r="C787">
        <v>57</v>
      </c>
      <c r="D787">
        <f>IF(cukier10[[#This Row],[nip_klienta]]=B786,D786+cukier10[[#This Row],[sprzedany_cukier]],cukier10[[#This Row],[sprzedany_cukier]])</f>
        <v>3445</v>
      </c>
      <c r="E787" cm="1">
        <f t="array" ref="E7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87">
        <f>cukier10[[#This Row],[sprzedany_cukier]]*cukier10[[#This Row],[rabat]]</f>
        <v>5.7</v>
      </c>
    </row>
    <row r="788" spans="1:6" x14ac:dyDescent="0.25">
      <c r="A788" s="1">
        <v>41097</v>
      </c>
      <c r="B788" t="s">
        <v>28</v>
      </c>
      <c r="C788">
        <v>90</v>
      </c>
      <c r="D788">
        <f>IF(cukier10[[#This Row],[nip_klienta]]=B787,D787+cukier10[[#This Row],[sprzedany_cukier]],cukier10[[#This Row],[sprzedany_cukier]])</f>
        <v>3535</v>
      </c>
      <c r="E788" cm="1">
        <f t="array" ref="E7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88">
        <f>cukier10[[#This Row],[sprzedany_cukier]]*cukier10[[#This Row],[rabat]]</f>
        <v>9</v>
      </c>
    </row>
    <row r="789" spans="1:6" x14ac:dyDescent="0.25">
      <c r="A789" s="1">
        <v>41229</v>
      </c>
      <c r="B789" t="s">
        <v>28</v>
      </c>
      <c r="C789">
        <v>187</v>
      </c>
      <c r="D789">
        <f>IF(cukier10[[#This Row],[nip_klienta]]=B788,D788+cukier10[[#This Row],[sprzedany_cukier]],cukier10[[#This Row],[sprzedany_cukier]])</f>
        <v>3722</v>
      </c>
      <c r="E789" cm="1">
        <f t="array" ref="E7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89">
        <f>cukier10[[#This Row],[sprzedany_cukier]]*cukier10[[#This Row],[rabat]]</f>
        <v>18.7</v>
      </c>
    </row>
    <row r="790" spans="1:6" x14ac:dyDescent="0.25">
      <c r="A790" s="1">
        <v>41332</v>
      </c>
      <c r="B790" t="s">
        <v>28</v>
      </c>
      <c r="C790">
        <v>58</v>
      </c>
      <c r="D790">
        <f>IF(cukier10[[#This Row],[nip_klienta]]=B789,D789+cukier10[[#This Row],[sprzedany_cukier]],cukier10[[#This Row],[sprzedany_cukier]])</f>
        <v>3780</v>
      </c>
      <c r="E790" cm="1">
        <f t="array" ref="E7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90">
        <f>cukier10[[#This Row],[sprzedany_cukier]]*cukier10[[#This Row],[rabat]]</f>
        <v>5.8000000000000007</v>
      </c>
    </row>
    <row r="791" spans="1:6" x14ac:dyDescent="0.25">
      <c r="A791" s="1">
        <v>41352</v>
      </c>
      <c r="B791" t="s">
        <v>28</v>
      </c>
      <c r="C791">
        <v>135</v>
      </c>
      <c r="D791">
        <f>IF(cukier10[[#This Row],[nip_klienta]]=B790,D790+cukier10[[#This Row],[sprzedany_cukier]],cukier10[[#This Row],[sprzedany_cukier]])</f>
        <v>3915</v>
      </c>
      <c r="E791" cm="1">
        <f t="array" ref="E7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91">
        <f>cukier10[[#This Row],[sprzedany_cukier]]*cukier10[[#This Row],[rabat]]</f>
        <v>13.5</v>
      </c>
    </row>
    <row r="792" spans="1:6" x14ac:dyDescent="0.25">
      <c r="A792" s="1">
        <v>41543</v>
      </c>
      <c r="B792" t="s">
        <v>28</v>
      </c>
      <c r="C792">
        <v>147</v>
      </c>
      <c r="D792">
        <f>IF(cukier10[[#This Row],[nip_klienta]]=B791,D791+cukier10[[#This Row],[sprzedany_cukier]],cukier10[[#This Row],[sprzedany_cukier]])</f>
        <v>4062</v>
      </c>
      <c r="E792" cm="1">
        <f t="array" ref="E7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92">
        <f>cukier10[[#This Row],[sprzedany_cukier]]*cukier10[[#This Row],[rabat]]</f>
        <v>14.700000000000001</v>
      </c>
    </row>
    <row r="793" spans="1:6" x14ac:dyDescent="0.25">
      <c r="A793" s="1">
        <v>41583</v>
      </c>
      <c r="B793" t="s">
        <v>28</v>
      </c>
      <c r="C793">
        <v>177</v>
      </c>
      <c r="D793">
        <f>IF(cukier10[[#This Row],[nip_klienta]]=B792,D792+cukier10[[#This Row],[sprzedany_cukier]],cukier10[[#This Row],[sprzedany_cukier]])</f>
        <v>4239</v>
      </c>
      <c r="E793" cm="1">
        <f t="array" ref="E7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93">
        <f>cukier10[[#This Row],[sprzedany_cukier]]*cukier10[[#This Row],[rabat]]</f>
        <v>17.7</v>
      </c>
    </row>
    <row r="794" spans="1:6" x14ac:dyDescent="0.25">
      <c r="A794" s="1">
        <v>41921</v>
      </c>
      <c r="B794" t="s">
        <v>28</v>
      </c>
      <c r="C794">
        <v>85</v>
      </c>
      <c r="D794">
        <f>IF(cukier10[[#This Row],[nip_klienta]]=B793,D793+cukier10[[#This Row],[sprzedany_cukier]],cukier10[[#This Row],[sprzedany_cukier]])</f>
        <v>4324</v>
      </c>
      <c r="E794" cm="1">
        <f t="array" ref="E7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94">
        <f>cukier10[[#This Row],[sprzedany_cukier]]*cukier10[[#This Row],[rabat]]</f>
        <v>8.5</v>
      </c>
    </row>
    <row r="795" spans="1:6" x14ac:dyDescent="0.25">
      <c r="A795" s="1">
        <v>41959</v>
      </c>
      <c r="B795" t="s">
        <v>28</v>
      </c>
      <c r="C795">
        <v>116</v>
      </c>
      <c r="D795">
        <f>IF(cukier10[[#This Row],[nip_klienta]]=B794,D794+cukier10[[#This Row],[sprzedany_cukier]],cukier10[[#This Row],[sprzedany_cukier]])</f>
        <v>4440</v>
      </c>
      <c r="E795" cm="1">
        <f t="array" ref="E7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795">
        <f>cukier10[[#This Row],[sprzedany_cukier]]*cukier10[[#This Row],[rabat]]</f>
        <v>11.600000000000001</v>
      </c>
    </row>
    <row r="796" spans="1:6" x14ac:dyDescent="0.25">
      <c r="A796" s="1">
        <v>39215</v>
      </c>
      <c r="B796" t="s">
        <v>141</v>
      </c>
      <c r="C796">
        <v>12</v>
      </c>
      <c r="D796">
        <f>IF(cukier10[[#This Row],[nip_klienta]]=B795,D795+cukier10[[#This Row],[sprzedany_cukier]],cukier10[[#This Row],[sprzedany_cukier]])</f>
        <v>12</v>
      </c>
      <c r="E796" cm="1">
        <f t="array" ref="E7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96">
        <f>cukier10[[#This Row],[sprzedany_cukier]]*cukier10[[#This Row],[rabat]]</f>
        <v>0</v>
      </c>
    </row>
    <row r="797" spans="1:6" x14ac:dyDescent="0.25">
      <c r="A797" s="1">
        <v>40463</v>
      </c>
      <c r="B797" t="s">
        <v>141</v>
      </c>
      <c r="C797">
        <v>17</v>
      </c>
      <c r="D797">
        <f>IF(cukier10[[#This Row],[nip_klienta]]=B796,D796+cukier10[[#This Row],[sprzedany_cukier]],cukier10[[#This Row],[sprzedany_cukier]])</f>
        <v>29</v>
      </c>
      <c r="E797" cm="1">
        <f t="array" ref="E7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97">
        <f>cukier10[[#This Row],[sprzedany_cukier]]*cukier10[[#This Row],[rabat]]</f>
        <v>0</v>
      </c>
    </row>
    <row r="798" spans="1:6" x14ac:dyDescent="0.25">
      <c r="A798" s="1">
        <v>40647</v>
      </c>
      <c r="B798" t="s">
        <v>220</v>
      </c>
      <c r="C798">
        <v>4</v>
      </c>
      <c r="D798">
        <f>IF(cukier10[[#This Row],[nip_klienta]]=B797,D797+cukier10[[#This Row],[sprzedany_cukier]],cukier10[[#This Row],[sprzedany_cukier]])</f>
        <v>4</v>
      </c>
      <c r="E798" cm="1">
        <f t="array" ref="E7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98">
        <f>cukier10[[#This Row],[sprzedany_cukier]]*cukier10[[#This Row],[rabat]]</f>
        <v>0</v>
      </c>
    </row>
    <row r="799" spans="1:6" x14ac:dyDescent="0.25">
      <c r="A799" s="1">
        <v>40874</v>
      </c>
      <c r="B799" t="s">
        <v>220</v>
      </c>
      <c r="C799">
        <v>8</v>
      </c>
      <c r="D799">
        <f>IF(cukier10[[#This Row],[nip_klienta]]=B798,D798+cukier10[[#This Row],[sprzedany_cukier]],cukier10[[#This Row],[sprzedany_cukier]])</f>
        <v>12</v>
      </c>
      <c r="E799" cm="1">
        <f t="array" ref="E7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799">
        <f>cukier10[[#This Row],[sprzedany_cukier]]*cukier10[[#This Row],[rabat]]</f>
        <v>0</v>
      </c>
    </row>
    <row r="800" spans="1:6" x14ac:dyDescent="0.25">
      <c r="A800" s="1">
        <v>38481</v>
      </c>
      <c r="B800" t="s">
        <v>45</v>
      </c>
      <c r="C800">
        <v>366</v>
      </c>
      <c r="D800">
        <f>IF(cukier10[[#This Row],[nip_klienta]]=B799,D799+cukier10[[#This Row],[sprzedany_cukier]],cukier10[[#This Row],[sprzedany_cukier]])</f>
        <v>366</v>
      </c>
      <c r="E800" cm="1">
        <f t="array" ref="E8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800">
        <f>cukier10[[#This Row],[sprzedany_cukier]]*cukier10[[#This Row],[rabat]]</f>
        <v>18.3</v>
      </c>
    </row>
    <row r="801" spans="1:6" x14ac:dyDescent="0.25">
      <c r="A801" s="1">
        <v>38517</v>
      </c>
      <c r="B801" t="s">
        <v>45</v>
      </c>
      <c r="C801">
        <v>425</v>
      </c>
      <c r="D801">
        <f>IF(cukier10[[#This Row],[nip_klienta]]=B800,D800+cukier10[[#This Row],[sprzedany_cukier]],cukier10[[#This Row],[sprzedany_cukier]])</f>
        <v>791</v>
      </c>
      <c r="E801" cm="1">
        <f t="array" ref="E8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801">
        <f>cukier10[[#This Row],[sprzedany_cukier]]*cukier10[[#This Row],[rabat]]</f>
        <v>21.25</v>
      </c>
    </row>
    <row r="802" spans="1:6" x14ac:dyDescent="0.25">
      <c r="A802" s="1">
        <v>38546</v>
      </c>
      <c r="B802" t="s">
        <v>45</v>
      </c>
      <c r="C802">
        <v>214</v>
      </c>
      <c r="D802">
        <f>IF(cukier10[[#This Row],[nip_klienta]]=B801,D801+cukier10[[#This Row],[sprzedany_cukier]],cukier10[[#This Row],[sprzedany_cukier]])</f>
        <v>1005</v>
      </c>
      <c r="E802" cm="1">
        <f t="array" ref="E8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02">
        <f>cukier10[[#This Row],[sprzedany_cukier]]*cukier10[[#This Row],[rabat]]</f>
        <v>21.400000000000002</v>
      </c>
    </row>
    <row r="803" spans="1:6" x14ac:dyDescent="0.25">
      <c r="A803" s="1">
        <v>38623</v>
      </c>
      <c r="B803" t="s">
        <v>45</v>
      </c>
      <c r="C803">
        <v>433</v>
      </c>
      <c r="D803">
        <f>IF(cukier10[[#This Row],[nip_klienta]]=B802,D802+cukier10[[#This Row],[sprzedany_cukier]],cukier10[[#This Row],[sprzedany_cukier]])</f>
        <v>1438</v>
      </c>
      <c r="E803" cm="1">
        <f t="array" ref="E8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03">
        <f>cukier10[[#This Row],[sprzedany_cukier]]*cukier10[[#This Row],[rabat]]</f>
        <v>43.300000000000004</v>
      </c>
    </row>
    <row r="804" spans="1:6" x14ac:dyDescent="0.25">
      <c r="A804" s="1">
        <v>38736</v>
      </c>
      <c r="B804" t="s">
        <v>45</v>
      </c>
      <c r="C804">
        <v>212</v>
      </c>
      <c r="D804">
        <f>IF(cukier10[[#This Row],[nip_klienta]]=B803,D803+cukier10[[#This Row],[sprzedany_cukier]],cukier10[[#This Row],[sprzedany_cukier]])</f>
        <v>1650</v>
      </c>
      <c r="E804" cm="1">
        <f t="array" ref="E8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04">
        <f>cukier10[[#This Row],[sprzedany_cukier]]*cukier10[[#This Row],[rabat]]</f>
        <v>21.200000000000003</v>
      </c>
    </row>
    <row r="805" spans="1:6" x14ac:dyDescent="0.25">
      <c r="A805" s="1">
        <v>38766</v>
      </c>
      <c r="B805" t="s">
        <v>45</v>
      </c>
      <c r="C805">
        <v>264</v>
      </c>
      <c r="D805">
        <f>IF(cukier10[[#This Row],[nip_klienta]]=B804,D804+cukier10[[#This Row],[sprzedany_cukier]],cukier10[[#This Row],[sprzedany_cukier]])</f>
        <v>1914</v>
      </c>
      <c r="E805" cm="1">
        <f t="array" ref="E8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05">
        <f>cukier10[[#This Row],[sprzedany_cukier]]*cukier10[[#This Row],[rabat]]</f>
        <v>26.400000000000002</v>
      </c>
    </row>
    <row r="806" spans="1:6" x14ac:dyDescent="0.25">
      <c r="A806" s="1">
        <v>38846</v>
      </c>
      <c r="B806" t="s">
        <v>45</v>
      </c>
      <c r="C806">
        <v>385</v>
      </c>
      <c r="D806">
        <f>IF(cukier10[[#This Row],[nip_klienta]]=B805,D805+cukier10[[#This Row],[sprzedany_cukier]],cukier10[[#This Row],[sprzedany_cukier]])</f>
        <v>2299</v>
      </c>
      <c r="E806" cm="1">
        <f t="array" ref="E8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06">
        <f>cukier10[[#This Row],[sprzedany_cukier]]*cukier10[[#This Row],[rabat]]</f>
        <v>38.5</v>
      </c>
    </row>
    <row r="807" spans="1:6" x14ac:dyDescent="0.25">
      <c r="A807" s="1">
        <v>38870</v>
      </c>
      <c r="B807" t="s">
        <v>45</v>
      </c>
      <c r="C807">
        <v>429</v>
      </c>
      <c r="D807">
        <f>IF(cukier10[[#This Row],[nip_klienta]]=B806,D806+cukier10[[#This Row],[sprzedany_cukier]],cukier10[[#This Row],[sprzedany_cukier]])</f>
        <v>2728</v>
      </c>
      <c r="E807" cm="1">
        <f t="array" ref="E8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07">
        <f>cukier10[[#This Row],[sprzedany_cukier]]*cukier10[[#This Row],[rabat]]</f>
        <v>42.900000000000006</v>
      </c>
    </row>
    <row r="808" spans="1:6" x14ac:dyDescent="0.25">
      <c r="A808" s="1">
        <v>38995</v>
      </c>
      <c r="B808" t="s">
        <v>45</v>
      </c>
      <c r="C808">
        <v>198</v>
      </c>
      <c r="D808">
        <f>IF(cukier10[[#This Row],[nip_klienta]]=B807,D807+cukier10[[#This Row],[sprzedany_cukier]],cukier10[[#This Row],[sprzedany_cukier]])</f>
        <v>2926</v>
      </c>
      <c r="E808" cm="1">
        <f t="array" ref="E8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08">
        <f>cukier10[[#This Row],[sprzedany_cukier]]*cukier10[[#This Row],[rabat]]</f>
        <v>19.8</v>
      </c>
    </row>
    <row r="809" spans="1:6" x14ac:dyDescent="0.25">
      <c r="A809" s="1">
        <v>39015</v>
      </c>
      <c r="B809" t="s">
        <v>45</v>
      </c>
      <c r="C809">
        <v>403</v>
      </c>
      <c r="D809">
        <f>IF(cukier10[[#This Row],[nip_klienta]]=B808,D808+cukier10[[#This Row],[sprzedany_cukier]],cukier10[[#This Row],[sprzedany_cukier]])</f>
        <v>3329</v>
      </c>
      <c r="E809" cm="1">
        <f t="array" ref="E8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09">
        <f>cukier10[[#This Row],[sprzedany_cukier]]*cukier10[[#This Row],[rabat]]</f>
        <v>40.300000000000004</v>
      </c>
    </row>
    <row r="810" spans="1:6" x14ac:dyDescent="0.25">
      <c r="A810" s="1">
        <v>39043</v>
      </c>
      <c r="B810" t="s">
        <v>45</v>
      </c>
      <c r="C810">
        <v>303</v>
      </c>
      <c r="D810">
        <f>IF(cukier10[[#This Row],[nip_klienta]]=B809,D809+cukier10[[#This Row],[sprzedany_cukier]],cukier10[[#This Row],[sprzedany_cukier]])</f>
        <v>3632</v>
      </c>
      <c r="E810" cm="1">
        <f t="array" ref="E8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10">
        <f>cukier10[[#This Row],[sprzedany_cukier]]*cukier10[[#This Row],[rabat]]</f>
        <v>30.3</v>
      </c>
    </row>
    <row r="811" spans="1:6" x14ac:dyDescent="0.25">
      <c r="A811" s="1">
        <v>39057</v>
      </c>
      <c r="B811" t="s">
        <v>45</v>
      </c>
      <c r="C811">
        <v>105</v>
      </c>
      <c r="D811">
        <f>IF(cukier10[[#This Row],[nip_klienta]]=B810,D810+cukier10[[#This Row],[sprzedany_cukier]],cukier10[[#This Row],[sprzedany_cukier]])</f>
        <v>3737</v>
      </c>
      <c r="E811" cm="1">
        <f t="array" ref="E8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11">
        <f>cukier10[[#This Row],[sprzedany_cukier]]*cukier10[[#This Row],[rabat]]</f>
        <v>10.5</v>
      </c>
    </row>
    <row r="812" spans="1:6" x14ac:dyDescent="0.25">
      <c r="A812" s="1">
        <v>39095</v>
      </c>
      <c r="B812" t="s">
        <v>45</v>
      </c>
      <c r="C812">
        <v>245</v>
      </c>
      <c r="D812">
        <f>IF(cukier10[[#This Row],[nip_klienta]]=B811,D811+cukier10[[#This Row],[sprzedany_cukier]],cukier10[[#This Row],[sprzedany_cukier]])</f>
        <v>3982</v>
      </c>
      <c r="E812" cm="1">
        <f t="array" ref="E8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12">
        <f>cukier10[[#This Row],[sprzedany_cukier]]*cukier10[[#This Row],[rabat]]</f>
        <v>24.5</v>
      </c>
    </row>
    <row r="813" spans="1:6" x14ac:dyDescent="0.25">
      <c r="A813" s="1">
        <v>39131</v>
      </c>
      <c r="B813" t="s">
        <v>45</v>
      </c>
      <c r="C813">
        <v>337</v>
      </c>
      <c r="D813">
        <f>IF(cukier10[[#This Row],[nip_klienta]]=B812,D812+cukier10[[#This Row],[sprzedany_cukier]],cukier10[[#This Row],[sprzedany_cukier]])</f>
        <v>4319</v>
      </c>
      <c r="E813" cm="1">
        <f t="array" ref="E8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13">
        <f>cukier10[[#This Row],[sprzedany_cukier]]*cukier10[[#This Row],[rabat]]</f>
        <v>33.700000000000003</v>
      </c>
    </row>
    <row r="814" spans="1:6" x14ac:dyDescent="0.25">
      <c r="A814" s="1">
        <v>39278</v>
      </c>
      <c r="B814" t="s">
        <v>45</v>
      </c>
      <c r="C814">
        <v>446</v>
      </c>
      <c r="D814">
        <f>IF(cukier10[[#This Row],[nip_klienta]]=B813,D813+cukier10[[#This Row],[sprzedany_cukier]],cukier10[[#This Row],[sprzedany_cukier]])</f>
        <v>4765</v>
      </c>
      <c r="E814" cm="1">
        <f t="array" ref="E8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14">
        <f>cukier10[[#This Row],[sprzedany_cukier]]*cukier10[[#This Row],[rabat]]</f>
        <v>44.6</v>
      </c>
    </row>
    <row r="815" spans="1:6" x14ac:dyDescent="0.25">
      <c r="A815" s="1">
        <v>39290</v>
      </c>
      <c r="B815" t="s">
        <v>45</v>
      </c>
      <c r="C815">
        <v>355</v>
      </c>
      <c r="D815">
        <f>IF(cukier10[[#This Row],[nip_klienta]]=B814,D814+cukier10[[#This Row],[sprzedany_cukier]],cukier10[[#This Row],[sprzedany_cukier]])</f>
        <v>5120</v>
      </c>
      <c r="E815" cm="1">
        <f t="array" ref="E8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15">
        <f>cukier10[[#This Row],[sprzedany_cukier]]*cukier10[[#This Row],[rabat]]</f>
        <v>35.5</v>
      </c>
    </row>
    <row r="816" spans="1:6" x14ac:dyDescent="0.25">
      <c r="A816" s="1">
        <v>39295</v>
      </c>
      <c r="B816" t="s">
        <v>45</v>
      </c>
      <c r="C816">
        <v>396</v>
      </c>
      <c r="D816">
        <f>IF(cukier10[[#This Row],[nip_klienta]]=B815,D815+cukier10[[#This Row],[sprzedany_cukier]],cukier10[[#This Row],[sprzedany_cukier]])</f>
        <v>5516</v>
      </c>
      <c r="E816" cm="1">
        <f t="array" ref="E8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16">
        <f>cukier10[[#This Row],[sprzedany_cukier]]*cukier10[[#This Row],[rabat]]</f>
        <v>39.6</v>
      </c>
    </row>
    <row r="817" spans="1:6" x14ac:dyDescent="0.25">
      <c r="A817" s="1">
        <v>39303</v>
      </c>
      <c r="B817" t="s">
        <v>45</v>
      </c>
      <c r="C817">
        <v>405</v>
      </c>
      <c r="D817">
        <f>IF(cukier10[[#This Row],[nip_klienta]]=B816,D816+cukier10[[#This Row],[sprzedany_cukier]],cukier10[[#This Row],[sprzedany_cukier]])</f>
        <v>5921</v>
      </c>
      <c r="E817" cm="1">
        <f t="array" ref="E8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17">
        <f>cukier10[[#This Row],[sprzedany_cukier]]*cukier10[[#This Row],[rabat]]</f>
        <v>40.5</v>
      </c>
    </row>
    <row r="818" spans="1:6" x14ac:dyDescent="0.25">
      <c r="A818" s="1">
        <v>39354</v>
      </c>
      <c r="B818" t="s">
        <v>45</v>
      </c>
      <c r="C818">
        <v>476</v>
      </c>
      <c r="D818">
        <f>IF(cukier10[[#This Row],[nip_klienta]]=B817,D817+cukier10[[#This Row],[sprzedany_cukier]],cukier10[[#This Row],[sprzedany_cukier]])</f>
        <v>6397</v>
      </c>
      <c r="E818" cm="1">
        <f t="array" ref="E8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18">
        <f>cukier10[[#This Row],[sprzedany_cukier]]*cukier10[[#This Row],[rabat]]</f>
        <v>47.6</v>
      </c>
    </row>
    <row r="819" spans="1:6" x14ac:dyDescent="0.25">
      <c r="A819" s="1">
        <v>39382</v>
      </c>
      <c r="B819" t="s">
        <v>45</v>
      </c>
      <c r="C819">
        <v>424</v>
      </c>
      <c r="D819">
        <f>IF(cukier10[[#This Row],[nip_klienta]]=B818,D818+cukier10[[#This Row],[sprzedany_cukier]],cukier10[[#This Row],[sprzedany_cukier]])</f>
        <v>6821</v>
      </c>
      <c r="E819" cm="1">
        <f t="array" ref="E8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19">
        <f>cukier10[[#This Row],[sprzedany_cukier]]*cukier10[[#This Row],[rabat]]</f>
        <v>42.400000000000006</v>
      </c>
    </row>
    <row r="820" spans="1:6" x14ac:dyDescent="0.25">
      <c r="A820" s="1">
        <v>39433</v>
      </c>
      <c r="B820" t="s">
        <v>45</v>
      </c>
      <c r="C820">
        <v>138</v>
      </c>
      <c r="D820">
        <f>IF(cukier10[[#This Row],[nip_klienta]]=B819,D819+cukier10[[#This Row],[sprzedany_cukier]],cukier10[[#This Row],[sprzedany_cukier]])</f>
        <v>6959</v>
      </c>
      <c r="E820" cm="1">
        <f t="array" ref="E8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20">
        <f>cukier10[[#This Row],[sprzedany_cukier]]*cukier10[[#This Row],[rabat]]</f>
        <v>13.8</v>
      </c>
    </row>
    <row r="821" spans="1:6" x14ac:dyDescent="0.25">
      <c r="A821" s="1">
        <v>39438</v>
      </c>
      <c r="B821" t="s">
        <v>45</v>
      </c>
      <c r="C821">
        <v>258</v>
      </c>
      <c r="D821">
        <f>IF(cukier10[[#This Row],[nip_klienta]]=B820,D820+cukier10[[#This Row],[sprzedany_cukier]],cukier10[[#This Row],[sprzedany_cukier]])</f>
        <v>7217</v>
      </c>
      <c r="E821" cm="1">
        <f t="array" ref="E8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21">
        <f>cukier10[[#This Row],[sprzedany_cukier]]*cukier10[[#This Row],[rabat]]</f>
        <v>25.8</v>
      </c>
    </row>
    <row r="822" spans="1:6" x14ac:dyDescent="0.25">
      <c r="A822" s="1">
        <v>39446</v>
      </c>
      <c r="B822" t="s">
        <v>45</v>
      </c>
      <c r="C822">
        <v>320</v>
      </c>
      <c r="D822">
        <f>IF(cukier10[[#This Row],[nip_klienta]]=B821,D821+cukier10[[#This Row],[sprzedany_cukier]],cukier10[[#This Row],[sprzedany_cukier]])</f>
        <v>7537</v>
      </c>
      <c r="E822" cm="1">
        <f t="array" ref="E8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22">
        <f>cukier10[[#This Row],[sprzedany_cukier]]*cukier10[[#This Row],[rabat]]</f>
        <v>32</v>
      </c>
    </row>
    <row r="823" spans="1:6" x14ac:dyDescent="0.25">
      <c r="A823" s="1">
        <v>39489</v>
      </c>
      <c r="B823" t="s">
        <v>45</v>
      </c>
      <c r="C823">
        <v>196</v>
      </c>
      <c r="D823">
        <f>IF(cukier10[[#This Row],[nip_klienta]]=B822,D822+cukier10[[#This Row],[sprzedany_cukier]],cukier10[[#This Row],[sprzedany_cukier]])</f>
        <v>7733</v>
      </c>
      <c r="E823" cm="1">
        <f t="array" ref="E8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23">
        <f>cukier10[[#This Row],[sprzedany_cukier]]*cukier10[[#This Row],[rabat]]</f>
        <v>19.600000000000001</v>
      </c>
    </row>
    <row r="824" spans="1:6" x14ac:dyDescent="0.25">
      <c r="A824" s="1">
        <v>39495</v>
      </c>
      <c r="B824" t="s">
        <v>45</v>
      </c>
      <c r="C824">
        <v>452</v>
      </c>
      <c r="D824">
        <f>IF(cukier10[[#This Row],[nip_klienta]]=B823,D823+cukier10[[#This Row],[sprzedany_cukier]],cukier10[[#This Row],[sprzedany_cukier]])</f>
        <v>8185</v>
      </c>
      <c r="E824" cm="1">
        <f t="array" ref="E8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24">
        <f>cukier10[[#This Row],[sprzedany_cukier]]*cukier10[[#This Row],[rabat]]</f>
        <v>45.2</v>
      </c>
    </row>
    <row r="825" spans="1:6" x14ac:dyDescent="0.25">
      <c r="A825" s="1">
        <v>39503</v>
      </c>
      <c r="B825" t="s">
        <v>45</v>
      </c>
      <c r="C825">
        <v>308</v>
      </c>
      <c r="D825">
        <f>IF(cukier10[[#This Row],[nip_klienta]]=B824,D824+cukier10[[#This Row],[sprzedany_cukier]],cukier10[[#This Row],[sprzedany_cukier]])</f>
        <v>8493</v>
      </c>
      <c r="E825" cm="1">
        <f t="array" ref="E8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25">
        <f>cukier10[[#This Row],[sprzedany_cukier]]*cukier10[[#This Row],[rabat]]</f>
        <v>30.8</v>
      </c>
    </row>
    <row r="826" spans="1:6" x14ac:dyDescent="0.25">
      <c r="A826" s="1">
        <v>39536</v>
      </c>
      <c r="B826" t="s">
        <v>45</v>
      </c>
      <c r="C826">
        <v>170</v>
      </c>
      <c r="D826">
        <f>IF(cukier10[[#This Row],[nip_klienta]]=B825,D825+cukier10[[#This Row],[sprzedany_cukier]],cukier10[[#This Row],[sprzedany_cukier]])</f>
        <v>8663</v>
      </c>
      <c r="E826" cm="1">
        <f t="array" ref="E8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26">
        <f>cukier10[[#This Row],[sprzedany_cukier]]*cukier10[[#This Row],[rabat]]</f>
        <v>17</v>
      </c>
    </row>
    <row r="827" spans="1:6" x14ac:dyDescent="0.25">
      <c r="A827" s="1">
        <v>39597</v>
      </c>
      <c r="B827" t="s">
        <v>45</v>
      </c>
      <c r="C827">
        <v>420</v>
      </c>
      <c r="D827">
        <f>IF(cukier10[[#This Row],[nip_klienta]]=B826,D826+cukier10[[#This Row],[sprzedany_cukier]],cukier10[[#This Row],[sprzedany_cukier]])</f>
        <v>9083</v>
      </c>
      <c r="E827" cm="1">
        <f t="array" ref="E8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27">
        <f>cukier10[[#This Row],[sprzedany_cukier]]*cukier10[[#This Row],[rabat]]</f>
        <v>42</v>
      </c>
    </row>
    <row r="828" spans="1:6" x14ac:dyDescent="0.25">
      <c r="A828" s="1">
        <v>39646</v>
      </c>
      <c r="B828" t="s">
        <v>45</v>
      </c>
      <c r="C828">
        <v>380</v>
      </c>
      <c r="D828">
        <f>IF(cukier10[[#This Row],[nip_klienta]]=B827,D827+cukier10[[#This Row],[sprzedany_cukier]],cukier10[[#This Row],[sprzedany_cukier]])</f>
        <v>9463</v>
      </c>
      <c r="E828" cm="1">
        <f t="array" ref="E8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28">
        <f>cukier10[[#This Row],[sprzedany_cukier]]*cukier10[[#This Row],[rabat]]</f>
        <v>38</v>
      </c>
    </row>
    <row r="829" spans="1:6" x14ac:dyDescent="0.25">
      <c r="A829" s="1">
        <v>39714</v>
      </c>
      <c r="B829" t="s">
        <v>45</v>
      </c>
      <c r="C829">
        <v>203</v>
      </c>
      <c r="D829">
        <f>IF(cukier10[[#This Row],[nip_klienta]]=B828,D828+cukier10[[#This Row],[sprzedany_cukier]],cukier10[[#This Row],[sprzedany_cukier]])</f>
        <v>9666</v>
      </c>
      <c r="E829" cm="1">
        <f t="array" ref="E8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829">
        <f>cukier10[[#This Row],[sprzedany_cukier]]*cukier10[[#This Row],[rabat]]</f>
        <v>20.3</v>
      </c>
    </row>
    <row r="830" spans="1:6" x14ac:dyDescent="0.25">
      <c r="A830" s="1">
        <v>39719</v>
      </c>
      <c r="B830" t="s">
        <v>45</v>
      </c>
      <c r="C830">
        <v>383</v>
      </c>
      <c r="D830">
        <f>IF(cukier10[[#This Row],[nip_klienta]]=B829,D829+cukier10[[#This Row],[sprzedany_cukier]],cukier10[[#This Row],[sprzedany_cukier]])</f>
        <v>10049</v>
      </c>
      <c r="E830" cm="1">
        <f t="array" ref="E8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30">
        <f>cukier10[[#This Row],[sprzedany_cukier]]*cukier10[[#This Row],[rabat]]</f>
        <v>76.600000000000009</v>
      </c>
    </row>
    <row r="831" spans="1:6" x14ac:dyDescent="0.25">
      <c r="A831" s="1">
        <v>39732</v>
      </c>
      <c r="B831" t="s">
        <v>45</v>
      </c>
      <c r="C831">
        <v>284</v>
      </c>
      <c r="D831">
        <f>IF(cukier10[[#This Row],[nip_klienta]]=B830,D830+cukier10[[#This Row],[sprzedany_cukier]],cukier10[[#This Row],[sprzedany_cukier]])</f>
        <v>10333</v>
      </c>
      <c r="E831" cm="1">
        <f t="array" ref="E8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31">
        <f>cukier10[[#This Row],[sprzedany_cukier]]*cukier10[[#This Row],[rabat]]</f>
        <v>56.800000000000004</v>
      </c>
    </row>
    <row r="832" spans="1:6" x14ac:dyDescent="0.25">
      <c r="A832" s="1">
        <v>39747</v>
      </c>
      <c r="B832" t="s">
        <v>45</v>
      </c>
      <c r="C832">
        <v>162</v>
      </c>
      <c r="D832">
        <f>IF(cukier10[[#This Row],[nip_klienta]]=B831,D831+cukier10[[#This Row],[sprzedany_cukier]],cukier10[[#This Row],[sprzedany_cukier]])</f>
        <v>10495</v>
      </c>
      <c r="E832" cm="1">
        <f t="array" ref="E8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32">
        <f>cukier10[[#This Row],[sprzedany_cukier]]*cukier10[[#This Row],[rabat]]</f>
        <v>32.4</v>
      </c>
    </row>
    <row r="833" spans="1:6" x14ac:dyDescent="0.25">
      <c r="A833" s="1">
        <v>39832</v>
      </c>
      <c r="B833" t="s">
        <v>45</v>
      </c>
      <c r="C833">
        <v>163</v>
      </c>
      <c r="D833">
        <f>IF(cukier10[[#This Row],[nip_klienta]]=B832,D832+cukier10[[#This Row],[sprzedany_cukier]],cukier10[[#This Row],[sprzedany_cukier]])</f>
        <v>10658</v>
      </c>
      <c r="E833" cm="1">
        <f t="array" ref="E8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33">
        <f>cukier10[[#This Row],[sprzedany_cukier]]*cukier10[[#This Row],[rabat]]</f>
        <v>32.6</v>
      </c>
    </row>
    <row r="834" spans="1:6" x14ac:dyDescent="0.25">
      <c r="A834" s="1">
        <v>39871</v>
      </c>
      <c r="B834" t="s">
        <v>45</v>
      </c>
      <c r="C834">
        <v>156</v>
      </c>
      <c r="D834">
        <f>IF(cukier10[[#This Row],[nip_klienta]]=B833,D833+cukier10[[#This Row],[sprzedany_cukier]],cukier10[[#This Row],[sprzedany_cukier]])</f>
        <v>10814</v>
      </c>
      <c r="E834" cm="1">
        <f t="array" ref="E8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34">
        <f>cukier10[[#This Row],[sprzedany_cukier]]*cukier10[[#This Row],[rabat]]</f>
        <v>31.200000000000003</v>
      </c>
    </row>
    <row r="835" spans="1:6" x14ac:dyDescent="0.25">
      <c r="A835" s="1">
        <v>39894</v>
      </c>
      <c r="B835" t="s">
        <v>45</v>
      </c>
      <c r="C835">
        <v>422</v>
      </c>
      <c r="D835">
        <f>IF(cukier10[[#This Row],[nip_klienta]]=B834,D834+cukier10[[#This Row],[sprzedany_cukier]],cukier10[[#This Row],[sprzedany_cukier]])</f>
        <v>11236</v>
      </c>
      <c r="E835" cm="1">
        <f t="array" ref="E8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35">
        <f>cukier10[[#This Row],[sprzedany_cukier]]*cukier10[[#This Row],[rabat]]</f>
        <v>84.4</v>
      </c>
    </row>
    <row r="836" spans="1:6" x14ac:dyDescent="0.25">
      <c r="A836" s="1">
        <v>39898</v>
      </c>
      <c r="B836" t="s">
        <v>45</v>
      </c>
      <c r="C836">
        <v>436</v>
      </c>
      <c r="D836">
        <f>IF(cukier10[[#This Row],[nip_klienta]]=B835,D835+cukier10[[#This Row],[sprzedany_cukier]],cukier10[[#This Row],[sprzedany_cukier]])</f>
        <v>11672</v>
      </c>
      <c r="E836" cm="1">
        <f t="array" ref="E8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36">
        <f>cukier10[[#This Row],[sprzedany_cukier]]*cukier10[[#This Row],[rabat]]</f>
        <v>87.2</v>
      </c>
    </row>
    <row r="837" spans="1:6" x14ac:dyDescent="0.25">
      <c r="A837" s="1">
        <v>39953</v>
      </c>
      <c r="B837" t="s">
        <v>45</v>
      </c>
      <c r="C837">
        <v>393</v>
      </c>
      <c r="D837">
        <f>IF(cukier10[[#This Row],[nip_klienta]]=B836,D836+cukier10[[#This Row],[sprzedany_cukier]],cukier10[[#This Row],[sprzedany_cukier]])</f>
        <v>12065</v>
      </c>
      <c r="E837" cm="1">
        <f t="array" ref="E8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37">
        <f>cukier10[[#This Row],[sprzedany_cukier]]*cukier10[[#This Row],[rabat]]</f>
        <v>78.600000000000009</v>
      </c>
    </row>
    <row r="838" spans="1:6" x14ac:dyDescent="0.25">
      <c r="A838" s="1">
        <v>39980</v>
      </c>
      <c r="B838" t="s">
        <v>45</v>
      </c>
      <c r="C838">
        <v>350</v>
      </c>
      <c r="D838">
        <f>IF(cukier10[[#This Row],[nip_klienta]]=B837,D837+cukier10[[#This Row],[sprzedany_cukier]],cukier10[[#This Row],[sprzedany_cukier]])</f>
        <v>12415</v>
      </c>
      <c r="E838" cm="1">
        <f t="array" ref="E8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38">
        <f>cukier10[[#This Row],[sprzedany_cukier]]*cukier10[[#This Row],[rabat]]</f>
        <v>70</v>
      </c>
    </row>
    <row r="839" spans="1:6" x14ac:dyDescent="0.25">
      <c r="A839" s="1">
        <v>40027</v>
      </c>
      <c r="B839" t="s">
        <v>45</v>
      </c>
      <c r="C839">
        <v>333</v>
      </c>
      <c r="D839">
        <f>IF(cukier10[[#This Row],[nip_klienta]]=B838,D838+cukier10[[#This Row],[sprzedany_cukier]],cukier10[[#This Row],[sprzedany_cukier]])</f>
        <v>12748</v>
      </c>
      <c r="E839" cm="1">
        <f t="array" ref="E8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39">
        <f>cukier10[[#This Row],[sprzedany_cukier]]*cukier10[[#This Row],[rabat]]</f>
        <v>66.600000000000009</v>
      </c>
    </row>
    <row r="840" spans="1:6" x14ac:dyDescent="0.25">
      <c r="A840" s="1">
        <v>40075</v>
      </c>
      <c r="B840" t="s">
        <v>45</v>
      </c>
      <c r="C840">
        <v>209</v>
      </c>
      <c r="D840">
        <f>IF(cukier10[[#This Row],[nip_klienta]]=B839,D839+cukier10[[#This Row],[sprzedany_cukier]],cukier10[[#This Row],[sprzedany_cukier]])</f>
        <v>12957</v>
      </c>
      <c r="E840" cm="1">
        <f t="array" ref="E8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40">
        <f>cukier10[[#This Row],[sprzedany_cukier]]*cukier10[[#This Row],[rabat]]</f>
        <v>41.800000000000004</v>
      </c>
    </row>
    <row r="841" spans="1:6" x14ac:dyDescent="0.25">
      <c r="A841" s="1">
        <v>40128</v>
      </c>
      <c r="B841" t="s">
        <v>45</v>
      </c>
      <c r="C841">
        <v>326</v>
      </c>
      <c r="D841">
        <f>IF(cukier10[[#This Row],[nip_klienta]]=B840,D840+cukier10[[#This Row],[sprzedany_cukier]],cukier10[[#This Row],[sprzedany_cukier]])</f>
        <v>13283</v>
      </c>
      <c r="E841" cm="1">
        <f t="array" ref="E8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41">
        <f>cukier10[[#This Row],[sprzedany_cukier]]*cukier10[[#This Row],[rabat]]</f>
        <v>65.2</v>
      </c>
    </row>
    <row r="842" spans="1:6" x14ac:dyDescent="0.25">
      <c r="A842" s="1">
        <v>40136</v>
      </c>
      <c r="B842" t="s">
        <v>45</v>
      </c>
      <c r="C842">
        <v>232</v>
      </c>
      <c r="D842">
        <f>IF(cukier10[[#This Row],[nip_klienta]]=B841,D841+cukier10[[#This Row],[sprzedany_cukier]],cukier10[[#This Row],[sprzedany_cukier]])</f>
        <v>13515</v>
      </c>
      <c r="E842" cm="1">
        <f t="array" ref="E8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42">
        <f>cukier10[[#This Row],[sprzedany_cukier]]*cukier10[[#This Row],[rabat]]</f>
        <v>46.400000000000006</v>
      </c>
    </row>
    <row r="843" spans="1:6" x14ac:dyDescent="0.25">
      <c r="A843" s="1">
        <v>40193</v>
      </c>
      <c r="B843" t="s">
        <v>45</v>
      </c>
      <c r="C843">
        <v>117</v>
      </c>
      <c r="D843">
        <f>IF(cukier10[[#This Row],[nip_klienta]]=B842,D842+cukier10[[#This Row],[sprzedany_cukier]],cukier10[[#This Row],[sprzedany_cukier]])</f>
        <v>13632</v>
      </c>
      <c r="E843" cm="1">
        <f t="array" ref="E8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43">
        <f>cukier10[[#This Row],[sprzedany_cukier]]*cukier10[[#This Row],[rabat]]</f>
        <v>23.400000000000002</v>
      </c>
    </row>
    <row r="844" spans="1:6" x14ac:dyDescent="0.25">
      <c r="A844" s="1">
        <v>40211</v>
      </c>
      <c r="B844" t="s">
        <v>45</v>
      </c>
      <c r="C844">
        <v>247</v>
      </c>
      <c r="D844">
        <f>IF(cukier10[[#This Row],[nip_klienta]]=B843,D843+cukier10[[#This Row],[sprzedany_cukier]],cukier10[[#This Row],[sprzedany_cukier]])</f>
        <v>13879</v>
      </c>
      <c r="E844" cm="1">
        <f t="array" ref="E8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44">
        <f>cukier10[[#This Row],[sprzedany_cukier]]*cukier10[[#This Row],[rabat]]</f>
        <v>49.400000000000006</v>
      </c>
    </row>
    <row r="845" spans="1:6" x14ac:dyDescent="0.25">
      <c r="A845" s="1">
        <v>40218</v>
      </c>
      <c r="B845" t="s">
        <v>45</v>
      </c>
      <c r="C845">
        <v>271</v>
      </c>
      <c r="D845">
        <f>IF(cukier10[[#This Row],[nip_klienta]]=B844,D844+cukier10[[#This Row],[sprzedany_cukier]],cukier10[[#This Row],[sprzedany_cukier]])</f>
        <v>14150</v>
      </c>
      <c r="E845" cm="1">
        <f t="array" ref="E8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45">
        <f>cukier10[[#This Row],[sprzedany_cukier]]*cukier10[[#This Row],[rabat]]</f>
        <v>54.2</v>
      </c>
    </row>
    <row r="846" spans="1:6" x14ac:dyDescent="0.25">
      <c r="A846" s="1">
        <v>40245</v>
      </c>
      <c r="B846" t="s">
        <v>45</v>
      </c>
      <c r="C846">
        <v>396</v>
      </c>
      <c r="D846">
        <f>IF(cukier10[[#This Row],[nip_klienta]]=B845,D845+cukier10[[#This Row],[sprzedany_cukier]],cukier10[[#This Row],[sprzedany_cukier]])</f>
        <v>14546</v>
      </c>
      <c r="E846" cm="1">
        <f t="array" ref="E8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46">
        <f>cukier10[[#This Row],[sprzedany_cukier]]*cukier10[[#This Row],[rabat]]</f>
        <v>79.2</v>
      </c>
    </row>
    <row r="847" spans="1:6" x14ac:dyDescent="0.25">
      <c r="A847" s="1">
        <v>40250</v>
      </c>
      <c r="B847" t="s">
        <v>45</v>
      </c>
      <c r="C847">
        <v>115</v>
      </c>
      <c r="D847">
        <f>IF(cukier10[[#This Row],[nip_klienta]]=B846,D846+cukier10[[#This Row],[sprzedany_cukier]],cukier10[[#This Row],[sprzedany_cukier]])</f>
        <v>14661</v>
      </c>
      <c r="E847" cm="1">
        <f t="array" ref="E8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47">
        <f>cukier10[[#This Row],[sprzedany_cukier]]*cukier10[[#This Row],[rabat]]</f>
        <v>23</v>
      </c>
    </row>
    <row r="848" spans="1:6" x14ac:dyDescent="0.25">
      <c r="A848" s="1">
        <v>40283</v>
      </c>
      <c r="B848" t="s">
        <v>45</v>
      </c>
      <c r="C848">
        <v>182</v>
      </c>
      <c r="D848">
        <f>IF(cukier10[[#This Row],[nip_klienta]]=B847,D847+cukier10[[#This Row],[sprzedany_cukier]],cukier10[[#This Row],[sprzedany_cukier]])</f>
        <v>14843</v>
      </c>
      <c r="E848" cm="1">
        <f t="array" ref="E8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48">
        <f>cukier10[[#This Row],[sprzedany_cukier]]*cukier10[[#This Row],[rabat]]</f>
        <v>36.4</v>
      </c>
    </row>
    <row r="849" spans="1:6" x14ac:dyDescent="0.25">
      <c r="A849" s="1">
        <v>40337</v>
      </c>
      <c r="B849" t="s">
        <v>45</v>
      </c>
      <c r="C849">
        <v>344</v>
      </c>
      <c r="D849">
        <f>IF(cukier10[[#This Row],[nip_klienta]]=B848,D848+cukier10[[#This Row],[sprzedany_cukier]],cukier10[[#This Row],[sprzedany_cukier]])</f>
        <v>15187</v>
      </c>
      <c r="E849" cm="1">
        <f t="array" ref="E8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49">
        <f>cukier10[[#This Row],[sprzedany_cukier]]*cukier10[[#This Row],[rabat]]</f>
        <v>68.8</v>
      </c>
    </row>
    <row r="850" spans="1:6" x14ac:dyDescent="0.25">
      <c r="A850" s="1">
        <v>40348</v>
      </c>
      <c r="B850" t="s">
        <v>45</v>
      </c>
      <c r="C850">
        <v>332</v>
      </c>
      <c r="D850">
        <f>IF(cukier10[[#This Row],[nip_klienta]]=B849,D849+cukier10[[#This Row],[sprzedany_cukier]],cukier10[[#This Row],[sprzedany_cukier]])</f>
        <v>15519</v>
      </c>
      <c r="E850" cm="1">
        <f t="array" ref="E8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50">
        <f>cukier10[[#This Row],[sprzedany_cukier]]*cukier10[[#This Row],[rabat]]</f>
        <v>66.400000000000006</v>
      </c>
    </row>
    <row r="851" spans="1:6" x14ac:dyDescent="0.25">
      <c r="A851" s="1">
        <v>40355</v>
      </c>
      <c r="B851" t="s">
        <v>45</v>
      </c>
      <c r="C851">
        <v>480</v>
      </c>
      <c r="D851">
        <f>IF(cukier10[[#This Row],[nip_klienta]]=B850,D850+cukier10[[#This Row],[sprzedany_cukier]],cukier10[[#This Row],[sprzedany_cukier]])</f>
        <v>15999</v>
      </c>
      <c r="E851" cm="1">
        <f t="array" ref="E8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51">
        <f>cukier10[[#This Row],[sprzedany_cukier]]*cukier10[[#This Row],[rabat]]</f>
        <v>96</v>
      </c>
    </row>
    <row r="852" spans="1:6" x14ac:dyDescent="0.25">
      <c r="A852" s="1">
        <v>40454</v>
      </c>
      <c r="B852" t="s">
        <v>45</v>
      </c>
      <c r="C852">
        <v>263</v>
      </c>
      <c r="D852">
        <f>IF(cukier10[[#This Row],[nip_klienta]]=B851,D851+cukier10[[#This Row],[sprzedany_cukier]],cukier10[[#This Row],[sprzedany_cukier]])</f>
        <v>16262</v>
      </c>
      <c r="E852" cm="1">
        <f t="array" ref="E8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52">
        <f>cukier10[[#This Row],[sprzedany_cukier]]*cukier10[[#This Row],[rabat]]</f>
        <v>52.6</v>
      </c>
    </row>
    <row r="853" spans="1:6" x14ac:dyDescent="0.25">
      <c r="A853" s="1">
        <v>40457</v>
      </c>
      <c r="B853" t="s">
        <v>45</v>
      </c>
      <c r="C853">
        <v>299</v>
      </c>
      <c r="D853">
        <f>IF(cukier10[[#This Row],[nip_klienta]]=B852,D852+cukier10[[#This Row],[sprzedany_cukier]],cukier10[[#This Row],[sprzedany_cukier]])</f>
        <v>16561</v>
      </c>
      <c r="E853" cm="1">
        <f t="array" ref="E8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53">
        <f>cukier10[[#This Row],[sprzedany_cukier]]*cukier10[[#This Row],[rabat]]</f>
        <v>59.800000000000004</v>
      </c>
    </row>
    <row r="854" spans="1:6" x14ac:dyDescent="0.25">
      <c r="A854" s="1">
        <v>40480</v>
      </c>
      <c r="B854" t="s">
        <v>45</v>
      </c>
      <c r="C854">
        <v>313</v>
      </c>
      <c r="D854">
        <f>IF(cukier10[[#This Row],[nip_klienta]]=B853,D853+cukier10[[#This Row],[sprzedany_cukier]],cukier10[[#This Row],[sprzedany_cukier]])</f>
        <v>16874</v>
      </c>
      <c r="E854" cm="1">
        <f t="array" ref="E8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54">
        <f>cukier10[[#This Row],[sprzedany_cukier]]*cukier10[[#This Row],[rabat]]</f>
        <v>62.6</v>
      </c>
    </row>
    <row r="855" spans="1:6" x14ac:dyDescent="0.25">
      <c r="A855" s="1">
        <v>40481</v>
      </c>
      <c r="B855" t="s">
        <v>45</v>
      </c>
      <c r="C855">
        <v>251</v>
      </c>
      <c r="D855">
        <f>IF(cukier10[[#This Row],[nip_klienta]]=B854,D854+cukier10[[#This Row],[sprzedany_cukier]],cukier10[[#This Row],[sprzedany_cukier]])</f>
        <v>17125</v>
      </c>
      <c r="E855" cm="1">
        <f t="array" ref="E8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55">
        <f>cukier10[[#This Row],[sprzedany_cukier]]*cukier10[[#This Row],[rabat]]</f>
        <v>50.2</v>
      </c>
    </row>
    <row r="856" spans="1:6" x14ac:dyDescent="0.25">
      <c r="A856" s="1">
        <v>40492</v>
      </c>
      <c r="B856" t="s">
        <v>45</v>
      </c>
      <c r="C856">
        <v>269</v>
      </c>
      <c r="D856">
        <f>IF(cukier10[[#This Row],[nip_klienta]]=B855,D855+cukier10[[#This Row],[sprzedany_cukier]],cukier10[[#This Row],[sprzedany_cukier]])</f>
        <v>17394</v>
      </c>
      <c r="E856" cm="1">
        <f t="array" ref="E8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56">
        <f>cukier10[[#This Row],[sprzedany_cukier]]*cukier10[[#This Row],[rabat]]</f>
        <v>53.800000000000004</v>
      </c>
    </row>
    <row r="857" spans="1:6" x14ac:dyDescent="0.25">
      <c r="A857" s="1">
        <v>40520</v>
      </c>
      <c r="B857" t="s">
        <v>45</v>
      </c>
      <c r="C857">
        <v>423</v>
      </c>
      <c r="D857">
        <f>IF(cukier10[[#This Row],[nip_klienta]]=B856,D856+cukier10[[#This Row],[sprzedany_cukier]],cukier10[[#This Row],[sprzedany_cukier]])</f>
        <v>17817</v>
      </c>
      <c r="E857" cm="1">
        <f t="array" ref="E8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57">
        <f>cukier10[[#This Row],[sprzedany_cukier]]*cukier10[[#This Row],[rabat]]</f>
        <v>84.600000000000009</v>
      </c>
    </row>
    <row r="858" spans="1:6" x14ac:dyDescent="0.25">
      <c r="A858" s="1">
        <v>40550</v>
      </c>
      <c r="B858" t="s">
        <v>45</v>
      </c>
      <c r="C858">
        <v>330</v>
      </c>
      <c r="D858">
        <f>IF(cukier10[[#This Row],[nip_klienta]]=B857,D857+cukier10[[#This Row],[sprzedany_cukier]],cukier10[[#This Row],[sprzedany_cukier]])</f>
        <v>18147</v>
      </c>
      <c r="E858" cm="1">
        <f t="array" ref="E8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58">
        <f>cukier10[[#This Row],[sprzedany_cukier]]*cukier10[[#This Row],[rabat]]</f>
        <v>66</v>
      </c>
    </row>
    <row r="859" spans="1:6" x14ac:dyDescent="0.25">
      <c r="A859" s="1">
        <v>40573</v>
      </c>
      <c r="B859" t="s">
        <v>45</v>
      </c>
      <c r="C859">
        <v>154</v>
      </c>
      <c r="D859">
        <f>IF(cukier10[[#This Row],[nip_klienta]]=B858,D858+cukier10[[#This Row],[sprzedany_cukier]],cukier10[[#This Row],[sprzedany_cukier]])</f>
        <v>18301</v>
      </c>
      <c r="E859" cm="1">
        <f t="array" ref="E8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59">
        <f>cukier10[[#This Row],[sprzedany_cukier]]*cukier10[[#This Row],[rabat]]</f>
        <v>30.8</v>
      </c>
    </row>
    <row r="860" spans="1:6" x14ac:dyDescent="0.25">
      <c r="A860" s="1">
        <v>40617</v>
      </c>
      <c r="B860" t="s">
        <v>45</v>
      </c>
      <c r="C860">
        <v>128</v>
      </c>
      <c r="D860">
        <f>IF(cukier10[[#This Row],[nip_klienta]]=B859,D859+cukier10[[#This Row],[sprzedany_cukier]],cukier10[[#This Row],[sprzedany_cukier]])</f>
        <v>18429</v>
      </c>
      <c r="E860" cm="1">
        <f t="array" ref="E8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60">
        <f>cukier10[[#This Row],[sprzedany_cukier]]*cukier10[[#This Row],[rabat]]</f>
        <v>25.6</v>
      </c>
    </row>
    <row r="861" spans="1:6" x14ac:dyDescent="0.25">
      <c r="A861" s="1">
        <v>40642</v>
      </c>
      <c r="B861" t="s">
        <v>45</v>
      </c>
      <c r="C861">
        <v>162</v>
      </c>
      <c r="D861">
        <f>IF(cukier10[[#This Row],[nip_klienta]]=B860,D860+cukier10[[#This Row],[sprzedany_cukier]],cukier10[[#This Row],[sprzedany_cukier]])</f>
        <v>18591</v>
      </c>
      <c r="E861" cm="1">
        <f t="array" ref="E8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61">
        <f>cukier10[[#This Row],[sprzedany_cukier]]*cukier10[[#This Row],[rabat]]</f>
        <v>32.4</v>
      </c>
    </row>
    <row r="862" spans="1:6" x14ac:dyDescent="0.25">
      <c r="A862" s="1">
        <v>40890</v>
      </c>
      <c r="B862" t="s">
        <v>45</v>
      </c>
      <c r="C862">
        <v>227</v>
      </c>
      <c r="D862">
        <f>IF(cukier10[[#This Row],[nip_klienta]]=B861,D861+cukier10[[#This Row],[sprzedany_cukier]],cukier10[[#This Row],[sprzedany_cukier]])</f>
        <v>18818</v>
      </c>
      <c r="E862" cm="1">
        <f t="array" ref="E8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62">
        <f>cukier10[[#This Row],[sprzedany_cukier]]*cukier10[[#This Row],[rabat]]</f>
        <v>45.400000000000006</v>
      </c>
    </row>
    <row r="863" spans="1:6" x14ac:dyDescent="0.25">
      <c r="A863" s="1">
        <v>40951</v>
      </c>
      <c r="B863" t="s">
        <v>45</v>
      </c>
      <c r="C863">
        <v>305</v>
      </c>
      <c r="D863">
        <f>IF(cukier10[[#This Row],[nip_klienta]]=B862,D862+cukier10[[#This Row],[sprzedany_cukier]],cukier10[[#This Row],[sprzedany_cukier]])</f>
        <v>19123</v>
      </c>
      <c r="E863" cm="1">
        <f t="array" ref="E8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63">
        <f>cukier10[[#This Row],[sprzedany_cukier]]*cukier10[[#This Row],[rabat]]</f>
        <v>61</v>
      </c>
    </row>
    <row r="864" spans="1:6" x14ac:dyDescent="0.25">
      <c r="A864" s="1">
        <v>41115</v>
      </c>
      <c r="B864" t="s">
        <v>45</v>
      </c>
      <c r="C864">
        <v>261</v>
      </c>
      <c r="D864">
        <f>IF(cukier10[[#This Row],[nip_klienta]]=B863,D863+cukier10[[#This Row],[sprzedany_cukier]],cukier10[[#This Row],[sprzedany_cukier]])</f>
        <v>19384</v>
      </c>
      <c r="E864" cm="1">
        <f t="array" ref="E8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64">
        <f>cukier10[[#This Row],[sprzedany_cukier]]*cukier10[[#This Row],[rabat]]</f>
        <v>52.2</v>
      </c>
    </row>
    <row r="865" spans="1:6" x14ac:dyDescent="0.25">
      <c r="A865" s="1">
        <v>41202</v>
      </c>
      <c r="B865" t="s">
        <v>45</v>
      </c>
      <c r="C865">
        <v>390</v>
      </c>
      <c r="D865">
        <f>IF(cukier10[[#This Row],[nip_klienta]]=B864,D864+cukier10[[#This Row],[sprzedany_cukier]],cukier10[[#This Row],[sprzedany_cukier]])</f>
        <v>19774</v>
      </c>
      <c r="E865" cm="1">
        <f t="array" ref="E8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65">
        <f>cukier10[[#This Row],[sprzedany_cukier]]*cukier10[[#This Row],[rabat]]</f>
        <v>78</v>
      </c>
    </row>
    <row r="866" spans="1:6" x14ac:dyDescent="0.25">
      <c r="A866" s="1">
        <v>41262</v>
      </c>
      <c r="B866" t="s">
        <v>45</v>
      </c>
      <c r="C866">
        <v>222</v>
      </c>
      <c r="D866">
        <f>IF(cukier10[[#This Row],[nip_klienta]]=B865,D865+cukier10[[#This Row],[sprzedany_cukier]],cukier10[[#This Row],[sprzedany_cukier]])</f>
        <v>19996</v>
      </c>
      <c r="E866" cm="1">
        <f t="array" ref="E8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66">
        <f>cukier10[[#This Row],[sprzedany_cukier]]*cukier10[[#This Row],[rabat]]</f>
        <v>44.400000000000006</v>
      </c>
    </row>
    <row r="867" spans="1:6" x14ac:dyDescent="0.25">
      <c r="A867" s="1">
        <v>41310</v>
      </c>
      <c r="B867" t="s">
        <v>45</v>
      </c>
      <c r="C867">
        <v>487</v>
      </c>
      <c r="D867">
        <f>IF(cukier10[[#This Row],[nip_klienta]]=B866,D866+cukier10[[#This Row],[sprzedany_cukier]],cukier10[[#This Row],[sprzedany_cukier]])</f>
        <v>20483</v>
      </c>
      <c r="E867" cm="1">
        <f t="array" ref="E8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67">
        <f>cukier10[[#This Row],[sprzedany_cukier]]*cukier10[[#This Row],[rabat]]</f>
        <v>97.4</v>
      </c>
    </row>
    <row r="868" spans="1:6" x14ac:dyDescent="0.25">
      <c r="A868" s="1">
        <v>41357</v>
      </c>
      <c r="B868" t="s">
        <v>45</v>
      </c>
      <c r="C868">
        <v>459</v>
      </c>
      <c r="D868">
        <f>IF(cukier10[[#This Row],[nip_klienta]]=B867,D867+cukier10[[#This Row],[sprzedany_cukier]],cukier10[[#This Row],[sprzedany_cukier]])</f>
        <v>20942</v>
      </c>
      <c r="E868" cm="1">
        <f t="array" ref="E8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68">
        <f>cukier10[[#This Row],[sprzedany_cukier]]*cukier10[[#This Row],[rabat]]</f>
        <v>91.800000000000011</v>
      </c>
    </row>
    <row r="869" spans="1:6" x14ac:dyDescent="0.25">
      <c r="A869" s="1">
        <v>41409</v>
      </c>
      <c r="B869" t="s">
        <v>45</v>
      </c>
      <c r="C869">
        <v>377</v>
      </c>
      <c r="D869">
        <f>IF(cukier10[[#This Row],[nip_klienta]]=B868,D868+cukier10[[#This Row],[sprzedany_cukier]],cukier10[[#This Row],[sprzedany_cukier]])</f>
        <v>21319</v>
      </c>
      <c r="E869" cm="1">
        <f t="array" ref="E8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69">
        <f>cukier10[[#This Row],[sprzedany_cukier]]*cukier10[[#This Row],[rabat]]</f>
        <v>75.400000000000006</v>
      </c>
    </row>
    <row r="870" spans="1:6" x14ac:dyDescent="0.25">
      <c r="A870" s="1">
        <v>41414</v>
      </c>
      <c r="B870" t="s">
        <v>45</v>
      </c>
      <c r="C870">
        <v>461</v>
      </c>
      <c r="D870">
        <f>IF(cukier10[[#This Row],[nip_klienta]]=B869,D869+cukier10[[#This Row],[sprzedany_cukier]],cukier10[[#This Row],[sprzedany_cukier]])</f>
        <v>21780</v>
      </c>
      <c r="E870" cm="1">
        <f t="array" ref="E8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70">
        <f>cukier10[[#This Row],[sprzedany_cukier]]*cukier10[[#This Row],[rabat]]</f>
        <v>92.2</v>
      </c>
    </row>
    <row r="871" spans="1:6" x14ac:dyDescent="0.25">
      <c r="A871" s="1">
        <v>41464</v>
      </c>
      <c r="B871" t="s">
        <v>45</v>
      </c>
      <c r="C871">
        <v>373</v>
      </c>
      <c r="D871">
        <f>IF(cukier10[[#This Row],[nip_klienta]]=B870,D870+cukier10[[#This Row],[sprzedany_cukier]],cukier10[[#This Row],[sprzedany_cukier]])</f>
        <v>22153</v>
      </c>
      <c r="E871" cm="1">
        <f t="array" ref="E8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71">
        <f>cukier10[[#This Row],[sprzedany_cukier]]*cukier10[[#This Row],[rabat]]</f>
        <v>74.600000000000009</v>
      </c>
    </row>
    <row r="872" spans="1:6" x14ac:dyDescent="0.25">
      <c r="A872" s="1">
        <v>41495</v>
      </c>
      <c r="B872" t="s">
        <v>45</v>
      </c>
      <c r="C872">
        <v>239</v>
      </c>
      <c r="D872">
        <f>IF(cukier10[[#This Row],[nip_klienta]]=B871,D871+cukier10[[#This Row],[sprzedany_cukier]],cukier10[[#This Row],[sprzedany_cukier]])</f>
        <v>22392</v>
      </c>
      <c r="E872" cm="1">
        <f t="array" ref="E8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72">
        <f>cukier10[[#This Row],[sprzedany_cukier]]*cukier10[[#This Row],[rabat]]</f>
        <v>47.800000000000004</v>
      </c>
    </row>
    <row r="873" spans="1:6" x14ac:dyDescent="0.25">
      <c r="A873" s="1">
        <v>41514</v>
      </c>
      <c r="B873" t="s">
        <v>45</v>
      </c>
      <c r="C873">
        <v>193</v>
      </c>
      <c r="D873">
        <f>IF(cukier10[[#This Row],[nip_klienta]]=B872,D872+cukier10[[#This Row],[sprzedany_cukier]],cukier10[[#This Row],[sprzedany_cukier]])</f>
        <v>22585</v>
      </c>
      <c r="E873" cm="1">
        <f t="array" ref="E8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73">
        <f>cukier10[[#This Row],[sprzedany_cukier]]*cukier10[[#This Row],[rabat]]</f>
        <v>38.6</v>
      </c>
    </row>
    <row r="874" spans="1:6" x14ac:dyDescent="0.25">
      <c r="A874" s="1">
        <v>41543</v>
      </c>
      <c r="B874" t="s">
        <v>45</v>
      </c>
      <c r="C874">
        <v>212</v>
      </c>
      <c r="D874">
        <f>IF(cukier10[[#This Row],[nip_klienta]]=B873,D873+cukier10[[#This Row],[sprzedany_cukier]],cukier10[[#This Row],[sprzedany_cukier]])</f>
        <v>22797</v>
      </c>
      <c r="E874" cm="1">
        <f t="array" ref="E8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74">
        <f>cukier10[[#This Row],[sprzedany_cukier]]*cukier10[[#This Row],[rabat]]</f>
        <v>42.400000000000006</v>
      </c>
    </row>
    <row r="875" spans="1:6" x14ac:dyDescent="0.25">
      <c r="A875" s="1">
        <v>41563</v>
      </c>
      <c r="B875" t="s">
        <v>45</v>
      </c>
      <c r="C875">
        <v>100</v>
      </c>
      <c r="D875">
        <f>IF(cukier10[[#This Row],[nip_klienta]]=B874,D874+cukier10[[#This Row],[sprzedany_cukier]],cukier10[[#This Row],[sprzedany_cukier]])</f>
        <v>22897</v>
      </c>
      <c r="E875" cm="1">
        <f t="array" ref="E8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75">
        <f>cukier10[[#This Row],[sprzedany_cukier]]*cukier10[[#This Row],[rabat]]</f>
        <v>20</v>
      </c>
    </row>
    <row r="876" spans="1:6" x14ac:dyDescent="0.25">
      <c r="A876" s="1">
        <v>41580</v>
      </c>
      <c r="B876" t="s">
        <v>45</v>
      </c>
      <c r="C876">
        <v>163</v>
      </c>
      <c r="D876">
        <f>IF(cukier10[[#This Row],[nip_klienta]]=B875,D875+cukier10[[#This Row],[sprzedany_cukier]],cukier10[[#This Row],[sprzedany_cukier]])</f>
        <v>23060</v>
      </c>
      <c r="E876" cm="1">
        <f t="array" ref="E8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76">
        <f>cukier10[[#This Row],[sprzedany_cukier]]*cukier10[[#This Row],[rabat]]</f>
        <v>32.6</v>
      </c>
    </row>
    <row r="877" spans="1:6" x14ac:dyDescent="0.25">
      <c r="A877" s="1">
        <v>41652</v>
      </c>
      <c r="B877" t="s">
        <v>45</v>
      </c>
      <c r="C877">
        <v>152</v>
      </c>
      <c r="D877">
        <f>IF(cukier10[[#This Row],[nip_klienta]]=B876,D876+cukier10[[#This Row],[sprzedany_cukier]],cukier10[[#This Row],[sprzedany_cukier]])</f>
        <v>23212</v>
      </c>
      <c r="E877" cm="1">
        <f t="array" ref="E8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77">
        <f>cukier10[[#This Row],[sprzedany_cukier]]*cukier10[[#This Row],[rabat]]</f>
        <v>30.400000000000002</v>
      </c>
    </row>
    <row r="878" spans="1:6" x14ac:dyDescent="0.25">
      <c r="A878" s="1">
        <v>41656</v>
      </c>
      <c r="B878" t="s">
        <v>45</v>
      </c>
      <c r="C878">
        <v>431</v>
      </c>
      <c r="D878">
        <f>IF(cukier10[[#This Row],[nip_klienta]]=B877,D877+cukier10[[#This Row],[sprzedany_cukier]],cukier10[[#This Row],[sprzedany_cukier]])</f>
        <v>23643</v>
      </c>
      <c r="E878" cm="1">
        <f t="array" ref="E8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78">
        <f>cukier10[[#This Row],[sprzedany_cukier]]*cukier10[[#This Row],[rabat]]</f>
        <v>86.2</v>
      </c>
    </row>
    <row r="879" spans="1:6" x14ac:dyDescent="0.25">
      <c r="A879" s="1">
        <v>41699</v>
      </c>
      <c r="B879" t="s">
        <v>45</v>
      </c>
      <c r="C879">
        <v>212</v>
      </c>
      <c r="D879">
        <f>IF(cukier10[[#This Row],[nip_klienta]]=B878,D878+cukier10[[#This Row],[sprzedany_cukier]],cukier10[[#This Row],[sprzedany_cukier]])</f>
        <v>23855</v>
      </c>
      <c r="E879" cm="1">
        <f t="array" ref="E8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79">
        <f>cukier10[[#This Row],[sprzedany_cukier]]*cukier10[[#This Row],[rabat]]</f>
        <v>42.400000000000006</v>
      </c>
    </row>
    <row r="880" spans="1:6" x14ac:dyDescent="0.25">
      <c r="A880" s="1">
        <v>41701</v>
      </c>
      <c r="B880" t="s">
        <v>45</v>
      </c>
      <c r="C880">
        <v>372</v>
      </c>
      <c r="D880">
        <f>IF(cukier10[[#This Row],[nip_klienta]]=B879,D879+cukier10[[#This Row],[sprzedany_cukier]],cukier10[[#This Row],[sprzedany_cukier]])</f>
        <v>24227</v>
      </c>
      <c r="E880" cm="1">
        <f t="array" ref="E8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80">
        <f>cukier10[[#This Row],[sprzedany_cukier]]*cukier10[[#This Row],[rabat]]</f>
        <v>74.400000000000006</v>
      </c>
    </row>
    <row r="881" spans="1:6" x14ac:dyDescent="0.25">
      <c r="A881" s="1">
        <v>41728</v>
      </c>
      <c r="B881" t="s">
        <v>45</v>
      </c>
      <c r="C881">
        <v>213</v>
      </c>
      <c r="D881">
        <f>IF(cukier10[[#This Row],[nip_klienta]]=B880,D880+cukier10[[#This Row],[sprzedany_cukier]],cukier10[[#This Row],[sprzedany_cukier]])</f>
        <v>24440</v>
      </c>
      <c r="E881" cm="1">
        <f t="array" ref="E8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81">
        <f>cukier10[[#This Row],[sprzedany_cukier]]*cukier10[[#This Row],[rabat]]</f>
        <v>42.6</v>
      </c>
    </row>
    <row r="882" spans="1:6" x14ac:dyDescent="0.25">
      <c r="A882" s="1">
        <v>41736</v>
      </c>
      <c r="B882" t="s">
        <v>45</v>
      </c>
      <c r="C882">
        <v>392</v>
      </c>
      <c r="D882">
        <f>IF(cukier10[[#This Row],[nip_klienta]]=B881,D881+cukier10[[#This Row],[sprzedany_cukier]],cukier10[[#This Row],[sprzedany_cukier]])</f>
        <v>24832</v>
      </c>
      <c r="E882" cm="1">
        <f t="array" ref="E8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82">
        <f>cukier10[[#This Row],[sprzedany_cukier]]*cukier10[[#This Row],[rabat]]</f>
        <v>78.400000000000006</v>
      </c>
    </row>
    <row r="883" spans="1:6" x14ac:dyDescent="0.25">
      <c r="A883" s="1">
        <v>41764</v>
      </c>
      <c r="B883" t="s">
        <v>45</v>
      </c>
      <c r="C883">
        <v>215</v>
      </c>
      <c r="D883">
        <f>IF(cukier10[[#This Row],[nip_klienta]]=B882,D882+cukier10[[#This Row],[sprzedany_cukier]],cukier10[[#This Row],[sprzedany_cukier]])</f>
        <v>25047</v>
      </c>
      <c r="E883" cm="1">
        <f t="array" ref="E8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83">
        <f>cukier10[[#This Row],[sprzedany_cukier]]*cukier10[[#This Row],[rabat]]</f>
        <v>43</v>
      </c>
    </row>
    <row r="884" spans="1:6" x14ac:dyDescent="0.25">
      <c r="A884" s="1">
        <v>41909</v>
      </c>
      <c r="B884" t="s">
        <v>45</v>
      </c>
      <c r="C884">
        <v>452</v>
      </c>
      <c r="D884">
        <f>IF(cukier10[[#This Row],[nip_klienta]]=B883,D883+cukier10[[#This Row],[sprzedany_cukier]],cukier10[[#This Row],[sprzedany_cukier]])</f>
        <v>25499</v>
      </c>
      <c r="E884" cm="1">
        <f t="array" ref="E8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84">
        <f>cukier10[[#This Row],[sprzedany_cukier]]*cukier10[[#This Row],[rabat]]</f>
        <v>90.4</v>
      </c>
    </row>
    <row r="885" spans="1:6" x14ac:dyDescent="0.25">
      <c r="A885" s="1">
        <v>41938</v>
      </c>
      <c r="B885" t="s">
        <v>45</v>
      </c>
      <c r="C885">
        <v>245</v>
      </c>
      <c r="D885">
        <f>IF(cukier10[[#This Row],[nip_klienta]]=B884,D884+cukier10[[#This Row],[sprzedany_cukier]],cukier10[[#This Row],[sprzedany_cukier]])</f>
        <v>25744</v>
      </c>
      <c r="E885" cm="1">
        <f t="array" ref="E8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85">
        <f>cukier10[[#This Row],[sprzedany_cukier]]*cukier10[[#This Row],[rabat]]</f>
        <v>49</v>
      </c>
    </row>
    <row r="886" spans="1:6" x14ac:dyDescent="0.25">
      <c r="A886" s="1">
        <v>41967</v>
      </c>
      <c r="B886" t="s">
        <v>45</v>
      </c>
      <c r="C886">
        <v>230</v>
      </c>
      <c r="D886">
        <f>IF(cukier10[[#This Row],[nip_klienta]]=B885,D885+cukier10[[#This Row],[sprzedany_cukier]],cukier10[[#This Row],[sprzedany_cukier]])</f>
        <v>25974</v>
      </c>
      <c r="E886" cm="1">
        <f t="array" ref="E8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86">
        <f>cukier10[[#This Row],[sprzedany_cukier]]*cukier10[[#This Row],[rabat]]</f>
        <v>46</v>
      </c>
    </row>
    <row r="887" spans="1:6" x14ac:dyDescent="0.25">
      <c r="A887" s="1">
        <v>41983</v>
      </c>
      <c r="B887" t="s">
        <v>45</v>
      </c>
      <c r="C887">
        <v>146</v>
      </c>
      <c r="D887">
        <f>IF(cukier10[[#This Row],[nip_klienta]]=B886,D886+cukier10[[#This Row],[sprzedany_cukier]],cukier10[[#This Row],[sprzedany_cukier]])</f>
        <v>26120</v>
      </c>
      <c r="E887" cm="1">
        <f t="array" ref="E8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87">
        <f>cukier10[[#This Row],[sprzedany_cukier]]*cukier10[[#This Row],[rabat]]</f>
        <v>29.200000000000003</v>
      </c>
    </row>
    <row r="888" spans="1:6" x14ac:dyDescent="0.25">
      <c r="A888" s="1">
        <v>41996</v>
      </c>
      <c r="B888" t="s">
        <v>45</v>
      </c>
      <c r="C888">
        <v>331</v>
      </c>
      <c r="D888">
        <f>IF(cukier10[[#This Row],[nip_klienta]]=B887,D887+cukier10[[#This Row],[sprzedany_cukier]],cukier10[[#This Row],[sprzedany_cukier]])</f>
        <v>26451</v>
      </c>
      <c r="E888" cm="1">
        <f t="array" ref="E8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888">
        <f>cukier10[[#This Row],[sprzedany_cukier]]*cukier10[[#This Row],[rabat]]</f>
        <v>66.2</v>
      </c>
    </row>
    <row r="889" spans="1:6" x14ac:dyDescent="0.25">
      <c r="A889" s="1">
        <v>40348</v>
      </c>
      <c r="B889" t="s">
        <v>212</v>
      </c>
      <c r="C889">
        <v>18</v>
      </c>
      <c r="D889">
        <f>IF(cukier10[[#This Row],[nip_klienta]]=B888,D888+cukier10[[#This Row],[sprzedany_cukier]],cukier10[[#This Row],[sprzedany_cukier]])</f>
        <v>18</v>
      </c>
      <c r="E889" cm="1">
        <f t="array" ref="E8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889">
        <f>cukier10[[#This Row],[sprzedany_cukier]]*cukier10[[#This Row],[rabat]]</f>
        <v>0</v>
      </c>
    </row>
    <row r="890" spans="1:6" x14ac:dyDescent="0.25">
      <c r="A890" s="1">
        <v>40833</v>
      </c>
      <c r="B890" t="s">
        <v>212</v>
      </c>
      <c r="C890">
        <v>8</v>
      </c>
      <c r="D890">
        <f>IF(cukier10[[#This Row],[nip_klienta]]=B889,D889+cukier10[[#This Row],[sprzedany_cukier]],cukier10[[#This Row],[sprzedany_cukier]])</f>
        <v>26</v>
      </c>
      <c r="E890" cm="1">
        <f t="array" ref="E8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890">
        <f>cukier10[[#This Row],[sprzedany_cukier]]*cukier10[[#This Row],[rabat]]</f>
        <v>0</v>
      </c>
    </row>
    <row r="891" spans="1:6" x14ac:dyDescent="0.25">
      <c r="A891" s="1">
        <v>39985</v>
      </c>
      <c r="B891" t="s">
        <v>190</v>
      </c>
      <c r="C891">
        <v>3</v>
      </c>
      <c r="D891">
        <f>IF(cukier10[[#This Row],[nip_klienta]]=B890,D890+cukier10[[#This Row],[sprzedany_cukier]],cukier10[[#This Row],[sprzedany_cukier]])</f>
        <v>3</v>
      </c>
      <c r="E891" cm="1">
        <f t="array" ref="E8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891">
        <f>cukier10[[#This Row],[sprzedany_cukier]]*cukier10[[#This Row],[rabat]]</f>
        <v>0</v>
      </c>
    </row>
    <row r="892" spans="1:6" x14ac:dyDescent="0.25">
      <c r="A892" s="1">
        <v>41646</v>
      </c>
      <c r="B892" t="s">
        <v>190</v>
      </c>
      <c r="C892">
        <v>14</v>
      </c>
      <c r="D892">
        <f>IF(cukier10[[#This Row],[nip_klienta]]=B891,D891+cukier10[[#This Row],[sprzedany_cukier]],cukier10[[#This Row],[sprzedany_cukier]])</f>
        <v>17</v>
      </c>
      <c r="E892" cm="1">
        <f t="array" ref="E8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892">
        <f>cukier10[[#This Row],[sprzedany_cukier]]*cukier10[[#This Row],[rabat]]</f>
        <v>0</v>
      </c>
    </row>
    <row r="893" spans="1:6" x14ac:dyDescent="0.25">
      <c r="A893" s="1">
        <v>41848</v>
      </c>
      <c r="B893" t="s">
        <v>190</v>
      </c>
      <c r="C893">
        <v>4</v>
      </c>
      <c r="D893">
        <f>IF(cukier10[[#This Row],[nip_klienta]]=B892,D892+cukier10[[#This Row],[sprzedany_cukier]],cukier10[[#This Row],[sprzedany_cukier]])</f>
        <v>21</v>
      </c>
      <c r="E893" cm="1">
        <f t="array" ref="E8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893">
        <f>cukier10[[#This Row],[sprzedany_cukier]]*cukier10[[#This Row],[rabat]]</f>
        <v>0</v>
      </c>
    </row>
    <row r="894" spans="1:6" x14ac:dyDescent="0.25">
      <c r="A894" s="1">
        <v>38409</v>
      </c>
      <c r="B894" t="s">
        <v>21</v>
      </c>
      <c r="C894">
        <v>16</v>
      </c>
      <c r="D894">
        <f>IF(cukier10[[#This Row],[nip_klienta]]=B893,D893+cukier10[[#This Row],[sprzedany_cukier]],cukier10[[#This Row],[sprzedany_cukier]])</f>
        <v>16</v>
      </c>
      <c r="E894" cm="1">
        <f t="array" ref="E8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894">
        <f>cukier10[[#This Row],[sprzedany_cukier]]*cukier10[[#This Row],[rabat]]</f>
        <v>0</v>
      </c>
    </row>
    <row r="895" spans="1:6" x14ac:dyDescent="0.25">
      <c r="A895" s="1">
        <v>39376</v>
      </c>
      <c r="B895" t="s">
        <v>21</v>
      </c>
      <c r="C895">
        <v>3</v>
      </c>
      <c r="D895">
        <f>IF(cukier10[[#This Row],[nip_klienta]]=B894,D894+cukier10[[#This Row],[sprzedany_cukier]],cukier10[[#This Row],[sprzedany_cukier]])</f>
        <v>19</v>
      </c>
      <c r="E895" cm="1">
        <f t="array" ref="E8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895">
        <f>cukier10[[#This Row],[sprzedany_cukier]]*cukier10[[#This Row],[rabat]]</f>
        <v>0</v>
      </c>
    </row>
    <row r="896" spans="1:6" x14ac:dyDescent="0.25">
      <c r="A896" s="1">
        <v>40797</v>
      </c>
      <c r="B896" t="s">
        <v>21</v>
      </c>
      <c r="C896">
        <v>3</v>
      </c>
      <c r="D896">
        <f>IF(cukier10[[#This Row],[nip_klienta]]=B895,D895+cukier10[[#This Row],[sprzedany_cukier]],cukier10[[#This Row],[sprzedany_cukier]])</f>
        <v>22</v>
      </c>
      <c r="E896" cm="1">
        <f t="array" ref="E8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896">
        <f>cukier10[[#This Row],[sprzedany_cukier]]*cukier10[[#This Row],[rabat]]</f>
        <v>0</v>
      </c>
    </row>
    <row r="897" spans="1:6" x14ac:dyDescent="0.25">
      <c r="A897" s="1">
        <v>40833</v>
      </c>
      <c r="B897" t="s">
        <v>21</v>
      </c>
      <c r="C897">
        <v>12</v>
      </c>
      <c r="D897">
        <f>IF(cukier10[[#This Row],[nip_klienta]]=B896,D896+cukier10[[#This Row],[sprzedany_cukier]],cukier10[[#This Row],[sprzedany_cukier]])</f>
        <v>34</v>
      </c>
      <c r="E897" cm="1">
        <f t="array" ref="E8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897">
        <f>cukier10[[#This Row],[sprzedany_cukier]]*cukier10[[#This Row],[rabat]]</f>
        <v>0</v>
      </c>
    </row>
    <row r="898" spans="1:6" x14ac:dyDescent="0.25">
      <c r="A898" s="1">
        <v>40855</v>
      </c>
      <c r="B898" t="s">
        <v>21</v>
      </c>
      <c r="C898">
        <v>2</v>
      </c>
      <c r="D898">
        <f>IF(cukier10[[#This Row],[nip_klienta]]=B897,D897+cukier10[[#This Row],[sprzedany_cukier]],cukier10[[#This Row],[sprzedany_cukier]])</f>
        <v>36</v>
      </c>
      <c r="E898" cm="1">
        <f t="array" ref="E8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898">
        <f>cukier10[[#This Row],[sprzedany_cukier]]*cukier10[[#This Row],[rabat]]</f>
        <v>0</v>
      </c>
    </row>
    <row r="899" spans="1:6" x14ac:dyDescent="0.25">
      <c r="A899" s="1">
        <v>38689</v>
      </c>
      <c r="B899" t="s">
        <v>89</v>
      </c>
      <c r="C899">
        <v>3</v>
      </c>
      <c r="D899">
        <f>IF(cukier10[[#This Row],[nip_klienta]]=B898,D898+cukier10[[#This Row],[sprzedany_cukier]],cukier10[[#This Row],[sprzedany_cukier]])</f>
        <v>3</v>
      </c>
      <c r="E899" cm="1">
        <f t="array" ref="E8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899">
        <f>cukier10[[#This Row],[sprzedany_cukier]]*cukier10[[#This Row],[rabat]]</f>
        <v>0</v>
      </c>
    </row>
    <row r="900" spans="1:6" x14ac:dyDescent="0.25">
      <c r="A900" s="1">
        <v>39388</v>
      </c>
      <c r="B900" t="s">
        <v>89</v>
      </c>
      <c r="C900">
        <v>8</v>
      </c>
      <c r="D900">
        <f>IF(cukier10[[#This Row],[nip_klienta]]=B899,D899+cukier10[[#This Row],[sprzedany_cukier]],cukier10[[#This Row],[sprzedany_cukier]])</f>
        <v>11</v>
      </c>
      <c r="E900" cm="1">
        <f t="array" ref="E9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00">
        <f>cukier10[[#This Row],[sprzedany_cukier]]*cukier10[[#This Row],[rabat]]</f>
        <v>0</v>
      </c>
    </row>
    <row r="901" spans="1:6" x14ac:dyDescent="0.25">
      <c r="A901" s="1">
        <v>39464</v>
      </c>
      <c r="B901" t="s">
        <v>89</v>
      </c>
      <c r="C901">
        <v>14</v>
      </c>
      <c r="D901">
        <f>IF(cukier10[[#This Row],[nip_klienta]]=B900,D900+cukier10[[#This Row],[sprzedany_cukier]],cukier10[[#This Row],[sprzedany_cukier]])</f>
        <v>25</v>
      </c>
      <c r="E901" cm="1">
        <f t="array" ref="E9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01">
        <f>cukier10[[#This Row],[sprzedany_cukier]]*cukier10[[#This Row],[rabat]]</f>
        <v>0</v>
      </c>
    </row>
    <row r="902" spans="1:6" x14ac:dyDescent="0.25">
      <c r="A902" s="1">
        <v>39705</v>
      </c>
      <c r="B902" t="s">
        <v>89</v>
      </c>
      <c r="C902">
        <v>7</v>
      </c>
      <c r="D902">
        <f>IF(cukier10[[#This Row],[nip_klienta]]=B901,D901+cukier10[[#This Row],[sprzedany_cukier]],cukier10[[#This Row],[sprzedany_cukier]])</f>
        <v>32</v>
      </c>
      <c r="E902" cm="1">
        <f t="array" ref="E9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02">
        <f>cukier10[[#This Row],[sprzedany_cukier]]*cukier10[[#This Row],[rabat]]</f>
        <v>0</v>
      </c>
    </row>
    <row r="903" spans="1:6" x14ac:dyDescent="0.25">
      <c r="A903" s="1">
        <v>39994</v>
      </c>
      <c r="B903" t="s">
        <v>193</v>
      </c>
      <c r="C903">
        <v>6</v>
      </c>
      <c r="D903">
        <f>IF(cukier10[[#This Row],[nip_klienta]]=B902,D902+cukier10[[#This Row],[sprzedany_cukier]],cukier10[[#This Row],[sprzedany_cukier]])</f>
        <v>6</v>
      </c>
      <c r="E903" cm="1">
        <f t="array" ref="E9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03">
        <f>cukier10[[#This Row],[sprzedany_cukier]]*cukier10[[#This Row],[rabat]]</f>
        <v>0</v>
      </c>
    </row>
    <row r="904" spans="1:6" x14ac:dyDescent="0.25">
      <c r="A904" s="1">
        <v>38357</v>
      </c>
      <c r="B904" t="s">
        <v>2</v>
      </c>
      <c r="C904">
        <v>2</v>
      </c>
      <c r="D904">
        <f>IF(cukier10[[#This Row],[nip_klienta]]=B903,D903+cukier10[[#This Row],[sprzedany_cukier]],cukier10[[#This Row],[sprzedany_cukier]])</f>
        <v>2</v>
      </c>
      <c r="E904" cm="1">
        <f t="array" ref="E9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04">
        <f>cukier10[[#This Row],[sprzedany_cukier]]*cukier10[[#This Row],[rabat]]</f>
        <v>0</v>
      </c>
    </row>
    <row r="905" spans="1:6" x14ac:dyDescent="0.25">
      <c r="A905" s="1">
        <v>41239</v>
      </c>
      <c r="B905" t="s">
        <v>2</v>
      </c>
      <c r="C905">
        <v>12</v>
      </c>
      <c r="D905">
        <f>IF(cukier10[[#This Row],[nip_klienta]]=B904,D904+cukier10[[#This Row],[sprzedany_cukier]],cukier10[[#This Row],[sprzedany_cukier]])</f>
        <v>14</v>
      </c>
      <c r="E905" cm="1">
        <f t="array" ref="E9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05">
        <f>cukier10[[#This Row],[sprzedany_cukier]]*cukier10[[#This Row],[rabat]]</f>
        <v>0</v>
      </c>
    </row>
    <row r="906" spans="1:6" x14ac:dyDescent="0.25">
      <c r="A906" s="1">
        <v>38414</v>
      </c>
      <c r="B906" t="s">
        <v>25</v>
      </c>
      <c r="C906">
        <v>102</v>
      </c>
      <c r="D906">
        <f>IF(cukier10[[#This Row],[nip_klienta]]=B905,D905+cukier10[[#This Row],[sprzedany_cukier]],cukier10[[#This Row],[sprzedany_cukier]])</f>
        <v>102</v>
      </c>
      <c r="E906" cm="1">
        <f t="array" ref="E9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906">
        <f>cukier10[[#This Row],[sprzedany_cukier]]*cukier10[[#This Row],[rabat]]</f>
        <v>5.1000000000000005</v>
      </c>
    </row>
    <row r="907" spans="1:6" x14ac:dyDescent="0.25">
      <c r="A907" s="1">
        <v>38452</v>
      </c>
      <c r="B907" t="s">
        <v>25</v>
      </c>
      <c r="C907">
        <v>194</v>
      </c>
      <c r="D907">
        <f>IF(cukier10[[#This Row],[nip_klienta]]=B906,D906+cukier10[[#This Row],[sprzedany_cukier]],cukier10[[#This Row],[sprzedany_cukier]])</f>
        <v>296</v>
      </c>
      <c r="E907" cm="1">
        <f t="array" ref="E9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907">
        <f>cukier10[[#This Row],[sprzedany_cukier]]*cukier10[[#This Row],[rabat]]</f>
        <v>9.7000000000000011</v>
      </c>
    </row>
    <row r="908" spans="1:6" x14ac:dyDescent="0.25">
      <c r="A908" s="1">
        <v>38845</v>
      </c>
      <c r="B908" t="s">
        <v>25</v>
      </c>
      <c r="C908">
        <v>41</v>
      </c>
      <c r="D908">
        <f>IF(cukier10[[#This Row],[nip_klienta]]=B907,D907+cukier10[[#This Row],[sprzedany_cukier]],cukier10[[#This Row],[sprzedany_cukier]])</f>
        <v>337</v>
      </c>
      <c r="E908" cm="1">
        <f t="array" ref="E9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908">
        <f>cukier10[[#This Row],[sprzedany_cukier]]*cukier10[[#This Row],[rabat]]</f>
        <v>2.0500000000000003</v>
      </c>
    </row>
    <row r="909" spans="1:6" x14ac:dyDescent="0.25">
      <c r="A909" s="1">
        <v>38924</v>
      </c>
      <c r="B909" t="s">
        <v>25</v>
      </c>
      <c r="C909">
        <v>157</v>
      </c>
      <c r="D909">
        <f>IF(cukier10[[#This Row],[nip_klienta]]=B908,D908+cukier10[[#This Row],[sprzedany_cukier]],cukier10[[#This Row],[sprzedany_cukier]])</f>
        <v>494</v>
      </c>
      <c r="E909" cm="1">
        <f t="array" ref="E9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909">
        <f>cukier10[[#This Row],[sprzedany_cukier]]*cukier10[[#This Row],[rabat]]</f>
        <v>7.8500000000000005</v>
      </c>
    </row>
    <row r="910" spans="1:6" x14ac:dyDescent="0.25">
      <c r="A910" s="1">
        <v>39154</v>
      </c>
      <c r="B910" t="s">
        <v>25</v>
      </c>
      <c r="C910">
        <v>54</v>
      </c>
      <c r="D910">
        <f>IF(cukier10[[#This Row],[nip_klienta]]=B909,D909+cukier10[[#This Row],[sprzedany_cukier]],cukier10[[#This Row],[sprzedany_cukier]])</f>
        <v>548</v>
      </c>
      <c r="E910" cm="1">
        <f t="array" ref="E9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910">
        <f>cukier10[[#This Row],[sprzedany_cukier]]*cukier10[[#This Row],[rabat]]</f>
        <v>2.7</v>
      </c>
    </row>
    <row r="911" spans="1:6" x14ac:dyDescent="0.25">
      <c r="A911" s="1">
        <v>39277</v>
      </c>
      <c r="B911" t="s">
        <v>25</v>
      </c>
      <c r="C911">
        <v>113</v>
      </c>
      <c r="D911">
        <f>IF(cukier10[[#This Row],[nip_klienta]]=B910,D910+cukier10[[#This Row],[sprzedany_cukier]],cukier10[[#This Row],[sprzedany_cukier]])</f>
        <v>661</v>
      </c>
      <c r="E911" cm="1">
        <f t="array" ref="E9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911">
        <f>cukier10[[#This Row],[sprzedany_cukier]]*cukier10[[#This Row],[rabat]]</f>
        <v>5.65</v>
      </c>
    </row>
    <row r="912" spans="1:6" x14ac:dyDescent="0.25">
      <c r="A912" s="1">
        <v>39647</v>
      </c>
      <c r="B912" t="s">
        <v>25</v>
      </c>
      <c r="C912">
        <v>194</v>
      </c>
      <c r="D912">
        <f>IF(cukier10[[#This Row],[nip_klienta]]=B911,D911+cukier10[[#This Row],[sprzedany_cukier]],cukier10[[#This Row],[sprzedany_cukier]])</f>
        <v>855</v>
      </c>
      <c r="E912" cm="1">
        <f t="array" ref="E9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912">
        <f>cukier10[[#This Row],[sprzedany_cukier]]*cukier10[[#This Row],[rabat]]</f>
        <v>9.7000000000000011</v>
      </c>
    </row>
    <row r="913" spans="1:6" x14ac:dyDescent="0.25">
      <c r="A913" s="1">
        <v>39835</v>
      </c>
      <c r="B913" t="s">
        <v>25</v>
      </c>
      <c r="C913">
        <v>161</v>
      </c>
      <c r="D913">
        <f>IF(cukier10[[#This Row],[nip_klienta]]=B912,D912+cukier10[[#This Row],[sprzedany_cukier]],cukier10[[#This Row],[sprzedany_cukier]])</f>
        <v>1016</v>
      </c>
      <c r="E913" cm="1">
        <f t="array" ref="E9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13">
        <f>cukier10[[#This Row],[sprzedany_cukier]]*cukier10[[#This Row],[rabat]]</f>
        <v>16.100000000000001</v>
      </c>
    </row>
    <row r="914" spans="1:6" x14ac:dyDescent="0.25">
      <c r="A914" s="1">
        <v>40024</v>
      </c>
      <c r="B914" t="s">
        <v>25</v>
      </c>
      <c r="C914">
        <v>66</v>
      </c>
      <c r="D914">
        <f>IF(cukier10[[#This Row],[nip_klienta]]=B913,D913+cukier10[[#This Row],[sprzedany_cukier]],cukier10[[#This Row],[sprzedany_cukier]])</f>
        <v>1082</v>
      </c>
      <c r="E914" cm="1">
        <f t="array" ref="E9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14">
        <f>cukier10[[#This Row],[sprzedany_cukier]]*cukier10[[#This Row],[rabat]]</f>
        <v>6.6000000000000005</v>
      </c>
    </row>
    <row r="915" spans="1:6" x14ac:dyDescent="0.25">
      <c r="A915" s="1">
        <v>40207</v>
      </c>
      <c r="B915" t="s">
        <v>25</v>
      </c>
      <c r="C915">
        <v>59</v>
      </c>
      <c r="D915">
        <f>IF(cukier10[[#This Row],[nip_klienta]]=B914,D914+cukier10[[#This Row],[sprzedany_cukier]],cukier10[[#This Row],[sprzedany_cukier]])</f>
        <v>1141</v>
      </c>
      <c r="E915" cm="1">
        <f t="array" ref="E9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15">
        <f>cukier10[[#This Row],[sprzedany_cukier]]*cukier10[[#This Row],[rabat]]</f>
        <v>5.9</v>
      </c>
    </row>
    <row r="916" spans="1:6" x14ac:dyDescent="0.25">
      <c r="A916" s="1">
        <v>40236</v>
      </c>
      <c r="B916" t="s">
        <v>25</v>
      </c>
      <c r="C916">
        <v>39</v>
      </c>
      <c r="D916">
        <f>IF(cukier10[[#This Row],[nip_klienta]]=B915,D915+cukier10[[#This Row],[sprzedany_cukier]],cukier10[[#This Row],[sprzedany_cukier]])</f>
        <v>1180</v>
      </c>
      <c r="E916" cm="1">
        <f t="array" ref="E9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16">
        <f>cukier10[[#This Row],[sprzedany_cukier]]*cukier10[[#This Row],[rabat]]</f>
        <v>3.9000000000000004</v>
      </c>
    </row>
    <row r="917" spans="1:6" x14ac:dyDescent="0.25">
      <c r="A917" s="1">
        <v>40256</v>
      </c>
      <c r="B917" t="s">
        <v>25</v>
      </c>
      <c r="C917">
        <v>159</v>
      </c>
      <c r="D917">
        <f>IF(cukier10[[#This Row],[nip_klienta]]=B916,D916+cukier10[[#This Row],[sprzedany_cukier]],cukier10[[#This Row],[sprzedany_cukier]])</f>
        <v>1339</v>
      </c>
      <c r="E917" cm="1">
        <f t="array" ref="E9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17">
        <f>cukier10[[#This Row],[sprzedany_cukier]]*cukier10[[#This Row],[rabat]]</f>
        <v>15.9</v>
      </c>
    </row>
    <row r="918" spans="1:6" x14ac:dyDescent="0.25">
      <c r="A918" s="1">
        <v>40468</v>
      </c>
      <c r="B918" t="s">
        <v>25</v>
      </c>
      <c r="C918">
        <v>44</v>
      </c>
      <c r="D918">
        <f>IF(cukier10[[#This Row],[nip_klienta]]=B917,D917+cukier10[[#This Row],[sprzedany_cukier]],cukier10[[#This Row],[sprzedany_cukier]])</f>
        <v>1383</v>
      </c>
      <c r="E918" cm="1">
        <f t="array" ref="E9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18">
        <f>cukier10[[#This Row],[sprzedany_cukier]]*cukier10[[#This Row],[rabat]]</f>
        <v>4.4000000000000004</v>
      </c>
    </row>
    <row r="919" spans="1:6" x14ac:dyDescent="0.25">
      <c r="A919" s="1">
        <v>40483</v>
      </c>
      <c r="B919" t="s">
        <v>25</v>
      </c>
      <c r="C919">
        <v>20</v>
      </c>
      <c r="D919">
        <f>IF(cukier10[[#This Row],[nip_klienta]]=B918,D918+cukier10[[#This Row],[sprzedany_cukier]],cukier10[[#This Row],[sprzedany_cukier]])</f>
        <v>1403</v>
      </c>
      <c r="E919" cm="1">
        <f t="array" ref="E9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19">
        <f>cukier10[[#This Row],[sprzedany_cukier]]*cukier10[[#This Row],[rabat]]</f>
        <v>2</v>
      </c>
    </row>
    <row r="920" spans="1:6" x14ac:dyDescent="0.25">
      <c r="A920" s="1">
        <v>40708</v>
      </c>
      <c r="B920" t="s">
        <v>25</v>
      </c>
      <c r="C920">
        <v>143</v>
      </c>
      <c r="D920">
        <f>IF(cukier10[[#This Row],[nip_klienta]]=B919,D919+cukier10[[#This Row],[sprzedany_cukier]],cukier10[[#This Row],[sprzedany_cukier]])</f>
        <v>1546</v>
      </c>
      <c r="E920" cm="1">
        <f t="array" ref="E9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20">
        <f>cukier10[[#This Row],[sprzedany_cukier]]*cukier10[[#This Row],[rabat]]</f>
        <v>14.3</v>
      </c>
    </row>
    <row r="921" spans="1:6" x14ac:dyDescent="0.25">
      <c r="A921" s="1">
        <v>40826</v>
      </c>
      <c r="B921" t="s">
        <v>25</v>
      </c>
      <c r="C921">
        <v>73</v>
      </c>
      <c r="D921">
        <f>IF(cukier10[[#This Row],[nip_klienta]]=B920,D920+cukier10[[#This Row],[sprzedany_cukier]],cukier10[[#This Row],[sprzedany_cukier]])</f>
        <v>1619</v>
      </c>
      <c r="E921" cm="1">
        <f t="array" ref="E9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21">
        <f>cukier10[[#This Row],[sprzedany_cukier]]*cukier10[[#This Row],[rabat]]</f>
        <v>7.3000000000000007</v>
      </c>
    </row>
    <row r="922" spans="1:6" x14ac:dyDescent="0.25">
      <c r="A922" s="1">
        <v>40847</v>
      </c>
      <c r="B922" t="s">
        <v>25</v>
      </c>
      <c r="C922">
        <v>134</v>
      </c>
      <c r="D922">
        <f>IF(cukier10[[#This Row],[nip_klienta]]=B921,D921+cukier10[[#This Row],[sprzedany_cukier]],cukier10[[#This Row],[sprzedany_cukier]])</f>
        <v>1753</v>
      </c>
      <c r="E922" cm="1">
        <f t="array" ref="E9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22">
        <f>cukier10[[#This Row],[sprzedany_cukier]]*cukier10[[#This Row],[rabat]]</f>
        <v>13.4</v>
      </c>
    </row>
    <row r="923" spans="1:6" x14ac:dyDescent="0.25">
      <c r="A923" s="1">
        <v>40881</v>
      </c>
      <c r="B923" t="s">
        <v>25</v>
      </c>
      <c r="C923">
        <v>146</v>
      </c>
      <c r="D923">
        <f>IF(cukier10[[#This Row],[nip_klienta]]=B922,D922+cukier10[[#This Row],[sprzedany_cukier]],cukier10[[#This Row],[sprzedany_cukier]])</f>
        <v>1899</v>
      </c>
      <c r="E923" cm="1">
        <f t="array" ref="E9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23">
        <f>cukier10[[#This Row],[sprzedany_cukier]]*cukier10[[#This Row],[rabat]]</f>
        <v>14.600000000000001</v>
      </c>
    </row>
    <row r="924" spans="1:6" x14ac:dyDescent="0.25">
      <c r="A924" s="1">
        <v>40936</v>
      </c>
      <c r="B924" t="s">
        <v>25</v>
      </c>
      <c r="C924">
        <v>121</v>
      </c>
      <c r="D924">
        <f>IF(cukier10[[#This Row],[nip_klienta]]=B923,D923+cukier10[[#This Row],[sprzedany_cukier]],cukier10[[#This Row],[sprzedany_cukier]])</f>
        <v>2020</v>
      </c>
      <c r="E924" cm="1">
        <f t="array" ref="E9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24">
        <f>cukier10[[#This Row],[sprzedany_cukier]]*cukier10[[#This Row],[rabat]]</f>
        <v>12.100000000000001</v>
      </c>
    </row>
    <row r="925" spans="1:6" x14ac:dyDescent="0.25">
      <c r="A925" s="1">
        <v>40945</v>
      </c>
      <c r="B925" t="s">
        <v>25</v>
      </c>
      <c r="C925">
        <v>104</v>
      </c>
      <c r="D925">
        <f>IF(cukier10[[#This Row],[nip_klienta]]=B924,D924+cukier10[[#This Row],[sprzedany_cukier]],cukier10[[#This Row],[sprzedany_cukier]])</f>
        <v>2124</v>
      </c>
      <c r="E925" cm="1">
        <f t="array" ref="E9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25">
        <f>cukier10[[#This Row],[sprzedany_cukier]]*cukier10[[#This Row],[rabat]]</f>
        <v>10.4</v>
      </c>
    </row>
    <row r="926" spans="1:6" x14ac:dyDescent="0.25">
      <c r="A926" s="1">
        <v>41373</v>
      </c>
      <c r="B926" t="s">
        <v>25</v>
      </c>
      <c r="C926">
        <v>81</v>
      </c>
      <c r="D926">
        <f>IF(cukier10[[#This Row],[nip_klienta]]=B925,D925+cukier10[[#This Row],[sprzedany_cukier]],cukier10[[#This Row],[sprzedany_cukier]])</f>
        <v>2205</v>
      </c>
      <c r="E926" cm="1">
        <f t="array" ref="E9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26">
        <f>cukier10[[#This Row],[sprzedany_cukier]]*cukier10[[#This Row],[rabat]]</f>
        <v>8.1</v>
      </c>
    </row>
    <row r="927" spans="1:6" x14ac:dyDescent="0.25">
      <c r="A927" s="1">
        <v>41503</v>
      </c>
      <c r="B927" t="s">
        <v>25</v>
      </c>
      <c r="C927">
        <v>40</v>
      </c>
      <c r="D927">
        <f>IF(cukier10[[#This Row],[nip_klienta]]=B926,D926+cukier10[[#This Row],[sprzedany_cukier]],cukier10[[#This Row],[sprzedany_cukier]])</f>
        <v>2245</v>
      </c>
      <c r="E927" cm="1">
        <f t="array" ref="E9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27">
        <f>cukier10[[#This Row],[sprzedany_cukier]]*cukier10[[#This Row],[rabat]]</f>
        <v>4</v>
      </c>
    </row>
    <row r="928" spans="1:6" x14ac:dyDescent="0.25">
      <c r="A928" s="1">
        <v>41572</v>
      </c>
      <c r="B928" t="s">
        <v>25</v>
      </c>
      <c r="C928">
        <v>51</v>
      </c>
      <c r="D928">
        <f>IF(cukier10[[#This Row],[nip_klienta]]=B927,D927+cukier10[[#This Row],[sprzedany_cukier]],cukier10[[#This Row],[sprzedany_cukier]])</f>
        <v>2296</v>
      </c>
      <c r="E928" cm="1">
        <f t="array" ref="E9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28">
        <f>cukier10[[#This Row],[sprzedany_cukier]]*cukier10[[#This Row],[rabat]]</f>
        <v>5.1000000000000005</v>
      </c>
    </row>
    <row r="929" spans="1:6" x14ac:dyDescent="0.25">
      <c r="A929" s="1">
        <v>41686</v>
      </c>
      <c r="B929" t="s">
        <v>25</v>
      </c>
      <c r="C929">
        <v>187</v>
      </c>
      <c r="D929">
        <f>IF(cukier10[[#This Row],[nip_klienta]]=B928,D928+cukier10[[#This Row],[sprzedany_cukier]],cukier10[[#This Row],[sprzedany_cukier]])</f>
        <v>2483</v>
      </c>
      <c r="E929" cm="1">
        <f t="array" ref="E9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29">
        <f>cukier10[[#This Row],[sprzedany_cukier]]*cukier10[[#This Row],[rabat]]</f>
        <v>18.7</v>
      </c>
    </row>
    <row r="930" spans="1:6" x14ac:dyDescent="0.25">
      <c r="A930" s="1">
        <v>41921</v>
      </c>
      <c r="B930" t="s">
        <v>25</v>
      </c>
      <c r="C930">
        <v>37</v>
      </c>
      <c r="D930">
        <f>IF(cukier10[[#This Row],[nip_klienta]]=B929,D929+cukier10[[#This Row],[sprzedany_cukier]],cukier10[[#This Row],[sprzedany_cukier]])</f>
        <v>2520</v>
      </c>
      <c r="E930" cm="1">
        <f t="array" ref="E9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30">
        <f>cukier10[[#This Row],[sprzedany_cukier]]*cukier10[[#This Row],[rabat]]</f>
        <v>3.7</v>
      </c>
    </row>
    <row r="931" spans="1:6" x14ac:dyDescent="0.25">
      <c r="A931" s="1">
        <v>41977</v>
      </c>
      <c r="B931" t="s">
        <v>25</v>
      </c>
      <c r="C931">
        <v>197</v>
      </c>
      <c r="D931">
        <f>IF(cukier10[[#This Row],[nip_klienta]]=B930,D930+cukier10[[#This Row],[sprzedany_cukier]],cukier10[[#This Row],[sprzedany_cukier]])</f>
        <v>2717</v>
      </c>
      <c r="E931" cm="1">
        <f t="array" ref="E9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31">
        <f>cukier10[[#This Row],[sprzedany_cukier]]*cukier10[[#This Row],[rabat]]</f>
        <v>19.700000000000003</v>
      </c>
    </row>
    <row r="932" spans="1:6" x14ac:dyDescent="0.25">
      <c r="A932" s="1">
        <v>38397</v>
      </c>
      <c r="B932" t="s">
        <v>17</v>
      </c>
      <c r="C932">
        <v>321</v>
      </c>
      <c r="D932">
        <f>IF(cukier10[[#This Row],[nip_klienta]]=B931,D931+cukier10[[#This Row],[sprzedany_cukier]],cukier10[[#This Row],[sprzedany_cukier]])</f>
        <v>321</v>
      </c>
      <c r="E932" cm="1">
        <f t="array" ref="E9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932">
        <f>cukier10[[#This Row],[sprzedany_cukier]]*cukier10[[#This Row],[rabat]]</f>
        <v>16.05</v>
      </c>
    </row>
    <row r="933" spans="1:6" x14ac:dyDescent="0.25">
      <c r="A933" s="1">
        <v>38460</v>
      </c>
      <c r="B933" t="s">
        <v>17</v>
      </c>
      <c r="C933">
        <v>492</v>
      </c>
      <c r="D933">
        <f>IF(cukier10[[#This Row],[nip_klienta]]=B932,D932+cukier10[[#This Row],[sprzedany_cukier]],cukier10[[#This Row],[sprzedany_cukier]])</f>
        <v>813</v>
      </c>
      <c r="E933" cm="1">
        <f t="array" ref="E9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933">
        <f>cukier10[[#This Row],[sprzedany_cukier]]*cukier10[[#This Row],[rabat]]</f>
        <v>24.6</v>
      </c>
    </row>
    <row r="934" spans="1:6" x14ac:dyDescent="0.25">
      <c r="A934" s="1">
        <v>38472</v>
      </c>
      <c r="B934" t="s">
        <v>17</v>
      </c>
      <c r="C934">
        <v>201</v>
      </c>
      <c r="D934">
        <f>IF(cukier10[[#This Row],[nip_klienta]]=B933,D933+cukier10[[#This Row],[sprzedany_cukier]],cukier10[[#This Row],[sprzedany_cukier]])</f>
        <v>1014</v>
      </c>
      <c r="E934" cm="1">
        <f t="array" ref="E9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34">
        <f>cukier10[[#This Row],[sprzedany_cukier]]*cukier10[[#This Row],[rabat]]</f>
        <v>20.100000000000001</v>
      </c>
    </row>
    <row r="935" spans="1:6" x14ac:dyDescent="0.25">
      <c r="A935" s="1">
        <v>38716</v>
      </c>
      <c r="B935" t="s">
        <v>17</v>
      </c>
      <c r="C935">
        <v>367</v>
      </c>
      <c r="D935">
        <f>IF(cukier10[[#This Row],[nip_klienta]]=B934,D934+cukier10[[#This Row],[sprzedany_cukier]],cukier10[[#This Row],[sprzedany_cukier]])</f>
        <v>1381</v>
      </c>
      <c r="E935" cm="1">
        <f t="array" ref="E9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35">
        <f>cukier10[[#This Row],[sprzedany_cukier]]*cukier10[[#This Row],[rabat]]</f>
        <v>36.700000000000003</v>
      </c>
    </row>
    <row r="936" spans="1:6" x14ac:dyDescent="0.25">
      <c r="A936" s="1">
        <v>38741</v>
      </c>
      <c r="B936" t="s">
        <v>17</v>
      </c>
      <c r="C936">
        <v>195</v>
      </c>
      <c r="D936">
        <f>IF(cukier10[[#This Row],[nip_klienta]]=B935,D935+cukier10[[#This Row],[sprzedany_cukier]],cukier10[[#This Row],[sprzedany_cukier]])</f>
        <v>1576</v>
      </c>
      <c r="E936" cm="1">
        <f t="array" ref="E9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36">
        <f>cukier10[[#This Row],[sprzedany_cukier]]*cukier10[[#This Row],[rabat]]</f>
        <v>19.5</v>
      </c>
    </row>
    <row r="937" spans="1:6" x14ac:dyDescent="0.25">
      <c r="A937" s="1">
        <v>38751</v>
      </c>
      <c r="B937" t="s">
        <v>17</v>
      </c>
      <c r="C937">
        <v>369</v>
      </c>
      <c r="D937">
        <f>IF(cukier10[[#This Row],[nip_klienta]]=B936,D936+cukier10[[#This Row],[sprzedany_cukier]],cukier10[[#This Row],[sprzedany_cukier]])</f>
        <v>1945</v>
      </c>
      <c r="E937" cm="1">
        <f t="array" ref="E9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37">
        <f>cukier10[[#This Row],[sprzedany_cukier]]*cukier10[[#This Row],[rabat]]</f>
        <v>36.9</v>
      </c>
    </row>
    <row r="938" spans="1:6" x14ac:dyDescent="0.25">
      <c r="A938" s="1">
        <v>38757</v>
      </c>
      <c r="B938" t="s">
        <v>17</v>
      </c>
      <c r="C938">
        <v>464</v>
      </c>
      <c r="D938">
        <f>IF(cukier10[[#This Row],[nip_klienta]]=B937,D937+cukier10[[#This Row],[sprzedany_cukier]],cukier10[[#This Row],[sprzedany_cukier]])</f>
        <v>2409</v>
      </c>
      <c r="E938" cm="1">
        <f t="array" ref="E9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38">
        <f>cukier10[[#This Row],[sprzedany_cukier]]*cukier10[[#This Row],[rabat]]</f>
        <v>46.400000000000006</v>
      </c>
    </row>
    <row r="939" spans="1:6" x14ac:dyDescent="0.25">
      <c r="A939" s="1">
        <v>38826</v>
      </c>
      <c r="B939" t="s">
        <v>17</v>
      </c>
      <c r="C939">
        <v>110</v>
      </c>
      <c r="D939">
        <f>IF(cukier10[[#This Row],[nip_klienta]]=B938,D938+cukier10[[#This Row],[sprzedany_cukier]],cukier10[[#This Row],[sprzedany_cukier]])</f>
        <v>2519</v>
      </c>
      <c r="E939" cm="1">
        <f t="array" ref="E9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39">
        <f>cukier10[[#This Row],[sprzedany_cukier]]*cukier10[[#This Row],[rabat]]</f>
        <v>11</v>
      </c>
    </row>
    <row r="940" spans="1:6" x14ac:dyDescent="0.25">
      <c r="A940" s="1">
        <v>38865</v>
      </c>
      <c r="B940" t="s">
        <v>17</v>
      </c>
      <c r="C940">
        <v>460</v>
      </c>
      <c r="D940">
        <f>IF(cukier10[[#This Row],[nip_klienta]]=B939,D939+cukier10[[#This Row],[sprzedany_cukier]],cukier10[[#This Row],[sprzedany_cukier]])</f>
        <v>2979</v>
      </c>
      <c r="E940" cm="1">
        <f t="array" ref="E9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40">
        <f>cukier10[[#This Row],[sprzedany_cukier]]*cukier10[[#This Row],[rabat]]</f>
        <v>46</v>
      </c>
    </row>
    <row r="941" spans="1:6" x14ac:dyDescent="0.25">
      <c r="A941" s="1">
        <v>38923</v>
      </c>
      <c r="B941" t="s">
        <v>17</v>
      </c>
      <c r="C941">
        <v>296</v>
      </c>
      <c r="D941">
        <f>IF(cukier10[[#This Row],[nip_klienta]]=B940,D940+cukier10[[#This Row],[sprzedany_cukier]],cukier10[[#This Row],[sprzedany_cukier]])</f>
        <v>3275</v>
      </c>
      <c r="E941" cm="1">
        <f t="array" ref="E9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41">
        <f>cukier10[[#This Row],[sprzedany_cukier]]*cukier10[[#This Row],[rabat]]</f>
        <v>29.6</v>
      </c>
    </row>
    <row r="942" spans="1:6" x14ac:dyDescent="0.25">
      <c r="A942" s="1">
        <v>38998</v>
      </c>
      <c r="B942" t="s">
        <v>17</v>
      </c>
      <c r="C942">
        <v>283</v>
      </c>
      <c r="D942">
        <f>IF(cukier10[[#This Row],[nip_klienta]]=B941,D941+cukier10[[#This Row],[sprzedany_cukier]],cukier10[[#This Row],[sprzedany_cukier]])</f>
        <v>3558</v>
      </c>
      <c r="E942" cm="1">
        <f t="array" ref="E9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42">
        <f>cukier10[[#This Row],[sprzedany_cukier]]*cukier10[[#This Row],[rabat]]</f>
        <v>28.3</v>
      </c>
    </row>
    <row r="943" spans="1:6" x14ac:dyDescent="0.25">
      <c r="A943" s="1">
        <v>39009</v>
      </c>
      <c r="B943" t="s">
        <v>17</v>
      </c>
      <c r="C943">
        <v>115</v>
      </c>
      <c r="D943">
        <f>IF(cukier10[[#This Row],[nip_klienta]]=B942,D942+cukier10[[#This Row],[sprzedany_cukier]],cukier10[[#This Row],[sprzedany_cukier]])</f>
        <v>3673</v>
      </c>
      <c r="E943" cm="1">
        <f t="array" ref="E9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43">
        <f>cukier10[[#This Row],[sprzedany_cukier]]*cukier10[[#This Row],[rabat]]</f>
        <v>11.5</v>
      </c>
    </row>
    <row r="944" spans="1:6" x14ac:dyDescent="0.25">
      <c r="A944" s="1">
        <v>39019</v>
      </c>
      <c r="B944" t="s">
        <v>17</v>
      </c>
      <c r="C944">
        <v>465</v>
      </c>
      <c r="D944">
        <f>IF(cukier10[[#This Row],[nip_klienta]]=B943,D943+cukier10[[#This Row],[sprzedany_cukier]],cukier10[[#This Row],[sprzedany_cukier]])</f>
        <v>4138</v>
      </c>
      <c r="E944" cm="1">
        <f t="array" ref="E9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44">
        <f>cukier10[[#This Row],[sprzedany_cukier]]*cukier10[[#This Row],[rabat]]</f>
        <v>46.5</v>
      </c>
    </row>
    <row r="945" spans="1:6" x14ac:dyDescent="0.25">
      <c r="A945" s="1">
        <v>39081</v>
      </c>
      <c r="B945" t="s">
        <v>17</v>
      </c>
      <c r="C945">
        <v>458</v>
      </c>
      <c r="D945">
        <f>IF(cukier10[[#This Row],[nip_klienta]]=B944,D944+cukier10[[#This Row],[sprzedany_cukier]],cukier10[[#This Row],[sprzedany_cukier]])</f>
        <v>4596</v>
      </c>
      <c r="E945" cm="1">
        <f t="array" ref="E9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45">
        <f>cukier10[[#This Row],[sprzedany_cukier]]*cukier10[[#This Row],[rabat]]</f>
        <v>45.800000000000004</v>
      </c>
    </row>
    <row r="946" spans="1:6" x14ac:dyDescent="0.25">
      <c r="A946" s="1">
        <v>39092</v>
      </c>
      <c r="B946" t="s">
        <v>17</v>
      </c>
      <c r="C946">
        <v>459</v>
      </c>
      <c r="D946">
        <f>IF(cukier10[[#This Row],[nip_klienta]]=B945,D945+cukier10[[#This Row],[sprzedany_cukier]],cukier10[[#This Row],[sprzedany_cukier]])</f>
        <v>5055</v>
      </c>
      <c r="E946" cm="1">
        <f t="array" ref="E9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46">
        <f>cukier10[[#This Row],[sprzedany_cukier]]*cukier10[[#This Row],[rabat]]</f>
        <v>45.900000000000006</v>
      </c>
    </row>
    <row r="947" spans="1:6" x14ac:dyDescent="0.25">
      <c r="A947" s="1">
        <v>39109</v>
      </c>
      <c r="B947" t="s">
        <v>17</v>
      </c>
      <c r="C947">
        <v>114</v>
      </c>
      <c r="D947">
        <f>IF(cukier10[[#This Row],[nip_klienta]]=B946,D946+cukier10[[#This Row],[sprzedany_cukier]],cukier10[[#This Row],[sprzedany_cukier]])</f>
        <v>5169</v>
      </c>
      <c r="E947" cm="1">
        <f t="array" ref="E9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47">
        <f>cukier10[[#This Row],[sprzedany_cukier]]*cukier10[[#This Row],[rabat]]</f>
        <v>11.4</v>
      </c>
    </row>
    <row r="948" spans="1:6" x14ac:dyDescent="0.25">
      <c r="A948" s="1">
        <v>39140</v>
      </c>
      <c r="B948" t="s">
        <v>17</v>
      </c>
      <c r="C948">
        <v>258</v>
      </c>
      <c r="D948">
        <f>IF(cukier10[[#This Row],[nip_klienta]]=B947,D947+cukier10[[#This Row],[sprzedany_cukier]],cukier10[[#This Row],[sprzedany_cukier]])</f>
        <v>5427</v>
      </c>
      <c r="E948" cm="1">
        <f t="array" ref="E9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48">
        <f>cukier10[[#This Row],[sprzedany_cukier]]*cukier10[[#This Row],[rabat]]</f>
        <v>25.8</v>
      </c>
    </row>
    <row r="949" spans="1:6" x14ac:dyDescent="0.25">
      <c r="A949" s="1">
        <v>39188</v>
      </c>
      <c r="B949" t="s">
        <v>17</v>
      </c>
      <c r="C949">
        <v>268</v>
      </c>
      <c r="D949">
        <f>IF(cukier10[[#This Row],[nip_klienta]]=B948,D948+cukier10[[#This Row],[sprzedany_cukier]],cukier10[[#This Row],[sprzedany_cukier]])</f>
        <v>5695</v>
      </c>
      <c r="E949" cm="1">
        <f t="array" ref="E9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49">
        <f>cukier10[[#This Row],[sprzedany_cukier]]*cukier10[[#This Row],[rabat]]</f>
        <v>26.8</v>
      </c>
    </row>
    <row r="950" spans="1:6" x14ac:dyDescent="0.25">
      <c r="A950" s="1">
        <v>39231</v>
      </c>
      <c r="B950" t="s">
        <v>17</v>
      </c>
      <c r="C950">
        <v>140</v>
      </c>
      <c r="D950">
        <f>IF(cukier10[[#This Row],[nip_klienta]]=B949,D949+cukier10[[#This Row],[sprzedany_cukier]],cukier10[[#This Row],[sprzedany_cukier]])</f>
        <v>5835</v>
      </c>
      <c r="E950" cm="1">
        <f t="array" ref="E9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50">
        <f>cukier10[[#This Row],[sprzedany_cukier]]*cukier10[[#This Row],[rabat]]</f>
        <v>14</v>
      </c>
    </row>
    <row r="951" spans="1:6" x14ac:dyDescent="0.25">
      <c r="A951" s="1">
        <v>39247</v>
      </c>
      <c r="B951" t="s">
        <v>17</v>
      </c>
      <c r="C951">
        <v>121</v>
      </c>
      <c r="D951">
        <f>IF(cukier10[[#This Row],[nip_klienta]]=B950,D950+cukier10[[#This Row],[sprzedany_cukier]],cukier10[[#This Row],[sprzedany_cukier]])</f>
        <v>5956</v>
      </c>
      <c r="E951" cm="1">
        <f t="array" ref="E9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51">
        <f>cukier10[[#This Row],[sprzedany_cukier]]*cukier10[[#This Row],[rabat]]</f>
        <v>12.100000000000001</v>
      </c>
    </row>
    <row r="952" spans="1:6" x14ac:dyDescent="0.25">
      <c r="A952" s="1">
        <v>39375</v>
      </c>
      <c r="B952" t="s">
        <v>17</v>
      </c>
      <c r="C952">
        <v>405</v>
      </c>
      <c r="D952">
        <f>IF(cukier10[[#This Row],[nip_klienta]]=B951,D951+cukier10[[#This Row],[sprzedany_cukier]],cukier10[[#This Row],[sprzedany_cukier]])</f>
        <v>6361</v>
      </c>
      <c r="E952" cm="1">
        <f t="array" ref="E9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52">
        <f>cukier10[[#This Row],[sprzedany_cukier]]*cukier10[[#This Row],[rabat]]</f>
        <v>40.5</v>
      </c>
    </row>
    <row r="953" spans="1:6" x14ac:dyDescent="0.25">
      <c r="A953" s="1">
        <v>39385</v>
      </c>
      <c r="B953" t="s">
        <v>17</v>
      </c>
      <c r="C953">
        <v>480</v>
      </c>
      <c r="D953">
        <f>IF(cukier10[[#This Row],[nip_klienta]]=B952,D952+cukier10[[#This Row],[sprzedany_cukier]],cukier10[[#This Row],[sprzedany_cukier]])</f>
        <v>6841</v>
      </c>
      <c r="E953" cm="1">
        <f t="array" ref="E9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53">
        <f>cukier10[[#This Row],[sprzedany_cukier]]*cukier10[[#This Row],[rabat]]</f>
        <v>48</v>
      </c>
    </row>
    <row r="954" spans="1:6" x14ac:dyDescent="0.25">
      <c r="A954" s="1">
        <v>39564</v>
      </c>
      <c r="B954" t="s">
        <v>17</v>
      </c>
      <c r="C954">
        <v>304</v>
      </c>
      <c r="D954">
        <f>IF(cukier10[[#This Row],[nip_klienta]]=B953,D953+cukier10[[#This Row],[sprzedany_cukier]],cukier10[[#This Row],[sprzedany_cukier]])</f>
        <v>7145</v>
      </c>
      <c r="E954" cm="1">
        <f t="array" ref="E9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54">
        <f>cukier10[[#This Row],[sprzedany_cukier]]*cukier10[[#This Row],[rabat]]</f>
        <v>30.400000000000002</v>
      </c>
    </row>
    <row r="955" spans="1:6" x14ac:dyDescent="0.25">
      <c r="A955" s="1">
        <v>39582</v>
      </c>
      <c r="B955" t="s">
        <v>17</v>
      </c>
      <c r="C955">
        <v>245</v>
      </c>
      <c r="D955">
        <f>IF(cukier10[[#This Row],[nip_klienta]]=B954,D954+cukier10[[#This Row],[sprzedany_cukier]],cukier10[[#This Row],[sprzedany_cukier]])</f>
        <v>7390</v>
      </c>
      <c r="E955" cm="1">
        <f t="array" ref="E9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55">
        <f>cukier10[[#This Row],[sprzedany_cukier]]*cukier10[[#This Row],[rabat]]</f>
        <v>24.5</v>
      </c>
    </row>
    <row r="956" spans="1:6" x14ac:dyDescent="0.25">
      <c r="A956" s="1">
        <v>39640</v>
      </c>
      <c r="B956" t="s">
        <v>17</v>
      </c>
      <c r="C956">
        <v>378</v>
      </c>
      <c r="D956">
        <f>IF(cukier10[[#This Row],[nip_klienta]]=B955,D955+cukier10[[#This Row],[sprzedany_cukier]],cukier10[[#This Row],[sprzedany_cukier]])</f>
        <v>7768</v>
      </c>
      <c r="E956" cm="1">
        <f t="array" ref="E9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56">
        <f>cukier10[[#This Row],[sprzedany_cukier]]*cukier10[[#This Row],[rabat]]</f>
        <v>37.800000000000004</v>
      </c>
    </row>
    <row r="957" spans="1:6" x14ac:dyDescent="0.25">
      <c r="A957" s="1">
        <v>39774</v>
      </c>
      <c r="B957" t="s">
        <v>17</v>
      </c>
      <c r="C957">
        <v>201</v>
      </c>
      <c r="D957">
        <f>IF(cukier10[[#This Row],[nip_klienta]]=B956,D956+cukier10[[#This Row],[sprzedany_cukier]],cukier10[[#This Row],[sprzedany_cukier]])</f>
        <v>7969</v>
      </c>
      <c r="E957" cm="1">
        <f t="array" ref="E9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57">
        <f>cukier10[[#This Row],[sprzedany_cukier]]*cukier10[[#This Row],[rabat]]</f>
        <v>20.100000000000001</v>
      </c>
    </row>
    <row r="958" spans="1:6" x14ac:dyDescent="0.25">
      <c r="A958" s="1">
        <v>39797</v>
      </c>
      <c r="B958" t="s">
        <v>17</v>
      </c>
      <c r="C958">
        <v>369</v>
      </c>
      <c r="D958">
        <f>IF(cukier10[[#This Row],[nip_klienta]]=B957,D957+cukier10[[#This Row],[sprzedany_cukier]],cukier10[[#This Row],[sprzedany_cukier]])</f>
        <v>8338</v>
      </c>
      <c r="E958" cm="1">
        <f t="array" ref="E9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58">
        <f>cukier10[[#This Row],[sprzedany_cukier]]*cukier10[[#This Row],[rabat]]</f>
        <v>36.9</v>
      </c>
    </row>
    <row r="959" spans="1:6" x14ac:dyDescent="0.25">
      <c r="A959" s="1">
        <v>39865</v>
      </c>
      <c r="B959" t="s">
        <v>17</v>
      </c>
      <c r="C959">
        <v>355</v>
      </c>
      <c r="D959">
        <f>IF(cukier10[[#This Row],[nip_klienta]]=B958,D958+cukier10[[#This Row],[sprzedany_cukier]],cukier10[[#This Row],[sprzedany_cukier]])</f>
        <v>8693</v>
      </c>
      <c r="E959" cm="1">
        <f t="array" ref="E9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59">
        <f>cukier10[[#This Row],[sprzedany_cukier]]*cukier10[[#This Row],[rabat]]</f>
        <v>35.5</v>
      </c>
    </row>
    <row r="960" spans="1:6" x14ac:dyDescent="0.25">
      <c r="A960" s="1">
        <v>40066</v>
      </c>
      <c r="B960" t="s">
        <v>17</v>
      </c>
      <c r="C960">
        <v>219</v>
      </c>
      <c r="D960">
        <f>IF(cukier10[[#This Row],[nip_klienta]]=B959,D959+cukier10[[#This Row],[sprzedany_cukier]],cukier10[[#This Row],[sprzedany_cukier]])</f>
        <v>8912</v>
      </c>
      <c r="E960" cm="1">
        <f t="array" ref="E9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60">
        <f>cukier10[[#This Row],[sprzedany_cukier]]*cukier10[[#This Row],[rabat]]</f>
        <v>21.900000000000002</v>
      </c>
    </row>
    <row r="961" spans="1:6" x14ac:dyDescent="0.25">
      <c r="A961" s="1">
        <v>40083</v>
      </c>
      <c r="B961" t="s">
        <v>17</v>
      </c>
      <c r="C961">
        <v>488</v>
      </c>
      <c r="D961">
        <f>IF(cukier10[[#This Row],[nip_klienta]]=B960,D960+cukier10[[#This Row],[sprzedany_cukier]],cukier10[[#This Row],[sprzedany_cukier]])</f>
        <v>9400</v>
      </c>
      <c r="E961" cm="1">
        <f t="array" ref="E9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61">
        <f>cukier10[[#This Row],[sprzedany_cukier]]*cukier10[[#This Row],[rabat]]</f>
        <v>48.800000000000004</v>
      </c>
    </row>
    <row r="962" spans="1:6" x14ac:dyDescent="0.25">
      <c r="A962" s="1">
        <v>40124</v>
      </c>
      <c r="B962" t="s">
        <v>17</v>
      </c>
      <c r="C962">
        <v>224</v>
      </c>
      <c r="D962">
        <f>IF(cukier10[[#This Row],[nip_klienta]]=B961,D961+cukier10[[#This Row],[sprzedany_cukier]],cukier10[[#This Row],[sprzedany_cukier]])</f>
        <v>9624</v>
      </c>
      <c r="E962" cm="1">
        <f t="array" ref="E9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62">
        <f>cukier10[[#This Row],[sprzedany_cukier]]*cukier10[[#This Row],[rabat]]</f>
        <v>22.400000000000002</v>
      </c>
    </row>
    <row r="963" spans="1:6" x14ac:dyDescent="0.25">
      <c r="A963" s="1">
        <v>40172</v>
      </c>
      <c r="B963" t="s">
        <v>17</v>
      </c>
      <c r="C963">
        <v>142</v>
      </c>
      <c r="D963">
        <f>IF(cukier10[[#This Row],[nip_klienta]]=B962,D962+cukier10[[#This Row],[sprzedany_cukier]],cukier10[[#This Row],[sprzedany_cukier]])</f>
        <v>9766</v>
      </c>
      <c r="E963" cm="1">
        <f t="array" ref="E9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63">
        <f>cukier10[[#This Row],[sprzedany_cukier]]*cukier10[[#This Row],[rabat]]</f>
        <v>14.200000000000001</v>
      </c>
    </row>
    <row r="964" spans="1:6" x14ac:dyDescent="0.25">
      <c r="A964" s="1">
        <v>40199</v>
      </c>
      <c r="B964" t="s">
        <v>17</v>
      </c>
      <c r="C964">
        <v>214</v>
      </c>
      <c r="D964">
        <f>IF(cukier10[[#This Row],[nip_klienta]]=B963,D963+cukier10[[#This Row],[sprzedany_cukier]],cukier10[[#This Row],[sprzedany_cukier]])</f>
        <v>9980</v>
      </c>
      <c r="E964" cm="1">
        <f t="array" ref="E9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964">
        <f>cukier10[[#This Row],[sprzedany_cukier]]*cukier10[[#This Row],[rabat]]</f>
        <v>21.400000000000002</v>
      </c>
    </row>
    <row r="965" spans="1:6" x14ac:dyDescent="0.25">
      <c r="A965" s="1">
        <v>40202</v>
      </c>
      <c r="B965" t="s">
        <v>17</v>
      </c>
      <c r="C965">
        <v>376</v>
      </c>
      <c r="D965">
        <f>IF(cukier10[[#This Row],[nip_klienta]]=B964,D964+cukier10[[#This Row],[sprzedany_cukier]],cukier10[[#This Row],[sprzedany_cukier]])</f>
        <v>10356</v>
      </c>
      <c r="E965" cm="1">
        <f t="array" ref="E9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65">
        <f>cukier10[[#This Row],[sprzedany_cukier]]*cukier10[[#This Row],[rabat]]</f>
        <v>75.2</v>
      </c>
    </row>
    <row r="966" spans="1:6" x14ac:dyDescent="0.25">
      <c r="A966" s="1">
        <v>40203</v>
      </c>
      <c r="B966" t="s">
        <v>17</v>
      </c>
      <c r="C966">
        <v>121</v>
      </c>
      <c r="D966">
        <f>IF(cukier10[[#This Row],[nip_klienta]]=B965,D965+cukier10[[#This Row],[sprzedany_cukier]],cukier10[[#This Row],[sprzedany_cukier]])</f>
        <v>10477</v>
      </c>
      <c r="E966" cm="1">
        <f t="array" ref="E9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66">
        <f>cukier10[[#This Row],[sprzedany_cukier]]*cukier10[[#This Row],[rabat]]</f>
        <v>24.200000000000003</v>
      </c>
    </row>
    <row r="967" spans="1:6" x14ac:dyDescent="0.25">
      <c r="A967" s="1">
        <v>40204</v>
      </c>
      <c r="B967" t="s">
        <v>17</v>
      </c>
      <c r="C967">
        <v>500</v>
      </c>
      <c r="D967">
        <f>IF(cukier10[[#This Row],[nip_klienta]]=B966,D966+cukier10[[#This Row],[sprzedany_cukier]],cukier10[[#This Row],[sprzedany_cukier]])</f>
        <v>10977</v>
      </c>
      <c r="E967" cm="1">
        <f t="array" ref="E9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67">
        <f>cukier10[[#This Row],[sprzedany_cukier]]*cukier10[[#This Row],[rabat]]</f>
        <v>100</v>
      </c>
    </row>
    <row r="968" spans="1:6" x14ac:dyDescent="0.25">
      <c r="A968" s="1">
        <v>40434</v>
      </c>
      <c r="B968" t="s">
        <v>17</v>
      </c>
      <c r="C968">
        <v>227</v>
      </c>
      <c r="D968">
        <f>IF(cukier10[[#This Row],[nip_klienta]]=B967,D967+cukier10[[#This Row],[sprzedany_cukier]],cukier10[[#This Row],[sprzedany_cukier]])</f>
        <v>11204</v>
      </c>
      <c r="E968" cm="1">
        <f t="array" ref="E9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68">
        <f>cukier10[[#This Row],[sprzedany_cukier]]*cukier10[[#This Row],[rabat]]</f>
        <v>45.400000000000006</v>
      </c>
    </row>
    <row r="969" spans="1:6" x14ac:dyDescent="0.25">
      <c r="A969" s="1">
        <v>40440</v>
      </c>
      <c r="B969" t="s">
        <v>17</v>
      </c>
      <c r="C969">
        <v>159</v>
      </c>
      <c r="D969">
        <f>IF(cukier10[[#This Row],[nip_klienta]]=B968,D968+cukier10[[#This Row],[sprzedany_cukier]],cukier10[[#This Row],[sprzedany_cukier]])</f>
        <v>11363</v>
      </c>
      <c r="E969" cm="1">
        <f t="array" ref="E9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69">
        <f>cukier10[[#This Row],[sprzedany_cukier]]*cukier10[[#This Row],[rabat]]</f>
        <v>31.8</v>
      </c>
    </row>
    <row r="970" spans="1:6" x14ac:dyDescent="0.25">
      <c r="A970" s="1">
        <v>40490</v>
      </c>
      <c r="B970" t="s">
        <v>17</v>
      </c>
      <c r="C970">
        <v>214</v>
      </c>
      <c r="D970">
        <f>IF(cukier10[[#This Row],[nip_klienta]]=B969,D969+cukier10[[#This Row],[sprzedany_cukier]],cukier10[[#This Row],[sprzedany_cukier]])</f>
        <v>11577</v>
      </c>
      <c r="E970" cm="1">
        <f t="array" ref="E9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70">
        <f>cukier10[[#This Row],[sprzedany_cukier]]*cukier10[[#This Row],[rabat]]</f>
        <v>42.800000000000004</v>
      </c>
    </row>
    <row r="971" spans="1:6" x14ac:dyDescent="0.25">
      <c r="A971" s="1">
        <v>40521</v>
      </c>
      <c r="B971" t="s">
        <v>17</v>
      </c>
      <c r="C971">
        <v>241</v>
      </c>
      <c r="D971">
        <f>IF(cukier10[[#This Row],[nip_klienta]]=B970,D970+cukier10[[#This Row],[sprzedany_cukier]],cukier10[[#This Row],[sprzedany_cukier]])</f>
        <v>11818</v>
      </c>
      <c r="E971" cm="1">
        <f t="array" ref="E9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71">
        <f>cukier10[[#This Row],[sprzedany_cukier]]*cukier10[[#This Row],[rabat]]</f>
        <v>48.2</v>
      </c>
    </row>
    <row r="972" spans="1:6" x14ac:dyDescent="0.25">
      <c r="A972" s="1">
        <v>40630</v>
      </c>
      <c r="B972" t="s">
        <v>17</v>
      </c>
      <c r="C972">
        <v>366</v>
      </c>
      <c r="D972">
        <f>IF(cukier10[[#This Row],[nip_klienta]]=B971,D971+cukier10[[#This Row],[sprzedany_cukier]],cukier10[[#This Row],[sprzedany_cukier]])</f>
        <v>12184</v>
      </c>
      <c r="E972" cm="1">
        <f t="array" ref="E9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72">
        <f>cukier10[[#This Row],[sprzedany_cukier]]*cukier10[[#This Row],[rabat]]</f>
        <v>73.2</v>
      </c>
    </row>
    <row r="973" spans="1:6" x14ac:dyDescent="0.25">
      <c r="A973" s="1">
        <v>40691</v>
      </c>
      <c r="B973" t="s">
        <v>17</v>
      </c>
      <c r="C973">
        <v>499</v>
      </c>
      <c r="D973">
        <f>IF(cukier10[[#This Row],[nip_klienta]]=B972,D972+cukier10[[#This Row],[sprzedany_cukier]],cukier10[[#This Row],[sprzedany_cukier]])</f>
        <v>12683</v>
      </c>
      <c r="E973" cm="1">
        <f t="array" ref="E9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73">
        <f>cukier10[[#This Row],[sprzedany_cukier]]*cukier10[[#This Row],[rabat]]</f>
        <v>99.800000000000011</v>
      </c>
    </row>
    <row r="974" spans="1:6" x14ac:dyDescent="0.25">
      <c r="A974" s="1">
        <v>40695</v>
      </c>
      <c r="B974" t="s">
        <v>17</v>
      </c>
      <c r="C974">
        <v>134</v>
      </c>
      <c r="D974">
        <f>IF(cukier10[[#This Row],[nip_klienta]]=B973,D973+cukier10[[#This Row],[sprzedany_cukier]],cukier10[[#This Row],[sprzedany_cukier]])</f>
        <v>12817</v>
      </c>
      <c r="E974" cm="1">
        <f t="array" ref="E9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74">
        <f>cukier10[[#This Row],[sprzedany_cukier]]*cukier10[[#This Row],[rabat]]</f>
        <v>26.8</v>
      </c>
    </row>
    <row r="975" spans="1:6" x14ac:dyDescent="0.25">
      <c r="A975" s="1">
        <v>40732</v>
      </c>
      <c r="B975" t="s">
        <v>17</v>
      </c>
      <c r="C975">
        <v>101</v>
      </c>
      <c r="D975">
        <f>IF(cukier10[[#This Row],[nip_klienta]]=B974,D974+cukier10[[#This Row],[sprzedany_cukier]],cukier10[[#This Row],[sprzedany_cukier]])</f>
        <v>12918</v>
      </c>
      <c r="E975" cm="1">
        <f t="array" ref="E9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75">
        <f>cukier10[[#This Row],[sprzedany_cukier]]*cukier10[[#This Row],[rabat]]</f>
        <v>20.200000000000003</v>
      </c>
    </row>
    <row r="976" spans="1:6" x14ac:dyDescent="0.25">
      <c r="A976" s="1">
        <v>40735</v>
      </c>
      <c r="B976" t="s">
        <v>17</v>
      </c>
      <c r="C976">
        <v>276</v>
      </c>
      <c r="D976">
        <f>IF(cukier10[[#This Row],[nip_klienta]]=B975,D975+cukier10[[#This Row],[sprzedany_cukier]],cukier10[[#This Row],[sprzedany_cukier]])</f>
        <v>13194</v>
      </c>
      <c r="E976" cm="1">
        <f t="array" ref="E9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76">
        <f>cukier10[[#This Row],[sprzedany_cukier]]*cukier10[[#This Row],[rabat]]</f>
        <v>55.2</v>
      </c>
    </row>
    <row r="977" spans="1:6" x14ac:dyDescent="0.25">
      <c r="A977" s="1">
        <v>40817</v>
      </c>
      <c r="B977" t="s">
        <v>17</v>
      </c>
      <c r="C977">
        <v>394</v>
      </c>
      <c r="D977">
        <f>IF(cukier10[[#This Row],[nip_klienta]]=B976,D976+cukier10[[#This Row],[sprzedany_cukier]],cukier10[[#This Row],[sprzedany_cukier]])</f>
        <v>13588</v>
      </c>
      <c r="E977" cm="1">
        <f t="array" ref="E9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77">
        <f>cukier10[[#This Row],[sprzedany_cukier]]*cukier10[[#This Row],[rabat]]</f>
        <v>78.800000000000011</v>
      </c>
    </row>
    <row r="978" spans="1:6" x14ac:dyDescent="0.25">
      <c r="A978" s="1">
        <v>41090</v>
      </c>
      <c r="B978" t="s">
        <v>17</v>
      </c>
      <c r="C978">
        <v>163</v>
      </c>
      <c r="D978">
        <f>IF(cukier10[[#This Row],[nip_klienta]]=B977,D977+cukier10[[#This Row],[sprzedany_cukier]],cukier10[[#This Row],[sprzedany_cukier]])</f>
        <v>13751</v>
      </c>
      <c r="E978" cm="1">
        <f t="array" ref="E9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78">
        <f>cukier10[[#This Row],[sprzedany_cukier]]*cukier10[[#This Row],[rabat]]</f>
        <v>32.6</v>
      </c>
    </row>
    <row r="979" spans="1:6" x14ac:dyDescent="0.25">
      <c r="A979" s="1">
        <v>41115</v>
      </c>
      <c r="B979" t="s">
        <v>17</v>
      </c>
      <c r="C979">
        <v>229</v>
      </c>
      <c r="D979">
        <f>IF(cukier10[[#This Row],[nip_klienta]]=B978,D978+cukier10[[#This Row],[sprzedany_cukier]],cukier10[[#This Row],[sprzedany_cukier]])</f>
        <v>13980</v>
      </c>
      <c r="E979" cm="1">
        <f t="array" ref="E9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79">
        <f>cukier10[[#This Row],[sprzedany_cukier]]*cukier10[[#This Row],[rabat]]</f>
        <v>45.800000000000004</v>
      </c>
    </row>
    <row r="980" spans="1:6" x14ac:dyDescent="0.25">
      <c r="A980" s="1">
        <v>41154</v>
      </c>
      <c r="B980" t="s">
        <v>17</v>
      </c>
      <c r="C980">
        <v>496</v>
      </c>
      <c r="D980">
        <f>IF(cukier10[[#This Row],[nip_klienta]]=B979,D979+cukier10[[#This Row],[sprzedany_cukier]],cukier10[[#This Row],[sprzedany_cukier]])</f>
        <v>14476</v>
      </c>
      <c r="E980" cm="1">
        <f t="array" ref="E9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80">
        <f>cukier10[[#This Row],[sprzedany_cukier]]*cukier10[[#This Row],[rabat]]</f>
        <v>99.2</v>
      </c>
    </row>
    <row r="981" spans="1:6" x14ac:dyDescent="0.25">
      <c r="A981" s="1">
        <v>41157</v>
      </c>
      <c r="B981" t="s">
        <v>17</v>
      </c>
      <c r="C981">
        <v>273</v>
      </c>
      <c r="D981">
        <f>IF(cukier10[[#This Row],[nip_klienta]]=B980,D980+cukier10[[#This Row],[sprzedany_cukier]],cukier10[[#This Row],[sprzedany_cukier]])</f>
        <v>14749</v>
      </c>
      <c r="E981" cm="1">
        <f t="array" ref="E9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81">
        <f>cukier10[[#This Row],[sprzedany_cukier]]*cukier10[[#This Row],[rabat]]</f>
        <v>54.6</v>
      </c>
    </row>
    <row r="982" spans="1:6" x14ac:dyDescent="0.25">
      <c r="A982" s="1">
        <v>41247</v>
      </c>
      <c r="B982" t="s">
        <v>17</v>
      </c>
      <c r="C982">
        <v>233</v>
      </c>
      <c r="D982">
        <f>IF(cukier10[[#This Row],[nip_klienta]]=B981,D981+cukier10[[#This Row],[sprzedany_cukier]],cukier10[[#This Row],[sprzedany_cukier]])</f>
        <v>14982</v>
      </c>
      <c r="E982" cm="1">
        <f t="array" ref="E9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82">
        <f>cukier10[[#This Row],[sprzedany_cukier]]*cukier10[[#This Row],[rabat]]</f>
        <v>46.6</v>
      </c>
    </row>
    <row r="983" spans="1:6" x14ac:dyDescent="0.25">
      <c r="A983" s="1">
        <v>41309</v>
      </c>
      <c r="B983" t="s">
        <v>17</v>
      </c>
      <c r="C983">
        <v>441</v>
      </c>
      <c r="D983">
        <f>IF(cukier10[[#This Row],[nip_klienta]]=B982,D982+cukier10[[#This Row],[sprzedany_cukier]],cukier10[[#This Row],[sprzedany_cukier]])</f>
        <v>15423</v>
      </c>
      <c r="E983" cm="1">
        <f t="array" ref="E9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83">
        <f>cukier10[[#This Row],[sprzedany_cukier]]*cukier10[[#This Row],[rabat]]</f>
        <v>88.2</v>
      </c>
    </row>
    <row r="984" spans="1:6" x14ac:dyDescent="0.25">
      <c r="A984" s="1">
        <v>41337</v>
      </c>
      <c r="B984" t="s">
        <v>17</v>
      </c>
      <c r="C984">
        <v>143</v>
      </c>
      <c r="D984">
        <f>IF(cukier10[[#This Row],[nip_klienta]]=B983,D983+cukier10[[#This Row],[sprzedany_cukier]],cukier10[[#This Row],[sprzedany_cukier]])</f>
        <v>15566</v>
      </c>
      <c r="E984" cm="1">
        <f t="array" ref="E9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84">
        <f>cukier10[[#This Row],[sprzedany_cukier]]*cukier10[[#This Row],[rabat]]</f>
        <v>28.6</v>
      </c>
    </row>
    <row r="985" spans="1:6" x14ac:dyDescent="0.25">
      <c r="A985" s="1">
        <v>41375</v>
      </c>
      <c r="B985" t="s">
        <v>17</v>
      </c>
      <c r="C985">
        <v>149</v>
      </c>
      <c r="D985">
        <f>IF(cukier10[[#This Row],[nip_klienta]]=B984,D984+cukier10[[#This Row],[sprzedany_cukier]],cukier10[[#This Row],[sprzedany_cukier]])</f>
        <v>15715</v>
      </c>
      <c r="E985" cm="1">
        <f t="array" ref="E9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85">
        <f>cukier10[[#This Row],[sprzedany_cukier]]*cukier10[[#This Row],[rabat]]</f>
        <v>29.8</v>
      </c>
    </row>
    <row r="986" spans="1:6" x14ac:dyDescent="0.25">
      <c r="A986" s="1">
        <v>41429</v>
      </c>
      <c r="B986" t="s">
        <v>17</v>
      </c>
      <c r="C986">
        <v>269</v>
      </c>
      <c r="D986">
        <f>IF(cukier10[[#This Row],[nip_klienta]]=B985,D985+cukier10[[#This Row],[sprzedany_cukier]],cukier10[[#This Row],[sprzedany_cukier]])</f>
        <v>15984</v>
      </c>
      <c r="E986" cm="1">
        <f t="array" ref="E9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86">
        <f>cukier10[[#This Row],[sprzedany_cukier]]*cukier10[[#This Row],[rabat]]</f>
        <v>53.800000000000004</v>
      </c>
    </row>
    <row r="987" spans="1:6" x14ac:dyDescent="0.25">
      <c r="A987" s="1">
        <v>41465</v>
      </c>
      <c r="B987" t="s">
        <v>17</v>
      </c>
      <c r="C987">
        <v>299</v>
      </c>
      <c r="D987">
        <f>IF(cukier10[[#This Row],[nip_klienta]]=B986,D986+cukier10[[#This Row],[sprzedany_cukier]],cukier10[[#This Row],[sprzedany_cukier]])</f>
        <v>16283</v>
      </c>
      <c r="E987" cm="1">
        <f t="array" ref="E9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87">
        <f>cukier10[[#This Row],[sprzedany_cukier]]*cukier10[[#This Row],[rabat]]</f>
        <v>59.800000000000004</v>
      </c>
    </row>
    <row r="988" spans="1:6" x14ac:dyDescent="0.25">
      <c r="A988" s="1">
        <v>41499</v>
      </c>
      <c r="B988" t="s">
        <v>17</v>
      </c>
      <c r="C988">
        <v>219</v>
      </c>
      <c r="D988">
        <f>IF(cukier10[[#This Row],[nip_klienta]]=B987,D987+cukier10[[#This Row],[sprzedany_cukier]],cukier10[[#This Row],[sprzedany_cukier]])</f>
        <v>16502</v>
      </c>
      <c r="E988" cm="1">
        <f t="array" ref="E9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88">
        <f>cukier10[[#This Row],[sprzedany_cukier]]*cukier10[[#This Row],[rabat]]</f>
        <v>43.800000000000004</v>
      </c>
    </row>
    <row r="989" spans="1:6" x14ac:dyDescent="0.25">
      <c r="A989" s="1">
        <v>41610</v>
      </c>
      <c r="B989" t="s">
        <v>17</v>
      </c>
      <c r="C989">
        <v>292</v>
      </c>
      <c r="D989">
        <f>IF(cukier10[[#This Row],[nip_klienta]]=B988,D988+cukier10[[#This Row],[sprzedany_cukier]],cukier10[[#This Row],[sprzedany_cukier]])</f>
        <v>16794</v>
      </c>
      <c r="E989" cm="1">
        <f t="array" ref="E9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89">
        <f>cukier10[[#This Row],[sprzedany_cukier]]*cukier10[[#This Row],[rabat]]</f>
        <v>58.400000000000006</v>
      </c>
    </row>
    <row r="990" spans="1:6" x14ac:dyDescent="0.25">
      <c r="A990" s="1">
        <v>41666</v>
      </c>
      <c r="B990" t="s">
        <v>17</v>
      </c>
      <c r="C990">
        <v>392</v>
      </c>
      <c r="D990">
        <f>IF(cukier10[[#This Row],[nip_klienta]]=B989,D989+cukier10[[#This Row],[sprzedany_cukier]],cukier10[[#This Row],[sprzedany_cukier]])</f>
        <v>17186</v>
      </c>
      <c r="E990" cm="1">
        <f t="array" ref="E9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90">
        <f>cukier10[[#This Row],[sprzedany_cukier]]*cukier10[[#This Row],[rabat]]</f>
        <v>78.400000000000006</v>
      </c>
    </row>
    <row r="991" spans="1:6" x14ac:dyDescent="0.25">
      <c r="A991" s="1">
        <v>41744</v>
      </c>
      <c r="B991" t="s">
        <v>17</v>
      </c>
      <c r="C991">
        <v>406</v>
      </c>
      <c r="D991">
        <f>IF(cukier10[[#This Row],[nip_klienta]]=B990,D990+cukier10[[#This Row],[sprzedany_cukier]],cukier10[[#This Row],[sprzedany_cukier]])</f>
        <v>17592</v>
      </c>
      <c r="E991" cm="1">
        <f t="array" ref="E9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91">
        <f>cukier10[[#This Row],[sprzedany_cukier]]*cukier10[[#This Row],[rabat]]</f>
        <v>81.2</v>
      </c>
    </row>
    <row r="992" spans="1:6" x14ac:dyDescent="0.25">
      <c r="A992" s="1">
        <v>41837</v>
      </c>
      <c r="B992" t="s">
        <v>17</v>
      </c>
      <c r="C992">
        <v>371</v>
      </c>
      <c r="D992">
        <f>IF(cukier10[[#This Row],[nip_klienta]]=B991,D991+cukier10[[#This Row],[sprzedany_cukier]],cukier10[[#This Row],[sprzedany_cukier]])</f>
        <v>17963</v>
      </c>
      <c r="E992" cm="1">
        <f t="array" ref="E9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92">
        <f>cukier10[[#This Row],[sprzedany_cukier]]*cukier10[[#This Row],[rabat]]</f>
        <v>74.2</v>
      </c>
    </row>
    <row r="993" spans="1:6" x14ac:dyDescent="0.25">
      <c r="A993" s="1">
        <v>41840</v>
      </c>
      <c r="B993" t="s">
        <v>17</v>
      </c>
      <c r="C993">
        <v>442</v>
      </c>
      <c r="D993">
        <f>IF(cukier10[[#This Row],[nip_klienta]]=B992,D992+cukier10[[#This Row],[sprzedany_cukier]],cukier10[[#This Row],[sprzedany_cukier]])</f>
        <v>18405</v>
      </c>
      <c r="E993" cm="1">
        <f t="array" ref="E9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93">
        <f>cukier10[[#This Row],[sprzedany_cukier]]*cukier10[[#This Row],[rabat]]</f>
        <v>88.4</v>
      </c>
    </row>
    <row r="994" spans="1:6" x14ac:dyDescent="0.25">
      <c r="A994" s="1">
        <v>41848</v>
      </c>
      <c r="B994" t="s">
        <v>17</v>
      </c>
      <c r="C994">
        <v>288</v>
      </c>
      <c r="D994">
        <f>IF(cukier10[[#This Row],[nip_klienta]]=B993,D993+cukier10[[#This Row],[sprzedany_cukier]],cukier10[[#This Row],[sprzedany_cukier]])</f>
        <v>18693</v>
      </c>
      <c r="E994" cm="1">
        <f t="array" ref="E9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94">
        <f>cukier10[[#This Row],[sprzedany_cukier]]*cukier10[[#This Row],[rabat]]</f>
        <v>57.6</v>
      </c>
    </row>
    <row r="995" spans="1:6" x14ac:dyDescent="0.25">
      <c r="A995" s="1">
        <v>41894</v>
      </c>
      <c r="B995" t="s">
        <v>17</v>
      </c>
      <c r="C995">
        <v>438</v>
      </c>
      <c r="D995">
        <f>IF(cukier10[[#This Row],[nip_klienta]]=B994,D994+cukier10[[#This Row],[sprzedany_cukier]],cukier10[[#This Row],[sprzedany_cukier]])</f>
        <v>19131</v>
      </c>
      <c r="E995" cm="1">
        <f t="array" ref="E9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95">
        <f>cukier10[[#This Row],[sprzedany_cukier]]*cukier10[[#This Row],[rabat]]</f>
        <v>87.600000000000009</v>
      </c>
    </row>
    <row r="996" spans="1:6" x14ac:dyDescent="0.25">
      <c r="A996" s="1">
        <v>41986</v>
      </c>
      <c r="B996" t="s">
        <v>17</v>
      </c>
      <c r="C996">
        <v>482</v>
      </c>
      <c r="D996">
        <f>IF(cukier10[[#This Row],[nip_klienta]]=B995,D995+cukier10[[#This Row],[sprzedany_cukier]],cukier10[[#This Row],[sprzedany_cukier]])</f>
        <v>19613</v>
      </c>
      <c r="E996" cm="1">
        <f t="array" ref="E9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96">
        <f>cukier10[[#This Row],[sprzedany_cukier]]*cukier10[[#This Row],[rabat]]</f>
        <v>96.4</v>
      </c>
    </row>
    <row r="997" spans="1:6" x14ac:dyDescent="0.25">
      <c r="A997" s="1">
        <v>41991</v>
      </c>
      <c r="B997" t="s">
        <v>17</v>
      </c>
      <c r="C997">
        <v>283</v>
      </c>
      <c r="D997">
        <f>IF(cukier10[[#This Row],[nip_klienta]]=B996,D996+cukier10[[#This Row],[sprzedany_cukier]],cukier10[[#This Row],[sprzedany_cukier]])</f>
        <v>19896</v>
      </c>
      <c r="E997" cm="1">
        <f t="array" ref="E9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997">
        <f>cukier10[[#This Row],[sprzedany_cukier]]*cukier10[[#This Row],[rabat]]</f>
        <v>56.6</v>
      </c>
    </row>
    <row r="998" spans="1:6" x14ac:dyDescent="0.25">
      <c r="A998" s="1">
        <v>38863</v>
      </c>
      <c r="B998" t="s">
        <v>112</v>
      </c>
      <c r="C998">
        <v>15</v>
      </c>
      <c r="D998">
        <f>IF(cukier10[[#This Row],[nip_klienta]]=B997,D997+cukier10[[#This Row],[sprzedany_cukier]],cukier10[[#This Row],[sprzedany_cukier]])</f>
        <v>15</v>
      </c>
      <c r="E998" cm="1">
        <f t="array" ref="E9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98">
        <f>cukier10[[#This Row],[sprzedany_cukier]]*cukier10[[#This Row],[rabat]]</f>
        <v>0</v>
      </c>
    </row>
    <row r="999" spans="1:6" x14ac:dyDescent="0.25">
      <c r="A999" s="1">
        <v>39173</v>
      </c>
      <c r="B999" t="s">
        <v>112</v>
      </c>
      <c r="C999">
        <v>11</v>
      </c>
      <c r="D999">
        <f>IF(cukier10[[#This Row],[nip_klienta]]=B998,D998+cukier10[[#This Row],[sprzedany_cukier]],cukier10[[#This Row],[sprzedany_cukier]])</f>
        <v>26</v>
      </c>
      <c r="E999" cm="1">
        <f t="array" ref="E9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999">
        <f>cukier10[[#This Row],[sprzedany_cukier]]*cukier10[[#This Row],[rabat]]</f>
        <v>0</v>
      </c>
    </row>
    <row r="1000" spans="1:6" x14ac:dyDescent="0.25">
      <c r="A1000" s="1">
        <v>39484</v>
      </c>
      <c r="B1000" t="s">
        <v>112</v>
      </c>
      <c r="C1000">
        <v>16</v>
      </c>
      <c r="D1000">
        <f>IF(cukier10[[#This Row],[nip_klienta]]=B999,D999+cukier10[[#This Row],[sprzedany_cukier]],cukier10[[#This Row],[sprzedany_cukier]])</f>
        <v>42</v>
      </c>
      <c r="E1000" cm="1">
        <f t="array" ref="E10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00">
        <f>cukier10[[#This Row],[sprzedany_cukier]]*cukier10[[#This Row],[rabat]]</f>
        <v>0</v>
      </c>
    </row>
    <row r="1001" spans="1:6" x14ac:dyDescent="0.25">
      <c r="A1001" s="1">
        <v>39491</v>
      </c>
      <c r="B1001" t="s">
        <v>112</v>
      </c>
      <c r="C1001">
        <v>17</v>
      </c>
      <c r="D1001">
        <f>IF(cukier10[[#This Row],[nip_klienta]]=B1000,D1000+cukier10[[#This Row],[sprzedany_cukier]],cukier10[[#This Row],[sprzedany_cukier]])</f>
        <v>59</v>
      </c>
      <c r="E1001" cm="1">
        <f t="array" ref="E10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01">
        <f>cukier10[[#This Row],[sprzedany_cukier]]*cukier10[[#This Row],[rabat]]</f>
        <v>0</v>
      </c>
    </row>
    <row r="1002" spans="1:6" x14ac:dyDescent="0.25">
      <c r="A1002" s="1">
        <v>40337</v>
      </c>
      <c r="B1002" t="s">
        <v>112</v>
      </c>
      <c r="C1002">
        <v>10</v>
      </c>
      <c r="D1002">
        <f>IF(cukier10[[#This Row],[nip_klienta]]=B1001,D1001+cukier10[[#This Row],[sprzedany_cukier]],cukier10[[#This Row],[sprzedany_cukier]])</f>
        <v>69</v>
      </c>
      <c r="E1002" cm="1">
        <f t="array" ref="E10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02">
        <f>cukier10[[#This Row],[sprzedany_cukier]]*cukier10[[#This Row],[rabat]]</f>
        <v>0</v>
      </c>
    </row>
    <row r="1003" spans="1:6" x14ac:dyDescent="0.25">
      <c r="A1003" s="1">
        <v>39069</v>
      </c>
      <c r="B1003" t="s">
        <v>135</v>
      </c>
      <c r="C1003">
        <v>15</v>
      </c>
      <c r="D1003">
        <f>IF(cukier10[[#This Row],[nip_klienta]]=B1002,D1002+cukier10[[#This Row],[sprzedany_cukier]],cukier10[[#This Row],[sprzedany_cukier]])</f>
        <v>15</v>
      </c>
      <c r="E1003" cm="1">
        <f t="array" ref="E10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03">
        <f>cukier10[[#This Row],[sprzedany_cukier]]*cukier10[[#This Row],[rabat]]</f>
        <v>0</v>
      </c>
    </row>
    <row r="1004" spans="1:6" x14ac:dyDescent="0.25">
      <c r="A1004" s="1">
        <v>39247</v>
      </c>
      <c r="B1004" t="s">
        <v>143</v>
      </c>
      <c r="C1004">
        <v>9</v>
      </c>
      <c r="D1004">
        <f>IF(cukier10[[#This Row],[nip_klienta]]=B1003,D1003+cukier10[[#This Row],[sprzedany_cukier]],cukier10[[#This Row],[sprzedany_cukier]])</f>
        <v>9</v>
      </c>
      <c r="E1004" cm="1">
        <f t="array" ref="E10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04">
        <f>cukier10[[#This Row],[sprzedany_cukier]]*cukier10[[#This Row],[rabat]]</f>
        <v>0</v>
      </c>
    </row>
    <row r="1005" spans="1:6" x14ac:dyDescent="0.25">
      <c r="A1005" s="1">
        <v>40184</v>
      </c>
      <c r="B1005" t="s">
        <v>143</v>
      </c>
      <c r="C1005">
        <v>13</v>
      </c>
      <c r="D1005">
        <f>IF(cukier10[[#This Row],[nip_klienta]]=B1004,D1004+cukier10[[#This Row],[sprzedany_cukier]],cukier10[[#This Row],[sprzedany_cukier]])</f>
        <v>22</v>
      </c>
      <c r="E1005" cm="1">
        <f t="array" ref="E10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05">
        <f>cukier10[[#This Row],[sprzedany_cukier]]*cukier10[[#This Row],[rabat]]</f>
        <v>0</v>
      </c>
    </row>
    <row r="1006" spans="1:6" x14ac:dyDescent="0.25">
      <c r="A1006" s="1">
        <v>38792</v>
      </c>
      <c r="B1006" t="s">
        <v>101</v>
      </c>
      <c r="C1006">
        <v>20</v>
      </c>
      <c r="D1006">
        <f>IF(cukier10[[#This Row],[nip_klienta]]=B1005,D1005+cukier10[[#This Row],[sprzedany_cukier]],cukier10[[#This Row],[sprzedany_cukier]])</f>
        <v>20</v>
      </c>
      <c r="E1006" cm="1">
        <f t="array" ref="E10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06">
        <f>cukier10[[#This Row],[sprzedany_cukier]]*cukier10[[#This Row],[rabat]]</f>
        <v>0</v>
      </c>
    </row>
    <row r="1007" spans="1:6" x14ac:dyDescent="0.25">
      <c r="A1007" s="1">
        <v>39667</v>
      </c>
      <c r="B1007" t="s">
        <v>101</v>
      </c>
      <c r="C1007">
        <v>16</v>
      </c>
      <c r="D1007">
        <f>IF(cukier10[[#This Row],[nip_klienta]]=B1006,D1006+cukier10[[#This Row],[sprzedany_cukier]],cukier10[[#This Row],[sprzedany_cukier]])</f>
        <v>36</v>
      </c>
      <c r="E1007" cm="1">
        <f t="array" ref="E10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07">
        <f>cukier10[[#This Row],[sprzedany_cukier]]*cukier10[[#This Row],[rabat]]</f>
        <v>0</v>
      </c>
    </row>
    <row r="1008" spans="1:6" x14ac:dyDescent="0.25">
      <c r="A1008" s="1">
        <v>38918</v>
      </c>
      <c r="B1008" t="s">
        <v>121</v>
      </c>
      <c r="C1008">
        <v>3</v>
      </c>
      <c r="D1008">
        <f>IF(cukier10[[#This Row],[nip_klienta]]=B1007,D1007+cukier10[[#This Row],[sprzedany_cukier]],cukier10[[#This Row],[sprzedany_cukier]])</f>
        <v>3</v>
      </c>
      <c r="E1008" cm="1">
        <f t="array" ref="E10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08">
        <f>cukier10[[#This Row],[sprzedany_cukier]]*cukier10[[#This Row],[rabat]]</f>
        <v>0</v>
      </c>
    </row>
    <row r="1009" spans="1:6" x14ac:dyDescent="0.25">
      <c r="A1009" s="1">
        <v>39278</v>
      </c>
      <c r="B1009" t="s">
        <v>121</v>
      </c>
      <c r="C1009">
        <v>9</v>
      </c>
      <c r="D1009">
        <f>IF(cukier10[[#This Row],[nip_klienta]]=B1008,D1008+cukier10[[#This Row],[sprzedany_cukier]],cukier10[[#This Row],[sprzedany_cukier]])</f>
        <v>12</v>
      </c>
      <c r="E1009" cm="1">
        <f t="array" ref="E10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09">
        <f>cukier10[[#This Row],[sprzedany_cukier]]*cukier10[[#This Row],[rabat]]</f>
        <v>0</v>
      </c>
    </row>
    <row r="1010" spans="1:6" x14ac:dyDescent="0.25">
      <c r="A1010" s="1">
        <v>39158</v>
      </c>
      <c r="B1010" t="s">
        <v>138</v>
      </c>
      <c r="C1010">
        <v>10</v>
      </c>
      <c r="D1010">
        <f>IF(cukier10[[#This Row],[nip_klienta]]=B1009,D1009+cukier10[[#This Row],[sprzedany_cukier]],cukier10[[#This Row],[sprzedany_cukier]])</f>
        <v>10</v>
      </c>
      <c r="E1010" cm="1">
        <f t="array" ref="E10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10">
        <f>cukier10[[#This Row],[sprzedany_cukier]]*cukier10[[#This Row],[rabat]]</f>
        <v>0</v>
      </c>
    </row>
    <row r="1011" spans="1:6" x14ac:dyDescent="0.25">
      <c r="A1011" s="1">
        <v>40899</v>
      </c>
      <c r="B1011" t="s">
        <v>224</v>
      </c>
      <c r="C1011">
        <v>4</v>
      </c>
      <c r="D1011">
        <f>IF(cukier10[[#This Row],[nip_klienta]]=B1010,D1010+cukier10[[#This Row],[sprzedany_cukier]],cukier10[[#This Row],[sprzedany_cukier]])</f>
        <v>4</v>
      </c>
      <c r="E1011" cm="1">
        <f t="array" ref="E10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11">
        <f>cukier10[[#This Row],[sprzedany_cukier]]*cukier10[[#This Row],[rabat]]</f>
        <v>0</v>
      </c>
    </row>
    <row r="1012" spans="1:6" x14ac:dyDescent="0.25">
      <c r="A1012" s="1">
        <v>41014</v>
      </c>
      <c r="B1012" t="s">
        <v>224</v>
      </c>
      <c r="C1012">
        <v>14</v>
      </c>
      <c r="D1012">
        <f>IF(cukier10[[#This Row],[nip_klienta]]=B1011,D1011+cukier10[[#This Row],[sprzedany_cukier]],cukier10[[#This Row],[sprzedany_cukier]])</f>
        <v>18</v>
      </c>
      <c r="E1012" cm="1">
        <f t="array" ref="E10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12">
        <f>cukier10[[#This Row],[sprzedany_cukier]]*cukier10[[#This Row],[rabat]]</f>
        <v>0</v>
      </c>
    </row>
    <row r="1013" spans="1:6" x14ac:dyDescent="0.25">
      <c r="A1013" s="1">
        <v>39150</v>
      </c>
      <c r="B1013" t="s">
        <v>137</v>
      </c>
      <c r="C1013">
        <v>13</v>
      </c>
      <c r="D1013">
        <f>IF(cukier10[[#This Row],[nip_klienta]]=B1012,D1012+cukier10[[#This Row],[sprzedany_cukier]],cukier10[[#This Row],[sprzedany_cukier]])</f>
        <v>13</v>
      </c>
      <c r="E1013" cm="1">
        <f t="array" ref="E10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13">
        <f>cukier10[[#This Row],[sprzedany_cukier]]*cukier10[[#This Row],[rabat]]</f>
        <v>0</v>
      </c>
    </row>
    <row r="1014" spans="1:6" x14ac:dyDescent="0.25">
      <c r="A1014" s="1">
        <v>39614</v>
      </c>
      <c r="B1014" t="s">
        <v>137</v>
      </c>
      <c r="C1014">
        <v>12</v>
      </c>
      <c r="D1014">
        <f>IF(cukier10[[#This Row],[nip_klienta]]=B1013,D1013+cukier10[[#This Row],[sprzedany_cukier]],cukier10[[#This Row],[sprzedany_cukier]])</f>
        <v>25</v>
      </c>
      <c r="E1014" cm="1">
        <f t="array" ref="E10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14">
        <f>cukier10[[#This Row],[sprzedany_cukier]]*cukier10[[#This Row],[rabat]]</f>
        <v>0</v>
      </c>
    </row>
    <row r="1015" spans="1:6" x14ac:dyDescent="0.25">
      <c r="A1015" s="1">
        <v>41149</v>
      </c>
      <c r="B1015" t="s">
        <v>137</v>
      </c>
      <c r="C1015">
        <v>1</v>
      </c>
      <c r="D1015">
        <f>IF(cukier10[[#This Row],[nip_klienta]]=B1014,D1014+cukier10[[#This Row],[sprzedany_cukier]],cukier10[[#This Row],[sprzedany_cukier]])</f>
        <v>26</v>
      </c>
      <c r="E1015" cm="1">
        <f t="array" ref="E10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15">
        <f>cukier10[[#This Row],[sprzedany_cukier]]*cukier10[[#This Row],[rabat]]</f>
        <v>0</v>
      </c>
    </row>
    <row r="1016" spans="1:6" x14ac:dyDescent="0.25">
      <c r="A1016" s="1">
        <v>41451</v>
      </c>
      <c r="B1016" t="s">
        <v>137</v>
      </c>
      <c r="C1016">
        <v>9</v>
      </c>
      <c r="D1016">
        <f>IF(cukier10[[#This Row],[nip_klienta]]=B1015,D1015+cukier10[[#This Row],[sprzedany_cukier]],cukier10[[#This Row],[sprzedany_cukier]])</f>
        <v>35</v>
      </c>
      <c r="E1016" cm="1">
        <f t="array" ref="E10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16">
        <f>cukier10[[#This Row],[sprzedany_cukier]]*cukier10[[#This Row],[rabat]]</f>
        <v>0</v>
      </c>
    </row>
    <row r="1017" spans="1:6" x14ac:dyDescent="0.25">
      <c r="A1017" s="1">
        <v>41761</v>
      </c>
      <c r="B1017" t="s">
        <v>137</v>
      </c>
      <c r="C1017">
        <v>4</v>
      </c>
      <c r="D1017">
        <f>IF(cukier10[[#This Row],[nip_klienta]]=B1016,D1016+cukier10[[#This Row],[sprzedany_cukier]],cukier10[[#This Row],[sprzedany_cukier]])</f>
        <v>39</v>
      </c>
      <c r="E1017" cm="1">
        <f t="array" ref="E10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17">
        <f>cukier10[[#This Row],[sprzedany_cukier]]*cukier10[[#This Row],[rabat]]</f>
        <v>0</v>
      </c>
    </row>
    <row r="1018" spans="1:6" x14ac:dyDescent="0.25">
      <c r="A1018" s="1">
        <v>39055</v>
      </c>
      <c r="B1018" t="s">
        <v>130</v>
      </c>
      <c r="C1018">
        <v>7</v>
      </c>
      <c r="D1018">
        <f>IF(cukier10[[#This Row],[nip_klienta]]=B1017,D1017+cukier10[[#This Row],[sprzedany_cukier]],cukier10[[#This Row],[sprzedany_cukier]])</f>
        <v>7</v>
      </c>
      <c r="E1018" cm="1">
        <f t="array" ref="E10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18">
        <f>cukier10[[#This Row],[sprzedany_cukier]]*cukier10[[#This Row],[rabat]]</f>
        <v>0</v>
      </c>
    </row>
    <row r="1019" spans="1:6" x14ac:dyDescent="0.25">
      <c r="A1019" s="1">
        <v>39227</v>
      </c>
      <c r="B1019" t="s">
        <v>130</v>
      </c>
      <c r="C1019">
        <v>4</v>
      </c>
      <c r="D1019">
        <f>IF(cukier10[[#This Row],[nip_klienta]]=B1018,D1018+cukier10[[#This Row],[sprzedany_cukier]],cukier10[[#This Row],[sprzedany_cukier]])</f>
        <v>11</v>
      </c>
      <c r="E1019" cm="1">
        <f t="array" ref="E10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19">
        <f>cukier10[[#This Row],[sprzedany_cukier]]*cukier10[[#This Row],[rabat]]</f>
        <v>0</v>
      </c>
    </row>
    <row r="1020" spans="1:6" x14ac:dyDescent="0.25">
      <c r="A1020" s="1">
        <v>41185</v>
      </c>
      <c r="B1020" t="s">
        <v>130</v>
      </c>
      <c r="C1020">
        <v>14</v>
      </c>
      <c r="D1020">
        <f>IF(cukier10[[#This Row],[nip_klienta]]=B1019,D1019+cukier10[[#This Row],[sprzedany_cukier]],cukier10[[#This Row],[sprzedany_cukier]])</f>
        <v>25</v>
      </c>
      <c r="E1020" cm="1">
        <f t="array" ref="E10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20">
        <f>cukier10[[#This Row],[sprzedany_cukier]]*cukier10[[#This Row],[rabat]]</f>
        <v>0</v>
      </c>
    </row>
    <row r="1021" spans="1:6" x14ac:dyDescent="0.25">
      <c r="A1021" s="1">
        <v>41574</v>
      </c>
      <c r="B1021" t="s">
        <v>130</v>
      </c>
      <c r="C1021">
        <v>7</v>
      </c>
      <c r="D1021">
        <f>IF(cukier10[[#This Row],[nip_klienta]]=B1020,D1020+cukier10[[#This Row],[sprzedany_cukier]],cukier10[[#This Row],[sprzedany_cukier]])</f>
        <v>32</v>
      </c>
      <c r="E1021" cm="1">
        <f t="array" ref="E10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21">
        <f>cukier10[[#This Row],[sprzedany_cukier]]*cukier10[[#This Row],[rabat]]</f>
        <v>0</v>
      </c>
    </row>
    <row r="1022" spans="1:6" x14ac:dyDescent="0.25">
      <c r="A1022" s="1">
        <v>41795</v>
      </c>
      <c r="B1022" t="s">
        <v>130</v>
      </c>
      <c r="C1022">
        <v>9</v>
      </c>
      <c r="D1022">
        <f>IF(cukier10[[#This Row],[nip_klienta]]=B1021,D1021+cukier10[[#This Row],[sprzedany_cukier]],cukier10[[#This Row],[sprzedany_cukier]])</f>
        <v>41</v>
      </c>
      <c r="E1022" cm="1">
        <f t="array" ref="E10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22">
        <f>cukier10[[#This Row],[sprzedany_cukier]]*cukier10[[#This Row],[rabat]]</f>
        <v>0</v>
      </c>
    </row>
    <row r="1023" spans="1:6" x14ac:dyDescent="0.25">
      <c r="A1023" s="1">
        <v>38513</v>
      </c>
      <c r="B1023" t="s">
        <v>52</v>
      </c>
      <c r="C1023">
        <v>46</v>
      </c>
      <c r="D1023">
        <f>IF(cukier10[[#This Row],[nip_klienta]]=B1022,D1022+cukier10[[#This Row],[sprzedany_cukier]],cukier10[[#This Row],[sprzedany_cukier]])</f>
        <v>46</v>
      </c>
      <c r="E1023" cm="1">
        <f t="array" ref="E10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23">
        <f>cukier10[[#This Row],[sprzedany_cukier]]*cukier10[[#This Row],[rabat]]</f>
        <v>0</v>
      </c>
    </row>
    <row r="1024" spans="1:6" x14ac:dyDescent="0.25">
      <c r="A1024" s="1">
        <v>38606</v>
      </c>
      <c r="B1024" t="s">
        <v>52</v>
      </c>
      <c r="C1024">
        <v>89</v>
      </c>
      <c r="D1024">
        <f>IF(cukier10[[#This Row],[nip_klienta]]=B1023,D1023+cukier10[[#This Row],[sprzedany_cukier]],cukier10[[#This Row],[sprzedany_cukier]])</f>
        <v>135</v>
      </c>
      <c r="E1024" cm="1">
        <f t="array" ref="E10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24">
        <f>cukier10[[#This Row],[sprzedany_cukier]]*cukier10[[#This Row],[rabat]]</f>
        <v>4.45</v>
      </c>
    </row>
    <row r="1025" spans="1:6" x14ac:dyDescent="0.25">
      <c r="A1025" s="1">
        <v>38808</v>
      </c>
      <c r="B1025" t="s">
        <v>52</v>
      </c>
      <c r="C1025">
        <v>199</v>
      </c>
      <c r="D1025">
        <f>IF(cukier10[[#This Row],[nip_klienta]]=B1024,D1024+cukier10[[#This Row],[sprzedany_cukier]],cukier10[[#This Row],[sprzedany_cukier]])</f>
        <v>334</v>
      </c>
      <c r="E1025" cm="1">
        <f t="array" ref="E10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25">
        <f>cukier10[[#This Row],[sprzedany_cukier]]*cukier10[[#This Row],[rabat]]</f>
        <v>9.9500000000000011</v>
      </c>
    </row>
    <row r="1026" spans="1:6" x14ac:dyDescent="0.25">
      <c r="A1026" s="1">
        <v>38867</v>
      </c>
      <c r="B1026" t="s">
        <v>52</v>
      </c>
      <c r="C1026">
        <v>72</v>
      </c>
      <c r="D1026">
        <f>IF(cukier10[[#This Row],[nip_klienta]]=B1025,D1025+cukier10[[#This Row],[sprzedany_cukier]],cukier10[[#This Row],[sprzedany_cukier]])</f>
        <v>406</v>
      </c>
      <c r="E1026" cm="1">
        <f t="array" ref="E10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26">
        <f>cukier10[[#This Row],[sprzedany_cukier]]*cukier10[[#This Row],[rabat]]</f>
        <v>3.6</v>
      </c>
    </row>
    <row r="1027" spans="1:6" x14ac:dyDescent="0.25">
      <c r="A1027" s="1">
        <v>38904</v>
      </c>
      <c r="B1027" t="s">
        <v>52</v>
      </c>
      <c r="C1027">
        <v>73</v>
      </c>
      <c r="D1027">
        <f>IF(cukier10[[#This Row],[nip_klienta]]=B1026,D1026+cukier10[[#This Row],[sprzedany_cukier]],cukier10[[#This Row],[sprzedany_cukier]])</f>
        <v>479</v>
      </c>
      <c r="E1027" cm="1">
        <f t="array" ref="E10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27">
        <f>cukier10[[#This Row],[sprzedany_cukier]]*cukier10[[#This Row],[rabat]]</f>
        <v>3.6500000000000004</v>
      </c>
    </row>
    <row r="1028" spans="1:6" x14ac:dyDescent="0.25">
      <c r="A1028" s="1">
        <v>38976</v>
      </c>
      <c r="B1028" t="s">
        <v>52</v>
      </c>
      <c r="C1028">
        <v>197</v>
      </c>
      <c r="D1028">
        <f>IF(cukier10[[#This Row],[nip_klienta]]=B1027,D1027+cukier10[[#This Row],[sprzedany_cukier]],cukier10[[#This Row],[sprzedany_cukier]])</f>
        <v>676</v>
      </c>
      <c r="E1028" cm="1">
        <f t="array" ref="E10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28">
        <f>cukier10[[#This Row],[sprzedany_cukier]]*cukier10[[#This Row],[rabat]]</f>
        <v>9.8500000000000014</v>
      </c>
    </row>
    <row r="1029" spans="1:6" x14ac:dyDescent="0.25">
      <c r="A1029" s="1">
        <v>39312</v>
      </c>
      <c r="B1029" t="s">
        <v>52</v>
      </c>
      <c r="C1029">
        <v>182</v>
      </c>
      <c r="D1029">
        <f>IF(cukier10[[#This Row],[nip_klienta]]=B1028,D1028+cukier10[[#This Row],[sprzedany_cukier]],cukier10[[#This Row],[sprzedany_cukier]])</f>
        <v>858</v>
      </c>
      <c r="E1029" cm="1">
        <f t="array" ref="E10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29">
        <f>cukier10[[#This Row],[sprzedany_cukier]]*cukier10[[#This Row],[rabat]]</f>
        <v>9.1</v>
      </c>
    </row>
    <row r="1030" spans="1:6" x14ac:dyDescent="0.25">
      <c r="A1030" s="1">
        <v>39319</v>
      </c>
      <c r="B1030" t="s">
        <v>52</v>
      </c>
      <c r="C1030">
        <v>93</v>
      </c>
      <c r="D1030">
        <f>IF(cukier10[[#This Row],[nip_klienta]]=B1029,D1029+cukier10[[#This Row],[sprzedany_cukier]],cukier10[[#This Row],[sprzedany_cukier]])</f>
        <v>951</v>
      </c>
      <c r="E1030" cm="1">
        <f t="array" ref="E10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30">
        <f>cukier10[[#This Row],[sprzedany_cukier]]*cukier10[[#This Row],[rabat]]</f>
        <v>4.6500000000000004</v>
      </c>
    </row>
    <row r="1031" spans="1:6" x14ac:dyDescent="0.25">
      <c r="A1031" s="1">
        <v>39389</v>
      </c>
      <c r="B1031" t="s">
        <v>52</v>
      </c>
      <c r="C1031">
        <v>52</v>
      </c>
      <c r="D1031">
        <f>IF(cukier10[[#This Row],[nip_klienta]]=B1030,D1030+cukier10[[#This Row],[sprzedany_cukier]],cukier10[[#This Row],[sprzedany_cukier]])</f>
        <v>1003</v>
      </c>
      <c r="E1031" cm="1">
        <f t="array" ref="E10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31">
        <f>cukier10[[#This Row],[sprzedany_cukier]]*cukier10[[#This Row],[rabat]]</f>
        <v>5.2</v>
      </c>
    </row>
    <row r="1032" spans="1:6" x14ac:dyDescent="0.25">
      <c r="A1032" s="1">
        <v>39412</v>
      </c>
      <c r="B1032" t="s">
        <v>52</v>
      </c>
      <c r="C1032">
        <v>88</v>
      </c>
      <c r="D1032">
        <f>IF(cukier10[[#This Row],[nip_klienta]]=B1031,D1031+cukier10[[#This Row],[sprzedany_cukier]],cukier10[[#This Row],[sprzedany_cukier]])</f>
        <v>1091</v>
      </c>
      <c r="E1032" cm="1">
        <f t="array" ref="E10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32">
        <f>cukier10[[#This Row],[sprzedany_cukier]]*cukier10[[#This Row],[rabat]]</f>
        <v>8.8000000000000007</v>
      </c>
    </row>
    <row r="1033" spans="1:6" x14ac:dyDescent="0.25">
      <c r="A1033" s="1">
        <v>39514</v>
      </c>
      <c r="B1033" t="s">
        <v>52</v>
      </c>
      <c r="C1033">
        <v>129</v>
      </c>
      <c r="D1033">
        <f>IF(cukier10[[#This Row],[nip_klienta]]=B1032,D1032+cukier10[[#This Row],[sprzedany_cukier]],cukier10[[#This Row],[sprzedany_cukier]])</f>
        <v>1220</v>
      </c>
      <c r="E1033" cm="1">
        <f t="array" ref="E10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33">
        <f>cukier10[[#This Row],[sprzedany_cukier]]*cukier10[[#This Row],[rabat]]</f>
        <v>12.9</v>
      </c>
    </row>
    <row r="1034" spans="1:6" x14ac:dyDescent="0.25">
      <c r="A1034" s="1">
        <v>39579</v>
      </c>
      <c r="B1034" t="s">
        <v>52</v>
      </c>
      <c r="C1034">
        <v>82</v>
      </c>
      <c r="D1034">
        <f>IF(cukier10[[#This Row],[nip_klienta]]=B1033,D1033+cukier10[[#This Row],[sprzedany_cukier]],cukier10[[#This Row],[sprzedany_cukier]])</f>
        <v>1302</v>
      </c>
      <c r="E1034" cm="1">
        <f t="array" ref="E10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34">
        <f>cukier10[[#This Row],[sprzedany_cukier]]*cukier10[[#This Row],[rabat]]</f>
        <v>8.2000000000000011</v>
      </c>
    </row>
    <row r="1035" spans="1:6" x14ac:dyDescent="0.25">
      <c r="A1035" s="1">
        <v>39684</v>
      </c>
      <c r="B1035" t="s">
        <v>52</v>
      </c>
      <c r="C1035">
        <v>188</v>
      </c>
      <c r="D1035">
        <f>IF(cukier10[[#This Row],[nip_klienta]]=B1034,D1034+cukier10[[#This Row],[sprzedany_cukier]],cukier10[[#This Row],[sprzedany_cukier]])</f>
        <v>1490</v>
      </c>
      <c r="E1035" cm="1">
        <f t="array" ref="E10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35">
        <f>cukier10[[#This Row],[sprzedany_cukier]]*cukier10[[#This Row],[rabat]]</f>
        <v>18.8</v>
      </c>
    </row>
    <row r="1036" spans="1:6" x14ac:dyDescent="0.25">
      <c r="A1036" s="1">
        <v>39868</v>
      </c>
      <c r="B1036" t="s">
        <v>52</v>
      </c>
      <c r="C1036">
        <v>32</v>
      </c>
      <c r="D1036">
        <f>IF(cukier10[[#This Row],[nip_klienta]]=B1035,D1035+cukier10[[#This Row],[sprzedany_cukier]],cukier10[[#This Row],[sprzedany_cukier]])</f>
        <v>1522</v>
      </c>
      <c r="E1036" cm="1">
        <f t="array" ref="E10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36">
        <f>cukier10[[#This Row],[sprzedany_cukier]]*cukier10[[#This Row],[rabat]]</f>
        <v>3.2</v>
      </c>
    </row>
    <row r="1037" spans="1:6" x14ac:dyDescent="0.25">
      <c r="A1037" s="1">
        <v>39911</v>
      </c>
      <c r="B1037" t="s">
        <v>52</v>
      </c>
      <c r="C1037">
        <v>112</v>
      </c>
      <c r="D1037">
        <f>IF(cukier10[[#This Row],[nip_klienta]]=B1036,D1036+cukier10[[#This Row],[sprzedany_cukier]],cukier10[[#This Row],[sprzedany_cukier]])</f>
        <v>1634</v>
      </c>
      <c r="E1037" cm="1">
        <f t="array" ref="E10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37">
        <f>cukier10[[#This Row],[sprzedany_cukier]]*cukier10[[#This Row],[rabat]]</f>
        <v>11.200000000000001</v>
      </c>
    </row>
    <row r="1038" spans="1:6" x14ac:dyDescent="0.25">
      <c r="A1038" s="1">
        <v>39935</v>
      </c>
      <c r="B1038" t="s">
        <v>52</v>
      </c>
      <c r="C1038">
        <v>51</v>
      </c>
      <c r="D1038">
        <f>IF(cukier10[[#This Row],[nip_klienta]]=B1037,D1037+cukier10[[#This Row],[sprzedany_cukier]],cukier10[[#This Row],[sprzedany_cukier]])</f>
        <v>1685</v>
      </c>
      <c r="E1038" cm="1">
        <f t="array" ref="E10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38">
        <f>cukier10[[#This Row],[sprzedany_cukier]]*cukier10[[#This Row],[rabat]]</f>
        <v>5.1000000000000005</v>
      </c>
    </row>
    <row r="1039" spans="1:6" x14ac:dyDescent="0.25">
      <c r="A1039" s="1">
        <v>39951</v>
      </c>
      <c r="B1039" t="s">
        <v>52</v>
      </c>
      <c r="C1039">
        <v>192</v>
      </c>
      <c r="D1039">
        <f>IF(cukier10[[#This Row],[nip_klienta]]=B1038,D1038+cukier10[[#This Row],[sprzedany_cukier]],cukier10[[#This Row],[sprzedany_cukier]])</f>
        <v>1877</v>
      </c>
      <c r="E1039" cm="1">
        <f t="array" ref="E10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39">
        <f>cukier10[[#This Row],[sprzedany_cukier]]*cukier10[[#This Row],[rabat]]</f>
        <v>19.200000000000003</v>
      </c>
    </row>
    <row r="1040" spans="1:6" x14ac:dyDescent="0.25">
      <c r="A1040" s="1">
        <v>39987</v>
      </c>
      <c r="B1040" t="s">
        <v>52</v>
      </c>
      <c r="C1040">
        <v>25</v>
      </c>
      <c r="D1040">
        <f>IF(cukier10[[#This Row],[nip_klienta]]=B1039,D1039+cukier10[[#This Row],[sprzedany_cukier]],cukier10[[#This Row],[sprzedany_cukier]])</f>
        <v>1902</v>
      </c>
      <c r="E1040" cm="1">
        <f t="array" ref="E10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40">
        <f>cukier10[[#This Row],[sprzedany_cukier]]*cukier10[[#This Row],[rabat]]</f>
        <v>2.5</v>
      </c>
    </row>
    <row r="1041" spans="1:6" x14ac:dyDescent="0.25">
      <c r="A1041" s="1">
        <v>40201</v>
      </c>
      <c r="B1041" t="s">
        <v>52</v>
      </c>
      <c r="C1041">
        <v>128</v>
      </c>
      <c r="D1041">
        <f>IF(cukier10[[#This Row],[nip_klienta]]=B1040,D1040+cukier10[[#This Row],[sprzedany_cukier]],cukier10[[#This Row],[sprzedany_cukier]])</f>
        <v>2030</v>
      </c>
      <c r="E1041" cm="1">
        <f t="array" ref="E10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41">
        <f>cukier10[[#This Row],[sprzedany_cukier]]*cukier10[[#This Row],[rabat]]</f>
        <v>12.8</v>
      </c>
    </row>
    <row r="1042" spans="1:6" x14ac:dyDescent="0.25">
      <c r="A1042" s="1">
        <v>40270</v>
      </c>
      <c r="B1042" t="s">
        <v>52</v>
      </c>
      <c r="C1042">
        <v>119</v>
      </c>
      <c r="D1042">
        <f>IF(cukier10[[#This Row],[nip_klienta]]=B1041,D1041+cukier10[[#This Row],[sprzedany_cukier]],cukier10[[#This Row],[sprzedany_cukier]])</f>
        <v>2149</v>
      </c>
      <c r="E1042" cm="1">
        <f t="array" ref="E10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42">
        <f>cukier10[[#This Row],[sprzedany_cukier]]*cukier10[[#This Row],[rabat]]</f>
        <v>11.9</v>
      </c>
    </row>
    <row r="1043" spans="1:6" x14ac:dyDescent="0.25">
      <c r="A1043" s="1">
        <v>40282</v>
      </c>
      <c r="B1043" t="s">
        <v>52</v>
      </c>
      <c r="C1043">
        <v>69</v>
      </c>
      <c r="D1043">
        <f>IF(cukier10[[#This Row],[nip_klienta]]=B1042,D1042+cukier10[[#This Row],[sprzedany_cukier]],cukier10[[#This Row],[sprzedany_cukier]])</f>
        <v>2218</v>
      </c>
      <c r="E1043" cm="1">
        <f t="array" ref="E10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43">
        <f>cukier10[[#This Row],[sprzedany_cukier]]*cukier10[[#This Row],[rabat]]</f>
        <v>6.9</v>
      </c>
    </row>
    <row r="1044" spans="1:6" x14ac:dyDescent="0.25">
      <c r="A1044" s="1">
        <v>40285</v>
      </c>
      <c r="B1044" t="s">
        <v>52</v>
      </c>
      <c r="C1044">
        <v>165</v>
      </c>
      <c r="D1044">
        <f>IF(cukier10[[#This Row],[nip_klienta]]=B1043,D1043+cukier10[[#This Row],[sprzedany_cukier]],cukier10[[#This Row],[sprzedany_cukier]])</f>
        <v>2383</v>
      </c>
      <c r="E1044" cm="1">
        <f t="array" ref="E10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44">
        <f>cukier10[[#This Row],[sprzedany_cukier]]*cukier10[[#This Row],[rabat]]</f>
        <v>16.5</v>
      </c>
    </row>
    <row r="1045" spans="1:6" x14ac:dyDescent="0.25">
      <c r="A1045" s="1">
        <v>40321</v>
      </c>
      <c r="B1045" t="s">
        <v>52</v>
      </c>
      <c r="C1045">
        <v>127</v>
      </c>
      <c r="D1045">
        <f>IF(cukier10[[#This Row],[nip_klienta]]=B1044,D1044+cukier10[[#This Row],[sprzedany_cukier]],cukier10[[#This Row],[sprzedany_cukier]])</f>
        <v>2510</v>
      </c>
      <c r="E1045" cm="1">
        <f t="array" ref="E10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45">
        <f>cukier10[[#This Row],[sprzedany_cukier]]*cukier10[[#This Row],[rabat]]</f>
        <v>12.700000000000001</v>
      </c>
    </row>
    <row r="1046" spans="1:6" x14ac:dyDescent="0.25">
      <c r="A1046" s="1">
        <v>40332</v>
      </c>
      <c r="B1046" t="s">
        <v>52</v>
      </c>
      <c r="C1046">
        <v>79</v>
      </c>
      <c r="D1046">
        <f>IF(cukier10[[#This Row],[nip_klienta]]=B1045,D1045+cukier10[[#This Row],[sprzedany_cukier]],cukier10[[#This Row],[sprzedany_cukier]])</f>
        <v>2589</v>
      </c>
      <c r="E1046" cm="1">
        <f t="array" ref="E10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46">
        <f>cukier10[[#This Row],[sprzedany_cukier]]*cukier10[[#This Row],[rabat]]</f>
        <v>7.9</v>
      </c>
    </row>
    <row r="1047" spans="1:6" x14ac:dyDescent="0.25">
      <c r="A1047" s="1">
        <v>40390</v>
      </c>
      <c r="B1047" t="s">
        <v>52</v>
      </c>
      <c r="C1047">
        <v>155</v>
      </c>
      <c r="D1047">
        <f>IF(cukier10[[#This Row],[nip_klienta]]=B1046,D1046+cukier10[[#This Row],[sprzedany_cukier]],cukier10[[#This Row],[sprzedany_cukier]])</f>
        <v>2744</v>
      </c>
      <c r="E1047" cm="1">
        <f t="array" ref="E10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47">
        <f>cukier10[[#This Row],[sprzedany_cukier]]*cukier10[[#This Row],[rabat]]</f>
        <v>15.5</v>
      </c>
    </row>
    <row r="1048" spans="1:6" x14ac:dyDescent="0.25">
      <c r="A1048" s="1">
        <v>40467</v>
      </c>
      <c r="B1048" t="s">
        <v>52</v>
      </c>
      <c r="C1048">
        <v>136</v>
      </c>
      <c r="D1048">
        <f>IF(cukier10[[#This Row],[nip_klienta]]=B1047,D1047+cukier10[[#This Row],[sprzedany_cukier]],cukier10[[#This Row],[sprzedany_cukier]])</f>
        <v>2880</v>
      </c>
      <c r="E1048" cm="1">
        <f t="array" ref="E10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48">
        <f>cukier10[[#This Row],[sprzedany_cukier]]*cukier10[[#This Row],[rabat]]</f>
        <v>13.600000000000001</v>
      </c>
    </row>
    <row r="1049" spans="1:6" x14ac:dyDescent="0.25">
      <c r="A1049" s="1">
        <v>40520</v>
      </c>
      <c r="B1049" t="s">
        <v>52</v>
      </c>
      <c r="C1049">
        <v>88</v>
      </c>
      <c r="D1049">
        <f>IF(cukier10[[#This Row],[nip_klienta]]=B1048,D1048+cukier10[[#This Row],[sprzedany_cukier]],cukier10[[#This Row],[sprzedany_cukier]])</f>
        <v>2968</v>
      </c>
      <c r="E1049" cm="1">
        <f t="array" ref="E10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49">
        <f>cukier10[[#This Row],[sprzedany_cukier]]*cukier10[[#This Row],[rabat]]</f>
        <v>8.8000000000000007</v>
      </c>
    </row>
    <row r="1050" spans="1:6" x14ac:dyDescent="0.25">
      <c r="A1050" s="1">
        <v>40561</v>
      </c>
      <c r="B1050" t="s">
        <v>52</v>
      </c>
      <c r="C1050">
        <v>165</v>
      </c>
      <c r="D1050">
        <f>IF(cukier10[[#This Row],[nip_klienta]]=B1049,D1049+cukier10[[#This Row],[sprzedany_cukier]],cukier10[[#This Row],[sprzedany_cukier]])</f>
        <v>3133</v>
      </c>
      <c r="E1050" cm="1">
        <f t="array" ref="E10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50">
        <f>cukier10[[#This Row],[sprzedany_cukier]]*cukier10[[#This Row],[rabat]]</f>
        <v>16.5</v>
      </c>
    </row>
    <row r="1051" spans="1:6" x14ac:dyDescent="0.25">
      <c r="A1051" s="1">
        <v>40628</v>
      </c>
      <c r="B1051" t="s">
        <v>52</v>
      </c>
      <c r="C1051">
        <v>119</v>
      </c>
      <c r="D1051">
        <f>IF(cukier10[[#This Row],[nip_klienta]]=B1050,D1050+cukier10[[#This Row],[sprzedany_cukier]],cukier10[[#This Row],[sprzedany_cukier]])</f>
        <v>3252</v>
      </c>
      <c r="E1051" cm="1">
        <f t="array" ref="E10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51">
        <f>cukier10[[#This Row],[sprzedany_cukier]]*cukier10[[#This Row],[rabat]]</f>
        <v>11.9</v>
      </c>
    </row>
    <row r="1052" spans="1:6" x14ac:dyDescent="0.25">
      <c r="A1052" s="1">
        <v>40695</v>
      </c>
      <c r="B1052" t="s">
        <v>52</v>
      </c>
      <c r="C1052">
        <v>132</v>
      </c>
      <c r="D1052">
        <f>IF(cukier10[[#This Row],[nip_klienta]]=B1051,D1051+cukier10[[#This Row],[sprzedany_cukier]],cukier10[[#This Row],[sprzedany_cukier]])</f>
        <v>3384</v>
      </c>
      <c r="E1052" cm="1">
        <f t="array" ref="E10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52">
        <f>cukier10[[#This Row],[sprzedany_cukier]]*cukier10[[#This Row],[rabat]]</f>
        <v>13.200000000000001</v>
      </c>
    </row>
    <row r="1053" spans="1:6" x14ac:dyDescent="0.25">
      <c r="A1053" s="1">
        <v>40702</v>
      </c>
      <c r="B1053" t="s">
        <v>52</v>
      </c>
      <c r="C1053">
        <v>54</v>
      </c>
      <c r="D1053">
        <f>IF(cukier10[[#This Row],[nip_klienta]]=B1052,D1052+cukier10[[#This Row],[sprzedany_cukier]],cukier10[[#This Row],[sprzedany_cukier]])</f>
        <v>3438</v>
      </c>
      <c r="E1053" cm="1">
        <f t="array" ref="E10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53">
        <f>cukier10[[#This Row],[sprzedany_cukier]]*cukier10[[#This Row],[rabat]]</f>
        <v>5.4</v>
      </c>
    </row>
    <row r="1054" spans="1:6" x14ac:dyDescent="0.25">
      <c r="A1054" s="1">
        <v>40717</v>
      </c>
      <c r="B1054" t="s">
        <v>52</v>
      </c>
      <c r="C1054">
        <v>187</v>
      </c>
      <c r="D1054">
        <f>IF(cukier10[[#This Row],[nip_klienta]]=B1053,D1053+cukier10[[#This Row],[sprzedany_cukier]],cukier10[[#This Row],[sprzedany_cukier]])</f>
        <v>3625</v>
      </c>
      <c r="E1054" cm="1">
        <f t="array" ref="E10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54">
        <f>cukier10[[#This Row],[sprzedany_cukier]]*cukier10[[#This Row],[rabat]]</f>
        <v>18.7</v>
      </c>
    </row>
    <row r="1055" spans="1:6" x14ac:dyDescent="0.25">
      <c r="A1055" s="1">
        <v>40737</v>
      </c>
      <c r="B1055" t="s">
        <v>52</v>
      </c>
      <c r="C1055">
        <v>200</v>
      </c>
      <c r="D1055">
        <f>IF(cukier10[[#This Row],[nip_klienta]]=B1054,D1054+cukier10[[#This Row],[sprzedany_cukier]],cukier10[[#This Row],[sprzedany_cukier]])</f>
        <v>3825</v>
      </c>
      <c r="E1055" cm="1">
        <f t="array" ref="E10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55">
        <f>cukier10[[#This Row],[sprzedany_cukier]]*cukier10[[#This Row],[rabat]]</f>
        <v>20</v>
      </c>
    </row>
    <row r="1056" spans="1:6" x14ac:dyDescent="0.25">
      <c r="A1056" s="1">
        <v>40904</v>
      </c>
      <c r="B1056" t="s">
        <v>52</v>
      </c>
      <c r="C1056">
        <v>57</v>
      </c>
      <c r="D1056">
        <f>IF(cukier10[[#This Row],[nip_klienta]]=B1055,D1055+cukier10[[#This Row],[sprzedany_cukier]],cukier10[[#This Row],[sprzedany_cukier]])</f>
        <v>3882</v>
      </c>
      <c r="E1056" cm="1">
        <f t="array" ref="E10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56">
        <f>cukier10[[#This Row],[sprzedany_cukier]]*cukier10[[#This Row],[rabat]]</f>
        <v>5.7</v>
      </c>
    </row>
    <row r="1057" spans="1:6" x14ac:dyDescent="0.25">
      <c r="A1057" s="1">
        <v>40927</v>
      </c>
      <c r="B1057" t="s">
        <v>52</v>
      </c>
      <c r="C1057">
        <v>128</v>
      </c>
      <c r="D1057">
        <f>IF(cukier10[[#This Row],[nip_klienta]]=B1056,D1056+cukier10[[#This Row],[sprzedany_cukier]],cukier10[[#This Row],[sprzedany_cukier]])</f>
        <v>4010</v>
      </c>
      <c r="E1057" cm="1">
        <f t="array" ref="E10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57">
        <f>cukier10[[#This Row],[sprzedany_cukier]]*cukier10[[#This Row],[rabat]]</f>
        <v>12.8</v>
      </c>
    </row>
    <row r="1058" spans="1:6" x14ac:dyDescent="0.25">
      <c r="A1058" s="1">
        <v>40933</v>
      </c>
      <c r="B1058" t="s">
        <v>52</v>
      </c>
      <c r="C1058">
        <v>47</v>
      </c>
      <c r="D1058">
        <f>IF(cukier10[[#This Row],[nip_klienta]]=B1057,D1057+cukier10[[#This Row],[sprzedany_cukier]],cukier10[[#This Row],[sprzedany_cukier]])</f>
        <v>4057</v>
      </c>
      <c r="E1058" cm="1">
        <f t="array" ref="E10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58">
        <f>cukier10[[#This Row],[sprzedany_cukier]]*cukier10[[#This Row],[rabat]]</f>
        <v>4.7</v>
      </c>
    </row>
    <row r="1059" spans="1:6" x14ac:dyDescent="0.25">
      <c r="A1059" s="1">
        <v>41136</v>
      </c>
      <c r="B1059" t="s">
        <v>52</v>
      </c>
      <c r="C1059">
        <v>189</v>
      </c>
      <c r="D1059">
        <f>IF(cukier10[[#This Row],[nip_klienta]]=B1058,D1058+cukier10[[#This Row],[sprzedany_cukier]],cukier10[[#This Row],[sprzedany_cukier]])</f>
        <v>4246</v>
      </c>
      <c r="E1059" cm="1">
        <f t="array" ref="E10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59">
        <f>cukier10[[#This Row],[sprzedany_cukier]]*cukier10[[#This Row],[rabat]]</f>
        <v>18.900000000000002</v>
      </c>
    </row>
    <row r="1060" spans="1:6" x14ac:dyDescent="0.25">
      <c r="A1060" s="1">
        <v>41157</v>
      </c>
      <c r="B1060" t="s">
        <v>52</v>
      </c>
      <c r="C1060">
        <v>59</v>
      </c>
      <c r="D1060">
        <f>IF(cukier10[[#This Row],[nip_klienta]]=B1059,D1059+cukier10[[#This Row],[sprzedany_cukier]],cukier10[[#This Row],[sprzedany_cukier]])</f>
        <v>4305</v>
      </c>
      <c r="E1060" cm="1">
        <f t="array" ref="E10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60">
        <f>cukier10[[#This Row],[sprzedany_cukier]]*cukier10[[#This Row],[rabat]]</f>
        <v>5.9</v>
      </c>
    </row>
    <row r="1061" spans="1:6" x14ac:dyDescent="0.25">
      <c r="A1061" s="1">
        <v>41180</v>
      </c>
      <c r="B1061" t="s">
        <v>52</v>
      </c>
      <c r="C1061">
        <v>45</v>
      </c>
      <c r="D1061">
        <f>IF(cukier10[[#This Row],[nip_klienta]]=B1060,D1060+cukier10[[#This Row],[sprzedany_cukier]],cukier10[[#This Row],[sprzedany_cukier]])</f>
        <v>4350</v>
      </c>
      <c r="E1061" cm="1">
        <f t="array" ref="E10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61">
        <f>cukier10[[#This Row],[sprzedany_cukier]]*cukier10[[#This Row],[rabat]]</f>
        <v>4.5</v>
      </c>
    </row>
    <row r="1062" spans="1:6" x14ac:dyDescent="0.25">
      <c r="A1062" s="1">
        <v>41294</v>
      </c>
      <c r="B1062" t="s">
        <v>52</v>
      </c>
      <c r="C1062">
        <v>186</v>
      </c>
      <c r="D1062">
        <f>IF(cukier10[[#This Row],[nip_klienta]]=B1061,D1061+cukier10[[#This Row],[sprzedany_cukier]],cukier10[[#This Row],[sprzedany_cukier]])</f>
        <v>4536</v>
      </c>
      <c r="E1062" cm="1">
        <f t="array" ref="E10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62">
        <f>cukier10[[#This Row],[sprzedany_cukier]]*cukier10[[#This Row],[rabat]]</f>
        <v>18.600000000000001</v>
      </c>
    </row>
    <row r="1063" spans="1:6" x14ac:dyDescent="0.25">
      <c r="A1063" s="1">
        <v>41310</v>
      </c>
      <c r="B1063" t="s">
        <v>52</v>
      </c>
      <c r="C1063">
        <v>56</v>
      </c>
      <c r="D1063">
        <f>IF(cukier10[[#This Row],[nip_klienta]]=B1062,D1062+cukier10[[#This Row],[sprzedany_cukier]],cukier10[[#This Row],[sprzedany_cukier]])</f>
        <v>4592</v>
      </c>
      <c r="E1063" cm="1">
        <f t="array" ref="E10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63">
        <f>cukier10[[#This Row],[sprzedany_cukier]]*cukier10[[#This Row],[rabat]]</f>
        <v>5.6000000000000005</v>
      </c>
    </row>
    <row r="1064" spans="1:6" x14ac:dyDescent="0.25">
      <c r="A1064" s="1">
        <v>41322</v>
      </c>
      <c r="B1064" t="s">
        <v>52</v>
      </c>
      <c r="C1064">
        <v>200</v>
      </c>
      <c r="D1064">
        <f>IF(cukier10[[#This Row],[nip_klienta]]=B1063,D1063+cukier10[[#This Row],[sprzedany_cukier]],cukier10[[#This Row],[sprzedany_cukier]])</f>
        <v>4792</v>
      </c>
      <c r="E1064" cm="1">
        <f t="array" ref="E10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64">
        <f>cukier10[[#This Row],[sprzedany_cukier]]*cukier10[[#This Row],[rabat]]</f>
        <v>20</v>
      </c>
    </row>
    <row r="1065" spans="1:6" x14ac:dyDescent="0.25">
      <c r="A1065" s="1">
        <v>41329</v>
      </c>
      <c r="B1065" t="s">
        <v>52</v>
      </c>
      <c r="C1065">
        <v>98</v>
      </c>
      <c r="D1065">
        <f>IF(cukier10[[#This Row],[nip_klienta]]=B1064,D1064+cukier10[[#This Row],[sprzedany_cukier]],cukier10[[#This Row],[sprzedany_cukier]])</f>
        <v>4890</v>
      </c>
      <c r="E1065" cm="1">
        <f t="array" ref="E10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65">
        <f>cukier10[[#This Row],[sprzedany_cukier]]*cukier10[[#This Row],[rabat]]</f>
        <v>9.8000000000000007</v>
      </c>
    </row>
    <row r="1066" spans="1:6" x14ac:dyDescent="0.25">
      <c r="A1066" s="1">
        <v>41339</v>
      </c>
      <c r="B1066" t="s">
        <v>52</v>
      </c>
      <c r="C1066">
        <v>108</v>
      </c>
      <c r="D1066">
        <f>IF(cukier10[[#This Row],[nip_klienta]]=B1065,D1065+cukier10[[#This Row],[sprzedany_cukier]],cukier10[[#This Row],[sprzedany_cukier]])</f>
        <v>4998</v>
      </c>
      <c r="E1066" cm="1">
        <f t="array" ref="E10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66">
        <f>cukier10[[#This Row],[sprzedany_cukier]]*cukier10[[#This Row],[rabat]]</f>
        <v>10.8</v>
      </c>
    </row>
    <row r="1067" spans="1:6" x14ac:dyDescent="0.25">
      <c r="A1067" s="1">
        <v>41406</v>
      </c>
      <c r="B1067" t="s">
        <v>52</v>
      </c>
      <c r="C1067">
        <v>62</v>
      </c>
      <c r="D1067">
        <f>IF(cukier10[[#This Row],[nip_klienta]]=B1066,D1066+cukier10[[#This Row],[sprzedany_cukier]],cukier10[[#This Row],[sprzedany_cukier]])</f>
        <v>5060</v>
      </c>
      <c r="E1067" cm="1">
        <f t="array" ref="E10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67">
        <f>cukier10[[#This Row],[sprzedany_cukier]]*cukier10[[#This Row],[rabat]]</f>
        <v>6.2</v>
      </c>
    </row>
    <row r="1068" spans="1:6" x14ac:dyDescent="0.25">
      <c r="A1068" s="1">
        <v>41559</v>
      </c>
      <c r="B1068" t="s">
        <v>52</v>
      </c>
      <c r="C1068">
        <v>57</v>
      </c>
      <c r="D1068">
        <f>IF(cukier10[[#This Row],[nip_klienta]]=B1067,D1067+cukier10[[#This Row],[sprzedany_cukier]],cukier10[[#This Row],[sprzedany_cukier]])</f>
        <v>5117</v>
      </c>
      <c r="E1068" cm="1">
        <f t="array" ref="E10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68">
        <f>cukier10[[#This Row],[sprzedany_cukier]]*cukier10[[#This Row],[rabat]]</f>
        <v>5.7</v>
      </c>
    </row>
    <row r="1069" spans="1:6" x14ac:dyDescent="0.25">
      <c r="A1069" s="1">
        <v>41603</v>
      </c>
      <c r="B1069" t="s">
        <v>52</v>
      </c>
      <c r="C1069">
        <v>29</v>
      </c>
      <c r="D1069">
        <f>IF(cukier10[[#This Row],[nip_klienta]]=B1068,D1068+cukier10[[#This Row],[sprzedany_cukier]],cukier10[[#This Row],[sprzedany_cukier]])</f>
        <v>5146</v>
      </c>
      <c r="E1069" cm="1">
        <f t="array" ref="E10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69">
        <f>cukier10[[#This Row],[sprzedany_cukier]]*cukier10[[#This Row],[rabat]]</f>
        <v>2.9000000000000004</v>
      </c>
    </row>
    <row r="1070" spans="1:6" x14ac:dyDescent="0.25">
      <c r="A1070" s="1">
        <v>41798</v>
      </c>
      <c r="B1070" t="s">
        <v>52</v>
      </c>
      <c r="C1070">
        <v>35</v>
      </c>
      <c r="D1070">
        <f>IF(cukier10[[#This Row],[nip_klienta]]=B1069,D1069+cukier10[[#This Row],[sprzedany_cukier]],cukier10[[#This Row],[sprzedany_cukier]])</f>
        <v>5181</v>
      </c>
      <c r="E1070" cm="1">
        <f t="array" ref="E10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70">
        <f>cukier10[[#This Row],[sprzedany_cukier]]*cukier10[[#This Row],[rabat]]</f>
        <v>3.5</v>
      </c>
    </row>
    <row r="1071" spans="1:6" x14ac:dyDescent="0.25">
      <c r="A1071" s="1">
        <v>41830</v>
      </c>
      <c r="B1071" t="s">
        <v>52</v>
      </c>
      <c r="C1071">
        <v>91</v>
      </c>
      <c r="D1071">
        <f>IF(cukier10[[#This Row],[nip_klienta]]=B1070,D1070+cukier10[[#This Row],[sprzedany_cukier]],cukier10[[#This Row],[sprzedany_cukier]])</f>
        <v>5272</v>
      </c>
      <c r="E1071" cm="1">
        <f t="array" ref="E10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71">
        <f>cukier10[[#This Row],[sprzedany_cukier]]*cukier10[[#This Row],[rabat]]</f>
        <v>9.1</v>
      </c>
    </row>
    <row r="1072" spans="1:6" x14ac:dyDescent="0.25">
      <c r="A1072" s="1">
        <v>41935</v>
      </c>
      <c r="B1072" t="s">
        <v>52</v>
      </c>
      <c r="C1072">
        <v>188</v>
      </c>
      <c r="D1072">
        <f>IF(cukier10[[#This Row],[nip_klienta]]=B1071,D1071+cukier10[[#This Row],[sprzedany_cukier]],cukier10[[#This Row],[sprzedany_cukier]])</f>
        <v>5460</v>
      </c>
      <c r="E1072" cm="1">
        <f t="array" ref="E10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72">
        <f>cukier10[[#This Row],[sprzedany_cukier]]*cukier10[[#This Row],[rabat]]</f>
        <v>18.8</v>
      </c>
    </row>
    <row r="1073" spans="1:6" x14ac:dyDescent="0.25">
      <c r="A1073" s="1">
        <v>38529</v>
      </c>
      <c r="B1073" t="s">
        <v>58</v>
      </c>
      <c r="C1073">
        <v>179</v>
      </c>
      <c r="D1073">
        <f>IF(cukier10[[#This Row],[nip_klienta]]=B1072,D1072+cukier10[[#This Row],[sprzedany_cukier]],cukier10[[#This Row],[sprzedany_cukier]])</f>
        <v>179</v>
      </c>
      <c r="E1073" cm="1">
        <f t="array" ref="E10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73">
        <f>cukier10[[#This Row],[sprzedany_cukier]]*cukier10[[#This Row],[rabat]]</f>
        <v>8.9500000000000011</v>
      </c>
    </row>
    <row r="1074" spans="1:6" x14ac:dyDescent="0.25">
      <c r="A1074" s="1">
        <v>38821</v>
      </c>
      <c r="B1074" t="s">
        <v>58</v>
      </c>
      <c r="C1074">
        <v>187</v>
      </c>
      <c r="D1074">
        <f>IF(cukier10[[#This Row],[nip_klienta]]=B1073,D1073+cukier10[[#This Row],[sprzedany_cukier]],cukier10[[#This Row],[sprzedany_cukier]])</f>
        <v>366</v>
      </c>
      <c r="E1074" cm="1">
        <f t="array" ref="E10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74">
        <f>cukier10[[#This Row],[sprzedany_cukier]]*cukier10[[#This Row],[rabat]]</f>
        <v>9.35</v>
      </c>
    </row>
    <row r="1075" spans="1:6" x14ac:dyDescent="0.25">
      <c r="A1075" s="1">
        <v>39514</v>
      </c>
      <c r="B1075" t="s">
        <v>58</v>
      </c>
      <c r="C1075">
        <v>54</v>
      </c>
      <c r="D1075">
        <f>IF(cukier10[[#This Row],[nip_klienta]]=B1074,D1074+cukier10[[#This Row],[sprzedany_cukier]],cukier10[[#This Row],[sprzedany_cukier]])</f>
        <v>420</v>
      </c>
      <c r="E1075" cm="1">
        <f t="array" ref="E10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75">
        <f>cukier10[[#This Row],[sprzedany_cukier]]*cukier10[[#This Row],[rabat]]</f>
        <v>2.7</v>
      </c>
    </row>
    <row r="1076" spans="1:6" x14ac:dyDescent="0.25">
      <c r="A1076" s="1">
        <v>40061</v>
      </c>
      <c r="B1076" t="s">
        <v>58</v>
      </c>
      <c r="C1076">
        <v>105</v>
      </c>
      <c r="D1076">
        <f>IF(cukier10[[#This Row],[nip_klienta]]=B1075,D1075+cukier10[[#This Row],[sprzedany_cukier]],cukier10[[#This Row],[sprzedany_cukier]])</f>
        <v>525</v>
      </c>
      <c r="E1076" cm="1">
        <f t="array" ref="E10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76">
        <f>cukier10[[#This Row],[sprzedany_cukier]]*cukier10[[#This Row],[rabat]]</f>
        <v>5.25</v>
      </c>
    </row>
    <row r="1077" spans="1:6" x14ac:dyDescent="0.25">
      <c r="A1077" s="1">
        <v>40618</v>
      </c>
      <c r="B1077" t="s">
        <v>58</v>
      </c>
      <c r="C1077">
        <v>32</v>
      </c>
      <c r="D1077">
        <f>IF(cukier10[[#This Row],[nip_klienta]]=B1076,D1076+cukier10[[#This Row],[sprzedany_cukier]],cukier10[[#This Row],[sprzedany_cukier]])</f>
        <v>557</v>
      </c>
      <c r="E1077" cm="1">
        <f t="array" ref="E10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77">
        <f>cukier10[[#This Row],[sprzedany_cukier]]*cukier10[[#This Row],[rabat]]</f>
        <v>1.6</v>
      </c>
    </row>
    <row r="1078" spans="1:6" x14ac:dyDescent="0.25">
      <c r="A1078" s="1">
        <v>40651</v>
      </c>
      <c r="B1078" t="s">
        <v>58</v>
      </c>
      <c r="C1078">
        <v>37</v>
      </c>
      <c r="D1078">
        <f>IF(cukier10[[#This Row],[nip_klienta]]=B1077,D1077+cukier10[[#This Row],[sprzedany_cukier]],cukier10[[#This Row],[sprzedany_cukier]])</f>
        <v>594</v>
      </c>
      <c r="E1078" cm="1">
        <f t="array" ref="E10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78">
        <f>cukier10[[#This Row],[sprzedany_cukier]]*cukier10[[#This Row],[rabat]]</f>
        <v>1.85</v>
      </c>
    </row>
    <row r="1079" spans="1:6" x14ac:dyDescent="0.25">
      <c r="A1079" s="1">
        <v>40711</v>
      </c>
      <c r="B1079" t="s">
        <v>58</v>
      </c>
      <c r="C1079">
        <v>181</v>
      </c>
      <c r="D1079">
        <f>IF(cukier10[[#This Row],[nip_klienta]]=B1078,D1078+cukier10[[#This Row],[sprzedany_cukier]],cukier10[[#This Row],[sprzedany_cukier]])</f>
        <v>775</v>
      </c>
      <c r="E1079" cm="1">
        <f t="array" ref="E10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79">
        <f>cukier10[[#This Row],[sprzedany_cukier]]*cukier10[[#This Row],[rabat]]</f>
        <v>9.0500000000000007</v>
      </c>
    </row>
    <row r="1080" spans="1:6" x14ac:dyDescent="0.25">
      <c r="A1080" s="1">
        <v>40872</v>
      </c>
      <c r="B1080" t="s">
        <v>58</v>
      </c>
      <c r="C1080">
        <v>62</v>
      </c>
      <c r="D1080">
        <f>IF(cukier10[[#This Row],[nip_klienta]]=B1079,D1079+cukier10[[#This Row],[sprzedany_cukier]],cukier10[[#This Row],[sprzedany_cukier]])</f>
        <v>837</v>
      </c>
      <c r="E1080" cm="1">
        <f t="array" ref="E10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80">
        <f>cukier10[[#This Row],[sprzedany_cukier]]*cukier10[[#This Row],[rabat]]</f>
        <v>3.1</v>
      </c>
    </row>
    <row r="1081" spans="1:6" x14ac:dyDescent="0.25">
      <c r="A1081" s="1">
        <v>41106</v>
      </c>
      <c r="B1081" t="s">
        <v>58</v>
      </c>
      <c r="C1081">
        <v>34</v>
      </c>
      <c r="D1081">
        <f>IF(cukier10[[#This Row],[nip_klienta]]=B1080,D1080+cukier10[[#This Row],[sprzedany_cukier]],cukier10[[#This Row],[sprzedany_cukier]])</f>
        <v>871</v>
      </c>
      <c r="E1081" cm="1">
        <f t="array" ref="E10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81">
        <f>cukier10[[#This Row],[sprzedany_cukier]]*cukier10[[#This Row],[rabat]]</f>
        <v>1.7000000000000002</v>
      </c>
    </row>
    <row r="1082" spans="1:6" x14ac:dyDescent="0.25">
      <c r="A1082" s="1">
        <v>41361</v>
      </c>
      <c r="B1082" t="s">
        <v>58</v>
      </c>
      <c r="C1082">
        <v>107</v>
      </c>
      <c r="D1082">
        <f>IF(cukier10[[#This Row],[nip_klienta]]=B1081,D1081+cukier10[[#This Row],[sprzedany_cukier]],cukier10[[#This Row],[sprzedany_cukier]])</f>
        <v>978</v>
      </c>
      <c r="E1082" cm="1">
        <f t="array" ref="E10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82">
        <f>cukier10[[#This Row],[sprzedany_cukier]]*cukier10[[#This Row],[rabat]]</f>
        <v>5.3500000000000005</v>
      </c>
    </row>
    <row r="1083" spans="1:6" x14ac:dyDescent="0.25">
      <c r="A1083" s="1">
        <v>41863</v>
      </c>
      <c r="B1083" t="s">
        <v>58</v>
      </c>
      <c r="C1083">
        <v>119</v>
      </c>
      <c r="D1083">
        <f>IF(cukier10[[#This Row],[nip_klienta]]=B1082,D1082+cukier10[[#This Row],[sprzedany_cukier]],cukier10[[#This Row],[sprzedany_cukier]])</f>
        <v>1097</v>
      </c>
      <c r="E1083" cm="1">
        <f t="array" ref="E10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83">
        <f>cukier10[[#This Row],[sprzedany_cukier]]*cukier10[[#This Row],[rabat]]</f>
        <v>11.9</v>
      </c>
    </row>
    <row r="1084" spans="1:6" x14ac:dyDescent="0.25">
      <c r="A1084" s="1">
        <v>41913</v>
      </c>
      <c r="B1084" t="s">
        <v>58</v>
      </c>
      <c r="C1084">
        <v>110</v>
      </c>
      <c r="D1084">
        <f>IF(cukier10[[#This Row],[nip_klienta]]=B1083,D1083+cukier10[[#This Row],[sprzedany_cukier]],cukier10[[#This Row],[sprzedany_cukier]])</f>
        <v>1207</v>
      </c>
      <c r="E1084" cm="1">
        <f t="array" ref="E10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84">
        <f>cukier10[[#This Row],[sprzedany_cukier]]*cukier10[[#This Row],[rabat]]</f>
        <v>11</v>
      </c>
    </row>
    <row r="1085" spans="1:6" x14ac:dyDescent="0.25">
      <c r="A1085" s="1">
        <v>41984</v>
      </c>
      <c r="B1085" t="s">
        <v>58</v>
      </c>
      <c r="C1085">
        <v>197</v>
      </c>
      <c r="D1085">
        <f>IF(cukier10[[#This Row],[nip_klienta]]=B1084,D1084+cukier10[[#This Row],[sprzedany_cukier]],cukier10[[#This Row],[sprzedany_cukier]])</f>
        <v>1404</v>
      </c>
      <c r="E1085" cm="1">
        <f t="array" ref="E10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85">
        <f>cukier10[[#This Row],[sprzedany_cukier]]*cukier10[[#This Row],[rabat]]</f>
        <v>19.700000000000003</v>
      </c>
    </row>
    <row r="1086" spans="1:6" x14ac:dyDescent="0.25">
      <c r="A1086" s="1">
        <v>38570</v>
      </c>
      <c r="B1086" t="s">
        <v>69</v>
      </c>
      <c r="C1086">
        <v>66</v>
      </c>
      <c r="D1086">
        <f>IF(cukier10[[#This Row],[nip_klienta]]=B1085,D1085+cukier10[[#This Row],[sprzedany_cukier]],cukier10[[#This Row],[sprzedany_cukier]])</f>
        <v>66</v>
      </c>
      <c r="E1086" cm="1">
        <f t="array" ref="E10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086">
        <f>cukier10[[#This Row],[sprzedany_cukier]]*cukier10[[#This Row],[rabat]]</f>
        <v>0</v>
      </c>
    </row>
    <row r="1087" spans="1:6" x14ac:dyDescent="0.25">
      <c r="A1087" s="1">
        <v>38592</v>
      </c>
      <c r="B1087" t="s">
        <v>69</v>
      </c>
      <c r="C1087">
        <v>168</v>
      </c>
      <c r="D1087">
        <f>IF(cukier10[[#This Row],[nip_klienta]]=B1086,D1086+cukier10[[#This Row],[sprzedany_cukier]],cukier10[[#This Row],[sprzedany_cukier]])</f>
        <v>234</v>
      </c>
      <c r="E1087" cm="1">
        <f t="array" ref="E10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87">
        <f>cukier10[[#This Row],[sprzedany_cukier]]*cukier10[[#This Row],[rabat]]</f>
        <v>8.4</v>
      </c>
    </row>
    <row r="1088" spans="1:6" x14ac:dyDescent="0.25">
      <c r="A1088" s="1">
        <v>38605</v>
      </c>
      <c r="B1088" t="s">
        <v>69</v>
      </c>
      <c r="C1088">
        <v>106</v>
      </c>
      <c r="D1088">
        <f>IF(cukier10[[#This Row],[nip_klienta]]=B1087,D1087+cukier10[[#This Row],[sprzedany_cukier]],cukier10[[#This Row],[sprzedany_cukier]])</f>
        <v>340</v>
      </c>
      <c r="E1088" cm="1">
        <f t="array" ref="E10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88">
        <f>cukier10[[#This Row],[sprzedany_cukier]]*cukier10[[#This Row],[rabat]]</f>
        <v>5.3000000000000007</v>
      </c>
    </row>
    <row r="1089" spans="1:6" x14ac:dyDescent="0.25">
      <c r="A1089" s="1">
        <v>38652</v>
      </c>
      <c r="B1089" t="s">
        <v>69</v>
      </c>
      <c r="C1089">
        <v>53</v>
      </c>
      <c r="D1089">
        <f>IF(cukier10[[#This Row],[nip_klienta]]=B1088,D1088+cukier10[[#This Row],[sprzedany_cukier]],cukier10[[#This Row],[sprzedany_cukier]])</f>
        <v>393</v>
      </c>
      <c r="E1089" cm="1">
        <f t="array" ref="E10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89">
        <f>cukier10[[#This Row],[sprzedany_cukier]]*cukier10[[#This Row],[rabat]]</f>
        <v>2.6500000000000004</v>
      </c>
    </row>
    <row r="1090" spans="1:6" x14ac:dyDescent="0.25">
      <c r="A1090" s="1">
        <v>38674</v>
      </c>
      <c r="B1090" t="s">
        <v>69</v>
      </c>
      <c r="C1090">
        <v>58</v>
      </c>
      <c r="D1090">
        <f>IF(cukier10[[#This Row],[nip_klienta]]=B1089,D1089+cukier10[[#This Row],[sprzedany_cukier]],cukier10[[#This Row],[sprzedany_cukier]])</f>
        <v>451</v>
      </c>
      <c r="E1090" cm="1">
        <f t="array" ref="E10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90">
        <f>cukier10[[#This Row],[sprzedany_cukier]]*cukier10[[#This Row],[rabat]]</f>
        <v>2.9000000000000004</v>
      </c>
    </row>
    <row r="1091" spans="1:6" x14ac:dyDescent="0.25">
      <c r="A1091" s="1">
        <v>39021</v>
      </c>
      <c r="B1091" t="s">
        <v>69</v>
      </c>
      <c r="C1091">
        <v>122</v>
      </c>
      <c r="D1091">
        <f>IF(cukier10[[#This Row],[nip_klienta]]=B1090,D1090+cukier10[[#This Row],[sprzedany_cukier]],cukier10[[#This Row],[sprzedany_cukier]])</f>
        <v>573</v>
      </c>
      <c r="E1091" cm="1">
        <f t="array" ref="E10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91">
        <f>cukier10[[#This Row],[sprzedany_cukier]]*cukier10[[#This Row],[rabat]]</f>
        <v>6.1000000000000005</v>
      </c>
    </row>
    <row r="1092" spans="1:6" x14ac:dyDescent="0.25">
      <c r="A1092" s="1">
        <v>39058</v>
      </c>
      <c r="B1092" t="s">
        <v>69</v>
      </c>
      <c r="C1092">
        <v>58</v>
      </c>
      <c r="D1092">
        <f>IF(cukier10[[#This Row],[nip_klienta]]=B1091,D1091+cukier10[[#This Row],[sprzedany_cukier]],cukier10[[#This Row],[sprzedany_cukier]])</f>
        <v>631</v>
      </c>
      <c r="E1092" cm="1">
        <f t="array" ref="E10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92">
        <f>cukier10[[#This Row],[sprzedany_cukier]]*cukier10[[#This Row],[rabat]]</f>
        <v>2.9000000000000004</v>
      </c>
    </row>
    <row r="1093" spans="1:6" x14ac:dyDescent="0.25">
      <c r="A1093" s="1">
        <v>39124</v>
      </c>
      <c r="B1093" t="s">
        <v>69</v>
      </c>
      <c r="C1093">
        <v>23</v>
      </c>
      <c r="D1093">
        <f>IF(cukier10[[#This Row],[nip_klienta]]=B1092,D1092+cukier10[[#This Row],[sprzedany_cukier]],cukier10[[#This Row],[sprzedany_cukier]])</f>
        <v>654</v>
      </c>
      <c r="E1093" cm="1">
        <f t="array" ref="E10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93">
        <f>cukier10[[#This Row],[sprzedany_cukier]]*cukier10[[#This Row],[rabat]]</f>
        <v>1.1500000000000001</v>
      </c>
    </row>
    <row r="1094" spans="1:6" x14ac:dyDescent="0.25">
      <c r="A1094" s="1">
        <v>39283</v>
      </c>
      <c r="B1094" t="s">
        <v>69</v>
      </c>
      <c r="C1094">
        <v>47</v>
      </c>
      <c r="D1094">
        <f>IF(cukier10[[#This Row],[nip_klienta]]=B1093,D1093+cukier10[[#This Row],[sprzedany_cukier]],cukier10[[#This Row],[sprzedany_cukier]])</f>
        <v>701</v>
      </c>
      <c r="E1094" cm="1">
        <f t="array" ref="E10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94">
        <f>cukier10[[#This Row],[sprzedany_cukier]]*cukier10[[#This Row],[rabat]]</f>
        <v>2.35</v>
      </c>
    </row>
    <row r="1095" spans="1:6" x14ac:dyDescent="0.25">
      <c r="A1095" s="1">
        <v>39398</v>
      </c>
      <c r="B1095" t="s">
        <v>69</v>
      </c>
      <c r="C1095">
        <v>168</v>
      </c>
      <c r="D1095">
        <f>IF(cukier10[[#This Row],[nip_klienta]]=B1094,D1094+cukier10[[#This Row],[sprzedany_cukier]],cukier10[[#This Row],[sprzedany_cukier]])</f>
        <v>869</v>
      </c>
      <c r="E1095" cm="1">
        <f t="array" ref="E10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95">
        <f>cukier10[[#This Row],[sprzedany_cukier]]*cukier10[[#This Row],[rabat]]</f>
        <v>8.4</v>
      </c>
    </row>
    <row r="1096" spans="1:6" x14ac:dyDescent="0.25">
      <c r="A1096" s="1">
        <v>39399</v>
      </c>
      <c r="B1096" t="s">
        <v>69</v>
      </c>
      <c r="C1096">
        <v>69</v>
      </c>
      <c r="D1096">
        <f>IF(cukier10[[#This Row],[nip_klienta]]=B1095,D1095+cukier10[[#This Row],[sprzedany_cukier]],cukier10[[#This Row],[sprzedany_cukier]])</f>
        <v>938</v>
      </c>
      <c r="E1096" cm="1">
        <f t="array" ref="E10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096">
        <f>cukier10[[#This Row],[sprzedany_cukier]]*cukier10[[#This Row],[rabat]]</f>
        <v>3.45</v>
      </c>
    </row>
    <row r="1097" spans="1:6" x14ac:dyDescent="0.25">
      <c r="A1097" s="1">
        <v>39427</v>
      </c>
      <c r="B1097" t="s">
        <v>69</v>
      </c>
      <c r="C1097">
        <v>131</v>
      </c>
      <c r="D1097">
        <f>IF(cukier10[[#This Row],[nip_klienta]]=B1096,D1096+cukier10[[#This Row],[sprzedany_cukier]],cukier10[[#This Row],[sprzedany_cukier]])</f>
        <v>1069</v>
      </c>
      <c r="E1097" cm="1">
        <f t="array" ref="E10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97">
        <f>cukier10[[#This Row],[sprzedany_cukier]]*cukier10[[#This Row],[rabat]]</f>
        <v>13.100000000000001</v>
      </c>
    </row>
    <row r="1098" spans="1:6" x14ac:dyDescent="0.25">
      <c r="A1098" s="1">
        <v>39440</v>
      </c>
      <c r="B1098" t="s">
        <v>69</v>
      </c>
      <c r="C1098">
        <v>86</v>
      </c>
      <c r="D1098">
        <f>IF(cukier10[[#This Row],[nip_klienta]]=B1097,D1097+cukier10[[#This Row],[sprzedany_cukier]],cukier10[[#This Row],[sprzedany_cukier]])</f>
        <v>1155</v>
      </c>
      <c r="E1098" cm="1">
        <f t="array" ref="E10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98">
        <f>cukier10[[#This Row],[sprzedany_cukier]]*cukier10[[#This Row],[rabat]]</f>
        <v>8.6</v>
      </c>
    </row>
    <row r="1099" spans="1:6" x14ac:dyDescent="0.25">
      <c r="A1099" s="1">
        <v>39523</v>
      </c>
      <c r="B1099" t="s">
        <v>69</v>
      </c>
      <c r="C1099">
        <v>91</v>
      </c>
      <c r="D1099">
        <f>IF(cukier10[[#This Row],[nip_klienta]]=B1098,D1098+cukier10[[#This Row],[sprzedany_cukier]],cukier10[[#This Row],[sprzedany_cukier]])</f>
        <v>1246</v>
      </c>
      <c r="E1099" cm="1">
        <f t="array" ref="E10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099">
        <f>cukier10[[#This Row],[sprzedany_cukier]]*cukier10[[#This Row],[rabat]]</f>
        <v>9.1</v>
      </c>
    </row>
    <row r="1100" spans="1:6" x14ac:dyDescent="0.25">
      <c r="A1100" s="1">
        <v>39530</v>
      </c>
      <c r="B1100" t="s">
        <v>69</v>
      </c>
      <c r="C1100">
        <v>106</v>
      </c>
      <c r="D1100">
        <f>IF(cukier10[[#This Row],[nip_klienta]]=B1099,D1099+cukier10[[#This Row],[sprzedany_cukier]],cukier10[[#This Row],[sprzedany_cukier]])</f>
        <v>1352</v>
      </c>
      <c r="E1100" cm="1">
        <f t="array" ref="E11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00">
        <f>cukier10[[#This Row],[sprzedany_cukier]]*cukier10[[#This Row],[rabat]]</f>
        <v>10.600000000000001</v>
      </c>
    </row>
    <row r="1101" spans="1:6" x14ac:dyDescent="0.25">
      <c r="A1101" s="1">
        <v>39541</v>
      </c>
      <c r="B1101" t="s">
        <v>69</v>
      </c>
      <c r="C1101">
        <v>65</v>
      </c>
      <c r="D1101">
        <f>IF(cukier10[[#This Row],[nip_klienta]]=B1100,D1100+cukier10[[#This Row],[sprzedany_cukier]],cukier10[[#This Row],[sprzedany_cukier]])</f>
        <v>1417</v>
      </c>
      <c r="E1101" cm="1">
        <f t="array" ref="E11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01">
        <f>cukier10[[#This Row],[sprzedany_cukier]]*cukier10[[#This Row],[rabat]]</f>
        <v>6.5</v>
      </c>
    </row>
    <row r="1102" spans="1:6" x14ac:dyDescent="0.25">
      <c r="A1102" s="1">
        <v>39643</v>
      </c>
      <c r="B1102" t="s">
        <v>69</v>
      </c>
      <c r="C1102">
        <v>76</v>
      </c>
      <c r="D1102">
        <f>IF(cukier10[[#This Row],[nip_klienta]]=B1101,D1101+cukier10[[#This Row],[sprzedany_cukier]],cukier10[[#This Row],[sprzedany_cukier]])</f>
        <v>1493</v>
      </c>
      <c r="E1102" cm="1">
        <f t="array" ref="E11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02">
        <f>cukier10[[#This Row],[sprzedany_cukier]]*cukier10[[#This Row],[rabat]]</f>
        <v>7.6000000000000005</v>
      </c>
    </row>
    <row r="1103" spans="1:6" x14ac:dyDescent="0.25">
      <c r="A1103" s="1">
        <v>39674</v>
      </c>
      <c r="B1103" t="s">
        <v>69</v>
      </c>
      <c r="C1103">
        <v>107</v>
      </c>
      <c r="D1103">
        <f>IF(cukier10[[#This Row],[nip_klienta]]=B1102,D1102+cukier10[[#This Row],[sprzedany_cukier]],cukier10[[#This Row],[sprzedany_cukier]])</f>
        <v>1600</v>
      </c>
      <c r="E1103" cm="1">
        <f t="array" ref="E11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03">
        <f>cukier10[[#This Row],[sprzedany_cukier]]*cukier10[[#This Row],[rabat]]</f>
        <v>10.700000000000001</v>
      </c>
    </row>
    <row r="1104" spans="1:6" x14ac:dyDescent="0.25">
      <c r="A1104" s="1">
        <v>39676</v>
      </c>
      <c r="B1104" t="s">
        <v>69</v>
      </c>
      <c r="C1104">
        <v>127</v>
      </c>
      <c r="D1104">
        <f>IF(cukier10[[#This Row],[nip_klienta]]=B1103,D1103+cukier10[[#This Row],[sprzedany_cukier]],cukier10[[#This Row],[sprzedany_cukier]])</f>
        <v>1727</v>
      </c>
      <c r="E1104" cm="1">
        <f t="array" ref="E11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04">
        <f>cukier10[[#This Row],[sprzedany_cukier]]*cukier10[[#This Row],[rabat]]</f>
        <v>12.700000000000001</v>
      </c>
    </row>
    <row r="1105" spans="1:6" x14ac:dyDescent="0.25">
      <c r="A1105" s="1">
        <v>39771</v>
      </c>
      <c r="B1105" t="s">
        <v>69</v>
      </c>
      <c r="C1105">
        <v>52</v>
      </c>
      <c r="D1105">
        <f>IF(cukier10[[#This Row],[nip_klienta]]=B1104,D1104+cukier10[[#This Row],[sprzedany_cukier]],cukier10[[#This Row],[sprzedany_cukier]])</f>
        <v>1779</v>
      </c>
      <c r="E1105" cm="1">
        <f t="array" ref="E11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05">
        <f>cukier10[[#This Row],[sprzedany_cukier]]*cukier10[[#This Row],[rabat]]</f>
        <v>5.2</v>
      </c>
    </row>
    <row r="1106" spans="1:6" x14ac:dyDescent="0.25">
      <c r="A1106" s="1">
        <v>39984</v>
      </c>
      <c r="B1106" t="s">
        <v>69</v>
      </c>
      <c r="C1106">
        <v>140</v>
      </c>
      <c r="D1106">
        <f>IF(cukier10[[#This Row],[nip_klienta]]=B1105,D1105+cukier10[[#This Row],[sprzedany_cukier]],cukier10[[#This Row],[sprzedany_cukier]])</f>
        <v>1919</v>
      </c>
      <c r="E1106" cm="1">
        <f t="array" ref="E11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06">
        <f>cukier10[[#This Row],[sprzedany_cukier]]*cukier10[[#This Row],[rabat]]</f>
        <v>14</v>
      </c>
    </row>
    <row r="1107" spans="1:6" x14ac:dyDescent="0.25">
      <c r="A1107" s="1">
        <v>40084</v>
      </c>
      <c r="B1107" t="s">
        <v>69</v>
      </c>
      <c r="C1107">
        <v>97</v>
      </c>
      <c r="D1107">
        <f>IF(cukier10[[#This Row],[nip_klienta]]=B1106,D1106+cukier10[[#This Row],[sprzedany_cukier]],cukier10[[#This Row],[sprzedany_cukier]])</f>
        <v>2016</v>
      </c>
      <c r="E1107" cm="1">
        <f t="array" ref="E11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07">
        <f>cukier10[[#This Row],[sprzedany_cukier]]*cukier10[[#This Row],[rabat]]</f>
        <v>9.7000000000000011</v>
      </c>
    </row>
    <row r="1108" spans="1:6" x14ac:dyDescent="0.25">
      <c r="A1108" s="1">
        <v>40102</v>
      </c>
      <c r="B1108" t="s">
        <v>69</v>
      </c>
      <c r="C1108">
        <v>53</v>
      </c>
      <c r="D1108">
        <f>IF(cukier10[[#This Row],[nip_klienta]]=B1107,D1107+cukier10[[#This Row],[sprzedany_cukier]],cukier10[[#This Row],[sprzedany_cukier]])</f>
        <v>2069</v>
      </c>
      <c r="E1108" cm="1">
        <f t="array" ref="E11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08">
        <f>cukier10[[#This Row],[sprzedany_cukier]]*cukier10[[#This Row],[rabat]]</f>
        <v>5.3000000000000007</v>
      </c>
    </row>
    <row r="1109" spans="1:6" x14ac:dyDescent="0.25">
      <c r="A1109" s="1">
        <v>40342</v>
      </c>
      <c r="B1109" t="s">
        <v>69</v>
      </c>
      <c r="C1109">
        <v>26</v>
      </c>
      <c r="D1109">
        <f>IF(cukier10[[#This Row],[nip_klienta]]=B1108,D1108+cukier10[[#This Row],[sprzedany_cukier]],cukier10[[#This Row],[sprzedany_cukier]])</f>
        <v>2095</v>
      </c>
      <c r="E1109" cm="1">
        <f t="array" ref="E11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09">
        <f>cukier10[[#This Row],[sprzedany_cukier]]*cukier10[[#This Row],[rabat]]</f>
        <v>2.6</v>
      </c>
    </row>
    <row r="1110" spans="1:6" x14ac:dyDescent="0.25">
      <c r="A1110" s="1">
        <v>40412</v>
      </c>
      <c r="B1110" t="s">
        <v>69</v>
      </c>
      <c r="C1110">
        <v>158</v>
      </c>
      <c r="D1110">
        <f>IF(cukier10[[#This Row],[nip_klienta]]=B1109,D1109+cukier10[[#This Row],[sprzedany_cukier]],cukier10[[#This Row],[sprzedany_cukier]])</f>
        <v>2253</v>
      </c>
      <c r="E1110" cm="1">
        <f t="array" ref="E11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10">
        <f>cukier10[[#This Row],[sprzedany_cukier]]*cukier10[[#This Row],[rabat]]</f>
        <v>15.8</v>
      </c>
    </row>
    <row r="1111" spans="1:6" x14ac:dyDescent="0.25">
      <c r="A1111" s="1">
        <v>40484</v>
      </c>
      <c r="B1111" t="s">
        <v>69</v>
      </c>
      <c r="C1111">
        <v>80</v>
      </c>
      <c r="D1111">
        <f>IF(cukier10[[#This Row],[nip_klienta]]=B1110,D1110+cukier10[[#This Row],[sprzedany_cukier]],cukier10[[#This Row],[sprzedany_cukier]])</f>
        <v>2333</v>
      </c>
      <c r="E1111" cm="1">
        <f t="array" ref="E11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11">
        <f>cukier10[[#This Row],[sprzedany_cukier]]*cukier10[[#This Row],[rabat]]</f>
        <v>8</v>
      </c>
    </row>
    <row r="1112" spans="1:6" x14ac:dyDescent="0.25">
      <c r="A1112" s="1">
        <v>40512</v>
      </c>
      <c r="B1112" t="s">
        <v>69</v>
      </c>
      <c r="C1112">
        <v>39</v>
      </c>
      <c r="D1112">
        <f>IF(cukier10[[#This Row],[nip_klienta]]=B1111,D1111+cukier10[[#This Row],[sprzedany_cukier]],cukier10[[#This Row],[sprzedany_cukier]])</f>
        <v>2372</v>
      </c>
      <c r="E1112" cm="1">
        <f t="array" ref="E11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12">
        <f>cukier10[[#This Row],[sprzedany_cukier]]*cukier10[[#This Row],[rabat]]</f>
        <v>3.9000000000000004</v>
      </c>
    </row>
    <row r="1113" spans="1:6" x14ac:dyDescent="0.25">
      <c r="A1113" s="1">
        <v>40633</v>
      </c>
      <c r="B1113" t="s">
        <v>69</v>
      </c>
      <c r="C1113">
        <v>20</v>
      </c>
      <c r="D1113">
        <f>IF(cukier10[[#This Row],[nip_klienta]]=B1112,D1112+cukier10[[#This Row],[sprzedany_cukier]],cukier10[[#This Row],[sprzedany_cukier]])</f>
        <v>2392</v>
      </c>
      <c r="E1113" cm="1">
        <f t="array" ref="E11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13">
        <f>cukier10[[#This Row],[sprzedany_cukier]]*cukier10[[#This Row],[rabat]]</f>
        <v>2</v>
      </c>
    </row>
    <row r="1114" spans="1:6" x14ac:dyDescent="0.25">
      <c r="A1114" s="1">
        <v>40745</v>
      </c>
      <c r="B1114" t="s">
        <v>69</v>
      </c>
      <c r="C1114">
        <v>63</v>
      </c>
      <c r="D1114">
        <f>IF(cukier10[[#This Row],[nip_klienta]]=B1113,D1113+cukier10[[#This Row],[sprzedany_cukier]],cukier10[[#This Row],[sprzedany_cukier]])</f>
        <v>2455</v>
      </c>
      <c r="E1114" cm="1">
        <f t="array" ref="E11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14">
        <f>cukier10[[#This Row],[sprzedany_cukier]]*cukier10[[#This Row],[rabat]]</f>
        <v>6.3000000000000007</v>
      </c>
    </row>
    <row r="1115" spans="1:6" x14ac:dyDescent="0.25">
      <c r="A1115" s="1">
        <v>40973</v>
      </c>
      <c r="B1115" t="s">
        <v>69</v>
      </c>
      <c r="C1115">
        <v>127</v>
      </c>
      <c r="D1115">
        <f>IF(cukier10[[#This Row],[nip_klienta]]=B1114,D1114+cukier10[[#This Row],[sprzedany_cukier]],cukier10[[#This Row],[sprzedany_cukier]])</f>
        <v>2582</v>
      </c>
      <c r="E1115" cm="1">
        <f t="array" ref="E11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15">
        <f>cukier10[[#This Row],[sprzedany_cukier]]*cukier10[[#This Row],[rabat]]</f>
        <v>12.700000000000001</v>
      </c>
    </row>
    <row r="1116" spans="1:6" x14ac:dyDescent="0.25">
      <c r="A1116" s="1">
        <v>41154</v>
      </c>
      <c r="B1116" t="s">
        <v>69</v>
      </c>
      <c r="C1116">
        <v>133</v>
      </c>
      <c r="D1116">
        <f>IF(cukier10[[#This Row],[nip_klienta]]=B1115,D1115+cukier10[[#This Row],[sprzedany_cukier]],cukier10[[#This Row],[sprzedany_cukier]])</f>
        <v>2715</v>
      </c>
      <c r="E1116" cm="1">
        <f t="array" ref="E11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16">
        <f>cukier10[[#This Row],[sprzedany_cukier]]*cukier10[[#This Row],[rabat]]</f>
        <v>13.3</v>
      </c>
    </row>
    <row r="1117" spans="1:6" x14ac:dyDescent="0.25">
      <c r="A1117" s="1">
        <v>41163</v>
      </c>
      <c r="B1117" t="s">
        <v>69</v>
      </c>
      <c r="C1117">
        <v>143</v>
      </c>
      <c r="D1117">
        <f>IF(cukier10[[#This Row],[nip_klienta]]=B1116,D1116+cukier10[[#This Row],[sprzedany_cukier]],cukier10[[#This Row],[sprzedany_cukier]])</f>
        <v>2858</v>
      </c>
      <c r="E1117" cm="1">
        <f t="array" ref="E11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17">
        <f>cukier10[[#This Row],[sprzedany_cukier]]*cukier10[[#This Row],[rabat]]</f>
        <v>14.3</v>
      </c>
    </row>
    <row r="1118" spans="1:6" x14ac:dyDescent="0.25">
      <c r="A1118" s="1">
        <v>41214</v>
      </c>
      <c r="B1118" t="s">
        <v>69</v>
      </c>
      <c r="C1118">
        <v>45</v>
      </c>
      <c r="D1118">
        <f>IF(cukier10[[#This Row],[nip_klienta]]=B1117,D1117+cukier10[[#This Row],[sprzedany_cukier]],cukier10[[#This Row],[sprzedany_cukier]])</f>
        <v>2903</v>
      </c>
      <c r="E1118" cm="1">
        <f t="array" ref="E11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18">
        <f>cukier10[[#This Row],[sprzedany_cukier]]*cukier10[[#This Row],[rabat]]</f>
        <v>4.5</v>
      </c>
    </row>
    <row r="1119" spans="1:6" x14ac:dyDescent="0.25">
      <c r="A1119" s="1">
        <v>41472</v>
      </c>
      <c r="B1119" t="s">
        <v>69</v>
      </c>
      <c r="C1119">
        <v>89</v>
      </c>
      <c r="D1119">
        <f>IF(cukier10[[#This Row],[nip_klienta]]=B1118,D1118+cukier10[[#This Row],[sprzedany_cukier]],cukier10[[#This Row],[sprzedany_cukier]])</f>
        <v>2992</v>
      </c>
      <c r="E1119" cm="1">
        <f t="array" ref="E11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19">
        <f>cukier10[[#This Row],[sprzedany_cukier]]*cukier10[[#This Row],[rabat]]</f>
        <v>8.9</v>
      </c>
    </row>
    <row r="1120" spans="1:6" x14ac:dyDescent="0.25">
      <c r="A1120" s="1">
        <v>41533</v>
      </c>
      <c r="B1120" t="s">
        <v>69</v>
      </c>
      <c r="C1120">
        <v>164</v>
      </c>
      <c r="D1120">
        <f>IF(cukier10[[#This Row],[nip_klienta]]=B1119,D1119+cukier10[[#This Row],[sprzedany_cukier]],cukier10[[#This Row],[sprzedany_cukier]])</f>
        <v>3156</v>
      </c>
      <c r="E1120" cm="1">
        <f t="array" ref="E11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20">
        <f>cukier10[[#This Row],[sprzedany_cukier]]*cukier10[[#This Row],[rabat]]</f>
        <v>16.400000000000002</v>
      </c>
    </row>
    <row r="1121" spans="1:6" x14ac:dyDescent="0.25">
      <c r="A1121" s="1">
        <v>41713</v>
      </c>
      <c r="B1121" t="s">
        <v>69</v>
      </c>
      <c r="C1121">
        <v>146</v>
      </c>
      <c r="D1121">
        <f>IF(cukier10[[#This Row],[nip_klienta]]=B1120,D1120+cukier10[[#This Row],[sprzedany_cukier]],cukier10[[#This Row],[sprzedany_cukier]])</f>
        <v>3302</v>
      </c>
      <c r="E1121" cm="1">
        <f t="array" ref="E11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21">
        <f>cukier10[[#This Row],[sprzedany_cukier]]*cukier10[[#This Row],[rabat]]</f>
        <v>14.600000000000001</v>
      </c>
    </row>
    <row r="1122" spans="1:6" x14ac:dyDescent="0.25">
      <c r="A1122" s="1">
        <v>41778</v>
      </c>
      <c r="B1122" t="s">
        <v>69</v>
      </c>
      <c r="C1122">
        <v>147</v>
      </c>
      <c r="D1122">
        <f>IF(cukier10[[#This Row],[nip_klienta]]=B1121,D1121+cukier10[[#This Row],[sprzedany_cukier]],cukier10[[#This Row],[sprzedany_cukier]])</f>
        <v>3449</v>
      </c>
      <c r="E1122" cm="1">
        <f t="array" ref="E11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22">
        <f>cukier10[[#This Row],[sprzedany_cukier]]*cukier10[[#This Row],[rabat]]</f>
        <v>14.700000000000001</v>
      </c>
    </row>
    <row r="1123" spans="1:6" x14ac:dyDescent="0.25">
      <c r="A1123" s="1">
        <v>41920</v>
      </c>
      <c r="B1123" t="s">
        <v>69</v>
      </c>
      <c r="C1123">
        <v>180</v>
      </c>
      <c r="D1123">
        <f>IF(cukier10[[#This Row],[nip_klienta]]=B1122,D1122+cukier10[[#This Row],[sprzedany_cukier]],cukier10[[#This Row],[sprzedany_cukier]])</f>
        <v>3629</v>
      </c>
      <c r="E1123" cm="1">
        <f t="array" ref="E11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23">
        <f>cukier10[[#This Row],[sprzedany_cukier]]*cukier10[[#This Row],[rabat]]</f>
        <v>18</v>
      </c>
    </row>
    <row r="1124" spans="1:6" x14ac:dyDescent="0.25">
      <c r="A1124" s="1">
        <v>41952</v>
      </c>
      <c r="B1124" t="s">
        <v>69</v>
      </c>
      <c r="C1124">
        <v>68</v>
      </c>
      <c r="D1124">
        <f>IF(cukier10[[#This Row],[nip_klienta]]=B1123,D1123+cukier10[[#This Row],[sprzedany_cukier]],cukier10[[#This Row],[sprzedany_cukier]])</f>
        <v>3697</v>
      </c>
      <c r="E1124" cm="1">
        <f t="array" ref="E11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24">
        <f>cukier10[[#This Row],[sprzedany_cukier]]*cukier10[[#This Row],[rabat]]</f>
        <v>6.8000000000000007</v>
      </c>
    </row>
    <row r="1125" spans="1:6" x14ac:dyDescent="0.25">
      <c r="A1125" s="1">
        <v>41961</v>
      </c>
      <c r="B1125" t="s">
        <v>69</v>
      </c>
      <c r="C1125">
        <v>31</v>
      </c>
      <c r="D1125">
        <f>IF(cukier10[[#This Row],[nip_klienta]]=B1124,D1124+cukier10[[#This Row],[sprzedany_cukier]],cukier10[[#This Row],[sprzedany_cukier]])</f>
        <v>3728</v>
      </c>
      <c r="E1125" cm="1">
        <f t="array" ref="E11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25">
        <f>cukier10[[#This Row],[sprzedany_cukier]]*cukier10[[#This Row],[rabat]]</f>
        <v>3.1</v>
      </c>
    </row>
    <row r="1126" spans="1:6" x14ac:dyDescent="0.25">
      <c r="A1126" s="1">
        <v>41980</v>
      </c>
      <c r="B1126" t="s">
        <v>69</v>
      </c>
      <c r="C1126">
        <v>75</v>
      </c>
      <c r="D1126">
        <f>IF(cukier10[[#This Row],[nip_klienta]]=B1125,D1125+cukier10[[#This Row],[sprzedany_cukier]],cukier10[[#This Row],[sprzedany_cukier]])</f>
        <v>3803</v>
      </c>
      <c r="E1126" cm="1">
        <f t="array" ref="E11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26">
        <f>cukier10[[#This Row],[sprzedany_cukier]]*cukier10[[#This Row],[rabat]]</f>
        <v>7.5</v>
      </c>
    </row>
    <row r="1127" spans="1:6" x14ac:dyDescent="0.25">
      <c r="A1127" s="1">
        <v>40229</v>
      </c>
      <c r="B1127" t="s">
        <v>206</v>
      </c>
      <c r="C1127">
        <v>1</v>
      </c>
      <c r="D1127">
        <f>IF(cukier10[[#This Row],[nip_klienta]]=B1126,D1126+cukier10[[#This Row],[sprzedany_cukier]],cukier10[[#This Row],[sprzedany_cukier]])</f>
        <v>1</v>
      </c>
      <c r="E1127" cm="1">
        <f t="array" ref="E11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27">
        <f>cukier10[[#This Row],[sprzedany_cukier]]*cukier10[[#This Row],[rabat]]</f>
        <v>0</v>
      </c>
    </row>
    <row r="1128" spans="1:6" x14ac:dyDescent="0.25">
      <c r="A1128" s="1">
        <v>41040</v>
      </c>
      <c r="B1128" t="s">
        <v>206</v>
      </c>
      <c r="C1128">
        <v>14</v>
      </c>
      <c r="D1128">
        <f>IF(cukier10[[#This Row],[nip_klienta]]=B1127,D1127+cukier10[[#This Row],[sprzedany_cukier]],cukier10[[#This Row],[sprzedany_cukier]])</f>
        <v>15</v>
      </c>
      <c r="E1128" cm="1">
        <f t="array" ref="E11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28">
        <f>cukier10[[#This Row],[sprzedany_cukier]]*cukier10[[#This Row],[rabat]]</f>
        <v>0</v>
      </c>
    </row>
    <row r="1129" spans="1:6" x14ac:dyDescent="0.25">
      <c r="A1129" s="1">
        <v>41617</v>
      </c>
      <c r="B1129" t="s">
        <v>206</v>
      </c>
      <c r="C1129">
        <v>6</v>
      </c>
      <c r="D1129">
        <f>IF(cukier10[[#This Row],[nip_klienta]]=B1128,D1128+cukier10[[#This Row],[sprzedany_cukier]],cukier10[[#This Row],[sprzedany_cukier]])</f>
        <v>21</v>
      </c>
      <c r="E1129" cm="1">
        <f t="array" ref="E11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29">
        <f>cukier10[[#This Row],[sprzedany_cukier]]*cukier10[[#This Row],[rabat]]</f>
        <v>0</v>
      </c>
    </row>
    <row r="1130" spans="1:6" x14ac:dyDescent="0.25">
      <c r="A1130" s="1">
        <v>38567</v>
      </c>
      <c r="B1130" t="s">
        <v>66</v>
      </c>
      <c r="C1130">
        <v>189</v>
      </c>
      <c r="D1130">
        <f>IF(cukier10[[#This Row],[nip_klienta]]=B1129,D1129+cukier10[[#This Row],[sprzedany_cukier]],cukier10[[#This Row],[sprzedany_cukier]])</f>
        <v>189</v>
      </c>
      <c r="E1130" cm="1">
        <f t="array" ref="E11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130">
        <f>cukier10[[#This Row],[sprzedany_cukier]]*cukier10[[#This Row],[rabat]]</f>
        <v>9.4500000000000011</v>
      </c>
    </row>
    <row r="1131" spans="1:6" x14ac:dyDescent="0.25">
      <c r="A1131" s="1">
        <v>38615</v>
      </c>
      <c r="B1131" t="s">
        <v>66</v>
      </c>
      <c r="C1131">
        <v>89</v>
      </c>
      <c r="D1131">
        <f>IF(cukier10[[#This Row],[nip_klienta]]=B1130,D1130+cukier10[[#This Row],[sprzedany_cukier]],cukier10[[#This Row],[sprzedany_cukier]])</f>
        <v>278</v>
      </c>
      <c r="E1131" cm="1">
        <f t="array" ref="E11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131">
        <f>cukier10[[#This Row],[sprzedany_cukier]]*cukier10[[#This Row],[rabat]]</f>
        <v>4.45</v>
      </c>
    </row>
    <row r="1132" spans="1:6" x14ac:dyDescent="0.25">
      <c r="A1132" s="1">
        <v>38827</v>
      </c>
      <c r="B1132" t="s">
        <v>66</v>
      </c>
      <c r="C1132">
        <v>159</v>
      </c>
      <c r="D1132">
        <f>IF(cukier10[[#This Row],[nip_klienta]]=B1131,D1131+cukier10[[#This Row],[sprzedany_cukier]],cukier10[[#This Row],[sprzedany_cukier]])</f>
        <v>437</v>
      </c>
      <c r="E1132" cm="1">
        <f t="array" ref="E11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132">
        <f>cukier10[[#This Row],[sprzedany_cukier]]*cukier10[[#This Row],[rabat]]</f>
        <v>7.95</v>
      </c>
    </row>
    <row r="1133" spans="1:6" x14ac:dyDescent="0.25">
      <c r="A1133" s="1">
        <v>38861</v>
      </c>
      <c r="B1133" t="s">
        <v>66</v>
      </c>
      <c r="C1133">
        <v>173</v>
      </c>
      <c r="D1133">
        <f>IF(cukier10[[#This Row],[nip_klienta]]=B1132,D1132+cukier10[[#This Row],[sprzedany_cukier]],cukier10[[#This Row],[sprzedany_cukier]])</f>
        <v>610</v>
      </c>
      <c r="E1133" cm="1">
        <f t="array" ref="E11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133">
        <f>cukier10[[#This Row],[sprzedany_cukier]]*cukier10[[#This Row],[rabat]]</f>
        <v>8.65</v>
      </c>
    </row>
    <row r="1134" spans="1:6" x14ac:dyDescent="0.25">
      <c r="A1134" s="1">
        <v>38973</v>
      </c>
      <c r="B1134" t="s">
        <v>66</v>
      </c>
      <c r="C1134">
        <v>52</v>
      </c>
      <c r="D1134">
        <f>IF(cukier10[[#This Row],[nip_klienta]]=B1133,D1133+cukier10[[#This Row],[sprzedany_cukier]],cukier10[[#This Row],[sprzedany_cukier]])</f>
        <v>662</v>
      </c>
      <c r="E1134" cm="1">
        <f t="array" ref="E11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134">
        <f>cukier10[[#This Row],[sprzedany_cukier]]*cukier10[[#This Row],[rabat]]</f>
        <v>2.6</v>
      </c>
    </row>
    <row r="1135" spans="1:6" x14ac:dyDescent="0.25">
      <c r="A1135" s="1">
        <v>39178</v>
      </c>
      <c r="B1135" t="s">
        <v>66</v>
      </c>
      <c r="C1135">
        <v>40</v>
      </c>
      <c r="D1135">
        <f>IF(cukier10[[#This Row],[nip_klienta]]=B1134,D1134+cukier10[[#This Row],[sprzedany_cukier]],cukier10[[#This Row],[sprzedany_cukier]])</f>
        <v>702</v>
      </c>
      <c r="E1135" cm="1">
        <f t="array" ref="E11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135">
        <f>cukier10[[#This Row],[sprzedany_cukier]]*cukier10[[#This Row],[rabat]]</f>
        <v>2</v>
      </c>
    </row>
    <row r="1136" spans="1:6" x14ac:dyDescent="0.25">
      <c r="A1136" s="1">
        <v>39315</v>
      </c>
      <c r="B1136" t="s">
        <v>66</v>
      </c>
      <c r="C1136">
        <v>45</v>
      </c>
      <c r="D1136">
        <f>IF(cukier10[[#This Row],[nip_klienta]]=B1135,D1135+cukier10[[#This Row],[sprzedany_cukier]],cukier10[[#This Row],[sprzedany_cukier]])</f>
        <v>747</v>
      </c>
      <c r="E1136" cm="1">
        <f t="array" ref="E11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136">
        <f>cukier10[[#This Row],[sprzedany_cukier]]*cukier10[[#This Row],[rabat]]</f>
        <v>2.25</v>
      </c>
    </row>
    <row r="1137" spans="1:6" x14ac:dyDescent="0.25">
      <c r="A1137" s="1">
        <v>39494</v>
      </c>
      <c r="B1137" t="s">
        <v>66</v>
      </c>
      <c r="C1137">
        <v>62</v>
      </c>
      <c r="D1137">
        <f>IF(cukier10[[#This Row],[nip_klienta]]=B1136,D1136+cukier10[[#This Row],[sprzedany_cukier]],cukier10[[#This Row],[sprzedany_cukier]])</f>
        <v>809</v>
      </c>
      <c r="E1137" cm="1">
        <f t="array" ref="E11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137">
        <f>cukier10[[#This Row],[sprzedany_cukier]]*cukier10[[#This Row],[rabat]]</f>
        <v>3.1</v>
      </c>
    </row>
    <row r="1138" spans="1:6" x14ac:dyDescent="0.25">
      <c r="A1138" s="1">
        <v>39511</v>
      </c>
      <c r="B1138" t="s">
        <v>66</v>
      </c>
      <c r="C1138">
        <v>191</v>
      </c>
      <c r="D1138">
        <f>IF(cukier10[[#This Row],[nip_klienta]]=B1137,D1137+cukier10[[#This Row],[sprzedany_cukier]],cukier10[[#This Row],[sprzedany_cukier]])</f>
        <v>1000</v>
      </c>
      <c r="E1138" cm="1">
        <f t="array" ref="E11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38">
        <f>cukier10[[#This Row],[sprzedany_cukier]]*cukier10[[#This Row],[rabat]]</f>
        <v>19.100000000000001</v>
      </c>
    </row>
    <row r="1139" spans="1:6" x14ac:dyDescent="0.25">
      <c r="A1139" s="1">
        <v>39546</v>
      </c>
      <c r="B1139" t="s">
        <v>66</v>
      </c>
      <c r="C1139">
        <v>46</v>
      </c>
      <c r="D1139">
        <f>IF(cukier10[[#This Row],[nip_klienta]]=B1138,D1138+cukier10[[#This Row],[sprzedany_cukier]],cukier10[[#This Row],[sprzedany_cukier]])</f>
        <v>1046</v>
      </c>
      <c r="E1139" cm="1">
        <f t="array" ref="E11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39">
        <f>cukier10[[#This Row],[sprzedany_cukier]]*cukier10[[#This Row],[rabat]]</f>
        <v>4.6000000000000005</v>
      </c>
    </row>
    <row r="1140" spans="1:6" x14ac:dyDescent="0.25">
      <c r="A1140" s="1">
        <v>39552</v>
      </c>
      <c r="B1140" t="s">
        <v>66</v>
      </c>
      <c r="C1140">
        <v>126</v>
      </c>
      <c r="D1140">
        <f>IF(cukier10[[#This Row],[nip_klienta]]=B1139,D1139+cukier10[[#This Row],[sprzedany_cukier]],cukier10[[#This Row],[sprzedany_cukier]])</f>
        <v>1172</v>
      </c>
      <c r="E1140" cm="1">
        <f t="array" ref="E11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40">
        <f>cukier10[[#This Row],[sprzedany_cukier]]*cukier10[[#This Row],[rabat]]</f>
        <v>12.600000000000001</v>
      </c>
    </row>
    <row r="1141" spans="1:6" x14ac:dyDescent="0.25">
      <c r="A1141" s="1">
        <v>39558</v>
      </c>
      <c r="B1141" t="s">
        <v>66</v>
      </c>
      <c r="C1141">
        <v>146</v>
      </c>
      <c r="D1141">
        <f>IF(cukier10[[#This Row],[nip_klienta]]=B1140,D1140+cukier10[[#This Row],[sprzedany_cukier]],cukier10[[#This Row],[sprzedany_cukier]])</f>
        <v>1318</v>
      </c>
      <c r="E1141" cm="1">
        <f t="array" ref="E11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41">
        <f>cukier10[[#This Row],[sprzedany_cukier]]*cukier10[[#This Row],[rabat]]</f>
        <v>14.600000000000001</v>
      </c>
    </row>
    <row r="1142" spans="1:6" x14ac:dyDescent="0.25">
      <c r="A1142" s="1">
        <v>39579</v>
      </c>
      <c r="B1142" t="s">
        <v>66</v>
      </c>
      <c r="C1142">
        <v>102</v>
      </c>
      <c r="D1142">
        <f>IF(cukier10[[#This Row],[nip_klienta]]=B1141,D1141+cukier10[[#This Row],[sprzedany_cukier]],cukier10[[#This Row],[sprzedany_cukier]])</f>
        <v>1420</v>
      </c>
      <c r="E1142" cm="1">
        <f t="array" ref="E11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42">
        <f>cukier10[[#This Row],[sprzedany_cukier]]*cukier10[[#This Row],[rabat]]</f>
        <v>10.200000000000001</v>
      </c>
    </row>
    <row r="1143" spans="1:6" x14ac:dyDescent="0.25">
      <c r="A1143" s="1">
        <v>39740</v>
      </c>
      <c r="B1143" t="s">
        <v>66</v>
      </c>
      <c r="C1143">
        <v>97</v>
      </c>
      <c r="D1143">
        <f>IF(cukier10[[#This Row],[nip_klienta]]=B1142,D1142+cukier10[[#This Row],[sprzedany_cukier]],cukier10[[#This Row],[sprzedany_cukier]])</f>
        <v>1517</v>
      </c>
      <c r="E1143" cm="1">
        <f t="array" ref="E11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43">
        <f>cukier10[[#This Row],[sprzedany_cukier]]*cukier10[[#This Row],[rabat]]</f>
        <v>9.7000000000000011</v>
      </c>
    </row>
    <row r="1144" spans="1:6" x14ac:dyDescent="0.25">
      <c r="A1144" s="1">
        <v>39743</v>
      </c>
      <c r="B1144" t="s">
        <v>66</v>
      </c>
      <c r="C1144">
        <v>190</v>
      </c>
      <c r="D1144">
        <f>IF(cukier10[[#This Row],[nip_klienta]]=B1143,D1143+cukier10[[#This Row],[sprzedany_cukier]],cukier10[[#This Row],[sprzedany_cukier]])</f>
        <v>1707</v>
      </c>
      <c r="E1144" cm="1">
        <f t="array" ref="E11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44">
        <f>cukier10[[#This Row],[sprzedany_cukier]]*cukier10[[#This Row],[rabat]]</f>
        <v>19</v>
      </c>
    </row>
    <row r="1145" spans="1:6" x14ac:dyDescent="0.25">
      <c r="A1145" s="1">
        <v>39799</v>
      </c>
      <c r="B1145" t="s">
        <v>66</v>
      </c>
      <c r="C1145">
        <v>60</v>
      </c>
      <c r="D1145">
        <f>IF(cukier10[[#This Row],[nip_klienta]]=B1144,D1144+cukier10[[#This Row],[sprzedany_cukier]],cukier10[[#This Row],[sprzedany_cukier]])</f>
        <v>1767</v>
      </c>
      <c r="E1145" cm="1">
        <f t="array" ref="E11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45">
        <f>cukier10[[#This Row],[sprzedany_cukier]]*cukier10[[#This Row],[rabat]]</f>
        <v>6</v>
      </c>
    </row>
    <row r="1146" spans="1:6" x14ac:dyDescent="0.25">
      <c r="A1146" s="1">
        <v>39929</v>
      </c>
      <c r="B1146" t="s">
        <v>66</v>
      </c>
      <c r="C1146">
        <v>144</v>
      </c>
      <c r="D1146">
        <f>IF(cukier10[[#This Row],[nip_klienta]]=B1145,D1145+cukier10[[#This Row],[sprzedany_cukier]],cukier10[[#This Row],[sprzedany_cukier]])</f>
        <v>1911</v>
      </c>
      <c r="E1146" cm="1">
        <f t="array" ref="E11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46">
        <f>cukier10[[#This Row],[sprzedany_cukier]]*cukier10[[#This Row],[rabat]]</f>
        <v>14.4</v>
      </c>
    </row>
    <row r="1147" spans="1:6" x14ac:dyDescent="0.25">
      <c r="A1147" s="1">
        <v>40136</v>
      </c>
      <c r="B1147" t="s">
        <v>66</v>
      </c>
      <c r="C1147">
        <v>162</v>
      </c>
      <c r="D1147">
        <f>IF(cukier10[[#This Row],[nip_klienta]]=B1146,D1146+cukier10[[#This Row],[sprzedany_cukier]],cukier10[[#This Row],[sprzedany_cukier]])</f>
        <v>2073</v>
      </c>
      <c r="E1147" cm="1">
        <f t="array" ref="E11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47">
        <f>cukier10[[#This Row],[sprzedany_cukier]]*cukier10[[#This Row],[rabat]]</f>
        <v>16.2</v>
      </c>
    </row>
    <row r="1148" spans="1:6" x14ac:dyDescent="0.25">
      <c r="A1148" s="1">
        <v>40327</v>
      </c>
      <c r="B1148" t="s">
        <v>66</v>
      </c>
      <c r="C1148">
        <v>190</v>
      </c>
      <c r="D1148">
        <f>IF(cukier10[[#This Row],[nip_klienta]]=B1147,D1147+cukier10[[#This Row],[sprzedany_cukier]],cukier10[[#This Row],[sprzedany_cukier]])</f>
        <v>2263</v>
      </c>
      <c r="E1148" cm="1">
        <f t="array" ref="E11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48">
        <f>cukier10[[#This Row],[sprzedany_cukier]]*cukier10[[#This Row],[rabat]]</f>
        <v>19</v>
      </c>
    </row>
    <row r="1149" spans="1:6" x14ac:dyDescent="0.25">
      <c r="A1149" s="1">
        <v>40353</v>
      </c>
      <c r="B1149" t="s">
        <v>66</v>
      </c>
      <c r="C1149">
        <v>79</v>
      </c>
      <c r="D1149">
        <f>IF(cukier10[[#This Row],[nip_klienta]]=B1148,D1148+cukier10[[#This Row],[sprzedany_cukier]],cukier10[[#This Row],[sprzedany_cukier]])</f>
        <v>2342</v>
      </c>
      <c r="E1149" cm="1">
        <f t="array" ref="E11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49">
        <f>cukier10[[#This Row],[sprzedany_cukier]]*cukier10[[#This Row],[rabat]]</f>
        <v>7.9</v>
      </c>
    </row>
    <row r="1150" spans="1:6" x14ac:dyDescent="0.25">
      <c r="A1150" s="1">
        <v>40440</v>
      </c>
      <c r="B1150" t="s">
        <v>66</v>
      </c>
      <c r="C1150">
        <v>30</v>
      </c>
      <c r="D1150">
        <f>IF(cukier10[[#This Row],[nip_klienta]]=B1149,D1149+cukier10[[#This Row],[sprzedany_cukier]],cukier10[[#This Row],[sprzedany_cukier]])</f>
        <v>2372</v>
      </c>
      <c r="E1150" cm="1">
        <f t="array" ref="E11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50">
        <f>cukier10[[#This Row],[sprzedany_cukier]]*cukier10[[#This Row],[rabat]]</f>
        <v>3</v>
      </c>
    </row>
    <row r="1151" spans="1:6" x14ac:dyDescent="0.25">
      <c r="A1151" s="1">
        <v>40746</v>
      </c>
      <c r="B1151" t="s">
        <v>66</v>
      </c>
      <c r="C1151">
        <v>120</v>
      </c>
      <c r="D1151">
        <f>IF(cukier10[[#This Row],[nip_klienta]]=B1150,D1150+cukier10[[#This Row],[sprzedany_cukier]],cukier10[[#This Row],[sprzedany_cukier]])</f>
        <v>2492</v>
      </c>
      <c r="E1151" cm="1">
        <f t="array" ref="E11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51">
        <f>cukier10[[#This Row],[sprzedany_cukier]]*cukier10[[#This Row],[rabat]]</f>
        <v>12</v>
      </c>
    </row>
    <row r="1152" spans="1:6" x14ac:dyDescent="0.25">
      <c r="A1152" s="1">
        <v>40839</v>
      </c>
      <c r="B1152" t="s">
        <v>66</v>
      </c>
      <c r="C1152">
        <v>77</v>
      </c>
      <c r="D1152">
        <f>IF(cukier10[[#This Row],[nip_klienta]]=B1151,D1151+cukier10[[#This Row],[sprzedany_cukier]],cukier10[[#This Row],[sprzedany_cukier]])</f>
        <v>2569</v>
      </c>
      <c r="E1152" cm="1">
        <f t="array" ref="E11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52">
        <f>cukier10[[#This Row],[sprzedany_cukier]]*cukier10[[#This Row],[rabat]]</f>
        <v>7.7</v>
      </c>
    </row>
    <row r="1153" spans="1:6" x14ac:dyDescent="0.25">
      <c r="A1153" s="1">
        <v>40912</v>
      </c>
      <c r="B1153" t="s">
        <v>66</v>
      </c>
      <c r="C1153">
        <v>74</v>
      </c>
      <c r="D1153">
        <f>IF(cukier10[[#This Row],[nip_klienta]]=B1152,D1152+cukier10[[#This Row],[sprzedany_cukier]],cukier10[[#This Row],[sprzedany_cukier]])</f>
        <v>2643</v>
      </c>
      <c r="E1153" cm="1">
        <f t="array" ref="E11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53">
        <f>cukier10[[#This Row],[sprzedany_cukier]]*cukier10[[#This Row],[rabat]]</f>
        <v>7.4</v>
      </c>
    </row>
    <row r="1154" spans="1:6" x14ac:dyDescent="0.25">
      <c r="A1154" s="1">
        <v>41004</v>
      </c>
      <c r="B1154" t="s">
        <v>66</v>
      </c>
      <c r="C1154">
        <v>35</v>
      </c>
      <c r="D1154">
        <f>IF(cukier10[[#This Row],[nip_klienta]]=B1153,D1153+cukier10[[#This Row],[sprzedany_cukier]],cukier10[[#This Row],[sprzedany_cukier]])</f>
        <v>2678</v>
      </c>
      <c r="E1154" cm="1">
        <f t="array" ref="E11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54">
        <f>cukier10[[#This Row],[sprzedany_cukier]]*cukier10[[#This Row],[rabat]]</f>
        <v>3.5</v>
      </c>
    </row>
    <row r="1155" spans="1:6" x14ac:dyDescent="0.25">
      <c r="A1155" s="1">
        <v>41051</v>
      </c>
      <c r="B1155" t="s">
        <v>66</v>
      </c>
      <c r="C1155">
        <v>172</v>
      </c>
      <c r="D1155">
        <f>IF(cukier10[[#This Row],[nip_klienta]]=B1154,D1154+cukier10[[#This Row],[sprzedany_cukier]],cukier10[[#This Row],[sprzedany_cukier]])</f>
        <v>2850</v>
      </c>
      <c r="E1155" cm="1">
        <f t="array" ref="E11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55">
        <f>cukier10[[#This Row],[sprzedany_cukier]]*cukier10[[#This Row],[rabat]]</f>
        <v>17.2</v>
      </c>
    </row>
    <row r="1156" spans="1:6" x14ac:dyDescent="0.25">
      <c r="A1156" s="1">
        <v>41091</v>
      </c>
      <c r="B1156" t="s">
        <v>66</v>
      </c>
      <c r="C1156">
        <v>29</v>
      </c>
      <c r="D1156">
        <f>IF(cukier10[[#This Row],[nip_klienta]]=B1155,D1155+cukier10[[#This Row],[sprzedany_cukier]],cukier10[[#This Row],[sprzedany_cukier]])</f>
        <v>2879</v>
      </c>
      <c r="E1156" cm="1">
        <f t="array" ref="E11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56">
        <f>cukier10[[#This Row],[sprzedany_cukier]]*cukier10[[#This Row],[rabat]]</f>
        <v>2.9000000000000004</v>
      </c>
    </row>
    <row r="1157" spans="1:6" x14ac:dyDescent="0.25">
      <c r="A1157" s="1">
        <v>41142</v>
      </c>
      <c r="B1157" t="s">
        <v>66</v>
      </c>
      <c r="C1157">
        <v>96</v>
      </c>
      <c r="D1157">
        <f>IF(cukier10[[#This Row],[nip_klienta]]=B1156,D1156+cukier10[[#This Row],[sprzedany_cukier]],cukier10[[#This Row],[sprzedany_cukier]])</f>
        <v>2975</v>
      </c>
      <c r="E1157" cm="1">
        <f t="array" ref="E11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57">
        <f>cukier10[[#This Row],[sprzedany_cukier]]*cukier10[[#This Row],[rabat]]</f>
        <v>9.6000000000000014</v>
      </c>
    </row>
    <row r="1158" spans="1:6" x14ac:dyDescent="0.25">
      <c r="A1158" s="1">
        <v>41279</v>
      </c>
      <c r="B1158" t="s">
        <v>66</v>
      </c>
      <c r="C1158">
        <v>171</v>
      </c>
      <c r="D1158">
        <f>IF(cukier10[[#This Row],[nip_klienta]]=B1157,D1157+cukier10[[#This Row],[sprzedany_cukier]],cukier10[[#This Row],[sprzedany_cukier]])</f>
        <v>3146</v>
      </c>
      <c r="E1158" cm="1">
        <f t="array" ref="E11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58">
        <f>cukier10[[#This Row],[sprzedany_cukier]]*cukier10[[#This Row],[rabat]]</f>
        <v>17.100000000000001</v>
      </c>
    </row>
    <row r="1159" spans="1:6" x14ac:dyDescent="0.25">
      <c r="A1159" s="1">
        <v>41368</v>
      </c>
      <c r="B1159" t="s">
        <v>66</v>
      </c>
      <c r="C1159">
        <v>112</v>
      </c>
      <c r="D1159">
        <f>IF(cukier10[[#This Row],[nip_klienta]]=B1158,D1158+cukier10[[#This Row],[sprzedany_cukier]],cukier10[[#This Row],[sprzedany_cukier]])</f>
        <v>3258</v>
      </c>
      <c r="E1159" cm="1">
        <f t="array" ref="E11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59">
        <f>cukier10[[#This Row],[sprzedany_cukier]]*cukier10[[#This Row],[rabat]]</f>
        <v>11.200000000000001</v>
      </c>
    </row>
    <row r="1160" spans="1:6" x14ac:dyDescent="0.25">
      <c r="A1160" s="1">
        <v>41379</v>
      </c>
      <c r="B1160" t="s">
        <v>66</v>
      </c>
      <c r="C1160">
        <v>121</v>
      </c>
      <c r="D1160">
        <f>IF(cukier10[[#This Row],[nip_klienta]]=B1159,D1159+cukier10[[#This Row],[sprzedany_cukier]],cukier10[[#This Row],[sprzedany_cukier]])</f>
        <v>3379</v>
      </c>
      <c r="E1160" cm="1">
        <f t="array" ref="E11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60">
        <f>cukier10[[#This Row],[sprzedany_cukier]]*cukier10[[#This Row],[rabat]]</f>
        <v>12.100000000000001</v>
      </c>
    </row>
    <row r="1161" spans="1:6" x14ac:dyDescent="0.25">
      <c r="A1161" s="1">
        <v>41504</v>
      </c>
      <c r="B1161" t="s">
        <v>66</v>
      </c>
      <c r="C1161">
        <v>168</v>
      </c>
      <c r="D1161">
        <f>IF(cukier10[[#This Row],[nip_klienta]]=B1160,D1160+cukier10[[#This Row],[sprzedany_cukier]],cukier10[[#This Row],[sprzedany_cukier]])</f>
        <v>3547</v>
      </c>
      <c r="E1161" cm="1">
        <f t="array" ref="E11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61">
        <f>cukier10[[#This Row],[sprzedany_cukier]]*cukier10[[#This Row],[rabat]]</f>
        <v>16.8</v>
      </c>
    </row>
    <row r="1162" spans="1:6" x14ac:dyDescent="0.25">
      <c r="A1162" s="1">
        <v>41690</v>
      </c>
      <c r="B1162" t="s">
        <v>66</v>
      </c>
      <c r="C1162">
        <v>191</v>
      </c>
      <c r="D1162">
        <f>IF(cukier10[[#This Row],[nip_klienta]]=B1161,D1161+cukier10[[#This Row],[sprzedany_cukier]],cukier10[[#This Row],[sprzedany_cukier]])</f>
        <v>3738</v>
      </c>
      <c r="E1162" cm="1">
        <f t="array" ref="E11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62">
        <f>cukier10[[#This Row],[sprzedany_cukier]]*cukier10[[#This Row],[rabat]]</f>
        <v>19.100000000000001</v>
      </c>
    </row>
    <row r="1163" spans="1:6" x14ac:dyDescent="0.25">
      <c r="A1163" s="1">
        <v>41815</v>
      </c>
      <c r="B1163" t="s">
        <v>66</v>
      </c>
      <c r="C1163">
        <v>57</v>
      </c>
      <c r="D1163">
        <f>IF(cukier10[[#This Row],[nip_klienta]]=B1162,D1162+cukier10[[#This Row],[sprzedany_cukier]],cukier10[[#This Row],[sprzedany_cukier]])</f>
        <v>3795</v>
      </c>
      <c r="E1163" cm="1">
        <f t="array" ref="E11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63">
        <f>cukier10[[#This Row],[sprzedany_cukier]]*cukier10[[#This Row],[rabat]]</f>
        <v>5.7</v>
      </c>
    </row>
    <row r="1164" spans="1:6" x14ac:dyDescent="0.25">
      <c r="A1164" s="1">
        <v>38501</v>
      </c>
      <c r="B1164" t="s">
        <v>48</v>
      </c>
      <c r="C1164">
        <v>13</v>
      </c>
      <c r="D1164">
        <f>IF(cukier10[[#This Row],[nip_klienta]]=B1163,D1163+cukier10[[#This Row],[sprzedany_cukier]],cukier10[[#This Row],[sprzedany_cukier]])</f>
        <v>13</v>
      </c>
      <c r="E1164" cm="1">
        <f t="array" ref="E11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64">
        <f>cukier10[[#This Row],[sprzedany_cukier]]*cukier10[[#This Row],[rabat]]</f>
        <v>0</v>
      </c>
    </row>
    <row r="1165" spans="1:6" x14ac:dyDescent="0.25">
      <c r="A1165" s="1">
        <v>39552</v>
      </c>
      <c r="B1165" t="s">
        <v>48</v>
      </c>
      <c r="C1165">
        <v>11</v>
      </c>
      <c r="D1165">
        <f>IF(cukier10[[#This Row],[nip_klienta]]=B1164,D1164+cukier10[[#This Row],[sprzedany_cukier]],cukier10[[#This Row],[sprzedany_cukier]])</f>
        <v>24</v>
      </c>
      <c r="E1165" cm="1">
        <f t="array" ref="E11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65">
        <f>cukier10[[#This Row],[sprzedany_cukier]]*cukier10[[#This Row],[rabat]]</f>
        <v>0</v>
      </c>
    </row>
    <row r="1166" spans="1:6" x14ac:dyDescent="0.25">
      <c r="A1166" s="1">
        <v>41162</v>
      </c>
      <c r="B1166" t="s">
        <v>48</v>
      </c>
      <c r="C1166">
        <v>13</v>
      </c>
      <c r="D1166">
        <f>IF(cukier10[[#This Row],[nip_klienta]]=B1165,D1165+cukier10[[#This Row],[sprzedany_cukier]],cukier10[[#This Row],[sprzedany_cukier]])</f>
        <v>37</v>
      </c>
      <c r="E1166" cm="1">
        <f t="array" ref="E11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66">
        <f>cukier10[[#This Row],[sprzedany_cukier]]*cukier10[[#This Row],[rabat]]</f>
        <v>0</v>
      </c>
    </row>
    <row r="1167" spans="1:6" x14ac:dyDescent="0.25">
      <c r="A1167" s="1">
        <v>38639</v>
      </c>
      <c r="B1167" t="s">
        <v>81</v>
      </c>
      <c r="C1167">
        <v>17</v>
      </c>
      <c r="D1167">
        <f>IF(cukier10[[#This Row],[nip_klienta]]=B1166,D1166+cukier10[[#This Row],[sprzedany_cukier]],cukier10[[#This Row],[sprzedany_cukier]])</f>
        <v>17</v>
      </c>
      <c r="E1167" cm="1">
        <f t="array" ref="E11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67">
        <f>cukier10[[#This Row],[sprzedany_cukier]]*cukier10[[#This Row],[rabat]]</f>
        <v>0</v>
      </c>
    </row>
    <row r="1168" spans="1:6" x14ac:dyDescent="0.25">
      <c r="A1168" s="1">
        <v>40201</v>
      </c>
      <c r="B1168" t="s">
        <v>81</v>
      </c>
      <c r="C1168">
        <v>11</v>
      </c>
      <c r="D1168">
        <f>IF(cukier10[[#This Row],[nip_klienta]]=B1167,D1167+cukier10[[#This Row],[sprzedany_cukier]],cukier10[[#This Row],[sprzedany_cukier]])</f>
        <v>28</v>
      </c>
      <c r="E1168" cm="1">
        <f t="array" ref="E11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68">
        <f>cukier10[[#This Row],[sprzedany_cukier]]*cukier10[[#This Row],[rabat]]</f>
        <v>0</v>
      </c>
    </row>
    <row r="1169" spans="1:6" x14ac:dyDescent="0.25">
      <c r="A1169" s="1">
        <v>40263</v>
      </c>
      <c r="B1169" t="s">
        <v>81</v>
      </c>
      <c r="C1169">
        <v>10</v>
      </c>
      <c r="D1169">
        <f>IF(cukier10[[#This Row],[nip_klienta]]=B1168,D1168+cukier10[[#This Row],[sprzedany_cukier]],cukier10[[#This Row],[sprzedany_cukier]])</f>
        <v>38</v>
      </c>
      <c r="E1169" cm="1">
        <f t="array" ref="E11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69">
        <f>cukier10[[#This Row],[sprzedany_cukier]]*cukier10[[#This Row],[rabat]]</f>
        <v>0</v>
      </c>
    </row>
    <row r="1170" spans="1:6" x14ac:dyDescent="0.25">
      <c r="A1170" s="1">
        <v>41011</v>
      </c>
      <c r="B1170" t="s">
        <v>81</v>
      </c>
      <c r="C1170">
        <v>7</v>
      </c>
      <c r="D1170">
        <f>IF(cukier10[[#This Row],[nip_klienta]]=B1169,D1169+cukier10[[#This Row],[sprzedany_cukier]],cukier10[[#This Row],[sprzedany_cukier]])</f>
        <v>45</v>
      </c>
      <c r="E1170" cm="1">
        <f t="array" ref="E11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70">
        <f>cukier10[[#This Row],[sprzedany_cukier]]*cukier10[[#This Row],[rabat]]</f>
        <v>0</v>
      </c>
    </row>
    <row r="1171" spans="1:6" x14ac:dyDescent="0.25">
      <c r="A1171" s="1">
        <v>41612</v>
      </c>
      <c r="B1171" t="s">
        <v>81</v>
      </c>
      <c r="C1171">
        <v>13</v>
      </c>
      <c r="D1171">
        <f>IF(cukier10[[#This Row],[nip_klienta]]=B1170,D1170+cukier10[[#This Row],[sprzedany_cukier]],cukier10[[#This Row],[sprzedany_cukier]])</f>
        <v>58</v>
      </c>
      <c r="E1171" cm="1">
        <f t="array" ref="E11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71">
        <f>cukier10[[#This Row],[sprzedany_cukier]]*cukier10[[#This Row],[rabat]]</f>
        <v>0</v>
      </c>
    </row>
    <row r="1172" spans="1:6" x14ac:dyDescent="0.25">
      <c r="A1172" s="1">
        <v>38862</v>
      </c>
      <c r="B1172" t="s">
        <v>111</v>
      </c>
      <c r="C1172">
        <v>18</v>
      </c>
      <c r="D1172">
        <f>IF(cukier10[[#This Row],[nip_klienta]]=B1171,D1171+cukier10[[#This Row],[sprzedany_cukier]],cukier10[[#This Row],[sprzedany_cukier]])</f>
        <v>18</v>
      </c>
      <c r="E1172" cm="1">
        <f t="array" ref="E11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72">
        <f>cukier10[[#This Row],[sprzedany_cukier]]*cukier10[[#This Row],[rabat]]</f>
        <v>0</v>
      </c>
    </row>
    <row r="1173" spans="1:6" x14ac:dyDescent="0.25">
      <c r="A1173" s="1">
        <v>41143</v>
      </c>
      <c r="B1173" t="s">
        <v>111</v>
      </c>
      <c r="C1173">
        <v>17</v>
      </c>
      <c r="D1173">
        <f>IF(cukier10[[#This Row],[nip_klienta]]=B1172,D1172+cukier10[[#This Row],[sprzedany_cukier]],cukier10[[#This Row],[sprzedany_cukier]])</f>
        <v>35</v>
      </c>
      <c r="E1173" cm="1">
        <f t="array" ref="E11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73">
        <f>cukier10[[#This Row],[sprzedany_cukier]]*cukier10[[#This Row],[rabat]]</f>
        <v>0</v>
      </c>
    </row>
    <row r="1174" spans="1:6" x14ac:dyDescent="0.25">
      <c r="A1174" s="1">
        <v>38532</v>
      </c>
      <c r="B1174" t="s">
        <v>59</v>
      </c>
      <c r="C1174">
        <v>14</v>
      </c>
      <c r="D1174">
        <f>IF(cukier10[[#This Row],[nip_klienta]]=B1173,D1173+cukier10[[#This Row],[sprzedany_cukier]],cukier10[[#This Row],[sprzedany_cukier]])</f>
        <v>14</v>
      </c>
      <c r="E1174" cm="1">
        <f t="array" ref="E11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74">
        <f>cukier10[[#This Row],[sprzedany_cukier]]*cukier10[[#This Row],[rabat]]</f>
        <v>0</v>
      </c>
    </row>
    <row r="1175" spans="1:6" x14ac:dyDescent="0.25">
      <c r="A1175" s="1">
        <v>39587</v>
      </c>
      <c r="B1175" t="s">
        <v>59</v>
      </c>
      <c r="C1175">
        <v>4</v>
      </c>
      <c r="D1175">
        <f>IF(cukier10[[#This Row],[nip_klienta]]=B1174,D1174+cukier10[[#This Row],[sprzedany_cukier]],cukier10[[#This Row],[sprzedany_cukier]])</f>
        <v>18</v>
      </c>
      <c r="E1175" cm="1">
        <f t="array" ref="E11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75">
        <f>cukier10[[#This Row],[sprzedany_cukier]]*cukier10[[#This Row],[rabat]]</f>
        <v>0</v>
      </c>
    </row>
    <row r="1176" spans="1:6" x14ac:dyDescent="0.25">
      <c r="A1176" s="1">
        <v>41889</v>
      </c>
      <c r="B1176" t="s">
        <v>59</v>
      </c>
      <c r="C1176">
        <v>18</v>
      </c>
      <c r="D1176">
        <f>IF(cukier10[[#This Row],[nip_klienta]]=B1175,D1175+cukier10[[#This Row],[sprzedany_cukier]],cukier10[[#This Row],[sprzedany_cukier]])</f>
        <v>36</v>
      </c>
      <c r="E1176" cm="1">
        <f t="array" ref="E11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76">
        <f>cukier10[[#This Row],[sprzedany_cukier]]*cukier10[[#This Row],[rabat]]</f>
        <v>0</v>
      </c>
    </row>
    <row r="1177" spans="1:6" x14ac:dyDescent="0.25">
      <c r="A1177" s="1">
        <v>40017</v>
      </c>
      <c r="B1177" t="s">
        <v>196</v>
      </c>
      <c r="C1177">
        <v>10</v>
      </c>
      <c r="D1177">
        <f>IF(cukier10[[#This Row],[nip_klienta]]=B1176,D1176+cukier10[[#This Row],[sprzedany_cukier]],cukier10[[#This Row],[sprzedany_cukier]])</f>
        <v>10</v>
      </c>
      <c r="E1177" cm="1">
        <f t="array" ref="E11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77">
        <f>cukier10[[#This Row],[sprzedany_cukier]]*cukier10[[#This Row],[rabat]]</f>
        <v>0</v>
      </c>
    </row>
    <row r="1178" spans="1:6" x14ac:dyDescent="0.25">
      <c r="A1178" s="1">
        <v>39814</v>
      </c>
      <c r="B1178" t="s">
        <v>178</v>
      </c>
      <c r="C1178">
        <v>2</v>
      </c>
      <c r="D1178">
        <f>IF(cukier10[[#This Row],[nip_klienta]]=B1177,D1177+cukier10[[#This Row],[sprzedany_cukier]],cukier10[[#This Row],[sprzedany_cukier]])</f>
        <v>2</v>
      </c>
      <c r="E1178" cm="1">
        <f t="array" ref="E11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78">
        <f>cukier10[[#This Row],[sprzedany_cukier]]*cukier10[[#This Row],[rabat]]</f>
        <v>0</v>
      </c>
    </row>
    <row r="1179" spans="1:6" x14ac:dyDescent="0.25">
      <c r="A1179" s="1">
        <v>40733</v>
      </c>
      <c r="B1179" t="s">
        <v>178</v>
      </c>
      <c r="C1179">
        <v>16</v>
      </c>
      <c r="D1179">
        <f>IF(cukier10[[#This Row],[nip_klienta]]=B1178,D1178+cukier10[[#This Row],[sprzedany_cukier]],cukier10[[#This Row],[sprzedany_cukier]])</f>
        <v>18</v>
      </c>
      <c r="E1179" cm="1">
        <f t="array" ref="E11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79">
        <f>cukier10[[#This Row],[sprzedany_cukier]]*cukier10[[#This Row],[rabat]]</f>
        <v>0</v>
      </c>
    </row>
    <row r="1180" spans="1:6" x14ac:dyDescent="0.25">
      <c r="A1180" s="1">
        <v>41088</v>
      </c>
      <c r="B1180" t="s">
        <v>178</v>
      </c>
      <c r="C1180">
        <v>1</v>
      </c>
      <c r="D1180">
        <f>IF(cukier10[[#This Row],[nip_klienta]]=B1179,D1179+cukier10[[#This Row],[sprzedany_cukier]],cukier10[[#This Row],[sprzedany_cukier]])</f>
        <v>19</v>
      </c>
      <c r="E1180" cm="1">
        <f t="array" ref="E11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80">
        <f>cukier10[[#This Row],[sprzedany_cukier]]*cukier10[[#This Row],[rabat]]</f>
        <v>0</v>
      </c>
    </row>
    <row r="1181" spans="1:6" x14ac:dyDescent="0.25">
      <c r="A1181" s="1">
        <v>39866</v>
      </c>
      <c r="B1181" t="s">
        <v>182</v>
      </c>
      <c r="C1181">
        <v>19</v>
      </c>
      <c r="D1181">
        <f>IF(cukier10[[#This Row],[nip_klienta]]=B1180,D1180+cukier10[[#This Row],[sprzedany_cukier]],cukier10[[#This Row],[sprzedany_cukier]])</f>
        <v>19</v>
      </c>
      <c r="E1181" cm="1">
        <f t="array" ref="E11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81">
        <f>cukier10[[#This Row],[sprzedany_cukier]]*cukier10[[#This Row],[rabat]]</f>
        <v>0</v>
      </c>
    </row>
    <row r="1182" spans="1:6" x14ac:dyDescent="0.25">
      <c r="A1182" s="1">
        <v>40533</v>
      </c>
      <c r="B1182" t="s">
        <v>182</v>
      </c>
      <c r="C1182">
        <v>8</v>
      </c>
      <c r="D1182">
        <f>IF(cukier10[[#This Row],[nip_klienta]]=B1181,D1181+cukier10[[#This Row],[sprzedany_cukier]],cukier10[[#This Row],[sprzedany_cukier]])</f>
        <v>27</v>
      </c>
      <c r="E1182" cm="1">
        <f t="array" ref="E11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82">
        <f>cukier10[[#This Row],[sprzedany_cukier]]*cukier10[[#This Row],[rabat]]</f>
        <v>0</v>
      </c>
    </row>
    <row r="1183" spans="1:6" x14ac:dyDescent="0.25">
      <c r="A1183" s="1">
        <v>38429</v>
      </c>
      <c r="B1183" t="s">
        <v>30</v>
      </c>
      <c r="C1183">
        <v>76</v>
      </c>
      <c r="D1183">
        <f>IF(cukier10[[#This Row],[nip_klienta]]=B1182,D1182+cukier10[[#This Row],[sprzedany_cukier]],cukier10[[#This Row],[sprzedany_cukier]])</f>
        <v>76</v>
      </c>
      <c r="E1183" cm="1">
        <f t="array" ref="E11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183">
        <f>cukier10[[#This Row],[sprzedany_cukier]]*cukier10[[#This Row],[rabat]]</f>
        <v>0</v>
      </c>
    </row>
    <row r="1184" spans="1:6" x14ac:dyDescent="0.25">
      <c r="A1184" s="1">
        <v>38499</v>
      </c>
      <c r="B1184" t="s">
        <v>30</v>
      </c>
      <c r="C1184">
        <v>179</v>
      </c>
      <c r="D1184">
        <f>IF(cukier10[[#This Row],[nip_klienta]]=B1183,D1183+cukier10[[#This Row],[sprzedany_cukier]],cukier10[[#This Row],[sprzedany_cukier]])</f>
        <v>255</v>
      </c>
      <c r="E1184" cm="1">
        <f t="array" ref="E11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184">
        <f>cukier10[[#This Row],[sprzedany_cukier]]*cukier10[[#This Row],[rabat]]</f>
        <v>8.9500000000000011</v>
      </c>
    </row>
    <row r="1185" spans="1:6" x14ac:dyDescent="0.25">
      <c r="A1185" s="1">
        <v>38572</v>
      </c>
      <c r="B1185" t="s">
        <v>30</v>
      </c>
      <c r="C1185">
        <v>91</v>
      </c>
      <c r="D1185">
        <f>IF(cukier10[[#This Row],[nip_klienta]]=B1184,D1184+cukier10[[#This Row],[sprzedany_cukier]],cukier10[[#This Row],[sprzedany_cukier]])</f>
        <v>346</v>
      </c>
      <c r="E1185" cm="1">
        <f t="array" ref="E11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185">
        <f>cukier10[[#This Row],[sprzedany_cukier]]*cukier10[[#This Row],[rabat]]</f>
        <v>4.55</v>
      </c>
    </row>
    <row r="1186" spans="1:6" x14ac:dyDescent="0.25">
      <c r="A1186" s="1">
        <v>38662</v>
      </c>
      <c r="B1186" t="s">
        <v>30</v>
      </c>
      <c r="C1186">
        <v>185</v>
      </c>
      <c r="D1186">
        <f>IF(cukier10[[#This Row],[nip_klienta]]=B1185,D1185+cukier10[[#This Row],[sprzedany_cukier]],cukier10[[#This Row],[sprzedany_cukier]])</f>
        <v>531</v>
      </c>
      <c r="E1186" cm="1">
        <f t="array" ref="E11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186">
        <f>cukier10[[#This Row],[sprzedany_cukier]]*cukier10[[#This Row],[rabat]]</f>
        <v>9.25</v>
      </c>
    </row>
    <row r="1187" spans="1:6" x14ac:dyDescent="0.25">
      <c r="A1187" s="1">
        <v>38670</v>
      </c>
      <c r="B1187" t="s">
        <v>30</v>
      </c>
      <c r="C1187">
        <v>189</v>
      </c>
      <c r="D1187">
        <f>IF(cukier10[[#This Row],[nip_klienta]]=B1186,D1186+cukier10[[#This Row],[sprzedany_cukier]],cukier10[[#This Row],[sprzedany_cukier]])</f>
        <v>720</v>
      </c>
      <c r="E1187" cm="1">
        <f t="array" ref="E11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187">
        <f>cukier10[[#This Row],[sprzedany_cukier]]*cukier10[[#This Row],[rabat]]</f>
        <v>9.4500000000000011</v>
      </c>
    </row>
    <row r="1188" spans="1:6" x14ac:dyDescent="0.25">
      <c r="A1188" s="1">
        <v>38791</v>
      </c>
      <c r="B1188" t="s">
        <v>30</v>
      </c>
      <c r="C1188">
        <v>65</v>
      </c>
      <c r="D1188">
        <f>IF(cukier10[[#This Row],[nip_klienta]]=B1187,D1187+cukier10[[#This Row],[sprzedany_cukier]],cukier10[[#This Row],[sprzedany_cukier]])</f>
        <v>785</v>
      </c>
      <c r="E1188" cm="1">
        <f t="array" ref="E11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188">
        <f>cukier10[[#This Row],[sprzedany_cukier]]*cukier10[[#This Row],[rabat]]</f>
        <v>3.25</v>
      </c>
    </row>
    <row r="1189" spans="1:6" x14ac:dyDescent="0.25">
      <c r="A1189" s="1">
        <v>38813</v>
      </c>
      <c r="B1189" t="s">
        <v>30</v>
      </c>
      <c r="C1189">
        <v>70</v>
      </c>
      <c r="D1189">
        <f>IF(cukier10[[#This Row],[nip_klienta]]=B1188,D1188+cukier10[[#This Row],[sprzedany_cukier]],cukier10[[#This Row],[sprzedany_cukier]])</f>
        <v>855</v>
      </c>
      <c r="E1189" cm="1">
        <f t="array" ref="E11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189">
        <f>cukier10[[#This Row],[sprzedany_cukier]]*cukier10[[#This Row],[rabat]]</f>
        <v>3.5</v>
      </c>
    </row>
    <row r="1190" spans="1:6" x14ac:dyDescent="0.25">
      <c r="A1190" s="1">
        <v>38878</v>
      </c>
      <c r="B1190" t="s">
        <v>30</v>
      </c>
      <c r="C1190">
        <v>106</v>
      </c>
      <c r="D1190">
        <f>IF(cukier10[[#This Row],[nip_klienta]]=B1189,D1189+cukier10[[#This Row],[sprzedany_cukier]],cukier10[[#This Row],[sprzedany_cukier]])</f>
        <v>961</v>
      </c>
      <c r="E1190" cm="1">
        <f t="array" ref="E11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190">
        <f>cukier10[[#This Row],[sprzedany_cukier]]*cukier10[[#This Row],[rabat]]</f>
        <v>5.3000000000000007</v>
      </c>
    </row>
    <row r="1191" spans="1:6" x14ac:dyDescent="0.25">
      <c r="A1191" s="1">
        <v>38928</v>
      </c>
      <c r="B1191" t="s">
        <v>30</v>
      </c>
      <c r="C1191">
        <v>142</v>
      </c>
      <c r="D1191">
        <f>IF(cukier10[[#This Row],[nip_klienta]]=B1190,D1190+cukier10[[#This Row],[sprzedany_cukier]],cukier10[[#This Row],[sprzedany_cukier]])</f>
        <v>1103</v>
      </c>
      <c r="E1191" cm="1">
        <f t="array" ref="E11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91">
        <f>cukier10[[#This Row],[sprzedany_cukier]]*cukier10[[#This Row],[rabat]]</f>
        <v>14.200000000000001</v>
      </c>
    </row>
    <row r="1192" spans="1:6" x14ac:dyDescent="0.25">
      <c r="A1192" s="1">
        <v>38962</v>
      </c>
      <c r="B1192" t="s">
        <v>30</v>
      </c>
      <c r="C1192">
        <v>52</v>
      </c>
      <c r="D1192">
        <f>IF(cukier10[[#This Row],[nip_klienta]]=B1191,D1191+cukier10[[#This Row],[sprzedany_cukier]],cukier10[[#This Row],[sprzedany_cukier]])</f>
        <v>1155</v>
      </c>
      <c r="E1192" cm="1">
        <f t="array" ref="E11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92">
        <f>cukier10[[#This Row],[sprzedany_cukier]]*cukier10[[#This Row],[rabat]]</f>
        <v>5.2</v>
      </c>
    </row>
    <row r="1193" spans="1:6" x14ac:dyDescent="0.25">
      <c r="A1193" s="1">
        <v>39070</v>
      </c>
      <c r="B1193" t="s">
        <v>30</v>
      </c>
      <c r="C1193">
        <v>168</v>
      </c>
      <c r="D1193">
        <f>IF(cukier10[[#This Row],[nip_klienta]]=B1192,D1192+cukier10[[#This Row],[sprzedany_cukier]],cukier10[[#This Row],[sprzedany_cukier]])</f>
        <v>1323</v>
      </c>
      <c r="E1193" cm="1">
        <f t="array" ref="E11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93">
        <f>cukier10[[#This Row],[sprzedany_cukier]]*cukier10[[#This Row],[rabat]]</f>
        <v>16.8</v>
      </c>
    </row>
    <row r="1194" spans="1:6" x14ac:dyDescent="0.25">
      <c r="A1194" s="1">
        <v>39163</v>
      </c>
      <c r="B1194" t="s">
        <v>30</v>
      </c>
      <c r="C1194">
        <v>80</v>
      </c>
      <c r="D1194">
        <f>IF(cukier10[[#This Row],[nip_klienta]]=B1193,D1193+cukier10[[#This Row],[sprzedany_cukier]],cukier10[[#This Row],[sprzedany_cukier]])</f>
        <v>1403</v>
      </c>
      <c r="E1194" cm="1">
        <f t="array" ref="E11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94">
        <f>cukier10[[#This Row],[sprzedany_cukier]]*cukier10[[#This Row],[rabat]]</f>
        <v>8</v>
      </c>
    </row>
    <row r="1195" spans="1:6" x14ac:dyDescent="0.25">
      <c r="A1195" s="1">
        <v>39306</v>
      </c>
      <c r="B1195" t="s">
        <v>30</v>
      </c>
      <c r="C1195">
        <v>141</v>
      </c>
      <c r="D1195">
        <f>IF(cukier10[[#This Row],[nip_klienta]]=B1194,D1194+cukier10[[#This Row],[sprzedany_cukier]],cukier10[[#This Row],[sprzedany_cukier]])</f>
        <v>1544</v>
      </c>
      <c r="E1195" cm="1">
        <f t="array" ref="E11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95">
        <f>cukier10[[#This Row],[sprzedany_cukier]]*cukier10[[#This Row],[rabat]]</f>
        <v>14.100000000000001</v>
      </c>
    </row>
    <row r="1196" spans="1:6" x14ac:dyDescent="0.25">
      <c r="A1196" s="1">
        <v>39333</v>
      </c>
      <c r="B1196" t="s">
        <v>30</v>
      </c>
      <c r="C1196">
        <v>148</v>
      </c>
      <c r="D1196">
        <f>IF(cukier10[[#This Row],[nip_klienta]]=B1195,D1195+cukier10[[#This Row],[sprzedany_cukier]],cukier10[[#This Row],[sprzedany_cukier]])</f>
        <v>1692</v>
      </c>
      <c r="E1196" cm="1">
        <f t="array" ref="E11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96">
        <f>cukier10[[#This Row],[sprzedany_cukier]]*cukier10[[#This Row],[rabat]]</f>
        <v>14.8</v>
      </c>
    </row>
    <row r="1197" spans="1:6" x14ac:dyDescent="0.25">
      <c r="A1197" s="1">
        <v>39407</v>
      </c>
      <c r="B1197" t="s">
        <v>30</v>
      </c>
      <c r="C1197">
        <v>99</v>
      </c>
      <c r="D1197">
        <f>IF(cukier10[[#This Row],[nip_klienta]]=B1196,D1196+cukier10[[#This Row],[sprzedany_cukier]],cukier10[[#This Row],[sprzedany_cukier]])</f>
        <v>1791</v>
      </c>
      <c r="E1197" cm="1">
        <f t="array" ref="E11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97">
        <f>cukier10[[#This Row],[sprzedany_cukier]]*cukier10[[#This Row],[rabat]]</f>
        <v>9.9</v>
      </c>
    </row>
    <row r="1198" spans="1:6" x14ac:dyDescent="0.25">
      <c r="A1198" s="1">
        <v>39428</v>
      </c>
      <c r="B1198" t="s">
        <v>30</v>
      </c>
      <c r="C1198">
        <v>166</v>
      </c>
      <c r="D1198">
        <f>IF(cukier10[[#This Row],[nip_klienta]]=B1197,D1197+cukier10[[#This Row],[sprzedany_cukier]],cukier10[[#This Row],[sprzedany_cukier]])</f>
        <v>1957</v>
      </c>
      <c r="E1198" cm="1">
        <f t="array" ref="E11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98">
        <f>cukier10[[#This Row],[sprzedany_cukier]]*cukier10[[#This Row],[rabat]]</f>
        <v>16.600000000000001</v>
      </c>
    </row>
    <row r="1199" spans="1:6" x14ac:dyDescent="0.25">
      <c r="A1199" s="1">
        <v>39629</v>
      </c>
      <c r="B1199" t="s">
        <v>30</v>
      </c>
      <c r="C1199">
        <v>68</v>
      </c>
      <c r="D1199">
        <f>IF(cukier10[[#This Row],[nip_klienta]]=B1198,D1198+cukier10[[#This Row],[sprzedany_cukier]],cukier10[[#This Row],[sprzedany_cukier]])</f>
        <v>2025</v>
      </c>
      <c r="E1199" cm="1">
        <f t="array" ref="E11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199">
        <f>cukier10[[#This Row],[sprzedany_cukier]]*cukier10[[#This Row],[rabat]]</f>
        <v>6.8000000000000007</v>
      </c>
    </row>
    <row r="1200" spans="1:6" x14ac:dyDescent="0.25">
      <c r="A1200" s="1">
        <v>39716</v>
      </c>
      <c r="B1200" t="s">
        <v>30</v>
      </c>
      <c r="C1200">
        <v>183</v>
      </c>
      <c r="D1200">
        <f>IF(cukier10[[#This Row],[nip_klienta]]=B1199,D1199+cukier10[[#This Row],[sprzedany_cukier]],cukier10[[#This Row],[sprzedany_cukier]])</f>
        <v>2208</v>
      </c>
      <c r="E1200" cm="1">
        <f t="array" ref="E12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00">
        <f>cukier10[[#This Row],[sprzedany_cukier]]*cukier10[[#This Row],[rabat]]</f>
        <v>18.3</v>
      </c>
    </row>
    <row r="1201" spans="1:6" x14ac:dyDescent="0.25">
      <c r="A1201" s="1">
        <v>39839</v>
      </c>
      <c r="B1201" t="s">
        <v>30</v>
      </c>
      <c r="C1201">
        <v>200</v>
      </c>
      <c r="D1201">
        <f>IF(cukier10[[#This Row],[nip_klienta]]=B1200,D1200+cukier10[[#This Row],[sprzedany_cukier]],cukier10[[#This Row],[sprzedany_cukier]])</f>
        <v>2408</v>
      </c>
      <c r="E1201" cm="1">
        <f t="array" ref="E12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01">
        <f>cukier10[[#This Row],[sprzedany_cukier]]*cukier10[[#This Row],[rabat]]</f>
        <v>20</v>
      </c>
    </row>
    <row r="1202" spans="1:6" x14ac:dyDescent="0.25">
      <c r="A1202" s="1">
        <v>40070</v>
      </c>
      <c r="B1202" t="s">
        <v>30</v>
      </c>
      <c r="C1202">
        <v>137</v>
      </c>
      <c r="D1202">
        <f>IF(cukier10[[#This Row],[nip_klienta]]=B1201,D1201+cukier10[[#This Row],[sprzedany_cukier]],cukier10[[#This Row],[sprzedany_cukier]])</f>
        <v>2545</v>
      </c>
      <c r="E1202" cm="1">
        <f t="array" ref="E12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02">
        <f>cukier10[[#This Row],[sprzedany_cukier]]*cukier10[[#This Row],[rabat]]</f>
        <v>13.700000000000001</v>
      </c>
    </row>
    <row r="1203" spans="1:6" x14ac:dyDescent="0.25">
      <c r="A1203" s="1">
        <v>40103</v>
      </c>
      <c r="B1203" t="s">
        <v>30</v>
      </c>
      <c r="C1203">
        <v>178</v>
      </c>
      <c r="D1203">
        <f>IF(cukier10[[#This Row],[nip_klienta]]=B1202,D1202+cukier10[[#This Row],[sprzedany_cukier]],cukier10[[#This Row],[sprzedany_cukier]])</f>
        <v>2723</v>
      </c>
      <c r="E1203" cm="1">
        <f t="array" ref="E12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03">
        <f>cukier10[[#This Row],[sprzedany_cukier]]*cukier10[[#This Row],[rabat]]</f>
        <v>17.8</v>
      </c>
    </row>
    <row r="1204" spans="1:6" x14ac:dyDescent="0.25">
      <c r="A1204" s="1">
        <v>40177</v>
      </c>
      <c r="B1204" t="s">
        <v>30</v>
      </c>
      <c r="C1204">
        <v>126</v>
      </c>
      <c r="D1204">
        <f>IF(cukier10[[#This Row],[nip_klienta]]=B1203,D1203+cukier10[[#This Row],[sprzedany_cukier]],cukier10[[#This Row],[sprzedany_cukier]])</f>
        <v>2849</v>
      </c>
      <c r="E1204" cm="1">
        <f t="array" ref="E12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04">
        <f>cukier10[[#This Row],[sprzedany_cukier]]*cukier10[[#This Row],[rabat]]</f>
        <v>12.600000000000001</v>
      </c>
    </row>
    <row r="1205" spans="1:6" x14ac:dyDescent="0.25">
      <c r="A1205" s="1">
        <v>40223</v>
      </c>
      <c r="B1205" t="s">
        <v>30</v>
      </c>
      <c r="C1205">
        <v>142</v>
      </c>
      <c r="D1205">
        <f>IF(cukier10[[#This Row],[nip_klienta]]=B1204,D1204+cukier10[[#This Row],[sprzedany_cukier]],cukier10[[#This Row],[sprzedany_cukier]])</f>
        <v>2991</v>
      </c>
      <c r="E1205" cm="1">
        <f t="array" ref="E12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05">
        <f>cukier10[[#This Row],[sprzedany_cukier]]*cukier10[[#This Row],[rabat]]</f>
        <v>14.200000000000001</v>
      </c>
    </row>
    <row r="1206" spans="1:6" x14ac:dyDescent="0.25">
      <c r="A1206" s="1">
        <v>40245</v>
      </c>
      <c r="B1206" t="s">
        <v>30</v>
      </c>
      <c r="C1206">
        <v>125</v>
      </c>
      <c r="D1206">
        <f>IF(cukier10[[#This Row],[nip_klienta]]=B1205,D1205+cukier10[[#This Row],[sprzedany_cukier]],cukier10[[#This Row],[sprzedany_cukier]])</f>
        <v>3116</v>
      </c>
      <c r="E1206" cm="1">
        <f t="array" ref="E12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06">
        <f>cukier10[[#This Row],[sprzedany_cukier]]*cukier10[[#This Row],[rabat]]</f>
        <v>12.5</v>
      </c>
    </row>
    <row r="1207" spans="1:6" x14ac:dyDescent="0.25">
      <c r="A1207" s="1">
        <v>40322</v>
      </c>
      <c r="B1207" t="s">
        <v>30</v>
      </c>
      <c r="C1207">
        <v>179</v>
      </c>
      <c r="D1207">
        <f>IF(cukier10[[#This Row],[nip_klienta]]=B1206,D1206+cukier10[[#This Row],[sprzedany_cukier]],cukier10[[#This Row],[sprzedany_cukier]])</f>
        <v>3295</v>
      </c>
      <c r="E1207" cm="1">
        <f t="array" ref="E12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07">
        <f>cukier10[[#This Row],[sprzedany_cukier]]*cukier10[[#This Row],[rabat]]</f>
        <v>17.900000000000002</v>
      </c>
    </row>
    <row r="1208" spans="1:6" x14ac:dyDescent="0.25">
      <c r="A1208" s="1">
        <v>40341</v>
      </c>
      <c r="B1208" t="s">
        <v>30</v>
      </c>
      <c r="C1208">
        <v>105</v>
      </c>
      <c r="D1208">
        <f>IF(cukier10[[#This Row],[nip_klienta]]=B1207,D1207+cukier10[[#This Row],[sprzedany_cukier]],cukier10[[#This Row],[sprzedany_cukier]])</f>
        <v>3400</v>
      </c>
      <c r="E1208" cm="1">
        <f t="array" ref="E12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08">
        <f>cukier10[[#This Row],[sprzedany_cukier]]*cukier10[[#This Row],[rabat]]</f>
        <v>10.5</v>
      </c>
    </row>
    <row r="1209" spans="1:6" x14ac:dyDescent="0.25">
      <c r="A1209" s="1">
        <v>40449</v>
      </c>
      <c r="B1209" t="s">
        <v>30</v>
      </c>
      <c r="C1209">
        <v>57</v>
      </c>
      <c r="D1209">
        <f>IF(cukier10[[#This Row],[nip_klienta]]=B1208,D1208+cukier10[[#This Row],[sprzedany_cukier]],cukier10[[#This Row],[sprzedany_cukier]])</f>
        <v>3457</v>
      </c>
      <c r="E1209" cm="1">
        <f t="array" ref="E12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09">
        <f>cukier10[[#This Row],[sprzedany_cukier]]*cukier10[[#This Row],[rabat]]</f>
        <v>5.7</v>
      </c>
    </row>
    <row r="1210" spans="1:6" x14ac:dyDescent="0.25">
      <c r="A1210" s="1">
        <v>40511</v>
      </c>
      <c r="B1210" t="s">
        <v>30</v>
      </c>
      <c r="C1210">
        <v>174</v>
      </c>
      <c r="D1210">
        <f>IF(cukier10[[#This Row],[nip_klienta]]=B1209,D1209+cukier10[[#This Row],[sprzedany_cukier]],cukier10[[#This Row],[sprzedany_cukier]])</f>
        <v>3631</v>
      </c>
      <c r="E1210" cm="1">
        <f t="array" ref="E12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10">
        <f>cukier10[[#This Row],[sprzedany_cukier]]*cukier10[[#This Row],[rabat]]</f>
        <v>17.400000000000002</v>
      </c>
    </row>
    <row r="1211" spans="1:6" x14ac:dyDescent="0.25">
      <c r="A1211" s="1">
        <v>40625</v>
      </c>
      <c r="B1211" t="s">
        <v>30</v>
      </c>
      <c r="C1211">
        <v>151</v>
      </c>
      <c r="D1211">
        <f>IF(cukier10[[#This Row],[nip_klienta]]=B1210,D1210+cukier10[[#This Row],[sprzedany_cukier]],cukier10[[#This Row],[sprzedany_cukier]])</f>
        <v>3782</v>
      </c>
      <c r="E1211" cm="1">
        <f t="array" ref="E12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11">
        <f>cukier10[[#This Row],[sprzedany_cukier]]*cukier10[[#This Row],[rabat]]</f>
        <v>15.100000000000001</v>
      </c>
    </row>
    <row r="1212" spans="1:6" x14ac:dyDescent="0.25">
      <c r="A1212" s="1">
        <v>40672</v>
      </c>
      <c r="B1212" t="s">
        <v>30</v>
      </c>
      <c r="C1212">
        <v>184</v>
      </c>
      <c r="D1212">
        <f>IF(cukier10[[#This Row],[nip_klienta]]=B1211,D1211+cukier10[[#This Row],[sprzedany_cukier]],cukier10[[#This Row],[sprzedany_cukier]])</f>
        <v>3966</v>
      </c>
      <c r="E1212" cm="1">
        <f t="array" ref="E12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12">
        <f>cukier10[[#This Row],[sprzedany_cukier]]*cukier10[[#This Row],[rabat]]</f>
        <v>18.400000000000002</v>
      </c>
    </row>
    <row r="1213" spans="1:6" x14ac:dyDescent="0.25">
      <c r="A1213" s="1">
        <v>40812</v>
      </c>
      <c r="B1213" t="s">
        <v>30</v>
      </c>
      <c r="C1213">
        <v>42</v>
      </c>
      <c r="D1213">
        <f>IF(cukier10[[#This Row],[nip_klienta]]=B1212,D1212+cukier10[[#This Row],[sprzedany_cukier]],cukier10[[#This Row],[sprzedany_cukier]])</f>
        <v>4008</v>
      </c>
      <c r="E1213" cm="1">
        <f t="array" ref="E12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13">
        <f>cukier10[[#This Row],[sprzedany_cukier]]*cukier10[[#This Row],[rabat]]</f>
        <v>4.2</v>
      </c>
    </row>
    <row r="1214" spans="1:6" x14ac:dyDescent="0.25">
      <c r="A1214" s="1">
        <v>40897</v>
      </c>
      <c r="B1214" t="s">
        <v>30</v>
      </c>
      <c r="C1214">
        <v>125</v>
      </c>
      <c r="D1214">
        <f>IF(cukier10[[#This Row],[nip_klienta]]=B1213,D1213+cukier10[[#This Row],[sprzedany_cukier]],cukier10[[#This Row],[sprzedany_cukier]])</f>
        <v>4133</v>
      </c>
      <c r="E1214" cm="1">
        <f t="array" ref="E12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14">
        <f>cukier10[[#This Row],[sprzedany_cukier]]*cukier10[[#This Row],[rabat]]</f>
        <v>12.5</v>
      </c>
    </row>
    <row r="1215" spans="1:6" x14ac:dyDescent="0.25">
      <c r="A1215" s="1">
        <v>40950</v>
      </c>
      <c r="B1215" t="s">
        <v>30</v>
      </c>
      <c r="C1215">
        <v>53</v>
      </c>
      <c r="D1215">
        <f>IF(cukier10[[#This Row],[nip_klienta]]=B1214,D1214+cukier10[[#This Row],[sprzedany_cukier]],cukier10[[#This Row],[sprzedany_cukier]])</f>
        <v>4186</v>
      </c>
      <c r="E1215" cm="1">
        <f t="array" ref="E12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15">
        <f>cukier10[[#This Row],[sprzedany_cukier]]*cukier10[[#This Row],[rabat]]</f>
        <v>5.3000000000000007</v>
      </c>
    </row>
    <row r="1216" spans="1:6" x14ac:dyDescent="0.25">
      <c r="A1216" s="1">
        <v>41305</v>
      </c>
      <c r="B1216" t="s">
        <v>30</v>
      </c>
      <c r="C1216">
        <v>181</v>
      </c>
      <c r="D1216">
        <f>IF(cukier10[[#This Row],[nip_klienta]]=B1215,D1215+cukier10[[#This Row],[sprzedany_cukier]],cukier10[[#This Row],[sprzedany_cukier]])</f>
        <v>4367</v>
      </c>
      <c r="E1216" cm="1">
        <f t="array" ref="E12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16">
        <f>cukier10[[#This Row],[sprzedany_cukier]]*cukier10[[#This Row],[rabat]]</f>
        <v>18.100000000000001</v>
      </c>
    </row>
    <row r="1217" spans="1:6" x14ac:dyDescent="0.25">
      <c r="A1217" s="1">
        <v>41406</v>
      </c>
      <c r="B1217" t="s">
        <v>30</v>
      </c>
      <c r="C1217">
        <v>81</v>
      </c>
      <c r="D1217">
        <f>IF(cukier10[[#This Row],[nip_klienta]]=B1216,D1216+cukier10[[#This Row],[sprzedany_cukier]],cukier10[[#This Row],[sprzedany_cukier]])</f>
        <v>4448</v>
      </c>
      <c r="E1217" cm="1">
        <f t="array" ref="E12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17">
        <f>cukier10[[#This Row],[sprzedany_cukier]]*cukier10[[#This Row],[rabat]]</f>
        <v>8.1</v>
      </c>
    </row>
    <row r="1218" spans="1:6" x14ac:dyDescent="0.25">
      <c r="A1218" s="1">
        <v>41440</v>
      </c>
      <c r="B1218" t="s">
        <v>30</v>
      </c>
      <c r="C1218">
        <v>132</v>
      </c>
      <c r="D1218">
        <f>IF(cukier10[[#This Row],[nip_klienta]]=B1217,D1217+cukier10[[#This Row],[sprzedany_cukier]],cukier10[[#This Row],[sprzedany_cukier]])</f>
        <v>4580</v>
      </c>
      <c r="E1218" cm="1">
        <f t="array" ref="E12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18">
        <f>cukier10[[#This Row],[sprzedany_cukier]]*cukier10[[#This Row],[rabat]]</f>
        <v>13.200000000000001</v>
      </c>
    </row>
    <row r="1219" spans="1:6" x14ac:dyDescent="0.25">
      <c r="A1219" s="1">
        <v>41580</v>
      </c>
      <c r="B1219" t="s">
        <v>30</v>
      </c>
      <c r="C1219">
        <v>165</v>
      </c>
      <c r="D1219">
        <f>IF(cukier10[[#This Row],[nip_klienta]]=B1218,D1218+cukier10[[#This Row],[sprzedany_cukier]],cukier10[[#This Row],[sprzedany_cukier]])</f>
        <v>4745</v>
      </c>
      <c r="E1219" cm="1">
        <f t="array" ref="E12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19">
        <f>cukier10[[#This Row],[sprzedany_cukier]]*cukier10[[#This Row],[rabat]]</f>
        <v>16.5</v>
      </c>
    </row>
    <row r="1220" spans="1:6" x14ac:dyDescent="0.25">
      <c r="A1220" s="1">
        <v>41606</v>
      </c>
      <c r="B1220" t="s">
        <v>30</v>
      </c>
      <c r="C1220">
        <v>174</v>
      </c>
      <c r="D1220">
        <f>IF(cukier10[[#This Row],[nip_klienta]]=B1219,D1219+cukier10[[#This Row],[sprzedany_cukier]],cukier10[[#This Row],[sprzedany_cukier]])</f>
        <v>4919</v>
      </c>
      <c r="E1220" cm="1">
        <f t="array" ref="E12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20">
        <f>cukier10[[#This Row],[sprzedany_cukier]]*cukier10[[#This Row],[rabat]]</f>
        <v>17.400000000000002</v>
      </c>
    </row>
    <row r="1221" spans="1:6" x14ac:dyDescent="0.25">
      <c r="A1221" s="1">
        <v>41645</v>
      </c>
      <c r="B1221" t="s">
        <v>30</v>
      </c>
      <c r="C1221">
        <v>111</v>
      </c>
      <c r="D1221">
        <f>IF(cukier10[[#This Row],[nip_klienta]]=B1220,D1220+cukier10[[#This Row],[sprzedany_cukier]],cukier10[[#This Row],[sprzedany_cukier]])</f>
        <v>5030</v>
      </c>
      <c r="E1221" cm="1">
        <f t="array" ref="E12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21">
        <f>cukier10[[#This Row],[sprzedany_cukier]]*cukier10[[#This Row],[rabat]]</f>
        <v>11.100000000000001</v>
      </c>
    </row>
    <row r="1222" spans="1:6" x14ac:dyDescent="0.25">
      <c r="A1222" s="1">
        <v>41811</v>
      </c>
      <c r="B1222" t="s">
        <v>30</v>
      </c>
      <c r="C1222">
        <v>90</v>
      </c>
      <c r="D1222">
        <f>IF(cukier10[[#This Row],[nip_klienta]]=B1221,D1221+cukier10[[#This Row],[sprzedany_cukier]],cukier10[[#This Row],[sprzedany_cukier]])</f>
        <v>5120</v>
      </c>
      <c r="E1222" cm="1">
        <f t="array" ref="E12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22">
        <f>cukier10[[#This Row],[sprzedany_cukier]]*cukier10[[#This Row],[rabat]]</f>
        <v>9</v>
      </c>
    </row>
    <row r="1223" spans="1:6" x14ac:dyDescent="0.25">
      <c r="A1223" s="1">
        <v>39780</v>
      </c>
      <c r="B1223" t="s">
        <v>176</v>
      </c>
      <c r="C1223">
        <v>17</v>
      </c>
      <c r="D1223">
        <f>IF(cukier10[[#This Row],[nip_klienta]]=B1222,D1222+cukier10[[#This Row],[sprzedany_cukier]],cukier10[[#This Row],[sprzedany_cukier]])</f>
        <v>17</v>
      </c>
      <c r="E1223" cm="1">
        <f t="array" ref="E12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23">
        <f>cukier10[[#This Row],[sprzedany_cukier]]*cukier10[[#This Row],[rabat]]</f>
        <v>0</v>
      </c>
    </row>
    <row r="1224" spans="1:6" x14ac:dyDescent="0.25">
      <c r="A1224" s="1">
        <v>40370</v>
      </c>
      <c r="B1224" t="s">
        <v>176</v>
      </c>
      <c r="C1224">
        <v>20</v>
      </c>
      <c r="D1224">
        <f>IF(cukier10[[#This Row],[nip_klienta]]=B1223,D1223+cukier10[[#This Row],[sprzedany_cukier]],cukier10[[#This Row],[sprzedany_cukier]])</f>
        <v>37</v>
      </c>
      <c r="E1224" cm="1">
        <f t="array" ref="E12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24">
        <f>cukier10[[#This Row],[sprzedany_cukier]]*cukier10[[#This Row],[rabat]]</f>
        <v>0</v>
      </c>
    </row>
    <row r="1225" spans="1:6" x14ac:dyDescent="0.25">
      <c r="A1225" s="1">
        <v>40006</v>
      </c>
      <c r="B1225" t="s">
        <v>195</v>
      </c>
      <c r="C1225">
        <v>9</v>
      </c>
      <c r="D1225">
        <f>IF(cukier10[[#This Row],[nip_klienta]]=B1224,D1224+cukier10[[#This Row],[sprzedany_cukier]],cukier10[[#This Row],[sprzedany_cukier]])</f>
        <v>9</v>
      </c>
      <c r="E1225" cm="1">
        <f t="array" ref="E12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25">
        <f>cukier10[[#This Row],[sprzedany_cukier]]*cukier10[[#This Row],[rabat]]</f>
        <v>0</v>
      </c>
    </row>
    <row r="1226" spans="1:6" x14ac:dyDescent="0.25">
      <c r="A1226" s="1">
        <v>40319</v>
      </c>
      <c r="B1226" t="s">
        <v>195</v>
      </c>
      <c r="C1226">
        <v>2</v>
      </c>
      <c r="D1226">
        <f>IF(cukier10[[#This Row],[nip_klienta]]=B1225,D1225+cukier10[[#This Row],[sprzedany_cukier]],cukier10[[#This Row],[sprzedany_cukier]])</f>
        <v>11</v>
      </c>
      <c r="E1226" cm="1">
        <f t="array" ref="E12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26">
        <f>cukier10[[#This Row],[sprzedany_cukier]]*cukier10[[#This Row],[rabat]]</f>
        <v>0</v>
      </c>
    </row>
    <row r="1227" spans="1:6" x14ac:dyDescent="0.25">
      <c r="A1227" s="1">
        <v>39624</v>
      </c>
      <c r="B1227" t="s">
        <v>170</v>
      </c>
      <c r="C1227">
        <v>4</v>
      </c>
      <c r="D1227">
        <f>IF(cukier10[[#This Row],[nip_klienta]]=B1226,D1226+cukier10[[#This Row],[sprzedany_cukier]],cukier10[[#This Row],[sprzedany_cukier]])</f>
        <v>4</v>
      </c>
      <c r="E1227" cm="1">
        <f t="array" ref="E12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27">
        <f>cukier10[[#This Row],[sprzedany_cukier]]*cukier10[[#This Row],[rabat]]</f>
        <v>0</v>
      </c>
    </row>
    <row r="1228" spans="1:6" x14ac:dyDescent="0.25">
      <c r="A1228" s="1">
        <v>40031</v>
      </c>
      <c r="B1228" t="s">
        <v>170</v>
      </c>
      <c r="C1228">
        <v>20</v>
      </c>
      <c r="D1228">
        <f>IF(cukier10[[#This Row],[nip_klienta]]=B1227,D1227+cukier10[[#This Row],[sprzedany_cukier]],cukier10[[#This Row],[sprzedany_cukier]])</f>
        <v>24</v>
      </c>
      <c r="E1228" cm="1">
        <f t="array" ref="E12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28">
        <f>cukier10[[#This Row],[sprzedany_cukier]]*cukier10[[#This Row],[rabat]]</f>
        <v>0</v>
      </c>
    </row>
    <row r="1229" spans="1:6" x14ac:dyDescent="0.25">
      <c r="A1229" s="1">
        <v>40289</v>
      </c>
      <c r="B1229" t="s">
        <v>170</v>
      </c>
      <c r="C1229">
        <v>12</v>
      </c>
      <c r="D1229">
        <f>IF(cukier10[[#This Row],[nip_klienta]]=B1228,D1228+cukier10[[#This Row],[sprzedany_cukier]],cukier10[[#This Row],[sprzedany_cukier]])</f>
        <v>36</v>
      </c>
      <c r="E1229" cm="1">
        <f t="array" ref="E12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29">
        <f>cukier10[[#This Row],[sprzedany_cukier]]*cukier10[[#This Row],[rabat]]</f>
        <v>0</v>
      </c>
    </row>
    <row r="1230" spans="1:6" x14ac:dyDescent="0.25">
      <c r="A1230" s="1">
        <v>40568</v>
      </c>
      <c r="B1230" t="s">
        <v>170</v>
      </c>
      <c r="C1230">
        <v>11</v>
      </c>
      <c r="D1230">
        <f>IF(cukier10[[#This Row],[nip_klienta]]=B1229,D1229+cukier10[[#This Row],[sprzedany_cukier]],cukier10[[#This Row],[sprzedany_cukier]])</f>
        <v>47</v>
      </c>
      <c r="E1230" cm="1">
        <f t="array" ref="E12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30">
        <f>cukier10[[#This Row],[sprzedany_cukier]]*cukier10[[#This Row],[rabat]]</f>
        <v>0</v>
      </c>
    </row>
    <row r="1231" spans="1:6" x14ac:dyDescent="0.25">
      <c r="A1231" s="1">
        <v>41437</v>
      </c>
      <c r="B1231" t="s">
        <v>170</v>
      </c>
      <c r="C1231">
        <v>12</v>
      </c>
      <c r="D1231">
        <f>IF(cukier10[[#This Row],[nip_klienta]]=B1230,D1230+cukier10[[#This Row],[sprzedany_cukier]],cukier10[[#This Row],[sprzedany_cukier]])</f>
        <v>59</v>
      </c>
      <c r="E1231" cm="1">
        <f t="array" ref="E12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31">
        <f>cukier10[[#This Row],[sprzedany_cukier]]*cukier10[[#This Row],[rabat]]</f>
        <v>0</v>
      </c>
    </row>
    <row r="1232" spans="1:6" x14ac:dyDescent="0.25">
      <c r="A1232" s="1">
        <v>38709</v>
      </c>
      <c r="B1232" t="s">
        <v>92</v>
      </c>
      <c r="C1232">
        <v>5</v>
      </c>
      <c r="D1232">
        <f>IF(cukier10[[#This Row],[nip_klienta]]=B1231,D1231+cukier10[[#This Row],[sprzedany_cukier]],cukier10[[#This Row],[sprzedany_cukier]])</f>
        <v>5</v>
      </c>
      <c r="E1232" cm="1">
        <f t="array" ref="E12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32">
        <f>cukier10[[#This Row],[sprzedany_cukier]]*cukier10[[#This Row],[rabat]]</f>
        <v>0</v>
      </c>
    </row>
    <row r="1233" spans="1:6" x14ac:dyDescent="0.25">
      <c r="A1233" s="1">
        <v>39819</v>
      </c>
      <c r="B1233" t="s">
        <v>92</v>
      </c>
      <c r="C1233">
        <v>11</v>
      </c>
      <c r="D1233">
        <f>IF(cukier10[[#This Row],[nip_klienta]]=B1232,D1232+cukier10[[#This Row],[sprzedany_cukier]],cukier10[[#This Row],[sprzedany_cukier]])</f>
        <v>16</v>
      </c>
      <c r="E1233" cm="1">
        <f t="array" ref="E12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33">
        <f>cukier10[[#This Row],[sprzedany_cukier]]*cukier10[[#This Row],[rabat]]</f>
        <v>0</v>
      </c>
    </row>
    <row r="1234" spans="1:6" x14ac:dyDescent="0.25">
      <c r="A1234" s="1">
        <v>40333</v>
      </c>
      <c r="B1234" t="s">
        <v>92</v>
      </c>
      <c r="C1234">
        <v>5</v>
      </c>
      <c r="D1234">
        <f>IF(cukier10[[#This Row],[nip_klienta]]=B1233,D1233+cukier10[[#This Row],[sprzedany_cukier]],cukier10[[#This Row],[sprzedany_cukier]])</f>
        <v>21</v>
      </c>
      <c r="E1234" cm="1">
        <f t="array" ref="E12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34">
        <f>cukier10[[#This Row],[sprzedany_cukier]]*cukier10[[#This Row],[rabat]]</f>
        <v>0</v>
      </c>
    </row>
    <row r="1235" spans="1:6" x14ac:dyDescent="0.25">
      <c r="A1235" s="1">
        <v>40906</v>
      </c>
      <c r="B1235" t="s">
        <v>92</v>
      </c>
      <c r="C1235">
        <v>16</v>
      </c>
      <c r="D1235">
        <f>IF(cukier10[[#This Row],[nip_klienta]]=B1234,D1234+cukier10[[#This Row],[sprzedany_cukier]],cukier10[[#This Row],[sprzedany_cukier]])</f>
        <v>37</v>
      </c>
      <c r="E1235" cm="1">
        <f t="array" ref="E12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35">
        <f>cukier10[[#This Row],[sprzedany_cukier]]*cukier10[[#This Row],[rabat]]</f>
        <v>0</v>
      </c>
    </row>
    <row r="1236" spans="1:6" x14ac:dyDescent="0.25">
      <c r="A1236" s="1">
        <v>39062</v>
      </c>
      <c r="B1236" t="s">
        <v>134</v>
      </c>
      <c r="C1236">
        <v>13</v>
      </c>
      <c r="D1236">
        <f>IF(cukier10[[#This Row],[nip_klienta]]=B1235,D1235+cukier10[[#This Row],[sprzedany_cukier]],cukier10[[#This Row],[sprzedany_cukier]])</f>
        <v>13</v>
      </c>
      <c r="E1236" cm="1">
        <f t="array" ref="E12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36">
        <f>cukier10[[#This Row],[sprzedany_cukier]]*cukier10[[#This Row],[rabat]]</f>
        <v>0</v>
      </c>
    </row>
    <row r="1237" spans="1:6" x14ac:dyDescent="0.25">
      <c r="A1237" s="1">
        <v>39603</v>
      </c>
      <c r="B1237" t="s">
        <v>134</v>
      </c>
      <c r="C1237">
        <v>3</v>
      </c>
      <c r="D1237">
        <f>IF(cukier10[[#This Row],[nip_klienta]]=B1236,D1236+cukier10[[#This Row],[sprzedany_cukier]],cukier10[[#This Row],[sprzedany_cukier]])</f>
        <v>16</v>
      </c>
      <c r="E1237" cm="1">
        <f t="array" ref="E12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37">
        <f>cukier10[[#This Row],[sprzedany_cukier]]*cukier10[[#This Row],[rabat]]</f>
        <v>0</v>
      </c>
    </row>
    <row r="1238" spans="1:6" x14ac:dyDescent="0.25">
      <c r="A1238" s="1">
        <v>38862</v>
      </c>
      <c r="B1238" t="s">
        <v>110</v>
      </c>
      <c r="C1238">
        <v>2</v>
      </c>
      <c r="D1238">
        <f>IF(cukier10[[#This Row],[nip_klienta]]=B1237,D1237+cukier10[[#This Row],[sprzedany_cukier]],cukier10[[#This Row],[sprzedany_cukier]])</f>
        <v>2</v>
      </c>
      <c r="E1238" cm="1">
        <f t="array" ref="E12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38">
        <f>cukier10[[#This Row],[sprzedany_cukier]]*cukier10[[#This Row],[rabat]]</f>
        <v>0</v>
      </c>
    </row>
    <row r="1239" spans="1:6" x14ac:dyDescent="0.25">
      <c r="A1239" s="1">
        <v>40768</v>
      </c>
      <c r="B1239" t="s">
        <v>110</v>
      </c>
      <c r="C1239">
        <v>7</v>
      </c>
      <c r="D1239">
        <f>IF(cukier10[[#This Row],[nip_klienta]]=B1238,D1238+cukier10[[#This Row],[sprzedany_cukier]],cukier10[[#This Row],[sprzedany_cukier]])</f>
        <v>9</v>
      </c>
      <c r="E1239" cm="1">
        <f t="array" ref="E12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39">
        <f>cukier10[[#This Row],[sprzedany_cukier]]*cukier10[[#This Row],[rabat]]</f>
        <v>0</v>
      </c>
    </row>
    <row r="1240" spans="1:6" x14ac:dyDescent="0.25">
      <c r="A1240" s="1">
        <v>41585</v>
      </c>
      <c r="B1240" t="s">
        <v>110</v>
      </c>
      <c r="C1240">
        <v>8</v>
      </c>
      <c r="D1240">
        <f>IF(cukier10[[#This Row],[nip_klienta]]=B1239,D1239+cukier10[[#This Row],[sprzedany_cukier]],cukier10[[#This Row],[sprzedany_cukier]])</f>
        <v>17</v>
      </c>
      <c r="E1240" cm="1">
        <f t="array" ref="E12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40">
        <f>cukier10[[#This Row],[sprzedany_cukier]]*cukier10[[#This Row],[rabat]]</f>
        <v>0</v>
      </c>
    </row>
    <row r="1241" spans="1:6" x14ac:dyDescent="0.25">
      <c r="A1241" s="1">
        <v>41893</v>
      </c>
      <c r="B1241" t="s">
        <v>110</v>
      </c>
      <c r="C1241">
        <v>1</v>
      </c>
      <c r="D1241">
        <f>IF(cukier10[[#This Row],[nip_klienta]]=B1240,D1240+cukier10[[#This Row],[sprzedany_cukier]],cukier10[[#This Row],[sprzedany_cukier]])</f>
        <v>18</v>
      </c>
      <c r="E1241" cm="1">
        <f t="array" ref="E12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41">
        <f>cukier10[[#This Row],[sprzedany_cukier]]*cukier10[[#This Row],[rabat]]</f>
        <v>0</v>
      </c>
    </row>
    <row r="1242" spans="1:6" x14ac:dyDescent="0.25">
      <c r="A1242" s="1">
        <v>40172</v>
      </c>
      <c r="B1242" t="s">
        <v>203</v>
      </c>
      <c r="C1242">
        <v>17</v>
      </c>
      <c r="D1242">
        <f>IF(cukier10[[#This Row],[nip_klienta]]=B1241,D1241+cukier10[[#This Row],[sprzedany_cukier]],cukier10[[#This Row],[sprzedany_cukier]])</f>
        <v>17</v>
      </c>
      <c r="E1242" cm="1">
        <f t="array" ref="E12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42">
        <f>cukier10[[#This Row],[sprzedany_cukier]]*cukier10[[#This Row],[rabat]]</f>
        <v>0</v>
      </c>
    </row>
    <row r="1243" spans="1:6" x14ac:dyDescent="0.25">
      <c r="A1243" s="1">
        <v>40242</v>
      </c>
      <c r="B1243" t="s">
        <v>203</v>
      </c>
      <c r="C1243">
        <v>20</v>
      </c>
      <c r="D1243">
        <f>IF(cukier10[[#This Row],[nip_klienta]]=B1242,D1242+cukier10[[#This Row],[sprzedany_cukier]],cukier10[[#This Row],[sprzedany_cukier]])</f>
        <v>37</v>
      </c>
      <c r="E1243" cm="1">
        <f t="array" ref="E12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43">
        <f>cukier10[[#This Row],[sprzedany_cukier]]*cukier10[[#This Row],[rabat]]</f>
        <v>0</v>
      </c>
    </row>
    <row r="1244" spans="1:6" x14ac:dyDescent="0.25">
      <c r="A1244" s="1">
        <v>39054</v>
      </c>
      <c r="B1244" t="s">
        <v>129</v>
      </c>
      <c r="C1244">
        <v>7</v>
      </c>
      <c r="D1244">
        <f>IF(cukier10[[#This Row],[nip_klienta]]=B1243,D1243+cukier10[[#This Row],[sprzedany_cukier]],cukier10[[#This Row],[sprzedany_cukier]])</f>
        <v>7</v>
      </c>
      <c r="E1244" cm="1">
        <f t="array" ref="E12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44">
        <f>cukier10[[#This Row],[sprzedany_cukier]]*cukier10[[#This Row],[rabat]]</f>
        <v>0</v>
      </c>
    </row>
    <row r="1245" spans="1:6" x14ac:dyDescent="0.25">
      <c r="A1245" s="1">
        <v>40352</v>
      </c>
      <c r="B1245" t="s">
        <v>129</v>
      </c>
      <c r="C1245">
        <v>9</v>
      </c>
      <c r="D1245">
        <f>IF(cukier10[[#This Row],[nip_klienta]]=B1244,D1244+cukier10[[#This Row],[sprzedany_cukier]],cukier10[[#This Row],[sprzedany_cukier]])</f>
        <v>16</v>
      </c>
      <c r="E1245" cm="1">
        <f t="array" ref="E12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45">
        <f>cukier10[[#This Row],[sprzedany_cukier]]*cukier10[[#This Row],[rabat]]</f>
        <v>0</v>
      </c>
    </row>
    <row r="1246" spans="1:6" x14ac:dyDescent="0.25">
      <c r="A1246" s="1">
        <v>39361</v>
      </c>
      <c r="B1246" t="s">
        <v>149</v>
      </c>
      <c r="C1246">
        <v>4</v>
      </c>
      <c r="D1246">
        <f>IF(cukier10[[#This Row],[nip_klienta]]=B1245,D1245+cukier10[[#This Row],[sprzedany_cukier]],cukier10[[#This Row],[sprzedany_cukier]])</f>
        <v>4</v>
      </c>
      <c r="E1246" cm="1">
        <f t="array" ref="E12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46">
        <f>cukier10[[#This Row],[sprzedany_cukier]]*cukier10[[#This Row],[rabat]]</f>
        <v>0</v>
      </c>
    </row>
    <row r="1247" spans="1:6" x14ac:dyDescent="0.25">
      <c r="A1247" s="1">
        <v>40665</v>
      </c>
      <c r="B1247" t="s">
        <v>149</v>
      </c>
      <c r="C1247">
        <v>15</v>
      </c>
      <c r="D1247">
        <f>IF(cukier10[[#This Row],[nip_klienta]]=B1246,D1246+cukier10[[#This Row],[sprzedany_cukier]],cukier10[[#This Row],[sprzedany_cukier]])</f>
        <v>19</v>
      </c>
      <c r="E1247" cm="1">
        <f t="array" ref="E12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47">
        <f>cukier10[[#This Row],[sprzedany_cukier]]*cukier10[[#This Row],[rabat]]</f>
        <v>0</v>
      </c>
    </row>
    <row r="1248" spans="1:6" x14ac:dyDescent="0.25">
      <c r="A1248" s="1">
        <v>40961</v>
      </c>
      <c r="B1248" t="s">
        <v>149</v>
      </c>
      <c r="C1248">
        <v>19</v>
      </c>
      <c r="D1248">
        <f>IF(cukier10[[#This Row],[nip_klienta]]=B1247,D1247+cukier10[[#This Row],[sprzedany_cukier]],cukier10[[#This Row],[sprzedany_cukier]])</f>
        <v>38</v>
      </c>
      <c r="E1248" cm="1">
        <f t="array" ref="E12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48">
        <f>cukier10[[#This Row],[sprzedany_cukier]]*cukier10[[#This Row],[rabat]]</f>
        <v>0</v>
      </c>
    </row>
    <row r="1249" spans="1:6" x14ac:dyDescent="0.25">
      <c r="A1249" s="1">
        <v>40998</v>
      </c>
      <c r="B1249" t="s">
        <v>149</v>
      </c>
      <c r="C1249">
        <v>14</v>
      </c>
      <c r="D1249">
        <f>IF(cukier10[[#This Row],[nip_klienta]]=B1248,D1248+cukier10[[#This Row],[sprzedany_cukier]],cukier10[[#This Row],[sprzedany_cukier]])</f>
        <v>52</v>
      </c>
      <c r="E1249" cm="1">
        <f t="array" ref="E12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49">
        <f>cukier10[[#This Row],[sprzedany_cukier]]*cukier10[[#This Row],[rabat]]</f>
        <v>0</v>
      </c>
    </row>
    <row r="1250" spans="1:6" x14ac:dyDescent="0.25">
      <c r="A1250" s="1">
        <v>41033</v>
      </c>
      <c r="B1250" t="s">
        <v>149</v>
      </c>
      <c r="C1250">
        <v>15</v>
      </c>
      <c r="D1250">
        <f>IF(cukier10[[#This Row],[nip_klienta]]=B1249,D1249+cukier10[[#This Row],[sprzedany_cukier]],cukier10[[#This Row],[sprzedany_cukier]])</f>
        <v>67</v>
      </c>
      <c r="E1250" cm="1">
        <f t="array" ref="E12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50">
        <f>cukier10[[#This Row],[sprzedany_cukier]]*cukier10[[#This Row],[rabat]]</f>
        <v>0</v>
      </c>
    </row>
    <row r="1251" spans="1:6" x14ac:dyDescent="0.25">
      <c r="A1251" s="1">
        <v>38503</v>
      </c>
      <c r="B1251" t="s">
        <v>49</v>
      </c>
      <c r="C1251">
        <v>3</v>
      </c>
      <c r="D1251">
        <f>IF(cukier10[[#This Row],[nip_klienta]]=B1250,D1250+cukier10[[#This Row],[sprzedany_cukier]],cukier10[[#This Row],[sprzedany_cukier]])</f>
        <v>3</v>
      </c>
      <c r="E1251" cm="1">
        <f t="array" ref="E12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51">
        <f>cukier10[[#This Row],[sprzedany_cukier]]*cukier10[[#This Row],[rabat]]</f>
        <v>0</v>
      </c>
    </row>
    <row r="1252" spans="1:6" x14ac:dyDescent="0.25">
      <c r="A1252" s="1">
        <v>41142</v>
      </c>
      <c r="B1252" t="s">
        <v>49</v>
      </c>
      <c r="C1252">
        <v>11</v>
      </c>
      <c r="D1252">
        <f>IF(cukier10[[#This Row],[nip_klienta]]=B1251,D1251+cukier10[[#This Row],[sprzedany_cukier]],cukier10[[#This Row],[sprzedany_cukier]])</f>
        <v>14</v>
      </c>
      <c r="E1252" cm="1">
        <f t="array" ref="E12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52">
        <f>cukier10[[#This Row],[sprzedany_cukier]]*cukier10[[#This Row],[rabat]]</f>
        <v>0</v>
      </c>
    </row>
    <row r="1253" spans="1:6" x14ac:dyDescent="0.25">
      <c r="A1253" s="1">
        <v>41273</v>
      </c>
      <c r="B1253" t="s">
        <v>49</v>
      </c>
      <c r="C1253">
        <v>9</v>
      </c>
      <c r="D1253">
        <f>IF(cukier10[[#This Row],[nip_klienta]]=B1252,D1252+cukier10[[#This Row],[sprzedany_cukier]],cukier10[[#This Row],[sprzedany_cukier]])</f>
        <v>23</v>
      </c>
      <c r="E1253" cm="1">
        <f t="array" ref="E12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53">
        <f>cukier10[[#This Row],[sprzedany_cukier]]*cukier10[[#This Row],[rabat]]</f>
        <v>0</v>
      </c>
    </row>
    <row r="1254" spans="1:6" x14ac:dyDescent="0.25">
      <c r="A1254" s="1">
        <v>41615</v>
      </c>
      <c r="B1254" t="s">
        <v>49</v>
      </c>
      <c r="C1254">
        <v>3</v>
      </c>
      <c r="D1254">
        <f>IF(cukier10[[#This Row],[nip_klienta]]=B1253,D1253+cukier10[[#This Row],[sprzedany_cukier]],cukier10[[#This Row],[sprzedany_cukier]])</f>
        <v>26</v>
      </c>
      <c r="E1254" cm="1">
        <f t="array" ref="E12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54">
        <f>cukier10[[#This Row],[sprzedany_cukier]]*cukier10[[#This Row],[rabat]]</f>
        <v>0</v>
      </c>
    </row>
    <row r="1255" spans="1:6" x14ac:dyDescent="0.25">
      <c r="A1255" s="1">
        <v>38365</v>
      </c>
      <c r="B1255" t="s">
        <v>5</v>
      </c>
      <c r="C1255">
        <v>436</v>
      </c>
      <c r="D1255">
        <f>IF(cukier10[[#This Row],[nip_klienta]]=B1254,D1254+cukier10[[#This Row],[sprzedany_cukier]],cukier10[[#This Row],[sprzedany_cukier]])</f>
        <v>436</v>
      </c>
      <c r="E1255" cm="1">
        <f t="array" ref="E12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255">
        <f>cukier10[[#This Row],[sprzedany_cukier]]*cukier10[[#This Row],[rabat]]</f>
        <v>21.8</v>
      </c>
    </row>
    <row r="1256" spans="1:6" x14ac:dyDescent="0.25">
      <c r="A1256" s="1">
        <v>38410</v>
      </c>
      <c r="B1256" t="s">
        <v>5</v>
      </c>
      <c r="C1256">
        <v>336</v>
      </c>
      <c r="D1256">
        <f>IF(cukier10[[#This Row],[nip_klienta]]=B1255,D1255+cukier10[[#This Row],[sprzedany_cukier]],cukier10[[#This Row],[sprzedany_cukier]])</f>
        <v>772</v>
      </c>
      <c r="E1256" cm="1">
        <f t="array" ref="E12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256">
        <f>cukier10[[#This Row],[sprzedany_cukier]]*cukier10[[#This Row],[rabat]]</f>
        <v>16.8</v>
      </c>
    </row>
    <row r="1257" spans="1:6" x14ac:dyDescent="0.25">
      <c r="A1257" s="1">
        <v>38423</v>
      </c>
      <c r="B1257" t="s">
        <v>5</v>
      </c>
      <c r="C1257">
        <v>331</v>
      </c>
      <c r="D1257">
        <f>IF(cukier10[[#This Row],[nip_klienta]]=B1256,D1256+cukier10[[#This Row],[sprzedany_cukier]],cukier10[[#This Row],[sprzedany_cukier]])</f>
        <v>1103</v>
      </c>
      <c r="E1257" cm="1">
        <f t="array" ref="E12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57">
        <f>cukier10[[#This Row],[sprzedany_cukier]]*cukier10[[#This Row],[rabat]]</f>
        <v>33.1</v>
      </c>
    </row>
    <row r="1258" spans="1:6" x14ac:dyDescent="0.25">
      <c r="A1258" s="1">
        <v>38518</v>
      </c>
      <c r="B1258" t="s">
        <v>5</v>
      </c>
      <c r="C1258">
        <v>453</v>
      </c>
      <c r="D1258">
        <f>IF(cukier10[[#This Row],[nip_klienta]]=B1257,D1257+cukier10[[#This Row],[sprzedany_cukier]],cukier10[[#This Row],[sprzedany_cukier]])</f>
        <v>1556</v>
      </c>
      <c r="E1258" cm="1">
        <f t="array" ref="E12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58">
        <f>cukier10[[#This Row],[sprzedany_cukier]]*cukier10[[#This Row],[rabat]]</f>
        <v>45.300000000000004</v>
      </c>
    </row>
    <row r="1259" spans="1:6" x14ac:dyDescent="0.25">
      <c r="A1259" s="1">
        <v>38602</v>
      </c>
      <c r="B1259" t="s">
        <v>5</v>
      </c>
      <c r="C1259">
        <v>368</v>
      </c>
      <c r="D1259">
        <f>IF(cukier10[[#This Row],[nip_klienta]]=B1258,D1258+cukier10[[#This Row],[sprzedany_cukier]],cukier10[[#This Row],[sprzedany_cukier]])</f>
        <v>1924</v>
      </c>
      <c r="E1259" cm="1">
        <f t="array" ref="E12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59">
        <f>cukier10[[#This Row],[sprzedany_cukier]]*cukier10[[#This Row],[rabat]]</f>
        <v>36.800000000000004</v>
      </c>
    </row>
    <row r="1260" spans="1:6" x14ac:dyDescent="0.25">
      <c r="A1260" s="1">
        <v>38629</v>
      </c>
      <c r="B1260" t="s">
        <v>5</v>
      </c>
      <c r="C1260">
        <v>173</v>
      </c>
      <c r="D1260">
        <f>IF(cukier10[[#This Row],[nip_klienta]]=B1259,D1259+cukier10[[#This Row],[sprzedany_cukier]],cukier10[[#This Row],[sprzedany_cukier]])</f>
        <v>2097</v>
      </c>
      <c r="E1260" cm="1">
        <f t="array" ref="E12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60">
        <f>cukier10[[#This Row],[sprzedany_cukier]]*cukier10[[#This Row],[rabat]]</f>
        <v>17.3</v>
      </c>
    </row>
    <row r="1261" spans="1:6" x14ac:dyDescent="0.25">
      <c r="A1261" s="1">
        <v>38676</v>
      </c>
      <c r="B1261" t="s">
        <v>5</v>
      </c>
      <c r="C1261">
        <v>177</v>
      </c>
      <c r="D1261">
        <f>IF(cukier10[[#This Row],[nip_klienta]]=B1260,D1260+cukier10[[#This Row],[sprzedany_cukier]],cukier10[[#This Row],[sprzedany_cukier]])</f>
        <v>2274</v>
      </c>
      <c r="E1261" cm="1">
        <f t="array" ref="E12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61">
        <f>cukier10[[#This Row],[sprzedany_cukier]]*cukier10[[#This Row],[rabat]]</f>
        <v>17.7</v>
      </c>
    </row>
    <row r="1262" spans="1:6" x14ac:dyDescent="0.25">
      <c r="A1262" s="1">
        <v>38924</v>
      </c>
      <c r="B1262" t="s">
        <v>5</v>
      </c>
      <c r="C1262">
        <v>121</v>
      </c>
      <c r="D1262">
        <f>IF(cukier10[[#This Row],[nip_klienta]]=B1261,D1261+cukier10[[#This Row],[sprzedany_cukier]],cukier10[[#This Row],[sprzedany_cukier]])</f>
        <v>2395</v>
      </c>
      <c r="E1262" cm="1">
        <f t="array" ref="E12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62">
        <f>cukier10[[#This Row],[sprzedany_cukier]]*cukier10[[#This Row],[rabat]]</f>
        <v>12.100000000000001</v>
      </c>
    </row>
    <row r="1263" spans="1:6" x14ac:dyDescent="0.25">
      <c r="A1263" s="1">
        <v>39132</v>
      </c>
      <c r="B1263" t="s">
        <v>5</v>
      </c>
      <c r="C1263">
        <v>500</v>
      </c>
      <c r="D1263">
        <f>IF(cukier10[[#This Row],[nip_klienta]]=B1262,D1262+cukier10[[#This Row],[sprzedany_cukier]],cukier10[[#This Row],[sprzedany_cukier]])</f>
        <v>2895</v>
      </c>
      <c r="E1263" cm="1">
        <f t="array" ref="E12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63">
        <f>cukier10[[#This Row],[sprzedany_cukier]]*cukier10[[#This Row],[rabat]]</f>
        <v>50</v>
      </c>
    </row>
    <row r="1264" spans="1:6" x14ac:dyDescent="0.25">
      <c r="A1264" s="1">
        <v>39167</v>
      </c>
      <c r="B1264" t="s">
        <v>5</v>
      </c>
      <c r="C1264">
        <v>396</v>
      </c>
      <c r="D1264">
        <f>IF(cukier10[[#This Row],[nip_klienta]]=B1263,D1263+cukier10[[#This Row],[sprzedany_cukier]],cukier10[[#This Row],[sprzedany_cukier]])</f>
        <v>3291</v>
      </c>
      <c r="E1264" cm="1">
        <f t="array" ref="E12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64">
        <f>cukier10[[#This Row],[sprzedany_cukier]]*cukier10[[#This Row],[rabat]]</f>
        <v>39.6</v>
      </c>
    </row>
    <row r="1265" spans="1:6" x14ac:dyDescent="0.25">
      <c r="A1265" s="1">
        <v>39177</v>
      </c>
      <c r="B1265" t="s">
        <v>5</v>
      </c>
      <c r="C1265">
        <v>464</v>
      </c>
      <c r="D1265">
        <f>IF(cukier10[[#This Row],[nip_klienta]]=B1264,D1264+cukier10[[#This Row],[sprzedany_cukier]],cukier10[[#This Row],[sprzedany_cukier]])</f>
        <v>3755</v>
      </c>
      <c r="E1265" cm="1">
        <f t="array" ref="E12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65">
        <f>cukier10[[#This Row],[sprzedany_cukier]]*cukier10[[#This Row],[rabat]]</f>
        <v>46.400000000000006</v>
      </c>
    </row>
    <row r="1266" spans="1:6" x14ac:dyDescent="0.25">
      <c r="A1266" s="1">
        <v>39270</v>
      </c>
      <c r="B1266" t="s">
        <v>5</v>
      </c>
      <c r="C1266">
        <v>354</v>
      </c>
      <c r="D1266">
        <f>IF(cukier10[[#This Row],[nip_klienta]]=B1265,D1265+cukier10[[#This Row],[sprzedany_cukier]],cukier10[[#This Row],[sprzedany_cukier]])</f>
        <v>4109</v>
      </c>
      <c r="E1266" cm="1">
        <f t="array" ref="E12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66">
        <f>cukier10[[#This Row],[sprzedany_cukier]]*cukier10[[#This Row],[rabat]]</f>
        <v>35.4</v>
      </c>
    </row>
    <row r="1267" spans="1:6" x14ac:dyDescent="0.25">
      <c r="A1267" s="1">
        <v>39371</v>
      </c>
      <c r="B1267" t="s">
        <v>5</v>
      </c>
      <c r="C1267">
        <v>131</v>
      </c>
      <c r="D1267">
        <f>IF(cukier10[[#This Row],[nip_klienta]]=B1266,D1266+cukier10[[#This Row],[sprzedany_cukier]],cukier10[[#This Row],[sprzedany_cukier]])</f>
        <v>4240</v>
      </c>
      <c r="E1267" cm="1">
        <f t="array" ref="E12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67">
        <f>cukier10[[#This Row],[sprzedany_cukier]]*cukier10[[#This Row],[rabat]]</f>
        <v>13.100000000000001</v>
      </c>
    </row>
    <row r="1268" spans="1:6" x14ac:dyDescent="0.25">
      <c r="A1268" s="1">
        <v>39485</v>
      </c>
      <c r="B1268" t="s">
        <v>5</v>
      </c>
      <c r="C1268">
        <v>211</v>
      </c>
      <c r="D1268">
        <f>IF(cukier10[[#This Row],[nip_klienta]]=B1267,D1267+cukier10[[#This Row],[sprzedany_cukier]],cukier10[[#This Row],[sprzedany_cukier]])</f>
        <v>4451</v>
      </c>
      <c r="E1268" cm="1">
        <f t="array" ref="E12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68">
        <f>cukier10[[#This Row],[sprzedany_cukier]]*cukier10[[#This Row],[rabat]]</f>
        <v>21.1</v>
      </c>
    </row>
    <row r="1269" spans="1:6" x14ac:dyDescent="0.25">
      <c r="A1269" s="1">
        <v>39561</v>
      </c>
      <c r="B1269" t="s">
        <v>5</v>
      </c>
      <c r="C1269">
        <v>428</v>
      </c>
      <c r="D1269">
        <f>IF(cukier10[[#This Row],[nip_klienta]]=B1268,D1268+cukier10[[#This Row],[sprzedany_cukier]],cukier10[[#This Row],[sprzedany_cukier]])</f>
        <v>4879</v>
      </c>
      <c r="E1269" cm="1">
        <f t="array" ref="E12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69">
        <f>cukier10[[#This Row],[sprzedany_cukier]]*cukier10[[#This Row],[rabat]]</f>
        <v>42.800000000000004</v>
      </c>
    </row>
    <row r="1270" spans="1:6" x14ac:dyDescent="0.25">
      <c r="A1270" s="1">
        <v>39729</v>
      </c>
      <c r="B1270" t="s">
        <v>5</v>
      </c>
      <c r="C1270">
        <v>378</v>
      </c>
      <c r="D1270">
        <f>IF(cukier10[[#This Row],[nip_klienta]]=B1269,D1269+cukier10[[#This Row],[sprzedany_cukier]],cukier10[[#This Row],[sprzedany_cukier]])</f>
        <v>5257</v>
      </c>
      <c r="E1270" cm="1">
        <f t="array" ref="E12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70">
        <f>cukier10[[#This Row],[sprzedany_cukier]]*cukier10[[#This Row],[rabat]]</f>
        <v>37.800000000000004</v>
      </c>
    </row>
    <row r="1271" spans="1:6" x14ac:dyDescent="0.25">
      <c r="A1271" s="1">
        <v>39794</v>
      </c>
      <c r="B1271" t="s">
        <v>5</v>
      </c>
      <c r="C1271">
        <v>363</v>
      </c>
      <c r="D1271">
        <f>IF(cukier10[[#This Row],[nip_klienta]]=B1270,D1270+cukier10[[#This Row],[sprzedany_cukier]],cukier10[[#This Row],[sprzedany_cukier]])</f>
        <v>5620</v>
      </c>
      <c r="E1271" cm="1">
        <f t="array" ref="E12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71">
        <f>cukier10[[#This Row],[sprzedany_cukier]]*cukier10[[#This Row],[rabat]]</f>
        <v>36.300000000000004</v>
      </c>
    </row>
    <row r="1272" spans="1:6" x14ac:dyDescent="0.25">
      <c r="A1272" s="1">
        <v>39797</v>
      </c>
      <c r="B1272" t="s">
        <v>5</v>
      </c>
      <c r="C1272">
        <v>491</v>
      </c>
      <c r="D1272">
        <f>IF(cukier10[[#This Row],[nip_klienta]]=B1271,D1271+cukier10[[#This Row],[sprzedany_cukier]],cukier10[[#This Row],[sprzedany_cukier]])</f>
        <v>6111</v>
      </c>
      <c r="E1272" cm="1">
        <f t="array" ref="E12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72">
        <f>cukier10[[#This Row],[sprzedany_cukier]]*cukier10[[#This Row],[rabat]]</f>
        <v>49.1</v>
      </c>
    </row>
    <row r="1273" spans="1:6" x14ac:dyDescent="0.25">
      <c r="A1273" s="1">
        <v>39855</v>
      </c>
      <c r="B1273" t="s">
        <v>5</v>
      </c>
      <c r="C1273">
        <v>445</v>
      </c>
      <c r="D1273">
        <f>IF(cukier10[[#This Row],[nip_klienta]]=B1272,D1272+cukier10[[#This Row],[sprzedany_cukier]],cukier10[[#This Row],[sprzedany_cukier]])</f>
        <v>6556</v>
      </c>
      <c r="E1273" cm="1">
        <f t="array" ref="E12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73">
        <f>cukier10[[#This Row],[sprzedany_cukier]]*cukier10[[#This Row],[rabat]]</f>
        <v>44.5</v>
      </c>
    </row>
    <row r="1274" spans="1:6" x14ac:dyDescent="0.25">
      <c r="A1274" s="1">
        <v>39862</v>
      </c>
      <c r="B1274" t="s">
        <v>5</v>
      </c>
      <c r="C1274">
        <v>290</v>
      </c>
      <c r="D1274">
        <f>IF(cukier10[[#This Row],[nip_klienta]]=B1273,D1273+cukier10[[#This Row],[sprzedany_cukier]],cukier10[[#This Row],[sprzedany_cukier]])</f>
        <v>6846</v>
      </c>
      <c r="E1274" cm="1">
        <f t="array" ref="E12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74">
        <f>cukier10[[#This Row],[sprzedany_cukier]]*cukier10[[#This Row],[rabat]]</f>
        <v>29</v>
      </c>
    </row>
    <row r="1275" spans="1:6" x14ac:dyDescent="0.25">
      <c r="A1275" s="1">
        <v>39933</v>
      </c>
      <c r="B1275" t="s">
        <v>5</v>
      </c>
      <c r="C1275">
        <v>110</v>
      </c>
      <c r="D1275">
        <f>IF(cukier10[[#This Row],[nip_klienta]]=B1274,D1274+cukier10[[#This Row],[sprzedany_cukier]],cukier10[[#This Row],[sprzedany_cukier]])</f>
        <v>6956</v>
      </c>
      <c r="E1275" cm="1">
        <f t="array" ref="E12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75">
        <f>cukier10[[#This Row],[sprzedany_cukier]]*cukier10[[#This Row],[rabat]]</f>
        <v>11</v>
      </c>
    </row>
    <row r="1276" spans="1:6" x14ac:dyDescent="0.25">
      <c r="A1276" s="1">
        <v>40000</v>
      </c>
      <c r="B1276" t="s">
        <v>5</v>
      </c>
      <c r="C1276">
        <v>191</v>
      </c>
      <c r="D1276">
        <f>IF(cukier10[[#This Row],[nip_klienta]]=B1275,D1275+cukier10[[#This Row],[sprzedany_cukier]],cukier10[[#This Row],[sprzedany_cukier]])</f>
        <v>7147</v>
      </c>
      <c r="E1276" cm="1">
        <f t="array" ref="E12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76">
        <f>cukier10[[#This Row],[sprzedany_cukier]]*cukier10[[#This Row],[rabat]]</f>
        <v>19.100000000000001</v>
      </c>
    </row>
    <row r="1277" spans="1:6" x14ac:dyDescent="0.25">
      <c r="A1277" s="1">
        <v>40122</v>
      </c>
      <c r="B1277" t="s">
        <v>5</v>
      </c>
      <c r="C1277">
        <v>426</v>
      </c>
      <c r="D1277">
        <f>IF(cukier10[[#This Row],[nip_klienta]]=B1276,D1276+cukier10[[#This Row],[sprzedany_cukier]],cukier10[[#This Row],[sprzedany_cukier]])</f>
        <v>7573</v>
      </c>
      <c r="E1277" cm="1">
        <f t="array" ref="E12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77">
        <f>cukier10[[#This Row],[sprzedany_cukier]]*cukier10[[#This Row],[rabat]]</f>
        <v>42.6</v>
      </c>
    </row>
    <row r="1278" spans="1:6" x14ac:dyDescent="0.25">
      <c r="A1278" s="1">
        <v>40126</v>
      </c>
      <c r="B1278" t="s">
        <v>5</v>
      </c>
      <c r="C1278">
        <v>133</v>
      </c>
      <c r="D1278">
        <f>IF(cukier10[[#This Row],[nip_klienta]]=B1277,D1277+cukier10[[#This Row],[sprzedany_cukier]],cukier10[[#This Row],[sprzedany_cukier]])</f>
        <v>7706</v>
      </c>
      <c r="E1278" cm="1">
        <f t="array" ref="E12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78">
        <f>cukier10[[#This Row],[sprzedany_cukier]]*cukier10[[#This Row],[rabat]]</f>
        <v>13.3</v>
      </c>
    </row>
    <row r="1279" spans="1:6" x14ac:dyDescent="0.25">
      <c r="A1279" s="1">
        <v>40562</v>
      </c>
      <c r="B1279" t="s">
        <v>5</v>
      </c>
      <c r="C1279">
        <v>371</v>
      </c>
      <c r="D1279">
        <f>IF(cukier10[[#This Row],[nip_klienta]]=B1278,D1278+cukier10[[#This Row],[sprzedany_cukier]],cukier10[[#This Row],[sprzedany_cukier]])</f>
        <v>8077</v>
      </c>
      <c r="E1279" cm="1">
        <f t="array" ref="E12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79">
        <f>cukier10[[#This Row],[sprzedany_cukier]]*cukier10[[#This Row],[rabat]]</f>
        <v>37.1</v>
      </c>
    </row>
    <row r="1280" spans="1:6" x14ac:dyDescent="0.25">
      <c r="A1280" s="1">
        <v>40817</v>
      </c>
      <c r="B1280" t="s">
        <v>5</v>
      </c>
      <c r="C1280">
        <v>176</v>
      </c>
      <c r="D1280">
        <f>IF(cukier10[[#This Row],[nip_klienta]]=B1279,D1279+cukier10[[#This Row],[sprzedany_cukier]],cukier10[[#This Row],[sprzedany_cukier]])</f>
        <v>8253</v>
      </c>
      <c r="E1280" cm="1">
        <f t="array" ref="E12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80">
        <f>cukier10[[#This Row],[sprzedany_cukier]]*cukier10[[#This Row],[rabat]]</f>
        <v>17.600000000000001</v>
      </c>
    </row>
    <row r="1281" spans="1:6" x14ac:dyDescent="0.25">
      <c r="A1281" s="1">
        <v>40966</v>
      </c>
      <c r="B1281" t="s">
        <v>5</v>
      </c>
      <c r="C1281">
        <v>417</v>
      </c>
      <c r="D1281">
        <f>IF(cukier10[[#This Row],[nip_klienta]]=B1280,D1280+cukier10[[#This Row],[sprzedany_cukier]],cukier10[[#This Row],[sprzedany_cukier]])</f>
        <v>8670</v>
      </c>
      <c r="E1281" cm="1">
        <f t="array" ref="E12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81">
        <f>cukier10[[#This Row],[sprzedany_cukier]]*cukier10[[#This Row],[rabat]]</f>
        <v>41.7</v>
      </c>
    </row>
    <row r="1282" spans="1:6" x14ac:dyDescent="0.25">
      <c r="A1282" s="1">
        <v>41036</v>
      </c>
      <c r="B1282" t="s">
        <v>5</v>
      </c>
      <c r="C1282">
        <v>136</v>
      </c>
      <c r="D1282">
        <f>IF(cukier10[[#This Row],[nip_klienta]]=B1281,D1281+cukier10[[#This Row],[sprzedany_cukier]],cukier10[[#This Row],[sprzedany_cukier]])</f>
        <v>8806</v>
      </c>
      <c r="E1282" cm="1">
        <f t="array" ref="E12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82">
        <f>cukier10[[#This Row],[sprzedany_cukier]]*cukier10[[#This Row],[rabat]]</f>
        <v>13.600000000000001</v>
      </c>
    </row>
    <row r="1283" spans="1:6" x14ac:dyDescent="0.25">
      <c r="A1283" s="1">
        <v>41236</v>
      </c>
      <c r="B1283" t="s">
        <v>5</v>
      </c>
      <c r="C1283">
        <v>328</v>
      </c>
      <c r="D1283">
        <f>IF(cukier10[[#This Row],[nip_klienta]]=B1282,D1282+cukier10[[#This Row],[sprzedany_cukier]],cukier10[[#This Row],[sprzedany_cukier]])</f>
        <v>9134</v>
      </c>
      <c r="E1283" cm="1">
        <f t="array" ref="E12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83">
        <f>cukier10[[#This Row],[sprzedany_cukier]]*cukier10[[#This Row],[rabat]]</f>
        <v>32.800000000000004</v>
      </c>
    </row>
    <row r="1284" spans="1:6" x14ac:dyDescent="0.25">
      <c r="A1284" s="1">
        <v>41251</v>
      </c>
      <c r="B1284" t="s">
        <v>5</v>
      </c>
      <c r="C1284">
        <v>388</v>
      </c>
      <c r="D1284">
        <f>IF(cukier10[[#This Row],[nip_klienta]]=B1283,D1283+cukier10[[#This Row],[sprzedany_cukier]],cukier10[[#This Row],[sprzedany_cukier]])</f>
        <v>9522</v>
      </c>
      <c r="E1284" cm="1">
        <f t="array" ref="E12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84">
        <f>cukier10[[#This Row],[sprzedany_cukier]]*cukier10[[#This Row],[rabat]]</f>
        <v>38.800000000000004</v>
      </c>
    </row>
    <row r="1285" spans="1:6" x14ac:dyDescent="0.25">
      <c r="A1285" s="1">
        <v>41323</v>
      </c>
      <c r="B1285" t="s">
        <v>5</v>
      </c>
      <c r="C1285">
        <v>429</v>
      </c>
      <c r="D1285">
        <f>IF(cukier10[[#This Row],[nip_klienta]]=B1284,D1284+cukier10[[#This Row],[sprzedany_cukier]],cukier10[[#This Row],[sprzedany_cukier]])</f>
        <v>9951</v>
      </c>
      <c r="E1285" cm="1">
        <f t="array" ref="E12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285">
        <f>cukier10[[#This Row],[sprzedany_cukier]]*cukier10[[#This Row],[rabat]]</f>
        <v>42.900000000000006</v>
      </c>
    </row>
    <row r="1286" spans="1:6" x14ac:dyDescent="0.25">
      <c r="A1286" s="1">
        <v>41406</v>
      </c>
      <c r="B1286" t="s">
        <v>5</v>
      </c>
      <c r="C1286">
        <v>420</v>
      </c>
      <c r="D1286">
        <f>IF(cukier10[[#This Row],[nip_klienta]]=B1285,D1285+cukier10[[#This Row],[sprzedany_cukier]],cukier10[[#This Row],[sprzedany_cukier]])</f>
        <v>10371</v>
      </c>
      <c r="E1286" cm="1">
        <f t="array" ref="E12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286">
        <f>cukier10[[#This Row],[sprzedany_cukier]]*cukier10[[#This Row],[rabat]]</f>
        <v>84</v>
      </c>
    </row>
    <row r="1287" spans="1:6" x14ac:dyDescent="0.25">
      <c r="A1287" s="1">
        <v>41598</v>
      </c>
      <c r="B1287" t="s">
        <v>5</v>
      </c>
      <c r="C1287">
        <v>360</v>
      </c>
      <c r="D1287">
        <f>IF(cukier10[[#This Row],[nip_klienta]]=B1286,D1286+cukier10[[#This Row],[sprzedany_cukier]],cukier10[[#This Row],[sprzedany_cukier]])</f>
        <v>10731</v>
      </c>
      <c r="E1287" cm="1">
        <f t="array" ref="E12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287">
        <f>cukier10[[#This Row],[sprzedany_cukier]]*cukier10[[#This Row],[rabat]]</f>
        <v>72</v>
      </c>
    </row>
    <row r="1288" spans="1:6" x14ac:dyDescent="0.25">
      <c r="A1288" s="1">
        <v>41755</v>
      </c>
      <c r="B1288" t="s">
        <v>5</v>
      </c>
      <c r="C1288">
        <v>365</v>
      </c>
      <c r="D1288">
        <f>IF(cukier10[[#This Row],[nip_klienta]]=B1287,D1287+cukier10[[#This Row],[sprzedany_cukier]],cukier10[[#This Row],[sprzedany_cukier]])</f>
        <v>11096</v>
      </c>
      <c r="E1288" cm="1">
        <f t="array" ref="E12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288">
        <f>cukier10[[#This Row],[sprzedany_cukier]]*cukier10[[#This Row],[rabat]]</f>
        <v>73</v>
      </c>
    </row>
    <row r="1289" spans="1:6" x14ac:dyDescent="0.25">
      <c r="A1289" s="1">
        <v>41911</v>
      </c>
      <c r="B1289" t="s">
        <v>5</v>
      </c>
      <c r="C1289">
        <v>306</v>
      </c>
      <c r="D1289">
        <f>IF(cukier10[[#This Row],[nip_klienta]]=B1288,D1288+cukier10[[#This Row],[sprzedany_cukier]],cukier10[[#This Row],[sprzedany_cukier]])</f>
        <v>11402</v>
      </c>
      <c r="E1289" cm="1">
        <f t="array" ref="E12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289">
        <f>cukier10[[#This Row],[sprzedany_cukier]]*cukier10[[#This Row],[rabat]]</f>
        <v>61.2</v>
      </c>
    </row>
    <row r="1290" spans="1:6" x14ac:dyDescent="0.25">
      <c r="A1290" s="1">
        <v>38497</v>
      </c>
      <c r="B1290" t="s">
        <v>47</v>
      </c>
      <c r="C1290">
        <v>3</v>
      </c>
      <c r="D1290">
        <f>IF(cukier10[[#This Row],[nip_klienta]]=B1289,D1289+cukier10[[#This Row],[sprzedany_cukier]],cukier10[[#This Row],[sprzedany_cukier]])</f>
        <v>3</v>
      </c>
      <c r="E1290" cm="1">
        <f t="array" ref="E12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90">
        <f>cukier10[[#This Row],[sprzedany_cukier]]*cukier10[[#This Row],[rabat]]</f>
        <v>0</v>
      </c>
    </row>
    <row r="1291" spans="1:6" x14ac:dyDescent="0.25">
      <c r="A1291" s="1">
        <v>39781</v>
      </c>
      <c r="B1291" t="s">
        <v>47</v>
      </c>
      <c r="C1291">
        <v>4</v>
      </c>
      <c r="D1291">
        <f>IF(cukier10[[#This Row],[nip_klienta]]=B1290,D1290+cukier10[[#This Row],[sprzedany_cukier]],cukier10[[#This Row],[sprzedany_cukier]])</f>
        <v>7</v>
      </c>
      <c r="E1291" cm="1">
        <f t="array" ref="E12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91">
        <f>cukier10[[#This Row],[sprzedany_cukier]]*cukier10[[#This Row],[rabat]]</f>
        <v>0</v>
      </c>
    </row>
    <row r="1292" spans="1:6" x14ac:dyDescent="0.25">
      <c r="A1292" s="1">
        <v>39829</v>
      </c>
      <c r="B1292" t="s">
        <v>47</v>
      </c>
      <c r="C1292">
        <v>6</v>
      </c>
      <c r="D1292">
        <f>IF(cukier10[[#This Row],[nip_klienta]]=B1291,D1291+cukier10[[#This Row],[sprzedany_cukier]],cukier10[[#This Row],[sprzedany_cukier]])</f>
        <v>13</v>
      </c>
      <c r="E1292" cm="1">
        <f t="array" ref="E12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92">
        <f>cukier10[[#This Row],[sprzedany_cukier]]*cukier10[[#This Row],[rabat]]</f>
        <v>0</v>
      </c>
    </row>
    <row r="1293" spans="1:6" x14ac:dyDescent="0.25">
      <c r="A1293" s="1">
        <v>41115</v>
      </c>
      <c r="B1293" t="s">
        <v>47</v>
      </c>
      <c r="C1293">
        <v>20</v>
      </c>
      <c r="D1293">
        <f>IF(cukier10[[#This Row],[nip_klienta]]=B1292,D1292+cukier10[[#This Row],[sprzedany_cukier]],cukier10[[#This Row],[sprzedany_cukier]])</f>
        <v>33</v>
      </c>
      <c r="E1293" cm="1">
        <f t="array" ref="E12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93">
        <f>cukier10[[#This Row],[sprzedany_cukier]]*cukier10[[#This Row],[rabat]]</f>
        <v>0</v>
      </c>
    </row>
    <row r="1294" spans="1:6" x14ac:dyDescent="0.25">
      <c r="A1294" s="1">
        <v>41418</v>
      </c>
      <c r="B1294" t="s">
        <v>47</v>
      </c>
      <c r="C1294">
        <v>17</v>
      </c>
      <c r="D1294">
        <f>IF(cukier10[[#This Row],[nip_klienta]]=B1293,D1293+cukier10[[#This Row],[sprzedany_cukier]],cukier10[[#This Row],[sprzedany_cukier]])</f>
        <v>50</v>
      </c>
      <c r="E1294" cm="1">
        <f t="array" ref="E12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94">
        <f>cukier10[[#This Row],[sprzedany_cukier]]*cukier10[[#This Row],[rabat]]</f>
        <v>0</v>
      </c>
    </row>
    <row r="1295" spans="1:6" x14ac:dyDescent="0.25">
      <c r="A1295" s="1">
        <v>38479</v>
      </c>
      <c r="B1295" t="s">
        <v>44</v>
      </c>
      <c r="C1295">
        <v>13</v>
      </c>
      <c r="D1295">
        <f>IF(cukier10[[#This Row],[nip_klienta]]=B1294,D1294+cukier10[[#This Row],[sprzedany_cukier]],cukier10[[#This Row],[sprzedany_cukier]])</f>
        <v>13</v>
      </c>
      <c r="E1295" cm="1">
        <f t="array" ref="E12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95">
        <f>cukier10[[#This Row],[sprzedany_cukier]]*cukier10[[#This Row],[rabat]]</f>
        <v>0</v>
      </c>
    </row>
    <row r="1296" spans="1:6" x14ac:dyDescent="0.25">
      <c r="A1296" s="1">
        <v>38559</v>
      </c>
      <c r="B1296" t="s">
        <v>44</v>
      </c>
      <c r="C1296">
        <v>13</v>
      </c>
      <c r="D1296">
        <f>IF(cukier10[[#This Row],[nip_klienta]]=B1295,D1295+cukier10[[#This Row],[sprzedany_cukier]],cukier10[[#This Row],[sprzedany_cukier]])</f>
        <v>26</v>
      </c>
      <c r="E1296" cm="1">
        <f t="array" ref="E12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96">
        <f>cukier10[[#This Row],[sprzedany_cukier]]*cukier10[[#This Row],[rabat]]</f>
        <v>0</v>
      </c>
    </row>
    <row r="1297" spans="1:6" x14ac:dyDescent="0.25">
      <c r="A1297" s="1">
        <v>39682</v>
      </c>
      <c r="B1297" t="s">
        <v>44</v>
      </c>
      <c r="C1297">
        <v>14</v>
      </c>
      <c r="D1297">
        <f>IF(cukier10[[#This Row],[nip_klienta]]=B1296,D1296+cukier10[[#This Row],[sprzedany_cukier]],cukier10[[#This Row],[sprzedany_cukier]])</f>
        <v>40</v>
      </c>
      <c r="E1297" cm="1">
        <f t="array" ref="E12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97">
        <f>cukier10[[#This Row],[sprzedany_cukier]]*cukier10[[#This Row],[rabat]]</f>
        <v>0</v>
      </c>
    </row>
    <row r="1298" spans="1:6" x14ac:dyDescent="0.25">
      <c r="A1298" s="1">
        <v>41560</v>
      </c>
      <c r="B1298" t="s">
        <v>44</v>
      </c>
      <c r="C1298">
        <v>2</v>
      </c>
      <c r="D1298">
        <f>IF(cukier10[[#This Row],[nip_klienta]]=B1297,D1297+cukier10[[#This Row],[sprzedany_cukier]],cukier10[[#This Row],[sprzedany_cukier]])</f>
        <v>42</v>
      </c>
      <c r="E1298" cm="1">
        <f t="array" ref="E12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98">
        <f>cukier10[[#This Row],[sprzedany_cukier]]*cukier10[[#This Row],[rabat]]</f>
        <v>0</v>
      </c>
    </row>
    <row r="1299" spans="1:6" x14ac:dyDescent="0.25">
      <c r="A1299" s="1">
        <v>41615</v>
      </c>
      <c r="B1299" t="s">
        <v>44</v>
      </c>
      <c r="C1299">
        <v>16</v>
      </c>
      <c r="D1299">
        <f>IF(cukier10[[#This Row],[nip_klienta]]=B1298,D1298+cukier10[[#This Row],[sprzedany_cukier]],cukier10[[#This Row],[sprzedany_cukier]])</f>
        <v>58</v>
      </c>
      <c r="E1299" cm="1">
        <f t="array" ref="E12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299">
        <f>cukier10[[#This Row],[sprzedany_cukier]]*cukier10[[#This Row],[rabat]]</f>
        <v>0</v>
      </c>
    </row>
    <row r="1300" spans="1:6" x14ac:dyDescent="0.25">
      <c r="A1300" s="1">
        <v>38977</v>
      </c>
      <c r="B1300" t="s">
        <v>124</v>
      </c>
      <c r="C1300">
        <v>4</v>
      </c>
      <c r="D1300">
        <f>IF(cukier10[[#This Row],[nip_klienta]]=B1299,D1299+cukier10[[#This Row],[sprzedany_cukier]],cukier10[[#This Row],[sprzedany_cukier]])</f>
        <v>4</v>
      </c>
      <c r="E1300" cm="1">
        <f t="array" ref="E13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00">
        <f>cukier10[[#This Row],[sprzedany_cukier]]*cukier10[[#This Row],[rabat]]</f>
        <v>0</v>
      </c>
    </row>
    <row r="1301" spans="1:6" x14ac:dyDescent="0.25">
      <c r="A1301" s="1">
        <v>39409</v>
      </c>
      <c r="B1301" t="s">
        <v>124</v>
      </c>
      <c r="C1301">
        <v>2</v>
      </c>
      <c r="D1301">
        <f>IF(cukier10[[#This Row],[nip_klienta]]=B1300,D1300+cukier10[[#This Row],[sprzedany_cukier]],cukier10[[#This Row],[sprzedany_cukier]])</f>
        <v>6</v>
      </c>
      <c r="E1301" cm="1">
        <f t="array" ref="E13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01">
        <f>cukier10[[#This Row],[sprzedany_cukier]]*cukier10[[#This Row],[rabat]]</f>
        <v>0</v>
      </c>
    </row>
    <row r="1302" spans="1:6" x14ac:dyDescent="0.25">
      <c r="A1302" s="1">
        <v>39691</v>
      </c>
      <c r="B1302" t="s">
        <v>124</v>
      </c>
      <c r="C1302">
        <v>5</v>
      </c>
      <c r="D1302">
        <f>IF(cukier10[[#This Row],[nip_klienta]]=B1301,D1301+cukier10[[#This Row],[sprzedany_cukier]],cukier10[[#This Row],[sprzedany_cukier]])</f>
        <v>11</v>
      </c>
      <c r="E1302" cm="1">
        <f t="array" ref="E13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02">
        <f>cukier10[[#This Row],[sprzedany_cukier]]*cukier10[[#This Row],[rabat]]</f>
        <v>0</v>
      </c>
    </row>
    <row r="1303" spans="1:6" x14ac:dyDescent="0.25">
      <c r="A1303" s="1">
        <v>41734</v>
      </c>
      <c r="B1303" t="s">
        <v>124</v>
      </c>
      <c r="C1303">
        <v>6</v>
      </c>
      <c r="D1303">
        <f>IF(cukier10[[#This Row],[nip_klienta]]=B1302,D1302+cukier10[[#This Row],[sprzedany_cukier]],cukier10[[#This Row],[sprzedany_cukier]])</f>
        <v>17</v>
      </c>
      <c r="E1303" cm="1">
        <f t="array" ref="E13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03">
        <f>cukier10[[#This Row],[sprzedany_cukier]]*cukier10[[#This Row],[rabat]]</f>
        <v>0</v>
      </c>
    </row>
    <row r="1304" spans="1:6" x14ac:dyDescent="0.25">
      <c r="A1304" s="1">
        <v>41859</v>
      </c>
      <c r="B1304" t="s">
        <v>124</v>
      </c>
      <c r="C1304">
        <v>15</v>
      </c>
      <c r="D1304">
        <f>IF(cukier10[[#This Row],[nip_klienta]]=B1303,D1303+cukier10[[#This Row],[sprzedany_cukier]],cukier10[[#This Row],[sprzedany_cukier]])</f>
        <v>32</v>
      </c>
      <c r="E1304" cm="1">
        <f t="array" ref="E13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04">
        <f>cukier10[[#This Row],[sprzedany_cukier]]*cukier10[[#This Row],[rabat]]</f>
        <v>0</v>
      </c>
    </row>
    <row r="1305" spans="1:6" x14ac:dyDescent="0.25">
      <c r="A1305" s="1">
        <v>40288</v>
      </c>
      <c r="B1305" t="s">
        <v>211</v>
      </c>
      <c r="C1305">
        <v>19</v>
      </c>
      <c r="D1305">
        <f>IF(cukier10[[#This Row],[nip_klienta]]=B1304,D1304+cukier10[[#This Row],[sprzedany_cukier]],cukier10[[#This Row],[sprzedany_cukier]])</f>
        <v>19</v>
      </c>
      <c r="E1305" cm="1">
        <f t="array" ref="E13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05">
        <f>cukier10[[#This Row],[sprzedany_cukier]]*cukier10[[#This Row],[rabat]]</f>
        <v>0</v>
      </c>
    </row>
    <row r="1306" spans="1:6" x14ac:dyDescent="0.25">
      <c r="A1306" s="1">
        <v>41104</v>
      </c>
      <c r="B1306" t="s">
        <v>211</v>
      </c>
      <c r="C1306">
        <v>10</v>
      </c>
      <c r="D1306">
        <f>IF(cukier10[[#This Row],[nip_klienta]]=B1305,D1305+cukier10[[#This Row],[sprzedany_cukier]],cukier10[[#This Row],[sprzedany_cukier]])</f>
        <v>29</v>
      </c>
      <c r="E1306" cm="1">
        <f t="array" ref="E13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06">
        <f>cukier10[[#This Row],[sprzedany_cukier]]*cukier10[[#This Row],[rabat]]</f>
        <v>0</v>
      </c>
    </row>
    <row r="1307" spans="1:6" x14ac:dyDescent="0.25">
      <c r="A1307" s="1">
        <v>38555</v>
      </c>
      <c r="B1307" t="s">
        <v>63</v>
      </c>
      <c r="C1307">
        <v>137</v>
      </c>
      <c r="D1307">
        <f>IF(cukier10[[#This Row],[nip_klienta]]=B1306,D1306+cukier10[[#This Row],[sprzedany_cukier]],cukier10[[#This Row],[sprzedany_cukier]])</f>
        <v>137</v>
      </c>
      <c r="E1307" cm="1">
        <f t="array" ref="E13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07">
        <f>cukier10[[#This Row],[sprzedany_cukier]]*cukier10[[#This Row],[rabat]]</f>
        <v>6.8500000000000005</v>
      </c>
    </row>
    <row r="1308" spans="1:6" x14ac:dyDescent="0.25">
      <c r="A1308" s="1">
        <v>38672</v>
      </c>
      <c r="B1308" t="s">
        <v>63</v>
      </c>
      <c r="C1308">
        <v>115</v>
      </c>
      <c r="D1308">
        <f>IF(cukier10[[#This Row],[nip_klienta]]=B1307,D1307+cukier10[[#This Row],[sprzedany_cukier]],cukier10[[#This Row],[sprzedany_cukier]])</f>
        <v>252</v>
      </c>
      <c r="E1308" cm="1">
        <f t="array" ref="E13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08">
        <f>cukier10[[#This Row],[sprzedany_cukier]]*cukier10[[#This Row],[rabat]]</f>
        <v>5.75</v>
      </c>
    </row>
    <row r="1309" spans="1:6" x14ac:dyDescent="0.25">
      <c r="A1309" s="1">
        <v>39722</v>
      </c>
      <c r="B1309" t="s">
        <v>63</v>
      </c>
      <c r="C1309">
        <v>154</v>
      </c>
      <c r="D1309">
        <f>IF(cukier10[[#This Row],[nip_klienta]]=B1308,D1308+cukier10[[#This Row],[sprzedany_cukier]],cukier10[[#This Row],[sprzedany_cukier]])</f>
        <v>406</v>
      </c>
      <c r="E1309" cm="1">
        <f t="array" ref="E13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09">
        <f>cukier10[[#This Row],[sprzedany_cukier]]*cukier10[[#This Row],[rabat]]</f>
        <v>7.7</v>
      </c>
    </row>
    <row r="1310" spans="1:6" x14ac:dyDescent="0.25">
      <c r="A1310" s="1">
        <v>40439</v>
      </c>
      <c r="B1310" t="s">
        <v>63</v>
      </c>
      <c r="C1310">
        <v>194</v>
      </c>
      <c r="D1310">
        <f>IF(cukier10[[#This Row],[nip_klienta]]=B1309,D1309+cukier10[[#This Row],[sprzedany_cukier]],cukier10[[#This Row],[sprzedany_cukier]])</f>
        <v>600</v>
      </c>
      <c r="E1310" cm="1">
        <f t="array" ref="E13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10">
        <f>cukier10[[#This Row],[sprzedany_cukier]]*cukier10[[#This Row],[rabat]]</f>
        <v>9.7000000000000011</v>
      </c>
    </row>
    <row r="1311" spans="1:6" x14ac:dyDescent="0.25">
      <c r="A1311" s="1">
        <v>40754</v>
      </c>
      <c r="B1311" t="s">
        <v>63</v>
      </c>
      <c r="C1311">
        <v>71</v>
      </c>
      <c r="D1311">
        <f>IF(cukier10[[#This Row],[nip_klienta]]=B1310,D1310+cukier10[[#This Row],[sprzedany_cukier]],cukier10[[#This Row],[sprzedany_cukier]])</f>
        <v>671</v>
      </c>
      <c r="E1311" cm="1">
        <f t="array" ref="E13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11">
        <f>cukier10[[#This Row],[sprzedany_cukier]]*cukier10[[#This Row],[rabat]]</f>
        <v>3.5500000000000003</v>
      </c>
    </row>
    <row r="1312" spans="1:6" x14ac:dyDescent="0.25">
      <c r="A1312" s="1">
        <v>40907</v>
      </c>
      <c r="B1312" t="s">
        <v>63</v>
      </c>
      <c r="C1312">
        <v>89</v>
      </c>
      <c r="D1312">
        <f>IF(cukier10[[#This Row],[nip_klienta]]=B1311,D1311+cukier10[[#This Row],[sprzedany_cukier]],cukier10[[#This Row],[sprzedany_cukier]])</f>
        <v>760</v>
      </c>
      <c r="E1312" cm="1">
        <f t="array" ref="E13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12">
        <f>cukier10[[#This Row],[sprzedany_cukier]]*cukier10[[#This Row],[rabat]]</f>
        <v>4.45</v>
      </c>
    </row>
    <row r="1313" spans="1:6" x14ac:dyDescent="0.25">
      <c r="A1313" s="1">
        <v>41392</v>
      </c>
      <c r="B1313" t="s">
        <v>63</v>
      </c>
      <c r="C1313">
        <v>179</v>
      </c>
      <c r="D1313">
        <f>IF(cukier10[[#This Row],[nip_klienta]]=B1312,D1312+cukier10[[#This Row],[sprzedany_cukier]],cukier10[[#This Row],[sprzedany_cukier]])</f>
        <v>939</v>
      </c>
      <c r="E1313" cm="1">
        <f t="array" ref="E13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13">
        <f>cukier10[[#This Row],[sprzedany_cukier]]*cukier10[[#This Row],[rabat]]</f>
        <v>8.9500000000000011</v>
      </c>
    </row>
    <row r="1314" spans="1:6" x14ac:dyDescent="0.25">
      <c r="A1314" s="1">
        <v>41825</v>
      </c>
      <c r="B1314" t="s">
        <v>63</v>
      </c>
      <c r="C1314">
        <v>63</v>
      </c>
      <c r="D1314">
        <f>IF(cukier10[[#This Row],[nip_klienta]]=B1313,D1313+cukier10[[#This Row],[sprzedany_cukier]],cukier10[[#This Row],[sprzedany_cukier]])</f>
        <v>1002</v>
      </c>
      <c r="E1314" cm="1">
        <f t="array" ref="E13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14">
        <f>cukier10[[#This Row],[sprzedany_cukier]]*cukier10[[#This Row],[rabat]]</f>
        <v>6.3000000000000007</v>
      </c>
    </row>
    <row r="1315" spans="1:6" x14ac:dyDescent="0.25">
      <c r="A1315" s="1">
        <v>39691</v>
      </c>
      <c r="B1315" t="s">
        <v>174</v>
      </c>
      <c r="C1315">
        <v>4</v>
      </c>
      <c r="D1315">
        <f>IF(cukier10[[#This Row],[nip_klienta]]=B1314,D1314+cukier10[[#This Row],[sprzedany_cukier]],cukier10[[#This Row],[sprzedany_cukier]])</f>
        <v>4</v>
      </c>
      <c r="E1315" cm="1">
        <f t="array" ref="E13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15">
        <f>cukier10[[#This Row],[sprzedany_cukier]]*cukier10[[#This Row],[rabat]]</f>
        <v>0</v>
      </c>
    </row>
    <row r="1316" spans="1:6" x14ac:dyDescent="0.25">
      <c r="A1316" s="1">
        <v>40035</v>
      </c>
      <c r="B1316" t="s">
        <v>174</v>
      </c>
      <c r="C1316">
        <v>9</v>
      </c>
      <c r="D1316">
        <f>IF(cukier10[[#This Row],[nip_klienta]]=B1315,D1315+cukier10[[#This Row],[sprzedany_cukier]],cukier10[[#This Row],[sprzedany_cukier]])</f>
        <v>13</v>
      </c>
      <c r="E1316" cm="1">
        <f t="array" ref="E13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16">
        <f>cukier10[[#This Row],[sprzedany_cukier]]*cukier10[[#This Row],[rabat]]</f>
        <v>0</v>
      </c>
    </row>
    <row r="1317" spans="1:6" x14ac:dyDescent="0.25">
      <c r="A1317" s="1">
        <v>40041</v>
      </c>
      <c r="B1317" t="s">
        <v>174</v>
      </c>
      <c r="C1317">
        <v>2</v>
      </c>
      <c r="D1317">
        <f>IF(cukier10[[#This Row],[nip_klienta]]=B1316,D1316+cukier10[[#This Row],[sprzedany_cukier]],cukier10[[#This Row],[sprzedany_cukier]])</f>
        <v>15</v>
      </c>
      <c r="E1317" cm="1">
        <f t="array" ref="E13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17">
        <f>cukier10[[#This Row],[sprzedany_cukier]]*cukier10[[#This Row],[rabat]]</f>
        <v>0</v>
      </c>
    </row>
    <row r="1318" spans="1:6" x14ac:dyDescent="0.25">
      <c r="A1318" s="1">
        <v>38363</v>
      </c>
      <c r="B1318" t="s">
        <v>4</v>
      </c>
      <c r="C1318">
        <v>14</v>
      </c>
      <c r="D1318">
        <f>IF(cukier10[[#This Row],[nip_klienta]]=B1317,D1317+cukier10[[#This Row],[sprzedany_cukier]],cukier10[[#This Row],[sprzedany_cukier]])</f>
        <v>14</v>
      </c>
      <c r="E1318" cm="1">
        <f t="array" ref="E13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18">
        <f>cukier10[[#This Row],[sprzedany_cukier]]*cukier10[[#This Row],[rabat]]</f>
        <v>0</v>
      </c>
    </row>
    <row r="1319" spans="1:6" x14ac:dyDescent="0.25">
      <c r="A1319" s="1">
        <v>39339</v>
      </c>
      <c r="B1319" t="s">
        <v>4</v>
      </c>
      <c r="C1319">
        <v>5</v>
      </c>
      <c r="D1319">
        <f>IF(cukier10[[#This Row],[nip_klienta]]=B1318,D1318+cukier10[[#This Row],[sprzedany_cukier]],cukier10[[#This Row],[sprzedany_cukier]])</f>
        <v>19</v>
      </c>
      <c r="E1319" cm="1">
        <f t="array" ref="E13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19">
        <f>cukier10[[#This Row],[sprzedany_cukier]]*cukier10[[#This Row],[rabat]]</f>
        <v>0</v>
      </c>
    </row>
    <row r="1320" spans="1:6" x14ac:dyDescent="0.25">
      <c r="A1320" s="1">
        <v>40680</v>
      </c>
      <c r="B1320" t="s">
        <v>4</v>
      </c>
      <c r="C1320">
        <v>18</v>
      </c>
      <c r="D1320">
        <f>IF(cukier10[[#This Row],[nip_klienta]]=B1319,D1319+cukier10[[#This Row],[sprzedany_cukier]],cukier10[[#This Row],[sprzedany_cukier]])</f>
        <v>37</v>
      </c>
      <c r="E1320" cm="1">
        <f t="array" ref="E13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20">
        <f>cukier10[[#This Row],[sprzedany_cukier]]*cukier10[[#This Row],[rabat]]</f>
        <v>0</v>
      </c>
    </row>
    <row r="1321" spans="1:6" x14ac:dyDescent="0.25">
      <c r="A1321" s="1">
        <v>41851</v>
      </c>
      <c r="B1321" t="s">
        <v>238</v>
      </c>
      <c r="C1321">
        <v>6</v>
      </c>
      <c r="D1321">
        <f>IF(cukier10[[#This Row],[nip_klienta]]=B1320,D1320+cukier10[[#This Row],[sprzedany_cukier]],cukier10[[#This Row],[sprzedany_cukier]])</f>
        <v>6</v>
      </c>
      <c r="E1321" cm="1">
        <f t="array" ref="E13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21">
        <f>cukier10[[#This Row],[sprzedany_cukier]]*cukier10[[#This Row],[rabat]]</f>
        <v>0</v>
      </c>
    </row>
    <row r="1322" spans="1:6" x14ac:dyDescent="0.25">
      <c r="A1322" s="1">
        <v>41897</v>
      </c>
      <c r="B1322" t="s">
        <v>239</v>
      </c>
      <c r="C1322">
        <v>1</v>
      </c>
      <c r="D1322">
        <f>IF(cukier10[[#This Row],[nip_klienta]]=B1321,D1321+cukier10[[#This Row],[sprzedany_cukier]],cukier10[[#This Row],[sprzedany_cukier]])</f>
        <v>1</v>
      </c>
      <c r="E1322" cm="1">
        <f t="array" ref="E13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22">
        <f>cukier10[[#This Row],[sprzedany_cukier]]*cukier10[[#This Row],[rabat]]</f>
        <v>0</v>
      </c>
    </row>
    <row r="1323" spans="1:6" x14ac:dyDescent="0.25">
      <c r="A1323" s="1">
        <v>39908</v>
      </c>
      <c r="B1323" t="s">
        <v>185</v>
      </c>
      <c r="C1323">
        <v>3</v>
      </c>
      <c r="D1323">
        <f>IF(cukier10[[#This Row],[nip_klienta]]=B1322,D1322+cukier10[[#This Row],[sprzedany_cukier]],cukier10[[#This Row],[sprzedany_cukier]])</f>
        <v>3</v>
      </c>
      <c r="E1323" cm="1">
        <f t="array" ref="E13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23">
        <f>cukier10[[#This Row],[sprzedany_cukier]]*cukier10[[#This Row],[rabat]]</f>
        <v>0</v>
      </c>
    </row>
    <row r="1324" spans="1:6" x14ac:dyDescent="0.25">
      <c r="A1324" s="1">
        <v>41329</v>
      </c>
      <c r="B1324" t="s">
        <v>185</v>
      </c>
      <c r="C1324">
        <v>11</v>
      </c>
      <c r="D1324">
        <f>IF(cukier10[[#This Row],[nip_klienta]]=B1323,D1323+cukier10[[#This Row],[sprzedany_cukier]],cukier10[[#This Row],[sprzedany_cukier]])</f>
        <v>14</v>
      </c>
      <c r="E1324" cm="1">
        <f t="array" ref="E13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24">
        <f>cukier10[[#This Row],[sprzedany_cukier]]*cukier10[[#This Row],[rabat]]</f>
        <v>0</v>
      </c>
    </row>
    <row r="1325" spans="1:6" x14ac:dyDescent="0.25">
      <c r="A1325" s="1">
        <v>38514</v>
      </c>
      <c r="B1325" t="s">
        <v>53</v>
      </c>
      <c r="C1325">
        <v>2</v>
      </c>
      <c r="D1325">
        <f>IF(cukier10[[#This Row],[nip_klienta]]=B1324,D1324+cukier10[[#This Row],[sprzedany_cukier]],cukier10[[#This Row],[sprzedany_cukier]])</f>
        <v>2</v>
      </c>
      <c r="E1325" cm="1">
        <f t="array" ref="E13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25">
        <f>cukier10[[#This Row],[sprzedany_cukier]]*cukier10[[#This Row],[rabat]]</f>
        <v>0</v>
      </c>
    </row>
    <row r="1326" spans="1:6" x14ac:dyDescent="0.25">
      <c r="A1326" s="1">
        <v>38675</v>
      </c>
      <c r="B1326" t="s">
        <v>53</v>
      </c>
      <c r="C1326">
        <v>17</v>
      </c>
      <c r="D1326">
        <f>IF(cukier10[[#This Row],[nip_klienta]]=B1325,D1325+cukier10[[#This Row],[sprzedany_cukier]],cukier10[[#This Row],[sprzedany_cukier]])</f>
        <v>19</v>
      </c>
      <c r="E1326" cm="1">
        <f t="array" ref="E13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26">
        <f>cukier10[[#This Row],[sprzedany_cukier]]*cukier10[[#This Row],[rabat]]</f>
        <v>0</v>
      </c>
    </row>
    <row r="1327" spans="1:6" x14ac:dyDescent="0.25">
      <c r="A1327" s="1">
        <v>38711</v>
      </c>
      <c r="B1327" t="s">
        <v>53</v>
      </c>
      <c r="C1327">
        <v>10</v>
      </c>
      <c r="D1327">
        <f>IF(cukier10[[#This Row],[nip_klienta]]=B1326,D1326+cukier10[[#This Row],[sprzedany_cukier]],cukier10[[#This Row],[sprzedany_cukier]])</f>
        <v>29</v>
      </c>
      <c r="E1327" cm="1">
        <f t="array" ref="E13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27">
        <f>cukier10[[#This Row],[sprzedany_cukier]]*cukier10[[#This Row],[rabat]]</f>
        <v>0</v>
      </c>
    </row>
    <row r="1328" spans="1:6" x14ac:dyDescent="0.25">
      <c r="A1328" s="1">
        <v>39432</v>
      </c>
      <c r="B1328" t="s">
        <v>53</v>
      </c>
      <c r="C1328">
        <v>11</v>
      </c>
      <c r="D1328">
        <f>IF(cukier10[[#This Row],[nip_klienta]]=B1327,D1327+cukier10[[#This Row],[sprzedany_cukier]],cukier10[[#This Row],[sprzedany_cukier]])</f>
        <v>40</v>
      </c>
      <c r="E1328" cm="1">
        <f t="array" ref="E13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28">
        <f>cukier10[[#This Row],[sprzedany_cukier]]*cukier10[[#This Row],[rabat]]</f>
        <v>0</v>
      </c>
    </row>
    <row r="1329" spans="1:6" x14ac:dyDescent="0.25">
      <c r="A1329" s="1">
        <v>41560</v>
      </c>
      <c r="B1329" t="s">
        <v>53</v>
      </c>
      <c r="C1329">
        <v>19</v>
      </c>
      <c r="D1329">
        <f>IF(cukier10[[#This Row],[nip_klienta]]=B1328,D1328+cukier10[[#This Row],[sprzedany_cukier]],cukier10[[#This Row],[sprzedany_cukier]])</f>
        <v>59</v>
      </c>
      <c r="E1329" cm="1">
        <f t="array" ref="E13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29">
        <f>cukier10[[#This Row],[sprzedany_cukier]]*cukier10[[#This Row],[rabat]]</f>
        <v>0</v>
      </c>
    </row>
    <row r="1330" spans="1:6" x14ac:dyDescent="0.25">
      <c r="A1330" s="1">
        <v>38428</v>
      </c>
      <c r="B1330" t="s">
        <v>29</v>
      </c>
      <c r="C1330">
        <v>3</v>
      </c>
      <c r="D1330">
        <f>IF(cukier10[[#This Row],[nip_klienta]]=B1329,D1329+cukier10[[#This Row],[sprzedany_cukier]],cukier10[[#This Row],[sprzedany_cukier]])</f>
        <v>3</v>
      </c>
      <c r="E1330" cm="1">
        <f t="array" ref="E13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30">
        <f>cukier10[[#This Row],[sprzedany_cukier]]*cukier10[[#This Row],[rabat]]</f>
        <v>0</v>
      </c>
    </row>
    <row r="1331" spans="1:6" x14ac:dyDescent="0.25">
      <c r="A1331" s="1">
        <v>38734</v>
      </c>
      <c r="B1331" t="s">
        <v>29</v>
      </c>
      <c r="C1331">
        <v>7</v>
      </c>
      <c r="D1331">
        <f>IF(cukier10[[#This Row],[nip_klienta]]=B1330,D1330+cukier10[[#This Row],[sprzedany_cukier]],cukier10[[#This Row],[sprzedany_cukier]])</f>
        <v>10</v>
      </c>
      <c r="E1331" cm="1">
        <f t="array" ref="E13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31">
        <f>cukier10[[#This Row],[sprzedany_cukier]]*cukier10[[#This Row],[rabat]]</f>
        <v>0</v>
      </c>
    </row>
    <row r="1332" spans="1:6" x14ac:dyDescent="0.25">
      <c r="A1332" s="1">
        <v>39856</v>
      </c>
      <c r="B1332" t="s">
        <v>29</v>
      </c>
      <c r="C1332">
        <v>3</v>
      </c>
      <c r="D1332">
        <f>IF(cukier10[[#This Row],[nip_klienta]]=B1331,D1331+cukier10[[#This Row],[sprzedany_cukier]],cukier10[[#This Row],[sprzedany_cukier]])</f>
        <v>13</v>
      </c>
      <c r="E1332" cm="1">
        <f t="array" ref="E13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32">
        <f>cukier10[[#This Row],[sprzedany_cukier]]*cukier10[[#This Row],[rabat]]</f>
        <v>0</v>
      </c>
    </row>
    <row r="1333" spans="1:6" x14ac:dyDescent="0.25">
      <c r="A1333" s="1">
        <v>39995</v>
      </c>
      <c r="B1333" t="s">
        <v>29</v>
      </c>
      <c r="C1333">
        <v>2</v>
      </c>
      <c r="D1333">
        <f>IF(cukier10[[#This Row],[nip_klienta]]=B1332,D1332+cukier10[[#This Row],[sprzedany_cukier]],cukier10[[#This Row],[sprzedany_cukier]])</f>
        <v>15</v>
      </c>
      <c r="E1333" cm="1">
        <f t="array" ref="E13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33">
        <f>cukier10[[#This Row],[sprzedany_cukier]]*cukier10[[#This Row],[rabat]]</f>
        <v>0</v>
      </c>
    </row>
    <row r="1334" spans="1:6" x14ac:dyDescent="0.25">
      <c r="A1334" s="1">
        <v>40651</v>
      </c>
      <c r="B1334" t="s">
        <v>221</v>
      </c>
      <c r="C1334">
        <v>9</v>
      </c>
      <c r="D1334">
        <f>IF(cukier10[[#This Row],[nip_klienta]]=B1333,D1333+cukier10[[#This Row],[sprzedany_cukier]],cukier10[[#This Row],[sprzedany_cukier]])</f>
        <v>9</v>
      </c>
      <c r="E1334" cm="1">
        <f t="array" ref="E13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34">
        <f>cukier10[[#This Row],[sprzedany_cukier]]*cukier10[[#This Row],[rabat]]</f>
        <v>0</v>
      </c>
    </row>
    <row r="1335" spans="1:6" x14ac:dyDescent="0.25">
      <c r="A1335" s="1">
        <v>40699</v>
      </c>
      <c r="B1335" t="s">
        <v>221</v>
      </c>
      <c r="C1335">
        <v>5</v>
      </c>
      <c r="D1335">
        <f>IF(cukier10[[#This Row],[nip_klienta]]=B1334,D1334+cukier10[[#This Row],[sprzedany_cukier]],cukier10[[#This Row],[sprzedany_cukier]])</f>
        <v>14</v>
      </c>
      <c r="E1335" cm="1">
        <f t="array" ref="E13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35">
        <f>cukier10[[#This Row],[sprzedany_cukier]]*cukier10[[#This Row],[rabat]]</f>
        <v>0</v>
      </c>
    </row>
    <row r="1336" spans="1:6" x14ac:dyDescent="0.25">
      <c r="A1336" s="1">
        <v>41351</v>
      </c>
      <c r="B1336" t="s">
        <v>221</v>
      </c>
      <c r="C1336">
        <v>9</v>
      </c>
      <c r="D1336">
        <f>IF(cukier10[[#This Row],[nip_klienta]]=B1335,D1335+cukier10[[#This Row],[sprzedany_cukier]],cukier10[[#This Row],[sprzedany_cukier]])</f>
        <v>23</v>
      </c>
      <c r="E1336" cm="1">
        <f t="array" ref="E13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36">
        <f>cukier10[[#This Row],[sprzedany_cukier]]*cukier10[[#This Row],[rabat]]</f>
        <v>0</v>
      </c>
    </row>
    <row r="1337" spans="1:6" x14ac:dyDescent="0.25">
      <c r="A1337" s="1">
        <v>41401</v>
      </c>
      <c r="B1337" t="s">
        <v>221</v>
      </c>
      <c r="C1337">
        <v>11</v>
      </c>
      <c r="D1337">
        <f>IF(cukier10[[#This Row],[nip_klienta]]=B1336,D1336+cukier10[[#This Row],[sprzedany_cukier]],cukier10[[#This Row],[sprzedany_cukier]])</f>
        <v>34</v>
      </c>
      <c r="E1337" cm="1">
        <f t="array" ref="E13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37">
        <f>cukier10[[#This Row],[sprzedany_cukier]]*cukier10[[#This Row],[rabat]]</f>
        <v>0</v>
      </c>
    </row>
    <row r="1338" spans="1:6" x14ac:dyDescent="0.25">
      <c r="A1338" s="1">
        <v>41655</v>
      </c>
      <c r="B1338" t="s">
        <v>221</v>
      </c>
      <c r="C1338">
        <v>15</v>
      </c>
      <c r="D1338">
        <f>IF(cukier10[[#This Row],[nip_klienta]]=B1337,D1337+cukier10[[#This Row],[sprzedany_cukier]],cukier10[[#This Row],[sprzedany_cukier]])</f>
        <v>49</v>
      </c>
      <c r="E1338" cm="1">
        <f t="array" ref="E13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38">
        <f>cukier10[[#This Row],[sprzedany_cukier]]*cukier10[[#This Row],[rabat]]</f>
        <v>0</v>
      </c>
    </row>
    <row r="1339" spans="1:6" x14ac:dyDescent="0.25">
      <c r="A1339" s="1">
        <v>40139</v>
      </c>
      <c r="B1339" t="s">
        <v>201</v>
      </c>
      <c r="C1339">
        <v>2</v>
      </c>
      <c r="D1339">
        <f>IF(cukier10[[#This Row],[nip_klienta]]=B1338,D1338+cukier10[[#This Row],[sprzedany_cukier]],cukier10[[#This Row],[sprzedany_cukier]])</f>
        <v>2</v>
      </c>
      <c r="E1339" cm="1">
        <f t="array" ref="E13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39">
        <f>cukier10[[#This Row],[sprzedany_cukier]]*cukier10[[#This Row],[rabat]]</f>
        <v>0</v>
      </c>
    </row>
    <row r="1340" spans="1:6" x14ac:dyDescent="0.25">
      <c r="A1340" s="1">
        <v>40717</v>
      </c>
      <c r="B1340" t="s">
        <v>201</v>
      </c>
      <c r="C1340">
        <v>11</v>
      </c>
      <c r="D1340">
        <f>IF(cukier10[[#This Row],[nip_klienta]]=B1339,D1339+cukier10[[#This Row],[sprzedany_cukier]],cukier10[[#This Row],[sprzedany_cukier]])</f>
        <v>13</v>
      </c>
      <c r="E1340" cm="1">
        <f t="array" ref="E13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40">
        <f>cukier10[[#This Row],[sprzedany_cukier]]*cukier10[[#This Row],[rabat]]</f>
        <v>0</v>
      </c>
    </row>
    <row r="1341" spans="1:6" x14ac:dyDescent="0.25">
      <c r="A1341" s="1">
        <v>40959</v>
      </c>
      <c r="B1341" t="s">
        <v>201</v>
      </c>
      <c r="C1341">
        <v>3</v>
      </c>
      <c r="D1341">
        <f>IF(cukier10[[#This Row],[nip_klienta]]=B1340,D1340+cukier10[[#This Row],[sprzedany_cukier]],cukier10[[#This Row],[sprzedany_cukier]])</f>
        <v>16</v>
      </c>
      <c r="E1341" cm="1">
        <f t="array" ref="E13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41">
        <f>cukier10[[#This Row],[sprzedany_cukier]]*cukier10[[#This Row],[rabat]]</f>
        <v>0</v>
      </c>
    </row>
    <row r="1342" spans="1:6" x14ac:dyDescent="0.25">
      <c r="A1342" s="1">
        <v>41127</v>
      </c>
      <c r="B1342" t="s">
        <v>201</v>
      </c>
      <c r="C1342">
        <v>13</v>
      </c>
      <c r="D1342">
        <f>IF(cukier10[[#This Row],[nip_klienta]]=B1341,D1341+cukier10[[#This Row],[sprzedany_cukier]],cukier10[[#This Row],[sprzedany_cukier]])</f>
        <v>29</v>
      </c>
      <c r="E1342" cm="1">
        <f t="array" ref="E13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42">
        <f>cukier10[[#This Row],[sprzedany_cukier]]*cukier10[[#This Row],[rabat]]</f>
        <v>0</v>
      </c>
    </row>
    <row r="1343" spans="1:6" x14ac:dyDescent="0.25">
      <c r="A1343" s="1">
        <v>38536</v>
      </c>
      <c r="B1343" t="s">
        <v>61</v>
      </c>
      <c r="C1343">
        <v>97</v>
      </c>
      <c r="D1343">
        <f>IF(cukier10[[#This Row],[nip_klienta]]=B1342,D1342+cukier10[[#This Row],[sprzedany_cukier]],cukier10[[#This Row],[sprzedany_cukier]])</f>
        <v>97</v>
      </c>
      <c r="E1343" cm="1">
        <f t="array" ref="E13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43">
        <f>cukier10[[#This Row],[sprzedany_cukier]]*cukier10[[#This Row],[rabat]]</f>
        <v>0</v>
      </c>
    </row>
    <row r="1344" spans="1:6" x14ac:dyDescent="0.25">
      <c r="A1344" s="1">
        <v>38787</v>
      </c>
      <c r="B1344" t="s">
        <v>61</v>
      </c>
      <c r="C1344">
        <v>28</v>
      </c>
      <c r="D1344">
        <f>IF(cukier10[[#This Row],[nip_klienta]]=B1343,D1343+cukier10[[#This Row],[sprzedany_cukier]],cukier10[[#This Row],[sprzedany_cukier]])</f>
        <v>125</v>
      </c>
      <c r="E1344" cm="1">
        <f t="array" ref="E13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44">
        <f>cukier10[[#This Row],[sprzedany_cukier]]*cukier10[[#This Row],[rabat]]</f>
        <v>1.4000000000000001</v>
      </c>
    </row>
    <row r="1345" spans="1:6" x14ac:dyDescent="0.25">
      <c r="A1345" s="1">
        <v>38963</v>
      </c>
      <c r="B1345" t="s">
        <v>61</v>
      </c>
      <c r="C1345">
        <v>57</v>
      </c>
      <c r="D1345">
        <f>IF(cukier10[[#This Row],[nip_klienta]]=B1344,D1344+cukier10[[#This Row],[sprzedany_cukier]],cukier10[[#This Row],[sprzedany_cukier]])</f>
        <v>182</v>
      </c>
      <c r="E1345" cm="1">
        <f t="array" ref="E13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45">
        <f>cukier10[[#This Row],[sprzedany_cukier]]*cukier10[[#This Row],[rabat]]</f>
        <v>2.85</v>
      </c>
    </row>
    <row r="1346" spans="1:6" x14ac:dyDescent="0.25">
      <c r="A1346" s="1">
        <v>38981</v>
      </c>
      <c r="B1346" t="s">
        <v>61</v>
      </c>
      <c r="C1346">
        <v>96</v>
      </c>
      <c r="D1346">
        <f>IF(cukier10[[#This Row],[nip_klienta]]=B1345,D1345+cukier10[[#This Row],[sprzedany_cukier]],cukier10[[#This Row],[sprzedany_cukier]])</f>
        <v>278</v>
      </c>
      <c r="E1346" cm="1">
        <f t="array" ref="E13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46">
        <f>cukier10[[#This Row],[sprzedany_cukier]]*cukier10[[#This Row],[rabat]]</f>
        <v>4.8000000000000007</v>
      </c>
    </row>
    <row r="1347" spans="1:6" x14ac:dyDescent="0.25">
      <c r="A1347" s="1">
        <v>39081</v>
      </c>
      <c r="B1347" t="s">
        <v>61</v>
      </c>
      <c r="C1347">
        <v>21</v>
      </c>
      <c r="D1347">
        <f>IF(cukier10[[#This Row],[nip_klienta]]=B1346,D1346+cukier10[[#This Row],[sprzedany_cukier]],cukier10[[#This Row],[sprzedany_cukier]])</f>
        <v>299</v>
      </c>
      <c r="E1347" cm="1">
        <f t="array" ref="E13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47">
        <f>cukier10[[#This Row],[sprzedany_cukier]]*cukier10[[#This Row],[rabat]]</f>
        <v>1.05</v>
      </c>
    </row>
    <row r="1348" spans="1:6" x14ac:dyDescent="0.25">
      <c r="A1348" s="1">
        <v>39210</v>
      </c>
      <c r="B1348" t="s">
        <v>61</v>
      </c>
      <c r="C1348">
        <v>65</v>
      </c>
      <c r="D1348">
        <f>IF(cukier10[[#This Row],[nip_klienta]]=B1347,D1347+cukier10[[#This Row],[sprzedany_cukier]],cukier10[[#This Row],[sprzedany_cukier]])</f>
        <v>364</v>
      </c>
      <c r="E1348" cm="1">
        <f t="array" ref="E13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48">
        <f>cukier10[[#This Row],[sprzedany_cukier]]*cukier10[[#This Row],[rabat]]</f>
        <v>3.25</v>
      </c>
    </row>
    <row r="1349" spans="1:6" x14ac:dyDescent="0.25">
      <c r="A1349" s="1">
        <v>39317</v>
      </c>
      <c r="B1349" t="s">
        <v>61</v>
      </c>
      <c r="C1349">
        <v>52</v>
      </c>
      <c r="D1349">
        <f>IF(cukier10[[#This Row],[nip_klienta]]=B1348,D1348+cukier10[[#This Row],[sprzedany_cukier]],cukier10[[#This Row],[sprzedany_cukier]])</f>
        <v>416</v>
      </c>
      <c r="E1349" cm="1">
        <f t="array" ref="E13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49">
        <f>cukier10[[#This Row],[sprzedany_cukier]]*cukier10[[#This Row],[rabat]]</f>
        <v>2.6</v>
      </c>
    </row>
    <row r="1350" spans="1:6" x14ac:dyDescent="0.25">
      <c r="A1350" s="1">
        <v>39341</v>
      </c>
      <c r="B1350" t="s">
        <v>61</v>
      </c>
      <c r="C1350">
        <v>43</v>
      </c>
      <c r="D1350">
        <f>IF(cukier10[[#This Row],[nip_klienta]]=B1349,D1349+cukier10[[#This Row],[sprzedany_cukier]],cukier10[[#This Row],[sprzedany_cukier]])</f>
        <v>459</v>
      </c>
      <c r="E1350" cm="1">
        <f t="array" ref="E13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50">
        <f>cukier10[[#This Row],[sprzedany_cukier]]*cukier10[[#This Row],[rabat]]</f>
        <v>2.15</v>
      </c>
    </row>
    <row r="1351" spans="1:6" x14ac:dyDescent="0.25">
      <c r="A1351" s="1">
        <v>39468</v>
      </c>
      <c r="B1351" t="s">
        <v>61</v>
      </c>
      <c r="C1351">
        <v>81</v>
      </c>
      <c r="D1351">
        <f>IF(cukier10[[#This Row],[nip_klienta]]=B1350,D1350+cukier10[[#This Row],[sprzedany_cukier]],cukier10[[#This Row],[sprzedany_cukier]])</f>
        <v>540</v>
      </c>
      <c r="E1351" cm="1">
        <f t="array" ref="E13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51">
        <f>cukier10[[#This Row],[sprzedany_cukier]]*cukier10[[#This Row],[rabat]]</f>
        <v>4.05</v>
      </c>
    </row>
    <row r="1352" spans="1:6" x14ac:dyDescent="0.25">
      <c r="A1352" s="1">
        <v>39587</v>
      </c>
      <c r="B1352" t="s">
        <v>61</v>
      </c>
      <c r="C1352">
        <v>88</v>
      </c>
      <c r="D1352">
        <f>IF(cukier10[[#This Row],[nip_klienta]]=B1351,D1351+cukier10[[#This Row],[sprzedany_cukier]],cukier10[[#This Row],[sprzedany_cukier]])</f>
        <v>628</v>
      </c>
      <c r="E1352" cm="1">
        <f t="array" ref="E13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52">
        <f>cukier10[[#This Row],[sprzedany_cukier]]*cukier10[[#This Row],[rabat]]</f>
        <v>4.4000000000000004</v>
      </c>
    </row>
    <row r="1353" spans="1:6" x14ac:dyDescent="0.25">
      <c r="A1353" s="1">
        <v>39596</v>
      </c>
      <c r="B1353" t="s">
        <v>61</v>
      </c>
      <c r="C1353">
        <v>48</v>
      </c>
      <c r="D1353">
        <f>IF(cukier10[[#This Row],[nip_klienta]]=B1352,D1352+cukier10[[#This Row],[sprzedany_cukier]],cukier10[[#This Row],[sprzedany_cukier]])</f>
        <v>676</v>
      </c>
      <c r="E1353" cm="1">
        <f t="array" ref="E13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53">
        <f>cukier10[[#This Row],[sprzedany_cukier]]*cukier10[[#This Row],[rabat]]</f>
        <v>2.4000000000000004</v>
      </c>
    </row>
    <row r="1354" spans="1:6" x14ac:dyDescent="0.25">
      <c r="A1354" s="1">
        <v>39627</v>
      </c>
      <c r="B1354" t="s">
        <v>61</v>
      </c>
      <c r="C1354">
        <v>110</v>
      </c>
      <c r="D1354">
        <f>IF(cukier10[[#This Row],[nip_klienta]]=B1353,D1353+cukier10[[#This Row],[sprzedany_cukier]],cukier10[[#This Row],[sprzedany_cukier]])</f>
        <v>786</v>
      </c>
      <c r="E1354" cm="1">
        <f t="array" ref="E13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54">
        <f>cukier10[[#This Row],[sprzedany_cukier]]*cukier10[[#This Row],[rabat]]</f>
        <v>5.5</v>
      </c>
    </row>
    <row r="1355" spans="1:6" x14ac:dyDescent="0.25">
      <c r="A1355" s="1">
        <v>39653</v>
      </c>
      <c r="B1355" t="s">
        <v>61</v>
      </c>
      <c r="C1355">
        <v>147</v>
      </c>
      <c r="D1355">
        <f>IF(cukier10[[#This Row],[nip_klienta]]=B1354,D1354+cukier10[[#This Row],[sprzedany_cukier]],cukier10[[#This Row],[sprzedany_cukier]])</f>
        <v>933</v>
      </c>
      <c r="E1355" cm="1">
        <f t="array" ref="E13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55">
        <f>cukier10[[#This Row],[sprzedany_cukier]]*cukier10[[#This Row],[rabat]]</f>
        <v>7.3500000000000005</v>
      </c>
    </row>
    <row r="1356" spans="1:6" x14ac:dyDescent="0.25">
      <c r="A1356" s="1">
        <v>39705</v>
      </c>
      <c r="B1356" t="s">
        <v>61</v>
      </c>
      <c r="C1356">
        <v>64</v>
      </c>
      <c r="D1356">
        <f>IF(cukier10[[#This Row],[nip_klienta]]=B1355,D1355+cukier10[[#This Row],[sprzedany_cukier]],cukier10[[#This Row],[sprzedany_cukier]])</f>
        <v>997</v>
      </c>
      <c r="E1356" cm="1">
        <f t="array" ref="E13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56">
        <f>cukier10[[#This Row],[sprzedany_cukier]]*cukier10[[#This Row],[rabat]]</f>
        <v>3.2</v>
      </c>
    </row>
    <row r="1357" spans="1:6" x14ac:dyDescent="0.25">
      <c r="A1357" s="1">
        <v>39717</v>
      </c>
      <c r="B1357" t="s">
        <v>61</v>
      </c>
      <c r="C1357">
        <v>182</v>
      </c>
      <c r="D1357">
        <f>IF(cukier10[[#This Row],[nip_klienta]]=B1356,D1356+cukier10[[#This Row],[sprzedany_cukier]],cukier10[[#This Row],[sprzedany_cukier]])</f>
        <v>1179</v>
      </c>
      <c r="E1357" cm="1">
        <f t="array" ref="E13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57">
        <f>cukier10[[#This Row],[sprzedany_cukier]]*cukier10[[#This Row],[rabat]]</f>
        <v>18.2</v>
      </c>
    </row>
    <row r="1358" spans="1:6" x14ac:dyDescent="0.25">
      <c r="A1358" s="1">
        <v>39819</v>
      </c>
      <c r="B1358" t="s">
        <v>61</v>
      </c>
      <c r="C1358">
        <v>117</v>
      </c>
      <c r="D1358">
        <f>IF(cukier10[[#This Row],[nip_klienta]]=B1357,D1357+cukier10[[#This Row],[sprzedany_cukier]],cukier10[[#This Row],[sprzedany_cukier]])</f>
        <v>1296</v>
      </c>
      <c r="E1358" cm="1">
        <f t="array" ref="E13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58">
        <f>cukier10[[#This Row],[sprzedany_cukier]]*cukier10[[#This Row],[rabat]]</f>
        <v>11.700000000000001</v>
      </c>
    </row>
    <row r="1359" spans="1:6" x14ac:dyDescent="0.25">
      <c r="A1359" s="1">
        <v>39823</v>
      </c>
      <c r="B1359" t="s">
        <v>61</v>
      </c>
      <c r="C1359">
        <v>186</v>
      </c>
      <c r="D1359">
        <f>IF(cukier10[[#This Row],[nip_klienta]]=B1358,D1358+cukier10[[#This Row],[sprzedany_cukier]],cukier10[[#This Row],[sprzedany_cukier]])</f>
        <v>1482</v>
      </c>
      <c r="E1359" cm="1">
        <f t="array" ref="E13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59">
        <f>cukier10[[#This Row],[sprzedany_cukier]]*cukier10[[#This Row],[rabat]]</f>
        <v>18.600000000000001</v>
      </c>
    </row>
    <row r="1360" spans="1:6" x14ac:dyDescent="0.25">
      <c r="A1360" s="1">
        <v>40002</v>
      </c>
      <c r="B1360" t="s">
        <v>61</v>
      </c>
      <c r="C1360">
        <v>132</v>
      </c>
      <c r="D1360">
        <f>IF(cukier10[[#This Row],[nip_klienta]]=B1359,D1359+cukier10[[#This Row],[sprzedany_cukier]],cukier10[[#This Row],[sprzedany_cukier]])</f>
        <v>1614</v>
      </c>
      <c r="E1360" cm="1">
        <f t="array" ref="E13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60">
        <f>cukier10[[#This Row],[sprzedany_cukier]]*cukier10[[#This Row],[rabat]]</f>
        <v>13.200000000000001</v>
      </c>
    </row>
    <row r="1361" spans="1:6" x14ac:dyDescent="0.25">
      <c r="A1361" s="1">
        <v>40034</v>
      </c>
      <c r="B1361" t="s">
        <v>61</v>
      </c>
      <c r="C1361">
        <v>68</v>
      </c>
      <c r="D1361">
        <f>IF(cukier10[[#This Row],[nip_klienta]]=B1360,D1360+cukier10[[#This Row],[sprzedany_cukier]],cukier10[[#This Row],[sprzedany_cukier]])</f>
        <v>1682</v>
      </c>
      <c r="E1361" cm="1">
        <f t="array" ref="E13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61">
        <f>cukier10[[#This Row],[sprzedany_cukier]]*cukier10[[#This Row],[rabat]]</f>
        <v>6.8000000000000007</v>
      </c>
    </row>
    <row r="1362" spans="1:6" x14ac:dyDescent="0.25">
      <c r="A1362" s="1">
        <v>40146</v>
      </c>
      <c r="B1362" t="s">
        <v>61</v>
      </c>
      <c r="C1362">
        <v>40</v>
      </c>
      <c r="D1362">
        <f>IF(cukier10[[#This Row],[nip_klienta]]=B1361,D1361+cukier10[[#This Row],[sprzedany_cukier]],cukier10[[#This Row],[sprzedany_cukier]])</f>
        <v>1722</v>
      </c>
      <c r="E1362" cm="1">
        <f t="array" ref="E13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62">
        <f>cukier10[[#This Row],[sprzedany_cukier]]*cukier10[[#This Row],[rabat]]</f>
        <v>4</v>
      </c>
    </row>
    <row r="1363" spans="1:6" x14ac:dyDescent="0.25">
      <c r="A1363" s="1">
        <v>40189</v>
      </c>
      <c r="B1363" t="s">
        <v>61</v>
      </c>
      <c r="C1363">
        <v>116</v>
      </c>
      <c r="D1363">
        <f>IF(cukier10[[#This Row],[nip_klienta]]=B1362,D1362+cukier10[[#This Row],[sprzedany_cukier]],cukier10[[#This Row],[sprzedany_cukier]])</f>
        <v>1838</v>
      </c>
      <c r="E1363" cm="1">
        <f t="array" ref="E13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63">
        <f>cukier10[[#This Row],[sprzedany_cukier]]*cukier10[[#This Row],[rabat]]</f>
        <v>11.600000000000001</v>
      </c>
    </row>
    <row r="1364" spans="1:6" x14ac:dyDescent="0.25">
      <c r="A1364" s="1">
        <v>40270</v>
      </c>
      <c r="B1364" t="s">
        <v>61</v>
      </c>
      <c r="C1364">
        <v>167</v>
      </c>
      <c r="D1364">
        <f>IF(cukier10[[#This Row],[nip_klienta]]=B1363,D1363+cukier10[[#This Row],[sprzedany_cukier]],cukier10[[#This Row],[sprzedany_cukier]])</f>
        <v>2005</v>
      </c>
      <c r="E1364" cm="1">
        <f t="array" ref="E13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64">
        <f>cukier10[[#This Row],[sprzedany_cukier]]*cukier10[[#This Row],[rabat]]</f>
        <v>16.7</v>
      </c>
    </row>
    <row r="1365" spans="1:6" x14ac:dyDescent="0.25">
      <c r="A1365" s="1">
        <v>40414</v>
      </c>
      <c r="B1365" t="s">
        <v>61</v>
      </c>
      <c r="C1365">
        <v>29</v>
      </c>
      <c r="D1365">
        <f>IF(cukier10[[#This Row],[nip_klienta]]=B1364,D1364+cukier10[[#This Row],[sprzedany_cukier]],cukier10[[#This Row],[sprzedany_cukier]])</f>
        <v>2034</v>
      </c>
      <c r="E1365" cm="1">
        <f t="array" ref="E13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65">
        <f>cukier10[[#This Row],[sprzedany_cukier]]*cukier10[[#This Row],[rabat]]</f>
        <v>2.9000000000000004</v>
      </c>
    </row>
    <row r="1366" spans="1:6" x14ac:dyDescent="0.25">
      <c r="A1366" s="1">
        <v>40457</v>
      </c>
      <c r="B1366" t="s">
        <v>61</v>
      </c>
      <c r="C1366">
        <v>28</v>
      </c>
      <c r="D1366">
        <f>IF(cukier10[[#This Row],[nip_klienta]]=B1365,D1365+cukier10[[#This Row],[sprzedany_cukier]],cukier10[[#This Row],[sprzedany_cukier]])</f>
        <v>2062</v>
      </c>
      <c r="E1366" cm="1">
        <f t="array" ref="E13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66">
        <f>cukier10[[#This Row],[sprzedany_cukier]]*cukier10[[#This Row],[rabat]]</f>
        <v>2.8000000000000003</v>
      </c>
    </row>
    <row r="1367" spans="1:6" x14ac:dyDescent="0.25">
      <c r="A1367" s="1">
        <v>40689</v>
      </c>
      <c r="B1367" t="s">
        <v>61</v>
      </c>
      <c r="C1367">
        <v>45</v>
      </c>
      <c r="D1367">
        <f>IF(cukier10[[#This Row],[nip_klienta]]=B1366,D1366+cukier10[[#This Row],[sprzedany_cukier]],cukier10[[#This Row],[sprzedany_cukier]])</f>
        <v>2107</v>
      </c>
      <c r="E1367" cm="1">
        <f t="array" ref="E13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67">
        <f>cukier10[[#This Row],[sprzedany_cukier]]*cukier10[[#This Row],[rabat]]</f>
        <v>4.5</v>
      </c>
    </row>
    <row r="1368" spans="1:6" x14ac:dyDescent="0.25">
      <c r="A1368" s="1">
        <v>40927</v>
      </c>
      <c r="B1368" t="s">
        <v>61</v>
      </c>
      <c r="C1368">
        <v>53</v>
      </c>
      <c r="D1368">
        <f>IF(cukier10[[#This Row],[nip_klienta]]=B1367,D1367+cukier10[[#This Row],[sprzedany_cukier]],cukier10[[#This Row],[sprzedany_cukier]])</f>
        <v>2160</v>
      </c>
      <c r="E1368" cm="1">
        <f t="array" ref="E13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68">
        <f>cukier10[[#This Row],[sprzedany_cukier]]*cukier10[[#This Row],[rabat]]</f>
        <v>5.3000000000000007</v>
      </c>
    </row>
    <row r="1369" spans="1:6" x14ac:dyDescent="0.25">
      <c r="A1369" s="1">
        <v>40980</v>
      </c>
      <c r="B1369" t="s">
        <v>61</v>
      </c>
      <c r="C1369">
        <v>132</v>
      </c>
      <c r="D1369">
        <f>IF(cukier10[[#This Row],[nip_klienta]]=B1368,D1368+cukier10[[#This Row],[sprzedany_cukier]],cukier10[[#This Row],[sprzedany_cukier]])</f>
        <v>2292</v>
      </c>
      <c r="E1369" cm="1">
        <f t="array" ref="E13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69">
        <f>cukier10[[#This Row],[sprzedany_cukier]]*cukier10[[#This Row],[rabat]]</f>
        <v>13.200000000000001</v>
      </c>
    </row>
    <row r="1370" spans="1:6" x14ac:dyDescent="0.25">
      <c r="A1370" s="1">
        <v>41099</v>
      </c>
      <c r="B1370" t="s">
        <v>61</v>
      </c>
      <c r="C1370">
        <v>185</v>
      </c>
      <c r="D1370">
        <f>IF(cukier10[[#This Row],[nip_klienta]]=B1369,D1369+cukier10[[#This Row],[sprzedany_cukier]],cukier10[[#This Row],[sprzedany_cukier]])</f>
        <v>2477</v>
      </c>
      <c r="E1370" cm="1">
        <f t="array" ref="E13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70">
        <f>cukier10[[#This Row],[sprzedany_cukier]]*cukier10[[#This Row],[rabat]]</f>
        <v>18.5</v>
      </c>
    </row>
    <row r="1371" spans="1:6" x14ac:dyDescent="0.25">
      <c r="A1371" s="1">
        <v>41102</v>
      </c>
      <c r="B1371" t="s">
        <v>61</v>
      </c>
      <c r="C1371">
        <v>109</v>
      </c>
      <c r="D1371">
        <f>IF(cukier10[[#This Row],[nip_klienta]]=B1370,D1370+cukier10[[#This Row],[sprzedany_cukier]],cukier10[[#This Row],[sprzedany_cukier]])</f>
        <v>2586</v>
      </c>
      <c r="E1371" cm="1">
        <f t="array" ref="E13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71">
        <f>cukier10[[#This Row],[sprzedany_cukier]]*cukier10[[#This Row],[rabat]]</f>
        <v>10.9</v>
      </c>
    </row>
    <row r="1372" spans="1:6" x14ac:dyDescent="0.25">
      <c r="A1372" s="1">
        <v>41290</v>
      </c>
      <c r="B1372" t="s">
        <v>61</v>
      </c>
      <c r="C1372">
        <v>45</v>
      </c>
      <c r="D1372">
        <f>IF(cukier10[[#This Row],[nip_klienta]]=B1371,D1371+cukier10[[#This Row],[sprzedany_cukier]],cukier10[[#This Row],[sprzedany_cukier]])</f>
        <v>2631</v>
      </c>
      <c r="E1372" cm="1">
        <f t="array" ref="E13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72">
        <f>cukier10[[#This Row],[sprzedany_cukier]]*cukier10[[#This Row],[rabat]]</f>
        <v>4.5</v>
      </c>
    </row>
    <row r="1373" spans="1:6" x14ac:dyDescent="0.25">
      <c r="A1373" s="1">
        <v>41363</v>
      </c>
      <c r="B1373" t="s">
        <v>61</v>
      </c>
      <c r="C1373">
        <v>43</v>
      </c>
      <c r="D1373">
        <f>IF(cukier10[[#This Row],[nip_klienta]]=B1372,D1372+cukier10[[#This Row],[sprzedany_cukier]],cukier10[[#This Row],[sprzedany_cukier]])</f>
        <v>2674</v>
      </c>
      <c r="E1373" cm="1">
        <f t="array" ref="E13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73">
        <f>cukier10[[#This Row],[sprzedany_cukier]]*cukier10[[#This Row],[rabat]]</f>
        <v>4.3</v>
      </c>
    </row>
    <row r="1374" spans="1:6" x14ac:dyDescent="0.25">
      <c r="A1374" s="1">
        <v>41369</v>
      </c>
      <c r="B1374" t="s">
        <v>61</v>
      </c>
      <c r="C1374">
        <v>136</v>
      </c>
      <c r="D1374">
        <f>IF(cukier10[[#This Row],[nip_klienta]]=B1373,D1373+cukier10[[#This Row],[sprzedany_cukier]],cukier10[[#This Row],[sprzedany_cukier]])</f>
        <v>2810</v>
      </c>
      <c r="E1374" cm="1">
        <f t="array" ref="E13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74">
        <f>cukier10[[#This Row],[sprzedany_cukier]]*cukier10[[#This Row],[rabat]]</f>
        <v>13.600000000000001</v>
      </c>
    </row>
    <row r="1375" spans="1:6" x14ac:dyDescent="0.25">
      <c r="A1375" s="1">
        <v>41494</v>
      </c>
      <c r="B1375" t="s">
        <v>61</v>
      </c>
      <c r="C1375">
        <v>119</v>
      </c>
      <c r="D1375">
        <f>IF(cukier10[[#This Row],[nip_klienta]]=B1374,D1374+cukier10[[#This Row],[sprzedany_cukier]],cukier10[[#This Row],[sprzedany_cukier]])</f>
        <v>2929</v>
      </c>
      <c r="E1375" cm="1">
        <f t="array" ref="E13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75">
        <f>cukier10[[#This Row],[sprzedany_cukier]]*cukier10[[#This Row],[rabat]]</f>
        <v>11.9</v>
      </c>
    </row>
    <row r="1376" spans="1:6" x14ac:dyDescent="0.25">
      <c r="A1376" s="1">
        <v>41791</v>
      </c>
      <c r="B1376" t="s">
        <v>61</v>
      </c>
      <c r="C1376">
        <v>121</v>
      </c>
      <c r="D1376">
        <f>IF(cukier10[[#This Row],[nip_klienta]]=B1375,D1375+cukier10[[#This Row],[sprzedany_cukier]],cukier10[[#This Row],[sprzedany_cukier]])</f>
        <v>3050</v>
      </c>
      <c r="E1376" cm="1">
        <f t="array" ref="E13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76">
        <f>cukier10[[#This Row],[sprzedany_cukier]]*cukier10[[#This Row],[rabat]]</f>
        <v>12.100000000000001</v>
      </c>
    </row>
    <row r="1377" spans="1:6" x14ac:dyDescent="0.25">
      <c r="A1377" s="1">
        <v>41836</v>
      </c>
      <c r="B1377" t="s">
        <v>61</v>
      </c>
      <c r="C1377">
        <v>191</v>
      </c>
      <c r="D1377">
        <f>IF(cukier10[[#This Row],[nip_klienta]]=B1376,D1376+cukier10[[#This Row],[sprzedany_cukier]],cukier10[[#This Row],[sprzedany_cukier]])</f>
        <v>3241</v>
      </c>
      <c r="E1377" cm="1">
        <f t="array" ref="E13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77">
        <f>cukier10[[#This Row],[sprzedany_cukier]]*cukier10[[#This Row],[rabat]]</f>
        <v>19.100000000000001</v>
      </c>
    </row>
    <row r="1378" spans="1:6" x14ac:dyDescent="0.25">
      <c r="A1378" s="1">
        <v>41858</v>
      </c>
      <c r="B1378" t="s">
        <v>61</v>
      </c>
      <c r="C1378">
        <v>46</v>
      </c>
      <c r="D1378">
        <f>IF(cukier10[[#This Row],[nip_klienta]]=B1377,D1377+cukier10[[#This Row],[sprzedany_cukier]],cukier10[[#This Row],[sprzedany_cukier]])</f>
        <v>3287</v>
      </c>
      <c r="E1378" cm="1">
        <f t="array" ref="E13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78">
        <f>cukier10[[#This Row],[sprzedany_cukier]]*cukier10[[#This Row],[rabat]]</f>
        <v>4.6000000000000005</v>
      </c>
    </row>
    <row r="1379" spans="1:6" x14ac:dyDescent="0.25">
      <c r="A1379" s="1">
        <v>41885</v>
      </c>
      <c r="B1379" t="s">
        <v>61</v>
      </c>
      <c r="C1379">
        <v>156</v>
      </c>
      <c r="D1379">
        <f>IF(cukier10[[#This Row],[nip_klienta]]=B1378,D1378+cukier10[[#This Row],[sprzedany_cukier]],cukier10[[#This Row],[sprzedany_cukier]])</f>
        <v>3443</v>
      </c>
      <c r="E1379" cm="1">
        <f t="array" ref="E13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79">
        <f>cukier10[[#This Row],[sprzedany_cukier]]*cukier10[[#This Row],[rabat]]</f>
        <v>15.600000000000001</v>
      </c>
    </row>
    <row r="1380" spans="1:6" x14ac:dyDescent="0.25">
      <c r="A1380" s="1">
        <v>41912</v>
      </c>
      <c r="B1380" t="s">
        <v>61</v>
      </c>
      <c r="C1380">
        <v>98</v>
      </c>
      <c r="D1380">
        <f>IF(cukier10[[#This Row],[nip_klienta]]=B1379,D1379+cukier10[[#This Row],[sprzedany_cukier]],cukier10[[#This Row],[sprzedany_cukier]])</f>
        <v>3541</v>
      </c>
      <c r="E1380" cm="1">
        <f t="array" ref="E13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80">
        <f>cukier10[[#This Row],[sprzedany_cukier]]*cukier10[[#This Row],[rabat]]</f>
        <v>9.8000000000000007</v>
      </c>
    </row>
    <row r="1381" spans="1:6" x14ac:dyDescent="0.25">
      <c r="A1381" s="1">
        <v>41968</v>
      </c>
      <c r="B1381" t="s">
        <v>61</v>
      </c>
      <c r="C1381">
        <v>164</v>
      </c>
      <c r="D1381">
        <f>IF(cukier10[[#This Row],[nip_klienta]]=B1380,D1380+cukier10[[#This Row],[sprzedany_cukier]],cukier10[[#This Row],[sprzedany_cukier]])</f>
        <v>3705</v>
      </c>
      <c r="E1381" cm="1">
        <f t="array" ref="E13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381">
        <f>cukier10[[#This Row],[sprzedany_cukier]]*cukier10[[#This Row],[rabat]]</f>
        <v>16.400000000000002</v>
      </c>
    </row>
    <row r="1382" spans="1:6" x14ac:dyDescent="0.25">
      <c r="A1382" s="1">
        <v>39969</v>
      </c>
      <c r="B1382" t="s">
        <v>188</v>
      </c>
      <c r="C1382">
        <v>11</v>
      </c>
      <c r="D1382">
        <f>IF(cukier10[[#This Row],[nip_klienta]]=B1381,D1381+cukier10[[#This Row],[sprzedany_cukier]],cukier10[[#This Row],[sprzedany_cukier]])</f>
        <v>11</v>
      </c>
      <c r="E1382" cm="1">
        <f t="array" ref="E13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82">
        <f>cukier10[[#This Row],[sprzedany_cukier]]*cukier10[[#This Row],[rabat]]</f>
        <v>0</v>
      </c>
    </row>
    <row r="1383" spans="1:6" x14ac:dyDescent="0.25">
      <c r="A1383" s="1">
        <v>38476</v>
      </c>
      <c r="B1383" t="s">
        <v>43</v>
      </c>
      <c r="C1383">
        <v>15</v>
      </c>
      <c r="D1383">
        <f>IF(cukier10[[#This Row],[nip_klienta]]=B1382,D1382+cukier10[[#This Row],[sprzedany_cukier]],cukier10[[#This Row],[sprzedany_cukier]])</f>
        <v>15</v>
      </c>
      <c r="E1383" cm="1">
        <f t="array" ref="E13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83">
        <f>cukier10[[#This Row],[sprzedany_cukier]]*cukier10[[#This Row],[rabat]]</f>
        <v>0</v>
      </c>
    </row>
    <row r="1384" spans="1:6" x14ac:dyDescent="0.25">
      <c r="A1384" s="1">
        <v>38852</v>
      </c>
      <c r="B1384" t="s">
        <v>43</v>
      </c>
      <c r="C1384">
        <v>13</v>
      </c>
      <c r="D1384">
        <f>IF(cukier10[[#This Row],[nip_klienta]]=B1383,D1383+cukier10[[#This Row],[sprzedany_cukier]],cukier10[[#This Row],[sprzedany_cukier]])</f>
        <v>28</v>
      </c>
      <c r="E1384" cm="1">
        <f t="array" ref="E13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84">
        <f>cukier10[[#This Row],[sprzedany_cukier]]*cukier10[[#This Row],[rabat]]</f>
        <v>0</v>
      </c>
    </row>
    <row r="1385" spans="1:6" x14ac:dyDescent="0.25">
      <c r="A1385" s="1">
        <v>38987</v>
      </c>
      <c r="B1385" t="s">
        <v>43</v>
      </c>
      <c r="C1385">
        <v>5</v>
      </c>
      <c r="D1385">
        <f>IF(cukier10[[#This Row],[nip_klienta]]=B1384,D1384+cukier10[[#This Row],[sprzedany_cukier]],cukier10[[#This Row],[sprzedany_cukier]])</f>
        <v>33</v>
      </c>
      <c r="E1385" cm="1">
        <f t="array" ref="E13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85">
        <f>cukier10[[#This Row],[sprzedany_cukier]]*cukier10[[#This Row],[rabat]]</f>
        <v>0</v>
      </c>
    </row>
    <row r="1386" spans="1:6" x14ac:dyDescent="0.25">
      <c r="A1386" s="1">
        <v>39971</v>
      </c>
      <c r="B1386" t="s">
        <v>43</v>
      </c>
      <c r="C1386">
        <v>4</v>
      </c>
      <c r="D1386">
        <f>IF(cukier10[[#This Row],[nip_klienta]]=B1385,D1385+cukier10[[#This Row],[sprzedany_cukier]],cukier10[[#This Row],[sprzedany_cukier]])</f>
        <v>37</v>
      </c>
      <c r="E1386" cm="1">
        <f t="array" ref="E13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86">
        <f>cukier10[[#This Row],[sprzedany_cukier]]*cukier10[[#This Row],[rabat]]</f>
        <v>0</v>
      </c>
    </row>
    <row r="1387" spans="1:6" x14ac:dyDescent="0.25">
      <c r="A1387" s="1">
        <v>40059</v>
      </c>
      <c r="B1387" t="s">
        <v>198</v>
      </c>
      <c r="C1387">
        <v>15</v>
      </c>
      <c r="D1387">
        <f>IF(cukier10[[#This Row],[nip_klienta]]=B1386,D1386+cukier10[[#This Row],[sprzedany_cukier]],cukier10[[#This Row],[sprzedany_cukier]])</f>
        <v>15</v>
      </c>
      <c r="E1387" cm="1">
        <f t="array" ref="E13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87">
        <f>cukier10[[#This Row],[sprzedany_cukier]]*cukier10[[#This Row],[rabat]]</f>
        <v>0</v>
      </c>
    </row>
    <row r="1388" spans="1:6" x14ac:dyDescent="0.25">
      <c r="A1388" s="1">
        <v>39382</v>
      </c>
      <c r="B1388" t="s">
        <v>150</v>
      </c>
      <c r="C1388">
        <v>2</v>
      </c>
      <c r="D1388">
        <f>IF(cukier10[[#This Row],[nip_klienta]]=B1387,D1387+cukier10[[#This Row],[sprzedany_cukier]],cukier10[[#This Row],[sprzedany_cukier]])</f>
        <v>2</v>
      </c>
      <c r="E1388" cm="1">
        <f t="array" ref="E13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88">
        <f>cukier10[[#This Row],[sprzedany_cukier]]*cukier10[[#This Row],[rabat]]</f>
        <v>0</v>
      </c>
    </row>
    <row r="1389" spans="1:6" x14ac:dyDescent="0.25">
      <c r="A1389" s="1">
        <v>39713</v>
      </c>
      <c r="B1389" t="s">
        <v>150</v>
      </c>
      <c r="C1389">
        <v>1</v>
      </c>
      <c r="D1389">
        <f>IF(cukier10[[#This Row],[nip_klienta]]=B1388,D1388+cukier10[[#This Row],[sprzedany_cukier]],cukier10[[#This Row],[sprzedany_cukier]])</f>
        <v>3</v>
      </c>
      <c r="E1389" cm="1">
        <f t="array" ref="E13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89">
        <f>cukier10[[#This Row],[sprzedany_cukier]]*cukier10[[#This Row],[rabat]]</f>
        <v>0</v>
      </c>
    </row>
    <row r="1390" spans="1:6" x14ac:dyDescent="0.25">
      <c r="A1390" s="1">
        <v>40994</v>
      </c>
      <c r="B1390" t="s">
        <v>150</v>
      </c>
      <c r="C1390">
        <v>1</v>
      </c>
      <c r="D1390">
        <f>IF(cukier10[[#This Row],[nip_klienta]]=B1389,D1389+cukier10[[#This Row],[sprzedany_cukier]],cukier10[[#This Row],[sprzedany_cukier]])</f>
        <v>4</v>
      </c>
      <c r="E1390" cm="1">
        <f t="array" ref="E13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90">
        <f>cukier10[[#This Row],[sprzedany_cukier]]*cukier10[[#This Row],[rabat]]</f>
        <v>0</v>
      </c>
    </row>
    <row r="1391" spans="1:6" x14ac:dyDescent="0.25">
      <c r="A1391" s="1">
        <v>39992</v>
      </c>
      <c r="B1391" t="s">
        <v>191</v>
      </c>
      <c r="C1391">
        <v>7</v>
      </c>
      <c r="D1391">
        <f>IF(cukier10[[#This Row],[nip_klienta]]=B1390,D1390+cukier10[[#This Row],[sprzedany_cukier]],cukier10[[#This Row],[sprzedany_cukier]])</f>
        <v>7</v>
      </c>
      <c r="E1391" cm="1">
        <f t="array" ref="E13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91">
        <f>cukier10[[#This Row],[sprzedany_cukier]]*cukier10[[#This Row],[rabat]]</f>
        <v>0</v>
      </c>
    </row>
    <row r="1392" spans="1:6" x14ac:dyDescent="0.25">
      <c r="A1392" s="1">
        <v>41721</v>
      </c>
      <c r="B1392" t="s">
        <v>191</v>
      </c>
      <c r="C1392">
        <v>11</v>
      </c>
      <c r="D1392">
        <f>IF(cukier10[[#This Row],[nip_klienta]]=B1391,D1391+cukier10[[#This Row],[sprzedany_cukier]],cukier10[[#This Row],[sprzedany_cukier]])</f>
        <v>18</v>
      </c>
      <c r="E1392" cm="1">
        <f t="array" ref="E13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92">
        <f>cukier10[[#This Row],[sprzedany_cukier]]*cukier10[[#This Row],[rabat]]</f>
        <v>0</v>
      </c>
    </row>
    <row r="1393" spans="1:6" x14ac:dyDescent="0.25">
      <c r="A1393" s="1">
        <v>38589</v>
      </c>
      <c r="B1393" t="s">
        <v>76</v>
      </c>
      <c r="C1393">
        <v>16</v>
      </c>
      <c r="D1393">
        <f>IF(cukier10[[#This Row],[nip_klienta]]=B1392,D1392+cukier10[[#This Row],[sprzedany_cukier]],cukier10[[#This Row],[sprzedany_cukier]])</f>
        <v>16</v>
      </c>
      <c r="E1393" cm="1">
        <f t="array" ref="E13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93">
        <f>cukier10[[#This Row],[sprzedany_cukier]]*cukier10[[#This Row],[rabat]]</f>
        <v>0</v>
      </c>
    </row>
    <row r="1394" spans="1:6" x14ac:dyDescent="0.25">
      <c r="A1394" s="1">
        <v>39315</v>
      </c>
      <c r="B1394" t="s">
        <v>76</v>
      </c>
      <c r="C1394">
        <v>3</v>
      </c>
      <c r="D1394">
        <f>IF(cukier10[[#This Row],[nip_klienta]]=B1393,D1393+cukier10[[#This Row],[sprzedany_cukier]],cukier10[[#This Row],[sprzedany_cukier]])</f>
        <v>19</v>
      </c>
      <c r="E1394" cm="1">
        <f t="array" ref="E13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394">
        <f>cukier10[[#This Row],[sprzedany_cukier]]*cukier10[[#This Row],[rabat]]</f>
        <v>0</v>
      </c>
    </row>
    <row r="1395" spans="1:6" x14ac:dyDescent="0.25">
      <c r="A1395" s="1">
        <v>38376</v>
      </c>
      <c r="B1395" t="s">
        <v>10</v>
      </c>
      <c r="C1395">
        <v>120</v>
      </c>
      <c r="D1395">
        <f>IF(cukier10[[#This Row],[nip_klienta]]=B1394,D1394+cukier10[[#This Row],[sprzedany_cukier]],cukier10[[#This Row],[sprzedany_cukier]])</f>
        <v>120</v>
      </c>
      <c r="E1395" cm="1">
        <f t="array" ref="E13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95">
        <f>cukier10[[#This Row],[sprzedany_cukier]]*cukier10[[#This Row],[rabat]]</f>
        <v>6</v>
      </c>
    </row>
    <row r="1396" spans="1:6" x14ac:dyDescent="0.25">
      <c r="A1396" s="1">
        <v>38379</v>
      </c>
      <c r="B1396" t="s">
        <v>10</v>
      </c>
      <c r="C1396">
        <v>51</v>
      </c>
      <c r="D1396">
        <f>IF(cukier10[[#This Row],[nip_klienta]]=B1395,D1395+cukier10[[#This Row],[sprzedany_cukier]],cukier10[[#This Row],[sprzedany_cukier]])</f>
        <v>171</v>
      </c>
      <c r="E1396" cm="1">
        <f t="array" ref="E13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96">
        <f>cukier10[[#This Row],[sprzedany_cukier]]*cukier10[[#This Row],[rabat]]</f>
        <v>2.5500000000000003</v>
      </c>
    </row>
    <row r="1397" spans="1:6" x14ac:dyDescent="0.25">
      <c r="A1397" s="1">
        <v>38501</v>
      </c>
      <c r="B1397" t="s">
        <v>10</v>
      </c>
      <c r="C1397">
        <v>116</v>
      </c>
      <c r="D1397">
        <f>IF(cukier10[[#This Row],[nip_klienta]]=B1396,D1396+cukier10[[#This Row],[sprzedany_cukier]],cukier10[[#This Row],[sprzedany_cukier]])</f>
        <v>287</v>
      </c>
      <c r="E1397" cm="1">
        <f t="array" ref="E13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97">
        <f>cukier10[[#This Row],[sprzedany_cukier]]*cukier10[[#This Row],[rabat]]</f>
        <v>5.8000000000000007</v>
      </c>
    </row>
    <row r="1398" spans="1:6" x14ac:dyDescent="0.25">
      <c r="A1398" s="1">
        <v>38653</v>
      </c>
      <c r="B1398" t="s">
        <v>10</v>
      </c>
      <c r="C1398">
        <v>177</v>
      </c>
      <c r="D1398">
        <f>IF(cukier10[[#This Row],[nip_klienta]]=B1397,D1397+cukier10[[#This Row],[sprzedany_cukier]],cukier10[[#This Row],[sprzedany_cukier]])</f>
        <v>464</v>
      </c>
      <c r="E1398" cm="1">
        <f t="array" ref="E13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98">
        <f>cukier10[[#This Row],[sprzedany_cukier]]*cukier10[[#This Row],[rabat]]</f>
        <v>8.85</v>
      </c>
    </row>
    <row r="1399" spans="1:6" x14ac:dyDescent="0.25">
      <c r="A1399" s="1">
        <v>38705</v>
      </c>
      <c r="B1399" t="s">
        <v>10</v>
      </c>
      <c r="C1399">
        <v>161</v>
      </c>
      <c r="D1399">
        <f>IF(cukier10[[#This Row],[nip_klienta]]=B1398,D1398+cukier10[[#This Row],[sprzedany_cukier]],cukier10[[#This Row],[sprzedany_cukier]])</f>
        <v>625</v>
      </c>
      <c r="E1399" cm="1">
        <f t="array" ref="E13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399">
        <f>cukier10[[#This Row],[sprzedany_cukier]]*cukier10[[#This Row],[rabat]]</f>
        <v>8.0500000000000007</v>
      </c>
    </row>
    <row r="1400" spans="1:6" x14ac:dyDescent="0.25">
      <c r="A1400" s="1">
        <v>39096</v>
      </c>
      <c r="B1400" t="s">
        <v>10</v>
      </c>
      <c r="C1400">
        <v>159</v>
      </c>
      <c r="D1400">
        <f>IF(cukier10[[#This Row],[nip_klienta]]=B1399,D1399+cukier10[[#This Row],[sprzedany_cukier]],cukier10[[#This Row],[sprzedany_cukier]])</f>
        <v>784</v>
      </c>
      <c r="E1400" cm="1">
        <f t="array" ref="E14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00">
        <f>cukier10[[#This Row],[sprzedany_cukier]]*cukier10[[#This Row],[rabat]]</f>
        <v>7.95</v>
      </c>
    </row>
    <row r="1401" spans="1:6" x14ac:dyDescent="0.25">
      <c r="A1401" s="1">
        <v>39121</v>
      </c>
      <c r="B1401" t="s">
        <v>10</v>
      </c>
      <c r="C1401">
        <v>200</v>
      </c>
      <c r="D1401">
        <f>IF(cukier10[[#This Row],[nip_klienta]]=B1400,D1400+cukier10[[#This Row],[sprzedany_cukier]],cukier10[[#This Row],[sprzedany_cukier]])</f>
        <v>984</v>
      </c>
      <c r="E1401" cm="1">
        <f t="array" ref="E14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01">
        <f>cukier10[[#This Row],[sprzedany_cukier]]*cukier10[[#This Row],[rabat]]</f>
        <v>10</v>
      </c>
    </row>
    <row r="1402" spans="1:6" x14ac:dyDescent="0.25">
      <c r="A1402" s="1">
        <v>39333</v>
      </c>
      <c r="B1402" t="s">
        <v>10</v>
      </c>
      <c r="C1402">
        <v>163</v>
      </c>
      <c r="D1402">
        <f>IF(cukier10[[#This Row],[nip_klienta]]=B1401,D1401+cukier10[[#This Row],[sprzedany_cukier]],cukier10[[#This Row],[sprzedany_cukier]])</f>
        <v>1147</v>
      </c>
      <c r="E1402" cm="1">
        <f t="array" ref="E14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02">
        <f>cukier10[[#This Row],[sprzedany_cukier]]*cukier10[[#This Row],[rabat]]</f>
        <v>16.3</v>
      </c>
    </row>
    <row r="1403" spans="1:6" x14ac:dyDescent="0.25">
      <c r="A1403" s="1">
        <v>39339</v>
      </c>
      <c r="B1403" t="s">
        <v>10</v>
      </c>
      <c r="C1403">
        <v>164</v>
      </c>
      <c r="D1403">
        <f>IF(cukier10[[#This Row],[nip_klienta]]=B1402,D1402+cukier10[[#This Row],[sprzedany_cukier]],cukier10[[#This Row],[sprzedany_cukier]])</f>
        <v>1311</v>
      </c>
      <c r="E1403" cm="1">
        <f t="array" ref="E14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03">
        <f>cukier10[[#This Row],[sprzedany_cukier]]*cukier10[[#This Row],[rabat]]</f>
        <v>16.400000000000002</v>
      </c>
    </row>
    <row r="1404" spans="1:6" x14ac:dyDescent="0.25">
      <c r="A1404" s="1">
        <v>39519</v>
      </c>
      <c r="B1404" t="s">
        <v>10</v>
      </c>
      <c r="C1404">
        <v>46</v>
      </c>
      <c r="D1404">
        <f>IF(cukier10[[#This Row],[nip_klienta]]=B1403,D1403+cukier10[[#This Row],[sprzedany_cukier]],cukier10[[#This Row],[sprzedany_cukier]])</f>
        <v>1357</v>
      </c>
      <c r="E1404" cm="1">
        <f t="array" ref="E14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04">
        <f>cukier10[[#This Row],[sprzedany_cukier]]*cukier10[[#This Row],[rabat]]</f>
        <v>4.6000000000000005</v>
      </c>
    </row>
    <row r="1405" spans="1:6" x14ac:dyDescent="0.25">
      <c r="A1405" s="1">
        <v>39573</v>
      </c>
      <c r="B1405" t="s">
        <v>10</v>
      </c>
      <c r="C1405">
        <v>71</v>
      </c>
      <c r="D1405">
        <f>IF(cukier10[[#This Row],[nip_klienta]]=B1404,D1404+cukier10[[#This Row],[sprzedany_cukier]],cukier10[[#This Row],[sprzedany_cukier]])</f>
        <v>1428</v>
      </c>
      <c r="E1405" cm="1">
        <f t="array" ref="E14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05">
        <f>cukier10[[#This Row],[sprzedany_cukier]]*cukier10[[#This Row],[rabat]]</f>
        <v>7.1000000000000005</v>
      </c>
    </row>
    <row r="1406" spans="1:6" x14ac:dyDescent="0.25">
      <c r="A1406" s="1">
        <v>39614</v>
      </c>
      <c r="B1406" t="s">
        <v>10</v>
      </c>
      <c r="C1406">
        <v>30</v>
      </c>
      <c r="D1406">
        <f>IF(cukier10[[#This Row],[nip_klienta]]=B1405,D1405+cukier10[[#This Row],[sprzedany_cukier]],cukier10[[#This Row],[sprzedany_cukier]])</f>
        <v>1458</v>
      </c>
      <c r="E1406" cm="1">
        <f t="array" ref="E14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06">
        <f>cukier10[[#This Row],[sprzedany_cukier]]*cukier10[[#This Row],[rabat]]</f>
        <v>3</v>
      </c>
    </row>
    <row r="1407" spans="1:6" x14ac:dyDescent="0.25">
      <c r="A1407" s="1">
        <v>39965</v>
      </c>
      <c r="B1407" t="s">
        <v>10</v>
      </c>
      <c r="C1407">
        <v>120</v>
      </c>
      <c r="D1407">
        <f>IF(cukier10[[#This Row],[nip_klienta]]=B1406,D1406+cukier10[[#This Row],[sprzedany_cukier]],cukier10[[#This Row],[sprzedany_cukier]])</f>
        <v>1578</v>
      </c>
      <c r="E1407" cm="1">
        <f t="array" ref="E14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07">
        <f>cukier10[[#This Row],[sprzedany_cukier]]*cukier10[[#This Row],[rabat]]</f>
        <v>12</v>
      </c>
    </row>
    <row r="1408" spans="1:6" x14ac:dyDescent="0.25">
      <c r="A1408" s="1">
        <v>40000</v>
      </c>
      <c r="B1408" t="s">
        <v>10</v>
      </c>
      <c r="C1408">
        <v>123</v>
      </c>
      <c r="D1408">
        <f>IF(cukier10[[#This Row],[nip_klienta]]=B1407,D1407+cukier10[[#This Row],[sprzedany_cukier]],cukier10[[#This Row],[sprzedany_cukier]])</f>
        <v>1701</v>
      </c>
      <c r="E1408" cm="1">
        <f t="array" ref="E14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08">
        <f>cukier10[[#This Row],[sprzedany_cukier]]*cukier10[[#This Row],[rabat]]</f>
        <v>12.3</v>
      </c>
    </row>
    <row r="1409" spans="1:6" x14ac:dyDescent="0.25">
      <c r="A1409" s="1">
        <v>40139</v>
      </c>
      <c r="B1409" t="s">
        <v>10</v>
      </c>
      <c r="C1409">
        <v>66</v>
      </c>
      <c r="D1409">
        <f>IF(cukier10[[#This Row],[nip_klienta]]=B1408,D1408+cukier10[[#This Row],[sprzedany_cukier]],cukier10[[#This Row],[sprzedany_cukier]])</f>
        <v>1767</v>
      </c>
      <c r="E1409" cm="1">
        <f t="array" ref="E14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09">
        <f>cukier10[[#This Row],[sprzedany_cukier]]*cukier10[[#This Row],[rabat]]</f>
        <v>6.6000000000000005</v>
      </c>
    </row>
    <row r="1410" spans="1:6" x14ac:dyDescent="0.25">
      <c r="A1410" s="1">
        <v>40166</v>
      </c>
      <c r="B1410" t="s">
        <v>10</v>
      </c>
      <c r="C1410">
        <v>151</v>
      </c>
      <c r="D1410">
        <f>IF(cukier10[[#This Row],[nip_klienta]]=B1409,D1409+cukier10[[#This Row],[sprzedany_cukier]],cukier10[[#This Row],[sprzedany_cukier]])</f>
        <v>1918</v>
      </c>
      <c r="E1410" cm="1">
        <f t="array" ref="E14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10">
        <f>cukier10[[#This Row],[sprzedany_cukier]]*cukier10[[#This Row],[rabat]]</f>
        <v>15.100000000000001</v>
      </c>
    </row>
    <row r="1411" spans="1:6" x14ac:dyDescent="0.25">
      <c r="A1411" s="1">
        <v>40208</v>
      </c>
      <c r="B1411" t="s">
        <v>10</v>
      </c>
      <c r="C1411">
        <v>191</v>
      </c>
      <c r="D1411">
        <f>IF(cukier10[[#This Row],[nip_klienta]]=B1410,D1410+cukier10[[#This Row],[sprzedany_cukier]],cukier10[[#This Row],[sprzedany_cukier]])</f>
        <v>2109</v>
      </c>
      <c r="E1411" cm="1">
        <f t="array" ref="E14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11">
        <f>cukier10[[#This Row],[sprzedany_cukier]]*cukier10[[#This Row],[rabat]]</f>
        <v>19.100000000000001</v>
      </c>
    </row>
    <row r="1412" spans="1:6" x14ac:dyDescent="0.25">
      <c r="A1412" s="1">
        <v>40227</v>
      </c>
      <c r="B1412" t="s">
        <v>10</v>
      </c>
      <c r="C1412">
        <v>23</v>
      </c>
      <c r="D1412">
        <f>IF(cukier10[[#This Row],[nip_klienta]]=B1411,D1411+cukier10[[#This Row],[sprzedany_cukier]],cukier10[[#This Row],[sprzedany_cukier]])</f>
        <v>2132</v>
      </c>
      <c r="E1412" cm="1">
        <f t="array" ref="E14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12">
        <f>cukier10[[#This Row],[sprzedany_cukier]]*cukier10[[#This Row],[rabat]]</f>
        <v>2.3000000000000003</v>
      </c>
    </row>
    <row r="1413" spans="1:6" x14ac:dyDescent="0.25">
      <c r="A1413" s="1">
        <v>40347</v>
      </c>
      <c r="B1413" t="s">
        <v>10</v>
      </c>
      <c r="C1413">
        <v>117</v>
      </c>
      <c r="D1413">
        <f>IF(cukier10[[#This Row],[nip_klienta]]=B1412,D1412+cukier10[[#This Row],[sprzedany_cukier]],cukier10[[#This Row],[sprzedany_cukier]])</f>
        <v>2249</v>
      </c>
      <c r="E1413" cm="1">
        <f t="array" ref="E14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13">
        <f>cukier10[[#This Row],[sprzedany_cukier]]*cukier10[[#This Row],[rabat]]</f>
        <v>11.700000000000001</v>
      </c>
    </row>
    <row r="1414" spans="1:6" x14ac:dyDescent="0.25">
      <c r="A1414" s="1">
        <v>40379</v>
      </c>
      <c r="B1414" t="s">
        <v>10</v>
      </c>
      <c r="C1414">
        <v>30</v>
      </c>
      <c r="D1414">
        <f>IF(cukier10[[#This Row],[nip_klienta]]=B1413,D1413+cukier10[[#This Row],[sprzedany_cukier]],cukier10[[#This Row],[sprzedany_cukier]])</f>
        <v>2279</v>
      </c>
      <c r="E1414" cm="1">
        <f t="array" ref="E14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14">
        <f>cukier10[[#This Row],[sprzedany_cukier]]*cukier10[[#This Row],[rabat]]</f>
        <v>3</v>
      </c>
    </row>
    <row r="1415" spans="1:6" x14ac:dyDescent="0.25">
      <c r="A1415" s="1">
        <v>40401</v>
      </c>
      <c r="B1415" t="s">
        <v>10</v>
      </c>
      <c r="C1415">
        <v>150</v>
      </c>
      <c r="D1415">
        <f>IF(cukier10[[#This Row],[nip_klienta]]=B1414,D1414+cukier10[[#This Row],[sprzedany_cukier]],cukier10[[#This Row],[sprzedany_cukier]])</f>
        <v>2429</v>
      </c>
      <c r="E1415" cm="1">
        <f t="array" ref="E14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15">
        <f>cukier10[[#This Row],[sprzedany_cukier]]*cukier10[[#This Row],[rabat]]</f>
        <v>15</v>
      </c>
    </row>
    <row r="1416" spans="1:6" x14ac:dyDescent="0.25">
      <c r="A1416" s="1">
        <v>40427</v>
      </c>
      <c r="B1416" t="s">
        <v>10</v>
      </c>
      <c r="C1416">
        <v>28</v>
      </c>
      <c r="D1416">
        <f>IF(cukier10[[#This Row],[nip_klienta]]=B1415,D1415+cukier10[[#This Row],[sprzedany_cukier]],cukier10[[#This Row],[sprzedany_cukier]])</f>
        <v>2457</v>
      </c>
      <c r="E1416" cm="1">
        <f t="array" ref="E14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16">
        <f>cukier10[[#This Row],[sprzedany_cukier]]*cukier10[[#This Row],[rabat]]</f>
        <v>2.8000000000000003</v>
      </c>
    </row>
    <row r="1417" spans="1:6" x14ac:dyDescent="0.25">
      <c r="A1417" s="1">
        <v>40431</v>
      </c>
      <c r="B1417" t="s">
        <v>10</v>
      </c>
      <c r="C1417">
        <v>28</v>
      </c>
      <c r="D1417">
        <f>IF(cukier10[[#This Row],[nip_klienta]]=B1416,D1416+cukier10[[#This Row],[sprzedany_cukier]],cukier10[[#This Row],[sprzedany_cukier]])</f>
        <v>2485</v>
      </c>
      <c r="E1417" cm="1">
        <f t="array" ref="E14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17">
        <f>cukier10[[#This Row],[sprzedany_cukier]]*cukier10[[#This Row],[rabat]]</f>
        <v>2.8000000000000003</v>
      </c>
    </row>
    <row r="1418" spans="1:6" x14ac:dyDescent="0.25">
      <c r="A1418" s="1">
        <v>40548</v>
      </c>
      <c r="B1418" t="s">
        <v>10</v>
      </c>
      <c r="C1418">
        <v>124</v>
      </c>
      <c r="D1418">
        <f>IF(cukier10[[#This Row],[nip_klienta]]=B1417,D1417+cukier10[[#This Row],[sprzedany_cukier]],cukier10[[#This Row],[sprzedany_cukier]])</f>
        <v>2609</v>
      </c>
      <c r="E1418" cm="1">
        <f t="array" ref="E14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18">
        <f>cukier10[[#This Row],[sprzedany_cukier]]*cukier10[[#This Row],[rabat]]</f>
        <v>12.4</v>
      </c>
    </row>
    <row r="1419" spans="1:6" x14ac:dyDescent="0.25">
      <c r="A1419" s="1">
        <v>40608</v>
      </c>
      <c r="B1419" t="s">
        <v>10</v>
      </c>
      <c r="C1419">
        <v>116</v>
      </c>
      <c r="D1419">
        <f>IF(cukier10[[#This Row],[nip_klienta]]=B1418,D1418+cukier10[[#This Row],[sprzedany_cukier]],cukier10[[#This Row],[sprzedany_cukier]])</f>
        <v>2725</v>
      </c>
      <c r="E1419" cm="1">
        <f t="array" ref="E14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19">
        <f>cukier10[[#This Row],[sprzedany_cukier]]*cukier10[[#This Row],[rabat]]</f>
        <v>11.600000000000001</v>
      </c>
    </row>
    <row r="1420" spans="1:6" x14ac:dyDescent="0.25">
      <c r="A1420" s="1">
        <v>40635</v>
      </c>
      <c r="B1420" t="s">
        <v>10</v>
      </c>
      <c r="C1420">
        <v>30</v>
      </c>
      <c r="D1420">
        <f>IF(cukier10[[#This Row],[nip_klienta]]=B1419,D1419+cukier10[[#This Row],[sprzedany_cukier]],cukier10[[#This Row],[sprzedany_cukier]])</f>
        <v>2755</v>
      </c>
      <c r="E1420" cm="1">
        <f t="array" ref="E14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20">
        <f>cukier10[[#This Row],[sprzedany_cukier]]*cukier10[[#This Row],[rabat]]</f>
        <v>3</v>
      </c>
    </row>
    <row r="1421" spans="1:6" x14ac:dyDescent="0.25">
      <c r="A1421" s="1">
        <v>40671</v>
      </c>
      <c r="B1421" t="s">
        <v>10</v>
      </c>
      <c r="C1421">
        <v>143</v>
      </c>
      <c r="D1421">
        <f>IF(cukier10[[#This Row],[nip_klienta]]=B1420,D1420+cukier10[[#This Row],[sprzedany_cukier]],cukier10[[#This Row],[sprzedany_cukier]])</f>
        <v>2898</v>
      </c>
      <c r="E1421" cm="1">
        <f t="array" ref="E14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21">
        <f>cukier10[[#This Row],[sprzedany_cukier]]*cukier10[[#This Row],[rabat]]</f>
        <v>14.3</v>
      </c>
    </row>
    <row r="1422" spans="1:6" x14ac:dyDescent="0.25">
      <c r="A1422" s="1">
        <v>40740</v>
      </c>
      <c r="B1422" t="s">
        <v>10</v>
      </c>
      <c r="C1422">
        <v>82</v>
      </c>
      <c r="D1422">
        <f>IF(cukier10[[#This Row],[nip_klienta]]=B1421,D1421+cukier10[[#This Row],[sprzedany_cukier]],cukier10[[#This Row],[sprzedany_cukier]])</f>
        <v>2980</v>
      </c>
      <c r="E1422" cm="1">
        <f t="array" ref="E14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22">
        <f>cukier10[[#This Row],[sprzedany_cukier]]*cukier10[[#This Row],[rabat]]</f>
        <v>8.2000000000000011</v>
      </c>
    </row>
    <row r="1423" spans="1:6" x14ac:dyDescent="0.25">
      <c r="A1423" s="1">
        <v>40793</v>
      </c>
      <c r="B1423" t="s">
        <v>10</v>
      </c>
      <c r="C1423">
        <v>21</v>
      </c>
      <c r="D1423">
        <f>IF(cukier10[[#This Row],[nip_klienta]]=B1422,D1422+cukier10[[#This Row],[sprzedany_cukier]],cukier10[[#This Row],[sprzedany_cukier]])</f>
        <v>3001</v>
      </c>
      <c r="E1423" cm="1">
        <f t="array" ref="E14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23">
        <f>cukier10[[#This Row],[sprzedany_cukier]]*cukier10[[#This Row],[rabat]]</f>
        <v>2.1</v>
      </c>
    </row>
    <row r="1424" spans="1:6" x14ac:dyDescent="0.25">
      <c r="A1424" s="1">
        <v>40898</v>
      </c>
      <c r="B1424" t="s">
        <v>10</v>
      </c>
      <c r="C1424">
        <v>183</v>
      </c>
      <c r="D1424">
        <f>IF(cukier10[[#This Row],[nip_klienta]]=B1423,D1423+cukier10[[#This Row],[sprzedany_cukier]],cukier10[[#This Row],[sprzedany_cukier]])</f>
        <v>3184</v>
      </c>
      <c r="E1424" cm="1">
        <f t="array" ref="E14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24">
        <f>cukier10[[#This Row],[sprzedany_cukier]]*cukier10[[#This Row],[rabat]]</f>
        <v>18.3</v>
      </c>
    </row>
    <row r="1425" spans="1:6" x14ac:dyDescent="0.25">
      <c r="A1425" s="1">
        <v>40923</v>
      </c>
      <c r="B1425" t="s">
        <v>10</v>
      </c>
      <c r="C1425">
        <v>78</v>
      </c>
      <c r="D1425">
        <f>IF(cukier10[[#This Row],[nip_klienta]]=B1424,D1424+cukier10[[#This Row],[sprzedany_cukier]],cukier10[[#This Row],[sprzedany_cukier]])</f>
        <v>3262</v>
      </c>
      <c r="E1425" cm="1">
        <f t="array" ref="E14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25">
        <f>cukier10[[#This Row],[sprzedany_cukier]]*cukier10[[#This Row],[rabat]]</f>
        <v>7.8000000000000007</v>
      </c>
    </row>
    <row r="1426" spans="1:6" x14ac:dyDescent="0.25">
      <c r="A1426" s="1">
        <v>41041</v>
      </c>
      <c r="B1426" t="s">
        <v>10</v>
      </c>
      <c r="C1426">
        <v>79</v>
      </c>
      <c r="D1426">
        <f>IF(cukier10[[#This Row],[nip_klienta]]=B1425,D1425+cukier10[[#This Row],[sprzedany_cukier]],cukier10[[#This Row],[sprzedany_cukier]])</f>
        <v>3341</v>
      </c>
      <c r="E1426" cm="1">
        <f t="array" ref="E14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26">
        <f>cukier10[[#This Row],[sprzedany_cukier]]*cukier10[[#This Row],[rabat]]</f>
        <v>7.9</v>
      </c>
    </row>
    <row r="1427" spans="1:6" x14ac:dyDescent="0.25">
      <c r="A1427" s="1">
        <v>41146</v>
      </c>
      <c r="B1427" t="s">
        <v>10</v>
      </c>
      <c r="C1427">
        <v>77</v>
      </c>
      <c r="D1427">
        <f>IF(cukier10[[#This Row],[nip_klienta]]=B1426,D1426+cukier10[[#This Row],[sprzedany_cukier]],cukier10[[#This Row],[sprzedany_cukier]])</f>
        <v>3418</v>
      </c>
      <c r="E1427" cm="1">
        <f t="array" ref="E14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27">
        <f>cukier10[[#This Row],[sprzedany_cukier]]*cukier10[[#This Row],[rabat]]</f>
        <v>7.7</v>
      </c>
    </row>
    <row r="1428" spans="1:6" x14ac:dyDescent="0.25">
      <c r="A1428" s="1">
        <v>41222</v>
      </c>
      <c r="B1428" t="s">
        <v>10</v>
      </c>
      <c r="C1428">
        <v>142</v>
      </c>
      <c r="D1428">
        <f>IF(cukier10[[#This Row],[nip_klienta]]=B1427,D1427+cukier10[[#This Row],[sprzedany_cukier]],cukier10[[#This Row],[sprzedany_cukier]])</f>
        <v>3560</v>
      </c>
      <c r="E1428" cm="1">
        <f t="array" ref="E14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28">
        <f>cukier10[[#This Row],[sprzedany_cukier]]*cukier10[[#This Row],[rabat]]</f>
        <v>14.200000000000001</v>
      </c>
    </row>
    <row r="1429" spans="1:6" x14ac:dyDescent="0.25">
      <c r="A1429" s="1">
        <v>41251</v>
      </c>
      <c r="B1429" t="s">
        <v>10</v>
      </c>
      <c r="C1429">
        <v>168</v>
      </c>
      <c r="D1429">
        <f>IF(cukier10[[#This Row],[nip_klienta]]=B1428,D1428+cukier10[[#This Row],[sprzedany_cukier]],cukier10[[#This Row],[sprzedany_cukier]])</f>
        <v>3728</v>
      </c>
      <c r="E1429" cm="1">
        <f t="array" ref="E14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29">
        <f>cukier10[[#This Row],[sprzedany_cukier]]*cukier10[[#This Row],[rabat]]</f>
        <v>16.8</v>
      </c>
    </row>
    <row r="1430" spans="1:6" x14ac:dyDescent="0.25">
      <c r="A1430" s="1">
        <v>41325</v>
      </c>
      <c r="B1430" t="s">
        <v>10</v>
      </c>
      <c r="C1430">
        <v>26</v>
      </c>
      <c r="D1430">
        <f>IF(cukier10[[#This Row],[nip_klienta]]=B1429,D1429+cukier10[[#This Row],[sprzedany_cukier]],cukier10[[#This Row],[sprzedany_cukier]])</f>
        <v>3754</v>
      </c>
      <c r="E1430" cm="1">
        <f t="array" ref="E14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30">
        <f>cukier10[[#This Row],[sprzedany_cukier]]*cukier10[[#This Row],[rabat]]</f>
        <v>2.6</v>
      </c>
    </row>
    <row r="1431" spans="1:6" x14ac:dyDescent="0.25">
      <c r="A1431" s="1">
        <v>41405</v>
      </c>
      <c r="B1431" t="s">
        <v>10</v>
      </c>
      <c r="C1431">
        <v>115</v>
      </c>
      <c r="D1431">
        <f>IF(cukier10[[#This Row],[nip_klienta]]=B1430,D1430+cukier10[[#This Row],[sprzedany_cukier]],cukier10[[#This Row],[sprzedany_cukier]])</f>
        <v>3869</v>
      </c>
      <c r="E1431" cm="1">
        <f t="array" ref="E14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31">
        <f>cukier10[[#This Row],[sprzedany_cukier]]*cukier10[[#This Row],[rabat]]</f>
        <v>11.5</v>
      </c>
    </row>
    <row r="1432" spans="1:6" x14ac:dyDescent="0.25">
      <c r="A1432" s="1">
        <v>41432</v>
      </c>
      <c r="B1432" t="s">
        <v>10</v>
      </c>
      <c r="C1432">
        <v>99</v>
      </c>
      <c r="D1432">
        <f>IF(cukier10[[#This Row],[nip_klienta]]=B1431,D1431+cukier10[[#This Row],[sprzedany_cukier]],cukier10[[#This Row],[sprzedany_cukier]])</f>
        <v>3968</v>
      </c>
      <c r="E1432" cm="1">
        <f t="array" ref="E14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32">
        <f>cukier10[[#This Row],[sprzedany_cukier]]*cukier10[[#This Row],[rabat]]</f>
        <v>9.9</v>
      </c>
    </row>
    <row r="1433" spans="1:6" x14ac:dyDescent="0.25">
      <c r="A1433" s="1">
        <v>41449</v>
      </c>
      <c r="B1433" t="s">
        <v>10</v>
      </c>
      <c r="C1433">
        <v>98</v>
      </c>
      <c r="D1433">
        <f>IF(cukier10[[#This Row],[nip_klienta]]=B1432,D1432+cukier10[[#This Row],[sprzedany_cukier]],cukier10[[#This Row],[sprzedany_cukier]])</f>
        <v>4066</v>
      </c>
      <c r="E1433" cm="1">
        <f t="array" ref="E14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33">
        <f>cukier10[[#This Row],[sprzedany_cukier]]*cukier10[[#This Row],[rabat]]</f>
        <v>9.8000000000000007</v>
      </c>
    </row>
    <row r="1434" spans="1:6" x14ac:dyDescent="0.25">
      <c r="A1434" s="1">
        <v>41506</v>
      </c>
      <c r="B1434" t="s">
        <v>10</v>
      </c>
      <c r="C1434">
        <v>23</v>
      </c>
      <c r="D1434">
        <f>IF(cukier10[[#This Row],[nip_klienta]]=B1433,D1433+cukier10[[#This Row],[sprzedany_cukier]],cukier10[[#This Row],[sprzedany_cukier]])</f>
        <v>4089</v>
      </c>
      <c r="E1434" cm="1">
        <f t="array" ref="E14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34">
        <f>cukier10[[#This Row],[sprzedany_cukier]]*cukier10[[#This Row],[rabat]]</f>
        <v>2.3000000000000003</v>
      </c>
    </row>
    <row r="1435" spans="1:6" x14ac:dyDescent="0.25">
      <c r="A1435" s="1">
        <v>41558</v>
      </c>
      <c r="B1435" t="s">
        <v>10</v>
      </c>
      <c r="C1435">
        <v>159</v>
      </c>
      <c r="D1435">
        <f>IF(cukier10[[#This Row],[nip_klienta]]=B1434,D1434+cukier10[[#This Row],[sprzedany_cukier]],cukier10[[#This Row],[sprzedany_cukier]])</f>
        <v>4248</v>
      </c>
      <c r="E1435" cm="1">
        <f t="array" ref="E14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35">
        <f>cukier10[[#This Row],[sprzedany_cukier]]*cukier10[[#This Row],[rabat]]</f>
        <v>15.9</v>
      </c>
    </row>
    <row r="1436" spans="1:6" x14ac:dyDescent="0.25">
      <c r="A1436" s="1">
        <v>41648</v>
      </c>
      <c r="B1436" t="s">
        <v>10</v>
      </c>
      <c r="C1436">
        <v>64</v>
      </c>
      <c r="D1436">
        <f>IF(cukier10[[#This Row],[nip_klienta]]=B1435,D1435+cukier10[[#This Row],[sprzedany_cukier]],cukier10[[#This Row],[sprzedany_cukier]])</f>
        <v>4312</v>
      </c>
      <c r="E1436" cm="1">
        <f t="array" ref="E14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36">
        <f>cukier10[[#This Row],[sprzedany_cukier]]*cukier10[[#This Row],[rabat]]</f>
        <v>6.4</v>
      </c>
    </row>
    <row r="1437" spans="1:6" x14ac:dyDescent="0.25">
      <c r="A1437" s="1">
        <v>41653</v>
      </c>
      <c r="B1437" t="s">
        <v>10</v>
      </c>
      <c r="C1437">
        <v>152</v>
      </c>
      <c r="D1437">
        <f>IF(cukier10[[#This Row],[nip_klienta]]=B1436,D1436+cukier10[[#This Row],[sprzedany_cukier]],cukier10[[#This Row],[sprzedany_cukier]])</f>
        <v>4464</v>
      </c>
      <c r="E1437" cm="1">
        <f t="array" ref="E14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37">
        <f>cukier10[[#This Row],[sprzedany_cukier]]*cukier10[[#This Row],[rabat]]</f>
        <v>15.200000000000001</v>
      </c>
    </row>
    <row r="1438" spans="1:6" x14ac:dyDescent="0.25">
      <c r="A1438" s="1">
        <v>41677</v>
      </c>
      <c r="B1438" t="s">
        <v>10</v>
      </c>
      <c r="C1438">
        <v>130</v>
      </c>
      <c r="D1438">
        <f>IF(cukier10[[#This Row],[nip_klienta]]=B1437,D1437+cukier10[[#This Row],[sprzedany_cukier]],cukier10[[#This Row],[sprzedany_cukier]])</f>
        <v>4594</v>
      </c>
      <c r="E1438" cm="1">
        <f t="array" ref="E14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38">
        <f>cukier10[[#This Row],[sprzedany_cukier]]*cukier10[[#This Row],[rabat]]</f>
        <v>13</v>
      </c>
    </row>
    <row r="1439" spans="1:6" x14ac:dyDescent="0.25">
      <c r="A1439" s="1">
        <v>41701</v>
      </c>
      <c r="B1439" t="s">
        <v>10</v>
      </c>
      <c r="C1439">
        <v>69</v>
      </c>
      <c r="D1439">
        <f>IF(cukier10[[#This Row],[nip_klienta]]=B1438,D1438+cukier10[[#This Row],[sprzedany_cukier]],cukier10[[#This Row],[sprzedany_cukier]])</f>
        <v>4663</v>
      </c>
      <c r="E1439" cm="1">
        <f t="array" ref="E14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39">
        <f>cukier10[[#This Row],[sprzedany_cukier]]*cukier10[[#This Row],[rabat]]</f>
        <v>6.9</v>
      </c>
    </row>
    <row r="1440" spans="1:6" x14ac:dyDescent="0.25">
      <c r="A1440" s="1">
        <v>41877</v>
      </c>
      <c r="B1440" t="s">
        <v>10</v>
      </c>
      <c r="C1440">
        <v>147</v>
      </c>
      <c r="D1440">
        <f>IF(cukier10[[#This Row],[nip_klienta]]=B1439,D1439+cukier10[[#This Row],[sprzedany_cukier]],cukier10[[#This Row],[sprzedany_cukier]])</f>
        <v>4810</v>
      </c>
      <c r="E1440" cm="1">
        <f t="array" ref="E14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40">
        <f>cukier10[[#This Row],[sprzedany_cukier]]*cukier10[[#This Row],[rabat]]</f>
        <v>14.700000000000001</v>
      </c>
    </row>
    <row r="1441" spans="1:6" x14ac:dyDescent="0.25">
      <c r="A1441" s="1">
        <v>41962</v>
      </c>
      <c r="B1441" t="s">
        <v>10</v>
      </c>
      <c r="C1441">
        <v>21</v>
      </c>
      <c r="D1441">
        <f>IF(cukier10[[#This Row],[nip_klienta]]=B1440,D1440+cukier10[[#This Row],[sprzedany_cukier]],cukier10[[#This Row],[sprzedany_cukier]])</f>
        <v>4831</v>
      </c>
      <c r="E1441" cm="1">
        <f t="array" ref="E14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41">
        <f>cukier10[[#This Row],[sprzedany_cukier]]*cukier10[[#This Row],[rabat]]</f>
        <v>2.1</v>
      </c>
    </row>
    <row r="1442" spans="1:6" x14ac:dyDescent="0.25">
      <c r="A1442" s="1">
        <v>38517</v>
      </c>
      <c r="B1442" t="s">
        <v>54</v>
      </c>
      <c r="C1442">
        <v>3</v>
      </c>
      <c r="D1442">
        <f>IF(cukier10[[#This Row],[nip_klienta]]=B1441,D1441+cukier10[[#This Row],[sprzedany_cukier]],cukier10[[#This Row],[sprzedany_cukier]])</f>
        <v>3</v>
      </c>
      <c r="E1442" cm="1">
        <f t="array" ref="E14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42">
        <f>cukier10[[#This Row],[sprzedany_cukier]]*cukier10[[#This Row],[rabat]]</f>
        <v>0</v>
      </c>
    </row>
    <row r="1443" spans="1:6" x14ac:dyDescent="0.25">
      <c r="A1443" s="1">
        <v>39785</v>
      </c>
      <c r="B1443" t="s">
        <v>54</v>
      </c>
      <c r="C1443">
        <v>17</v>
      </c>
      <c r="D1443">
        <f>IF(cukier10[[#This Row],[nip_klienta]]=B1442,D1442+cukier10[[#This Row],[sprzedany_cukier]],cukier10[[#This Row],[sprzedany_cukier]])</f>
        <v>20</v>
      </c>
      <c r="E1443" cm="1">
        <f t="array" ref="E14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43">
        <f>cukier10[[#This Row],[sprzedany_cukier]]*cukier10[[#This Row],[rabat]]</f>
        <v>0</v>
      </c>
    </row>
    <row r="1444" spans="1:6" x14ac:dyDescent="0.25">
      <c r="A1444" s="1">
        <v>40253</v>
      </c>
      <c r="B1444" t="s">
        <v>54</v>
      </c>
      <c r="C1444">
        <v>6</v>
      </c>
      <c r="D1444">
        <f>IF(cukier10[[#This Row],[nip_klienta]]=B1443,D1443+cukier10[[#This Row],[sprzedany_cukier]],cukier10[[#This Row],[sprzedany_cukier]])</f>
        <v>26</v>
      </c>
      <c r="E1444" cm="1">
        <f t="array" ref="E14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44">
        <f>cukier10[[#This Row],[sprzedany_cukier]]*cukier10[[#This Row],[rabat]]</f>
        <v>0</v>
      </c>
    </row>
    <row r="1445" spans="1:6" x14ac:dyDescent="0.25">
      <c r="A1445" s="1">
        <v>41171</v>
      </c>
      <c r="B1445" t="s">
        <v>54</v>
      </c>
      <c r="C1445">
        <v>4</v>
      </c>
      <c r="D1445">
        <f>IF(cukier10[[#This Row],[nip_klienta]]=B1444,D1444+cukier10[[#This Row],[sprzedany_cukier]],cukier10[[#This Row],[sprzedany_cukier]])</f>
        <v>30</v>
      </c>
      <c r="E1445" cm="1">
        <f t="array" ref="E14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45">
        <f>cukier10[[#This Row],[sprzedany_cukier]]*cukier10[[#This Row],[rabat]]</f>
        <v>0</v>
      </c>
    </row>
    <row r="1446" spans="1:6" x14ac:dyDescent="0.25">
      <c r="A1446" s="1">
        <v>41950</v>
      </c>
      <c r="B1446" t="s">
        <v>54</v>
      </c>
      <c r="C1446">
        <v>6</v>
      </c>
      <c r="D1446">
        <f>IF(cukier10[[#This Row],[nip_klienta]]=B1445,D1445+cukier10[[#This Row],[sprzedany_cukier]],cukier10[[#This Row],[sprzedany_cukier]])</f>
        <v>36</v>
      </c>
      <c r="E1446" cm="1">
        <f t="array" ref="E14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46">
        <f>cukier10[[#This Row],[sprzedany_cukier]]*cukier10[[#This Row],[rabat]]</f>
        <v>0</v>
      </c>
    </row>
    <row r="1447" spans="1:6" x14ac:dyDescent="0.25">
      <c r="A1447" s="1">
        <v>38459</v>
      </c>
      <c r="B1447" t="s">
        <v>39</v>
      </c>
      <c r="C1447">
        <v>149</v>
      </c>
      <c r="D1447">
        <f>IF(cukier10[[#This Row],[nip_klienta]]=B1446,D1446+cukier10[[#This Row],[sprzedany_cukier]],cukier10[[#This Row],[sprzedany_cukier]])</f>
        <v>149</v>
      </c>
      <c r="E1447" cm="1">
        <f t="array" ref="E14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47">
        <f>cukier10[[#This Row],[sprzedany_cukier]]*cukier10[[#This Row],[rabat]]</f>
        <v>7.45</v>
      </c>
    </row>
    <row r="1448" spans="1:6" x14ac:dyDescent="0.25">
      <c r="A1448" s="1">
        <v>38594</v>
      </c>
      <c r="B1448" t="s">
        <v>39</v>
      </c>
      <c r="C1448">
        <v>31</v>
      </c>
      <c r="D1448">
        <f>IF(cukier10[[#This Row],[nip_klienta]]=B1447,D1447+cukier10[[#This Row],[sprzedany_cukier]],cukier10[[#This Row],[sprzedany_cukier]])</f>
        <v>180</v>
      </c>
      <c r="E1448" cm="1">
        <f t="array" ref="E14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48">
        <f>cukier10[[#This Row],[sprzedany_cukier]]*cukier10[[#This Row],[rabat]]</f>
        <v>1.55</v>
      </c>
    </row>
    <row r="1449" spans="1:6" x14ac:dyDescent="0.25">
      <c r="A1449" s="1">
        <v>38784</v>
      </c>
      <c r="B1449" t="s">
        <v>39</v>
      </c>
      <c r="C1449">
        <v>127</v>
      </c>
      <c r="D1449">
        <f>IF(cukier10[[#This Row],[nip_klienta]]=B1448,D1448+cukier10[[#This Row],[sprzedany_cukier]],cukier10[[#This Row],[sprzedany_cukier]])</f>
        <v>307</v>
      </c>
      <c r="E1449" cm="1">
        <f t="array" ref="E14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49">
        <f>cukier10[[#This Row],[sprzedany_cukier]]*cukier10[[#This Row],[rabat]]</f>
        <v>6.3500000000000005</v>
      </c>
    </row>
    <row r="1450" spans="1:6" x14ac:dyDescent="0.25">
      <c r="A1450" s="1">
        <v>38870</v>
      </c>
      <c r="B1450" t="s">
        <v>39</v>
      </c>
      <c r="C1450">
        <v>164</v>
      </c>
      <c r="D1450">
        <f>IF(cukier10[[#This Row],[nip_klienta]]=B1449,D1449+cukier10[[#This Row],[sprzedany_cukier]],cukier10[[#This Row],[sprzedany_cukier]])</f>
        <v>471</v>
      </c>
      <c r="E1450" cm="1">
        <f t="array" ref="E14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50">
        <f>cukier10[[#This Row],[sprzedany_cukier]]*cukier10[[#This Row],[rabat]]</f>
        <v>8.2000000000000011</v>
      </c>
    </row>
    <row r="1451" spans="1:6" x14ac:dyDescent="0.25">
      <c r="A1451" s="1">
        <v>38986</v>
      </c>
      <c r="B1451" t="s">
        <v>39</v>
      </c>
      <c r="C1451">
        <v>45</v>
      </c>
      <c r="D1451">
        <f>IF(cukier10[[#This Row],[nip_klienta]]=B1450,D1450+cukier10[[#This Row],[sprzedany_cukier]],cukier10[[#This Row],[sprzedany_cukier]])</f>
        <v>516</v>
      </c>
      <c r="E1451" cm="1">
        <f t="array" ref="E14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51">
        <f>cukier10[[#This Row],[sprzedany_cukier]]*cukier10[[#This Row],[rabat]]</f>
        <v>2.25</v>
      </c>
    </row>
    <row r="1452" spans="1:6" x14ac:dyDescent="0.25">
      <c r="A1452" s="1">
        <v>39172</v>
      </c>
      <c r="B1452" t="s">
        <v>39</v>
      </c>
      <c r="C1452">
        <v>156</v>
      </c>
      <c r="D1452">
        <f>IF(cukier10[[#This Row],[nip_klienta]]=B1451,D1451+cukier10[[#This Row],[sprzedany_cukier]],cukier10[[#This Row],[sprzedany_cukier]])</f>
        <v>672</v>
      </c>
      <c r="E1452" cm="1">
        <f t="array" ref="E14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52">
        <f>cukier10[[#This Row],[sprzedany_cukier]]*cukier10[[#This Row],[rabat]]</f>
        <v>7.8000000000000007</v>
      </c>
    </row>
    <row r="1453" spans="1:6" x14ac:dyDescent="0.25">
      <c r="A1453" s="1">
        <v>39179</v>
      </c>
      <c r="B1453" t="s">
        <v>39</v>
      </c>
      <c r="C1453">
        <v>52</v>
      </c>
      <c r="D1453">
        <f>IF(cukier10[[#This Row],[nip_klienta]]=B1452,D1452+cukier10[[#This Row],[sprzedany_cukier]],cukier10[[#This Row],[sprzedany_cukier]])</f>
        <v>724</v>
      </c>
      <c r="E1453" cm="1">
        <f t="array" ref="E14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53">
        <f>cukier10[[#This Row],[sprzedany_cukier]]*cukier10[[#This Row],[rabat]]</f>
        <v>2.6</v>
      </c>
    </row>
    <row r="1454" spans="1:6" x14ac:dyDescent="0.25">
      <c r="A1454" s="1">
        <v>39553</v>
      </c>
      <c r="B1454" t="s">
        <v>39</v>
      </c>
      <c r="C1454">
        <v>78</v>
      </c>
      <c r="D1454">
        <f>IF(cukier10[[#This Row],[nip_klienta]]=B1453,D1453+cukier10[[#This Row],[sprzedany_cukier]],cukier10[[#This Row],[sprzedany_cukier]])</f>
        <v>802</v>
      </c>
      <c r="E1454" cm="1">
        <f t="array" ref="E14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54">
        <f>cukier10[[#This Row],[sprzedany_cukier]]*cukier10[[#This Row],[rabat]]</f>
        <v>3.9000000000000004</v>
      </c>
    </row>
    <row r="1455" spans="1:6" x14ac:dyDescent="0.25">
      <c r="A1455" s="1">
        <v>39657</v>
      </c>
      <c r="B1455" t="s">
        <v>39</v>
      </c>
      <c r="C1455">
        <v>38</v>
      </c>
      <c r="D1455">
        <f>IF(cukier10[[#This Row],[nip_klienta]]=B1454,D1454+cukier10[[#This Row],[sprzedany_cukier]],cukier10[[#This Row],[sprzedany_cukier]])</f>
        <v>840</v>
      </c>
      <c r="E1455" cm="1">
        <f t="array" ref="E14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55">
        <f>cukier10[[#This Row],[sprzedany_cukier]]*cukier10[[#This Row],[rabat]]</f>
        <v>1.9000000000000001</v>
      </c>
    </row>
    <row r="1456" spans="1:6" x14ac:dyDescent="0.25">
      <c r="A1456" s="1">
        <v>40094</v>
      </c>
      <c r="B1456" t="s">
        <v>39</v>
      </c>
      <c r="C1456">
        <v>120</v>
      </c>
      <c r="D1456">
        <f>IF(cukier10[[#This Row],[nip_klienta]]=B1455,D1455+cukier10[[#This Row],[sprzedany_cukier]],cukier10[[#This Row],[sprzedany_cukier]])</f>
        <v>960</v>
      </c>
      <c r="E1456" cm="1">
        <f t="array" ref="E14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56">
        <f>cukier10[[#This Row],[sprzedany_cukier]]*cukier10[[#This Row],[rabat]]</f>
        <v>6</v>
      </c>
    </row>
    <row r="1457" spans="1:6" x14ac:dyDescent="0.25">
      <c r="A1457" s="1">
        <v>40165</v>
      </c>
      <c r="B1457" t="s">
        <v>39</v>
      </c>
      <c r="C1457">
        <v>67</v>
      </c>
      <c r="D1457">
        <f>IF(cukier10[[#This Row],[nip_klienta]]=B1456,D1456+cukier10[[#This Row],[sprzedany_cukier]],cukier10[[#This Row],[sprzedany_cukier]])</f>
        <v>1027</v>
      </c>
      <c r="E1457" cm="1">
        <f t="array" ref="E14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57">
        <f>cukier10[[#This Row],[sprzedany_cukier]]*cukier10[[#This Row],[rabat]]</f>
        <v>6.7</v>
      </c>
    </row>
    <row r="1458" spans="1:6" x14ac:dyDescent="0.25">
      <c r="A1458" s="1">
        <v>40270</v>
      </c>
      <c r="B1458" t="s">
        <v>39</v>
      </c>
      <c r="C1458">
        <v>143</v>
      </c>
      <c r="D1458">
        <f>IF(cukier10[[#This Row],[nip_klienta]]=B1457,D1457+cukier10[[#This Row],[sprzedany_cukier]],cukier10[[#This Row],[sprzedany_cukier]])</f>
        <v>1170</v>
      </c>
      <c r="E1458" cm="1">
        <f t="array" ref="E14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58">
        <f>cukier10[[#This Row],[sprzedany_cukier]]*cukier10[[#This Row],[rabat]]</f>
        <v>14.3</v>
      </c>
    </row>
    <row r="1459" spans="1:6" x14ac:dyDescent="0.25">
      <c r="A1459" s="1">
        <v>40331</v>
      </c>
      <c r="B1459" t="s">
        <v>39</v>
      </c>
      <c r="C1459">
        <v>114</v>
      </c>
      <c r="D1459">
        <f>IF(cukier10[[#This Row],[nip_klienta]]=B1458,D1458+cukier10[[#This Row],[sprzedany_cukier]],cukier10[[#This Row],[sprzedany_cukier]])</f>
        <v>1284</v>
      </c>
      <c r="E1459" cm="1">
        <f t="array" ref="E14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59">
        <f>cukier10[[#This Row],[sprzedany_cukier]]*cukier10[[#This Row],[rabat]]</f>
        <v>11.4</v>
      </c>
    </row>
    <row r="1460" spans="1:6" x14ac:dyDescent="0.25">
      <c r="A1460" s="1">
        <v>40343</v>
      </c>
      <c r="B1460" t="s">
        <v>39</v>
      </c>
      <c r="C1460">
        <v>121</v>
      </c>
      <c r="D1460">
        <f>IF(cukier10[[#This Row],[nip_klienta]]=B1459,D1459+cukier10[[#This Row],[sprzedany_cukier]],cukier10[[#This Row],[sprzedany_cukier]])</f>
        <v>1405</v>
      </c>
      <c r="E1460" cm="1">
        <f t="array" ref="E14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60">
        <f>cukier10[[#This Row],[sprzedany_cukier]]*cukier10[[#This Row],[rabat]]</f>
        <v>12.100000000000001</v>
      </c>
    </row>
    <row r="1461" spans="1:6" x14ac:dyDescent="0.25">
      <c r="A1461" s="1">
        <v>40372</v>
      </c>
      <c r="B1461" t="s">
        <v>39</v>
      </c>
      <c r="C1461">
        <v>134</v>
      </c>
      <c r="D1461">
        <f>IF(cukier10[[#This Row],[nip_klienta]]=B1460,D1460+cukier10[[#This Row],[sprzedany_cukier]],cukier10[[#This Row],[sprzedany_cukier]])</f>
        <v>1539</v>
      </c>
      <c r="E1461" cm="1">
        <f t="array" ref="E14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61">
        <f>cukier10[[#This Row],[sprzedany_cukier]]*cukier10[[#This Row],[rabat]]</f>
        <v>13.4</v>
      </c>
    </row>
    <row r="1462" spans="1:6" x14ac:dyDescent="0.25">
      <c r="A1462" s="1">
        <v>40470</v>
      </c>
      <c r="B1462" t="s">
        <v>39</v>
      </c>
      <c r="C1462">
        <v>76</v>
      </c>
      <c r="D1462">
        <f>IF(cukier10[[#This Row],[nip_klienta]]=B1461,D1461+cukier10[[#This Row],[sprzedany_cukier]],cukier10[[#This Row],[sprzedany_cukier]])</f>
        <v>1615</v>
      </c>
      <c r="E1462" cm="1">
        <f t="array" ref="E14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62">
        <f>cukier10[[#This Row],[sprzedany_cukier]]*cukier10[[#This Row],[rabat]]</f>
        <v>7.6000000000000005</v>
      </c>
    </row>
    <row r="1463" spans="1:6" x14ac:dyDescent="0.25">
      <c r="A1463" s="1">
        <v>40564</v>
      </c>
      <c r="B1463" t="s">
        <v>39</v>
      </c>
      <c r="C1463">
        <v>185</v>
      </c>
      <c r="D1463">
        <f>IF(cukier10[[#This Row],[nip_klienta]]=B1462,D1462+cukier10[[#This Row],[sprzedany_cukier]],cukier10[[#This Row],[sprzedany_cukier]])</f>
        <v>1800</v>
      </c>
      <c r="E1463" cm="1">
        <f t="array" ref="E14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63">
        <f>cukier10[[#This Row],[sprzedany_cukier]]*cukier10[[#This Row],[rabat]]</f>
        <v>18.5</v>
      </c>
    </row>
    <row r="1464" spans="1:6" x14ac:dyDescent="0.25">
      <c r="A1464" s="1">
        <v>41461</v>
      </c>
      <c r="B1464" t="s">
        <v>39</v>
      </c>
      <c r="C1464">
        <v>31</v>
      </c>
      <c r="D1464">
        <f>IF(cukier10[[#This Row],[nip_klienta]]=B1463,D1463+cukier10[[#This Row],[sprzedany_cukier]],cukier10[[#This Row],[sprzedany_cukier]])</f>
        <v>1831</v>
      </c>
      <c r="E1464" cm="1">
        <f t="array" ref="E14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64">
        <f>cukier10[[#This Row],[sprzedany_cukier]]*cukier10[[#This Row],[rabat]]</f>
        <v>3.1</v>
      </c>
    </row>
    <row r="1465" spans="1:6" x14ac:dyDescent="0.25">
      <c r="A1465" s="1">
        <v>41486</v>
      </c>
      <c r="B1465" t="s">
        <v>39</v>
      </c>
      <c r="C1465">
        <v>125</v>
      </c>
      <c r="D1465">
        <f>IF(cukier10[[#This Row],[nip_klienta]]=B1464,D1464+cukier10[[#This Row],[sprzedany_cukier]],cukier10[[#This Row],[sprzedany_cukier]])</f>
        <v>1956</v>
      </c>
      <c r="E1465" cm="1">
        <f t="array" ref="E14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65">
        <f>cukier10[[#This Row],[sprzedany_cukier]]*cukier10[[#This Row],[rabat]]</f>
        <v>12.5</v>
      </c>
    </row>
    <row r="1466" spans="1:6" x14ac:dyDescent="0.25">
      <c r="A1466" s="1">
        <v>41843</v>
      </c>
      <c r="B1466" t="s">
        <v>39</v>
      </c>
      <c r="C1466">
        <v>39</v>
      </c>
      <c r="D1466">
        <f>IF(cukier10[[#This Row],[nip_klienta]]=B1465,D1465+cukier10[[#This Row],[sprzedany_cukier]],cukier10[[#This Row],[sprzedany_cukier]])</f>
        <v>1995</v>
      </c>
      <c r="E1466" cm="1">
        <f t="array" ref="E14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66">
        <f>cukier10[[#This Row],[sprzedany_cukier]]*cukier10[[#This Row],[rabat]]</f>
        <v>3.9000000000000004</v>
      </c>
    </row>
    <row r="1467" spans="1:6" x14ac:dyDescent="0.25">
      <c r="A1467" s="1">
        <v>41897</v>
      </c>
      <c r="B1467" t="s">
        <v>39</v>
      </c>
      <c r="C1467">
        <v>47</v>
      </c>
      <c r="D1467">
        <f>IF(cukier10[[#This Row],[nip_klienta]]=B1466,D1466+cukier10[[#This Row],[sprzedany_cukier]],cukier10[[#This Row],[sprzedany_cukier]])</f>
        <v>2042</v>
      </c>
      <c r="E1467" cm="1">
        <f t="array" ref="E14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67">
        <f>cukier10[[#This Row],[sprzedany_cukier]]*cukier10[[#This Row],[rabat]]</f>
        <v>4.7</v>
      </c>
    </row>
    <row r="1468" spans="1:6" x14ac:dyDescent="0.25">
      <c r="A1468" s="1">
        <v>39569</v>
      </c>
      <c r="B1468" t="s">
        <v>166</v>
      </c>
      <c r="C1468">
        <v>14</v>
      </c>
      <c r="D1468">
        <f>IF(cukier10[[#This Row],[nip_klienta]]=B1467,D1467+cukier10[[#This Row],[sprzedany_cukier]],cukier10[[#This Row],[sprzedany_cukier]])</f>
        <v>14</v>
      </c>
      <c r="E1468" cm="1">
        <f t="array" ref="E14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68">
        <f>cukier10[[#This Row],[sprzedany_cukier]]*cukier10[[#This Row],[rabat]]</f>
        <v>0</v>
      </c>
    </row>
    <row r="1469" spans="1:6" x14ac:dyDescent="0.25">
      <c r="A1469" s="1">
        <v>39853</v>
      </c>
      <c r="B1469" t="s">
        <v>166</v>
      </c>
      <c r="C1469">
        <v>11</v>
      </c>
      <c r="D1469">
        <f>IF(cukier10[[#This Row],[nip_klienta]]=B1468,D1468+cukier10[[#This Row],[sprzedany_cukier]],cukier10[[#This Row],[sprzedany_cukier]])</f>
        <v>25</v>
      </c>
      <c r="E1469" cm="1">
        <f t="array" ref="E14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69">
        <f>cukier10[[#This Row],[sprzedany_cukier]]*cukier10[[#This Row],[rabat]]</f>
        <v>0</v>
      </c>
    </row>
    <row r="1470" spans="1:6" x14ac:dyDescent="0.25">
      <c r="A1470" s="1">
        <v>38534</v>
      </c>
      <c r="B1470" t="s">
        <v>60</v>
      </c>
      <c r="C1470">
        <v>15</v>
      </c>
      <c r="D1470">
        <f>IF(cukier10[[#This Row],[nip_klienta]]=B1469,D1469+cukier10[[#This Row],[sprzedany_cukier]],cukier10[[#This Row],[sprzedany_cukier]])</f>
        <v>15</v>
      </c>
      <c r="E1470" cm="1">
        <f t="array" ref="E14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70">
        <f>cukier10[[#This Row],[sprzedany_cukier]]*cukier10[[#This Row],[rabat]]</f>
        <v>0</v>
      </c>
    </row>
    <row r="1471" spans="1:6" x14ac:dyDescent="0.25">
      <c r="A1471" s="1">
        <v>39299</v>
      </c>
      <c r="B1471" t="s">
        <v>60</v>
      </c>
      <c r="C1471">
        <v>7</v>
      </c>
      <c r="D1471">
        <f>IF(cukier10[[#This Row],[nip_klienta]]=B1470,D1470+cukier10[[#This Row],[sprzedany_cukier]],cukier10[[#This Row],[sprzedany_cukier]])</f>
        <v>22</v>
      </c>
      <c r="E1471" cm="1">
        <f t="array" ref="E14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71">
        <f>cukier10[[#This Row],[sprzedany_cukier]]*cukier10[[#This Row],[rabat]]</f>
        <v>0</v>
      </c>
    </row>
    <row r="1472" spans="1:6" x14ac:dyDescent="0.25">
      <c r="A1472" s="1">
        <v>41399</v>
      </c>
      <c r="B1472" t="s">
        <v>60</v>
      </c>
      <c r="C1472">
        <v>5</v>
      </c>
      <c r="D1472">
        <f>IF(cukier10[[#This Row],[nip_klienta]]=B1471,D1471+cukier10[[#This Row],[sprzedany_cukier]],cukier10[[#This Row],[sprzedany_cukier]])</f>
        <v>27</v>
      </c>
      <c r="E1472" cm="1">
        <f t="array" ref="E14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72">
        <f>cukier10[[#This Row],[sprzedany_cukier]]*cukier10[[#This Row],[rabat]]</f>
        <v>0</v>
      </c>
    </row>
    <row r="1473" spans="1:6" x14ac:dyDescent="0.25">
      <c r="A1473" s="1">
        <v>41689</v>
      </c>
      <c r="B1473" t="s">
        <v>60</v>
      </c>
      <c r="C1473">
        <v>19</v>
      </c>
      <c r="D1473">
        <f>IF(cukier10[[#This Row],[nip_klienta]]=B1472,D1472+cukier10[[#This Row],[sprzedany_cukier]],cukier10[[#This Row],[sprzedany_cukier]])</f>
        <v>46</v>
      </c>
      <c r="E1473" cm="1">
        <f t="array" ref="E14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73">
        <f>cukier10[[#This Row],[sprzedany_cukier]]*cukier10[[#This Row],[rabat]]</f>
        <v>0</v>
      </c>
    </row>
    <row r="1474" spans="1:6" x14ac:dyDescent="0.25">
      <c r="A1474" s="1">
        <v>38603</v>
      </c>
      <c r="B1474" t="s">
        <v>78</v>
      </c>
      <c r="C1474">
        <v>106</v>
      </c>
      <c r="D1474">
        <f>IF(cukier10[[#This Row],[nip_klienta]]=B1473,D1473+cukier10[[#This Row],[sprzedany_cukier]],cukier10[[#This Row],[sprzedany_cukier]])</f>
        <v>106</v>
      </c>
      <c r="E1474" cm="1">
        <f t="array" ref="E14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74">
        <f>cukier10[[#This Row],[sprzedany_cukier]]*cukier10[[#This Row],[rabat]]</f>
        <v>5.3000000000000007</v>
      </c>
    </row>
    <row r="1475" spans="1:6" x14ac:dyDescent="0.25">
      <c r="A1475" s="1">
        <v>38677</v>
      </c>
      <c r="B1475" t="s">
        <v>78</v>
      </c>
      <c r="C1475">
        <v>33</v>
      </c>
      <c r="D1475">
        <f>IF(cukier10[[#This Row],[nip_klienta]]=B1474,D1474+cukier10[[#This Row],[sprzedany_cukier]],cukier10[[#This Row],[sprzedany_cukier]])</f>
        <v>139</v>
      </c>
      <c r="E1475" cm="1">
        <f t="array" ref="E14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75">
        <f>cukier10[[#This Row],[sprzedany_cukier]]*cukier10[[#This Row],[rabat]]</f>
        <v>1.6500000000000001</v>
      </c>
    </row>
    <row r="1476" spans="1:6" x14ac:dyDescent="0.25">
      <c r="A1476" s="1">
        <v>38734</v>
      </c>
      <c r="B1476" t="s">
        <v>78</v>
      </c>
      <c r="C1476">
        <v>72</v>
      </c>
      <c r="D1476">
        <f>IF(cukier10[[#This Row],[nip_klienta]]=B1475,D1475+cukier10[[#This Row],[sprzedany_cukier]],cukier10[[#This Row],[sprzedany_cukier]])</f>
        <v>211</v>
      </c>
      <c r="E1476" cm="1">
        <f t="array" ref="E14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76">
        <f>cukier10[[#This Row],[sprzedany_cukier]]*cukier10[[#This Row],[rabat]]</f>
        <v>3.6</v>
      </c>
    </row>
    <row r="1477" spans="1:6" x14ac:dyDescent="0.25">
      <c r="A1477" s="1">
        <v>39139</v>
      </c>
      <c r="B1477" t="s">
        <v>78</v>
      </c>
      <c r="C1477">
        <v>156</v>
      </c>
      <c r="D1477">
        <f>IF(cukier10[[#This Row],[nip_klienta]]=B1476,D1476+cukier10[[#This Row],[sprzedany_cukier]],cukier10[[#This Row],[sprzedany_cukier]])</f>
        <v>367</v>
      </c>
      <c r="E1477" cm="1">
        <f t="array" ref="E14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77">
        <f>cukier10[[#This Row],[sprzedany_cukier]]*cukier10[[#This Row],[rabat]]</f>
        <v>7.8000000000000007</v>
      </c>
    </row>
    <row r="1478" spans="1:6" x14ac:dyDescent="0.25">
      <c r="A1478" s="1">
        <v>39250</v>
      </c>
      <c r="B1478" t="s">
        <v>78</v>
      </c>
      <c r="C1478">
        <v>37</v>
      </c>
      <c r="D1478">
        <f>IF(cukier10[[#This Row],[nip_klienta]]=B1477,D1477+cukier10[[#This Row],[sprzedany_cukier]],cukier10[[#This Row],[sprzedany_cukier]])</f>
        <v>404</v>
      </c>
      <c r="E1478" cm="1">
        <f t="array" ref="E14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78">
        <f>cukier10[[#This Row],[sprzedany_cukier]]*cukier10[[#This Row],[rabat]]</f>
        <v>1.85</v>
      </c>
    </row>
    <row r="1479" spans="1:6" x14ac:dyDescent="0.25">
      <c r="A1479" s="1">
        <v>39348</v>
      </c>
      <c r="B1479" t="s">
        <v>78</v>
      </c>
      <c r="C1479">
        <v>145</v>
      </c>
      <c r="D1479">
        <f>IF(cukier10[[#This Row],[nip_klienta]]=B1478,D1478+cukier10[[#This Row],[sprzedany_cukier]],cukier10[[#This Row],[sprzedany_cukier]])</f>
        <v>549</v>
      </c>
      <c r="E1479" cm="1">
        <f t="array" ref="E14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79">
        <f>cukier10[[#This Row],[sprzedany_cukier]]*cukier10[[#This Row],[rabat]]</f>
        <v>7.25</v>
      </c>
    </row>
    <row r="1480" spans="1:6" x14ac:dyDescent="0.25">
      <c r="A1480" s="1">
        <v>39380</v>
      </c>
      <c r="B1480" t="s">
        <v>78</v>
      </c>
      <c r="C1480">
        <v>35</v>
      </c>
      <c r="D1480">
        <f>IF(cukier10[[#This Row],[nip_klienta]]=B1479,D1479+cukier10[[#This Row],[sprzedany_cukier]],cukier10[[#This Row],[sprzedany_cukier]])</f>
        <v>584</v>
      </c>
      <c r="E1480" cm="1">
        <f t="array" ref="E14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80">
        <f>cukier10[[#This Row],[sprzedany_cukier]]*cukier10[[#This Row],[rabat]]</f>
        <v>1.75</v>
      </c>
    </row>
    <row r="1481" spans="1:6" x14ac:dyDescent="0.25">
      <c r="A1481" s="1">
        <v>39428</v>
      </c>
      <c r="B1481" t="s">
        <v>78</v>
      </c>
      <c r="C1481">
        <v>192</v>
      </c>
      <c r="D1481">
        <f>IF(cukier10[[#This Row],[nip_klienta]]=B1480,D1480+cukier10[[#This Row],[sprzedany_cukier]],cukier10[[#This Row],[sprzedany_cukier]])</f>
        <v>776</v>
      </c>
      <c r="E1481" cm="1">
        <f t="array" ref="E14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81">
        <f>cukier10[[#This Row],[sprzedany_cukier]]*cukier10[[#This Row],[rabat]]</f>
        <v>9.6000000000000014</v>
      </c>
    </row>
    <row r="1482" spans="1:6" x14ac:dyDescent="0.25">
      <c r="A1482" s="1">
        <v>39453</v>
      </c>
      <c r="B1482" t="s">
        <v>78</v>
      </c>
      <c r="C1482">
        <v>173</v>
      </c>
      <c r="D1482">
        <f>IF(cukier10[[#This Row],[nip_klienta]]=B1481,D1481+cukier10[[#This Row],[sprzedany_cukier]],cukier10[[#This Row],[sprzedany_cukier]])</f>
        <v>949</v>
      </c>
      <c r="E1482" cm="1">
        <f t="array" ref="E14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482">
        <f>cukier10[[#This Row],[sprzedany_cukier]]*cukier10[[#This Row],[rabat]]</f>
        <v>8.65</v>
      </c>
    </row>
    <row r="1483" spans="1:6" x14ac:dyDescent="0.25">
      <c r="A1483" s="1">
        <v>39647</v>
      </c>
      <c r="B1483" t="s">
        <v>78</v>
      </c>
      <c r="C1483">
        <v>76</v>
      </c>
      <c r="D1483">
        <f>IF(cukier10[[#This Row],[nip_klienta]]=B1482,D1482+cukier10[[#This Row],[sprzedany_cukier]],cukier10[[#This Row],[sprzedany_cukier]])</f>
        <v>1025</v>
      </c>
      <c r="E1483" cm="1">
        <f t="array" ref="E14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83">
        <f>cukier10[[#This Row],[sprzedany_cukier]]*cukier10[[#This Row],[rabat]]</f>
        <v>7.6000000000000005</v>
      </c>
    </row>
    <row r="1484" spans="1:6" x14ac:dyDescent="0.25">
      <c r="A1484" s="1">
        <v>39669</v>
      </c>
      <c r="B1484" t="s">
        <v>78</v>
      </c>
      <c r="C1484">
        <v>83</v>
      </c>
      <c r="D1484">
        <f>IF(cukier10[[#This Row],[nip_klienta]]=B1483,D1483+cukier10[[#This Row],[sprzedany_cukier]],cukier10[[#This Row],[sprzedany_cukier]])</f>
        <v>1108</v>
      </c>
      <c r="E1484" cm="1">
        <f t="array" ref="E14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84">
        <f>cukier10[[#This Row],[sprzedany_cukier]]*cukier10[[#This Row],[rabat]]</f>
        <v>8.3000000000000007</v>
      </c>
    </row>
    <row r="1485" spans="1:6" x14ac:dyDescent="0.25">
      <c r="A1485" s="1">
        <v>39671</v>
      </c>
      <c r="B1485" t="s">
        <v>78</v>
      </c>
      <c r="C1485">
        <v>184</v>
      </c>
      <c r="D1485">
        <f>IF(cukier10[[#This Row],[nip_klienta]]=B1484,D1484+cukier10[[#This Row],[sprzedany_cukier]],cukier10[[#This Row],[sprzedany_cukier]])</f>
        <v>1292</v>
      </c>
      <c r="E1485" cm="1">
        <f t="array" ref="E14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85">
        <f>cukier10[[#This Row],[sprzedany_cukier]]*cukier10[[#This Row],[rabat]]</f>
        <v>18.400000000000002</v>
      </c>
    </row>
    <row r="1486" spans="1:6" x14ac:dyDescent="0.25">
      <c r="A1486" s="1">
        <v>39673</v>
      </c>
      <c r="B1486" t="s">
        <v>78</v>
      </c>
      <c r="C1486">
        <v>55</v>
      </c>
      <c r="D1486">
        <f>IF(cukier10[[#This Row],[nip_klienta]]=B1485,D1485+cukier10[[#This Row],[sprzedany_cukier]],cukier10[[#This Row],[sprzedany_cukier]])</f>
        <v>1347</v>
      </c>
      <c r="E1486" cm="1">
        <f t="array" ref="E14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86">
        <f>cukier10[[#This Row],[sprzedany_cukier]]*cukier10[[#This Row],[rabat]]</f>
        <v>5.5</v>
      </c>
    </row>
    <row r="1487" spans="1:6" x14ac:dyDescent="0.25">
      <c r="A1487" s="1">
        <v>40006</v>
      </c>
      <c r="B1487" t="s">
        <v>78</v>
      </c>
      <c r="C1487">
        <v>111</v>
      </c>
      <c r="D1487">
        <f>IF(cukier10[[#This Row],[nip_klienta]]=B1486,D1486+cukier10[[#This Row],[sprzedany_cukier]],cukier10[[#This Row],[sprzedany_cukier]])</f>
        <v>1458</v>
      </c>
      <c r="E1487" cm="1">
        <f t="array" ref="E14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87">
        <f>cukier10[[#This Row],[sprzedany_cukier]]*cukier10[[#This Row],[rabat]]</f>
        <v>11.100000000000001</v>
      </c>
    </row>
    <row r="1488" spans="1:6" x14ac:dyDescent="0.25">
      <c r="A1488" s="1">
        <v>40122</v>
      </c>
      <c r="B1488" t="s">
        <v>78</v>
      </c>
      <c r="C1488">
        <v>142</v>
      </c>
      <c r="D1488">
        <f>IF(cukier10[[#This Row],[nip_klienta]]=B1487,D1487+cukier10[[#This Row],[sprzedany_cukier]],cukier10[[#This Row],[sprzedany_cukier]])</f>
        <v>1600</v>
      </c>
      <c r="E1488" cm="1">
        <f t="array" ref="E14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88">
        <f>cukier10[[#This Row],[sprzedany_cukier]]*cukier10[[#This Row],[rabat]]</f>
        <v>14.200000000000001</v>
      </c>
    </row>
    <row r="1489" spans="1:6" x14ac:dyDescent="0.25">
      <c r="A1489" s="1">
        <v>40247</v>
      </c>
      <c r="B1489" t="s">
        <v>78</v>
      </c>
      <c r="C1489">
        <v>59</v>
      </c>
      <c r="D1489">
        <f>IF(cukier10[[#This Row],[nip_klienta]]=B1488,D1488+cukier10[[#This Row],[sprzedany_cukier]],cukier10[[#This Row],[sprzedany_cukier]])</f>
        <v>1659</v>
      </c>
      <c r="E1489" cm="1">
        <f t="array" ref="E14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89">
        <f>cukier10[[#This Row],[sprzedany_cukier]]*cukier10[[#This Row],[rabat]]</f>
        <v>5.9</v>
      </c>
    </row>
    <row r="1490" spans="1:6" x14ac:dyDescent="0.25">
      <c r="A1490" s="1">
        <v>40528</v>
      </c>
      <c r="B1490" t="s">
        <v>78</v>
      </c>
      <c r="C1490">
        <v>164</v>
      </c>
      <c r="D1490">
        <f>IF(cukier10[[#This Row],[nip_klienta]]=B1489,D1489+cukier10[[#This Row],[sprzedany_cukier]],cukier10[[#This Row],[sprzedany_cukier]])</f>
        <v>1823</v>
      </c>
      <c r="E1490" cm="1">
        <f t="array" ref="E14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90">
        <f>cukier10[[#This Row],[sprzedany_cukier]]*cukier10[[#This Row],[rabat]]</f>
        <v>16.400000000000002</v>
      </c>
    </row>
    <row r="1491" spans="1:6" x14ac:dyDescent="0.25">
      <c r="A1491" s="1">
        <v>41316</v>
      </c>
      <c r="B1491" t="s">
        <v>78</v>
      </c>
      <c r="C1491">
        <v>188</v>
      </c>
      <c r="D1491">
        <f>IF(cukier10[[#This Row],[nip_klienta]]=B1490,D1490+cukier10[[#This Row],[sprzedany_cukier]],cukier10[[#This Row],[sprzedany_cukier]])</f>
        <v>2011</v>
      </c>
      <c r="E1491" cm="1">
        <f t="array" ref="E14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91">
        <f>cukier10[[#This Row],[sprzedany_cukier]]*cukier10[[#This Row],[rabat]]</f>
        <v>18.8</v>
      </c>
    </row>
    <row r="1492" spans="1:6" x14ac:dyDescent="0.25">
      <c r="A1492" s="1">
        <v>41370</v>
      </c>
      <c r="B1492" t="s">
        <v>78</v>
      </c>
      <c r="C1492">
        <v>56</v>
      </c>
      <c r="D1492">
        <f>IF(cukier10[[#This Row],[nip_klienta]]=B1491,D1491+cukier10[[#This Row],[sprzedany_cukier]],cukier10[[#This Row],[sprzedany_cukier]])</f>
        <v>2067</v>
      </c>
      <c r="E1492" cm="1">
        <f t="array" ref="E14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92">
        <f>cukier10[[#This Row],[sprzedany_cukier]]*cukier10[[#This Row],[rabat]]</f>
        <v>5.6000000000000005</v>
      </c>
    </row>
    <row r="1493" spans="1:6" x14ac:dyDescent="0.25">
      <c r="A1493" s="1">
        <v>41854</v>
      </c>
      <c r="B1493" t="s">
        <v>78</v>
      </c>
      <c r="C1493">
        <v>56</v>
      </c>
      <c r="D1493">
        <f>IF(cukier10[[#This Row],[nip_klienta]]=B1492,D1492+cukier10[[#This Row],[sprzedany_cukier]],cukier10[[#This Row],[sprzedany_cukier]])</f>
        <v>2123</v>
      </c>
      <c r="E1493" cm="1">
        <f t="array" ref="E14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493">
        <f>cukier10[[#This Row],[sprzedany_cukier]]*cukier10[[#This Row],[rabat]]</f>
        <v>5.6000000000000005</v>
      </c>
    </row>
    <row r="1494" spans="1:6" x14ac:dyDescent="0.25">
      <c r="A1494" s="1">
        <v>39220</v>
      </c>
      <c r="B1494" t="s">
        <v>142</v>
      </c>
      <c r="C1494">
        <v>18</v>
      </c>
      <c r="D1494">
        <f>IF(cukier10[[#This Row],[nip_klienta]]=B1493,D1493+cukier10[[#This Row],[sprzedany_cukier]],cukier10[[#This Row],[sprzedany_cukier]])</f>
        <v>18</v>
      </c>
      <c r="E1494" cm="1">
        <f t="array" ref="E14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94">
        <f>cukier10[[#This Row],[sprzedany_cukier]]*cukier10[[#This Row],[rabat]]</f>
        <v>0</v>
      </c>
    </row>
    <row r="1495" spans="1:6" x14ac:dyDescent="0.25">
      <c r="A1495" s="1">
        <v>39905</v>
      </c>
      <c r="B1495" t="s">
        <v>142</v>
      </c>
      <c r="C1495">
        <v>10</v>
      </c>
      <c r="D1495">
        <f>IF(cukier10[[#This Row],[nip_klienta]]=B1494,D1494+cukier10[[#This Row],[sprzedany_cukier]],cukier10[[#This Row],[sprzedany_cukier]])</f>
        <v>28</v>
      </c>
      <c r="E1495" cm="1">
        <f t="array" ref="E14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95">
        <f>cukier10[[#This Row],[sprzedany_cukier]]*cukier10[[#This Row],[rabat]]</f>
        <v>0</v>
      </c>
    </row>
    <row r="1496" spans="1:6" x14ac:dyDescent="0.25">
      <c r="A1496" s="1">
        <v>40489</v>
      </c>
      <c r="B1496" t="s">
        <v>142</v>
      </c>
      <c r="C1496">
        <v>2</v>
      </c>
      <c r="D1496">
        <f>IF(cukier10[[#This Row],[nip_klienta]]=B1495,D1495+cukier10[[#This Row],[sprzedany_cukier]],cukier10[[#This Row],[sprzedany_cukier]])</f>
        <v>30</v>
      </c>
      <c r="E1496" cm="1">
        <f t="array" ref="E14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96">
        <f>cukier10[[#This Row],[sprzedany_cukier]]*cukier10[[#This Row],[rabat]]</f>
        <v>0</v>
      </c>
    </row>
    <row r="1497" spans="1:6" x14ac:dyDescent="0.25">
      <c r="A1497" s="1">
        <v>40544</v>
      </c>
      <c r="B1497" t="s">
        <v>142</v>
      </c>
      <c r="C1497">
        <v>20</v>
      </c>
      <c r="D1497">
        <f>IF(cukier10[[#This Row],[nip_klienta]]=B1496,D1496+cukier10[[#This Row],[sprzedany_cukier]],cukier10[[#This Row],[sprzedany_cukier]])</f>
        <v>50</v>
      </c>
      <c r="E1497" cm="1">
        <f t="array" ref="E14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97">
        <f>cukier10[[#This Row],[sprzedany_cukier]]*cukier10[[#This Row],[rabat]]</f>
        <v>0</v>
      </c>
    </row>
    <row r="1498" spans="1:6" x14ac:dyDescent="0.25">
      <c r="A1498" s="1">
        <v>38386</v>
      </c>
      <c r="B1498" t="s">
        <v>13</v>
      </c>
      <c r="C1498">
        <v>8</v>
      </c>
      <c r="D1498">
        <f>IF(cukier10[[#This Row],[nip_klienta]]=B1497,D1497+cukier10[[#This Row],[sprzedany_cukier]],cukier10[[#This Row],[sprzedany_cukier]])</f>
        <v>8</v>
      </c>
      <c r="E1498" cm="1">
        <f t="array" ref="E14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98">
        <f>cukier10[[#This Row],[sprzedany_cukier]]*cukier10[[#This Row],[rabat]]</f>
        <v>0</v>
      </c>
    </row>
    <row r="1499" spans="1:6" x14ac:dyDescent="0.25">
      <c r="A1499" s="1">
        <v>39230</v>
      </c>
      <c r="B1499" t="s">
        <v>13</v>
      </c>
      <c r="C1499">
        <v>10</v>
      </c>
      <c r="D1499">
        <f>IF(cukier10[[#This Row],[nip_klienta]]=B1498,D1498+cukier10[[#This Row],[sprzedany_cukier]],cukier10[[#This Row],[sprzedany_cukier]])</f>
        <v>18</v>
      </c>
      <c r="E1499" cm="1">
        <f t="array" ref="E14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499">
        <f>cukier10[[#This Row],[sprzedany_cukier]]*cukier10[[#This Row],[rabat]]</f>
        <v>0</v>
      </c>
    </row>
    <row r="1500" spans="1:6" x14ac:dyDescent="0.25">
      <c r="A1500" s="1">
        <v>39790</v>
      </c>
      <c r="B1500" t="s">
        <v>13</v>
      </c>
      <c r="C1500">
        <v>6</v>
      </c>
      <c r="D1500">
        <f>IF(cukier10[[#This Row],[nip_klienta]]=B1499,D1499+cukier10[[#This Row],[sprzedany_cukier]],cukier10[[#This Row],[sprzedany_cukier]])</f>
        <v>24</v>
      </c>
      <c r="E1500" cm="1">
        <f t="array" ref="E15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00">
        <f>cukier10[[#This Row],[sprzedany_cukier]]*cukier10[[#This Row],[rabat]]</f>
        <v>0</v>
      </c>
    </row>
    <row r="1501" spans="1:6" x14ac:dyDescent="0.25">
      <c r="A1501" s="1">
        <v>40799</v>
      </c>
      <c r="B1501" t="s">
        <v>13</v>
      </c>
      <c r="C1501">
        <v>20</v>
      </c>
      <c r="D1501">
        <f>IF(cukier10[[#This Row],[nip_klienta]]=B1500,D1500+cukier10[[#This Row],[sprzedany_cukier]],cukier10[[#This Row],[sprzedany_cukier]])</f>
        <v>44</v>
      </c>
      <c r="E1501" cm="1">
        <f t="array" ref="E15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01">
        <f>cukier10[[#This Row],[sprzedany_cukier]]*cukier10[[#This Row],[rabat]]</f>
        <v>0</v>
      </c>
    </row>
    <row r="1502" spans="1:6" x14ac:dyDescent="0.25">
      <c r="A1502" s="1">
        <v>39498</v>
      </c>
      <c r="B1502" t="s">
        <v>158</v>
      </c>
      <c r="C1502">
        <v>12</v>
      </c>
      <c r="D1502">
        <f>IF(cukier10[[#This Row],[nip_klienta]]=B1501,D1501+cukier10[[#This Row],[sprzedany_cukier]],cukier10[[#This Row],[sprzedany_cukier]])</f>
        <v>12</v>
      </c>
      <c r="E1502" cm="1">
        <f t="array" ref="E15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02">
        <f>cukier10[[#This Row],[sprzedany_cukier]]*cukier10[[#This Row],[rabat]]</f>
        <v>0</v>
      </c>
    </row>
    <row r="1503" spans="1:6" x14ac:dyDescent="0.25">
      <c r="A1503" s="1">
        <v>39605</v>
      </c>
      <c r="B1503" t="s">
        <v>168</v>
      </c>
      <c r="C1503">
        <v>18</v>
      </c>
      <c r="D1503">
        <f>IF(cukier10[[#This Row],[nip_klienta]]=B1502,D1502+cukier10[[#This Row],[sprzedany_cukier]],cukier10[[#This Row],[sprzedany_cukier]])</f>
        <v>18</v>
      </c>
      <c r="E1503" cm="1">
        <f t="array" ref="E15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03">
        <f>cukier10[[#This Row],[sprzedany_cukier]]*cukier10[[#This Row],[rabat]]</f>
        <v>0</v>
      </c>
    </row>
    <row r="1504" spans="1:6" x14ac:dyDescent="0.25">
      <c r="A1504" s="1">
        <v>41076</v>
      </c>
      <c r="B1504" t="s">
        <v>168</v>
      </c>
      <c r="C1504">
        <v>20</v>
      </c>
      <c r="D1504">
        <f>IF(cukier10[[#This Row],[nip_klienta]]=B1503,D1503+cukier10[[#This Row],[sprzedany_cukier]],cukier10[[#This Row],[sprzedany_cukier]])</f>
        <v>38</v>
      </c>
      <c r="E1504" cm="1">
        <f t="array" ref="E15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04">
        <f>cukier10[[#This Row],[sprzedany_cukier]]*cukier10[[#This Row],[rabat]]</f>
        <v>0</v>
      </c>
    </row>
    <row r="1505" spans="1:6" x14ac:dyDescent="0.25">
      <c r="A1505" s="1">
        <v>38847</v>
      </c>
      <c r="B1505" t="s">
        <v>106</v>
      </c>
      <c r="C1505">
        <v>17</v>
      </c>
      <c r="D1505">
        <f>IF(cukier10[[#This Row],[nip_klienta]]=B1504,D1504+cukier10[[#This Row],[sprzedany_cukier]],cukier10[[#This Row],[sprzedany_cukier]])</f>
        <v>17</v>
      </c>
      <c r="E1505" cm="1">
        <f t="array" ref="E15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05">
        <f>cukier10[[#This Row],[sprzedany_cukier]]*cukier10[[#This Row],[rabat]]</f>
        <v>0</v>
      </c>
    </row>
    <row r="1506" spans="1:6" x14ac:dyDescent="0.25">
      <c r="A1506" s="1">
        <v>40066</v>
      </c>
      <c r="B1506" t="s">
        <v>106</v>
      </c>
      <c r="C1506">
        <v>3</v>
      </c>
      <c r="D1506">
        <f>IF(cukier10[[#This Row],[nip_klienta]]=B1505,D1505+cukier10[[#This Row],[sprzedany_cukier]],cukier10[[#This Row],[sprzedany_cukier]])</f>
        <v>20</v>
      </c>
      <c r="E1506" cm="1">
        <f t="array" ref="E15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06">
        <f>cukier10[[#This Row],[sprzedany_cukier]]*cukier10[[#This Row],[rabat]]</f>
        <v>0</v>
      </c>
    </row>
    <row r="1507" spans="1:6" x14ac:dyDescent="0.25">
      <c r="A1507" s="1">
        <v>40423</v>
      </c>
      <c r="B1507" t="s">
        <v>106</v>
      </c>
      <c r="C1507">
        <v>6</v>
      </c>
      <c r="D1507">
        <f>IF(cukier10[[#This Row],[nip_klienta]]=B1506,D1506+cukier10[[#This Row],[sprzedany_cukier]],cukier10[[#This Row],[sprzedany_cukier]])</f>
        <v>26</v>
      </c>
      <c r="E1507" cm="1">
        <f t="array" ref="E15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07">
        <f>cukier10[[#This Row],[sprzedany_cukier]]*cukier10[[#This Row],[rabat]]</f>
        <v>0</v>
      </c>
    </row>
    <row r="1508" spans="1:6" x14ac:dyDescent="0.25">
      <c r="A1508" s="1">
        <v>41509</v>
      </c>
      <c r="B1508" t="s">
        <v>106</v>
      </c>
      <c r="C1508">
        <v>1</v>
      </c>
      <c r="D1508">
        <f>IF(cukier10[[#This Row],[nip_klienta]]=B1507,D1507+cukier10[[#This Row],[sprzedany_cukier]],cukier10[[#This Row],[sprzedany_cukier]])</f>
        <v>27</v>
      </c>
      <c r="E1508" cm="1">
        <f t="array" ref="E15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08">
        <f>cukier10[[#This Row],[sprzedany_cukier]]*cukier10[[#This Row],[rabat]]</f>
        <v>0</v>
      </c>
    </row>
    <row r="1509" spans="1:6" x14ac:dyDescent="0.25">
      <c r="A1509" s="1">
        <v>40060</v>
      </c>
      <c r="B1509" t="s">
        <v>199</v>
      </c>
      <c r="C1509">
        <v>15</v>
      </c>
      <c r="D1509">
        <f>IF(cukier10[[#This Row],[nip_klienta]]=B1508,D1508+cukier10[[#This Row],[sprzedany_cukier]],cukier10[[#This Row],[sprzedany_cukier]])</f>
        <v>15</v>
      </c>
      <c r="E1509" cm="1">
        <f t="array" ref="E15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09">
        <f>cukier10[[#This Row],[sprzedany_cukier]]*cukier10[[#This Row],[rabat]]</f>
        <v>0</v>
      </c>
    </row>
    <row r="1510" spans="1:6" x14ac:dyDescent="0.25">
      <c r="A1510" s="1">
        <v>41385</v>
      </c>
      <c r="B1510" t="s">
        <v>199</v>
      </c>
      <c r="C1510">
        <v>1</v>
      </c>
      <c r="D1510">
        <f>IF(cukier10[[#This Row],[nip_klienta]]=B1509,D1509+cukier10[[#This Row],[sprzedany_cukier]],cukier10[[#This Row],[sprzedany_cukier]])</f>
        <v>16</v>
      </c>
      <c r="E1510" cm="1">
        <f t="array" ref="E15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10">
        <f>cukier10[[#This Row],[sprzedany_cukier]]*cukier10[[#This Row],[rabat]]</f>
        <v>0</v>
      </c>
    </row>
    <row r="1511" spans="1:6" x14ac:dyDescent="0.25">
      <c r="A1511" s="1">
        <v>39878</v>
      </c>
      <c r="B1511" t="s">
        <v>184</v>
      </c>
      <c r="C1511">
        <v>4</v>
      </c>
      <c r="D1511">
        <f>IF(cukier10[[#This Row],[nip_klienta]]=B1510,D1510+cukier10[[#This Row],[sprzedany_cukier]],cukier10[[#This Row],[sprzedany_cukier]])</f>
        <v>4</v>
      </c>
      <c r="E1511" cm="1">
        <f t="array" ref="E15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11">
        <f>cukier10[[#This Row],[sprzedany_cukier]]*cukier10[[#This Row],[rabat]]</f>
        <v>0</v>
      </c>
    </row>
    <row r="1512" spans="1:6" x14ac:dyDescent="0.25">
      <c r="A1512" s="1">
        <v>40092</v>
      </c>
      <c r="B1512" t="s">
        <v>184</v>
      </c>
      <c r="C1512">
        <v>14</v>
      </c>
      <c r="D1512">
        <f>IF(cukier10[[#This Row],[nip_klienta]]=B1511,D1511+cukier10[[#This Row],[sprzedany_cukier]],cukier10[[#This Row],[sprzedany_cukier]])</f>
        <v>18</v>
      </c>
      <c r="E1512" cm="1">
        <f t="array" ref="E15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12">
        <f>cukier10[[#This Row],[sprzedany_cukier]]*cukier10[[#This Row],[rabat]]</f>
        <v>0</v>
      </c>
    </row>
    <row r="1513" spans="1:6" x14ac:dyDescent="0.25">
      <c r="A1513" s="1">
        <v>40287</v>
      </c>
      <c r="B1513" t="s">
        <v>184</v>
      </c>
      <c r="C1513">
        <v>15</v>
      </c>
      <c r="D1513">
        <f>IF(cukier10[[#This Row],[nip_klienta]]=B1512,D1512+cukier10[[#This Row],[sprzedany_cukier]],cukier10[[#This Row],[sprzedany_cukier]])</f>
        <v>33</v>
      </c>
      <c r="E1513" cm="1">
        <f t="array" ref="E15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13">
        <f>cukier10[[#This Row],[sprzedany_cukier]]*cukier10[[#This Row],[rabat]]</f>
        <v>0</v>
      </c>
    </row>
    <row r="1514" spans="1:6" x14ac:dyDescent="0.25">
      <c r="A1514" s="1">
        <v>40838</v>
      </c>
      <c r="B1514" t="s">
        <v>184</v>
      </c>
      <c r="C1514">
        <v>5</v>
      </c>
      <c r="D1514">
        <f>IF(cukier10[[#This Row],[nip_klienta]]=B1513,D1513+cukier10[[#This Row],[sprzedany_cukier]],cukier10[[#This Row],[sprzedany_cukier]])</f>
        <v>38</v>
      </c>
      <c r="E1514" cm="1">
        <f t="array" ref="E15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14">
        <f>cukier10[[#This Row],[sprzedany_cukier]]*cukier10[[#This Row],[rabat]]</f>
        <v>0</v>
      </c>
    </row>
    <row r="1515" spans="1:6" x14ac:dyDescent="0.25">
      <c r="A1515" s="1">
        <v>38388</v>
      </c>
      <c r="B1515" t="s">
        <v>14</v>
      </c>
      <c r="C1515">
        <v>287</v>
      </c>
      <c r="D1515">
        <f>IF(cukier10[[#This Row],[nip_klienta]]=B1514,D1514+cukier10[[#This Row],[sprzedany_cukier]],cukier10[[#This Row],[sprzedany_cukier]])</f>
        <v>287</v>
      </c>
      <c r="E1515" cm="1">
        <f t="array" ref="E15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515">
        <f>cukier10[[#This Row],[sprzedany_cukier]]*cukier10[[#This Row],[rabat]]</f>
        <v>14.350000000000001</v>
      </c>
    </row>
    <row r="1516" spans="1:6" x14ac:dyDescent="0.25">
      <c r="A1516" s="1">
        <v>38407</v>
      </c>
      <c r="B1516" t="s">
        <v>14</v>
      </c>
      <c r="C1516">
        <v>118</v>
      </c>
      <c r="D1516">
        <f>IF(cukier10[[#This Row],[nip_klienta]]=B1515,D1515+cukier10[[#This Row],[sprzedany_cukier]],cukier10[[#This Row],[sprzedany_cukier]])</f>
        <v>405</v>
      </c>
      <c r="E1516" cm="1">
        <f t="array" ref="E15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516">
        <f>cukier10[[#This Row],[sprzedany_cukier]]*cukier10[[#This Row],[rabat]]</f>
        <v>5.9</v>
      </c>
    </row>
    <row r="1517" spans="1:6" x14ac:dyDescent="0.25">
      <c r="A1517" s="1">
        <v>38421</v>
      </c>
      <c r="B1517" t="s">
        <v>14</v>
      </c>
      <c r="C1517">
        <v>309</v>
      </c>
      <c r="D1517">
        <f>IF(cukier10[[#This Row],[nip_klienta]]=B1516,D1516+cukier10[[#This Row],[sprzedany_cukier]],cukier10[[#This Row],[sprzedany_cukier]])</f>
        <v>714</v>
      </c>
      <c r="E1517" cm="1">
        <f t="array" ref="E15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517">
        <f>cukier10[[#This Row],[sprzedany_cukier]]*cukier10[[#This Row],[rabat]]</f>
        <v>15.450000000000001</v>
      </c>
    </row>
    <row r="1518" spans="1:6" x14ac:dyDescent="0.25">
      <c r="A1518" s="1">
        <v>38461</v>
      </c>
      <c r="B1518" t="s">
        <v>14</v>
      </c>
      <c r="C1518">
        <v>298</v>
      </c>
      <c r="D1518">
        <f>IF(cukier10[[#This Row],[nip_klienta]]=B1517,D1517+cukier10[[#This Row],[sprzedany_cukier]],cukier10[[#This Row],[sprzedany_cukier]])</f>
        <v>1012</v>
      </c>
      <c r="E1518" cm="1">
        <f t="array" ref="E15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18">
        <f>cukier10[[#This Row],[sprzedany_cukier]]*cukier10[[#This Row],[rabat]]</f>
        <v>29.8</v>
      </c>
    </row>
    <row r="1519" spans="1:6" x14ac:dyDescent="0.25">
      <c r="A1519" s="1">
        <v>38473</v>
      </c>
      <c r="B1519" t="s">
        <v>14</v>
      </c>
      <c r="C1519">
        <v>319</v>
      </c>
      <c r="D1519">
        <f>IF(cukier10[[#This Row],[nip_klienta]]=B1518,D1518+cukier10[[#This Row],[sprzedany_cukier]],cukier10[[#This Row],[sprzedany_cukier]])</f>
        <v>1331</v>
      </c>
      <c r="E1519" cm="1">
        <f t="array" ref="E15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19">
        <f>cukier10[[#This Row],[sprzedany_cukier]]*cukier10[[#This Row],[rabat]]</f>
        <v>31.900000000000002</v>
      </c>
    </row>
    <row r="1520" spans="1:6" x14ac:dyDescent="0.25">
      <c r="A1520" s="1">
        <v>38531</v>
      </c>
      <c r="B1520" t="s">
        <v>14</v>
      </c>
      <c r="C1520">
        <v>222</v>
      </c>
      <c r="D1520">
        <f>IF(cukier10[[#This Row],[nip_klienta]]=B1519,D1519+cukier10[[#This Row],[sprzedany_cukier]],cukier10[[#This Row],[sprzedany_cukier]])</f>
        <v>1553</v>
      </c>
      <c r="E1520" cm="1">
        <f t="array" ref="E15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20">
        <f>cukier10[[#This Row],[sprzedany_cukier]]*cukier10[[#This Row],[rabat]]</f>
        <v>22.200000000000003</v>
      </c>
    </row>
    <row r="1521" spans="1:6" x14ac:dyDescent="0.25">
      <c r="A1521" s="1">
        <v>38546</v>
      </c>
      <c r="B1521" t="s">
        <v>14</v>
      </c>
      <c r="C1521">
        <v>408</v>
      </c>
      <c r="D1521">
        <f>IF(cukier10[[#This Row],[nip_klienta]]=B1520,D1520+cukier10[[#This Row],[sprzedany_cukier]],cukier10[[#This Row],[sprzedany_cukier]])</f>
        <v>1961</v>
      </c>
      <c r="E1521" cm="1">
        <f t="array" ref="E15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21">
        <f>cukier10[[#This Row],[sprzedany_cukier]]*cukier10[[#This Row],[rabat]]</f>
        <v>40.800000000000004</v>
      </c>
    </row>
    <row r="1522" spans="1:6" x14ac:dyDescent="0.25">
      <c r="A1522" s="1">
        <v>38711</v>
      </c>
      <c r="B1522" t="s">
        <v>14</v>
      </c>
      <c r="C1522">
        <v>225</v>
      </c>
      <c r="D1522">
        <f>IF(cukier10[[#This Row],[nip_klienta]]=B1521,D1521+cukier10[[#This Row],[sprzedany_cukier]],cukier10[[#This Row],[sprzedany_cukier]])</f>
        <v>2186</v>
      </c>
      <c r="E1522" cm="1">
        <f t="array" ref="E15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22">
        <f>cukier10[[#This Row],[sprzedany_cukier]]*cukier10[[#This Row],[rabat]]</f>
        <v>22.5</v>
      </c>
    </row>
    <row r="1523" spans="1:6" x14ac:dyDescent="0.25">
      <c r="A1523" s="1">
        <v>38721</v>
      </c>
      <c r="B1523" t="s">
        <v>14</v>
      </c>
      <c r="C1523">
        <v>295</v>
      </c>
      <c r="D1523">
        <f>IF(cukier10[[#This Row],[nip_klienta]]=B1522,D1522+cukier10[[#This Row],[sprzedany_cukier]],cukier10[[#This Row],[sprzedany_cukier]])</f>
        <v>2481</v>
      </c>
      <c r="E1523" cm="1">
        <f t="array" ref="E15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23">
        <f>cukier10[[#This Row],[sprzedany_cukier]]*cukier10[[#This Row],[rabat]]</f>
        <v>29.5</v>
      </c>
    </row>
    <row r="1524" spans="1:6" x14ac:dyDescent="0.25">
      <c r="A1524" s="1">
        <v>38754</v>
      </c>
      <c r="B1524" t="s">
        <v>14</v>
      </c>
      <c r="C1524">
        <v>453</v>
      </c>
      <c r="D1524">
        <f>IF(cukier10[[#This Row],[nip_klienta]]=B1523,D1523+cukier10[[#This Row],[sprzedany_cukier]],cukier10[[#This Row],[sprzedany_cukier]])</f>
        <v>2934</v>
      </c>
      <c r="E1524" cm="1">
        <f t="array" ref="E15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24">
        <f>cukier10[[#This Row],[sprzedany_cukier]]*cukier10[[#This Row],[rabat]]</f>
        <v>45.300000000000004</v>
      </c>
    </row>
    <row r="1525" spans="1:6" x14ac:dyDescent="0.25">
      <c r="A1525" s="1">
        <v>38855</v>
      </c>
      <c r="B1525" t="s">
        <v>14</v>
      </c>
      <c r="C1525">
        <v>131</v>
      </c>
      <c r="D1525">
        <f>IF(cukier10[[#This Row],[nip_klienta]]=B1524,D1524+cukier10[[#This Row],[sprzedany_cukier]],cukier10[[#This Row],[sprzedany_cukier]])</f>
        <v>3065</v>
      </c>
      <c r="E1525" cm="1">
        <f t="array" ref="E15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25">
        <f>cukier10[[#This Row],[sprzedany_cukier]]*cukier10[[#This Row],[rabat]]</f>
        <v>13.100000000000001</v>
      </c>
    </row>
    <row r="1526" spans="1:6" x14ac:dyDescent="0.25">
      <c r="A1526" s="1">
        <v>38942</v>
      </c>
      <c r="B1526" t="s">
        <v>14</v>
      </c>
      <c r="C1526">
        <v>422</v>
      </c>
      <c r="D1526">
        <f>IF(cukier10[[#This Row],[nip_klienta]]=B1525,D1525+cukier10[[#This Row],[sprzedany_cukier]],cukier10[[#This Row],[sprzedany_cukier]])</f>
        <v>3487</v>
      </c>
      <c r="E1526" cm="1">
        <f t="array" ref="E15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26">
        <f>cukier10[[#This Row],[sprzedany_cukier]]*cukier10[[#This Row],[rabat]]</f>
        <v>42.2</v>
      </c>
    </row>
    <row r="1527" spans="1:6" x14ac:dyDescent="0.25">
      <c r="A1527" s="1">
        <v>38959</v>
      </c>
      <c r="B1527" t="s">
        <v>14</v>
      </c>
      <c r="C1527">
        <v>220</v>
      </c>
      <c r="D1527">
        <f>IF(cukier10[[#This Row],[nip_klienta]]=B1526,D1526+cukier10[[#This Row],[sprzedany_cukier]],cukier10[[#This Row],[sprzedany_cukier]])</f>
        <v>3707</v>
      </c>
      <c r="E1527" cm="1">
        <f t="array" ref="E15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27">
        <f>cukier10[[#This Row],[sprzedany_cukier]]*cukier10[[#This Row],[rabat]]</f>
        <v>22</v>
      </c>
    </row>
    <row r="1528" spans="1:6" x14ac:dyDescent="0.25">
      <c r="A1528" s="1">
        <v>39035</v>
      </c>
      <c r="B1528" t="s">
        <v>14</v>
      </c>
      <c r="C1528">
        <v>108</v>
      </c>
      <c r="D1528">
        <f>IF(cukier10[[#This Row],[nip_klienta]]=B1527,D1527+cukier10[[#This Row],[sprzedany_cukier]],cukier10[[#This Row],[sprzedany_cukier]])</f>
        <v>3815</v>
      </c>
      <c r="E1528" cm="1">
        <f t="array" ref="E15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28">
        <f>cukier10[[#This Row],[sprzedany_cukier]]*cukier10[[#This Row],[rabat]]</f>
        <v>10.8</v>
      </c>
    </row>
    <row r="1529" spans="1:6" x14ac:dyDescent="0.25">
      <c r="A1529" s="1">
        <v>39106</v>
      </c>
      <c r="B1529" t="s">
        <v>14</v>
      </c>
      <c r="C1529">
        <v>349</v>
      </c>
      <c r="D1529">
        <f>IF(cukier10[[#This Row],[nip_klienta]]=B1528,D1528+cukier10[[#This Row],[sprzedany_cukier]],cukier10[[#This Row],[sprzedany_cukier]])</f>
        <v>4164</v>
      </c>
      <c r="E1529" cm="1">
        <f t="array" ref="E15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29">
        <f>cukier10[[#This Row],[sprzedany_cukier]]*cukier10[[#This Row],[rabat]]</f>
        <v>34.9</v>
      </c>
    </row>
    <row r="1530" spans="1:6" x14ac:dyDescent="0.25">
      <c r="A1530" s="1">
        <v>39197</v>
      </c>
      <c r="B1530" t="s">
        <v>14</v>
      </c>
      <c r="C1530">
        <v>497</v>
      </c>
      <c r="D1530">
        <f>IF(cukier10[[#This Row],[nip_klienta]]=B1529,D1529+cukier10[[#This Row],[sprzedany_cukier]],cukier10[[#This Row],[sprzedany_cukier]])</f>
        <v>4661</v>
      </c>
      <c r="E1530" cm="1">
        <f t="array" ref="E15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30">
        <f>cukier10[[#This Row],[sprzedany_cukier]]*cukier10[[#This Row],[rabat]]</f>
        <v>49.7</v>
      </c>
    </row>
    <row r="1531" spans="1:6" x14ac:dyDescent="0.25">
      <c r="A1531" s="1">
        <v>39218</v>
      </c>
      <c r="B1531" t="s">
        <v>14</v>
      </c>
      <c r="C1531">
        <v>293</v>
      </c>
      <c r="D1531">
        <f>IF(cukier10[[#This Row],[nip_klienta]]=B1530,D1530+cukier10[[#This Row],[sprzedany_cukier]],cukier10[[#This Row],[sprzedany_cukier]])</f>
        <v>4954</v>
      </c>
      <c r="E1531" cm="1">
        <f t="array" ref="E15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31">
        <f>cukier10[[#This Row],[sprzedany_cukier]]*cukier10[[#This Row],[rabat]]</f>
        <v>29.3</v>
      </c>
    </row>
    <row r="1532" spans="1:6" x14ac:dyDescent="0.25">
      <c r="A1532" s="1">
        <v>39230</v>
      </c>
      <c r="B1532" t="s">
        <v>14</v>
      </c>
      <c r="C1532">
        <v>415</v>
      </c>
      <c r="D1532">
        <f>IF(cukier10[[#This Row],[nip_klienta]]=B1531,D1531+cukier10[[#This Row],[sprzedany_cukier]],cukier10[[#This Row],[sprzedany_cukier]])</f>
        <v>5369</v>
      </c>
      <c r="E1532" cm="1">
        <f t="array" ref="E15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32">
        <f>cukier10[[#This Row],[sprzedany_cukier]]*cukier10[[#This Row],[rabat]]</f>
        <v>41.5</v>
      </c>
    </row>
    <row r="1533" spans="1:6" x14ac:dyDescent="0.25">
      <c r="A1533" s="1">
        <v>39248</v>
      </c>
      <c r="B1533" t="s">
        <v>14</v>
      </c>
      <c r="C1533">
        <v>169</v>
      </c>
      <c r="D1533">
        <f>IF(cukier10[[#This Row],[nip_klienta]]=B1532,D1532+cukier10[[#This Row],[sprzedany_cukier]],cukier10[[#This Row],[sprzedany_cukier]])</f>
        <v>5538</v>
      </c>
      <c r="E1533" cm="1">
        <f t="array" ref="E15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33">
        <f>cukier10[[#This Row],[sprzedany_cukier]]*cukier10[[#This Row],[rabat]]</f>
        <v>16.900000000000002</v>
      </c>
    </row>
    <row r="1534" spans="1:6" x14ac:dyDescent="0.25">
      <c r="A1534" s="1">
        <v>39329</v>
      </c>
      <c r="B1534" t="s">
        <v>14</v>
      </c>
      <c r="C1534">
        <v>294</v>
      </c>
      <c r="D1534">
        <f>IF(cukier10[[#This Row],[nip_klienta]]=B1533,D1533+cukier10[[#This Row],[sprzedany_cukier]],cukier10[[#This Row],[sprzedany_cukier]])</f>
        <v>5832</v>
      </c>
      <c r="E1534" cm="1">
        <f t="array" ref="E15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34">
        <f>cukier10[[#This Row],[sprzedany_cukier]]*cukier10[[#This Row],[rabat]]</f>
        <v>29.400000000000002</v>
      </c>
    </row>
    <row r="1535" spans="1:6" x14ac:dyDescent="0.25">
      <c r="A1535" s="1">
        <v>39397</v>
      </c>
      <c r="B1535" t="s">
        <v>14</v>
      </c>
      <c r="C1535">
        <v>396</v>
      </c>
      <c r="D1535">
        <f>IF(cukier10[[#This Row],[nip_klienta]]=B1534,D1534+cukier10[[#This Row],[sprzedany_cukier]],cukier10[[#This Row],[sprzedany_cukier]])</f>
        <v>6228</v>
      </c>
      <c r="E1535" cm="1">
        <f t="array" ref="E15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35">
        <f>cukier10[[#This Row],[sprzedany_cukier]]*cukier10[[#This Row],[rabat]]</f>
        <v>39.6</v>
      </c>
    </row>
    <row r="1536" spans="1:6" x14ac:dyDescent="0.25">
      <c r="A1536" s="1">
        <v>39483</v>
      </c>
      <c r="B1536" t="s">
        <v>14</v>
      </c>
      <c r="C1536">
        <v>333</v>
      </c>
      <c r="D1536">
        <f>IF(cukier10[[#This Row],[nip_klienta]]=B1535,D1535+cukier10[[#This Row],[sprzedany_cukier]],cukier10[[#This Row],[sprzedany_cukier]])</f>
        <v>6561</v>
      </c>
      <c r="E1536" cm="1">
        <f t="array" ref="E15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36">
        <f>cukier10[[#This Row],[sprzedany_cukier]]*cukier10[[#This Row],[rabat]]</f>
        <v>33.300000000000004</v>
      </c>
    </row>
    <row r="1537" spans="1:6" x14ac:dyDescent="0.25">
      <c r="A1537" s="1">
        <v>39505</v>
      </c>
      <c r="B1537" t="s">
        <v>14</v>
      </c>
      <c r="C1537">
        <v>446</v>
      </c>
      <c r="D1537">
        <f>IF(cukier10[[#This Row],[nip_klienta]]=B1536,D1536+cukier10[[#This Row],[sprzedany_cukier]],cukier10[[#This Row],[sprzedany_cukier]])</f>
        <v>7007</v>
      </c>
      <c r="E1537" cm="1">
        <f t="array" ref="E15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37">
        <f>cukier10[[#This Row],[sprzedany_cukier]]*cukier10[[#This Row],[rabat]]</f>
        <v>44.6</v>
      </c>
    </row>
    <row r="1538" spans="1:6" x14ac:dyDescent="0.25">
      <c r="A1538" s="1">
        <v>39536</v>
      </c>
      <c r="B1538" t="s">
        <v>14</v>
      </c>
      <c r="C1538">
        <v>431</v>
      </c>
      <c r="D1538">
        <f>IF(cukier10[[#This Row],[nip_klienta]]=B1537,D1537+cukier10[[#This Row],[sprzedany_cukier]],cukier10[[#This Row],[sprzedany_cukier]])</f>
        <v>7438</v>
      </c>
      <c r="E1538" cm="1">
        <f t="array" ref="E15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38">
        <f>cukier10[[#This Row],[sprzedany_cukier]]*cukier10[[#This Row],[rabat]]</f>
        <v>43.1</v>
      </c>
    </row>
    <row r="1539" spans="1:6" x14ac:dyDescent="0.25">
      <c r="A1539" s="1">
        <v>39554</v>
      </c>
      <c r="B1539" t="s">
        <v>14</v>
      </c>
      <c r="C1539">
        <v>433</v>
      </c>
      <c r="D1539">
        <f>IF(cukier10[[#This Row],[nip_klienta]]=B1538,D1538+cukier10[[#This Row],[sprzedany_cukier]],cukier10[[#This Row],[sprzedany_cukier]])</f>
        <v>7871</v>
      </c>
      <c r="E1539" cm="1">
        <f t="array" ref="E15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39">
        <f>cukier10[[#This Row],[sprzedany_cukier]]*cukier10[[#This Row],[rabat]]</f>
        <v>43.300000000000004</v>
      </c>
    </row>
    <row r="1540" spans="1:6" x14ac:dyDescent="0.25">
      <c r="A1540" s="1">
        <v>39571</v>
      </c>
      <c r="B1540" t="s">
        <v>14</v>
      </c>
      <c r="C1540">
        <v>320</v>
      </c>
      <c r="D1540">
        <f>IF(cukier10[[#This Row],[nip_klienta]]=B1539,D1539+cukier10[[#This Row],[sprzedany_cukier]],cukier10[[#This Row],[sprzedany_cukier]])</f>
        <v>8191</v>
      </c>
      <c r="E1540" cm="1">
        <f t="array" ref="E15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40">
        <f>cukier10[[#This Row],[sprzedany_cukier]]*cukier10[[#This Row],[rabat]]</f>
        <v>32</v>
      </c>
    </row>
    <row r="1541" spans="1:6" x14ac:dyDescent="0.25">
      <c r="A1541" s="1">
        <v>39698</v>
      </c>
      <c r="B1541" t="s">
        <v>14</v>
      </c>
      <c r="C1541">
        <v>492</v>
      </c>
      <c r="D1541">
        <f>IF(cukier10[[#This Row],[nip_klienta]]=B1540,D1540+cukier10[[#This Row],[sprzedany_cukier]],cukier10[[#This Row],[sprzedany_cukier]])</f>
        <v>8683</v>
      </c>
      <c r="E1541" cm="1">
        <f t="array" ref="E15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41">
        <f>cukier10[[#This Row],[sprzedany_cukier]]*cukier10[[#This Row],[rabat]]</f>
        <v>49.2</v>
      </c>
    </row>
    <row r="1542" spans="1:6" x14ac:dyDescent="0.25">
      <c r="A1542" s="1">
        <v>39745</v>
      </c>
      <c r="B1542" t="s">
        <v>14</v>
      </c>
      <c r="C1542">
        <v>415</v>
      </c>
      <c r="D1542">
        <f>IF(cukier10[[#This Row],[nip_klienta]]=B1541,D1541+cukier10[[#This Row],[sprzedany_cukier]],cukier10[[#This Row],[sprzedany_cukier]])</f>
        <v>9098</v>
      </c>
      <c r="E1542" cm="1">
        <f t="array" ref="E15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42">
        <f>cukier10[[#This Row],[sprzedany_cukier]]*cukier10[[#This Row],[rabat]]</f>
        <v>41.5</v>
      </c>
    </row>
    <row r="1543" spans="1:6" x14ac:dyDescent="0.25">
      <c r="A1543" s="1">
        <v>39811</v>
      </c>
      <c r="B1543" t="s">
        <v>14</v>
      </c>
      <c r="C1543">
        <v>110</v>
      </c>
      <c r="D1543">
        <f>IF(cukier10[[#This Row],[nip_klienta]]=B1542,D1542+cukier10[[#This Row],[sprzedany_cukier]],cukier10[[#This Row],[sprzedany_cukier]])</f>
        <v>9208</v>
      </c>
      <c r="E1543" cm="1">
        <f t="array" ref="E15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43">
        <f>cukier10[[#This Row],[sprzedany_cukier]]*cukier10[[#This Row],[rabat]]</f>
        <v>11</v>
      </c>
    </row>
    <row r="1544" spans="1:6" x14ac:dyDescent="0.25">
      <c r="A1544" s="1">
        <v>39819</v>
      </c>
      <c r="B1544" t="s">
        <v>14</v>
      </c>
      <c r="C1544">
        <v>129</v>
      </c>
      <c r="D1544">
        <f>IF(cukier10[[#This Row],[nip_klienta]]=B1543,D1543+cukier10[[#This Row],[sprzedany_cukier]],cukier10[[#This Row],[sprzedany_cukier]])</f>
        <v>9337</v>
      </c>
      <c r="E1544" cm="1">
        <f t="array" ref="E15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44">
        <f>cukier10[[#This Row],[sprzedany_cukier]]*cukier10[[#This Row],[rabat]]</f>
        <v>12.9</v>
      </c>
    </row>
    <row r="1545" spans="1:6" x14ac:dyDescent="0.25">
      <c r="A1545" s="1">
        <v>39853</v>
      </c>
      <c r="B1545" t="s">
        <v>14</v>
      </c>
      <c r="C1545">
        <v>423</v>
      </c>
      <c r="D1545">
        <f>IF(cukier10[[#This Row],[nip_klienta]]=B1544,D1544+cukier10[[#This Row],[sprzedany_cukier]],cukier10[[#This Row],[sprzedany_cukier]])</f>
        <v>9760</v>
      </c>
      <c r="E1545" cm="1">
        <f t="array" ref="E15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545">
        <f>cukier10[[#This Row],[sprzedany_cukier]]*cukier10[[#This Row],[rabat]]</f>
        <v>42.300000000000004</v>
      </c>
    </row>
    <row r="1546" spans="1:6" x14ac:dyDescent="0.25">
      <c r="A1546" s="1">
        <v>39902</v>
      </c>
      <c r="B1546" t="s">
        <v>14</v>
      </c>
      <c r="C1546">
        <v>406</v>
      </c>
      <c r="D1546">
        <f>IF(cukier10[[#This Row],[nip_klienta]]=B1545,D1545+cukier10[[#This Row],[sprzedany_cukier]],cukier10[[#This Row],[sprzedany_cukier]])</f>
        <v>10166</v>
      </c>
      <c r="E1546" cm="1">
        <f t="array" ref="E15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46">
        <f>cukier10[[#This Row],[sprzedany_cukier]]*cukier10[[#This Row],[rabat]]</f>
        <v>81.2</v>
      </c>
    </row>
    <row r="1547" spans="1:6" x14ac:dyDescent="0.25">
      <c r="A1547" s="1">
        <v>39904</v>
      </c>
      <c r="B1547" t="s">
        <v>14</v>
      </c>
      <c r="C1547">
        <v>108</v>
      </c>
      <c r="D1547">
        <f>IF(cukier10[[#This Row],[nip_klienta]]=B1546,D1546+cukier10[[#This Row],[sprzedany_cukier]],cukier10[[#This Row],[sprzedany_cukier]])</f>
        <v>10274</v>
      </c>
      <c r="E1547" cm="1">
        <f t="array" ref="E15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47">
        <f>cukier10[[#This Row],[sprzedany_cukier]]*cukier10[[#This Row],[rabat]]</f>
        <v>21.6</v>
      </c>
    </row>
    <row r="1548" spans="1:6" x14ac:dyDescent="0.25">
      <c r="A1548" s="1">
        <v>39949</v>
      </c>
      <c r="B1548" t="s">
        <v>14</v>
      </c>
      <c r="C1548">
        <v>261</v>
      </c>
      <c r="D1548">
        <f>IF(cukier10[[#This Row],[nip_klienta]]=B1547,D1547+cukier10[[#This Row],[sprzedany_cukier]],cukier10[[#This Row],[sprzedany_cukier]])</f>
        <v>10535</v>
      </c>
      <c r="E1548" cm="1">
        <f t="array" ref="E15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48">
        <f>cukier10[[#This Row],[sprzedany_cukier]]*cukier10[[#This Row],[rabat]]</f>
        <v>52.2</v>
      </c>
    </row>
    <row r="1549" spans="1:6" x14ac:dyDescent="0.25">
      <c r="A1549" s="1">
        <v>40039</v>
      </c>
      <c r="B1549" t="s">
        <v>14</v>
      </c>
      <c r="C1549">
        <v>340</v>
      </c>
      <c r="D1549">
        <f>IF(cukier10[[#This Row],[nip_klienta]]=B1548,D1548+cukier10[[#This Row],[sprzedany_cukier]],cukier10[[#This Row],[sprzedany_cukier]])</f>
        <v>10875</v>
      </c>
      <c r="E1549" cm="1">
        <f t="array" ref="E15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49">
        <f>cukier10[[#This Row],[sprzedany_cukier]]*cukier10[[#This Row],[rabat]]</f>
        <v>68</v>
      </c>
    </row>
    <row r="1550" spans="1:6" x14ac:dyDescent="0.25">
      <c r="A1550" s="1">
        <v>40090</v>
      </c>
      <c r="B1550" t="s">
        <v>14</v>
      </c>
      <c r="C1550">
        <v>290</v>
      </c>
      <c r="D1550">
        <f>IF(cukier10[[#This Row],[nip_klienta]]=B1549,D1549+cukier10[[#This Row],[sprzedany_cukier]],cukier10[[#This Row],[sprzedany_cukier]])</f>
        <v>11165</v>
      </c>
      <c r="E1550" cm="1">
        <f t="array" ref="E15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50">
        <f>cukier10[[#This Row],[sprzedany_cukier]]*cukier10[[#This Row],[rabat]]</f>
        <v>58</v>
      </c>
    </row>
    <row r="1551" spans="1:6" x14ac:dyDescent="0.25">
      <c r="A1551" s="1">
        <v>40134</v>
      </c>
      <c r="B1551" t="s">
        <v>14</v>
      </c>
      <c r="C1551">
        <v>276</v>
      </c>
      <c r="D1551">
        <f>IF(cukier10[[#This Row],[nip_klienta]]=B1550,D1550+cukier10[[#This Row],[sprzedany_cukier]],cukier10[[#This Row],[sprzedany_cukier]])</f>
        <v>11441</v>
      </c>
      <c r="E1551" cm="1">
        <f t="array" ref="E15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51">
        <f>cukier10[[#This Row],[sprzedany_cukier]]*cukier10[[#This Row],[rabat]]</f>
        <v>55.2</v>
      </c>
    </row>
    <row r="1552" spans="1:6" x14ac:dyDescent="0.25">
      <c r="A1552" s="1">
        <v>40153</v>
      </c>
      <c r="B1552" t="s">
        <v>14</v>
      </c>
      <c r="C1552">
        <v>211</v>
      </c>
      <c r="D1552">
        <f>IF(cukier10[[#This Row],[nip_klienta]]=B1551,D1551+cukier10[[#This Row],[sprzedany_cukier]],cukier10[[#This Row],[sprzedany_cukier]])</f>
        <v>11652</v>
      </c>
      <c r="E1552" cm="1">
        <f t="array" ref="E15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52">
        <f>cukier10[[#This Row],[sprzedany_cukier]]*cukier10[[#This Row],[rabat]]</f>
        <v>42.2</v>
      </c>
    </row>
    <row r="1553" spans="1:6" x14ac:dyDescent="0.25">
      <c r="A1553" s="1">
        <v>40203</v>
      </c>
      <c r="B1553" t="s">
        <v>14</v>
      </c>
      <c r="C1553">
        <v>200</v>
      </c>
      <c r="D1553">
        <f>IF(cukier10[[#This Row],[nip_klienta]]=B1552,D1552+cukier10[[#This Row],[sprzedany_cukier]],cukier10[[#This Row],[sprzedany_cukier]])</f>
        <v>11852</v>
      </c>
      <c r="E1553" cm="1">
        <f t="array" ref="E15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53">
        <f>cukier10[[#This Row],[sprzedany_cukier]]*cukier10[[#This Row],[rabat]]</f>
        <v>40</v>
      </c>
    </row>
    <row r="1554" spans="1:6" x14ac:dyDescent="0.25">
      <c r="A1554" s="1">
        <v>40217</v>
      </c>
      <c r="B1554" t="s">
        <v>14</v>
      </c>
      <c r="C1554">
        <v>317</v>
      </c>
      <c r="D1554">
        <f>IF(cukier10[[#This Row],[nip_klienta]]=B1553,D1553+cukier10[[#This Row],[sprzedany_cukier]],cukier10[[#This Row],[sprzedany_cukier]])</f>
        <v>12169</v>
      </c>
      <c r="E1554" cm="1">
        <f t="array" ref="E15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54">
        <f>cukier10[[#This Row],[sprzedany_cukier]]*cukier10[[#This Row],[rabat]]</f>
        <v>63.400000000000006</v>
      </c>
    </row>
    <row r="1555" spans="1:6" x14ac:dyDescent="0.25">
      <c r="A1555" s="1">
        <v>40250</v>
      </c>
      <c r="B1555" t="s">
        <v>14</v>
      </c>
      <c r="C1555">
        <v>417</v>
      </c>
      <c r="D1555">
        <f>IF(cukier10[[#This Row],[nip_klienta]]=B1554,D1554+cukier10[[#This Row],[sprzedany_cukier]],cukier10[[#This Row],[sprzedany_cukier]])</f>
        <v>12586</v>
      </c>
      <c r="E1555" cm="1">
        <f t="array" ref="E15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55">
        <f>cukier10[[#This Row],[sprzedany_cukier]]*cukier10[[#This Row],[rabat]]</f>
        <v>83.4</v>
      </c>
    </row>
    <row r="1556" spans="1:6" x14ac:dyDescent="0.25">
      <c r="A1556" s="1">
        <v>40272</v>
      </c>
      <c r="B1556" t="s">
        <v>14</v>
      </c>
      <c r="C1556">
        <v>400</v>
      </c>
      <c r="D1556">
        <f>IF(cukier10[[#This Row],[nip_klienta]]=B1555,D1555+cukier10[[#This Row],[sprzedany_cukier]],cukier10[[#This Row],[sprzedany_cukier]])</f>
        <v>12986</v>
      </c>
      <c r="E1556" cm="1">
        <f t="array" ref="E15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56">
        <f>cukier10[[#This Row],[sprzedany_cukier]]*cukier10[[#This Row],[rabat]]</f>
        <v>80</v>
      </c>
    </row>
    <row r="1557" spans="1:6" x14ac:dyDescent="0.25">
      <c r="A1557" s="1">
        <v>40299</v>
      </c>
      <c r="B1557" t="s">
        <v>14</v>
      </c>
      <c r="C1557">
        <v>475</v>
      </c>
      <c r="D1557">
        <f>IF(cukier10[[#This Row],[nip_klienta]]=B1556,D1556+cukier10[[#This Row],[sprzedany_cukier]],cukier10[[#This Row],[sprzedany_cukier]])</f>
        <v>13461</v>
      </c>
      <c r="E1557" cm="1">
        <f t="array" ref="E15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57">
        <f>cukier10[[#This Row],[sprzedany_cukier]]*cukier10[[#This Row],[rabat]]</f>
        <v>95</v>
      </c>
    </row>
    <row r="1558" spans="1:6" x14ac:dyDescent="0.25">
      <c r="A1558" s="1">
        <v>40337</v>
      </c>
      <c r="B1558" t="s">
        <v>14</v>
      </c>
      <c r="C1558">
        <v>329</v>
      </c>
      <c r="D1558">
        <f>IF(cukier10[[#This Row],[nip_klienta]]=B1557,D1557+cukier10[[#This Row],[sprzedany_cukier]],cukier10[[#This Row],[sprzedany_cukier]])</f>
        <v>13790</v>
      </c>
      <c r="E1558" cm="1">
        <f t="array" ref="E15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58">
        <f>cukier10[[#This Row],[sprzedany_cukier]]*cukier10[[#This Row],[rabat]]</f>
        <v>65.8</v>
      </c>
    </row>
    <row r="1559" spans="1:6" x14ac:dyDescent="0.25">
      <c r="A1559" s="1">
        <v>40346</v>
      </c>
      <c r="B1559" t="s">
        <v>14</v>
      </c>
      <c r="C1559">
        <v>233</v>
      </c>
      <c r="D1559">
        <f>IF(cukier10[[#This Row],[nip_klienta]]=B1558,D1558+cukier10[[#This Row],[sprzedany_cukier]],cukier10[[#This Row],[sprzedany_cukier]])</f>
        <v>14023</v>
      </c>
      <c r="E1559" cm="1">
        <f t="array" ref="E15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59">
        <f>cukier10[[#This Row],[sprzedany_cukier]]*cukier10[[#This Row],[rabat]]</f>
        <v>46.6</v>
      </c>
    </row>
    <row r="1560" spans="1:6" x14ac:dyDescent="0.25">
      <c r="A1560" s="1">
        <v>40448</v>
      </c>
      <c r="B1560" t="s">
        <v>14</v>
      </c>
      <c r="C1560">
        <v>219</v>
      </c>
      <c r="D1560">
        <f>IF(cukier10[[#This Row],[nip_klienta]]=B1559,D1559+cukier10[[#This Row],[sprzedany_cukier]],cukier10[[#This Row],[sprzedany_cukier]])</f>
        <v>14242</v>
      </c>
      <c r="E1560" cm="1">
        <f t="array" ref="E15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60">
        <f>cukier10[[#This Row],[sprzedany_cukier]]*cukier10[[#This Row],[rabat]]</f>
        <v>43.800000000000004</v>
      </c>
    </row>
    <row r="1561" spans="1:6" x14ac:dyDescent="0.25">
      <c r="A1561" s="1">
        <v>40460</v>
      </c>
      <c r="B1561" t="s">
        <v>14</v>
      </c>
      <c r="C1561">
        <v>429</v>
      </c>
      <c r="D1561">
        <f>IF(cukier10[[#This Row],[nip_klienta]]=B1560,D1560+cukier10[[#This Row],[sprzedany_cukier]],cukier10[[#This Row],[sprzedany_cukier]])</f>
        <v>14671</v>
      </c>
      <c r="E1561" cm="1">
        <f t="array" ref="E15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61">
        <f>cukier10[[#This Row],[sprzedany_cukier]]*cukier10[[#This Row],[rabat]]</f>
        <v>85.800000000000011</v>
      </c>
    </row>
    <row r="1562" spans="1:6" x14ac:dyDescent="0.25">
      <c r="A1562" s="1">
        <v>40463</v>
      </c>
      <c r="B1562" t="s">
        <v>14</v>
      </c>
      <c r="C1562">
        <v>427</v>
      </c>
      <c r="D1562">
        <f>IF(cukier10[[#This Row],[nip_klienta]]=B1561,D1561+cukier10[[#This Row],[sprzedany_cukier]],cukier10[[#This Row],[sprzedany_cukier]])</f>
        <v>15098</v>
      </c>
      <c r="E1562" cm="1">
        <f t="array" ref="E15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62">
        <f>cukier10[[#This Row],[sprzedany_cukier]]*cukier10[[#This Row],[rabat]]</f>
        <v>85.4</v>
      </c>
    </row>
    <row r="1563" spans="1:6" x14ac:dyDescent="0.25">
      <c r="A1563" s="1">
        <v>40481</v>
      </c>
      <c r="B1563" t="s">
        <v>14</v>
      </c>
      <c r="C1563">
        <v>126</v>
      </c>
      <c r="D1563">
        <f>IF(cukier10[[#This Row],[nip_klienta]]=B1562,D1562+cukier10[[#This Row],[sprzedany_cukier]],cukier10[[#This Row],[sprzedany_cukier]])</f>
        <v>15224</v>
      </c>
      <c r="E1563" cm="1">
        <f t="array" ref="E15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63">
        <f>cukier10[[#This Row],[sprzedany_cukier]]*cukier10[[#This Row],[rabat]]</f>
        <v>25.200000000000003</v>
      </c>
    </row>
    <row r="1564" spans="1:6" x14ac:dyDescent="0.25">
      <c r="A1564" s="1">
        <v>40508</v>
      </c>
      <c r="B1564" t="s">
        <v>14</v>
      </c>
      <c r="C1564">
        <v>191</v>
      </c>
      <c r="D1564">
        <f>IF(cukier10[[#This Row],[nip_klienta]]=B1563,D1563+cukier10[[#This Row],[sprzedany_cukier]],cukier10[[#This Row],[sprzedany_cukier]])</f>
        <v>15415</v>
      </c>
      <c r="E1564" cm="1">
        <f t="array" ref="E15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64">
        <f>cukier10[[#This Row],[sprzedany_cukier]]*cukier10[[#This Row],[rabat]]</f>
        <v>38.200000000000003</v>
      </c>
    </row>
    <row r="1565" spans="1:6" x14ac:dyDescent="0.25">
      <c r="A1565" s="1">
        <v>40516</v>
      </c>
      <c r="B1565" t="s">
        <v>14</v>
      </c>
      <c r="C1565">
        <v>175</v>
      </c>
      <c r="D1565">
        <f>IF(cukier10[[#This Row],[nip_klienta]]=B1564,D1564+cukier10[[#This Row],[sprzedany_cukier]],cukier10[[#This Row],[sprzedany_cukier]])</f>
        <v>15590</v>
      </c>
      <c r="E1565" cm="1">
        <f t="array" ref="E15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65">
        <f>cukier10[[#This Row],[sprzedany_cukier]]*cukier10[[#This Row],[rabat]]</f>
        <v>35</v>
      </c>
    </row>
    <row r="1566" spans="1:6" x14ac:dyDescent="0.25">
      <c r="A1566" s="1">
        <v>40627</v>
      </c>
      <c r="B1566" t="s">
        <v>14</v>
      </c>
      <c r="C1566">
        <v>411</v>
      </c>
      <c r="D1566">
        <f>IF(cukier10[[#This Row],[nip_klienta]]=B1565,D1565+cukier10[[#This Row],[sprzedany_cukier]],cukier10[[#This Row],[sprzedany_cukier]])</f>
        <v>16001</v>
      </c>
      <c r="E1566" cm="1">
        <f t="array" ref="E15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66">
        <f>cukier10[[#This Row],[sprzedany_cukier]]*cukier10[[#This Row],[rabat]]</f>
        <v>82.2</v>
      </c>
    </row>
    <row r="1567" spans="1:6" x14ac:dyDescent="0.25">
      <c r="A1567" s="1">
        <v>40636</v>
      </c>
      <c r="B1567" t="s">
        <v>14</v>
      </c>
      <c r="C1567">
        <v>237</v>
      </c>
      <c r="D1567">
        <f>IF(cukier10[[#This Row],[nip_klienta]]=B1566,D1566+cukier10[[#This Row],[sprzedany_cukier]],cukier10[[#This Row],[sprzedany_cukier]])</f>
        <v>16238</v>
      </c>
      <c r="E1567" cm="1">
        <f t="array" ref="E15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67">
        <f>cukier10[[#This Row],[sprzedany_cukier]]*cukier10[[#This Row],[rabat]]</f>
        <v>47.400000000000006</v>
      </c>
    </row>
    <row r="1568" spans="1:6" x14ac:dyDescent="0.25">
      <c r="A1568" s="1">
        <v>40771</v>
      </c>
      <c r="B1568" t="s">
        <v>14</v>
      </c>
      <c r="C1568">
        <v>450</v>
      </c>
      <c r="D1568">
        <f>IF(cukier10[[#This Row],[nip_klienta]]=B1567,D1567+cukier10[[#This Row],[sprzedany_cukier]],cukier10[[#This Row],[sprzedany_cukier]])</f>
        <v>16688</v>
      </c>
      <c r="E1568" cm="1">
        <f t="array" ref="E15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68">
        <f>cukier10[[#This Row],[sprzedany_cukier]]*cukier10[[#This Row],[rabat]]</f>
        <v>90</v>
      </c>
    </row>
    <row r="1569" spans="1:6" x14ac:dyDescent="0.25">
      <c r="A1569" s="1">
        <v>40928</v>
      </c>
      <c r="B1569" t="s">
        <v>14</v>
      </c>
      <c r="C1569">
        <v>223</v>
      </c>
      <c r="D1569">
        <f>IF(cukier10[[#This Row],[nip_klienta]]=B1568,D1568+cukier10[[#This Row],[sprzedany_cukier]],cukier10[[#This Row],[sprzedany_cukier]])</f>
        <v>16911</v>
      </c>
      <c r="E1569" cm="1">
        <f t="array" ref="E15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69">
        <f>cukier10[[#This Row],[sprzedany_cukier]]*cukier10[[#This Row],[rabat]]</f>
        <v>44.6</v>
      </c>
    </row>
    <row r="1570" spans="1:6" x14ac:dyDescent="0.25">
      <c r="A1570" s="1">
        <v>40974</v>
      </c>
      <c r="B1570" t="s">
        <v>14</v>
      </c>
      <c r="C1570">
        <v>340</v>
      </c>
      <c r="D1570">
        <f>IF(cukier10[[#This Row],[nip_klienta]]=B1569,D1569+cukier10[[#This Row],[sprzedany_cukier]],cukier10[[#This Row],[sprzedany_cukier]])</f>
        <v>17251</v>
      </c>
      <c r="E1570" cm="1">
        <f t="array" ref="E15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70">
        <f>cukier10[[#This Row],[sprzedany_cukier]]*cukier10[[#This Row],[rabat]]</f>
        <v>68</v>
      </c>
    </row>
    <row r="1571" spans="1:6" x14ac:dyDescent="0.25">
      <c r="A1571" s="1">
        <v>41013</v>
      </c>
      <c r="B1571" t="s">
        <v>14</v>
      </c>
      <c r="C1571">
        <v>166</v>
      </c>
      <c r="D1571">
        <f>IF(cukier10[[#This Row],[nip_klienta]]=B1570,D1570+cukier10[[#This Row],[sprzedany_cukier]],cukier10[[#This Row],[sprzedany_cukier]])</f>
        <v>17417</v>
      </c>
      <c r="E1571" cm="1">
        <f t="array" ref="E15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71">
        <f>cukier10[[#This Row],[sprzedany_cukier]]*cukier10[[#This Row],[rabat]]</f>
        <v>33.200000000000003</v>
      </c>
    </row>
    <row r="1572" spans="1:6" x14ac:dyDescent="0.25">
      <c r="A1572" s="1">
        <v>41033</v>
      </c>
      <c r="B1572" t="s">
        <v>14</v>
      </c>
      <c r="C1572">
        <v>235</v>
      </c>
      <c r="D1572">
        <f>IF(cukier10[[#This Row],[nip_klienta]]=B1571,D1571+cukier10[[#This Row],[sprzedany_cukier]],cukier10[[#This Row],[sprzedany_cukier]])</f>
        <v>17652</v>
      </c>
      <c r="E1572" cm="1">
        <f t="array" ref="E15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72">
        <f>cukier10[[#This Row],[sprzedany_cukier]]*cukier10[[#This Row],[rabat]]</f>
        <v>47</v>
      </c>
    </row>
    <row r="1573" spans="1:6" x14ac:dyDescent="0.25">
      <c r="A1573" s="1">
        <v>41096</v>
      </c>
      <c r="B1573" t="s">
        <v>14</v>
      </c>
      <c r="C1573">
        <v>112</v>
      </c>
      <c r="D1573">
        <f>IF(cukier10[[#This Row],[nip_klienta]]=B1572,D1572+cukier10[[#This Row],[sprzedany_cukier]],cukier10[[#This Row],[sprzedany_cukier]])</f>
        <v>17764</v>
      </c>
      <c r="E1573" cm="1">
        <f t="array" ref="E15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73">
        <f>cukier10[[#This Row],[sprzedany_cukier]]*cukier10[[#This Row],[rabat]]</f>
        <v>22.400000000000002</v>
      </c>
    </row>
    <row r="1574" spans="1:6" x14ac:dyDescent="0.25">
      <c r="A1574" s="1">
        <v>41122</v>
      </c>
      <c r="B1574" t="s">
        <v>14</v>
      </c>
      <c r="C1574">
        <v>401</v>
      </c>
      <c r="D1574">
        <f>IF(cukier10[[#This Row],[nip_klienta]]=B1573,D1573+cukier10[[#This Row],[sprzedany_cukier]],cukier10[[#This Row],[sprzedany_cukier]])</f>
        <v>18165</v>
      </c>
      <c r="E1574" cm="1">
        <f t="array" ref="E15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74">
        <f>cukier10[[#This Row],[sprzedany_cukier]]*cukier10[[#This Row],[rabat]]</f>
        <v>80.2</v>
      </c>
    </row>
    <row r="1575" spans="1:6" x14ac:dyDescent="0.25">
      <c r="A1575" s="1">
        <v>41179</v>
      </c>
      <c r="B1575" t="s">
        <v>14</v>
      </c>
      <c r="C1575">
        <v>346</v>
      </c>
      <c r="D1575">
        <f>IF(cukier10[[#This Row],[nip_klienta]]=B1574,D1574+cukier10[[#This Row],[sprzedany_cukier]],cukier10[[#This Row],[sprzedany_cukier]])</f>
        <v>18511</v>
      </c>
      <c r="E1575" cm="1">
        <f t="array" ref="E15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75">
        <f>cukier10[[#This Row],[sprzedany_cukier]]*cukier10[[#This Row],[rabat]]</f>
        <v>69.2</v>
      </c>
    </row>
    <row r="1576" spans="1:6" x14ac:dyDescent="0.25">
      <c r="A1576" s="1">
        <v>41294</v>
      </c>
      <c r="B1576" t="s">
        <v>14</v>
      </c>
      <c r="C1576">
        <v>211</v>
      </c>
      <c r="D1576">
        <f>IF(cukier10[[#This Row],[nip_klienta]]=B1575,D1575+cukier10[[#This Row],[sprzedany_cukier]],cukier10[[#This Row],[sprzedany_cukier]])</f>
        <v>18722</v>
      </c>
      <c r="E1576" cm="1">
        <f t="array" ref="E15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76">
        <f>cukier10[[#This Row],[sprzedany_cukier]]*cukier10[[#This Row],[rabat]]</f>
        <v>42.2</v>
      </c>
    </row>
    <row r="1577" spans="1:6" x14ac:dyDescent="0.25">
      <c r="A1577" s="1">
        <v>41301</v>
      </c>
      <c r="B1577" t="s">
        <v>14</v>
      </c>
      <c r="C1577">
        <v>134</v>
      </c>
      <c r="D1577">
        <f>IF(cukier10[[#This Row],[nip_klienta]]=B1576,D1576+cukier10[[#This Row],[sprzedany_cukier]],cukier10[[#This Row],[sprzedany_cukier]])</f>
        <v>18856</v>
      </c>
      <c r="E1577" cm="1">
        <f t="array" ref="E15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77">
        <f>cukier10[[#This Row],[sprzedany_cukier]]*cukier10[[#This Row],[rabat]]</f>
        <v>26.8</v>
      </c>
    </row>
    <row r="1578" spans="1:6" x14ac:dyDescent="0.25">
      <c r="A1578" s="1">
        <v>41356</v>
      </c>
      <c r="B1578" t="s">
        <v>14</v>
      </c>
      <c r="C1578">
        <v>202</v>
      </c>
      <c r="D1578">
        <f>IF(cukier10[[#This Row],[nip_klienta]]=B1577,D1577+cukier10[[#This Row],[sprzedany_cukier]],cukier10[[#This Row],[sprzedany_cukier]])</f>
        <v>19058</v>
      </c>
      <c r="E1578" cm="1">
        <f t="array" ref="E15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78">
        <f>cukier10[[#This Row],[sprzedany_cukier]]*cukier10[[#This Row],[rabat]]</f>
        <v>40.400000000000006</v>
      </c>
    </row>
    <row r="1579" spans="1:6" x14ac:dyDescent="0.25">
      <c r="A1579" s="1">
        <v>41372</v>
      </c>
      <c r="B1579" t="s">
        <v>14</v>
      </c>
      <c r="C1579">
        <v>286</v>
      </c>
      <c r="D1579">
        <f>IF(cukier10[[#This Row],[nip_klienta]]=B1578,D1578+cukier10[[#This Row],[sprzedany_cukier]],cukier10[[#This Row],[sprzedany_cukier]])</f>
        <v>19344</v>
      </c>
      <c r="E1579" cm="1">
        <f t="array" ref="E15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79">
        <f>cukier10[[#This Row],[sprzedany_cukier]]*cukier10[[#This Row],[rabat]]</f>
        <v>57.2</v>
      </c>
    </row>
    <row r="1580" spans="1:6" x14ac:dyDescent="0.25">
      <c r="A1580" s="1">
        <v>41374</v>
      </c>
      <c r="B1580" t="s">
        <v>14</v>
      </c>
      <c r="C1580">
        <v>231</v>
      </c>
      <c r="D1580">
        <f>IF(cukier10[[#This Row],[nip_klienta]]=B1579,D1579+cukier10[[#This Row],[sprzedany_cukier]],cukier10[[#This Row],[sprzedany_cukier]])</f>
        <v>19575</v>
      </c>
      <c r="E1580" cm="1">
        <f t="array" ref="E15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80">
        <f>cukier10[[#This Row],[sprzedany_cukier]]*cukier10[[#This Row],[rabat]]</f>
        <v>46.2</v>
      </c>
    </row>
    <row r="1581" spans="1:6" x14ac:dyDescent="0.25">
      <c r="A1581" s="1">
        <v>41376</v>
      </c>
      <c r="B1581" t="s">
        <v>14</v>
      </c>
      <c r="C1581">
        <v>311</v>
      </c>
      <c r="D1581">
        <f>IF(cukier10[[#This Row],[nip_klienta]]=B1580,D1580+cukier10[[#This Row],[sprzedany_cukier]],cukier10[[#This Row],[sprzedany_cukier]])</f>
        <v>19886</v>
      </c>
      <c r="E1581" cm="1">
        <f t="array" ref="E15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81">
        <f>cukier10[[#This Row],[sprzedany_cukier]]*cukier10[[#This Row],[rabat]]</f>
        <v>62.2</v>
      </c>
    </row>
    <row r="1582" spans="1:6" x14ac:dyDescent="0.25">
      <c r="A1582" s="1">
        <v>41398</v>
      </c>
      <c r="B1582" t="s">
        <v>14</v>
      </c>
      <c r="C1582">
        <v>471</v>
      </c>
      <c r="D1582">
        <f>IF(cukier10[[#This Row],[nip_klienta]]=B1581,D1581+cukier10[[#This Row],[sprzedany_cukier]],cukier10[[#This Row],[sprzedany_cukier]])</f>
        <v>20357</v>
      </c>
      <c r="E1582" cm="1">
        <f t="array" ref="E15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82">
        <f>cukier10[[#This Row],[sprzedany_cukier]]*cukier10[[#This Row],[rabat]]</f>
        <v>94.2</v>
      </c>
    </row>
    <row r="1583" spans="1:6" x14ac:dyDescent="0.25">
      <c r="A1583" s="1">
        <v>41544</v>
      </c>
      <c r="B1583" t="s">
        <v>14</v>
      </c>
      <c r="C1583">
        <v>436</v>
      </c>
      <c r="D1583">
        <f>IF(cukier10[[#This Row],[nip_klienta]]=B1582,D1582+cukier10[[#This Row],[sprzedany_cukier]],cukier10[[#This Row],[sprzedany_cukier]])</f>
        <v>20793</v>
      </c>
      <c r="E1583" cm="1">
        <f t="array" ref="E15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83">
        <f>cukier10[[#This Row],[sprzedany_cukier]]*cukier10[[#This Row],[rabat]]</f>
        <v>87.2</v>
      </c>
    </row>
    <row r="1584" spans="1:6" x14ac:dyDescent="0.25">
      <c r="A1584" s="1">
        <v>41562</v>
      </c>
      <c r="B1584" t="s">
        <v>14</v>
      </c>
      <c r="C1584">
        <v>367</v>
      </c>
      <c r="D1584">
        <f>IF(cukier10[[#This Row],[nip_klienta]]=B1583,D1583+cukier10[[#This Row],[sprzedany_cukier]],cukier10[[#This Row],[sprzedany_cukier]])</f>
        <v>21160</v>
      </c>
      <c r="E1584" cm="1">
        <f t="array" ref="E15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84">
        <f>cukier10[[#This Row],[sprzedany_cukier]]*cukier10[[#This Row],[rabat]]</f>
        <v>73.400000000000006</v>
      </c>
    </row>
    <row r="1585" spans="1:6" x14ac:dyDescent="0.25">
      <c r="A1585" s="1">
        <v>41609</v>
      </c>
      <c r="B1585" t="s">
        <v>14</v>
      </c>
      <c r="C1585">
        <v>284</v>
      </c>
      <c r="D1585">
        <f>IF(cukier10[[#This Row],[nip_klienta]]=B1584,D1584+cukier10[[#This Row],[sprzedany_cukier]],cukier10[[#This Row],[sprzedany_cukier]])</f>
        <v>21444</v>
      </c>
      <c r="E1585" cm="1">
        <f t="array" ref="E15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85">
        <f>cukier10[[#This Row],[sprzedany_cukier]]*cukier10[[#This Row],[rabat]]</f>
        <v>56.800000000000004</v>
      </c>
    </row>
    <row r="1586" spans="1:6" x14ac:dyDescent="0.25">
      <c r="A1586" s="1">
        <v>41642</v>
      </c>
      <c r="B1586" t="s">
        <v>14</v>
      </c>
      <c r="C1586">
        <v>164</v>
      </c>
      <c r="D1586">
        <f>IF(cukier10[[#This Row],[nip_klienta]]=B1585,D1585+cukier10[[#This Row],[sprzedany_cukier]],cukier10[[#This Row],[sprzedany_cukier]])</f>
        <v>21608</v>
      </c>
      <c r="E1586" cm="1">
        <f t="array" ref="E15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86">
        <f>cukier10[[#This Row],[sprzedany_cukier]]*cukier10[[#This Row],[rabat]]</f>
        <v>32.800000000000004</v>
      </c>
    </row>
    <row r="1587" spans="1:6" x14ac:dyDescent="0.25">
      <c r="A1587" s="1">
        <v>41716</v>
      </c>
      <c r="B1587" t="s">
        <v>14</v>
      </c>
      <c r="C1587">
        <v>265</v>
      </c>
      <c r="D1587">
        <f>IF(cukier10[[#This Row],[nip_klienta]]=B1586,D1586+cukier10[[#This Row],[sprzedany_cukier]],cukier10[[#This Row],[sprzedany_cukier]])</f>
        <v>21873</v>
      </c>
      <c r="E1587" cm="1">
        <f t="array" ref="E15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87">
        <f>cukier10[[#This Row],[sprzedany_cukier]]*cukier10[[#This Row],[rabat]]</f>
        <v>53</v>
      </c>
    </row>
    <row r="1588" spans="1:6" x14ac:dyDescent="0.25">
      <c r="A1588" s="1">
        <v>41774</v>
      </c>
      <c r="B1588" t="s">
        <v>14</v>
      </c>
      <c r="C1588">
        <v>173</v>
      </c>
      <c r="D1588">
        <f>IF(cukier10[[#This Row],[nip_klienta]]=B1587,D1587+cukier10[[#This Row],[sprzedany_cukier]],cukier10[[#This Row],[sprzedany_cukier]])</f>
        <v>22046</v>
      </c>
      <c r="E1588" cm="1">
        <f t="array" ref="E15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88">
        <f>cukier10[[#This Row],[sprzedany_cukier]]*cukier10[[#This Row],[rabat]]</f>
        <v>34.6</v>
      </c>
    </row>
    <row r="1589" spans="1:6" x14ac:dyDescent="0.25">
      <c r="A1589" s="1">
        <v>41786</v>
      </c>
      <c r="B1589" t="s">
        <v>14</v>
      </c>
      <c r="C1589">
        <v>324</v>
      </c>
      <c r="D1589">
        <f>IF(cukier10[[#This Row],[nip_klienta]]=B1588,D1588+cukier10[[#This Row],[sprzedany_cukier]],cukier10[[#This Row],[sprzedany_cukier]])</f>
        <v>22370</v>
      </c>
      <c r="E1589" cm="1">
        <f t="array" ref="E15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89">
        <f>cukier10[[#This Row],[sprzedany_cukier]]*cukier10[[#This Row],[rabat]]</f>
        <v>64.8</v>
      </c>
    </row>
    <row r="1590" spans="1:6" x14ac:dyDescent="0.25">
      <c r="A1590" s="1">
        <v>41807</v>
      </c>
      <c r="B1590" t="s">
        <v>14</v>
      </c>
      <c r="C1590">
        <v>249</v>
      </c>
      <c r="D1590">
        <f>IF(cukier10[[#This Row],[nip_klienta]]=B1589,D1589+cukier10[[#This Row],[sprzedany_cukier]],cukier10[[#This Row],[sprzedany_cukier]])</f>
        <v>22619</v>
      </c>
      <c r="E1590" cm="1">
        <f t="array" ref="E15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90">
        <f>cukier10[[#This Row],[sprzedany_cukier]]*cukier10[[#This Row],[rabat]]</f>
        <v>49.800000000000004</v>
      </c>
    </row>
    <row r="1591" spans="1:6" x14ac:dyDescent="0.25">
      <c r="A1591" s="1">
        <v>41868</v>
      </c>
      <c r="B1591" t="s">
        <v>14</v>
      </c>
      <c r="C1591">
        <v>435</v>
      </c>
      <c r="D1591">
        <f>IF(cukier10[[#This Row],[nip_klienta]]=B1590,D1590+cukier10[[#This Row],[sprzedany_cukier]],cukier10[[#This Row],[sprzedany_cukier]])</f>
        <v>23054</v>
      </c>
      <c r="E1591" cm="1">
        <f t="array" ref="E15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91">
        <f>cukier10[[#This Row],[sprzedany_cukier]]*cukier10[[#This Row],[rabat]]</f>
        <v>87</v>
      </c>
    </row>
    <row r="1592" spans="1:6" x14ac:dyDescent="0.25">
      <c r="A1592" s="1">
        <v>41880</v>
      </c>
      <c r="B1592" t="s">
        <v>14</v>
      </c>
      <c r="C1592">
        <v>112</v>
      </c>
      <c r="D1592">
        <f>IF(cukier10[[#This Row],[nip_klienta]]=B1591,D1591+cukier10[[#This Row],[sprzedany_cukier]],cukier10[[#This Row],[sprzedany_cukier]])</f>
        <v>23166</v>
      </c>
      <c r="E1592" cm="1">
        <f t="array" ref="E15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92">
        <f>cukier10[[#This Row],[sprzedany_cukier]]*cukier10[[#This Row],[rabat]]</f>
        <v>22.400000000000002</v>
      </c>
    </row>
    <row r="1593" spans="1:6" x14ac:dyDescent="0.25">
      <c r="A1593" s="1">
        <v>41897</v>
      </c>
      <c r="B1593" t="s">
        <v>14</v>
      </c>
      <c r="C1593">
        <v>220</v>
      </c>
      <c r="D1593">
        <f>IF(cukier10[[#This Row],[nip_klienta]]=B1592,D1592+cukier10[[#This Row],[sprzedany_cukier]],cukier10[[#This Row],[sprzedany_cukier]])</f>
        <v>23386</v>
      </c>
      <c r="E1593" cm="1">
        <f t="array" ref="E15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93">
        <f>cukier10[[#This Row],[sprzedany_cukier]]*cukier10[[#This Row],[rabat]]</f>
        <v>44</v>
      </c>
    </row>
    <row r="1594" spans="1:6" x14ac:dyDescent="0.25">
      <c r="A1594" s="1">
        <v>41989</v>
      </c>
      <c r="B1594" t="s">
        <v>14</v>
      </c>
      <c r="C1594">
        <v>274</v>
      </c>
      <c r="D1594">
        <f>IF(cukier10[[#This Row],[nip_klienta]]=B1593,D1593+cukier10[[#This Row],[sprzedany_cukier]],cukier10[[#This Row],[sprzedany_cukier]])</f>
        <v>23660</v>
      </c>
      <c r="E1594" cm="1">
        <f t="array" ref="E15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594">
        <f>cukier10[[#This Row],[sprzedany_cukier]]*cukier10[[#This Row],[rabat]]</f>
        <v>54.800000000000004</v>
      </c>
    </row>
    <row r="1595" spans="1:6" x14ac:dyDescent="0.25">
      <c r="A1595" s="1">
        <v>38525</v>
      </c>
      <c r="B1595" t="s">
        <v>56</v>
      </c>
      <c r="C1595">
        <v>19</v>
      </c>
      <c r="D1595">
        <f>IF(cukier10[[#This Row],[nip_klienta]]=B1594,D1594+cukier10[[#This Row],[sprzedany_cukier]],cukier10[[#This Row],[sprzedany_cukier]])</f>
        <v>19</v>
      </c>
      <c r="E1595" cm="1">
        <f t="array" ref="E15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95">
        <f>cukier10[[#This Row],[sprzedany_cukier]]*cukier10[[#This Row],[rabat]]</f>
        <v>0</v>
      </c>
    </row>
    <row r="1596" spans="1:6" x14ac:dyDescent="0.25">
      <c r="A1596" s="1">
        <v>38978</v>
      </c>
      <c r="B1596" t="s">
        <v>56</v>
      </c>
      <c r="C1596">
        <v>11</v>
      </c>
      <c r="D1596">
        <f>IF(cukier10[[#This Row],[nip_klienta]]=B1595,D1595+cukier10[[#This Row],[sprzedany_cukier]],cukier10[[#This Row],[sprzedany_cukier]])</f>
        <v>30</v>
      </c>
      <c r="E1596" cm="1">
        <f t="array" ref="E15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96">
        <f>cukier10[[#This Row],[sprzedany_cukier]]*cukier10[[#This Row],[rabat]]</f>
        <v>0</v>
      </c>
    </row>
    <row r="1597" spans="1:6" x14ac:dyDescent="0.25">
      <c r="A1597" s="1">
        <v>40876</v>
      </c>
      <c r="B1597" t="s">
        <v>56</v>
      </c>
      <c r="C1597">
        <v>18</v>
      </c>
      <c r="D1597">
        <f>IF(cukier10[[#This Row],[nip_klienta]]=B1596,D1596+cukier10[[#This Row],[sprzedany_cukier]],cukier10[[#This Row],[sprzedany_cukier]])</f>
        <v>48</v>
      </c>
      <c r="E1597" cm="1">
        <f t="array" ref="E15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97">
        <f>cukier10[[#This Row],[sprzedany_cukier]]*cukier10[[#This Row],[rabat]]</f>
        <v>0</v>
      </c>
    </row>
    <row r="1598" spans="1:6" x14ac:dyDescent="0.25">
      <c r="A1598" s="1">
        <v>41383</v>
      </c>
      <c r="B1598" t="s">
        <v>56</v>
      </c>
      <c r="C1598">
        <v>12</v>
      </c>
      <c r="D1598">
        <f>IF(cukier10[[#This Row],[nip_klienta]]=B1597,D1597+cukier10[[#This Row],[sprzedany_cukier]],cukier10[[#This Row],[sprzedany_cukier]])</f>
        <v>60</v>
      </c>
      <c r="E1598" cm="1">
        <f t="array" ref="E15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98">
        <f>cukier10[[#This Row],[sprzedany_cukier]]*cukier10[[#This Row],[rabat]]</f>
        <v>0</v>
      </c>
    </row>
    <row r="1599" spans="1:6" x14ac:dyDescent="0.25">
      <c r="A1599" s="1">
        <v>39836</v>
      </c>
      <c r="B1599" t="s">
        <v>180</v>
      </c>
      <c r="C1599">
        <v>5</v>
      </c>
      <c r="D1599">
        <f>IF(cukier10[[#This Row],[nip_klienta]]=B1598,D1598+cukier10[[#This Row],[sprzedany_cukier]],cukier10[[#This Row],[sprzedany_cukier]])</f>
        <v>5</v>
      </c>
      <c r="E1599" cm="1">
        <f t="array" ref="E15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599">
        <f>cukier10[[#This Row],[sprzedany_cukier]]*cukier10[[#This Row],[rabat]]</f>
        <v>0</v>
      </c>
    </row>
    <row r="1600" spans="1:6" x14ac:dyDescent="0.25">
      <c r="A1600" s="1">
        <v>41326</v>
      </c>
      <c r="B1600" t="s">
        <v>180</v>
      </c>
      <c r="C1600">
        <v>2</v>
      </c>
      <c r="D1600">
        <f>IF(cukier10[[#This Row],[nip_klienta]]=B1599,D1599+cukier10[[#This Row],[sprzedany_cukier]],cukier10[[#This Row],[sprzedany_cukier]])</f>
        <v>7</v>
      </c>
      <c r="E1600" cm="1">
        <f t="array" ref="E16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00">
        <f>cukier10[[#This Row],[sprzedany_cukier]]*cukier10[[#This Row],[rabat]]</f>
        <v>0</v>
      </c>
    </row>
    <row r="1601" spans="1:6" x14ac:dyDescent="0.25">
      <c r="A1601" s="1">
        <v>38669</v>
      </c>
      <c r="B1601" t="s">
        <v>86</v>
      </c>
      <c r="C1601">
        <v>9</v>
      </c>
      <c r="D1601">
        <f>IF(cukier10[[#This Row],[nip_klienta]]=B1600,D1600+cukier10[[#This Row],[sprzedany_cukier]],cukier10[[#This Row],[sprzedany_cukier]])</f>
        <v>9</v>
      </c>
      <c r="E1601" cm="1">
        <f t="array" ref="E16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01">
        <f>cukier10[[#This Row],[sprzedany_cukier]]*cukier10[[#This Row],[rabat]]</f>
        <v>0</v>
      </c>
    </row>
    <row r="1602" spans="1:6" x14ac:dyDescent="0.25">
      <c r="A1602" s="1">
        <v>38757</v>
      </c>
      <c r="B1602" t="s">
        <v>86</v>
      </c>
      <c r="C1602">
        <v>19</v>
      </c>
      <c r="D1602">
        <f>IF(cukier10[[#This Row],[nip_klienta]]=B1601,D1601+cukier10[[#This Row],[sprzedany_cukier]],cukier10[[#This Row],[sprzedany_cukier]])</f>
        <v>28</v>
      </c>
      <c r="E1602" cm="1">
        <f t="array" ref="E16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02">
        <f>cukier10[[#This Row],[sprzedany_cukier]]*cukier10[[#This Row],[rabat]]</f>
        <v>0</v>
      </c>
    </row>
    <row r="1603" spans="1:6" x14ac:dyDescent="0.25">
      <c r="A1603" s="1">
        <v>39911</v>
      </c>
      <c r="B1603" t="s">
        <v>86</v>
      </c>
      <c r="C1603">
        <v>9</v>
      </c>
      <c r="D1603">
        <f>IF(cukier10[[#This Row],[nip_klienta]]=B1602,D1602+cukier10[[#This Row],[sprzedany_cukier]],cukier10[[#This Row],[sprzedany_cukier]])</f>
        <v>37</v>
      </c>
      <c r="E1603" cm="1">
        <f t="array" ref="E16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03">
        <f>cukier10[[#This Row],[sprzedany_cukier]]*cukier10[[#This Row],[rabat]]</f>
        <v>0</v>
      </c>
    </row>
    <row r="1604" spans="1:6" x14ac:dyDescent="0.25">
      <c r="A1604" s="1">
        <v>41888</v>
      </c>
      <c r="B1604" t="s">
        <v>86</v>
      </c>
      <c r="C1604">
        <v>19</v>
      </c>
      <c r="D1604">
        <f>IF(cukier10[[#This Row],[nip_klienta]]=B1603,D1603+cukier10[[#This Row],[sprzedany_cukier]],cukier10[[#This Row],[sprzedany_cukier]])</f>
        <v>56</v>
      </c>
      <c r="E1604" cm="1">
        <f t="array" ref="E16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04">
        <f>cukier10[[#This Row],[sprzedany_cukier]]*cukier10[[#This Row],[rabat]]</f>
        <v>0</v>
      </c>
    </row>
    <row r="1605" spans="1:6" x14ac:dyDescent="0.25">
      <c r="A1605" s="1">
        <v>40955</v>
      </c>
      <c r="B1605" t="s">
        <v>228</v>
      </c>
      <c r="C1605">
        <v>19</v>
      </c>
      <c r="D1605">
        <f>IF(cukier10[[#This Row],[nip_klienta]]=B1604,D1604+cukier10[[#This Row],[sprzedany_cukier]],cukier10[[#This Row],[sprzedany_cukier]])</f>
        <v>19</v>
      </c>
      <c r="E1605" cm="1">
        <f t="array" ref="E16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05">
        <f>cukier10[[#This Row],[sprzedany_cukier]]*cukier10[[#This Row],[rabat]]</f>
        <v>0</v>
      </c>
    </row>
    <row r="1606" spans="1:6" x14ac:dyDescent="0.25">
      <c r="A1606" s="1">
        <v>39500</v>
      </c>
      <c r="B1606" t="s">
        <v>160</v>
      </c>
      <c r="C1606">
        <v>2</v>
      </c>
      <c r="D1606">
        <f>IF(cukier10[[#This Row],[nip_klienta]]=B1605,D1605+cukier10[[#This Row],[sprzedany_cukier]],cukier10[[#This Row],[sprzedany_cukier]])</f>
        <v>2</v>
      </c>
      <c r="E1606" cm="1">
        <f t="array" ref="E16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06">
        <f>cukier10[[#This Row],[sprzedany_cukier]]*cukier10[[#This Row],[rabat]]</f>
        <v>0</v>
      </c>
    </row>
    <row r="1607" spans="1:6" x14ac:dyDescent="0.25">
      <c r="A1607" s="1">
        <v>39690</v>
      </c>
      <c r="B1607" t="s">
        <v>160</v>
      </c>
      <c r="C1607">
        <v>18</v>
      </c>
      <c r="D1607">
        <f>IF(cukier10[[#This Row],[nip_klienta]]=B1606,D1606+cukier10[[#This Row],[sprzedany_cukier]],cukier10[[#This Row],[sprzedany_cukier]])</f>
        <v>20</v>
      </c>
      <c r="E1607" cm="1">
        <f t="array" ref="E16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07">
        <f>cukier10[[#This Row],[sprzedany_cukier]]*cukier10[[#This Row],[rabat]]</f>
        <v>0</v>
      </c>
    </row>
    <row r="1608" spans="1:6" x14ac:dyDescent="0.25">
      <c r="A1608" s="1">
        <v>41439</v>
      </c>
      <c r="B1608" t="s">
        <v>233</v>
      </c>
      <c r="C1608">
        <v>4</v>
      </c>
      <c r="D1608">
        <f>IF(cukier10[[#This Row],[nip_klienta]]=B1607,D1607+cukier10[[#This Row],[sprzedany_cukier]],cukier10[[#This Row],[sprzedany_cukier]])</f>
        <v>4</v>
      </c>
      <c r="E1608" cm="1">
        <f t="array" ref="E16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08">
        <f>cukier10[[#This Row],[sprzedany_cukier]]*cukier10[[#This Row],[rabat]]</f>
        <v>0</v>
      </c>
    </row>
    <row r="1609" spans="1:6" x14ac:dyDescent="0.25">
      <c r="A1609" s="1">
        <v>41588</v>
      </c>
      <c r="B1609" t="s">
        <v>233</v>
      </c>
      <c r="C1609">
        <v>11</v>
      </c>
      <c r="D1609">
        <f>IF(cukier10[[#This Row],[nip_klienta]]=B1608,D1608+cukier10[[#This Row],[sprzedany_cukier]],cukier10[[#This Row],[sprzedany_cukier]])</f>
        <v>15</v>
      </c>
      <c r="E1609" cm="1">
        <f t="array" ref="E16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09">
        <f>cukier10[[#This Row],[sprzedany_cukier]]*cukier10[[#This Row],[rabat]]</f>
        <v>0</v>
      </c>
    </row>
    <row r="1610" spans="1:6" x14ac:dyDescent="0.25">
      <c r="A1610" s="1">
        <v>40057</v>
      </c>
      <c r="B1610" t="s">
        <v>197</v>
      </c>
      <c r="C1610">
        <v>20</v>
      </c>
      <c r="D1610">
        <f>IF(cukier10[[#This Row],[nip_klienta]]=B1609,D1609+cukier10[[#This Row],[sprzedany_cukier]],cukier10[[#This Row],[sprzedany_cukier]])</f>
        <v>20</v>
      </c>
      <c r="E1610" cm="1">
        <f t="array" ref="E16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10">
        <f>cukier10[[#This Row],[sprzedany_cukier]]*cukier10[[#This Row],[rabat]]</f>
        <v>0</v>
      </c>
    </row>
    <row r="1611" spans="1:6" x14ac:dyDescent="0.25">
      <c r="A1611" s="1">
        <v>40848</v>
      </c>
      <c r="B1611" t="s">
        <v>197</v>
      </c>
      <c r="C1611">
        <v>4</v>
      </c>
      <c r="D1611">
        <f>IF(cukier10[[#This Row],[nip_klienta]]=B1610,D1610+cukier10[[#This Row],[sprzedany_cukier]],cukier10[[#This Row],[sprzedany_cukier]])</f>
        <v>24</v>
      </c>
      <c r="E1611" cm="1">
        <f t="array" ref="E16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11">
        <f>cukier10[[#This Row],[sprzedany_cukier]]*cukier10[[#This Row],[rabat]]</f>
        <v>0</v>
      </c>
    </row>
    <row r="1612" spans="1:6" x14ac:dyDescent="0.25">
      <c r="A1612" s="1">
        <v>41422</v>
      </c>
      <c r="B1612" t="s">
        <v>197</v>
      </c>
      <c r="C1612">
        <v>8</v>
      </c>
      <c r="D1612">
        <f>IF(cukier10[[#This Row],[nip_klienta]]=B1611,D1611+cukier10[[#This Row],[sprzedany_cukier]],cukier10[[#This Row],[sprzedany_cukier]])</f>
        <v>32</v>
      </c>
      <c r="E1612" cm="1">
        <f t="array" ref="E16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12">
        <f>cukier10[[#This Row],[sprzedany_cukier]]*cukier10[[#This Row],[rabat]]</f>
        <v>0</v>
      </c>
    </row>
    <row r="1613" spans="1:6" x14ac:dyDescent="0.25">
      <c r="A1613" s="1">
        <v>39208</v>
      </c>
      <c r="B1613" t="s">
        <v>140</v>
      </c>
      <c r="C1613">
        <v>15</v>
      </c>
      <c r="D1613">
        <f>IF(cukier10[[#This Row],[nip_klienta]]=B1612,D1612+cukier10[[#This Row],[sprzedany_cukier]],cukier10[[#This Row],[sprzedany_cukier]])</f>
        <v>15</v>
      </c>
      <c r="E1613" cm="1">
        <f t="array" ref="E16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13">
        <f>cukier10[[#This Row],[sprzedany_cukier]]*cukier10[[#This Row],[rabat]]</f>
        <v>0</v>
      </c>
    </row>
    <row r="1614" spans="1:6" x14ac:dyDescent="0.25">
      <c r="A1614" s="1">
        <v>39747</v>
      </c>
      <c r="B1614" t="s">
        <v>140</v>
      </c>
      <c r="C1614">
        <v>11</v>
      </c>
      <c r="D1614">
        <f>IF(cukier10[[#This Row],[nip_klienta]]=B1613,D1613+cukier10[[#This Row],[sprzedany_cukier]],cukier10[[#This Row],[sprzedany_cukier]])</f>
        <v>26</v>
      </c>
      <c r="E1614" cm="1">
        <f t="array" ref="E16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14">
        <f>cukier10[[#This Row],[sprzedany_cukier]]*cukier10[[#This Row],[rabat]]</f>
        <v>0</v>
      </c>
    </row>
    <row r="1615" spans="1:6" x14ac:dyDescent="0.25">
      <c r="A1615" s="1">
        <v>40434</v>
      </c>
      <c r="B1615" t="s">
        <v>140</v>
      </c>
      <c r="C1615">
        <v>14</v>
      </c>
      <c r="D1615">
        <f>IF(cukier10[[#This Row],[nip_klienta]]=B1614,D1614+cukier10[[#This Row],[sprzedany_cukier]],cukier10[[#This Row],[sprzedany_cukier]])</f>
        <v>40</v>
      </c>
      <c r="E1615" cm="1">
        <f t="array" ref="E16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15">
        <f>cukier10[[#This Row],[sprzedany_cukier]]*cukier10[[#This Row],[rabat]]</f>
        <v>0</v>
      </c>
    </row>
    <row r="1616" spans="1:6" x14ac:dyDescent="0.25">
      <c r="A1616" s="1">
        <v>38729</v>
      </c>
      <c r="B1616" t="s">
        <v>94</v>
      </c>
      <c r="C1616">
        <v>20</v>
      </c>
      <c r="D1616">
        <f>IF(cukier10[[#This Row],[nip_klienta]]=B1615,D1615+cukier10[[#This Row],[sprzedany_cukier]],cukier10[[#This Row],[sprzedany_cukier]])</f>
        <v>20</v>
      </c>
      <c r="E1616" cm="1">
        <f t="array" ref="E16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16">
        <f>cukier10[[#This Row],[sprzedany_cukier]]*cukier10[[#This Row],[rabat]]</f>
        <v>0</v>
      </c>
    </row>
    <row r="1617" spans="1:6" x14ac:dyDescent="0.25">
      <c r="A1617" s="1">
        <v>38817</v>
      </c>
      <c r="B1617" t="s">
        <v>94</v>
      </c>
      <c r="C1617">
        <v>13</v>
      </c>
      <c r="D1617">
        <f>IF(cukier10[[#This Row],[nip_klienta]]=B1616,D1616+cukier10[[#This Row],[sprzedany_cukier]],cukier10[[#This Row],[sprzedany_cukier]])</f>
        <v>33</v>
      </c>
      <c r="E1617" cm="1">
        <f t="array" ref="E16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17">
        <f>cukier10[[#This Row],[sprzedany_cukier]]*cukier10[[#This Row],[rabat]]</f>
        <v>0</v>
      </c>
    </row>
    <row r="1618" spans="1:6" x14ac:dyDescent="0.25">
      <c r="A1618" s="1">
        <v>39140</v>
      </c>
      <c r="B1618" t="s">
        <v>94</v>
      </c>
      <c r="C1618">
        <v>14</v>
      </c>
      <c r="D1618">
        <f>IF(cukier10[[#This Row],[nip_klienta]]=B1617,D1617+cukier10[[#This Row],[sprzedany_cukier]],cukier10[[#This Row],[sprzedany_cukier]])</f>
        <v>47</v>
      </c>
      <c r="E1618" cm="1">
        <f t="array" ref="E16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18">
        <f>cukier10[[#This Row],[sprzedany_cukier]]*cukier10[[#This Row],[rabat]]</f>
        <v>0</v>
      </c>
    </row>
    <row r="1619" spans="1:6" x14ac:dyDescent="0.25">
      <c r="A1619" s="1">
        <v>39809</v>
      </c>
      <c r="B1619" t="s">
        <v>94</v>
      </c>
      <c r="C1619">
        <v>2</v>
      </c>
      <c r="D1619">
        <f>IF(cukier10[[#This Row],[nip_klienta]]=B1618,D1618+cukier10[[#This Row],[sprzedany_cukier]],cukier10[[#This Row],[sprzedany_cukier]])</f>
        <v>49</v>
      </c>
      <c r="E1619" cm="1">
        <f t="array" ref="E16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19">
        <f>cukier10[[#This Row],[sprzedany_cukier]]*cukier10[[#This Row],[rabat]]</f>
        <v>0</v>
      </c>
    </row>
    <row r="1620" spans="1:6" x14ac:dyDescent="0.25">
      <c r="A1620" s="1">
        <v>40529</v>
      </c>
      <c r="B1620" t="s">
        <v>94</v>
      </c>
      <c r="C1620">
        <v>20</v>
      </c>
      <c r="D1620">
        <f>IF(cukier10[[#This Row],[nip_klienta]]=B1619,D1619+cukier10[[#This Row],[sprzedany_cukier]],cukier10[[#This Row],[sprzedany_cukier]])</f>
        <v>69</v>
      </c>
      <c r="E1620" cm="1">
        <f t="array" ref="E16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20">
        <f>cukier10[[#This Row],[sprzedany_cukier]]*cukier10[[#This Row],[rabat]]</f>
        <v>0</v>
      </c>
    </row>
    <row r="1621" spans="1:6" x14ac:dyDescent="0.25">
      <c r="A1621" s="1">
        <v>38512</v>
      </c>
      <c r="B1621" t="s">
        <v>51</v>
      </c>
      <c r="C1621">
        <v>7</v>
      </c>
      <c r="D1621">
        <f>IF(cukier10[[#This Row],[nip_klienta]]=B1620,D1620+cukier10[[#This Row],[sprzedany_cukier]],cukier10[[#This Row],[sprzedany_cukier]])</f>
        <v>7</v>
      </c>
      <c r="E1621" cm="1">
        <f t="array" ref="E16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21">
        <f>cukier10[[#This Row],[sprzedany_cukier]]*cukier10[[#This Row],[rabat]]</f>
        <v>0</v>
      </c>
    </row>
    <row r="1622" spans="1:6" x14ac:dyDescent="0.25">
      <c r="A1622" s="1">
        <v>39545</v>
      </c>
      <c r="B1622" t="s">
        <v>51</v>
      </c>
      <c r="C1622">
        <v>2</v>
      </c>
      <c r="D1622">
        <f>IF(cukier10[[#This Row],[nip_klienta]]=B1621,D1621+cukier10[[#This Row],[sprzedany_cukier]],cukier10[[#This Row],[sprzedany_cukier]])</f>
        <v>9</v>
      </c>
      <c r="E1622" cm="1">
        <f t="array" ref="E16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22">
        <f>cukier10[[#This Row],[sprzedany_cukier]]*cukier10[[#This Row],[rabat]]</f>
        <v>0</v>
      </c>
    </row>
    <row r="1623" spans="1:6" x14ac:dyDescent="0.25">
      <c r="A1623" s="1">
        <v>40088</v>
      </c>
      <c r="B1623" t="s">
        <v>51</v>
      </c>
      <c r="C1623">
        <v>4</v>
      </c>
      <c r="D1623">
        <f>IF(cukier10[[#This Row],[nip_klienta]]=B1622,D1622+cukier10[[#This Row],[sprzedany_cukier]],cukier10[[#This Row],[sprzedany_cukier]])</f>
        <v>13</v>
      </c>
      <c r="E1623" cm="1">
        <f t="array" ref="E16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23">
        <f>cukier10[[#This Row],[sprzedany_cukier]]*cukier10[[#This Row],[rabat]]</f>
        <v>0</v>
      </c>
    </row>
    <row r="1624" spans="1:6" x14ac:dyDescent="0.25">
      <c r="A1624" s="1">
        <v>41190</v>
      </c>
      <c r="B1624" t="s">
        <v>51</v>
      </c>
      <c r="C1624">
        <v>12</v>
      </c>
      <c r="D1624">
        <f>IF(cukier10[[#This Row],[nip_klienta]]=B1623,D1623+cukier10[[#This Row],[sprzedany_cukier]],cukier10[[#This Row],[sprzedany_cukier]])</f>
        <v>25</v>
      </c>
      <c r="E1624" cm="1">
        <f t="array" ref="E16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624">
        <f>cukier10[[#This Row],[sprzedany_cukier]]*cukier10[[#This Row],[rabat]]</f>
        <v>0</v>
      </c>
    </row>
    <row r="1625" spans="1:6" x14ac:dyDescent="0.25">
      <c r="A1625" s="1">
        <v>38374</v>
      </c>
      <c r="B1625" t="s">
        <v>9</v>
      </c>
      <c r="C1625">
        <v>440</v>
      </c>
      <c r="D1625">
        <f>IF(cukier10[[#This Row],[nip_klienta]]=B1624,D1624+cukier10[[#This Row],[sprzedany_cukier]],cukier10[[#This Row],[sprzedany_cukier]])</f>
        <v>440</v>
      </c>
      <c r="E1625" cm="1">
        <f t="array" ref="E16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625">
        <f>cukier10[[#This Row],[sprzedany_cukier]]*cukier10[[#This Row],[rabat]]</f>
        <v>22</v>
      </c>
    </row>
    <row r="1626" spans="1:6" x14ac:dyDescent="0.25">
      <c r="A1626" s="1">
        <v>38435</v>
      </c>
      <c r="B1626" t="s">
        <v>9</v>
      </c>
      <c r="C1626">
        <v>277</v>
      </c>
      <c r="D1626">
        <f>IF(cukier10[[#This Row],[nip_klienta]]=B1625,D1625+cukier10[[#This Row],[sprzedany_cukier]],cukier10[[#This Row],[sprzedany_cukier]])</f>
        <v>717</v>
      </c>
      <c r="E1626" cm="1">
        <f t="array" ref="E16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626">
        <f>cukier10[[#This Row],[sprzedany_cukier]]*cukier10[[#This Row],[rabat]]</f>
        <v>13.850000000000001</v>
      </c>
    </row>
    <row r="1627" spans="1:6" x14ac:dyDescent="0.25">
      <c r="A1627" s="1">
        <v>38492</v>
      </c>
      <c r="B1627" t="s">
        <v>9</v>
      </c>
      <c r="C1627">
        <v>259</v>
      </c>
      <c r="D1627">
        <f>IF(cukier10[[#This Row],[nip_klienta]]=B1626,D1626+cukier10[[#This Row],[sprzedany_cukier]],cukier10[[#This Row],[sprzedany_cukier]])</f>
        <v>976</v>
      </c>
      <c r="E1627" cm="1">
        <f t="array" ref="E16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627">
        <f>cukier10[[#This Row],[sprzedany_cukier]]*cukier10[[#This Row],[rabat]]</f>
        <v>12.950000000000001</v>
      </c>
    </row>
    <row r="1628" spans="1:6" x14ac:dyDescent="0.25">
      <c r="A1628" s="1">
        <v>38558</v>
      </c>
      <c r="B1628" t="s">
        <v>9</v>
      </c>
      <c r="C1628">
        <v>158</v>
      </c>
      <c r="D1628">
        <f>IF(cukier10[[#This Row],[nip_klienta]]=B1627,D1627+cukier10[[#This Row],[sprzedany_cukier]],cukier10[[#This Row],[sprzedany_cukier]])</f>
        <v>1134</v>
      </c>
      <c r="E1628" cm="1">
        <f t="array" ref="E16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28">
        <f>cukier10[[#This Row],[sprzedany_cukier]]*cukier10[[#This Row],[rabat]]</f>
        <v>15.8</v>
      </c>
    </row>
    <row r="1629" spans="1:6" x14ac:dyDescent="0.25">
      <c r="A1629" s="1">
        <v>38569</v>
      </c>
      <c r="B1629" t="s">
        <v>9</v>
      </c>
      <c r="C1629">
        <v>172</v>
      </c>
      <c r="D1629">
        <f>IF(cukier10[[#This Row],[nip_klienta]]=B1628,D1628+cukier10[[#This Row],[sprzedany_cukier]],cukier10[[#This Row],[sprzedany_cukier]])</f>
        <v>1306</v>
      </c>
      <c r="E1629" cm="1">
        <f t="array" ref="E16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29">
        <f>cukier10[[#This Row],[sprzedany_cukier]]*cukier10[[#This Row],[rabat]]</f>
        <v>17.2</v>
      </c>
    </row>
    <row r="1630" spans="1:6" x14ac:dyDescent="0.25">
      <c r="A1630" s="1">
        <v>38593</v>
      </c>
      <c r="B1630" t="s">
        <v>9</v>
      </c>
      <c r="C1630">
        <v>106</v>
      </c>
      <c r="D1630">
        <f>IF(cukier10[[#This Row],[nip_klienta]]=B1629,D1629+cukier10[[#This Row],[sprzedany_cukier]],cukier10[[#This Row],[sprzedany_cukier]])</f>
        <v>1412</v>
      </c>
      <c r="E1630" cm="1">
        <f t="array" ref="E16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30">
        <f>cukier10[[#This Row],[sprzedany_cukier]]*cukier10[[#This Row],[rabat]]</f>
        <v>10.600000000000001</v>
      </c>
    </row>
    <row r="1631" spans="1:6" x14ac:dyDescent="0.25">
      <c r="A1631" s="1">
        <v>38608</v>
      </c>
      <c r="B1631" t="s">
        <v>9</v>
      </c>
      <c r="C1631">
        <v>309</v>
      </c>
      <c r="D1631">
        <f>IF(cukier10[[#This Row],[nip_klienta]]=B1630,D1630+cukier10[[#This Row],[sprzedany_cukier]],cukier10[[#This Row],[sprzedany_cukier]])</f>
        <v>1721</v>
      </c>
      <c r="E1631" cm="1">
        <f t="array" ref="E16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31">
        <f>cukier10[[#This Row],[sprzedany_cukier]]*cukier10[[#This Row],[rabat]]</f>
        <v>30.900000000000002</v>
      </c>
    </row>
    <row r="1632" spans="1:6" x14ac:dyDescent="0.25">
      <c r="A1632" s="1">
        <v>38623</v>
      </c>
      <c r="B1632" t="s">
        <v>9</v>
      </c>
      <c r="C1632">
        <v>284</v>
      </c>
      <c r="D1632">
        <f>IF(cukier10[[#This Row],[nip_klienta]]=B1631,D1631+cukier10[[#This Row],[sprzedany_cukier]],cukier10[[#This Row],[sprzedany_cukier]])</f>
        <v>2005</v>
      </c>
      <c r="E1632" cm="1">
        <f t="array" ref="E16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32">
        <f>cukier10[[#This Row],[sprzedany_cukier]]*cukier10[[#This Row],[rabat]]</f>
        <v>28.400000000000002</v>
      </c>
    </row>
    <row r="1633" spans="1:6" x14ac:dyDescent="0.25">
      <c r="A1633" s="1">
        <v>38657</v>
      </c>
      <c r="B1633" t="s">
        <v>9</v>
      </c>
      <c r="C1633">
        <v>279</v>
      </c>
      <c r="D1633">
        <f>IF(cukier10[[#This Row],[nip_klienta]]=B1632,D1632+cukier10[[#This Row],[sprzedany_cukier]],cukier10[[#This Row],[sprzedany_cukier]])</f>
        <v>2284</v>
      </c>
      <c r="E1633" cm="1">
        <f t="array" ref="E16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33">
        <f>cukier10[[#This Row],[sprzedany_cukier]]*cukier10[[#This Row],[rabat]]</f>
        <v>27.900000000000002</v>
      </c>
    </row>
    <row r="1634" spans="1:6" x14ac:dyDescent="0.25">
      <c r="A1634" s="1">
        <v>38687</v>
      </c>
      <c r="B1634" t="s">
        <v>9</v>
      </c>
      <c r="C1634">
        <v>317</v>
      </c>
      <c r="D1634">
        <f>IF(cukier10[[#This Row],[nip_klienta]]=B1633,D1633+cukier10[[#This Row],[sprzedany_cukier]],cukier10[[#This Row],[sprzedany_cukier]])</f>
        <v>2601</v>
      </c>
      <c r="E1634" cm="1">
        <f t="array" ref="E16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34">
        <f>cukier10[[#This Row],[sprzedany_cukier]]*cukier10[[#This Row],[rabat]]</f>
        <v>31.700000000000003</v>
      </c>
    </row>
    <row r="1635" spans="1:6" x14ac:dyDescent="0.25">
      <c r="A1635" s="1">
        <v>38729</v>
      </c>
      <c r="B1635" t="s">
        <v>9</v>
      </c>
      <c r="C1635">
        <v>165</v>
      </c>
      <c r="D1635">
        <f>IF(cukier10[[#This Row],[nip_klienta]]=B1634,D1634+cukier10[[#This Row],[sprzedany_cukier]],cukier10[[#This Row],[sprzedany_cukier]])</f>
        <v>2766</v>
      </c>
      <c r="E1635" cm="1">
        <f t="array" ref="E16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35">
        <f>cukier10[[#This Row],[sprzedany_cukier]]*cukier10[[#This Row],[rabat]]</f>
        <v>16.5</v>
      </c>
    </row>
    <row r="1636" spans="1:6" x14ac:dyDescent="0.25">
      <c r="A1636" s="1">
        <v>38765</v>
      </c>
      <c r="B1636" t="s">
        <v>9</v>
      </c>
      <c r="C1636">
        <v>387</v>
      </c>
      <c r="D1636">
        <f>IF(cukier10[[#This Row],[nip_klienta]]=B1635,D1635+cukier10[[#This Row],[sprzedany_cukier]],cukier10[[#This Row],[sprzedany_cukier]])</f>
        <v>3153</v>
      </c>
      <c r="E1636" cm="1">
        <f t="array" ref="E16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36">
        <f>cukier10[[#This Row],[sprzedany_cukier]]*cukier10[[#This Row],[rabat]]</f>
        <v>38.700000000000003</v>
      </c>
    </row>
    <row r="1637" spans="1:6" x14ac:dyDescent="0.25">
      <c r="A1637" s="1">
        <v>38792</v>
      </c>
      <c r="B1637" t="s">
        <v>9</v>
      </c>
      <c r="C1637">
        <v>262</v>
      </c>
      <c r="D1637">
        <f>IF(cukier10[[#This Row],[nip_klienta]]=B1636,D1636+cukier10[[#This Row],[sprzedany_cukier]],cukier10[[#This Row],[sprzedany_cukier]])</f>
        <v>3415</v>
      </c>
      <c r="E1637" cm="1">
        <f t="array" ref="E16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37">
        <f>cukier10[[#This Row],[sprzedany_cukier]]*cukier10[[#This Row],[rabat]]</f>
        <v>26.200000000000003</v>
      </c>
    </row>
    <row r="1638" spans="1:6" x14ac:dyDescent="0.25">
      <c r="A1638" s="1">
        <v>38818</v>
      </c>
      <c r="B1638" t="s">
        <v>9</v>
      </c>
      <c r="C1638">
        <v>293</v>
      </c>
      <c r="D1638">
        <f>IF(cukier10[[#This Row],[nip_klienta]]=B1637,D1637+cukier10[[#This Row],[sprzedany_cukier]],cukier10[[#This Row],[sprzedany_cukier]])</f>
        <v>3708</v>
      </c>
      <c r="E1638" cm="1">
        <f t="array" ref="E16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38">
        <f>cukier10[[#This Row],[sprzedany_cukier]]*cukier10[[#This Row],[rabat]]</f>
        <v>29.3</v>
      </c>
    </row>
    <row r="1639" spans="1:6" x14ac:dyDescent="0.25">
      <c r="A1639" s="1">
        <v>38826</v>
      </c>
      <c r="B1639" t="s">
        <v>9</v>
      </c>
      <c r="C1639">
        <v>198</v>
      </c>
      <c r="D1639">
        <f>IF(cukier10[[#This Row],[nip_klienta]]=B1638,D1638+cukier10[[#This Row],[sprzedany_cukier]],cukier10[[#This Row],[sprzedany_cukier]])</f>
        <v>3906</v>
      </c>
      <c r="E1639" cm="1">
        <f t="array" ref="E16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39">
        <f>cukier10[[#This Row],[sprzedany_cukier]]*cukier10[[#This Row],[rabat]]</f>
        <v>19.8</v>
      </c>
    </row>
    <row r="1640" spans="1:6" x14ac:dyDescent="0.25">
      <c r="A1640" s="1">
        <v>38867</v>
      </c>
      <c r="B1640" t="s">
        <v>9</v>
      </c>
      <c r="C1640">
        <v>217</v>
      </c>
      <c r="D1640">
        <f>IF(cukier10[[#This Row],[nip_klienta]]=B1639,D1639+cukier10[[#This Row],[sprzedany_cukier]],cukier10[[#This Row],[sprzedany_cukier]])</f>
        <v>4123</v>
      </c>
      <c r="E1640" cm="1">
        <f t="array" ref="E16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40">
        <f>cukier10[[#This Row],[sprzedany_cukier]]*cukier10[[#This Row],[rabat]]</f>
        <v>21.700000000000003</v>
      </c>
    </row>
    <row r="1641" spans="1:6" x14ac:dyDescent="0.25">
      <c r="A1641" s="1">
        <v>38902</v>
      </c>
      <c r="B1641" t="s">
        <v>9</v>
      </c>
      <c r="C1641">
        <v>443</v>
      </c>
      <c r="D1641">
        <f>IF(cukier10[[#This Row],[nip_klienta]]=B1640,D1640+cukier10[[#This Row],[sprzedany_cukier]],cukier10[[#This Row],[sprzedany_cukier]])</f>
        <v>4566</v>
      </c>
      <c r="E1641" cm="1">
        <f t="array" ref="E16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41">
        <f>cukier10[[#This Row],[sprzedany_cukier]]*cukier10[[#This Row],[rabat]]</f>
        <v>44.300000000000004</v>
      </c>
    </row>
    <row r="1642" spans="1:6" x14ac:dyDescent="0.25">
      <c r="A1642" s="1">
        <v>38918</v>
      </c>
      <c r="B1642" t="s">
        <v>9</v>
      </c>
      <c r="C1642">
        <v>323</v>
      </c>
      <c r="D1642">
        <f>IF(cukier10[[#This Row],[nip_klienta]]=B1641,D1641+cukier10[[#This Row],[sprzedany_cukier]],cukier10[[#This Row],[sprzedany_cukier]])</f>
        <v>4889</v>
      </c>
      <c r="E1642" cm="1">
        <f t="array" ref="E16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42">
        <f>cukier10[[#This Row],[sprzedany_cukier]]*cukier10[[#This Row],[rabat]]</f>
        <v>32.300000000000004</v>
      </c>
    </row>
    <row r="1643" spans="1:6" x14ac:dyDescent="0.25">
      <c r="A1643" s="1">
        <v>38926</v>
      </c>
      <c r="B1643" t="s">
        <v>9</v>
      </c>
      <c r="C1643">
        <v>497</v>
      </c>
      <c r="D1643">
        <f>IF(cukier10[[#This Row],[nip_klienta]]=B1642,D1642+cukier10[[#This Row],[sprzedany_cukier]],cukier10[[#This Row],[sprzedany_cukier]])</f>
        <v>5386</v>
      </c>
      <c r="E1643" cm="1">
        <f t="array" ref="E16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43">
        <f>cukier10[[#This Row],[sprzedany_cukier]]*cukier10[[#This Row],[rabat]]</f>
        <v>49.7</v>
      </c>
    </row>
    <row r="1644" spans="1:6" x14ac:dyDescent="0.25">
      <c r="A1644" s="1">
        <v>38927</v>
      </c>
      <c r="B1644" t="s">
        <v>9</v>
      </c>
      <c r="C1644">
        <v>103</v>
      </c>
      <c r="D1644">
        <f>IF(cukier10[[#This Row],[nip_klienta]]=B1643,D1643+cukier10[[#This Row],[sprzedany_cukier]],cukier10[[#This Row],[sprzedany_cukier]])</f>
        <v>5489</v>
      </c>
      <c r="E1644" cm="1">
        <f t="array" ref="E16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44">
        <f>cukier10[[#This Row],[sprzedany_cukier]]*cukier10[[#This Row],[rabat]]</f>
        <v>10.3</v>
      </c>
    </row>
    <row r="1645" spans="1:6" x14ac:dyDescent="0.25">
      <c r="A1645" s="1">
        <v>39047</v>
      </c>
      <c r="B1645" t="s">
        <v>9</v>
      </c>
      <c r="C1645">
        <v>237</v>
      </c>
      <c r="D1645">
        <f>IF(cukier10[[#This Row],[nip_klienta]]=B1644,D1644+cukier10[[#This Row],[sprzedany_cukier]],cukier10[[#This Row],[sprzedany_cukier]])</f>
        <v>5726</v>
      </c>
      <c r="E1645" cm="1">
        <f t="array" ref="E16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45">
        <f>cukier10[[#This Row],[sprzedany_cukier]]*cukier10[[#This Row],[rabat]]</f>
        <v>23.700000000000003</v>
      </c>
    </row>
    <row r="1646" spans="1:6" x14ac:dyDescent="0.25">
      <c r="A1646" s="1">
        <v>39204</v>
      </c>
      <c r="B1646" t="s">
        <v>9</v>
      </c>
      <c r="C1646">
        <v>297</v>
      </c>
      <c r="D1646">
        <f>IF(cukier10[[#This Row],[nip_klienta]]=B1645,D1645+cukier10[[#This Row],[sprzedany_cukier]],cukier10[[#This Row],[sprzedany_cukier]])</f>
        <v>6023</v>
      </c>
      <c r="E1646" cm="1">
        <f t="array" ref="E16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46">
        <f>cukier10[[#This Row],[sprzedany_cukier]]*cukier10[[#This Row],[rabat]]</f>
        <v>29.700000000000003</v>
      </c>
    </row>
    <row r="1647" spans="1:6" x14ac:dyDescent="0.25">
      <c r="A1647" s="1">
        <v>39270</v>
      </c>
      <c r="B1647" t="s">
        <v>9</v>
      </c>
      <c r="C1647">
        <v>208</v>
      </c>
      <c r="D1647">
        <f>IF(cukier10[[#This Row],[nip_klienta]]=B1646,D1646+cukier10[[#This Row],[sprzedany_cukier]],cukier10[[#This Row],[sprzedany_cukier]])</f>
        <v>6231</v>
      </c>
      <c r="E1647" cm="1">
        <f t="array" ref="E16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47">
        <f>cukier10[[#This Row],[sprzedany_cukier]]*cukier10[[#This Row],[rabat]]</f>
        <v>20.8</v>
      </c>
    </row>
    <row r="1648" spans="1:6" x14ac:dyDescent="0.25">
      <c r="A1648" s="1">
        <v>39307</v>
      </c>
      <c r="B1648" t="s">
        <v>9</v>
      </c>
      <c r="C1648">
        <v>260</v>
      </c>
      <c r="D1648">
        <f>IF(cukier10[[#This Row],[nip_klienta]]=B1647,D1647+cukier10[[#This Row],[sprzedany_cukier]],cukier10[[#This Row],[sprzedany_cukier]])</f>
        <v>6491</v>
      </c>
      <c r="E1648" cm="1">
        <f t="array" ref="E16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48">
        <f>cukier10[[#This Row],[sprzedany_cukier]]*cukier10[[#This Row],[rabat]]</f>
        <v>26</v>
      </c>
    </row>
    <row r="1649" spans="1:6" x14ac:dyDescent="0.25">
      <c r="A1649" s="1">
        <v>39340</v>
      </c>
      <c r="B1649" t="s">
        <v>9</v>
      </c>
      <c r="C1649">
        <v>415</v>
      </c>
      <c r="D1649">
        <f>IF(cukier10[[#This Row],[nip_klienta]]=B1648,D1648+cukier10[[#This Row],[sprzedany_cukier]],cukier10[[#This Row],[sprzedany_cukier]])</f>
        <v>6906</v>
      </c>
      <c r="E1649" cm="1">
        <f t="array" ref="E16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49">
        <f>cukier10[[#This Row],[sprzedany_cukier]]*cukier10[[#This Row],[rabat]]</f>
        <v>41.5</v>
      </c>
    </row>
    <row r="1650" spans="1:6" x14ac:dyDescent="0.25">
      <c r="A1650" s="1">
        <v>39341</v>
      </c>
      <c r="B1650" t="s">
        <v>9</v>
      </c>
      <c r="C1650">
        <v>467</v>
      </c>
      <c r="D1650">
        <f>IF(cukier10[[#This Row],[nip_klienta]]=B1649,D1649+cukier10[[#This Row],[sprzedany_cukier]],cukier10[[#This Row],[sprzedany_cukier]])</f>
        <v>7373</v>
      </c>
      <c r="E1650" cm="1">
        <f t="array" ref="E16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50">
        <f>cukier10[[#This Row],[sprzedany_cukier]]*cukier10[[#This Row],[rabat]]</f>
        <v>46.7</v>
      </c>
    </row>
    <row r="1651" spans="1:6" x14ac:dyDescent="0.25">
      <c r="A1651" s="1">
        <v>39345</v>
      </c>
      <c r="B1651" t="s">
        <v>9</v>
      </c>
      <c r="C1651">
        <v>197</v>
      </c>
      <c r="D1651">
        <f>IF(cukier10[[#This Row],[nip_klienta]]=B1650,D1650+cukier10[[#This Row],[sprzedany_cukier]],cukier10[[#This Row],[sprzedany_cukier]])</f>
        <v>7570</v>
      </c>
      <c r="E1651" cm="1">
        <f t="array" ref="E16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51">
        <f>cukier10[[#This Row],[sprzedany_cukier]]*cukier10[[#This Row],[rabat]]</f>
        <v>19.700000000000003</v>
      </c>
    </row>
    <row r="1652" spans="1:6" x14ac:dyDescent="0.25">
      <c r="A1652" s="1">
        <v>39351</v>
      </c>
      <c r="B1652" t="s">
        <v>9</v>
      </c>
      <c r="C1652">
        <v>466</v>
      </c>
      <c r="D1652">
        <f>IF(cukier10[[#This Row],[nip_klienta]]=B1651,D1651+cukier10[[#This Row],[sprzedany_cukier]],cukier10[[#This Row],[sprzedany_cukier]])</f>
        <v>8036</v>
      </c>
      <c r="E1652" cm="1">
        <f t="array" ref="E16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52">
        <f>cukier10[[#This Row],[sprzedany_cukier]]*cukier10[[#This Row],[rabat]]</f>
        <v>46.6</v>
      </c>
    </row>
    <row r="1653" spans="1:6" x14ac:dyDescent="0.25">
      <c r="A1653" s="1">
        <v>39494</v>
      </c>
      <c r="B1653" t="s">
        <v>9</v>
      </c>
      <c r="C1653">
        <v>103</v>
      </c>
      <c r="D1653">
        <f>IF(cukier10[[#This Row],[nip_klienta]]=B1652,D1652+cukier10[[#This Row],[sprzedany_cukier]],cukier10[[#This Row],[sprzedany_cukier]])</f>
        <v>8139</v>
      </c>
      <c r="E1653" cm="1">
        <f t="array" ref="E16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53">
        <f>cukier10[[#This Row],[sprzedany_cukier]]*cukier10[[#This Row],[rabat]]</f>
        <v>10.3</v>
      </c>
    </row>
    <row r="1654" spans="1:6" x14ac:dyDescent="0.25">
      <c r="A1654" s="1">
        <v>39532</v>
      </c>
      <c r="B1654" t="s">
        <v>9</v>
      </c>
      <c r="C1654">
        <v>121</v>
      </c>
      <c r="D1654">
        <f>IF(cukier10[[#This Row],[nip_klienta]]=B1653,D1653+cukier10[[#This Row],[sprzedany_cukier]],cukier10[[#This Row],[sprzedany_cukier]])</f>
        <v>8260</v>
      </c>
      <c r="E1654" cm="1">
        <f t="array" ref="E16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54">
        <f>cukier10[[#This Row],[sprzedany_cukier]]*cukier10[[#This Row],[rabat]]</f>
        <v>12.100000000000001</v>
      </c>
    </row>
    <row r="1655" spans="1:6" x14ac:dyDescent="0.25">
      <c r="A1655" s="1">
        <v>39577</v>
      </c>
      <c r="B1655" t="s">
        <v>9</v>
      </c>
      <c r="C1655">
        <v>444</v>
      </c>
      <c r="D1655">
        <f>IF(cukier10[[#This Row],[nip_klienta]]=B1654,D1654+cukier10[[#This Row],[sprzedany_cukier]],cukier10[[#This Row],[sprzedany_cukier]])</f>
        <v>8704</v>
      </c>
      <c r="E1655" cm="1">
        <f t="array" ref="E16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55">
        <f>cukier10[[#This Row],[sprzedany_cukier]]*cukier10[[#This Row],[rabat]]</f>
        <v>44.400000000000006</v>
      </c>
    </row>
    <row r="1656" spans="1:6" x14ac:dyDescent="0.25">
      <c r="A1656" s="1">
        <v>39671</v>
      </c>
      <c r="B1656" t="s">
        <v>9</v>
      </c>
      <c r="C1656">
        <v>397</v>
      </c>
      <c r="D1656">
        <f>IF(cukier10[[#This Row],[nip_klienta]]=B1655,D1655+cukier10[[#This Row],[sprzedany_cukier]],cukier10[[#This Row],[sprzedany_cukier]])</f>
        <v>9101</v>
      </c>
      <c r="E1656" cm="1">
        <f t="array" ref="E16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56">
        <f>cukier10[[#This Row],[sprzedany_cukier]]*cukier10[[#This Row],[rabat]]</f>
        <v>39.700000000000003</v>
      </c>
    </row>
    <row r="1657" spans="1:6" x14ac:dyDescent="0.25">
      <c r="A1657" s="1">
        <v>39694</v>
      </c>
      <c r="B1657" t="s">
        <v>9</v>
      </c>
      <c r="C1657">
        <v>417</v>
      </c>
      <c r="D1657">
        <f>IF(cukier10[[#This Row],[nip_klienta]]=B1656,D1656+cukier10[[#This Row],[sprzedany_cukier]],cukier10[[#This Row],[sprzedany_cukier]])</f>
        <v>9518</v>
      </c>
      <c r="E1657" cm="1">
        <f t="array" ref="E16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57">
        <f>cukier10[[#This Row],[sprzedany_cukier]]*cukier10[[#This Row],[rabat]]</f>
        <v>41.7</v>
      </c>
    </row>
    <row r="1658" spans="1:6" x14ac:dyDescent="0.25">
      <c r="A1658" s="1">
        <v>39738</v>
      </c>
      <c r="B1658" t="s">
        <v>9</v>
      </c>
      <c r="C1658">
        <v>351</v>
      </c>
      <c r="D1658">
        <f>IF(cukier10[[#This Row],[nip_klienta]]=B1657,D1657+cukier10[[#This Row],[sprzedany_cukier]],cukier10[[#This Row],[sprzedany_cukier]])</f>
        <v>9869</v>
      </c>
      <c r="E1658" cm="1">
        <f t="array" ref="E16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658">
        <f>cukier10[[#This Row],[sprzedany_cukier]]*cukier10[[#This Row],[rabat]]</f>
        <v>35.1</v>
      </c>
    </row>
    <row r="1659" spans="1:6" x14ac:dyDescent="0.25">
      <c r="A1659" s="1">
        <v>39747</v>
      </c>
      <c r="B1659" t="s">
        <v>9</v>
      </c>
      <c r="C1659">
        <v>269</v>
      </c>
      <c r="D1659">
        <f>IF(cukier10[[#This Row],[nip_klienta]]=B1658,D1658+cukier10[[#This Row],[sprzedany_cukier]],cukier10[[#This Row],[sprzedany_cukier]])</f>
        <v>10138</v>
      </c>
      <c r="E1659" cm="1">
        <f t="array" ref="E16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59">
        <f>cukier10[[#This Row],[sprzedany_cukier]]*cukier10[[#This Row],[rabat]]</f>
        <v>53.800000000000004</v>
      </c>
    </row>
    <row r="1660" spans="1:6" x14ac:dyDescent="0.25">
      <c r="A1660" s="1">
        <v>39860</v>
      </c>
      <c r="B1660" t="s">
        <v>9</v>
      </c>
      <c r="C1660">
        <v>395</v>
      </c>
      <c r="D1660">
        <f>IF(cukier10[[#This Row],[nip_klienta]]=B1659,D1659+cukier10[[#This Row],[sprzedany_cukier]],cukier10[[#This Row],[sprzedany_cukier]])</f>
        <v>10533</v>
      </c>
      <c r="E1660" cm="1">
        <f t="array" ref="E16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60">
        <f>cukier10[[#This Row],[sprzedany_cukier]]*cukier10[[#This Row],[rabat]]</f>
        <v>79</v>
      </c>
    </row>
    <row r="1661" spans="1:6" x14ac:dyDescent="0.25">
      <c r="A1661" s="1">
        <v>39895</v>
      </c>
      <c r="B1661" t="s">
        <v>9</v>
      </c>
      <c r="C1661">
        <v>187</v>
      </c>
      <c r="D1661">
        <f>IF(cukier10[[#This Row],[nip_klienta]]=B1660,D1660+cukier10[[#This Row],[sprzedany_cukier]],cukier10[[#This Row],[sprzedany_cukier]])</f>
        <v>10720</v>
      </c>
      <c r="E1661" cm="1">
        <f t="array" ref="E16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61">
        <f>cukier10[[#This Row],[sprzedany_cukier]]*cukier10[[#This Row],[rabat]]</f>
        <v>37.4</v>
      </c>
    </row>
    <row r="1662" spans="1:6" x14ac:dyDescent="0.25">
      <c r="A1662" s="1">
        <v>39939</v>
      </c>
      <c r="B1662" t="s">
        <v>9</v>
      </c>
      <c r="C1662">
        <v>128</v>
      </c>
      <c r="D1662">
        <f>IF(cukier10[[#This Row],[nip_klienta]]=B1661,D1661+cukier10[[#This Row],[sprzedany_cukier]],cukier10[[#This Row],[sprzedany_cukier]])</f>
        <v>10848</v>
      </c>
      <c r="E1662" cm="1">
        <f t="array" ref="E16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62">
        <f>cukier10[[#This Row],[sprzedany_cukier]]*cukier10[[#This Row],[rabat]]</f>
        <v>25.6</v>
      </c>
    </row>
    <row r="1663" spans="1:6" x14ac:dyDescent="0.25">
      <c r="A1663" s="1">
        <v>39948</v>
      </c>
      <c r="B1663" t="s">
        <v>9</v>
      </c>
      <c r="C1663">
        <v>291</v>
      </c>
      <c r="D1663">
        <f>IF(cukier10[[#This Row],[nip_klienta]]=B1662,D1662+cukier10[[#This Row],[sprzedany_cukier]],cukier10[[#This Row],[sprzedany_cukier]])</f>
        <v>11139</v>
      </c>
      <c r="E1663" cm="1">
        <f t="array" ref="E16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63">
        <f>cukier10[[#This Row],[sprzedany_cukier]]*cukier10[[#This Row],[rabat]]</f>
        <v>58.2</v>
      </c>
    </row>
    <row r="1664" spans="1:6" x14ac:dyDescent="0.25">
      <c r="A1664" s="1">
        <v>39980</v>
      </c>
      <c r="B1664" t="s">
        <v>9</v>
      </c>
      <c r="C1664">
        <v>402</v>
      </c>
      <c r="D1664">
        <f>IF(cukier10[[#This Row],[nip_klienta]]=B1663,D1663+cukier10[[#This Row],[sprzedany_cukier]],cukier10[[#This Row],[sprzedany_cukier]])</f>
        <v>11541</v>
      </c>
      <c r="E1664" cm="1">
        <f t="array" ref="E16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64">
        <f>cukier10[[#This Row],[sprzedany_cukier]]*cukier10[[#This Row],[rabat]]</f>
        <v>80.400000000000006</v>
      </c>
    </row>
    <row r="1665" spans="1:6" x14ac:dyDescent="0.25">
      <c r="A1665" s="1">
        <v>39994</v>
      </c>
      <c r="B1665" t="s">
        <v>9</v>
      </c>
      <c r="C1665">
        <v>479</v>
      </c>
      <c r="D1665">
        <f>IF(cukier10[[#This Row],[nip_klienta]]=B1664,D1664+cukier10[[#This Row],[sprzedany_cukier]],cukier10[[#This Row],[sprzedany_cukier]])</f>
        <v>12020</v>
      </c>
      <c r="E1665" cm="1">
        <f t="array" ref="E16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65">
        <f>cukier10[[#This Row],[sprzedany_cukier]]*cukier10[[#This Row],[rabat]]</f>
        <v>95.800000000000011</v>
      </c>
    </row>
    <row r="1666" spans="1:6" x14ac:dyDescent="0.25">
      <c r="A1666" s="1">
        <v>40010</v>
      </c>
      <c r="B1666" t="s">
        <v>9</v>
      </c>
      <c r="C1666">
        <v>457</v>
      </c>
      <c r="D1666">
        <f>IF(cukier10[[#This Row],[nip_klienta]]=B1665,D1665+cukier10[[#This Row],[sprzedany_cukier]],cukier10[[#This Row],[sprzedany_cukier]])</f>
        <v>12477</v>
      </c>
      <c r="E1666" cm="1">
        <f t="array" ref="E16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66">
        <f>cukier10[[#This Row],[sprzedany_cukier]]*cukier10[[#This Row],[rabat]]</f>
        <v>91.4</v>
      </c>
    </row>
    <row r="1667" spans="1:6" x14ac:dyDescent="0.25">
      <c r="A1667" s="1">
        <v>40095</v>
      </c>
      <c r="B1667" t="s">
        <v>9</v>
      </c>
      <c r="C1667">
        <v>213</v>
      </c>
      <c r="D1667">
        <f>IF(cukier10[[#This Row],[nip_klienta]]=B1666,D1666+cukier10[[#This Row],[sprzedany_cukier]],cukier10[[#This Row],[sprzedany_cukier]])</f>
        <v>12690</v>
      </c>
      <c r="E1667" cm="1">
        <f t="array" ref="E16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67">
        <f>cukier10[[#This Row],[sprzedany_cukier]]*cukier10[[#This Row],[rabat]]</f>
        <v>42.6</v>
      </c>
    </row>
    <row r="1668" spans="1:6" x14ac:dyDescent="0.25">
      <c r="A1668" s="1">
        <v>40107</v>
      </c>
      <c r="B1668" t="s">
        <v>9</v>
      </c>
      <c r="C1668">
        <v>118</v>
      </c>
      <c r="D1668">
        <f>IF(cukier10[[#This Row],[nip_klienta]]=B1667,D1667+cukier10[[#This Row],[sprzedany_cukier]],cukier10[[#This Row],[sprzedany_cukier]])</f>
        <v>12808</v>
      </c>
      <c r="E1668" cm="1">
        <f t="array" ref="E16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68">
        <f>cukier10[[#This Row],[sprzedany_cukier]]*cukier10[[#This Row],[rabat]]</f>
        <v>23.6</v>
      </c>
    </row>
    <row r="1669" spans="1:6" x14ac:dyDescent="0.25">
      <c r="A1669" s="1">
        <v>40146</v>
      </c>
      <c r="B1669" t="s">
        <v>9</v>
      </c>
      <c r="C1669">
        <v>279</v>
      </c>
      <c r="D1669">
        <f>IF(cukier10[[#This Row],[nip_klienta]]=B1668,D1668+cukier10[[#This Row],[sprzedany_cukier]],cukier10[[#This Row],[sprzedany_cukier]])</f>
        <v>13087</v>
      </c>
      <c r="E1669" cm="1">
        <f t="array" ref="E16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69">
        <f>cukier10[[#This Row],[sprzedany_cukier]]*cukier10[[#This Row],[rabat]]</f>
        <v>55.800000000000004</v>
      </c>
    </row>
    <row r="1670" spans="1:6" x14ac:dyDescent="0.25">
      <c r="A1670" s="1">
        <v>40280</v>
      </c>
      <c r="B1670" t="s">
        <v>9</v>
      </c>
      <c r="C1670">
        <v>222</v>
      </c>
      <c r="D1670">
        <f>IF(cukier10[[#This Row],[nip_klienta]]=B1669,D1669+cukier10[[#This Row],[sprzedany_cukier]],cukier10[[#This Row],[sprzedany_cukier]])</f>
        <v>13309</v>
      </c>
      <c r="E1670" cm="1">
        <f t="array" ref="E16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70">
        <f>cukier10[[#This Row],[sprzedany_cukier]]*cukier10[[#This Row],[rabat]]</f>
        <v>44.400000000000006</v>
      </c>
    </row>
    <row r="1671" spans="1:6" x14ac:dyDescent="0.25">
      <c r="A1671" s="1">
        <v>40282</v>
      </c>
      <c r="B1671" t="s">
        <v>9</v>
      </c>
      <c r="C1671">
        <v>352</v>
      </c>
      <c r="D1671">
        <f>IF(cukier10[[#This Row],[nip_klienta]]=B1670,D1670+cukier10[[#This Row],[sprzedany_cukier]],cukier10[[#This Row],[sprzedany_cukier]])</f>
        <v>13661</v>
      </c>
      <c r="E1671" cm="1">
        <f t="array" ref="E16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71">
        <f>cukier10[[#This Row],[sprzedany_cukier]]*cukier10[[#This Row],[rabat]]</f>
        <v>70.400000000000006</v>
      </c>
    </row>
    <row r="1672" spans="1:6" x14ac:dyDescent="0.25">
      <c r="A1672" s="1">
        <v>40285</v>
      </c>
      <c r="B1672" t="s">
        <v>9</v>
      </c>
      <c r="C1672">
        <v>182</v>
      </c>
      <c r="D1672">
        <f>IF(cukier10[[#This Row],[nip_klienta]]=B1671,D1671+cukier10[[#This Row],[sprzedany_cukier]],cukier10[[#This Row],[sprzedany_cukier]])</f>
        <v>13843</v>
      </c>
      <c r="E1672" cm="1">
        <f t="array" ref="E16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72">
        <f>cukier10[[#This Row],[sprzedany_cukier]]*cukier10[[#This Row],[rabat]]</f>
        <v>36.4</v>
      </c>
    </row>
    <row r="1673" spans="1:6" x14ac:dyDescent="0.25">
      <c r="A1673" s="1">
        <v>40293</v>
      </c>
      <c r="B1673" t="s">
        <v>9</v>
      </c>
      <c r="C1673">
        <v>240</v>
      </c>
      <c r="D1673">
        <f>IF(cukier10[[#This Row],[nip_klienta]]=B1672,D1672+cukier10[[#This Row],[sprzedany_cukier]],cukier10[[#This Row],[sprzedany_cukier]])</f>
        <v>14083</v>
      </c>
      <c r="E1673" cm="1">
        <f t="array" ref="E16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73">
        <f>cukier10[[#This Row],[sprzedany_cukier]]*cukier10[[#This Row],[rabat]]</f>
        <v>48</v>
      </c>
    </row>
    <row r="1674" spans="1:6" x14ac:dyDescent="0.25">
      <c r="A1674" s="1">
        <v>40360</v>
      </c>
      <c r="B1674" t="s">
        <v>9</v>
      </c>
      <c r="C1674">
        <v>154</v>
      </c>
      <c r="D1674">
        <f>IF(cukier10[[#This Row],[nip_klienta]]=B1673,D1673+cukier10[[#This Row],[sprzedany_cukier]],cukier10[[#This Row],[sprzedany_cukier]])</f>
        <v>14237</v>
      </c>
      <c r="E1674" cm="1">
        <f t="array" ref="E16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74">
        <f>cukier10[[#This Row],[sprzedany_cukier]]*cukier10[[#This Row],[rabat]]</f>
        <v>30.8</v>
      </c>
    </row>
    <row r="1675" spans="1:6" x14ac:dyDescent="0.25">
      <c r="A1675" s="1">
        <v>40370</v>
      </c>
      <c r="B1675" t="s">
        <v>9</v>
      </c>
      <c r="C1675">
        <v>401</v>
      </c>
      <c r="D1675">
        <f>IF(cukier10[[#This Row],[nip_klienta]]=B1674,D1674+cukier10[[#This Row],[sprzedany_cukier]],cukier10[[#This Row],[sprzedany_cukier]])</f>
        <v>14638</v>
      </c>
      <c r="E1675" cm="1">
        <f t="array" ref="E16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75">
        <f>cukier10[[#This Row],[sprzedany_cukier]]*cukier10[[#This Row],[rabat]]</f>
        <v>80.2</v>
      </c>
    </row>
    <row r="1676" spans="1:6" x14ac:dyDescent="0.25">
      <c r="A1676" s="1">
        <v>40389</v>
      </c>
      <c r="B1676" t="s">
        <v>9</v>
      </c>
      <c r="C1676">
        <v>124</v>
      </c>
      <c r="D1676">
        <f>IF(cukier10[[#This Row],[nip_klienta]]=B1675,D1675+cukier10[[#This Row],[sprzedany_cukier]],cukier10[[#This Row],[sprzedany_cukier]])</f>
        <v>14762</v>
      </c>
      <c r="E1676" cm="1">
        <f t="array" ref="E16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76">
        <f>cukier10[[#This Row],[sprzedany_cukier]]*cukier10[[#This Row],[rabat]]</f>
        <v>24.8</v>
      </c>
    </row>
    <row r="1677" spans="1:6" x14ac:dyDescent="0.25">
      <c r="A1677" s="1">
        <v>40423</v>
      </c>
      <c r="B1677" t="s">
        <v>9</v>
      </c>
      <c r="C1677">
        <v>489</v>
      </c>
      <c r="D1677">
        <f>IF(cukier10[[#This Row],[nip_klienta]]=B1676,D1676+cukier10[[#This Row],[sprzedany_cukier]],cukier10[[#This Row],[sprzedany_cukier]])</f>
        <v>15251</v>
      </c>
      <c r="E1677" cm="1">
        <f t="array" ref="E16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77">
        <f>cukier10[[#This Row],[sprzedany_cukier]]*cukier10[[#This Row],[rabat]]</f>
        <v>97.800000000000011</v>
      </c>
    </row>
    <row r="1678" spans="1:6" x14ac:dyDescent="0.25">
      <c r="A1678" s="1">
        <v>40432</v>
      </c>
      <c r="B1678" t="s">
        <v>9</v>
      </c>
      <c r="C1678">
        <v>297</v>
      </c>
      <c r="D1678">
        <f>IF(cukier10[[#This Row],[nip_klienta]]=B1677,D1677+cukier10[[#This Row],[sprzedany_cukier]],cukier10[[#This Row],[sprzedany_cukier]])</f>
        <v>15548</v>
      </c>
      <c r="E1678" cm="1">
        <f t="array" ref="E16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78">
        <f>cukier10[[#This Row],[sprzedany_cukier]]*cukier10[[#This Row],[rabat]]</f>
        <v>59.400000000000006</v>
      </c>
    </row>
    <row r="1679" spans="1:6" x14ac:dyDescent="0.25">
      <c r="A1679" s="1">
        <v>40546</v>
      </c>
      <c r="B1679" t="s">
        <v>9</v>
      </c>
      <c r="C1679">
        <v>240</v>
      </c>
      <c r="D1679">
        <f>IF(cukier10[[#This Row],[nip_klienta]]=B1678,D1678+cukier10[[#This Row],[sprzedany_cukier]],cukier10[[#This Row],[sprzedany_cukier]])</f>
        <v>15788</v>
      </c>
      <c r="E1679" cm="1">
        <f t="array" ref="E16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79">
        <f>cukier10[[#This Row],[sprzedany_cukier]]*cukier10[[#This Row],[rabat]]</f>
        <v>48</v>
      </c>
    </row>
    <row r="1680" spans="1:6" x14ac:dyDescent="0.25">
      <c r="A1680" s="1">
        <v>40566</v>
      </c>
      <c r="B1680" t="s">
        <v>9</v>
      </c>
      <c r="C1680">
        <v>401</v>
      </c>
      <c r="D1680">
        <f>IF(cukier10[[#This Row],[nip_klienta]]=B1679,D1679+cukier10[[#This Row],[sprzedany_cukier]],cukier10[[#This Row],[sprzedany_cukier]])</f>
        <v>16189</v>
      </c>
      <c r="E1680" cm="1">
        <f t="array" ref="E16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80">
        <f>cukier10[[#This Row],[sprzedany_cukier]]*cukier10[[#This Row],[rabat]]</f>
        <v>80.2</v>
      </c>
    </row>
    <row r="1681" spans="1:6" x14ac:dyDescent="0.25">
      <c r="A1681" s="1">
        <v>40583</v>
      </c>
      <c r="B1681" t="s">
        <v>9</v>
      </c>
      <c r="C1681">
        <v>311</v>
      </c>
      <c r="D1681">
        <f>IF(cukier10[[#This Row],[nip_klienta]]=B1680,D1680+cukier10[[#This Row],[sprzedany_cukier]],cukier10[[#This Row],[sprzedany_cukier]])</f>
        <v>16500</v>
      </c>
      <c r="E1681" cm="1">
        <f t="array" ref="E16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81">
        <f>cukier10[[#This Row],[sprzedany_cukier]]*cukier10[[#This Row],[rabat]]</f>
        <v>62.2</v>
      </c>
    </row>
    <row r="1682" spans="1:6" x14ac:dyDescent="0.25">
      <c r="A1682" s="1">
        <v>40651</v>
      </c>
      <c r="B1682" t="s">
        <v>9</v>
      </c>
      <c r="C1682">
        <v>470</v>
      </c>
      <c r="D1682">
        <f>IF(cukier10[[#This Row],[nip_klienta]]=B1681,D1681+cukier10[[#This Row],[sprzedany_cukier]],cukier10[[#This Row],[sprzedany_cukier]])</f>
        <v>16970</v>
      </c>
      <c r="E1682" cm="1">
        <f t="array" ref="E16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82">
        <f>cukier10[[#This Row],[sprzedany_cukier]]*cukier10[[#This Row],[rabat]]</f>
        <v>94</v>
      </c>
    </row>
    <row r="1683" spans="1:6" x14ac:dyDescent="0.25">
      <c r="A1683" s="1">
        <v>40686</v>
      </c>
      <c r="B1683" t="s">
        <v>9</v>
      </c>
      <c r="C1683">
        <v>381</v>
      </c>
      <c r="D1683">
        <f>IF(cukier10[[#This Row],[nip_klienta]]=B1682,D1682+cukier10[[#This Row],[sprzedany_cukier]],cukier10[[#This Row],[sprzedany_cukier]])</f>
        <v>17351</v>
      </c>
      <c r="E1683" cm="1">
        <f t="array" ref="E16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83">
        <f>cukier10[[#This Row],[sprzedany_cukier]]*cukier10[[#This Row],[rabat]]</f>
        <v>76.2</v>
      </c>
    </row>
    <row r="1684" spans="1:6" x14ac:dyDescent="0.25">
      <c r="A1684" s="1">
        <v>40727</v>
      </c>
      <c r="B1684" t="s">
        <v>9</v>
      </c>
      <c r="C1684">
        <v>145</v>
      </c>
      <c r="D1684">
        <f>IF(cukier10[[#This Row],[nip_klienta]]=B1683,D1683+cukier10[[#This Row],[sprzedany_cukier]],cukier10[[#This Row],[sprzedany_cukier]])</f>
        <v>17496</v>
      </c>
      <c r="E1684" cm="1">
        <f t="array" ref="E16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84">
        <f>cukier10[[#This Row],[sprzedany_cukier]]*cukier10[[#This Row],[rabat]]</f>
        <v>29</v>
      </c>
    </row>
    <row r="1685" spans="1:6" x14ac:dyDescent="0.25">
      <c r="A1685" s="1">
        <v>40768</v>
      </c>
      <c r="B1685" t="s">
        <v>9</v>
      </c>
      <c r="C1685">
        <v>211</v>
      </c>
      <c r="D1685">
        <f>IF(cukier10[[#This Row],[nip_klienta]]=B1684,D1684+cukier10[[#This Row],[sprzedany_cukier]],cukier10[[#This Row],[sprzedany_cukier]])</f>
        <v>17707</v>
      </c>
      <c r="E1685" cm="1">
        <f t="array" ref="E16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85">
        <f>cukier10[[#This Row],[sprzedany_cukier]]*cukier10[[#This Row],[rabat]]</f>
        <v>42.2</v>
      </c>
    </row>
    <row r="1686" spans="1:6" x14ac:dyDescent="0.25">
      <c r="A1686" s="1">
        <v>40803</v>
      </c>
      <c r="B1686" t="s">
        <v>9</v>
      </c>
      <c r="C1686">
        <v>383</v>
      </c>
      <c r="D1686">
        <f>IF(cukier10[[#This Row],[nip_klienta]]=B1685,D1685+cukier10[[#This Row],[sprzedany_cukier]],cukier10[[#This Row],[sprzedany_cukier]])</f>
        <v>18090</v>
      </c>
      <c r="E1686" cm="1">
        <f t="array" ref="E16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86">
        <f>cukier10[[#This Row],[sprzedany_cukier]]*cukier10[[#This Row],[rabat]]</f>
        <v>76.600000000000009</v>
      </c>
    </row>
    <row r="1687" spans="1:6" x14ac:dyDescent="0.25">
      <c r="A1687" s="1">
        <v>40913</v>
      </c>
      <c r="B1687" t="s">
        <v>9</v>
      </c>
      <c r="C1687">
        <v>243</v>
      </c>
      <c r="D1687">
        <f>IF(cukier10[[#This Row],[nip_klienta]]=B1686,D1686+cukier10[[#This Row],[sprzedany_cukier]],cukier10[[#This Row],[sprzedany_cukier]])</f>
        <v>18333</v>
      </c>
      <c r="E1687" cm="1">
        <f t="array" ref="E16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87">
        <f>cukier10[[#This Row],[sprzedany_cukier]]*cukier10[[#This Row],[rabat]]</f>
        <v>48.6</v>
      </c>
    </row>
    <row r="1688" spans="1:6" x14ac:dyDescent="0.25">
      <c r="A1688" s="1">
        <v>40953</v>
      </c>
      <c r="B1688" t="s">
        <v>9</v>
      </c>
      <c r="C1688">
        <v>363</v>
      </c>
      <c r="D1688">
        <f>IF(cukier10[[#This Row],[nip_klienta]]=B1687,D1687+cukier10[[#This Row],[sprzedany_cukier]],cukier10[[#This Row],[sprzedany_cukier]])</f>
        <v>18696</v>
      </c>
      <c r="E1688" cm="1">
        <f t="array" ref="E16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88">
        <f>cukier10[[#This Row],[sprzedany_cukier]]*cukier10[[#This Row],[rabat]]</f>
        <v>72.600000000000009</v>
      </c>
    </row>
    <row r="1689" spans="1:6" x14ac:dyDescent="0.25">
      <c r="A1689" s="1">
        <v>40995</v>
      </c>
      <c r="B1689" t="s">
        <v>9</v>
      </c>
      <c r="C1689">
        <v>267</v>
      </c>
      <c r="D1689">
        <f>IF(cukier10[[#This Row],[nip_klienta]]=B1688,D1688+cukier10[[#This Row],[sprzedany_cukier]],cukier10[[#This Row],[sprzedany_cukier]])</f>
        <v>18963</v>
      </c>
      <c r="E1689" cm="1">
        <f t="array" ref="E16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89">
        <f>cukier10[[#This Row],[sprzedany_cukier]]*cukier10[[#This Row],[rabat]]</f>
        <v>53.400000000000006</v>
      </c>
    </row>
    <row r="1690" spans="1:6" x14ac:dyDescent="0.25">
      <c r="A1690" s="1">
        <v>40999</v>
      </c>
      <c r="B1690" t="s">
        <v>9</v>
      </c>
      <c r="C1690">
        <v>437</v>
      </c>
      <c r="D1690">
        <f>IF(cukier10[[#This Row],[nip_klienta]]=B1689,D1689+cukier10[[#This Row],[sprzedany_cukier]],cukier10[[#This Row],[sprzedany_cukier]])</f>
        <v>19400</v>
      </c>
      <c r="E1690" cm="1">
        <f t="array" ref="E16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90">
        <f>cukier10[[#This Row],[sprzedany_cukier]]*cukier10[[#This Row],[rabat]]</f>
        <v>87.4</v>
      </c>
    </row>
    <row r="1691" spans="1:6" x14ac:dyDescent="0.25">
      <c r="A1691" s="1">
        <v>41025</v>
      </c>
      <c r="B1691" t="s">
        <v>9</v>
      </c>
      <c r="C1691">
        <v>191</v>
      </c>
      <c r="D1691">
        <f>IF(cukier10[[#This Row],[nip_klienta]]=B1690,D1690+cukier10[[#This Row],[sprzedany_cukier]],cukier10[[#This Row],[sprzedany_cukier]])</f>
        <v>19591</v>
      </c>
      <c r="E1691" cm="1">
        <f t="array" ref="E16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91">
        <f>cukier10[[#This Row],[sprzedany_cukier]]*cukier10[[#This Row],[rabat]]</f>
        <v>38.200000000000003</v>
      </c>
    </row>
    <row r="1692" spans="1:6" x14ac:dyDescent="0.25">
      <c r="A1692" s="1">
        <v>41108</v>
      </c>
      <c r="B1692" t="s">
        <v>9</v>
      </c>
      <c r="C1692">
        <v>106</v>
      </c>
      <c r="D1692">
        <f>IF(cukier10[[#This Row],[nip_klienta]]=B1691,D1691+cukier10[[#This Row],[sprzedany_cukier]],cukier10[[#This Row],[sprzedany_cukier]])</f>
        <v>19697</v>
      </c>
      <c r="E1692" cm="1">
        <f t="array" ref="E16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92">
        <f>cukier10[[#This Row],[sprzedany_cukier]]*cukier10[[#This Row],[rabat]]</f>
        <v>21.200000000000003</v>
      </c>
    </row>
    <row r="1693" spans="1:6" x14ac:dyDescent="0.25">
      <c r="A1693" s="1">
        <v>41109</v>
      </c>
      <c r="B1693" t="s">
        <v>9</v>
      </c>
      <c r="C1693">
        <v>229</v>
      </c>
      <c r="D1693">
        <f>IF(cukier10[[#This Row],[nip_klienta]]=B1692,D1692+cukier10[[#This Row],[sprzedany_cukier]],cukier10[[#This Row],[sprzedany_cukier]])</f>
        <v>19926</v>
      </c>
      <c r="E1693" cm="1">
        <f t="array" ref="E16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93">
        <f>cukier10[[#This Row],[sprzedany_cukier]]*cukier10[[#This Row],[rabat]]</f>
        <v>45.800000000000004</v>
      </c>
    </row>
    <row r="1694" spans="1:6" x14ac:dyDescent="0.25">
      <c r="A1694" s="1">
        <v>41158</v>
      </c>
      <c r="B1694" t="s">
        <v>9</v>
      </c>
      <c r="C1694">
        <v>165</v>
      </c>
      <c r="D1694">
        <f>IF(cukier10[[#This Row],[nip_klienta]]=B1693,D1693+cukier10[[#This Row],[sprzedany_cukier]],cukier10[[#This Row],[sprzedany_cukier]])</f>
        <v>20091</v>
      </c>
      <c r="E1694" cm="1">
        <f t="array" ref="E16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94">
        <f>cukier10[[#This Row],[sprzedany_cukier]]*cukier10[[#This Row],[rabat]]</f>
        <v>33</v>
      </c>
    </row>
    <row r="1695" spans="1:6" x14ac:dyDescent="0.25">
      <c r="A1695" s="1">
        <v>41223</v>
      </c>
      <c r="B1695" t="s">
        <v>9</v>
      </c>
      <c r="C1695">
        <v>167</v>
      </c>
      <c r="D1695">
        <f>IF(cukier10[[#This Row],[nip_klienta]]=B1694,D1694+cukier10[[#This Row],[sprzedany_cukier]],cukier10[[#This Row],[sprzedany_cukier]])</f>
        <v>20258</v>
      </c>
      <c r="E1695" cm="1">
        <f t="array" ref="E16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95">
        <f>cukier10[[#This Row],[sprzedany_cukier]]*cukier10[[#This Row],[rabat]]</f>
        <v>33.4</v>
      </c>
    </row>
    <row r="1696" spans="1:6" x14ac:dyDescent="0.25">
      <c r="A1696" s="1">
        <v>41237</v>
      </c>
      <c r="B1696" t="s">
        <v>9</v>
      </c>
      <c r="C1696">
        <v>228</v>
      </c>
      <c r="D1696">
        <f>IF(cukier10[[#This Row],[nip_klienta]]=B1695,D1695+cukier10[[#This Row],[sprzedany_cukier]],cukier10[[#This Row],[sprzedany_cukier]])</f>
        <v>20486</v>
      </c>
      <c r="E1696" cm="1">
        <f t="array" ref="E16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96">
        <f>cukier10[[#This Row],[sprzedany_cukier]]*cukier10[[#This Row],[rabat]]</f>
        <v>45.6</v>
      </c>
    </row>
    <row r="1697" spans="1:6" x14ac:dyDescent="0.25">
      <c r="A1697" s="1">
        <v>41258</v>
      </c>
      <c r="B1697" t="s">
        <v>9</v>
      </c>
      <c r="C1697">
        <v>347</v>
      </c>
      <c r="D1697">
        <f>IF(cukier10[[#This Row],[nip_klienta]]=B1696,D1696+cukier10[[#This Row],[sprzedany_cukier]],cukier10[[#This Row],[sprzedany_cukier]])</f>
        <v>20833</v>
      </c>
      <c r="E1697" cm="1">
        <f t="array" ref="E16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97">
        <f>cukier10[[#This Row],[sprzedany_cukier]]*cukier10[[#This Row],[rabat]]</f>
        <v>69.400000000000006</v>
      </c>
    </row>
    <row r="1698" spans="1:6" x14ac:dyDescent="0.25">
      <c r="A1698" s="1">
        <v>41300</v>
      </c>
      <c r="B1698" t="s">
        <v>9</v>
      </c>
      <c r="C1698">
        <v>330</v>
      </c>
      <c r="D1698">
        <f>IF(cukier10[[#This Row],[nip_klienta]]=B1697,D1697+cukier10[[#This Row],[sprzedany_cukier]],cukier10[[#This Row],[sprzedany_cukier]])</f>
        <v>21163</v>
      </c>
      <c r="E1698" cm="1">
        <f t="array" ref="E16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98">
        <f>cukier10[[#This Row],[sprzedany_cukier]]*cukier10[[#This Row],[rabat]]</f>
        <v>66</v>
      </c>
    </row>
    <row r="1699" spans="1:6" x14ac:dyDescent="0.25">
      <c r="A1699" s="1">
        <v>41301</v>
      </c>
      <c r="B1699" t="s">
        <v>9</v>
      </c>
      <c r="C1699">
        <v>459</v>
      </c>
      <c r="D1699">
        <f>IF(cukier10[[#This Row],[nip_klienta]]=B1698,D1698+cukier10[[#This Row],[sprzedany_cukier]],cukier10[[#This Row],[sprzedany_cukier]])</f>
        <v>21622</v>
      </c>
      <c r="E1699" cm="1">
        <f t="array" ref="E16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699">
        <f>cukier10[[#This Row],[sprzedany_cukier]]*cukier10[[#This Row],[rabat]]</f>
        <v>91.800000000000011</v>
      </c>
    </row>
    <row r="1700" spans="1:6" x14ac:dyDescent="0.25">
      <c r="A1700" s="1">
        <v>41365</v>
      </c>
      <c r="B1700" t="s">
        <v>9</v>
      </c>
      <c r="C1700">
        <v>352</v>
      </c>
      <c r="D1700">
        <f>IF(cukier10[[#This Row],[nip_klienta]]=B1699,D1699+cukier10[[#This Row],[sprzedany_cukier]],cukier10[[#This Row],[sprzedany_cukier]])</f>
        <v>21974</v>
      </c>
      <c r="E1700" cm="1">
        <f t="array" ref="E17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00">
        <f>cukier10[[#This Row],[sprzedany_cukier]]*cukier10[[#This Row],[rabat]]</f>
        <v>70.400000000000006</v>
      </c>
    </row>
    <row r="1701" spans="1:6" x14ac:dyDescent="0.25">
      <c r="A1701" s="1">
        <v>41407</v>
      </c>
      <c r="B1701" t="s">
        <v>9</v>
      </c>
      <c r="C1701">
        <v>412</v>
      </c>
      <c r="D1701">
        <f>IF(cukier10[[#This Row],[nip_klienta]]=B1700,D1700+cukier10[[#This Row],[sprzedany_cukier]],cukier10[[#This Row],[sprzedany_cukier]])</f>
        <v>22386</v>
      </c>
      <c r="E1701" cm="1">
        <f t="array" ref="E17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01">
        <f>cukier10[[#This Row],[sprzedany_cukier]]*cukier10[[#This Row],[rabat]]</f>
        <v>82.4</v>
      </c>
    </row>
    <row r="1702" spans="1:6" x14ac:dyDescent="0.25">
      <c r="A1702" s="1">
        <v>41424</v>
      </c>
      <c r="B1702" t="s">
        <v>9</v>
      </c>
      <c r="C1702">
        <v>448</v>
      </c>
      <c r="D1702">
        <f>IF(cukier10[[#This Row],[nip_klienta]]=B1701,D1701+cukier10[[#This Row],[sprzedany_cukier]],cukier10[[#This Row],[sprzedany_cukier]])</f>
        <v>22834</v>
      </c>
      <c r="E1702" cm="1">
        <f t="array" ref="E17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02">
        <f>cukier10[[#This Row],[sprzedany_cukier]]*cukier10[[#This Row],[rabat]]</f>
        <v>89.600000000000009</v>
      </c>
    </row>
    <row r="1703" spans="1:6" x14ac:dyDescent="0.25">
      <c r="A1703" s="1">
        <v>41426</v>
      </c>
      <c r="B1703" t="s">
        <v>9</v>
      </c>
      <c r="C1703">
        <v>240</v>
      </c>
      <c r="D1703">
        <f>IF(cukier10[[#This Row],[nip_klienta]]=B1702,D1702+cukier10[[#This Row],[sprzedany_cukier]],cukier10[[#This Row],[sprzedany_cukier]])</f>
        <v>23074</v>
      </c>
      <c r="E1703" cm="1">
        <f t="array" ref="E17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03">
        <f>cukier10[[#This Row],[sprzedany_cukier]]*cukier10[[#This Row],[rabat]]</f>
        <v>48</v>
      </c>
    </row>
    <row r="1704" spans="1:6" x14ac:dyDescent="0.25">
      <c r="A1704" s="1">
        <v>41482</v>
      </c>
      <c r="B1704" t="s">
        <v>9</v>
      </c>
      <c r="C1704">
        <v>109</v>
      </c>
      <c r="D1704">
        <f>IF(cukier10[[#This Row],[nip_klienta]]=B1703,D1703+cukier10[[#This Row],[sprzedany_cukier]],cukier10[[#This Row],[sprzedany_cukier]])</f>
        <v>23183</v>
      </c>
      <c r="E1704" cm="1">
        <f t="array" ref="E17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04">
        <f>cukier10[[#This Row],[sprzedany_cukier]]*cukier10[[#This Row],[rabat]]</f>
        <v>21.8</v>
      </c>
    </row>
    <row r="1705" spans="1:6" x14ac:dyDescent="0.25">
      <c r="A1705" s="1">
        <v>41543</v>
      </c>
      <c r="B1705" t="s">
        <v>9</v>
      </c>
      <c r="C1705">
        <v>128</v>
      </c>
      <c r="D1705">
        <f>IF(cukier10[[#This Row],[nip_klienta]]=B1704,D1704+cukier10[[#This Row],[sprzedany_cukier]],cukier10[[#This Row],[sprzedany_cukier]])</f>
        <v>23311</v>
      </c>
      <c r="E1705" cm="1">
        <f t="array" ref="E17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05">
        <f>cukier10[[#This Row],[sprzedany_cukier]]*cukier10[[#This Row],[rabat]]</f>
        <v>25.6</v>
      </c>
    </row>
    <row r="1706" spans="1:6" x14ac:dyDescent="0.25">
      <c r="A1706" s="1">
        <v>41562</v>
      </c>
      <c r="B1706" t="s">
        <v>9</v>
      </c>
      <c r="C1706">
        <v>458</v>
      </c>
      <c r="D1706">
        <f>IF(cukier10[[#This Row],[nip_klienta]]=B1705,D1705+cukier10[[#This Row],[sprzedany_cukier]],cukier10[[#This Row],[sprzedany_cukier]])</f>
        <v>23769</v>
      </c>
      <c r="E1706" cm="1">
        <f t="array" ref="E17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06">
        <f>cukier10[[#This Row],[sprzedany_cukier]]*cukier10[[#This Row],[rabat]]</f>
        <v>91.600000000000009</v>
      </c>
    </row>
    <row r="1707" spans="1:6" x14ac:dyDescent="0.25">
      <c r="A1707" s="1">
        <v>41623</v>
      </c>
      <c r="B1707" t="s">
        <v>9</v>
      </c>
      <c r="C1707">
        <v>186</v>
      </c>
      <c r="D1707">
        <f>IF(cukier10[[#This Row],[nip_klienta]]=B1706,D1706+cukier10[[#This Row],[sprzedany_cukier]],cukier10[[#This Row],[sprzedany_cukier]])</f>
        <v>23955</v>
      </c>
      <c r="E1707" cm="1">
        <f t="array" ref="E17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07">
        <f>cukier10[[#This Row],[sprzedany_cukier]]*cukier10[[#This Row],[rabat]]</f>
        <v>37.200000000000003</v>
      </c>
    </row>
    <row r="1708" spans="1:6" x14ac:dyDescent="0.25">
      <c r="A1708" s="1">
        <v>41672</v>
      </c>
      <c r="B1708" t="s">
        <v>9</v>
      </c>
      <c r="C1708">
        <v>297</v>
      </c>
      <c r="D1708">
        <f>IF(cukier10[[#This Row],[nip_klienta]]=B1707,D1707+cukier10[[#This Row],[sprzedany_cukier]],cukier10[[#This Row],[sprzedany_cukier]])</f>
        <v>24252</v>
      </c>
      <c r="E1708" cm="1">
        <f t="array" ref="E17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08">
        <f>cukier10[[#This Row],[sprzedany_cukier]]*cukier10[[#This Row],[rabat]]</f>
        <v>59.400000000000006</v>
      </c>
    </row>
    <row r="1709" spans="1:6" x14ac:dyDescent="0.25">
      <c r="A1709" s="1">
        <v>41689</v>
      </c>
      <c r="B1709" t="s">
        <v>9</v>
      </c>
      <c r="C1709">
        <v>388</v>
      </c>
      <c r="D1709">
        <f>IF(cukier10[[#This Row],[nip_klienta]]=B1708,D1708+cukier10[[#This Row],[sprzedany_cukier]],cukier10[[#This Row],[sprzedany_cukier]])</f>
        <v>24640</v>
      </c>
      <c r="E1709" cm="1">
        <f t="array" ref="E17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09">
        <f>cukier10[[#This Row],[sprzedany_cukier]]*cukier10[[#This Row],[rabat]]</f>
        <v>77.600000000000009</v>
      </c>
    </row>
    <row r="1710" spans="1:6" x14ac:dyDescent="0.25">
      <c r="A1710" s="1">
        <v>41696</v>
      </c>
      <c r="B1710" t="s">
        <v>9</v>
      </c>
      <c r="C1710">
        <v>234</v>
      </c>
      <c r="D1710">
        <f>IF(cukier10[[#This Row],[nip_klienta]]=B1709,D1709+cukier10[[#This Row],[sprzedany_cukier]],cukier10[[#This Row],[sprzedany_cukier]])</f>
        <v>24874</v>
      </c>
      <c r="E1710" cm="1">
        <f t="array" ref="E17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10">
        <f>cukier10[[#This Row],[sprzedany_cukier]]*cukier10[[#This Row],[rabat]]</f>
        <v>46.800000000000004</v>
      </c>
    </row>
    <row r="1711" spans="1:6" x14ac:dyDescent="0.25">
      <c r="A1711" s="1">
        <v>41732</v>
      </c>
      <c r="B1711" t="s">
        <v>9</v>
      </c>
      <c r="C1711">
        <v>146</v>
      </c>
      <c r="D1711">
        <f>IF(cukier10[[#This Row],[nip_klienta]]=B1710,D1710+cukier10[[#This Row],[sprzedany_cukier]],cukier10[[#This Row],[sprzedany_cukier]])</f>
        <v>25020</v>
      </c>
      <c r="E1711" cm="1">
        <f t="array" ref="E17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11">
        <f>cukier10[[#This Row],[sprzedany_cukier]]*cukier10[[#This Row],[rabat]]</f>
        <v>29.200000000000003</v>
      </c>
    </row>
    <row r="1712" spans="1:6" x14ac:dyDescent="0.25">
      <c r="A1712" s="1">
        <v>41750</v>
      </c>
      <c r="B1712" t="s">
        <v>9</v>
      </c>
      <c r="C1712">
        <v>246</v>
      </c>
      <c r="D1712">
        <f>IF(cukier10[[#This Row],[nip_klienta]]=B1711,D1711+cukier10[[#This Row],[sprzedany_cukier]],cukier10[[#This Row],[sprzedany_cukier]])</f>
        <v>25266</v>
      </c>
      <c r="E1712" cm="1">
        <f t="array" ref="E17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12">
        <f>cukier10[[#This Row],[sprzedany_cukier]]*cukier10[[#This Row],[rabat]]</f>
        <v>49.2</v>
      </c>
    </row>
    <row r="1713" spans="1:6" x14ac:dyDescent="0.25">
      <c r="A1713" s="1">
        <v>41814</v>
      </c>
      <c r="B1713" t="s">
        <v>9</v>
      </c>
      <c r="C1713">
        <v>106</v>
      </c>
      <c r="D1713">
        <f>IF(cukier10[[#This Row],[nip_klienta]]=B1712,D1712+cukier10[[#This Row],[sprzedany_cukier]],cukier10[[#This Row],[sprzedany_cukier]])</f>
        <v>25372</v>
      </c>
      <c r="E1713" cm="1">
        <f t="array" ref="E17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13">
        <f>cukier10[[#This Row],[sprzedany_cukier]]*cukier10[[#This Row],[rabat]]</f>
        <v>21.200000000000003</v>
      </c>
    </row>
    <row r="1714" spans="1:6" x14ac:dyDescent="0.25">
      <c r="A1714" s="1">
        <v>41823</v>
      </c>
      <c r="B1714" t="s">
        <v>9</v>
      </c>
      <c r="C1714">
        <v>409</v>
      </c>
      <c r="D1714">
        <f>IF(cukier10[[#This Row],[nip_klienta]]=B1713,D1713+cukier10[[#This Row],[sprzedany_cukier]],cukier10[[#This Row],[sprzedany_cukier]])</f>
        <v>25781</v>
      </c>
      <c r="E1714" cm="1">
        <f t="array" ref="E17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14">
        <f>cukier10[[#This Row],[sprzedany_cukier]]*cukier10[[#This Row],[rabat]]</f>
        <v>81.800000000000011</v>
      </c>
    </row>
    <row r="1715" spans="1:6" x14ac:dyDescent="0.25">
      <c r="A1715" s="1">
        <v>41871</v>
      </c>
      <c r="B1715" t="s">
        <v>9</v>
      </c>
      <c r="C1715">
        <v>476</v>
      </c>
      <c r="D1715">
        <f>IF(cukier10[[#This Row],[nip_klienta]]=B1714,D1714+cukier10[[#This Row],[sprzedany_cukier]],cukier10[[#This Row],[sprzedany_cukier]])</f>
        <v>26257</v>
      </c>
      <c r="E1715" cm="1">
        <f t="array" ref="E17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15">
        <f>cukier10[[#This Row],[sprzedany_cukier]]*cukier10[[#This Row],[rabat]]</f>
        <v>95.2</v>
      </c>
    </row>
    <row r="1716" spans="1:6" x14ac:dyDescent="0.25">
      <c r="A1716" s="1">
        <v>41899</v>
      </c>
      <c r="B1716" t="s">
        <v>9</v>
      </c>
      <c r="C1716">
        <v>132</v>
      </c>
      <c r="D1716">
        <f>IF(cukier10[[#This Row],[nip_klienta]]=B1715,D1715+cukier10[[#This Row],[sprzedany_cukier]],cukier10[[#This Row],[sprzedany_cukier]])</f>
        <v>26389</v>
      </c>
      <c r="E1716" cm="1">
        <f t="array" ref="E17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16">
        <f>cukier10[[#This Row],[sprzedany_cukier]]*cukier10[[#This Row],[rabat]]</f>
        <v>26.400000000000002</v>
      </c>
    </row>
    <row r="1717" spans="1:6" x14ac:dyDescent="0.25">
      <c r="A1717" s="1">
        <v>41906</v>
      </c>
      <c r="B1717" t="s">
        <v>9</v>
      </c>
      <c r="C1717">
        <v>266</v>
      </c>
      <c r="D1717">
        <f>IF(cukier10[[#This Row],[nip_klienta]]=B1716,D1716+cukier10[[#This Row],[sprzedany_cukier]],cukier10[[#This Row],[sprzedany_cukier]])</f>
        <v>26655</v>
      </c>
      <c r="E1717" cm="1">
        <f t="array" ref="E17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17">
        <f>cukier10[[#This Row],[sprzedany_cukier]]*cukier10[[#This Row],[rabat]]</f>
        <v>53.2</v>
      </c>
    </row>
    <row r="1718" spans="1:6" x14ac:dyDescent="0.25">
      <c r="A1718" s="1">
        <v>41963</v>
      </c>
      <c r="B1718" t="s">
        <v>9</v>
      </c>
      <c r="C1718">
        <v>300</v>
      </c>
      <c r="D1718">
        <f>IF(cukier10[[#This Row],[nip_klienta]]=B1717,D1717+cukier10[[#This Row],[sprzedany_cukier]],cukier10[[#This Row],[sprzedany_cukier]])</f>
        <v>26955</v>
      </c>
      <c r="E1718" cm="1">
        <f t="array" ref="E17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718">
        <f>cukier10[[#This Row],[sprzedany_cukier]]*cukier10[[#This Row],[rabat]]</f>
        <v>60</v>
      </c>
    </row>
    <row r="1719" spans="1:6" x14ac:dyDescent="0.25">
      <c r="A1719" s="1">
        <v>38549</v>
      </c>
      <c r="B1719" t="s">
        <v>62</v>
      </c>
      <c r="C1719">
        <v>15</v>
      </c>
      <c r="D1719">
        <f>IF(cukier10[[#This Row],[nip_klienta]]=B1718,D1718+cukier10[[#This Row],[sprzedany_cukier]],cukier10[[#This Row],[sprzedany_cukier]])</f>
        <v>15</v>
      </c>
      <c r="E1719" cm="1">
        <f t="array" ref="E17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19">
        <f>cukier10[[#This Row],[sprzedany_cukier]]*cukier10[[#This Row],[rabat]]</f>
        <v>0</v>
      </c>
    </row>
    <row r="1720" spans="1:6" x14ac:dyDescent="0.25">
      <c r="A1720" s="1">
        <v>39585</v>
      </c>
      <c r="B1720" t="s">
        <v>62</v>
      </c>
      <c r="C1720">
        <v>2</v>
      </c>
      <c r="D1720">
        <f>IF(cukier10[[#This Row],[nip_klienta]]=B1719,D1719+cukier10[[#This Row],[sprzedany_cukier]],cukier10[[#This Row],[sprzedany_cukier]])</f>
        <v>17</v>
      </c>
      <c r="E1720" cm="1">
        <f t="array" ref="E17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20">
        <f>cukier10[[#This Row],[sprzedany_cukier]]*cukier10[[#This Row],[rabat]]</f>
        <v>0</v>
      </c>
    </row>
    <row r="1721" spans="1:6" x14ac:dyDescent="0.25">
      <c r="A1721" s="1">
        <v>39667</v>
      </c>
      <c r="B1721" t="s">
        <v>62</v>
      </c>
      <c r="C1721">
        <v>2</v>
      </c>
      <c r="D1721">
        <f>IF(cukier10[[#This Row],[nip_klienta]]=B1720,D1720+cukier10[[#This Row],[sprzedany_cukier]],cukier10[[#This Row],[sprzedany_cukier]])</f>
        <v>19</v>
      </c>
      <c r="E1721" cm="1">
        <f t="array" ref="E17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21">
        <f>cukier10[[#This Row],[sprzedany_cukier]]*cukier10[[#This Row],[rabat]]</f>
        <v>0</v>
      </c>
    </row>
    <row r="1722" spans="1:6" x14ac:dyDescent="0.25">
      <c r="A1722" s="1">
        <v>41520</v>
      </c>
      <c r="B1722" t="s">
        <v>62</v>
      </c>
      <c r="C1722">
        <v>5</v>
      </c>
      <c r="D1722">
        <f>IF(cukier10[[#This Row],[nip_klienta]]=B1721,D1721+cukier10[[#This Row],[sprzedany_cukier]],cukier10[[#This Row],[sprzedany_cukier]])</f>
        <v>24</v>
      </c>
      <c r="E1722" cm="1">
        <f t="array" ref="E17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22">
        <f>cukier10[[#This Row],[sprzedany_cukier]]*cukier10[[#This Row],[rabat]]</f>
        <v>0</v>
      </c>
    </row>
    <row r="1723" spans="1:6" x14ac:dyDescent="0.25">
      <c r="A1723" s="1">
        <v>41957</v>
      </c>
      <c r="B1723" t="s">
        <v>62</v>
      </c>
      <c r="C1723">
        <v>12</v>
      </c>
      <c r="D1723">
        <f>IF(cukier10[[#This Row],[nip_klienta]]=B1722,D1722+cukier10[[#This Row],[sprzedany_cukier]],cukier10[[#This Row],[sprzedany_cukier]])</f>
        <v>36</v>
      </c>
      <c r="E1723" cm="1">
        <f t="array" ref="E17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23">
        <f>cukier10[[#This Row],[sprzedany_cukier]]*cukier10[[#This Row],[rabat]]</f>
        <v>0</v>
      </c>
    </row>
    <row r="1724" spans="1:6" x14ac:dyDescent="0.25">
      <c r="A1724" s="1">
        <v>39785</v>
      </c>
      <c r="B1724" t="s">
        <v>177</v>
      </c>
      <c r="C1724">
        <v>1</v>
      </c>
      <c r="D1724">
        <f>IF(cukier10[[#This Row],[nip_klienta]]=B1723,D1723+cukier10[[#This Row],[sprzedany_cukier]],cukier10[[#This Row],[sprzedany_cukier]])</f>
        <v>1</v>
      </c>
      <c r="E1724" cm="1">
        <f t="array" ref="E17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24">
        <f>cukier10[[#This Row],[sprzedany_cukier]]*cukier10[[#This Row],[rabat]]</f>
        <v>0</v>
      </c>
    </row>
    <row r="1725" spans="1:6" x14ac:dyDescent="0.25">
      <c r="A1725" s="1">
        <v>40869</v>
      </c>
      <c r="B1725" t="s">
        <v>177</v>
      </c>
      <c r="C1725">
        <v>5</v>
      </c>
      <c r="D1725">
        <f>IF(cukier10[[#This Row],[nip_klienta]]=B1724,D1724+cukier10[[#This Row],[sprzedany_cukier]],cukier10[[#This Row],[sprzedany_cukier]])</f>
        <v>6</v>
      </c>
      <c r="E1725" cm="1">
        <f t="array" ref="E17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25">
        <f>cukier10[[#This Row],[sprzedany_cukier]]*cukier10[[#This Row],[rabat]]</f>
        <v>0</v>
      </c>
    </row>
    <row r="1726" spans="1:6" x14ac:dyDescent="0.25">
      <c r="A1726" s="1">
        <v>41070</v>
      </c>
      <c r="B1726" t="s">
        <v>177</v>
      </c>
      <c r="C1726">
        <v>11</v>
      </c>
      <c r="D1726">
        <f>IF(cukier10[[#This Row],[nip_klienta]]=B1725,D1725+cukier10[[#This Row],[sprzedany_cukier]],cukier10[[#This Row],[sprzedany_cukier]])</f>
        <v>17</v>
      </c>
      <c r="E1726" cm="1">
        <f t="array" ref="E17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26">
        <f>cukier10[[#This Row],[sprzedany_cukier]]*cukier10[[#This Row],[rabat]]</f>
        <v>0</v>
      </c>
    </row>
    <row r="1727" spans="1:6" x14ac:dyDescent="0.25">
      <c r="A1727" s="1">
        <v>41488</v>
      </c>
      <c r="B1727" t="s">
        <v>177</v>
      </c>
      <c r="C1727">
        <v>4</v>
      </c>
      <c r="D1727">
        <f>IF(cukier10[[#This Row],[nip_klienta]]=B1726,D1726+cukier10[[#This Row],[sprzedany_cukier]],cukier10[[#This Row],[sprzedany_cukier]])</f>
        <v>21</v>
      </c>
      <c r="E1727" cm="1">
        <f t="array" ref="E17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27">
        <f>cukier10[[#This Row],[sprzedany_cukier]]*cukier10[[#This Row],[rabat]]</f>
        <v>0</v>
      </c>
    </row>
    <row r="1728" spans="1:6" x14ac:dyDescent="0.25">
      <c r="A1728" s="1">
        <v>41509</v>
      </c>
      <c r="B1728" t="s">
        <v>177</v>
      </c>
      <c r="C1728">
        <v>8</v>
      </c>
      <c r="D1728">
        <f>IF(cukier10[[#This Row],[nip_klienta]]=B1727,D1727+cukier10[[#This Row],[sprzedany_cukier]],cukier10[[#This Row],[sprzedany_cukier]])</f>
        <v>29</v>
      </c>
      <c r="E1728" cm="1">
        <f t="array" ref="E17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28">
        <f>cukier10[[#This Row],[sprzedany_cukier]]*cukier10[[#This Row],[rabat]]</f>
        <v>0</v>
      </c>
    </row>
    <row r="1729" spans="1:6" x14ac:dyDescent="0.25">
      <c r="A1729" s="1">
        <v>40901</v>
      </c>
      <c r="B1729" t="s">
        <v>226</v>
      </c>
      <c r="C1729">
        <v>16</v>
      </c>
      <c r="D1729">
        <f>IF(cukier10[[#This Row],[nip_klienta]]=B1728,D1728+cukier10[[#This Row],[sprzedany_cukier]],cukier10[[#This Row],[sprzedany_cukier]])</f>
        <v>16</v>
      </c>
      <c r="E1729" cm="1">
        <f t="array" ref="E17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29">
        <f>cukier10[[#This Row],[sprzedany_cukier]]*cukier10[[#This Row],[rabat]]</f>
        <v>0</v>
      </c>
    </row>
    <row r="1730" spans="1:6" x14ac:dyDescent="0.25">
      <c r="A1730" s="1">
        <v>39176</v>
      </c>
      <c r="B1730" t="s">
        <v>139</v>
      </c>
      <c r="C1730">
        <v>12</v>
      </c>
      <c r="D1730">
        <f>IF(cukier10[[#This Row],[nip_klienta]]=B1729,D1729+cukier10[[#This Row],[sprzedany_cukier]],cukier10[[#This Row],[sprzedany_cukier]])</f>
        <v>12</v>
      </c>
      <c r="E1730" cm="1">
        <f t="array" ref="E17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30">
        <f>cukier10[[#This Row],[sprzedany_cukier]]*cukier10[[#This Row],[rabat]]</f>
        <v>0</v>
      </c>
    </row>
    <row r="1731" spans="1:6" x14ac:dyDescent="0.25">
      <c r="A1731" s="1">
        <v>40134</v>
      </c>
      <c r="B1731" t="s">
        <v>139</v>
      </c>
      <c r="C1731">
        <v>6</v>
      </c>
      <c r="D1731">
        <f>IF(cukier10[[#This Row],[nip_klienta]]=B1730,D1730+cukier10[[#This Row],[sprzedany_cukier]],cukier10[[#This Row],[sprzedany_cukier]])</f>
        <v>18</v>
      </c>
      <c r="E1731" cm="1">
        <f t="array" ref="E17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31">
        <f>cukier10[[#This Row],[sprzedany_cukier]]*cukier10[[#This Row],[rabat]]</f>
        <v>0</v>
      </c>
    </row>
    <row r="1732" spans="1:6" x14ac:dyDescent="0.25">
      <c r="A1732" s="1">
        <v>41888</v>
      </c>
      <c r="B1732" t="s">
        <v>139</v>
      </c>
      <c r="C1732">
        <v>2</v>
      </c>
      <c r="D1732">
        <f>IF(cukier10[[#This Row],[nip_klienta]]=B1731,D1731+cukier10[[#This Row],[sprzedany_cukier]],cukier10[[#This Row],[sprzedany_cukier]])</f>
        <v>20</v>
      </c>
      <c r="E1732" cm="1">
        <f t="array" ref="E17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32">
        <f>cukier10[[#This Row],[sprzedany_cukier]]*cukier10[[#This Row],[rabat]]</f>
        <v>0</v>
      </c>
    </row>
    <row r="1733" spans="1:6" x14ac:dyDescent="0.25">
      <c r="A1733" s="1">
        <v>38353</v>
      </c>
      <c r="B1733" t="s">
        <v>0</v>
      </c>
      <c r="C1733">
        <v>10</v>
      </c>
      <c r="D1733">
        <f>IF(cukier10[[#This Row],[nip_klienta]]=B1732,D1732+cukier10[[#This Row],[sprzedany_cukier]],cukier10[[#This Row],[sprzedany_cukier]])</f>
        <v>10</v>
      </c>
      <c r="E1733" cm="1">
        <f t="array" ref="E17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33">
        <f>cukier10[[#This Row],[sprzedany_cukier]]*cukier10[[#This Row],[rabat]]</f>
        <v>0</v>
      </c>
    </row>
    <row r="1734" spans="1:6" x14ac:dyDescent="0.25">
      <c r="A1734" s="1">
        <v>39044</v>
      </c>
      <c r="B1734" t="s">
        <v>0</v>
      </c>
      <c r="C1734">
        <v>20</v>
      </c>
      <c r="D1734">
        <f>IF(cukier10[[#This Row],[nip_klienta]]=B1733,D1733+cukier10[[#This Row],[sprzedany_cukier]],cukier10[[#This Row],[sprzedany_cukier]])</f>
        <v>30</v>
      </c>
      <c r="E1734" cm="1">
        <f t="array" ref="E17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34">
        <f>cukier10[[#This Row],[sprzedany_cukier]]*cukier10[[#This Row],[rabat]]</f>
        <v>0</v>
      </c>
    </row>
    <row r="1735" spans="1:6" x14ac:dyDescent="0.25">
      <c r="A1735" s="1">
        <v>40189</v>
      </c>
      <c r="B1735" t="s">
        <v>0</v>
      </c>
      <c r="C1735">
        <v>9</v>
      </c>
      <c r="D1735">
        <f>IF(cukier10[[#This Row],[nip_klienta]]=B1734,D1734+cukier10[[#This Row],[sprzedany_cukier]],cukier10[[#This Row],[sprzedany_cukier]])</f>
        <v>39</v>
      </c>
      <c r="E1735" cm="1">
        <f t="array" ref="E17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35">
        <f>cukier10[[#This Row],[sprzedany_cukier]]*cukier10[[#This Row],[rabat]]</f>
        <v>0</v>
      </c>
    </row>
    <row r="1736" spans="1:6" x14ac:dyDescent="0.25">
      <c r="A1736" s="1">
        <v>40321</v>
      </c>
      <c r="B1736" t="s">
        <v>0</v>
      </c>
      <c r="C1736">
        <v>14</v>
      </c>
      <c r="D1736">
        <f>IF(cukier10[[#This Row],[nip_klienta]]=B1735,D1735+cukier10[[#This Row],[sprzedany_cukier]],cukier10[[#This Row],[sprzedany_cukier]])</f>
        <v>53</v>
      </c>
      <c r="E1736" cm="1">
        <f t="array" ref="E17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36">
        <f>cukier10[[#This Row],[sprzedany_cukier]]*cukier10[[#This Row],[rabat]]</f>
        <v>0</v>
      </c>
    </row>
    <row r="1737" spans="1:6" x14ac:dyDescent="0.25">
      <c r="A1737" s="1">
        <v>40685</v>
      </c>
      <c r="B1737" t="s">
        <v>0</v>
      </c>
      <c r="C1737">
        <v>7</v>
      </c>
      <c r="D1737">
        <f>IF(cukier10[[#This Row],[nip_klienta]]=B1736,D1736+cukier10[[#This Row],[sprzedany_cukier]],cukier10[[#This Row],[sprzedany_cukier]])</f>
        <v>60</v>
      </c>
      <c r="E1737" cm="1">
        <f t="array" ref="E17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37">
        <f>cukier10[[#This Row],[sprzedany_cukier]]*cukier10[[#This Row],[rabat]]</f>
        <v>0</v>
      </c>
    </row>
    <row r="1738" spans="1:6" x14ac:dyDescent="0.25">
      <c r="A1738" s="1">
        <v>40213</v>
      </c>
      <c r="B1738" t="s">
        <v>205</v>
      </c>
      <c r="C1738">
        <v>1</v>
      </c>
      <c r="D1738">
        <f>IF(cukier10[[#This Row],[nip_klienta]]=B1737,D1737+cukier10[[#This Row],[sprzedany_cukier]],cukier10[[#This Row],[sprzedany_cukier]])</f>
        <v>1</v>
      </c>
      <c r="E1738" cm="1">
        <f t="array" ref="E17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38">
        <f>cukier10[[#This Row],[sprzedany_cukier]]*cukier10[[#This Row],[rabat]]</f>
        <v>0</v>
      </c>
    </row>
    <row r="1739" spans="1:6" x14ac:dyDescent="0.25">
      <c r="A1739" s="1">
        <v>40727</v>
      </c>
      <c r="B1739" t="s">
        <v>205</v>
      </c>
      <c r="C1739">
        <v>4</v>
      </c>
      <c r="D1739">
        <f>IF(cukier10[[#This Row],[nip_klienta]]=B1738,D1738+cukier10[[#This Row],[sprzedany_cukier]],cukier10[[#This Row],[sprzedany_cukier]])</f>
        <v>5</v>
      </c>
      <c r="E1739" cm="1">
        <f t="array" ref="E17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39">
        <f>cukier10[[#This Row],[sprzedany_cukier]]*cukier10[[#This Row],[rabat]]</f>
        <v>0</v>
      </c>
    </row>
    <row r="1740" spans="1:6" x14ac:dyDescent="0.25">
      <c r="A1740" s="1">
        <v>41446</v>
      </c>
      <c r="B1740" t="s">
        <v>205</v>
      </c>
      <c r="C1740">
        <v>7</v>
      </c>
      <c r="D1740">
        <f>IF(cukier10[[#This Row],[nip_klienta]]=B1739,D1739+cukier10[[#This Row],[sprzedany_cukier]],cukier10[[#This Row],[sprzedany_cukier]])</f>
        <v>12</v>
      </c>
      <c r="E1740" cm="1">
        <f t="array" ref="E17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40">
        <f>cukier10[[#This Row],[sprzedany_cukier]]*cukier10[[#This Row],[rabat]]</f>
        <v>0</v>
      </c>
    </row>
    <row r="1741" spans="1:6" x14ac:dyDescent="0.25">
      <c r="A1741" s="1">
        <v>41388</v>
      </c>
      <c r="B1741" t="s">
        <v>232</v>
      </c>
      <c r="C1741">
        <v>12</v>
      </c>
      <c r="D1741">
        <f>IF(cukier10[[#This Row],[nip_klienta]]=B1740,D1740+cukier10[[#This Row],[sprzedany_cukier]],cukier10[[#This Row],[sprzedany_cukier]])</f>
        <v>12</v>
      </c>
      <c r="E1741" cm="1">
        <f t="array" ref="E17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41">
        <f>cukier10[[#This Row],[sprzedany_cukier]]*cukier10[[#This Row],[rabat]]</f>
        <v>0</v>
      </c>
    </row>
    <row r="1742" spans="1:6" x14ac:dyDescent="0.25">
      <c r="A1742" s="1">
        <v>41481</v>
      </c>
      <c r="B1742" t="s">
        <v>232</v>
      </c>
      <c r="C1742">
        <v>7</v>
      </c>
      <c r="D1742">
        <f>IF(cukier10[[#This Row],[nip_klienta]]=B1741,D1741+cukier10[[#This Row],[sprzedany_cukier]],cukier10[[#This Row],[sprzedany_cukier]])</f>
        <v>19</v>
      </c>
      <c r="E1742" cm="1">
        <f t="array" ref="E17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42">
        <f>cukier10[[#This Row],[sprzedany_cukier]]*cukier10[[#This Row],[rabat]]</f>
        <v>0</v>
      </c>
    </row>
    <row r="1743" spans="1:6" x14ac:dyDescent="0.25">
      <c r="A1743" s="1">
        <v>42002</v>
      </c>
      <c r="B1743" t="s">
        <v>232</v>
      </c>
      <c r="C1743">
        <v>14</v>
      </c>
      <c r="D1743">
        <f>IF(cukier10[[#This Row],[nip_klienta]]=B1742,D1742+cukier10[[#This Row],[sprzedany_cukier]],cukier10[[#This Row],[sprzedany_cukier]])</f>
        <v>33</v>
      </c>
      <c r="E1743" cm="1">
        <f t="array" ref="E17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43">
        <f>cukier10[[#This Row],[sprzedany_cukier]]*cukier10[[#This Row],[rabat]]</f>
        <v>0</v>
      </c>
    </row>
    <row r="1744" spans="1:6" x14ac:dyDescent="0.25">
      <c r="A1744" s="1">
        <v>38582</v>
      </c>
      <c r="B1744" t="s">
        <v>71</v>
      </c>
      <c r="C1744">
        <v>136</v>
      </c>
      <c r="D1744">
        <f>IF(cukier10[[#This Row],[nip_klienta]]=B1743,D1743+cukier10[[#This Row],[sprzedany_cukier]],cukier10[[#This Row],[sprzedany_cukier]])</f>
        <v>136</v>
      </c>
      <c r="E1744" cm="1">
        <f t="array" ref="E17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44">
        <f>cukier10[[#This Row],[sprzedany_cukier]]*cukier10[[#This Row],[rabat]]</f>
        <v>6.8000000000000007</v>
      </c>
    </row>
    <row r="1745" spans="1:6" x14ac:dyDescent="0.25">
      <c r="A1745" s="1">
        <v>38735</v>
      </c>
      <c r="B1745" t="s">
        <v>71</v>
      </c>
      <c r="C1745">
        <v>59</v>
      </c>
      <c r="D1745">
        <f>IF(cukier10[[#This Row],[nip_klienta]]=B1744,D1744+cukier10[[#This Row],[sprzedany_cukier]],cukier10[[#This Row],[sprzedany_cukier]])</f>
        <v>195</v>
      </c>
      <c r="E1745" cm="1">
        <f t="array" ref="E17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45">
        <f>cukier10[[#This Row],[sprzedany_cukier]]*cukier10[[#This Row],[rabat]]</f>
        <v>2.95</v>
      </c>
    </row>
    <row r="1746" spans="1:6" x14ac:dyDescent="0.25">
      <c r="A1746" s="1">
        <v>38769</v>
      </c>
      <c r="B1746" t="s">
        <v>71</v>
      </c>
      <c r="C1746">
        <v>98</v>
      </c>
      <c r="D1746">
        <f>IF(cukier10[[#This Row],[nip_klienta]]=B1745,D1745+cukier10[[#This Row],[sprzedany_cukier]],cukier10[[#This Row],[sprzedany_cukier]])</f>
        <v>293</v>
      </c>
      <c r="E1746" cm="1">
        <f t="array" ref="E17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46">
        <f>cukier10[[#This Row],[sprzedany_cukier]]*cukier10[[#This Row],[rabat]]</f>
        <v>4.9000000000000004</v>
      </c>
    </row>
    <row r="1747" spans="1:6" x14ac:dyDescent="0.25">
      <c r="A1747" s="1">
        <v>38956</v>
      </c>
      <c r="B1747" t="s">
        <v>71</v>
      </c>
      <c r="C1747">
        <v>133</v>
      </c>
      <c r="D1747">
        <f>IF(cukier10[[#This Row],[nip_klienta]]=B1746,D1746+cukier10[[#This Row],[sprzedany_cukier]],cukier10[[#This Row],[sprzedany_cukier]])</f>
        <v>426</v>
      </c>
      <c r="E1747" cm="1">
        <f t="array" ref="E17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47">
        <f>cukier10[[#This Row],[sprzedany_cukier]]*cukier10[[#This Row],[rabat]]</f>
        <v>6.65</v>
      </c>
    </row>
    <row r="1748" spans="1:6" x14ac:dyDescent="0.25">
      <c r="A1748" s="1">
        <v>38967</v>
      </c>
      <c r="B1748" t="s">
        <v>71</v>
      </c>
      <c r="C1748">
        <v>108</v>
      </c>
      <c r="D1748">
        <f>IF(cukier10[[#This Row],[nip_klienta]]=B1747,D1747+cukier10[[#This Row],[sprzedany_cukier]],cukier10[[#This Row],[sprzedany_cukier]])</f>
        <v>534</v>
      </c>
      <c r="E1748" cm="1">
        <f t="array" ref="E17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48">
        <f>cukier10[[#This Row],[sprzedany_cukier]]*cukier10[[#This Row],[rabat]]</f>
        <v>5.4</v>
      </c>
    </row>
    <row r="1749" spans="1:6" x14ac:dyDescent="0.25">
      <c r="A1749" s="1">
        <v>39014</v>
      </c>
      <c r="B1749" t="s">
        <v>71</v>
      </c>
      <c r="C1749">
        <v>75</v>
      </c>
      <c r="D1749">
        <f>IF(cukier10[[#This Row],[nip_klienta]]=B1748,D1748+cukier10[[#This Row],[sprzedany_cukier]],cukier10[[#This Row],[sprzedany_cukier]])</f>
        <v>609</v>
      </c>
      <c r="E1749" cm="1">
        <f t="array" ref="E17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49">
        <f>cukier10[[#This Row],[sprzedany_cukier]]*cukier10[[#This Row],[rabat]]</f>
        <v>3.75</v>
      </c>
    </row>
    <row r="1750" spans="1:6" x14ac:dyDescent="0.25">
      <c r="A1750" s="1">
        <v>39294</v>
      </c>
      <c r="B1750" t="s">
        <v>71</v>
      </c>
      <c r="C1750">
        <v>111</v>
      </c>
      <c r="D1750">
        <f>IF(cukier10[[#This Row],[nip_klienta]]=B1749,D1749+cukier10[[#This Row],[sprzedany_cukier]],cukier10[[#This Row],[sprzedany_cukier]])</f>
        <v>720</v>
      </c>
      <c r="E1750" cm="1">
        <f t="array" ref="E17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50">
        <f>cukier10[[#This Row],[sprzedany_cukier]]*cukier10[[#This Row],[rabat]]</f>
        <v>5.5500000000000007</v>
      </c>
    </row>
    <row r="1751" spans="1:6" x14ac:dyDescent="0.25">
      <c r="A1751" s="1">
        <v>39336</v>
      </c>
      <c r="B1751" t="s">
        <v>71</v>
      </c>
      <c r="C1751">
        <v>51</v>
      </c>
      <c r="D1751">
        <f>IF(cukier10[[#This Row],[nip_klienta]]=B1750,D1750+cukier10[[#This Row],[sprzedany_cukier]],cukier10[[#This Row],[sprzedany_cukier]])</f>
        <v>771</v>
      </c>
      <c r="E1751" cm="1">
        <f t="array" ref="E17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51">
        <f>cukier10[[#This Row],[sprzedany_cukier]]*cukier10[[#This Row],[rabat]]</f>
        <v>2.5500000000000003</v>
      </c>
    </row>
    <row r="1752" spans="1:6" x14ac:dyDescent="0.25">
      <c r="A1752" s="1">
        <v>39553</v>
      </c>
      <c r="B1752" t="s">
        <v>71</v>
      </c>
      <c r="C1752">
        <v>129</v>
      </c>
      <c r="D1752">
        <f>IF(cukier10[[#This Row],[nip_klienta]]=B1751,D1751+cukier10[[#This Row],[sprzedany_cukier]],cukier10[[#This Row],[sprzedany_cukier]])</f>
        <v>900</v>
      </c>
      <c r="E1752" cm="1">
        <f t="array" ref="E17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52">
        <f>cukier10[[#This Row],[sprzedany_cukier]]*cukier10[[#This Row],[rabat]]</f>
        <v>6.45</v>
      </c>
    </row>
    <row r="1753" spans="1:6" x14ac:dyDescent="0.25">
      <c r="A1753" s="1">
        <v>39615</v>
      </c>
      <c r="B1753" t="s">
        <v>71</v>
      </c>
      <c r="C1753">
        <v>138</v>
      </c>
      <c r="D1753">
        <f>IF(cukier10[[#This Row],[nip_klienta]]=B1752,D1752+cukier10[[#This Row],[sprzedany_cukier]],cukier10[[#This Row],[sprzedany_cukier]])</f>
        <v>1038</v>
      </c>
      <c r="E1753" cm="1">
        <f t="array" ref="E17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53">
        <f>cukier10[[#This Row],[sprzedany_cukier]]*cukier10[[#This Row],[rabat]]</f>
        <v>13.8</v>
      </c>
    </row>
    <row r="1754" spans="1:6" x14ac:dyDescent="0.25">
      <c r="A1754" s="1">
        <v>39727</v>
      </c>
      <c r="B1754" t="s">
        <v>71</v>
      </c>
      <c r="C1754">
        <v>27</v>
      </c>
      <c r="D1754">
        <f>IF(cukier10[[#This Row],[nip_klienta]]=B1753,D1753+cukier10[[#This Row],[sprzedany_cukier]],cukier10[[#This Row],[sprzedany_cukier]])</f>
        <v>1065</v>
      </c>
      <c r="E1754" cm="1">
        <f t="array" ref="E17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54">
        <f>cukier10[[#This Row],[sprzedany_cukier]]*cukier10[[#This Row],[rabat]]</f>
        <v>2.7</v>
      </c>
    </row>
    <row r="1755" spans="1:6" x14ac:dyDescent="0.25">
      <c r="A1755" s="1">
        <v>40047</v>
      </c>
      <c r="B1755" t="s">
        <v>71</v>
      </c>
      <c r="C1755">
        <v>164</v>
      </c>
      <c r="D1755">
        <f>IF(cukier10[[#This Row],[nip_klienta]]=B1754,D1754+cukier10[[#This Row],[sprzedany_cukier]],cukier10[[#This Row],[sprzedany_cukier]])</f>
        <v>1229</v>
      </c>
      <c r="E1755" cm="1">
        <f t="array" ref="E17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55">
        <f>cukier10[[#This Row],[sprzedany_cukier]]*cukier10[[#This Row],[rabat]]</f>
        <v>16.400000000000002</v>
      </c>
    </row>
    <row r="1756" spans="1:6" x14ac:dyDescent="0.25">
      <c r="A1756" s="1">
        <v>40151</v>
      </c>
      <c r="B1756" t="s">
        <v>71</v>
      </c>
      <c r="C1756">
        <v>194</v>
      </c>
      <c r="D1756">
        <f>IF(cukier10[[#This Row],[nip_klienta]]=B1755,D1755+cukier10[[#This Row],[sprzedany_cukier]],cukier10[[#This Row],[sprzedany_cukier]])</f>
        <v>1423</v>
      </c>
      <c r="E1756" cm="1">
        <f t="array" ref="E17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56">
        <f>cukier10[[#This Row],[sprzedany_cukier]]*cukier10[[#This Row],[rabat]]</f>
        <v>19.400000000000002</v>
      </c>
    </row>
    <row r="1757" spans="1:6" x14ac:dyDescent="0.25">
      <c r="A1757" s="1">
        <v>40172</v>
      </c>
      <c r="B1757" t="s">
        <v>71</v>
      </c>
      <c r="C1757">
        <v>132</v>
      </c>
      <c r="D1757">
        <f>IF(cukier10[[#This Row],[nip_klienta]]=B1756,D1756+cukier10[[#This Row],[sprzedany_cukier]],cukier10[[#This Row],[sprzedany_cukier]])</f>
        <v>1555</v>
      </c>
      <c r="E1757" cm="1">
        <f t="array" ref="E17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57">
        <f>cukier10[[#This Row],[sprzedany_cukier]]*cukier10[[#This Row],[rabat]]</f>
        <v>13.200000000000001</v>
      </c>
    </row>
    <row r="1758" spans="1:6" x14ac:dyDescent="0.25">
      <c r="A1758" s="1">
        <v>40206</v>
      </c>
      <c r="B1758" t="s">
        <v>71</v>
      </c>
      <c r="C1758">
        <v>108</v>
      </c>
      <c r="D1758">
        <f>IF(cukier10[[#This Row],[nip_klienta]]=B1757,D1757+cukier10[[#This Row],[sprzedany_cukier]],cukier10[[#This Row],[sprzedany_cukier]])</f>
        <v>1663</v>
      </c>
      <c r="E1758" cm="1">
        <f t="array" ref="E17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58">
        <f>cukier10[[#This Row],[sprzedany_cukier]]*cukier10[[#This Row],[rabat]]</f>
        <v>10.8</v>
      </c>
    </row>
    <row r="1759" spans="1:6" x14ac:dyDescent="0.25">
      <c r="A1759" s="1">
        <v>40236</v>
      </c>
      <c r="B1759" t="s">
        <v>71</v>
      </c>
      <c r="C1759">
        <v>91</v>
      </c>
      <c r="D1759">
        <f>IF(cukier10[[#This Row],[nip_klienta]]=B1758,D1758+cukier10[[#This Row],[sprzedany_cukier]],cukier10[[#This Row],[sprzedany_cukier]])</f>
        <v>1754</v>
      </c>
      <c r="E1759" cm="1">
        <f t="array" ref="E17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59">
        <f>cukier10[[#This Row],[sprzedany_cukier]]*cukier10[[#This Row],[rabat]]</f>
        <v>9.1</v>
      </c>
    </row>
    <row r="1760" spans="1:6" x14ac:dyDescent="0.25">
      <c r="A1760" s="1">
        <v>40333</v>
      </c>
      <c r="B1760" t="s">
        <v>71</v>
      </c>
      <c r="C1760">
        <v>22</v>
      </c>
      <c r="D1760">
        <f>IF(cukier10[[#This Row],[nip_klienta]]=B1759,D1759+cukier10[[#This Row],[sprzedany_cukier]],cukier10[[#This Row],[sprzedany_cukier]])</f>
        <v>1776</v>
      </c>
      <c r="E1760" cm="1">
        <f t="array" ref="E17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60">
        <f>cukier10[[#This Row],[sprzedany_cukier]]*cukier10[[#This Row],[rabat]]</f>
        <v>2.2000000000000002</v>
      </c>
    </row>
    <row r="1761" spans="1:6" x14ac:dyDescent="0.25">
      <c r="A1761" s="1">
        <v>40748</v>
      </c>
      <c r="B1761" t="s">
        <v>71</v>
      </c>
      <c r="C1761">
        <v>34</v>
      </c>
      <c r="D1761">
        <f>IF(cukier10[[#This Row],[nip_klienta]]=B1760,D1760+cukier10[[#This Row],[sprzedany_cukier]],cukier10[[#This Row],[sprzedany_cukier]])</f>
        <v>1810</v>
      </c>
      <c r="E1761" cm="1">
        <f t="array" ref="E17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61">
        <f>cukier10[[#This Row],[sprzedany_cukier]]*cukier10[[#This Row],[rabat]]</f>
        <v>3.4000000000000004</v>
      </c>
    </row>
    <row r="1762" spans="1:6" x14ac:dyDescent="0.25">
      <c r="A1762" s="1">
        <v>41133</v>
      </c>
      <c r="B1762" t="s">
        <v>71</v>
      </c>
      <c r="C1762">
        <v>42</v>
      </c>
      <c r="D1762">
        <f>IF(cukier10[[#This Row],[nip_klienta]]=B1761,D1761+cukier10[[#This Row],[sprzedany_cukier]],cukier10[[#This Row],[sprzedany_cukier]])</f>
        <v>1852</v>
      </c>
      <c r="E1762" cm="1">
        <f t="array" ref="E17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62">
        <f>cukier10[[#This Row],[sprzedany_cukier]]*cukier10[[#This Row],[rabat]]</f>
        <v>4.2</v>
      </c>
    </row>
    <row r="1763" spans="1:6" x14ac:dyDescent="0.25">
      <c r="A1763" s="1">
        <v>41201</v>
      </c>
      <c r="B1763" t="s">
        <v>71</v>
      </c>
      <c r="C1763">
        <v>184</v>
      </c>
      <c r="D1763">
        <f>IF(cukier10[[#This Row],[nip_klienta]]=B1762,D1762+cukier10[[#This Row],[sprzedany_cukier]],cukier10[[#This Row],[sprzedany_cukier]])</f>
        <v>2036</v>
      </c>
      <c r="E1763" cm="1">
        <f t="array" ref="E17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63">
        <f>cukier10[[#This Row],[sprzedany_cukier]]*cukier10[[#This Row],[rabat]]</f>
        <v>18.400000000000002</v>
      </c>
    </row>
    <row r="1764" spans="1:6" x14ac:dyDescent="0.25">
      <c r="A1764" s="1">
        <v>41403</v>
      </c>
      <c r="B1764" t="s">
        <v>71</v>
      </c>
      <c r="C1764">
        <v>103</v>
      </c>
      <c r="D1764">
        <f>IF(cukier10[[#This Row],[nip_klienta]]=B1763,D1763+cukier10[[#This Row],[sprzedany_cukier]],cukier10[[#This Row],[sprzedany_cukier]])</f>
        <v>2139</v>
      </c>
      <c r="E1764" cm="1">
        <f t="array" ref="E17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64">
        <f>cukier10[[#This Row],[sprzedany_cukier]]*cukier10[[#This Row],[rabat]]</f>
        <v>10.3</v>
      </c>
    </row>
    <row r="1765" spans="1:6" x14ac:dyDescent="0.25">
      <c r="A1765" s="1">
        <v>41414</v>
      </c>
      <c r="B1765" t="s">
        <v>71</v>
      </c>
      <c r="C1765">
        <v>138</v>
      </c>
      <c r="D1765">
        <f>IF(cukier10[[#This Row],[nip_klienta]]=B1764,D1764+cukier10[[#This Row],[sprzedany_cukier]],cukier10[[#This Row],[sprzedany_cukier]])</f>
        <v>2277</v>
      </c>
      <c r="E1765" cm="1">
        <f t="array" ref="E17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65">
        <f>cukier10[[#This Row],[sprzedany_cukier]]*cukier10[[#This Row],[rabat]]</f>
        <v>13.8</v>
      </c>
    </row>
    <row r="1766" spans="1:6" x14ac:dyDescent="0.25">
      <c r="A1766" s="1">
        <v>41621</v>
      </c>
      <c r="B1766" t="s">
        <v>71</v>
      </c>
      <c r="C1766">
        <v>117</v>
      </c>
      <c r="D1766">
        <f>IF(cukier10[[#This Row],[nip_klienta]]=B1765,D1765+cukier10[[#This Row],[sprzedany_cukier]],cukier10[[#This Row],[sprzedany_cukier]])</f>
        <v>2394</v>
      </c>
      <c r="E1766" cm="1">
        <f t="array" ref="E17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66">
        <f>cukier10[[#This Row],[sprzedany_cukier]]*cukier10[[#This Row],[rabat]]</f>
        <v>11.700000000000001</v>
      </c>
    </row>
    <row r="1767" spans="1:6" x14ac:dyDescent="0.25">
      <c r="A1767" s="1">
        <v>41634</v>
      </c>
      <c r="B1767" t="s">
        <v>71</v>
      </c>
      <c r="C1767">
        <v>180</v>
      </c>
      <c r="D1767">
        <f>IF(cukier10[[#This Row],[nip_klienta]]=B1766,D1766+cukier10[[#This Row],[sprzedany_cukier]],cukier10[[#This Row],[sprzedany_cukier]])</f>
        <v>2574</v>
      </c>
      <c r="E1767" cm="1">
        <f t="array" ref="E17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67">
        <f>cukier10[[#This Row],[sprzedany_cukier]]*cukier10[[#This Row],[rabat]]</f>
        <v>18</v>
      </c>
    </row>
    <row r="1768" spans="1:6" x14ac:dyDescent="0.25">
      <c r="A1768" s="1">
        <v>41656</v>
      </c>
      <c r="B1768" t="s">
        <v>71</v>
      </c>
      <c r="C1768">
        <v>117</v>
      </c>
      <c r="D1768">
        <f>IF(cukier10[[#This Row],[nip_klienta]]=B1767,D1767+cukier10[[#This Row],[sprzedany_cukier]],cukier10[[#This Row],[sprzedany_cukier]])</f>
        <v>2691</v>
      </c>
      <c r="E1768" cm="1">
        <f t="array" ref="E17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68">
        <f>cukier10[[#This Row],[sprzedany_cukier]]*cukier10[[#This Row],[rabat]]</f>
        <v>11.700000000000001</v>
      </c>
    </row>
    <row r="1769" spans="1:6" x14ac:dyDescent="0.25">
      <c r="A1769" s="1">
        <v>41692</v>
      </c>
      <c r="B1769" t="s">
        <v>71</v>
      </c>
      <c r="C1769">
        <v>90</v>
      </c>
      <c r="D1769">
        <f>IF(cukier10[[#This Row],[nip_klienta]]=B1768,D1768+cukier10[[#This Row],[sprzedany_cukier]],cukier10[[#This Row],[sprzedany_cukier]])</f>
        <v>2781</v>
      </c>
      <c r="E1769" cm="1">
        <f t="array" ref="E17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69">
        <f>cukier10[[#This Row],[sprzedany_cukier]]*cukier10[[#This Row],[rabat]]</f>
        <v>9</v>
      </c>
    </row>
    <row r="1770" spans="1:6" x14ac:dyDescent="0.25">
      <c r="A1770" s="1">
        <v>41773</v>
      </c>
      <c r="B1770" t="s">
        <v>71</v>
      </c>
      <c r="C1770">
        <v>124</v>
      </c>
      <c r="D1770">
        <f>IF(cukier10[[#This Row],[nip_klienta]]=B1769,D1769+cukier10[[#This Row],[sprzedany_cukier]],cukier10[[#This Row],[sprzedany_cukier]])</f>
        <v>2905</v>
      </c>
      <c r="E1770" cm="1">
        <f t="array" ref="E17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70">
        <f>cukier10[[#This Row],[sprzedany_cukier]]*cukier10[[#This Row],[rabat]]</f>
        <v>12.4</v>
      </c>
    </row>
    <row r="1771" spans="1:6" x14ac:dyDescent="0.25">
      <c r="A1771" s="1">
        <v>41788</v>
      </c>
      <c r="B1771" t="s">
        <v>71</v>
      </c>
      <c r="C1771">
        <v>194</v>
      </c>
      <c r="D1771">
        <f>IF(cukier10[[#This Row],[nip_klienta]]=B1770,D1770+cukier10[[#This Row],[sprzedany_cukier]],cukier10[[#This Row],[sprzedany_cukier]])</f>
        <v>3099</v>
      </c>
      <c r="E1771" cm="1">
        <f t="array" ref="E17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71">
        <f>cukier10[[#This Row],[sprzedany_cukier]]*cukier10[[#This Row],[rabat]]</f>
        <v>19.400000000000002</v>
      </c>
    </row>
    <row r="1772" spans="1:6" x14ac:dyDescent="0.25">
      <c r="A1772" s="1">
        <v>41821</v>
      </c>
      <c r="B1772" t="s">
        <v>71</v>
      </c>
      <c r="C1772">
        <v>65</v>
      </c>
      <c r="D1772">
        <f>IF(cukier10[[#This Row],[nip_klienta]]=B1771,D1771+cukier10[[#This Row],[sprzedany_cukier]],cukier10[[#This Row],[sprzedany_cukier]])</f>
        <v>3164</v>
      </c>
      <c r="E1772" cm="1">
        <f t="array" ref="E17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72">
        <f>cukier10[[#This Row],[sprzedany_cukier]]*cukier10[[#This Row],[rabat]]</f>
        <v>6.5</v>
      </c>
    </row>
    <row r="1773" spans="1:6" x14ac:dyDescent="0.25">
      <c r="A1773" s="1">
        <v>41975</v>
      </c>
      <c r="B1773" t="s">
        <v>71</v>
      </c>
      <c r="C1773">
        <v>21</v>
      </c>
      <c r="D1773">
        <f>IF(cukier10[[#This Row],[nip_klienta]]=B1772,D1772+cukier10[[#This Row],[sprzedany_cukier]],cukier10[[#This Row],[sprzedany_cukier]])</f>
        <v>3185</v>
      </c>
      <c r="E1773" cm="1">
        <f t="array" ref="E17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73">
        <f>cukier10[[#This Row],[sprzedany_cukier]]*cukier10[[#This Row],[rabat]]</f>
        <v>2.1</v>
      </c>
    </row>
    <row r="1774" spans="1:6" x14ac:dyDescent="0.25">
      <c r="A1774" s="1">
        <v>38372</v>
      </c>
      <c r="B1774" t="s">
        <v>8</v>
      </c>
      <c r="C1774">
        <v>38</v>
      </c>
      <c r="D1774">
        <f>IF(cukier10[[#This Row],[nip_klienta]]=B1773,D1773+cukier10[[#This Row],[sprzedany_cukier]],cukier10[[#This Row],[sprzedany_cukier]])</f>
        <v>38</v>
      </c>
      <c r="E1774" cm="1">
        <f t="array" ref="E17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74">
        <f>cukier10[[#This Row],[sprzedany_cukier]]*cukier10[[#This Row],[rabat]]</f>
        <v>0</v>
      </c>
    </row>
    <row r="1775" spans="1:6" x14ac:dyDescent="0.25">
      <c r="A1775" s="1">
        <v>38604</v>
      </c>
      <c r="B1775" t="s">
        <v>8</v>
      </c>
      <c r="C1775">
        <v>47</v>
      </c>
      <c r="D1775">
        <f>IF(cukier10[[#This Row],[nip_klienta]]=B1774,D1774+cukier10[[#This Row],[sprzedany_cukier]],cukier10[[#This Row],[sprzedany_cukier]])</f>
        <v>85</v>
      </c>
      <c r="E1775" cm="1">
        <f t="array" ref="E17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775">
        <f>cukier10[[#This Row],[sprzedany_cukier]]*cukier10[[#This Row],[rabat]]</f>
        <v>0</v>
      </c>
    </row>
    <row r="1776" spans="1:6" x14ac:dyDescent="0.25">
      <c r="A1776" s="1">
        <v>38638</v>
      </c>
      <c r="B1776" t="s">
        <v>8</v>
      </c>
      <c r="C1776">
        <v>76</v>
      </c>
      <c r="D1776">
        <f>IF(cukier10[[#This Row],[nip_klienta]]=B1775,D1775+cukier10[[#This Row],[sprzedany_cukier]],cukier10[[#This Row],[sprzedany_cukier]])</f>
        <v>161</v>
      </c>
      <c r="E1776" cm="1">
        <f t="array" ref="E17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76">
        <f>cukier10[[#This Row],[sprzedany_cukier]]*cukier10[[#This Row],[rabat]]</f>
        <v>3.8000000000000003</v>
      </c>
    </row>
    <row r="1777" spans="1:6" x14ac:dyDescent="0.25">
      <c r="A1777" s="1">
        <v>38866</v>
      </c>
      <c r="B1777" t="s">
        <v>8</v>
      </c>
      <c r="C1777">
        <v>150</v>
      </c>
      <c r="D1777">
        <f>IF(cukier10[[#This Row],[nip_klienta]]=B1776,D1776+cukier10[[#This Row],[sprzedany_cukier]],cukier10[[#This Row],[sprzedany_cukier]])</f>
        <v>311</v>
      </c>
      <c r="E1777" cm="1">
        <f t="array" ref="E17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77">
        <f>cukier10[[#This Row],[sprzedany_cukier]]*cukier10[[#This Row],[rabat]]</f>
        <v>7.5</v>
      </c>
    </row>
    <row r="1778" spans="1:6" x14ac:dyDescent="0.25">
      <c r="A1778" s="1">
        <v>38875</v>
      </c>
      <c r="B1778" t="s">
        <v>8</v>
      </c>
      <c r="C1778">
        <v>63</v>
      </c>
      <c r="D1778">
        <f>IF(cukier10[[#This Row],[nip_klienta]]=B1777,D1777+cukier10[[#This Row],[sprzedany_cukier]],cukier10[[#This Row],[sprzedany_cukier]])</f>
        <v>374</v>
      </c>
      <c r="E1778" cm="1">
        <f t="array" ref="E17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78">
        <f>cukier10[[#This Row],[sprzedany_cukier]]*cukier10[[#This Row],[rabat]]</f>
        <v>3.1500000000000004</v>
      </c>
    </row>
    <row r="1779" spans="1:6" x14ac:dyDescent="0.25">
      <c r="A1779" s="1">
        <v>38962</v>
      </c>
      <c r="B1779" t="s">
        <v>8</v>
      </c>
      <c r="C1779">
        <v>130</v>
      </c>
      <c r="D1779">
        <f>IF(cukier10[[#This Row],[nip_klienta]]=B1778,D1778+cukier10[[#This Row],[sprzedany_cukier]],cukier10[[#This Row],[sprzedany_cukier]])</f>
        <v>504</v>
      </c>
      <c r="E1779" cm="1">
        <f t="array" ref="E17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79">
        <f>cukier10[[#This Row],[sprzedany_cukier]]*cukier10[[#This Row],[rabat]]</f>
        <v>6.5</v>
      </c>
    </row>
    <row r="1780" spans="1:6" x14ac:dyDescent="0.25">
      <c r="A1780" s="1">
        <v>39214</v>
      </c>
      <c r="B1780" t="s">
        <v>8</v>
      </c>
      <c r="C1780">
        <v>131</v>
      </c>
      <c r="D1780">
        <f>IF(cukier10[[#This Row],[nip_klienta]]=B1779,D1779+cukier10[[#This Row],[sprzedany_cukier]],cukier10[[#This Row],[sprzedany_cukier]])</f>
        <v>635</v>
      </c>
      <c r="E1780" cm="1">
        <f t="array" ref="E17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80">
        <f>cukier10[[#This Row],[sprzedany_cukier]]*cukier10[[#This Row],[rabat]]</f>
        <v>6.5500000000000007</v>
      </c>
    </row>
    <row r="1781" spans="1:6" x14ac:dyDescent="0.25">
      <c r="A1781" s="1">
        <v>39294</v>
      </c>
      <c r="B1781" t="s">
        <v>8</v>
      </c>
      <c r="C1781">
        <v>156</v>
      </c>
      <c r="D1781">
        <f>IF(cukier10[[#This Row],[nip_klienta]]=B1780,D1780+cukier10[[#This Row],[sprzedany_cukier]],cukier10[[#This Row],[sprzedany_cukier]])</f>
        <v>791</v>
      </c>
      <c r="E1781" cm="1">
        <f t="array" ref="E17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81">
        <f>cukier10[[#This Row],[sprzedany_cukier]]*cukier10[[#This Row],[rabat]]</f>
        <v>7.8000000000000007</v>
      </c>
    </row>
    <row r="1782" spans="1:6" x14ac:dyDescent="0.25">
      <c r="A1782" s="1">
        <v>39342</v>
      </c>
      <c r="B1782" t="s">
        <v>8</v>
      </c>
      <c r="C1782">
        <v>40</v>
      </c>
      <c r="D1782">
        <f>IF(cukier10[[#This Row],[nip_klienta]]=B1781,D1781+cukier10[[#This Row],[sprzedany_cukier]],cukier10[[#This Row],[sprzedany_cukier]])</f>
        <v>831</v>
      </c>
      <c r="E1782" cm="1">
        <f t="array" ref="E17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82">
        <f>cukier10[[#This Row],[sprzedany_cukier]]*cukier10[[#This Row],[rabat]]</f>
        <v>2</v>
      </c>
    </row>
    <row r="1783" spans="1:6" x14ac:dyDescent="0.25">
      <c r="A1783" s="1">
        <v>39448</v>
      </c>
      <c r="B1783" t="s">
        <v>8</v>
      </c>
      <c r="C1783">
        <v>81</v>
      </c>
      <c r="D1783">
        <f>IF(cukier10[[#This Row],[nip_klienta]]=B1782,D1782+cukier10[[#This Row],[sprzedany_cukier]],cukier10[[#This Row],[sprzedany_cukier]])</f>
        <v>912</v>
      </c>
      <c r="E1783" cm="1">
        <f t="array" ref="E17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783">
        <f>cukier10[[#This Row],[sprzedany_cukier]]*cukier10[[#This Row],[rabat]]</f>
        <v>4.05</v>
      </c>
    </row>
    <row r="1784" spans="1:6" x14ac:dyDescent="0.25">
      <c r="A1784" s="1">
        <v>39639</v>
      </c>
      <c r="B1784" t="s">
        <v>8</v>
      </c>
      <c r="C1784">
        <v>105</v>
      </c>
      <c r="D1784">
        <f>IF(cukier10[[#This Row],[nip_klienta]]=B1783,D1783+cukier10[[#This Row],[sprzedany_cukier]],cukier10[[#This Row],[sprzedany_cukier]])</f>
        <v>1017</v>
      </c>
      <c r="E1784" cm="1">
        <f t="array" ref="E17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84">
        <f>cukier10[[#This Row],[sprzedany_cukier]]*cukier10[[#This Row],[rabat]]</f>
        <v>10.5</v>
      </c>
    </row>
    <row r="1785" spans="1:6" x14ac:dyDescent="0.25">
      <c r="A1785" s="1">
        <v>39727</v>
      </c>
      <c r="B1785" t="s">
        <v>8</v>
      </c>
      <c r="C1785">
        <v>141</v>
      </c>
      <c r="D1785">
        <f>IF(cukier10[[#This Row],[nip_klienta]]=B1784,D1784+cukier10[[#This Row],[sprzedany_cukier]],cukier10[[#This Row],[sprzedany_cukier]])</f>
        <v>1158</v>
      </c>
      <c r="E1785" cm="1">
        <f t="array" ref="E17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85">
        <f>cukier10[[#This Row],[sprzedany_cukier]]*cukier10[[#This Row],[rabat]]</f>
        <v>14.100000000000001</v>
      </c>
    </row>
    <row r="1786" spans="1:6" x14ac:dyDescent="0.25">
      <c r="A1786" s="1">
        <v>39760</v>
      </c>
      <c r="B1786" t="s">
        <v>8</v>
      </c>
      <c r="C1786">
        <v>198</v>
      </c>
      <c r="D1786">
        <f>IF(cukier10[[#This Row],[nip_klienta]]=B1785,D1785+cukier10[[#This Row],[sprzedany_cukier]],cukier10[[#This Row],[sprzedany_cukier]])</f>
        <v>1356</v>
      </c>
      <c r="E1786" cm="1">
        <f t="array" ref="E17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86">
        <f>cukier10[[#This Row],[sprzedany_cukier]]*cukier10[[#This Row],[rabat]]</f>
        <v>19.8</v>
      </c>
    </row>
    <row r="1787" spans="1:6" x14ac:dyDescent="0.25">
      <c r="A1787" s="1">
        <v>39893</v>
      </c>
      <c r="B1787" t="s">
        <v>8</v>
      </c>
      <c r="C1787">
        <v>136</v>
      </c>
      <c r="D1787">
        <f>IF(cukier10[[#This Row],[nip_klienta]]=B1786,D1786+cukier10[[#This Row],[sprzedany_cukier]],cukier10[[#This Row],[sprzedany_cukier]])</f>
        <v>1492</v>
      </c>
      <c r="E1787" cm="1">
        <f t="array" ref="E17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87">
        <f>cukier10[[#This Row],[sprzedany_cukier]]*cukier10[[#This Row],[rabat]]</f>
        <v>13.600000000000001</v>
      </c>
    </row>
    <row r="1788" spans="1:6" x14ac:dyDescent="0.25">
      <c r="A1788" s="1">
        <v>39921</v>
      </c>
      <c r="B1788" t="s">
        <v>8</v>
      </c>
      <c r="C1788">
        <v>26</v>
      </c>
      <c r="D1788">
        <f>IF(cukier10[[#This Row],[nip_klienta]]=B1787,D1787+cukier10[[#This Row],[sprzedany_cukier]],cukier10[[#This Row],[sprzedany_cukier]])</f>
        <v>1518</v>
      </c>
      <c r="E1788" cm="1">
        <f t="array" ref="E17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88">
        <f>cukier10[[#This Row],[sprzedany_cukier]]*cukier10[[#This Row],[rabat]]</f>
        <v>2.6</v>
      </c>
    </row>
    <row r="1789" spans="1:6" x14ac:dyDescent="0.25">
      <c r="A1789" s="1">
        <v>39965</v>
      </c>
      <c r="B1789" t="s">
        <v>8</v>
      </c>
      <c r="C1789">
        <v>36</v>
      </c>
      <c r="D1789">
        <f>IF(cukier10[[#This Row],[nip_klienta]]=B1788,D1788+cukier10[[#This Row],[sprzedany_cukier]],cukier10[[#This Row],[sprzedany_cukier]])</f>
        <v>1554</v>
      </c>
      <c r="E1789" cm="1">
        <f t="array" ref="E17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89">
        <f>cukier10[[#This Row],[sprzedany_cukier]]*cukier10[[#This Row],[rabat]]</f>
        <v>3.6</v>
      </c>
    </row>
    <row r="1790" spans="1:6" x14ac:dyDescent="0.25">
      <c r="A1790" s="1">
        <v>39980</v>
      </c>
      <c r="B1790" t="s">
        <v>8</v>
      </c>
      <c r="C1790">
        <v>191</v>
      </c>
      <c r="D1790">
        <f>IF(cukier10[[#This Row],[nip_klienta]]=B1789,D1789+cukier10[[#This Row],[sprzedany_cukier]],cukier10[[#This Row],[sprzedany_cukier]])</f>
        <v>1745</v>
      </c>
      <c r="E1790" cm="1">
        <f t="array" ref="E17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90">
        <f>cukier10[[#This Row],[sprzedany_cukier]]*cukier10[[#This Row],[rabat]]</f>
        <v>19.100000000000001</v>
      </c>
    </row>
    <row r="1791" spans="1:6" x14ac:dyDescent="0.25">
      <c r="A1791" s="1">
        <v>40085</v>
      </c>
      <c r="B1791" t="s">
        <v>8</v>
      </c>
      <c r="C1791">
        <v>58</v>
      </c>
      <c r="D1791">
        <f>IF(cukier10[[#This Row],[nip_klienta]]=B1790,D1790+cukier10[[#This Row],[sprzedany_cukier]],cukier10[[#This Row],[sprzedany_cukier]])</f>
        <v>1803</v>
      </c>
      <c r="E1791" cm="1">
        <f t="array" ref="E17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91">
        <f>cukier10[[#This Row],[sprzedany_cukier]]*cukier10[[#This Row],[rabat]]</f>
        <v>5.8000000000000007</v>
      </c>
    </row>
    <row r="1792" spans="1:6" x14ac:dyDescent="0.25">
      <c r="A1792" s="1">
        <v>40177</v>
      </c>
      <c r="B1792" t="s">
        <v>8</v>
      </c>
      <c r="C1792">
        <v>115</v>
      </c>
      <c r="D1792">
        <f>IF(cukier10[[#This Row],[nip_klienta]]=B1791,D1791+cukier10[[#This Row],[sprzedany_cukier]],cukier10[[#This Row],[sprzedany_cukier]])</f>
        <v>1918</v>
      </c>
      <c r="E1792" cm="1">
        <f t="array" ref="E17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92">
        <f>cukier10[[#This Row],[sprzedany_cukier]]*cukier10[[#This Row],[rabat]]</f>
        <v>11.5</v>
      </c>
    </row>
    <row r="1793" spans="1:6" x14ac:dyDescent="0.25">
      <c r="A1793" s="1">
        <v>40345</v>
      </c>
      <c r="B1793" t="s">
        <v>8</v>
      </c>
      <c r="C1793">
        <v>174</v>
      </c>
      <c r="D1793">
        <f>IF(cukier10[[#This Row],[nip_klienta]]=B1792,D1792+cukier10[[#This Row],[sprzedany_cukier]],cukier10[[#This Row],[sprzedany_cukier]])</f>
        <v>2092</v>
      </c>
      <c r="E1793" cm="1">
        <f t="array" ref="E17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93">
        <f>cukier10[[#This Row],[sprzedany_cukier]]*cukier10[[#This Row],[rabat]]</f>
        <v>17.400000000000002</v>
      </c>
    </row>
    <row r="1794" spans="1:6" x14ac:dyDescent="0.25">
      <c r="A1794" s="1">
        <v>40670</v>
      </c>
      <c r="B1794" t="s">
        <v>8</v>
      </c>
      <c r="C1794">
        <v>184</v>
      </c>
      <c r="D1794">
        <f>IF(cukier10[[#This Row],[nip_klienta]]=B1793,D1793+cukier10[[#This Row],[sprzedany_cukier]],cukier10[[#This Row],[sprzedany_cukier]])</f>
        <v>2276</v>
      </c>
      <c r="E1794" cm="1">
        <f t="array" ref="E17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94">
        <f>cukier10[[#This Row],[sprzedany_cukier]]*cukier10[[#This Row],[rabat]]</f>
        <v>18.400000000000002</v>
      </c>
    </row>
    <row r="1795" spans="1:6" x14ac:dyDescent="0.25">
      <c r="A1795" s="1">
        <v>40775</v>
      </c>
      <c r="B1795" t="s">
        <v>8</v>
      </c>
      <c r="C1795">
        <v>52</v>
      </c>
      <c r="D1795">
        <f>IF(cukier10[[#This Row],[nip_klienta]]=B1794,D1794+cukier10[[#This Row],[sprzedany_cukier]],cukier10[[#This Row],[sprzedany_cukier]])</f>
        <v>2328</v>
      </c>
      <c r="E1795" cm="1">
        <f t="array" ref="E17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95">
        <f>cukier10[[#This Row],[sprzedany_cukier]]*cukier10[[#This Row],[rabat]]</f>
        <v>5.2</v>
      </c>
    </row>
    <row r="1796" spans="1:6" x14ac:dyDescent="0.25">
      <c r="A1796" s="1">
        <v>40864</v>
      </c>
      <c r="B1796" t="s">
        <v>8</v>
      </c>
      <c r="C1796">
        <v>22</v>
      </c>
      <c r="D1796">
        <f>IF(cukier10[[#This Row],[nip_klienta]]=B1795,D1795+cukier10[[#This Row],[sprzedany_cukier]],cukier10[[#This Row],[sprzedany_cukier]])</f>
        <v>2350</v>
      </c>
      <c r="E1796" cm="1">
        <f t="array" ref="E17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96">
        <f>cukier10[[#This Row],[sprzedany_cukier]]*cukier10[[#This Row],[rabat]]</f>
        <v>2.2000000000000002</v>
      </c>
    </row>
    <row r="1797" spans="1:6" x14ac:dyDescent="0.25">
      <c r="A1797" s="1">
        <v>40899</v>
      </c>
      <c r="B1797" t="s">
        <v>8</v>
      </c>
      <c r="C1797">
        <v>130</v>
      </c>
      <c r="D1797">
        <f>IF(cukier10[[#This Row],[nip_klienta]]=B1796,D1796+cukier10[[#This Row],[sprzedany_cukier]],cukier10[[#This Row],[sprzedany_cukier]])</f>
        <v>2480</v>
      </c>
      <c r="E1797" cm="1">
        <f t="array" ref="E17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97">
        <f>cukier10[[#This Row],[sprzedany_cukier]]*cukier10[[#This Row],[rabat]]</f>
        <v>13</v>
      </c>
    </row>
    <row r="1798" spans="1:6" x14ac:dyDescent="0.25">
      <c r="A1798" s="1">
        <v>40925</v>
      </c>
      <c r="B1798" t="s">
        <v>8</v>
      </c>
      <c r="C1798">
        <v>170</v>
      </c>
      <c r="D1798">
        <f>IF(cukier10[[#This Row],[nip_klienta]]=B1797,D1797+cukier10[[#This Row],[sprzedany_cukier]],cukier10[[#This Row],[sprzedany_cukier]])</f>
        <v>2650</v>
      </c>
      <c r="E1798" cm="1">
        <f t="array" ref="E17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98">
        <f>cukier10[[#This Row],[sprzedany_cukier]]*cukier10[[#This Row],[rabat]]</f>
        <v>17</v>
      </c>
    </row>
    <row r="1799" spans="1:6" x14ac:dyDescent="0.25">
      <c r="A1799" s="1">
        <v>41144</v>
      </c>
      <c r="B1799" t="s">
        <v>8</v>
      </c>
      <c r="C1799">
        <v>76</v>
      </c>
      <c r="D1799">
        <f>IF(cukier10[[#This Row],[nip_klienta]]=B1798,D1798+cukier10[[#This Row],[sprzedany_cukier]],cukier10[[#This Row],[sprzedany_cukier]])</f>
        <v>2726</v>
      </c>
      <c r="E1799" cm="1">
        <f t="array" ref="E17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799">
        <f>cukier10[[#This Row],[sprzedany_cukier]]*cukier10[[#This Row],[rabat]]</f>
        <v>7.6000000000000005</v>
      </c>
    </row>
    <row r="1800" spans="1:6" x14ac:dyDescent="0.25">
      <c r="A1800" s="1">
        <v>41558</v>
      </c>
      <c r="B1800" t="s">
        <v>8</v>
      </c>
      <c r="C1800">
        <v>103</v>
      </c>
      <c r="D1800">
        <f>IF(cukier10[[#This Row],[nip_klienta]]=B1799,D1799+cukier10[[#This Row],[sprzedany_cukier]],cukier10[[#This Row],[sprzedany_cukier]])</f>
        <v>2829</v>
      </c>
      <c r="E1800" cm="1">
        <f t="array" ref="E18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00">
        <f>cukier10[[#This Row],[sprzedany_cukier]]*cukier10[[#This Row],[rabat]]</f>
        <v>10.3</v>
      </c>
    </row>
    <row r="1801" spans="1:6" x14ac:dyDescent="0.25">
      <c r="A1801" s="1">
        <v>41819</v>
      </c>
      <c r="B1801" t="s">
        <v>8</v>
      </c>
      <c r="C1801">
        <v>153</v>
      </c>
      <c r="D1801">
        <f>IF(cukier10[[#This Row],[nip_klienta]]=B1800,D1800+cukier10[[#This Row],[sprzedany_cukier]],cukier10[[#This Row],[sprzedany_cukier]])</f>
        <v>2982</v>
      </c>
      <c r="E1801" cm="1">
        <f t="array" ref="E18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01">
        <f>cukier10[[#This Row],[sprzedany_cukier]]*cukier10[[#This Row],[rabat]]</f>
        <v>15.3</v>
      </c>
    </row>
    <row r="1802" spans="1:6" x14ac:dyDescent="0.25">
      <c r="A1802" s="1">
        <v>41841</v>
      </c>
      <c r="B1802" t="s">
        <v>8</v>
      </c>
      <c r="C1802">
        <v>44</v>
      </c>
      <c r="D1802">
        <f>IF(cukier10[[#This Row],[nip_klienta]]=B1801,D1801+cukier10[[#This Row],[sprzedany_cukier]],cukier10[[#This Row],[sprzedany_cukier]])</f>
        <v>3026</v>
      </c>
      <c r="E1802" cm="1">
        <f t="array" ref="E18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02">
        <f>cukier10[[#This Row],[sprzedany_cukier]]*cukier10[[#This Row],[rabat]]</f>
        <v>4.4000000000000004</v>
      </c>
    </row>
    <row r="1803" spans="1:6" x14ac:dyDescent="0.25">
      <c r="A1803" s="1">
        <v>41860</v>
      </c>
      <c r="B1803" t="s">
        <v>8</v>
      </c>
      <c r="C1803">
        <v>130</v>
      </c>
      <c r="D1803">
        <f>IF(cukier10[[#This Row],[nip_klienta]]=B1802,D1802+cukier10[[#This Row],[sprzedany_cukier]],cukier10[[#This Row],[sprzedany_cukier]])</f>
        <v>3156</v>
      </c>
      <c r="E1803" cm="1">
        <f t="array" ref="E18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03">
        <f>cukier10[[#This Row],[sprzedany_cukier]]*cukier10[[#This Row],[rabat]]</f>
        <v>13</v>
      </c>
    </row>
    <row r="1804" spans="1:6" x14ac:dyDescent="0.25">
      <c r="A1804" s="1">
        <v>41861</v>
      </c>
      <c r="B1804" t="s">
        <v>8</v>
      </c>
      <c r="C1804">
        <v>137</v>
      </c>
      <c r="D1804">
        <f>IF(cukier10[[#This Row],[nip_klienta]]=B1803,D1803+cukier10[[#This Row],[sprzedany_cukier]],cukier10[[#This Row],[sprzedany_cukier]])</f>
        <v>3293</v>
      </c>
      <c r="E1804" cm="1">
        <f t="array" ref="E18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04">
        <f>cukier10[[#This Row],[sprzedany_cukier]]*cukier10[[#This Row],[rabat]]</f>
        <v>13.700000000000001</v>
      </c>
    </row>
    <row r="1805" spans="1:6" x14ac:dyDescent="0.25">
      <c r="A1805" s="1">
        <v>41907</v>
      </c>
      <c r="B1805" t="s">
        <v>8</v>
      </c>
      <c r="C1805">
        <v>30</v>
      </c>
      <c r="D1805">
        <f>IF(cukier10[[#This Row],[nip_klienta]]=B1804,D1804+cukier10[[#This Row],[sprzedany_cukier]],cukier10[[#This Row],[sprzedany_cukier]])</f>
        <v>3323</v>
      </c>
      <c r="E1805" cm="1">
        <f t="array" ref="E18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05">
        <f>cukier10[[#This Row],[sprzedany_cukier]]*cukier10[[#This Row],[rabat]]</f>
        <v>3</v>
      </c>
    </row>
    <row r="1806" spans="1:6" x14ac:dyDescent="0.25">
      <c r="A1806" s="1">
        <v>41913</v>
      </c>
      <c r="B1806" t="s">
        <v>8</v>
      </c>
      <c r="C1806">
        <v>57</v>
      </c>
      <c r="D1806">
        <f>IF(cukier10[[#This Row],[nip_klienta]]=B1805,D1805+cukier10[[#This Row],[sprzedany_cukier]],cukier10[[#This Row],[sprzedany_cukier]])</f>
        <v>3380</v>
      </c>
      <c r="E1806" cm="1">
        <f t="array" ref="E18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06">
        <f>cukier10[[#This Row],[sprzedany_cukier]]*cukier10[[#This Row],[rabat]]</f>
        <v>5.7</v>
      </c>
    </row>
    <row r="1807" spans="1:6" x14ac:dyDescent="0.25">
      <c r="A1807" s="1">
        <v>41935</v>
      </c>
      <c r="B1807" t="s">
        <v>8</v>
      </c>
      <c r="C1807">
        <v>131</v>
      </c>
      <c r="D1807">
        <f>IF(cukier10[[#This Row],[nip_klienta]]=B1806,D1806+cukier10[[#This Row],[sprzedany_cukier]],cukier10[[#This Row],[sprzedany_cukier]])</f>
        <v>3511</v>
      </c>
      <c r="E1807" cm="1">
        <f t="array" ref="E18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07">
        <f>cukier10[[#This Row],[sprzedany_cukier]]*cukier10[[#This Row],[rabat]]</f>
        <v>13.100000000000001</v>
      </c>
    </row>
    <row r="1808" spans="1:6" x14ac:dyDescent="0.25">
      <c r="A1808" s="1">
        <v>41962</v>
      </c>
      <c r="B1808" t="s">
        <v>8</v>
      </c>
      <c r="C1808">
        <v>131</v>
      </c>
      <c r="D1808">
        <f>IF(cukier10[[#This Row],[nip_klienta]]=B1807,D1807+cukier10[[#This Row],[sprzedany_cukier]],cukier10[[#This Row],[sprzedany_cukier]])</f>
        <v>3642</v>
      </c>
      <c r="E1808" cm="1">
        <f t="array" ref="E18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08">
        <f>cukier10[[#This Row],[sprzedany_cukier]]*cukier10[[#This Row],[rabat]]</f>
        <v>13.100000000000001</v>
      </c>
    </row>
    <row r="1809" spans="1:6" x14ac:dyDescent="0.25">
      <c r="A1809" s="1">
        <v>41988</v>
      </c>
      <c r="B1809" t="s">
        <v>8</v>
      </c>
      <c r="C1809">
        <v>43</v>
      </c>
      <c r="D1809">
        <f>IF(cukier10[[#This Row],[nip_klienta]]=B1808,D1808+cukier10[[#This Row],[sprzedany_cukier]],cukier10[[#This Row],[sprzedany_cukier]])</f>
        <v>3685</v>
      </c>
      <c r="E1809" cm="1">
        <f t="array" ref="E18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09">
        <f>cukier10[[#This Row],[sprzedany_cukier]]*cukier10[[#This Row],[rabat]]</f>
        <v>4.3</v>
      </c>
    </row>
    <row r="1810" spans="1:6" x14ac:dyDescent="0.25">
      <c r="A1810" s="1">
        <v>41997</v>
      </c>
      <c r="B1810" t="s">
        <v>8</v>
      </c>
      <c r="C1810">
        <v>150</v>
      </c>
      <c r="D1810">
        <f>IF(cukier10[[#This Row],[nip_klienta]]=B1809,D1809+cukier10[[#This Row],[sprzedany_cukier]],cukier10[[#This Row],[sprzedany_cukier]])</f>
        <v>3835</v>
      </c>
      <c r="E1810" cm="1">
        <f t="array" ref="E18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10">
        <f>cukier10[[#This Row],[sprzedany_cukier]]*cukier10[[#This Row],[rabat]]</f>
        <v>15</v>
      </c>
    </row>
    <row r="1811" spans="1:6" x14ac:dyDescent="0.25">
      <c r="A1811" s="1">
        <v>38657</v>
      </c>
      <c r="B1811" t="s">
        <v>84</v>
      </c>
      <c r="C1811">
        <v>2</v>
      </c>
      <c r="D1811">
        <f>IF(cukier10[[#This Row],[nip_klienta]]=B1810,D1810+cukier10[[#This Row],[sprzedany_cukier]],cukier10[[#This Row],[sprzedany_cukier]])</f>
        <v>2</v>
      </c>
      <c r="E1811" cm="1">
        <f t="array" ref="E18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811">
        <f>cukier10[[#This Row],[sprzedany_cukier]]*cukier10[[#This Row],[rabat]]</f>
        <v>0</v>
      </c>
    </row>
    <row r="1812" spans="1:6" x14ac:dyDescent="0.25">
      <c r="A1812" s="1">
        <v>38965</v>
      </c>
      <c r="B1812" t="s">
        <v>84</v>
      </c>
      <c r="C1812">
        <v>8</v>
      </c>
      <c r="D1812">
        <f>IF(cukier10[[#This Row],[nip_klienta]]=B1811,D1811+cukier10[[#This Row],[sprzedany_cukier]],cukier10[[#This Row],[sprzedany_cukier]])</f>
        <v>10</v>
      </c>
      <c r="E1812" cm="1">
        <f t="array" ref="E18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812">
        <f>cukier10[[#This Row],[sprzedany_cukier]]*cukier10[[#This Row],[rabat]]</f>
        <v>0</v>
      </c>
    </row>
    <row r="1813" spans="1:6" x14ac:dyDescent="0.25">
      <c r="A1813" s="1">
        <v>40221</v>
      </c>
      <c r="B1813" t="s">
        <v>84</v>
      </c>
      <c r="C1813">
        <v>1</v>
      </c>
      <c r="D1813">
        <f>IF(cukier10[[#This Row],[nip_klienta]]=B1812,D1812+cukier10[[#This Row],[sprzedany_cukier]],cukier10[[#This Row],[sprzedany_cukier]])</f>
        <v>11</v>
      </c>
      <c r="E1813" cm="1">
        <f t="array" ref="E18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813">
        <f>cukier10[[#This Row],[sprzedany_cukier]]*cukier10[[#This Row],[rabat]]</f>
        <v>0</v>
      </c>
    </row>
    <row r="1814" spans="1:6" x14ac:dyDescent="0.25">
      <c r="A1814" s="1">
        <v>40761</v>
      </c>
      <c r="B1814" t="s">
        <v>84</v>
      </c>
      <c r="C1814">
        <v>2</v>
      </c>
      <c r="D1814">
        <f>IF(cukier10[[#This Row],[nip_klienta]]=B1813,D1813+cukier10[[#This Row],[sprzedany_cukier]],cukier10[[#This Row],[sprzedany_cukier]])</f>
        <v>13</v>
      </c>
      <c r="E1814" cm="1">
        <f t="array" ref="E18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814">
        <f>cukier10[[#This Row],[sprzedany_cukier]]*cukier10[[#This Row],[rabat]]</f>
        <v>0</v>
      </c>
    </row>
    <row r="1815" spans="1:6" x14ac:dyDescent="0.25">
      <c r="A1815" s="1">
        <v>41213</v>
      </c>
      <c r="B1815" t="s">
        <v>84</v>
      </c>
      <c r="C1815">
        <v>6</v>
      </c>
      <c r="D1815">
        <f>IF(cukier10[[#This Row],[nip_klienta]]=B1814,D1814+cukier10[[#This Row],[sprzedany_cukier]],cukier10[[#This Row],[sprzedany_cukier]])</f>
        <v>19</v>
      </c>
      <c r="E1815" cm="1">
        <f t="array" ref="E18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815">
        <f>cukier10[[#This Row],[sprzedany_cukier]]*cukier10[[#This Row],[rabat]]</f>
        <v>0</v>
      </c>
    </row>
    <row r="1816" spans="1:6" x14ac:dyDescent="0.25">
      <c r="A1816" s="1">
        <v>39034</v>
      </c>
      <c r="B1816" t="s">
        <v>127</v>
      </c>
      <c r="C1816">
        <v>20</v>
      </c>
      <c r="D1816">
        <f>IF(cukier10[[#This Row],[nip_klienta]]=B1815,D1815+cukier10[[#This Row],[sprzedany_cukier]],cukier10[[#This Row],[sprzedany_cukier]])</f>
        <v>20</v>
      </c>
      <c r="E1816" cm="1">
        <f t="array" ref="E18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816">
        <f>cukier10[[#This Row],[sprzedany_cukier]]*cukier10[[#This Row],[rabat]]</f>
        <v>0</v>
      </c>
    </row>
    <row r="1817" spans="1:6" x14ac:dyDescent="0.25">
      <c r="A1817" s="1">
        <v>40576</v>
      </c>
      <c r="B1817" t="s">
        <v>127</v>
      </c>
      <c r="C1817">
        <v>6</v>
      </c>
      <c r="D1817">
        <f>IF(cukier10[[#This Row],[nip_klienta]]=B1816,D1816+cukier10[[#This Row],[sprzedany_cukier]],cukier10[[#This Row],[sprzedany_cukier]])</f>
        <v>26</v>
      </c>
      <c r="E1817" cm="1">
        <f t="array" ref="E18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817">
        <f>cukier10[[#This Row],[sprzedany_cukier]]*cukier10[[#This Row],[rabat]]</f>
        <v>0</v>
      </c>
    </row>
    <row r="1818" spans="1:6" x14ac:dyDescent="0.25">
      <c r="A1818" s="1">
        <v>38378</v>
      </c>
      <c r="B1818" t="s">
        <v>12</v>
      </c>
      <c r="C1818">
        <v>36</v>
      </c>
      <c r="D1818">
        <f>IF(cukier10[[#This Row],[nip_klienta]]=B1817,D1817+cukier10[[#This Row],[sprzedany_cukier]],cukier10[[#This Row],[sprzedany_cukier]])</f>
        <v>36</v>
      </c>
      <c r="E1818" cm="1">
        <f t="array" ref="E18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818">
        <f>cukier10[[#This Row],[sprzedany_cukier]]*cukier10[[#This Row],[rabat]]</f>
        <v>0</v>
      </c>
    </row>
    <row r="1819" spans="1:6" x14ac:dyDescent="0.25">
      <c r="A1819" s="1">
        <v>38547</v>
      </c>
      <c r="B1819" t="s">
        <v>12</v>
      </c>
      <c r="C1819">
        <v>144</v>
      </c>
      <c r="D1819">
        <f>IF(cukier10[[#This Row],[nip_klienta]]=B1818,D1818+cukier10[[#This Row],[sprzedany_cukier]],cukier10[[#This Row],[sprzedany_cukier]])</f>
        <v>180</v>
      </c>
      <c r="E1819" cm="1">
        <f t="array" ref="E18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19">
        <f>cukier10[[#This Row],[sprzedany_cukier]]*cukier10[[#This Row],[rabat]]</f>
        <v>7.2</v>
      </c>
    </row>
    <row r="1820" spans="1:6" x14ac:dyDescent="0.25">
      <c r="A1820" s="1">
        <v>38594</v>
      </c>
      <c r="B1820" t="s">
        <v>12</v>
      </c>
      <c r="C1820">
        <v>41</v>
      </c>
      <c r="D1820">
        <f>IF(cukier10[[#This Row],[nip_klienta]]=B1819,D1819+cukier10[[#This Row],[sprzedany_cukier]],cukier10[[#This Row],[sprzedany_cukier]])</f>
        <v>221</v>
      </c>
      <c r="E1820" cm="1">
        <f t="array" ref="E18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20">
        <f>cukier10[[#This Row],[sprzedany_cukier]]*cukier10[[#This Row],[rabat]]</f>
        <v>2.0500000000000003</v>
      </c>
    </row>
    <row r="1821" spans="1:6" x14ac:dyDescent="0.25">
      <c r="A1821" s="1">
        <v>38612</v>
      </c>
      <c r="B1821" t="s">
        <v>12</v>
      </c>
      <c r="C1821">
        <v>61</v>
      </c>
      <c r="D1821">
        <f>IF(cukier10[[#This Row],[nip_klienta]]=B1820,D1820+cukier10[[#This Row],[sprzedany_cukier]],cukier10[[#This Row],[sprzedany_cukier]])</f>
        <v>282</v>
      </c>
      <c r="E1821" cm="1">
        <f t="array" ref="E18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21">
        <f>cukier10[[#This Row],[sprzedany_cukier]]*cukier10[[#This Row],[rabat]]</f>
        <v>3.0500000000000003</v>
      </c>
    </row>
    <row r="1822" spans="1:6" x14ac:dyDescent="0.25">
      <c r="A1822" s="1">
        <v>38672</v>
      </c>
      <c r="B1822" t="s">
        <v>12</v>
      </c>
      <c r="C1822">
        <v>161</v>
      </c>
      <c r="D1822">
        <f>IF(cukier10[[#This Row],[nip_klienta]]=B1821,D1821+cukier10[[#This Row],[sprzedany_cukier]],cukier10[[#This Row],[sprzedany_cukier]])</f>
        <v>443</v>
      </c>
      <c r="E1822" cm="1">
        <f t="array" ref="E18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22">
        <f>cukier10[[#This Row],[sprzedany_cukier]]*cukier10[[#This Row],[rabat]]</f>
        <v>8.0500000000000007</v>
      </c>
    </row>
    <row r="1823" spans="1:6" x14ac:dyDescent="0.25">
      <c r="A1823" s="1">
        <v>38745</v>
      </c>
      <c r="B1823" t="s">
        <v>12</v>
      </c>
      <c r="C1823">
        <v>187</v>
      </c>
      <c r="D1823">
        <f>IF(cukier10[[#This Row],[nip_klienta]]=B1822,D1822+cukier10[[#This Row],[sprzedany_cukier]],cukier10[[#This Row],[sprzedany_cukier]])</f>
        <v>630</v>
      </c>
      <c r="E1823" cm="1">
        <f t="array" ref="E18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23">
        <f>cukier10[[#This Row],[sprzedany_cukier]]*cukier10[[#This Row],[rabat]]</f>
        <v>9.35</v>
      </c>
    </row>
    <row r="1824" spans="1:6" x14ac:dyDescent="0.25">
      <c r="A1824" s="1">
        <v>38896</v>
      </c>
      <c r="B1824" t="s">
        <v>12</v>
      </c>
      <c r="C1824">
        <v>114</v>
      </c>
      <c r="D1824">
        <f>IF(cukier10[[#This Row],[nip_klienta]]=B1823,D1823+cukier10[[#This Row],[sprzedany_cukier]],cukier10[[#This Row],[sprzedany_cukier]])</f>
        <v>744</v>
      </c>
      <c r="E1824" cm="1">
        <f t="array" ref="E18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24">
        <f>cukier10[[#This Row],[sprzedany_cukier]]*cukier10[[#This Row],[rabat]]</f>
        <v>5.7</v>
      </c>
    </row>
    <row r="1825" spans="1:6" x14ac:dyDescent="0.25">
      <c r="A1825" s="1">
        <v>38985</v>
      </c>
      <c r="B1825" t="s">
        <v>12</v>
      </c>
      <c r="C1825">
        <v>180</v>
      </c>
      <c r="D1825">
        <f>IF(cukier10[[#This Row],[nip_klienta]]=B1824,D1824+cukier10[[#This Row],[sprzedany_cukier]],cukier10[[#This Row],[sprzedany_cukier]])</f>
        <v>924</v>
      </c>
      <c r="E1825" cm="1">
        <f t="array" ref="E18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25">
        <f>cukier10[[#This Row],[sprzedany_cukier]]*cukier10[[#This Row],[rabat]]</f>
        <v>9</v>
      </c>
    </row>
    <row r="1826" spans="1:6" x14ac:dyDescent="0.25">
      <c r="A1826" s="1">
        <v>39026</v>
      </c>
      <c r="B1826" t="s">
        <v>12</v>
      </c>
      <c r="C1826">
        <v>137</v>
      </c>
      <c r="D1826">
        <f>IF(cukier10[[#This Row],[nip_klienta]]=B1825,D1825+cukier10[[#This Row],[sprzedany_cukier]],cukier10[[#This Row],[sprzedany_cukier]])</f>
        <v>1061</v>
      </c>
      <c r="E1826" cm="1">
        <f t="array" ref="E18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26">
        <f>cukier10[[#This Row],[sprzedany_cukier]]*cukier10[[#This Row],[rabat]]</f>
        <v>13.700000000000001</v>
      </c>
    </row>
    <row r="1827" spans="1:6" x14ac:dyDescent="0.25">
      <c r="A1827" s="1">
        <v>39117</v>
      </c>
      <c r="B1827" t="s">
        <v>12</v>
      </c>
      <c r="C1827">
        <v>132</v>
      </c>
      <c r="D1827">
        <f>IF(cukier10[[#This Row],[nip_klienta]]=B1826,D1826+cukier10[[#This Row],[sprzedany_cukier]],cukier10[[#This Row],[sprzedany_cukier]])</f>
        <v>1193</v>
      </c>
      <c r="E1827" cm="1">
        <f t="array" ref="E18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27">
        <f>cukier10[[#This Row],[sprzedany_cukier]]*cukier10[[#This Row],[rabat]]</f>
        <v>13.200000000000001</v>
      </c>
    </row>
    <row r="1828" spans="1:6" x14ac:dyDescent="0.25">
      <c r="A1828" s="1">
        <v>39142</v>
      </c>
      <c r="B1828" t="s">
        <v>12</v>
      </c>
      <c r="C1828">
        <v>91</v>
      </c>
      <c r="D1828">
        <f>IF(cukier10[[#This Row],[nip_klienta]]=B1827,D1827+cukier10[[#This Row],[sprzedany_cukier]],cukier10[[#This Row],[sprzedany_cukier]])</f>
        <v>1284</v>
      </c>
      <c r="E1828" cm="1">
        <f t="array" ref="E18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28">
        <f>cukier10[[#This Row],[sprzedany_cukier]]*cukier10[[#This Row],[rabat]]</f>
        <v>9.1</v>
      </c>
    </row>
    <row r="1829" spans="1:6" x14ac:dyDescent="0.25">
      <c r="A1829" s="1">
        <v>39149</v>
      </c>
      <c r="B1829" t="s">
        <v>12</v>
      </c>
      <c r="C1829">
        <v>68</v>
      </c>
      <c r="D1829">
        <f>IF(cukier10[[#This Row],[nip_klienta]]=B1828,D1828+cukier10[[#This Row],[sprzedany_cukier]],cukier10[[#This Row],[sprzedany_cukier]])</f>
        <v>1352</v>
      </c>
      <c r="E1829" cm="1">
        <f t="array" ref="E18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29">
        <f>cukier10[[#This Row],[sprzedany_cukier]]*cukier10[[#This Row],[rabat]]</f>
        <v>6.8000000000000007</v>
      </c>
    </row>
    <row r="1830" spans="1:6" x14ac:dyDescent="0.25">
      <c r="A1830" s="1">
        <v>39171</v>
      </c>
      <c r="B1830" t="s">
        <v>12</v>
      </c>
      <c r="C1830">
        <v>194</v>
      </c>
      <c r="D1830">
        <f>IF(cukier10[[#This Row],[nip_klienta]]=B1829,D1829+cukier10[[#This Row],[sprzedany_cukier]],cukier10[[#This Row],[sprzedany_cukier]])</f>
        <v>1546</v>
      </c>
      <c r="E1830" cm="1">
        <f t="array" ref="E18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30">
        <f>cukier10[[#This Row],[sprzedany_cukier]]*cukier10[[#This Row],[rabat]]</f>
        <v>19.400000000000002</v>
      </c>
    </row>
    <row r="1831" spans="1:6" x14ac:dyDescent="0.25">
      <c r="A1831" s="1">
        <v>39206</v>
      </c>
      <c r="B1831" t="s">
        <v>12</v>
      </c>
      <c r="C1831">
        <v>179</v>
      </c>
      <c r="D1831">
        <f>IF(cukier10[[#This Row],[nip_klienta]]=B1830,D1830+cukier10[[#This Row],[sprzedany_cukier]],cukier10[[#This Row],[sprzedany_cukier]])</f>
        <v>1725</v>
      </c>
      <c r="E1831" cm="1">
        <f t="array" ref="E18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31">
        <f>cukier10[[#This Row],[sprzedany_cukier]]*cukier10[[#This Row],[rabat]]</f>
        <v>17.900000000000002</v>
      </c>
    </row>
    <row r="1832" spans="1:6" x14ac:dyDescent="0.25">
      <c r="A1832" s="1">
        <v>39331</v>
      </c>
      <c r="B1832" t="s">
        <v>12</v>
      </c>
      <c r="C1832">
        <v>82</v>
      </c>
      <c r="D1832">
        <f>IF(cukier10[[#This Row],[nip_klienta]]=B1831,D1831+cukier10[[#This Row],[sprzedany_cukier]],cukier10[[#This Row],[sprzedany_cukier]])</f>
        <v>1807</v>
      </c>
      <c r="E1832" cm="1">
        <f t="array" ref="E18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32">
        <f>cukier10[[#This Row],[sprzedany_cukier]]*cukier10[[#This Row],[rabat]]</f>
        <v>8.2000000000000011</v>
      </c>
    </row>
    <row r="1833" spans="1:6" x14ac:dyDescent="0.25">
      <c r="A1833" s="1">
        <v>39425</v>
      </c>
      <c r="B1833" t="s">
        <v>12</v>
      </c>
      <c r="C1833">
        <v>181</v>
      </c>
      <c r="D1833">
        <f>IF(cukier10[[#This Row],[nip_klienta]]=B1832,D1832+cukier10[[#This Row],[sprzedany_cukier]],cukier10[[#This Row],[sprzedany_cukier]])</f>
        <v>1988</v>
      </c>
      <c r="E1833" cm="1">
        <f t="array" ref="E18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33">
        <f>cukier10[[#This Row],[sprzedany_cukier]]*cukier10[[#This Row],[rabat]]</f>
        <v>18.100000000000001</v>
      </c>
    </row>
    <row r="1834" spans="1:6" x14ac:dyDescent="0.25">
      <c r="A1834" s="1">
        <v>39772</v>
      </c>
      <c r="B1834" t="s">
        <v>12</v>
      </c>
      <c r="C1834">
        <v>189</v>
      </c>
      <c r="D1834">
        <f>IF(cukier10[[#This Row],[nip_klienta]]=B1833,D1833+cukier10[[#This Row],[sprzedany_cukier]],cukier10[[#This Row],[sprzedany_cukier]])</f>
        <v>2177</v>
      </c>
      <c r="E1834" cm="1">
        <f t="array" ref="E18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34">
        <f>cukier10[[#This Row],[sprzedany_cukier]]*cukier10[[#This Row],[rabat]]</f>
        <v>18.900000000000002</v>
      </c>
    </row>
    <row r="1835" spans="1:6" x14ac:dyDescent="0.25">
      <c r="A1835" s="1">
        <v>39874</v>
      </c>
      <c r="B1835" t="s">
        <v>12</v>
      </c>
      <c r="C1835">
        <v>112</v>
      </c>
      <c r="D1835">
        <f>IF(cukier10[[#This Row],[nip_klienta]]=B1834,D1834+cukier10[[#This Row],[sprzedany_cukier]],cukier10[[#This Row],[sprzedany_cukier]])</f>
        <v>2289</v>
      </c>
      <c r="E1835" cm="1">
        <f t="array" ref="E18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35">
        <f>cukier10[[#This Row],[sprzedany_cukier]]*cukier10[[#This Row],[rabat]]</f>
        <v>11.200000000000001</v>
      </c>
    </row>
    <row r="1836" spans="1:6" x14ac:dyDescent="0.25">
      <c r="A1836" s="1">
        <v>40139</v>
      </c>
      <c r="B1836" t="s">
        <v>12</v>
      </c>
      <c r="C1836">
        <v>152</v>
      </c>
      <c r="D1836">
        <f>IF(cukier10[[#This Row],[nip_klienta]]=B1835,D1835+cukier10[[#This Row],[sprzedany_cukier]],cukier10[[#This Row],[sprzedany_cukier]])</f>
        <v>2441</v>
      </c>
      <c r="E1836" cm="1">
        <f t="array" ref="E18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36">
        <f>cukier10[[#This Row],[sprzedany_cukier]]*cukier10[[#This Row],[rabat]]</f>
        <v>15.200000000000001</v>
      </c>
    </row>
    <row r="1837" spans="1:6" x14ac:dyDescent="0.25">
      <c r="A1837" s="1">
        <v>40256</v>
      </c>
      <c r="B1837" t="s">
        <v>12</v>
      </c>
      <c r="C1837">
        <v>58</v>
      </c>
      <c r="D1837">
        <f>IF(cukier10[[#This Row],[nip_klienta]]=B1836,D1836+cukier10[[#This Row],[sprzedany_cukier]],cukier10[[#This Row],[sprzedany_cukier]])</f>
        <v>2499</v>
      </c>
      <c r="E1837" cm="1">
        <f t="array" ref="E18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37">
        <f>cukier10[[#This Row],[sprzedany_cukier]]*cukier10[[#This Row],[rabat]]</f>
        <v>5.8000000000000007</v>
      </c>
    </row>
    <row r="1838" spans="1:6" x14ac:dyDescent="0.25">
      <c r="A1838" s="1">
        <v>40259</v>
      </c>
      <c r="B1838" t="s">
        <v>12</v>
      </c>
      <c r="C1838">
        <v>103</v>
      </c>
      <c r="D1838">
        <f>IF(cukier10[[#This Row],[nip_klienta]]=B1837,D1837+cukier10[[#This Row],[sprzedany_cukier]],cukier10[[#This Row],[sprzedany_cukier]])</f>
        <v>2602</v>
      </c>
      <c r="E1838" cm="1">
        <f t="array" ref="E18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38">
        <f>cukier10[[#This Row],[sprzedany_cukier]]*cukier10[[#This Row],[rabat]]</f>
        <v>10.3</v>
      </c>
    </row>
    <row r="1839" spans="1:6" x14ac:dyDescent="0.25">
      <c r="A1839" s="1">
        <v>40395</v>
      </c>
      <c r="B1839" t="s">
        <v>12</v>
      </c>
      <c r="C1839">
        <v>80</v>
      </c>
      <c r="D1839">
        <f>IF(cukier10[[#This Row],[nip_klienta]]=B1838,D1838+cukier10[[#This Row],[sprzedany_cukier]],cukier10[[#This Row],[sprzedany_cukier]])</f>
        <v>2682</v>
      </c>
      <c r="E1839" cm="1">
        <f t="array" ref="E18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39">
        <f>cukier10[[#This Row],[sprzedany_cukier]]*cukier10[[#This Row],[rabat]]</f>
        <v>8</v>
      </c>
    </row>
    <row r="1840" spans="1:6" x14ac:dyDescent="0.25">
      <c r="A1840" s="1">
        <v>40396</v>
      </c>
      <c r="B1840" t="s">
        <v>12</v>
      </c>
      <c r="C1840">
        <v>160</v>
      </c>
      <c r="D1840">
        <f>IF(cukier10[[#This Row],[nip_klienta]]=B1839,D1839+cukier10[[#This Row],[sprzedany_cukier]],cukier10[[#This Row],[sprzedany_cukier]])</f>
        <v>2842</v>
      </c>
      <c r="E1840" cm="1">
        <f t="array" ref="E18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40">
        <f>cukier10[[#This Row],[sprzedany_cukier]]*cukier10[[#This Row],[rabat]]</f>
        <v>16</v>
      </c>
    </row>
    <row r="1841" spans="1:6" x14ac:dyDescent="0.25">
      <c r="A1841" s="1">
        <v>40449</v>
      </c>
      <c r="B1841" t="s">
        <v>12</v>
      </c>
      <c r="C1841">
        <v>152</v>
      </c>
      <c r="D1841">
        <f>IF(cukier10[[#This Row],[nip_klienta]]=B1840,D1840+cukier10[[#This Row],[sprzedany_cukier]],cukier10[[#This Row],[sprzedany_cukier]])</f>
        <v>2994</v>
      </c>
      <c r="E1841" cm="1">
        <f t="array" ref="E18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41">
        <f>cukier10[[#This Row],[sprzedany_cukier]]*cukier10[[#This Row],[rabat]]</f>
        <v>15.200000000000001</v>
      </c>
    </row>
    <row r="1842" spans="1:6" x14ac:dyDescent="0.25">
      <c r="A1842" s="1">
        <v>40463</v>
      </c>
      <c r="B1842" t="s">
        <v>12</v>
      </c>
      <c r="C1842">
        <v>87</v>
      </c>
      <c r="D1842">
        <f>IF(cukier10[[#This Row],[nip_klienta]]=B1841,D1841+cukier10[[#This Row],[sprzedany_cukier]],cukier10[[#This Row],[sprzedany_cukier]])</f>
        <v>3081</v>
      </c>
      <c r="E1842" cm="1">
        <f t="array" ref="E18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42">
        <f>cukier10[[#This Row],[sprzedany_cukier]]*cukier10[[#This Row],[rabat]]</f>
        <v>8.7000000000000011</v>
      </c>
    </row>
    <row r="1843" spans="1:6" x14ac:dyDescent="0.25">
      <c r="A1843" s="1">
        <v>40474</v>
      </c>
      <c r="B1843" t="s">
        <v>12</v>
      </c>
      <c r="C1843">
        <v>107</v>
      </c>
      <c r="D1843">
        <f>IF(cukier10[[#This Row],[nip_klienta]]=B1842,D1842+cukier10[[#This Row],[sprzedany_cukier]],cukier10[[#This Row],[sprzedany_cukier]])</f>
        <v>3188</v>
      </c>
      <c r="E1843" cm="1">
        <f t="array" ref="E18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43">
        <f>cukier10[[#This Row],[sprzedany_cukier]]*cukier10[[#This Row],[rabat]]</f>
        <v>10.700000000000001</v>
      </c>
    </row>
    <row r="1844" spans="1:6" x14ac:dyDescent="0.25">
      <c r="A1844" s="1">
        <v>40503</v>
      </c>
      <c r="B1844" t="s">
        <v>12</v>
      </c>
      <c r="C1844">
        <v>159</v>
      </c>
      <c r="D1844">
        <f>IF(cukier10[[#This Row],[nip_klienta]]=B1843,D1843+cukier10[[#This Row],[sprzedany_cukier]],cukier10[[#This Row],[sprzedany_cukier]])</f>
        <v>3347</v>
      </c>
      <c r="E1844" cm="1">
        <f t="array" ref="E18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44">
        <f>cukier10[[#This Row],[sprzedany_cukier]]*cukier10[[#This Row],[rabat]]</f>
        <v>15.9</v>
      </c>
    </row>
    <row r="1845" spans="1:6" x14ac:dyDescent="0.25">
      <c r="A1845" s="1">
        <v>40522</v>
      </c>
      <c r="B1845" t="s">
        <v>12</v>
      </c>
      <c r="C1845">
        <v>37</v>
      </c>
      <c r="D1845">
        <f>IF(cukier10[[#This Row],[nip_klienta]]=B1844,D1844+cukier10[[#This Row],[sprzedany_cukier]],cukier10[[#This Row],[sprzedany_cukier]])</f>
        <v>3384</v>
      </c>
      <c r="E1845" cm="1">
        <f t="array" ref="E18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45">
        <f>cukier10[[#This Row],[sprzedany_cukier]]*cukier10[[#This Row],[rabat]]</f>
        <v>3.7</v>
      </c>
    </row>
    <row r="1846" spans="1:6" x14ac:dyDescent="0.25">
      <c r="A1846" s="1">
        <v>40609</v>
      </c>
      <c r="B1846" t="s">
        <v>12</v>
      </c>
      <c r="C1846">
        <v>76</v>
      </c>
      <c r="D1846">
        <f>IF(cukier10[[#This Row],[nip_klienta]]=B1845,D1845+cukier10[[#This Row],[sprzedany_cukier]],cukier10[[#This Row],[sprzedany_cukier]])</f>
        <v>3460</v>
      </c>
      <c r="E1846" cm="1">
        <f t="array" ref="E18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46">
        <f>cukier10[[#This Row],[sprzedany_cukier]]*cukier10[[#This Row],[rabat]]</f>
        <v>7.6000000000000005</v>
      </c>
    </row>
    <row r="1847" spans="1:6" x14ac:dyDescent="0.25">
      <c r="A1847" s="1">
        <v>40658</v>
      </c>
      <c r="B1847" t="s">
        <v>12</v>
      </c>
      <c r="C1847">
        <v>20</v>
      </c>
      <c r="D1847">
        <f>IF(cukier10[[#This Row],[nip_klienta]]=B1846,D1846+cukier10[[#This Row],[sprzedany_cukier]],cukier10[[#This Row],[sprzedany_cukier]])</f>
        <v>3480</v>
      </c>
      <c r="E1847" cm="1">
        <f t="array" ref="E18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47">
        <f>cukier10[[#This Row],[sprzedany_cukier]]*cukier10[[#This Row],[rabat]]</f>
        <v>2</v>
      </c>
    </row>
    <row r="1848" spans="1:6" x14ac:dyDescent="0.25">
      <c r="A1848" s="1">
        <v>40727</v>
      </c>
      <c r="B1848" t="s">
        <v>12</v>
      </c>
      <c r="C1848">
        <v>168</v>
      </c>
      <c r="D1848">
        <f>IF(cukier10[[#This Row],[nip_klienta]]=B1847,D1847+cukier10[[#This Row],[sprzedany_cukier]],cukier10[[#This Row],[sprzedany_cukier]])</f>
        <v>3648</v>
      </c>
      <c r="E1848" cm="1">
        <f t="array" ref="E18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48">
        <f>cukier10[[#This Row],[sprzedany_cukier]]*cukier10[[#This Row],[rabat]]</f>
        <v>16.8</v>
      </c>
    </row>
    <row r="1849" spans="1:6" x14ac:dyDescent="0.25">
      <c r="A1849" s="1">
        <v>40753</v>
      </c>
      <c r="B1849" t="s">
        <v>12</v>
      </c>
      <c r="C1849">
        <v>30</v>
      </c>
      <c r="D1849">
        <f>IF(cukier10[[#This Row],[nip_klienta]]=B1848,D1848+cukier10[[#This Row],[sprzedany_cukier]],cukier10[[#This Row],[sprzedany_cukier]])</f>
        <v>3678</v>
      </c>
      <c r="E1849" cm="1">
        <f t="array" ref="E18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49">
        <f>cukier10[[#This Row],[sprzedany_cukier]]*cukier10[[#This Row],[rabat]]</f>
        <v>3</v>
      </c>
    </row>
    <row r="1850" spans="1:6" x14ac:dyDescent="0.25">
      <c r="A1850" s="1">
        <v>40784</v>
      </c>
      <c r="B1850" t="s">
        <v>12</v>
      </c>
      <c r="C1850">
        <v>93</v>
      </c>
      <c r="D1850">
        <f>IF(cukier10[[#This Row],[nip_klienta]]=B1849,D1849+cukier10[[#This Row],[sprzedany_cukier]],cukier10[[#This Row],[sprzedany_cukier]])</f>
        <v>3771</v>
      </c>
      <c r="E1850" cm="1">
        <f t="array" ref="E18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50">
        <f>cukier10[[#This Row],[sprzedany_cukier]]*cukier10[[#This Row],[rabat]]</f>
        <v>9.3000000000000007</v>
      </c>
    </row>
    <row r="1851" spans="1:6" x14ac:dyDescent="0.25">
      <c r="A1851" s="1">
        <v>40891</v>
      </c>
      <c r="B1851" t="s">
        <v>12</v>
      </c>
      <c r="C1851">
        <v>52</v>
      </c>
      <c r="D1851">
        <f>IF(cukier10[[#This Row],[nip_klienta]]=B1850,D1850+cukier10[[#This Row],[sprzedany_cukier]],cukier10[[#This Row],[sprzedany_cukier]])</f>
        <v>3823</v>
      </c>
      <c r="E1851" cm="1">
        <f t="array" ref="E18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51">
        <f>cukier10[[#This Row],[sprzedany_cukier]]*cukier10[[#This Row],[rabat]]</f>
        <v>5.2</v>
      </c>
    </row>
    <row r="1852" spans="1:6" x14ac:dyDescent="0.25">
      <c r="A1852" s="1">
        <v>41090</v>
      </c>
      <c r="B1852" t="s">
        <v>12</v>
      </c>
      <c r="C1852">
        <v>122</v>
      </c>
      <c r="D1852">
        <f>IF(cukier10[[#This Row],[nip_klienta]]=B1851,D1851+cukier10[[#This Row],[sprzedany_cukier]],cukier10[[#This Row],[sprzedany_cukier]])</f>
        <v>3945</v>
      </c>
      <c r="E1852" cm="1">
        <f t="array" ref="E18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52">
        <f>cukier10[[#This Row],[sprzedany_cukier]]*cukier10[[#This Row],[rabat]]</f>
        <v>12.200000000000001</v>
      </c>
    </row>
    <row r="1853" spans="1:6" x14ac:dyDescent="0.25">
      <c r="A1853" s="1">
        <v>41314</v>
      </c>
      <c r="B1853" t="s">
        <v>12</v>
      </c>
      <c r="C1853">
        <v>23</v>
      </c>
      <c r="D1853">
        <f>IF(cukier10[[#This Row],[nip_klienta]]=B1852,D1852+cukier10[[#This Row],[sprzedany_cukier]],cukier10[[#This Row],[sprzedany_cukier]])</f>
        <v>3968</v>
      </c>
      <c r="E1853" cm="1">
        <f t="array" ref="E18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53">
        <f>cukier10[[#This Row],[sprzedany_cukier]]*cukier10[[#This Row],[rabat]]</f>
        <v>2.3000000000000003</v>
      </c>
    </row>
    <row r="1854" spans="1:6" x14ac:dyDescent="0.25">
      <c r="A1854" s="1">
        <v>41324</v>
      </c>
      <c r="B1854" t="s">
        <v>12</v>
      </c>
      <c r="C1854">
        <v>183</v>
      </c>
      <c r="D1854">
        <f>IF(cukier10[[#This Row],[nip_klienta]]=B1853,D1853+cukier10[[#This Row],[sprzedany_cukier]],cukier10[[#This Row],[sprzedany_cukier]])</f>
        <v>4151</v>
      </c>
      <c r="E1854" cm="1">
        <f t="array" ref="E18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54">
        <f>cukier10[[#This Row],[sprzedany_cukier]]*cukier10[[#This Row],[rabat]]</f>
        <v>18.3</v>
      </c>
    </row>
    <row r="1855" spans="1:6" x14ac:dyDescent="0.25">
      <c r="A1855" s="1">
        <v>41476</v>
      </c>
      <c r="B1855" t="s">
        <v>12</v>
      </c>
      <c r="C1855">
        <v>177</v>
      </c>
      <c r="D1855">
        <f>IF(cukier10[[#This Row],[nip_klienta]]=B1854,D1854+cukier10[[#This Row],[sprzedany_cukier]],cukier10[[#This Row],[sprzedany_cukier]])</f>
        <v>4328</v>
      </c>
      <c r="E1855" cm="1">
        <f t="array" ref="E18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55">
        <f>cukier10[[#This Row],[sprzedany_cukier]]*cukier10[[#This Row],[rabat]]</f>
        <v>17.7</v>
      </c>
    </row>
    <row r="1856" spans="1:6" x14ac:dyDescent="0.25">
      <c r="A1856" s="1">
        <v>41641</v>
      </c>
      <c r="B1856" t="s">
        <v>12</v>
      </c>
      <c r="C1856">
        <v>56</v>
      </c>
      <c r="D1856">
        <f>IF(cukier10[[#This Row],[nip_klienta]]=B1855,D1855+cukier10[[#This Row],[sprzedany_cukier]],cukier10[[#This Row],[sprzedany_cukier]])</f>
        <v>4384</v>
      </c>
      <c r="E1856" cm="1">
        <f t="array" ref="E18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56">
        <f>cukier10[[#This Row],[sprzedany_cukier]]*cukier10[[#This Row],[rabat]]</f>
        <v>5.6000000000000005</v>
      </c>
    </row>
    <row r="1857" spans="1:6" x14ac:dyDescent="0.25">
      <c r="A1857" s="1">
        <v>41766</v>
      </c>
      <c r="B1857" t="s">
        <v>12</v>
      </c>
      <c r="C1857">
        <v>138</v>
      </c>
      <c r="D1857">
        <f>IF(cukier10[[#This Row],[nip_klienta]]=B1856,D1856+cukier10[[#This Row],[sprzedany_cukier]],cukier10[[#This Row],[sprzedany_cukier]])</f>
        <v>4522</v>
      </c>
      <c r="E1857" cm="1">
        <f t="array" ref="E18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57">
        <f>cukier10[[#This Row],[sprzedany_cukier]]*cukier10[[#This Row],[rabat]]</f>
        <v>13.8</v>
      </c>
    </row>
    <row r="1858" spans="1:6" x14ac:dyDescent="0.25">
      <c r="A1858" s="1">
        <v>41790</v>
      </c>
      <c r="B1858" t="s">
        <v>12</v>
      </c>
      <c r="C1858">
        <v>138</v>
      </c>
      <c r="D1858">
        <f>IF(cukier10[[#This Row],[nip_klienta]]=B1857,D1857+cukier10[[#This Row],[sprzedany_cukier]],cukier10[[#This Row],[sprzedany_cukier]])</f>
        <v>4660</v>
      </c>
      <c r="E1858" cm="1">
        <f t="array" ref="E18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58">
        <f>cukier10[[#This Row],[sprzedany_cukier]]*cukier10[[#This Row],[rabat]]</f>
        <v>13.8</v>
      </c>
    </row>
    <row r="1859" spans="1:6" x14ac:dyDescent="0.25">
      <c r="A1859" s="1">
        <v>41809</v>
      </c>
      <c r="B1859" t="s">
        <v>12</v>
      </c>
      <c r="C1859">
        <v>167</v>
      </c>
      <c r="D1859">
        <f>IF(cukier10[[#This Row],[nip_klienta]]=B1858,D1858+cukier10[[#This Row],[sprzedany_cukier]],cukier10[[#This Row],[sprzedany_cukier]])</f>
        <v>4827</v>
      </c>
      <c r="E1859" cm="1">
        <f t="array" ref="E18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59">
        <f>cukier10[[#This Row],[sprzedany_cukier]]*cukier10[[#This Row],[rabat]]</f>
        <v>16.7</v>
      </c>
    </row>
    <row r="1860" spans="1:6" x14ac:dyDescent="0.25">
      <c r="A1860" s="1">
        <v>41810</v>
      </c>
      <c r="B1860" t="s">
        <v>12</v>
      </c>
      <c r="C1860">
        <v>71</v>
      </c>
      <c r="D1860">
        <f>IF(cukier10[[#This Row],[nip_klienta]]=B1859,D1859+cukier10[[#This Row],[sprzedany_cukier]],cukier10[[#This Row],[sprzedany_cukier]])</f>
        <v>4898</v>
      </c>
      <c r="E1860" cm="1">
        <f t="array" ref="E18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60">
        <f>cukier10[[#This Row],[sprzedany_cukier]]*cukier10[[#This Row],[rabat]]</f>
        <v>7.1000000000000005</v>
      </c>
    </row>
    <row r="1861" spans="1:6" x14ac:dyDescent="0.25">
      <c r="A1861" s="1">
        <v>41831</v>
      </c>
      <c r="B1861" t="s">
        <v>12</v>
      </c>
      <c r="C1861">
        <v>73</v>
      </c>
      <c r="D1861">
        <f>IF(cukier10[[#This Row],[nip_klienta]]=B1860,D1860+cukier10[[#This Row],[sprzedany_cukier]],cukier10[[#This Row],[sprzedany_cukier]])</f>
        <v>4971</v>
      </c>
      <c r="E1861" cm="1">
        <f t="array" ref="E18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61">
        <f>cukier10[[#This Row],[sprzedany_cukier]]*cukier10[[#This Row],[rabat]]</f>
        <v>7.3000000000000007</v>
      </c>
    </row>
    <row r="1862" spans="1:6" x14ac:dyDescent="0.25">
      <c r="A1862" s="1">
        <v>41952</v>
      </c>
      <c r="B1862" t="s">
        <v>12</v>
      </c>
      <c r="C1862">
        <v>160</v>
      </c>
      <c r="D1862">
        <f>IF(cukier10[[#This Row],[nip_klienta]]=B1861,D1861+cukier10[[#This Row],[sprzedany_cukier]],cukier10[[#This Row],[sprzedany_cukier]])</f>
        <v>5131</v>
      </c>
      <c r="E1862" cm="1">
        <f t="array" ref="E18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62">
        <f>cukier10[[#This Row],[sprzedany_cukier]]*cukier10[[#This Row],[rabat]]</f>
        <v>16</v>
      </c>
    </row>
    <row r="1863" spans="1:6" x14ac:dyDescent="0.25">
      <c r="A1863" s="1">
        <v>41953</v>
      </c>
      <c r="B1863" t="s">
        <v>12</v>
      </c>
      <c r="C1863">
        <v>183</v>
      </c>
      <c r="D1863">
        <f>IF(cukier10[[#This Row],[nip_klienta]]=B1862,D1862+cukier10[[#This Row],[sprzedany_cukier]],cukier10[[#This Row],[sprzedany_cukier]])</f>
        <v>5314</v>
      </c>
      <c r="E1863" cm="1">
        <f t="array" ref="E18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63">
        <f>cukier10[[#This Row],[sprzedany_cukier]]*cukier10[[#This Row],[rabat]]</f>
        <v>18.3</v>
      </c>
    </row>
    <row r="1864" spans="1:6" x14ac:dyDescent="0.25">
      <c r="A1864" s="1">
        <v>41999</v>
      </c>
      <c r="B1864" t="s">
        <v>12</v>
      </c>
      <c r="C1864">
        <v>178</v>
      </c>
      <c r="D1864">
        <f>IF(cukier10[[#This Row],[nip_klienta]]=B1863,D1863+cukier10[[#This Row],[sprzedany_cukier]],cukier10[[#This Row],[sprzedany_cukier]])</f>
        <v>5492</v>
      </c>
      <c r="E1864" cm="1">
        <f t="array" ref="E18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64">
        <f>cukier10[[#This Row],[sprzedany_cukier]]*cukier10[[#This Row],[rabat]]</f>
        <v>17.8</v>
      </c>
    </row>
    <row r="1865" spans="1:6" x14ac:dyDescent="0.25">
      <c r="A1865" s="1">
        <v>38408</v>
      </c>
      <c r="B1865" t="s">
        <v>20</v>
      </c>
      <c r="C1865">
        <v>58</v>
      </c>
      <c r="D1865">
        <f>IF(cukier10[[#This Row],[nip_klienta]]=B1864,D1864+cukier10[[#This Row],[sprzedany_cukier]],cukier10[[#This Row],[sprzedany_cukier]])</f>
        <v>58</v>
      </c>
      <c r="E1865" cm="1">
        <f t="array" ref="E18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865">
        <f>cukier10[[#This Row],[sprzedany_cukier]]*cukier10[[#This Row],[rabat]]</f>
        <v>0</v>
      </c>
    </row>
    <row r="1866" spans="1:6" x14ac:dyDescent="0.25">
      <c r="A1866" s="1">
        <v>38542</v>
      </c>
      <c r="B1866" t="s">
        <v>20</v>
      </c>
      <c r="C1866">
        <v>142</v>
      </c>
      <c r="D1866">
        <f>IF(cukier10[[#This Row],[nip_klienta]]=B1865,D1865+cukier10[[#This Row],[sprzedany_cukier]],cukier10[[#This Row],[sprzedany_cukier]])</f>
        <v>200</v>
      </c>
      <c r="E1866" cm="1">
        <f t="array" ref="E18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66">
        <f>cukier10[[#This Row],[sprzedany_cukier]]*cukier10[[#This Row],[rabat]]</f>
        <v>7.1000000000000005</v>
      </c>
    </row>
    <row r="1867" spans="1:6" x14ac:dyDescent="0.25">
      <c r="A1867" s="1">
        <v>39776</v>
      </c>
      <c r="B1867" t="s">
        <v>20</v>
      </c>
      <c r="C1867">
        <v>196</v>
      </c>
      <c r="D1867">
        <f>IF(cukier10[[#This Row],[nip_klienta]]=B1866,D1866+cukier10[[#This Row],[sprzedany_cukier]],cukier10[[#This Row],[sprzedany_cukier]])</f>
        <v>396</v>
      </c>
      <c r="E1867" cm="1">
        <f t="array" ref="E18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67">
        <f>cukier10[[#This Row],[sprzedany_cukier]]*cukier10[[#This Row],[rabat]]</f>
        <v>9.8000000000000007</v>
      </c>
    </row>
    <row r="1868" spans="1:6" x14ac:dyDescent="0.25">
      <c r="A1868" s="1">
        <v>39800</v>
      </c>
      <c r="B1868" t="s">
        <v>20</v>
      </c>
      <c r="C1868">
        <v>35</v>
      </c>
      <c r="D1868">
        <f>IF(cukier10[[#This Row],[nip_klienta]]=B1867,D1867+cukier10[[#This Row],[sprzedany_cukier]],cukier10[[#This Row],[sprzedany_cukier]])</f>
        <v>431</v>
      </c>
      <c r="E1868" cm="1">
        <f t="array" ref="E18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68">
        <f>cukier10[[#This Row],[sprzedany_cukier]]*cukier10[[#This Row],[rabat]]</f>
        <v>1.75</v>
      </c>
    </row>
    <row r="1869" spans="1:6" x14ac:dyDescent="0.25">
      <c r="A1869" s="1">
        <v>39889</v>
      </c>
      <c r="B1869" t="s">
        <v>20</v>
      </c>
      <c r="C1869">
        <v>60</v>
      </c>
      <c r="D1869">
        <f>IF(cukier10[[#This Row],[nip_klienta]]=B1868,D1868+cukier10[[#This Row],[sprzedany_cukier]],cukier10[[#This Row],[sprzedany_cukier]])</f>
        <v>491</v>
      </c>
      <c r="E1869" cm="1">
        <f t="array" ref="E18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69">
        <f>cukier10[[#This Row],[sprzedany_cukier]]*cukier10[[#This Row],[rabat]]</f>
        <v>3</v>
      </c>
    </row>
    <row r="1870" spans="1:6" x14ac:dyDescent="0.25">
      <c r="A1870" s="1">
        <v>40071</v>
      </c>
      <c r="B1870" t="s">
        <v>20</v>
      </c>
      <c r="C1870">
        <v>108</v>
      </c>
      <c r="D1870">
        <f>IF(cukier10[[#This Row],[nip_klienta]]=B1869,D1869+cukier10[[#This Row],[sprzedany_cukier]],cukier10[[#This Row],[sprzedany_cukier]])</f>
        <v>599</v>
      </c>
      <c r="E1870" cm="1">
        <f t="array" ref="E18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70">
        <f>cukier10[[#This Row],[sprzedany_cukier]]*cukier10[[#This Row],[rabat]]</f>
        <v>5.4</v>
      </c>
    </row>
    <row r="1871" spans="1:6" x14ac:dyDescent="0.25">
      <c r="A1871" s="1">
        <v>40142</v>
      </c>
      <c r="B1871" t="s">
        <v>20</v>
      </c>
      <c r="C1871">
        <v>115</v>
      </c>
      <c r="D1871">
        <f>IF(cukier10[[#This Row],[nip_klienta]]=B1870,D1870+cukier10[[#This Row],[sprzedany_cukier]],cukier10[[#This Row],[sprzedany_cukier]])</f>
        <v>714</v>
      </c>
      <c r="E1871" cm="1">
        <f t="array" ref="E18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71">
        <f>cukier10[[#This Row],[sprzedany_cukier]]*cukier10[[#This Row],[rabat]]</f>
        <v>5.75</v>
      </c>
    </row>
    <row r="1872" spans="1:6" x14ac:dyDescent="0.25">
      <c r="A1872" s="1">
        <v>40593</v>
      </c>
      <c r="B1872" t="s">
        <v>20</v>
      </c>
      <c r="C1872">
        <v>75</v>
      </c>
      <c r="D1872">
        <f>IF(cukier10[[#This Row],[nip_klienta]]=B1871,D1871+cukier10[[#This Row],[sprzedany_cukier]],cukier10[[#This Row],[sprzedany_cukier]])</f>
        <v>789</v>
      </c>
      <c r="E1872" cm="1">
        <f t="array" ref="E18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72">
        <f>cukier10[[#This Row],[sprzedany_cukier]]*cukier10[[#This Row],[rabat]]</f>
        <v>3.75</v>
      </c>
    </row>
    <row r="1873" spans="1:6" x14ac:dyDescent="0.25">
      <c r="A1873" s="1">
        <v>40999</v>
      </c>
      <c r="B1873" t="s">
        <v>20</v>
      </c>
      <c r="C1873">
        <v>160</v>
      </c>
      <c r="D1873">
        <f>IF(cukier10[[#This Row],[nip_klienta]]=B1872,D1872+cukier10[[#This Row],[sprzedany_cukier]],cukier10[[#This Row],[sprzedany_cukier]])</f>
        <v>949</v>
      </c>
      <c r="E1873" cm="1">
        <f t="array" ref="E18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73">
        <f>cukier10[[#This Row],[sprzedany_cukier]]*cukier10[[#This Row],[rabat]]</f>
        <v>8</v>
      </c>
    </row>
    <row r="1874" spans="1:6" x14ac:dyDescent="0.25">
      <c r="A1874" s="1">
        <v>41043</v>
      </c>
      <c r="B1874" t="s">
        <v>20</v>
      </c>
      <c r="C1874">
        <v>189</v>
      </c>
      <c r="D1874">
        <f>IF(cukier10[[#This Row],[nip_klienta]]=B1873,D1873+cukier10[[#This Row],[sprzedany_cukier]],cukier10[[#This Row],[sprzedany_cukier]])</f>
        <v>1138</v>
      </c>
      <c r="E1874" cm="1">
        <f t="array" ref="E18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74">
        <f>cukier10[[#This Row],[sprzedany_cukier]]*cukier10[[#This Row],[rabat]]</f>
        <v>18.900000000000002</v>
      </c>
    </row>
    <row r="1875" spans="1:6" x14ac:dyDescent="0.25">
      <c r="A1875" s="1">
        <v>41477</v>
      </c>
      <c r="B1875" t="s">
        <v>20</v>
      </c>
      <c r="C1875">
        <v>58</v>
      </c>
      <c r="D1875">
        <f>IF(cukier10[[#This Row],[nip_klienta]]=B1874,D1874+cukier10[[#This Row],[sprzedany_cukier]],cukier10[[#This Row],[sprzedany_cukier]])</f>
        <v>1196</v>
      </c>
      <c r="E1875" cm="1">
        <f t="array" ref="E18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75">
        <f>cukier10[[#This Row],[sprzedany_cukier]]*cukier10[[#This Row],[rabat]]</f>
        <v>5.8000000000000007</v>
      </c>
    </row>
    <row r="1876" spans="1:6" x14ac:dyDescent="0.25">
      <c r="A1876" s="1">
        <v>41559</v>
      </c>
      <c r="B1876" t="s">
        <v>20</v>
      </c>
      <c r="C1876">
        <v>121</v>
      </c>
      <c r="D1876">
        <f>IF(cukier10[[#This Row],[nip_klienta]]=B1875,D1875+cukier10[[#This Row],[sprzedany_cukier]],cukier10[[#This Row],[sprzedany_cukier]])</f>
        <v>1317</v>
      </c>
      <c r="E1876" cm="1">
        <f t="array" ref="E18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76">
        <f>cukier10[[#This Row],[sprzedany_cukier]]*cukier10[[#This Row],[rabat]]</f>
        <v>12.100000000000001</v>
      </c>
    </row>
    <row r="1877" spans="1:6" x14ac:dyDescent="0.25">
      <c r="A1877" s="1">
        <v>41714</v>
      </c>
      <c r="B1877" t="s">
        <v>20</v>
      </c>
      <c r="C1877">
        <v>114</v>
      </c>
      <c r="D1877">
        <f>IF(cukier10[[#This Row],[nip_klienta]]=B1876,D1876+cukier10[[#This Row],[sprzedany_cukier]],cukier10[[#This Row],[sprzedany_cukier]])</f>
        <v>1431</v>
      </c>
      <c r="E1877" cm="1">
        <f t="array" ref="E18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77">
        <f>cukier10[[#This Row],[sprzedany_cukier]]*cukier10[[#This Row],[rabat]]</f>
        <v>11.4</v>
      </c>
    </row>
    <row r="1878" spans="1:6" x14ac:dyDescent="0.25">
      <c r="A1878" s="1">
        <v>41756</v>
      </c>
      <c r="B1878" t="s">
        <v>20</v>
      </c>
      <c r="C1878">
        <v>20</v>
      </c>
      <c r="D1878">
        <f>IF(cukier10[[#This Row],[nip_klienta]]=B1877,D1877+cukier10[[#This Row],[sprzedany_cukier]],cukier10[[#This Row],[sprzedany_cukier]])</f>
        <v>1451</v>
      </c>
      <c r="E1878" cm="1">
        <f t="array" ref="E18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78">
        <f>cukier10[[#This Row],[sprzedany_cukier]]*cukier10[[#This Row],[rabat]]</f>
        <v>2</v>
      </c>
    </row>
    <row r="1879" spans="1:6" x14ac:dyDescent="0.25">
      <c r="A1879" s="1">
        <v>41861</v>
      </c>
      <c r="B1879" t="s">
        <v>20</v>
      </c>
      <c r="C1879">
        <v>154</v>
      </c>
      <c r="D1879">
        <f>IF(cukier10[[#This Row],[nip_klienta]]=B1878,D1878+cukier10[[#This Row],[sprzedany_cukier]],cukier10[[#This Row],[sprzedany_cukier]])</f>
        <v>1605</v>
      </c>
      <c r="E1879" cm="1">
        <f t="array" ref="E18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79">
        <f>cukier10[[#This Row],[sprzedany_cukier]]*cukier10[[#This Row],[rabat]]</f>
        <v>15.4</v>
      </c>
    </row>
    <row r="1880" spans="1:6" x14ac:dyDescent="0.25">
      <c r="A1880" s="1">
        <v>41924</v>
      </c>
      <c r="B1880" t="s">
        <v>20</v>
      </c>
      <c r="C1880">
        <v>69</v>
      </c>
      <c r="D1880">
        <f>IF(cukier10[[#This Row],[nip_klienta]]=B1879,D1879+cukier10[[#This Row],[sprzedany_cukier]],cukier10[[#This Row],[sprzedany_cukier]])</f>
        <v>1674</v>
      </c>
      <c r="E1880" cm="1">
        <f t="array" ref="E18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80">
        <f>cukier10[[#This Row],[sprzedany_cukier]]*cukier10[[#This Row],[rabat]]</f>
        <v>6.9</v>
      </c>
    </row>
    <row r="1881" spans="1:6" x14ac:dyDescent="0.25">
      <c r="A1881" s="1">
        <v>41946</v>
      </c>
      <c r="B1881" t="s">
        <v>20</v>
      </c>
      <c r="C1881">
        <v>52</v>
      </c>
      <c r="D1881">
        <f>IF(cukier10[[#This Row],[nip_klienta]]=B1880,D1880+cukier10[[#This Row],[sprzedany_cukier]],cukier10[[#This Row],[sprzedany_cukier]])</f>
        <v>1726</v>
      </c>
      <c r="E1881" cm="1">
        <f t="array" ref="E18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81">
        <f>cukier10[[#This Row],[sprzedany_cukier]]*cukier10[[#This Row],[rabat]]</f>
        <v>5.2</v>
      </c>
    </row>
    <row r="1882" spans="1:6" x14ac:dyDescent="0.25">
      <c r="A1882" s="1">
        <v>41972</v>
      </c>
      <c r="B1882" t="s">
        <v>20</v>
      </c>
      <c r="C1882">
        <v>96</v>
      </c>
      <c r="D1882">
        <f>IF(cukier10[[#This Row],[nip_klienta]]=B1881,D1881+cukier10[[#This Row],[sprzedany_cukier]],cukier10[[#This Row],[sprzedany_cukier]])</f>
        <v>1822</v>
      </c>
      <c r="E1882" cm="1">
        <f t="array" ref="E18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82">
        <f>cukier10[[#This Row],[sprzedany_cukier]]*cukier10[[#This Row],[rabat]]</f>
        <v>9.6000000000000014</v>
      </c>
    </row>
    <row r="1883" spans="1:6" x14ac:dyDescent="0.25">
      <c r="A1883" s="1">
        <v>38457</v>
      </c>
      <c r="B1883" t="s">
        <v>37</v>
      </c>
      <c r="C1883">
        <v>174</v>
      </c>
      <c r="D1883">
        <f>IF(cukier10[[#This Row],[nip_klienta]]=B1882,D1882+cukier10[[#This Row],[sprzedany_cukier]],cukier10[[#This Row],[sprzedany_cukier]])</f>
        <v>174</v>
      </c>
      <c r="E1883" cm="1">
        <f t="array" ref="E18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83">
        <f>cukier10[[#This Row],[sprzedany_cukier]]*cukier10[[#This Row],[rabat]]</f>
        <v>8.7000000000000011</v>
      </c>
    </row>
    <row r="1884" spans="1:6" x14ac:dyDescent="0.25">
      <c r="A1884" s="1">
        <v>38571</v>
      </c>
      <c r="B1884" t="s">
        <v>37</v>
      </c>
      <c r="C1884">
        <v>35</v>
      </c>
      <c r="D1884">
        <f>IF(cukier10[[#This Row],[nip_klienta]]=B1883,D1883+cukier10[[#This Row],[sprzedany_cukier]],cukier10[[#This Row],[sprzedany_cukier]])</f>
        <v>209</v>
      </c>
      <c r="E1884" cm="1">
        <f t="array" ref="E18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84">
        <f>cukier10[[#This Row],[sprzedany_cukier]]*cukier10[[#This Row],[rabat]]</f>
        <v>1.75</v>
      </c>
    </row>
    <row r="1885" spans="1:6" x14ac:dyDescent="0.25">
      <c r="A1885" s="1">
        <v>38653</v>
      </c>
      <c r="B1885" t="s">
        <v>37</v>
      </c>
      <c r="C1885">
        <v>165</v>
      </c>
      <c r="D1885">
        <f>IF(cukier10[[#This Row],[nip_klienta]]=B1884,D1884+cukier10[[#This Row],[sprzedany_cukier]],cukier10[[#This Row],[sprzedany_cukier]])</f>
        <v>374</v>
      </c>
      <c r="E1885" cm="1">
        <f t="array" ref="E18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85">
        <f>cukier10[[#This Row],[sprzedany_cukier]]*cukier10[[#This Row],[rabat]]</f>
        <v>8.25</v>
      </c>
    </row>
    <row r="1886" spans="1:6" x14ac:dyDescent="0.25">
      <c r="A1886" s="1">
        <v>38708</v>
      </c>
      <c r="B1886" t="s">
        <v>37</v>
      </c>
      <c r="C1886">
        <v>187</v>
      </c>
      <c r="D1886">
        <f>IF(cukier10[[#This Row],[nip_klienta]]=B1885,D1885+cukier10[[#This Row],[sprzedany_cukier]],cukier10[[#This Row],[sprzedany_cukier]])</f>
        <v>561</v>
      </c>
      <c r="E1886" cm="1">
        <f t="array" ref="E18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86">
        <f>cukier10[[#This Row],[sprzedany_cukier]]*cukier10[[#This Row],[rabat]]</f>
        <v>9.35</v>
      </c>
    </row>
    <row r="1887" spans="1:6" x14ac:dyDescent="0.25">
      <c r="A1887" s="1">
        <v>38860</v>
      </c>
      <c r="B1887" t="s">
        <v>37</v>
      </c>
      <c r="C1887">
        <v>166</v>
      </c>
      <c r="D1887">
        <f>IF(cukier10[[#This Row],[nip_klienta]]=B1886,D1886+cukier10[[#This Row],[sprzedany_cukier]],cukier10[[#This Row],[sprzedany_cukier]])</f>
        <v>727</v>
      </c>
      <c r="E1887" cm="1">
        <f t="array" ref="E18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87">
        <f>cukier10[[#This Row],[sprzedany_cukier]]*cukier10[[#This Row],[rabat]]</f>
        <v>8.3000000000000007</v>
      </c>
    </row>
    <row r="1888" spans="1:6" x14ac:dyDescent="0.25">
      <c r="A1888" s="1">
        <v>38991</v>
      </c>
      <c r="B1888" t="s">
        <v>37</v>
      </c>
      <c r="C1888">
        <v>170</v>
      </c>
      <c r="D1888">
        <f>IF(cukier10[[#This Row],[nip_klienta]]=B1887,D1887+cukier10[[#This Row],[sprzedany_cukier]],cukier10[[#This Row],[sprzedany_cukier]])</f>
        <v>897</v>
      </c>
      <c r="E1888" cm="1">
        <f t="array" ref="E18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88">
        <f>cukier10[[#This Row],[sprzedany_cukier]]*cukier10[[#This Row],[rabat]]</f>
        <v>8.5</v>
      </c>
    </row>
    <row r="1889" spans="1:6" x14ac:dyDescent="0.25">
      <c r="A1889" s="1">
        <v>39040</v>
      </c>
      <c r="B1889" t="s">
        <v>37</v>
      </c>
      <c r="C1889">
        <v>62</v>
      </c>
      <c r="D1889">
        <f>IF(cukier10[[#This Row],[nip_klienta]]=B1888,D1888+cukier10[[#This Row],[sprzedany_cukier]],cukier10[[#This Row],[sprzedany_cukier]])</f>
        <v>959</v>
      </c>
      <c r="E1889" cm="1">
        <f t="array" ref="E18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889">
        <f>cukier10[[#This Row],[sprzedany_cukier]]*cukier10[[#This Row],[rabat]]</f>
        <v>3.1</v>
      </c>
    </row>
    <row r="1890" spans="1:6" x14ac:dyDescent="0.25">
      <c r="A1890" s="1">
        <v>39289</v>
      </c>
      <c r="B1890" t="s">
        <v>37</v>
      </c>
      <c r="C1890">
        <v>187</v>
      </c>
      <c r="D1890">
        <f>IF(cukier10[[#This Row],[nip_klienta]]=B1889,D1889+cukier10[[#This Row],[sprzedany_cukier]],cukier10[[#This Row],[sprzedany_cukier]])</f>
        <v>1146</v>
      </c>
      <c r="E1890" cm="1">
        <f t="array" ref="E18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90">
        <f>cukier10[[#This Row],[sprzedany_cukier]]*cukier10[[#This Row],[rabat]]</f>
        <v>18.7</v>
      </c>
    </row>
    <row r="1891" spans="1:6" x14ac:dyDescent="0.25">
      <c r="A1891" s="1">
        <v>39314</v>
      </c>
      <c r="B1891" t="s">
        <v>37</v>
      </c>
      <c r="C1891">
        <v>59</v>
      </c>
      <c r="D1891">
        <f>IF(cukier10[[#This Row],[nip_klienta]]=B1890,D1890+cukier10[[#This Row],[sprzedany_cukier]],cukier10[[#This Row],[sprzedany_cukier]])</f>
        <v>1205</v>
      </c>
      <c r="E1891" cm="1">
        <f t="array" ref="E18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91">
        <f>cukier10[[#This Row],[sprzedany_cukier]]*cukier10[[#This Row],[rabat]]</f>
        <v>5.9</v>
      </c>
    </row>
    <row r="1892" spans="1:6" x14ac:dyDescent="0.25">
      <c r="A1892" s="1">
        <v>39350</v>
      </c>
      <c r="B1892" t="s">
        <v>37</v>
      </c>
      <c r="C1892">
        <v>33</v>
      </c>
      <c r="D1892">
        <f>IF(cukier10[[#This Row],[nip_klienta]]=B1891,D1891+cukier10[[#This Row],[sprzedany_cukier]],cukier10[[#This Row],[sprzedany_cukier]])</f>
        <v>1238</v>
      </c>
      <c r="E1892" cm="1">
        <f t="array" ref="E18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92">
        <f>cukier10[[#This Row],[sprzedany_cukier]]*cukier10[[#This Row],[rabat]]</f>
        <v>3.3000000000000003</v>
      </c>
    </row>
    <row r="1893" spans="1:6" x14ac:dyDescent="0.25">
      <c r="A1893" s="1">
        <v>39386</v>
      </c>
      <c r="B1893" t="s">
        <v>37</v>
      </c>
      <c r="C1893">
        <v>65</v>
      </c>
      <c r="D1893">
        <f>IF(cukier10[[#This Row],[nip_klienta]]=B1892,D1892+cukier10[[#This Row],[sprzedany_cukier]],cukier10[[#This Row],[sprzedany_cukier]])</f>
        <v>1303</v>
      </c>
      <c r="E1893" cm="1">
        <f t="array" ref="E18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93">
        <f>cukier10[[#This Row],[sprzedany_cukier]]*cukier10[[#This Row],[rabat]]</f>
        <v>6.5</v>
      </c>
    </row>
    <row r="1894" spans="1:6" x14ac:dyDescent="0.25">
      <c r="A1894" s="1">
        <v>39414</v>
      </c>
      <c r="B1894" t="s">
        <v>37</v>
      </c>
      <c r="C1894">
        <v>85</v>
      </c>
      <c r="D1894">
        <f>IF(cukier10[[#This Row],[nip_klienta]]=B1893,D1893+cukier10[[#This Row],[sprzedany_cukier]],cukier10[[#This Row],[sprzedany_cukier]])</f>
        <v>1388</v>
      </c>
      <c r="E1894" cm="1">
        <f t="array" ref="E18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94">
        <f>cukier10[[#This Row],[sprzedany_cukier]]*cukier10[[#This Row],[rabat]]</f>
        <v>8.5</v>
      </c>
    </row>
    <row r="1895" spans="1:6" x14ac:dyDescent="0.25">
      <c r="A1895" s="1">
        <v>39470</v>
      </c>
      <c r="B1895" t="s">
        <v>37</v>
      </c>
      <c r="C1895">
        <v>132</v>
      </c>
      <c r="D1895">
        <f>IF(cukier10[[#This Row],[nip_klienta]]=B1894,D1894+cukier10[[#This Row],[sprzedany_cukier]],cukier10[[#This Row],[sprzedany_cukier]])</f>
        <v>1520</v>
      </c>
      <c r="E1895" cm="1">
        <f t="array" ref="E18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95">
        <f>cukier10[[#This Row],[sprzedany_cukier]]*cukier10[[#This Row],[rabat]]</f>
        <v>13.200000000000001</v>
      </c>
    </row>
    <row r="1896" spans="1:6" x14ac:dyDescent="0.25">
      <c r="A1896" s="1">
        <v>39609</v>
      </c>
      <c r="B1896" t="s">
        <v>37</v>
      </c>
      <c r="C1896">
        <v>32</v>
      </c>
      <c r="D1896">
        <f>IF(cukier10[[#This Row],[nip_klienta]]=B1895,D1895+cukier10[[#This Row],[sprzedany_cukier]],cukier10[[#This Row],[sprzedany_cukier]])</f>
        <v>1552</v>
      </c>
      <c r="E1896" cm="1">
        <f t="array" ref="E18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96">
        <f>cukier10[[#This Row],[sprzedany_cukier]]*cukier10[[#This Row],[rabat]]</f>
        <v>3.2</v>
      </c>
    </row>
    <row r="1897" spans="1:6" x14ac:dyDescent="0.25">
      <c r="A1897" s="1">
        <v>39697</v>
      </c>
      <c r="B1897" t="s">
        <v>37</v>
      </c>
      <c r="C1897">
        <v>150</v>
      </c>
      <c r="D1897">
        <f>IF(cukier10[[#This Row],[nip_klienta]]=B1896,D1896+cukier10[[#This Row],[sprzedany_cukier]],cukier10[[#This Row],[sprzedany_cukier]])</f>
        <v>1702</v>
      </c>
      <c r="E1897" cm="1">
        <f t="array" ref="E18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97">
        <f>cukier10[[#This Row],[sprzedany_cukier]]*cukier10[[#This Row],[rabat]]</f>
        <v>15</v>
      </c>
    </row>
    <row r="1898" spans="1:6" x14ac:dyDescent="0.25">
      <c r="A1898" s="1">
        <v>39815</v>
      </c>
      <c r="B1898" t="s">
        <v>37</v>
      </c>
      <c r="C1898">
        <v>188</v>
      </c>
      <c r="D1898">
        <f>IF(cukier10[[#This Row],[nip_klienta]]=B1897,D1897+cukier10[[#This Row],[sprzedany_cukier]],cukier10[[#This Row],[sprzedany_cukier]])</f>
        <v>1890</v>
      </c>
      <c r="E1898" cm="1">
        <f t="array" ref="E18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98">
        <f>cukier10[[#This Row],[sprzedany_cukier]]*cukier10[[#This Row],[rabat]]</f>
        <v>18.8</v>
      </c>
    </row>
    <row r="1899" spans="1:6" x14ac:dyDescent="0.25">
      <c r="A1899" s="1">
        <v>39906</v>
      </c>
      <c r="B1899" t="s">
        <v>37</v>
      </c>
      <c r="C1899">
        <v>153</v>
      </c>
      <c r="D1899">
        <f>IF(cukier10[[#This Row],[nip_klienta]]=B1898,D1898+cukier10[[#This Row],[sprzedany_cukier]],cukier10[[#This Row],[sprzedany_cukier]])</f>
        <v>2043</v>
      </c>
      <c r="E1899" cm="1">
        <f t="array" ref="E18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899">
        <f>cukier10[[#This Row],[sprzedany_cukier]]*cukier10[[#This Row],[rabat]]</f>
        <v>15.3</v>
      </c>
    </row>
    <row r="1900" spans="1:6" x14ac:dyDescent="0.25">
      <c r="A1900" s="1">
        <v>39933</v>
      </c>
      <c r="B1900" t="s">
        <v>37</v>
      </c>
      <c r="C1900">
        <v>105</v>
      </c>
      <c r="D1900">
        <f>IF(cukier10[[#This Row],[nip_klienta]]=B1899,D1899+cukier10[[#This Row],[sprzedany_cukier]],cukier10[[#This Row],[sprzedany_cukier]])</f>
        <v>2148</v>
      </c>
      <c r="E1900" cm="1">
        <f t="array" ref="E19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00">
        <f>cukier10[[#This Row],[sprzedany_cukier]]*cukier10[[#This Row],[rabat]]</f>
        <v>10.5</v>
      </c>
    </row>
    <row r="1901" spans="1:6" x14ac:dyDescent="0.25">
      <c r="A1901" s="1">
        <v>39959</v>
      </c>
      <c r="B1901" t="s">
        <v>37</v>
      </c>
      <c r="C1901">
        <v>36</v>
      </c>
      <c r="D1901">
        <f>IF(cukier10[[#This Row],[nip_klienta]]=B1900,D1900+cukier10[[#This Row],[sprzedany_cukier]],cukier10[[#This Row],[sprzedany_cukier]])</f>
        <v>2184</v>
      </c>
      <c r="E1901" cm="1">
        <f t="array" ref="E19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01">
        <f>cukier10[[#This Row],[sprzedany_cukier]]*cukier10[[#This Row],[rabat]]</f>
        <v>3.6</v>
      </c>
    </row>
    <row r="1902" spans="1:6" x14ac:dyDescent="0.25">
      <c r="A1902" s="1">
        <v>40027</v>
      </c>
      <c r="B1902" t="s">
        <v>37</v>
      </c>
      <c r="C1902">
        <v>194</v>
      </c>
      <c r="D1902">
        <f>IF(cukier10[[#This Row],[nip_klienta]]=B1901,D1901+cukier10[[#This Row],[sprzedany_cukier]],cukier10[[#This Row],[sprzedany_cukier]])</f>
        <v>2378</v>
      </c>
      <c r="E1902" cm="1">
        <f t="array" ref="E19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02">
        <f>cukier10[[#This Row],[sprzedany_cukier]]*cukier10[[#This Row],[rabat]]</f>
        <v>19.400000000000002</v>
      </c>
    </row>
    <row r="1903" spans="1:6" x14ac:dyDescent="0.25">
      <c r="A1903" s="1">
        <v>40077</v>
      </c>
      <c r="B1903" t="s">
        <v>37</v>
      </c>
      <c r="C1903">
        <v>41</v>
      </c>
      <c r="D1903">
        <f>IF(cukier10[[#This Row],[nip_klienta]]=B1902,D1902+cukier10[[#This Row],[sprzedany_cukier]],cukier10[[#This Row],[sprzedany_cukier]])</f>
        <v>2419</v>
      </c>
      <c r="E1903" cm="1">
        <f t="array" ref="E19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03">
        <f>cukier10[[#This Row],[sprzedany_cukier]]*cukier10[[#This Row],[rabat]]</f>
        <v>4.1000000000000005</v>
      </c>
    </row>
    <row r="1904" spans="1:6" x14ac:dyDescent="0.25">
      <c r="A1904" s="1">
        <v>40142</v>
      </c>
      <c r="B1904" t="s">
        <v>37</v>
      </c>
      <c r="C1904">
        <v>29</v>
      </c>
      <c r="D1904">
        <f>IF(cukier10[[#This Row],[nip_klienta]]=B1903,D1903+cukier10[[#This Row],[sprzedany_cukier]],cukier10[[#This Row],[sprzedany_cukier]])</f>
        <v>2448</v>
      </c>
      <c r="E1904" cm="1">
        <f t="array" ref="E19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04">
        <f>cukier10[[#This Row],[sprzedany_cukier]]*cukier10[[#This Row],[rabat]]</f>
        <v>2.9000000000000004</v>
      </c>
    </row>
    <row r="1905" spans="1:6" x14ac:dyDescent="0.25">
      <c r="A1905" s="1">
        <v>40200</v>
      </c>
      <c r="B1905" t="s">
        <v>37</v>
      </c>
      <c r="C1905">
        <v>138</v>
      </c>
      <c r="D1905">
        <f>IF(cukier10[[#This Row],[nip_klienta]]=B1904,D1904+cukier10[[#This Row],[sprzedany_cukier]],cukier10[[#This Row],[sprzedany_cukier]])</f>
        <v>2586</v>
      </c>
      <c r="E1905" cm="1">
        <f t="array" ref="E19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05">
        <f>cukier10[[#This Row],[sprzedany_cukier]]*cukier10[[#This Row],[rabat]]</f>
        <v>13.8</v>
      </c>
    </row>
    <row r="1906" spans="1:6" x14ac:dyDescent="0.25">
      <c r="A1906" s="1">
        <v>40274</v>
      </c>
      <c r="B1906" t="s">
        <v>37</v>
      </c>
      <c r="C1906">
        <v>172</v>
      </c>
      <c r="D1906">
        <f>IF(cukier10[[#This Row],[nip_klienta]]=B1905,D1905+cukier10[[#This Row],[sprzedany_cukier]],cukier10[[#This Row],[sprzedany_cukier]])</f>
        <v>2758</v>
      </c>
      <c r="E1906" cm="1">
        <f t="array" ref="E19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06">
        <f>cukier10[[#This Row],[sprzedany_cukier]]*cukier10[[#This Row],[rabat]]</f>
        <v>17.2</v>
      </c>
    </row>
    <row r="1907" spans="1:6" x14ac:dyDescent="0.25">
      <c r="A1907" s="1">
        <v>40289</v>
      </c>
      <c r="B1907" t="s">
        <v>37</v>
      </c>
      <c r="C1907">
        <v>66</v>
      </c>
      <c r="D1907">
        <f>IF(cukier10[[#This Row],[nip_klienta]]=B1906,D1906+cukier10[[#This Row],[sprzedany_cukier]],cukier10[[#This Row],[sprzedany_cukier]])</f>
        <v>2824</v>
      </c>
      <c r="E1907" cm="1">
        <f t="array" ref="E19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07">
        <f>cukier10[[#This Row],[sprzedany_cukier]]*cukier10[[#This Row],[rabat]]</f>
        <v>6.6000000000000005</v>
      </c>
    </row>
    <row r="1908" spans="1:6" x14ac:dyDescent="0.25">
      <c r="A1908" s="1">
        <v>40374</v>
      </c>
      <c r="B1908" t="s">
        <v>37</v>
      </c>
      <c r="C1908">
        <v>107</v>
      </c>
      <c r="D1908">
        <f>IF(cukier10[[#This Row],[nip_klienta]]=B1907,D1907+cukier10[[#This Row],[sprzedany_cukier]],cukier10[[#This Row],[sprzedany_cukier]])</f>
        <v>2931</v>
      </c>
      <c r="E1908" cm="1">
        <f t="array" ref="E19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08">
        <f>cukier10[[#This Row],[sprzedany_cukier]]*cukier10[[#This Row],[rabat]]</f>
        <v>10.700000000000001</v>
      </c>
    </row>
    <row r="1909" spans="1:6" x14ac:dyDescent="0.25">
      <c r="A1909" s="1">
        <v>40386</v>
      </c>
      <c r="B1909" t="s">
        <v>37</v>
      </c>
      <c r="C1909">
        <v>117</v>
      </c>
      <c r="D1909">
        <f>IF(cukier10[[#This Row],[nip_klienta]]=B1908,D1908+cukier10[[#This Row],[sprzedany_cukier]],cukier10[[#This Row],[sprzedany_cukier]])</f>
        <v>3048</v>
      </c>
      <c r="E1909" cm="1">
        <f t="array" ref="E19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09">
        <f>cukier10[[#This Row],[sprzedany_cukier]]*cukier10[[#This Row],[rabat]]</f>
        <v>11.700000000000001</v>
      </c>
    </row>
    <row r="1910" spans="1:6" x14ac:dyDescent="0.25">
      <c r="A1910" s="1">
        <v>40505</v>
      </c>
      <c r="B1910" t="s">
        <v>37</v>
      </c>
      <c r="C1910">
        <v>123</v>
      </c>
      <c r="D1910">
        <f>IF(cukier10[[#This Row],[nip_klienta]]=B1909,D1909+cukier10[[#This Row],[sprzedany_cukier]],cukier10[[#This Row],[sprzedany_cukier]])</f>
        <v>3171</v>
      </c>
      <c r="E1910" cm="1">
        <f t="array" ref="E19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10">
        <f>cukier10[[#This Row],[sprzedany_cukier]]*cukier10[[#This Row],[rabat]]</f>
        <v>12.3</v>
      </c>
    </row>
    <row r="1911" spans="1:6" x14ac:dyDescent="0.25">
      <c r="A1911" s="1">
        <v>40740</v>
      </c>
      <c r="B1911" t="s">
        <v>37</v>
      </c>
      <c r="C1911">
        <v>66</v>
      </c>
      <c r="D1911">
        <f>IF(cukier10[[#This Row],[nip_klienta]]=B1910,D1910+cukier10[[#This Row],[sprzedany_cukier]],cukier10[[#This Row],[sprzedany_cukier]])</f>
        <v>3237</v>
      </c>
      <c r="E1911" cm="1">
        <f t="array" ref="E19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11">
        <f>cukier10[[#This Row],[sprzedany_cukier]]*cukier10[[#This Row],[rabat]]</f>
        <v>6.6000000000000005</v>
      </c>
    </row>
    <row r="1912" spans="1:6" x14ac:dyDescent="0.25">
      <c r="A1912" s="1">
        <v>40766</v>
      </c>
      <c r="B1912" t="s">
        <v>37</v>
      </c>
      <c r="C1912">
        <v>111</v>
      </c>
      <c r="D1912">
        <f>IF(cukier10[[#This Row],[nip_klienta]]=B1911,D1911+cukier10[[#This Row],[sprzedany_cukier]],cukier10[[#This Row],[sprzedany_cukier]])</f>
        <v>3348</v>
      </c>
      <c r="E1912" cm="1">
        <f t="array" ref="E19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12">
        <f>cukier10[[#This Row],[sprzedany_cukier]]*cukier10[[#This Row],[rabat]]</f>
        <v>11.100000000000001</v>
      </c>
    </row>
    <row r="1913" spans="1:6" x14ac:dyDescent="0.25">
      <c r="A1913" s="1">
        <v>40777</v>
      </c>
      <c r="B1913" t="s">
        <v>37</v>
      </c>
      <c r="C1913">
        <v>73</v>
      </c>
      <c r="D1913">
        <f>IF(cukier10[[#This Row],[nip_klienta]]=B1912,D1912+cukier10[[#This Row],[sprzedany_cukier]],cukier10[[#This Row],[sprzedany_cukier]])</f>
        <v>3421</v>
      </c>
      <c r="E1913" cm="1">
        <f t="array" ref="E19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13">
        <f>cukier10[[#This Row],[sprzedany_cukier]]*cukier10[[#This Row],[rabat]]</f>
        <v>7.3000000000000007</v>
      </c>
    </row>
    <row r="1914" spans="1:6" x14ac:dyDescent="0.25">
      <c r="A1914" s="1">
        <v>40933</v>
      </c>
      <c r="B1914" t="s">
        <v>37</v>
      </c>
      <c r="C1914">
        <v>112</v>
      </c>
      <c r="D1914">
        <f>IF(cukier10[[#This Row],[nip_klienta]]=B1913,D1913+cukier10[[#This Row],[sprzedany_cukier]],cukier10[[#This Row],[sprzedany_cukier]])</f>
        <v>3533</v>
      </c>
      <c r="E1914" cm="1">
        <f t="array" ref="E19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14">
        <f>cukier10[[#This Row],[sprzedany_cukier]]*cukier10[[#This Row],[rabat]]</f>
        <v>11.200000000000001</v>
      </c>
    </row>
    <row r="1915" spans="1:6" x14ac:dyDescent="0.25">
      <c r="A1915" s="1">
        <v>40984</v>
      </c>
      <c r="B1915" t="s">
        <v>37</v>
      </c>
      <c r="C1915">
        <v>140</v>
      </c>
      <c r="D1915">
        <f>IF(cukier10[[#This Row],[nip_klienta]]=B1914,D1914+cukier10[[#This Row],[sprzedany_cukier]],cukier10[[#This Row],[sprzedany_cukier]])</f>
        <v>3673</v>
      </c>
      <c r="E1915" cm="1">
        <f t="array" ref="E19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15">
        <f>cukier10[[#This Row],[sprzedany_cukier]]*cukier10[[#This Row],[rabat]]</f>
        <v>14</v>
      </c>
    </row>
    <row r="1916" spans="1:6" x14ac:dyDescent="0.25">
      <c r="A1916" s="1">
        <v>41074</v>
      </c>
      <c r="B1916" t="s">
        <v>37</v>
      </c>
      <c r="C1916">
        <v>184</v>
      </c>
      <c r="D1916">
        <f>IF(cukier10[[#This Row],[nip_klienta]]=B1915,D1915+cukier10[[#This Row],[sprzedany_cukier]],cukier10[[#This Row],[sprzedany_cukier]])</f>
        <v>3857</v>
      </c>
      <c r="E1916" cm="1">
        <f t="array" ref="E19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16">
        <f>cukier10[[#This Row],[sprzedany_cukier]]*cukier10[[#This Row],[rabat]]</f>
        <v>18.400000000000002</v>
      </c>
    </row>
    <row r="1917" spans="1:6" x14ac:dyDescent="0.25">
      <c r="A1917" s="1">
        <v>41079</v>
      </c>
      <c r="B1917" t="s">
        <v>37</v>
      </c>
      <c r="C1917">
        <v>162</v>
      </c>
      <c r="D1917">
        <f>IF(cukier10[[#This Row],[nip_klienta]]=B1916,D1916+cukier10[[#This Row],[sprzedany_cukier]],cukier10[[#This Row],[sprzedany_cukier]])</f>
        <v>4019</v>
      </c>
      <c r="E1917" cm="1">
        <f t="array" ref="E19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17">
        <f>cukier10[[#This Row],[sprzedany_cukier]]*cukier10[[#This Row],[rabat]]</f>
        <v>16.2</v>
      </c>
    </row>
    <row r="1918" spans="1:6" x14ac:dyDescent="0.25">
      <c r="A1918" s="1">
        <v>41206</v>
      </c>
      <c r="B1918" t="s">
        <v>37</v>
      </c>
      <c r="C1918">
        <v>110</v>
      </c>
      <c r="D1918">
        <f>IF(cukier10[[#This Row],[nip_klienta]]=B1917,D1917+cukier10[[#This Row],[sprzedany_cukier]],cukier10[[#This Row],[sprzedany_cukier]])</f>
        <v>4129</v>
      </c>
      <c r="E1918" cm="1">
        <f t="array" ref="E19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18">
        <f>cukier10[[#This Row],[sprzedany_cukier]]*cukier10[[#This Row],[rabat]]</f>
        <v>11</v>
      </c>
    </row>
    <row r="1919" spans="1:6" x14ac:dyDescent="0.25">
      <c r="A1919" s="1">
        <v>41215</v>
      </c>
      <c r="B1919" t="s">
        <v>37</v>
      </c>
      <c r="C1919">
        <v>159</v>
      </c>
      <c r="D1919">
        <f>IF(cukier10[[#This Row],[nip_klienta]]=B1918,D1918+cukier10[[#This Row],[sprzedany_cukier]],cukier10[[#This Row],[sprzedany_cukier]])</f>
        <v>4288</v>
      </c>
      <c r="E1919" cm="1">
        <f t="array" ref="E19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19">
        <f>cukier10[[#This Row],[sprzedany_cukier]]*cukier10[[#This Row],[rabat]]</f>
        <v>15.9</v>
      </c>
    </row>
    <row r="1920" spans="1:6" x14ac:dyDescent="0.25">
      <c r="A1920" s="1">
        <v>41471</v>
      </c>
      <c r="B1920" t="s">
        <v>37</v>
      </c>
      <c r="C1920">
        <v>20</v>
      </c>
      <c r="D1920">
        <f>IF(cukier10[[#This Row],[nip_klienta]]=B1919,D1919+cukier10[[#This Row],[sprzedany_cukier]],cukier10[[#This Row],[sprzedany_cukier]])</f>
        <v>4308</v>
      </c>
      <c r="E1920" cm="1">
        <f t="array" ref="E19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20">
        <f>cukier10[[#This Row],[sprzedany_cukier]]*cukier10[[#This Row],[rabat]]</f>
        <v>2</v>
      </c>
    </row>
    <row r="1921" spans="1:6" x14ac:dyDescent="0.25">
      <c r="A1921" s="1">
        <v>41493</v>
      </c>
      <c r="B1921" t="s">
        <v>37</v>
      </c>
      <c r="C1921">
        <v>108</v>
      </c>
      <c r="D1921">
        <f>IF(cukier10[[#This Row],[nip_klienta]]=B1920,D1920+cukier10[[#This Row],[sprzedany_cukier]],cukier10[[#This Row],[sprzedany_cukier]])</f>
        <v>4416</v>
      </c>
      <c r="E1921" cm="1">
        <f t="array" ref="E19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21">
        <f>cukier10[[#This Row],[sprzedany_cukier]]*cukier10[[#This Row],[rabat]]</f>
        <v>10.8</v>
      </c>
    </row>
    <row r="1922" spans="1:6" x14ac:dyDescent="0.25">
      <c r="A1922" s="1">
        <v>41525</v>
      </c>
      <c r="B1922" t="s">
        <v>37</v>
      </c>
      <c r="C1922">
        <v>96</v>
      </c>
      <c r="D1922">
        <f>IF(cukier10[[#This Row],[nip_klienta]]=B1921,D1921+cukier10[[#This Row],[sprzedany_cukier]],cukier10[[#This Row],[sprzedany_cukier]])</f>
        <v>4512</v>
      </c>
      <c r="E1922" cm="1">
        <f t="array" ref="E19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22">
        <f>cukier10[[#This Row],[sprzedany_cukier]]*cukier10[[#This Row],[rabat]]</f>
        <v>9.6000000000000014</v>
      </c>
    </row>
    <row r="1923" spans="1:6" x14ac:dyDescent="0.25">
      <c r="A1923" s="1">
        <v>41668</v>
      </c>
      <c r="B1923" t="s">
        <v>37</v>
      </c>
      <c r="C1923">
        <v>175</v>
      </c>
      <c r="D1923">
        <f>IF(cukier10[[#This Row],[nip_klienta]]=B1922,D1922+cukier10[[#This Row],[sprzedany_cukier]],cukier10[[#This Row],[sprzedany_cukier]])</f>
        <v>4687</v>
      </c>
      <c r="E1923" cm="1">
        <f t="array" ref="E19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23">
        <f>cukier10[[#This Row],[sprzedany_cukier]]*cukier10[[#This Row],[rabat]]</f>
        <v>17.5</v>
      </c>
    </row>
    <row r="1924" spans="1:6" x14ac:dyDescent="0.25">
      <c r="A1924" s="1">
        <v>41767</v>
      </c>
      <c r="B1924" t="s">
        <v>37</v>
      </c>
      <c r="C1924">
        <v>155</v>
      </c>
      <c r="D1924">
        <f>IF(cukier10[[#This Row],[nip_klienta]]=B1923,D1923+cukier10[[#This Row],[sprzedany_cukier]],cukier10[[#This Row],[sprzedany_cukier]])</f>
        <v>4842</v>
      </c>
      <c r="E1924" cm="1">
        <f t="array" ref="E19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24">
        <f>cukier10[[#This Row],[sprzedany_cukier]]*cukier10[[#This Row],[rabat]]</f>
        <v>15.5</v>
      </c>
    </row>
    <row r="1925" spans="1:6" x14ac:dyDescent="0.25">
      <c r="A1925" s="1">
        <v>41807</v>
      </c>
      <c r="B1925" t="s">
        <v>37</v>
      </c>
      <c r="C1925">
        <v>27</v>
      </c>
      <c r="D1925">
        <f>IF(cukier10[[#This Row],[nip_klienta]]=B1924,D1924+cukier10[[#This Row],[sprzedany_cukier]],cukier10[[#This Row],[sprzedany_cukier]])</f>
        <v>4869</v>
      </c>
      <c r="E1925" cm="1">
        <f t="array" ref="E19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25">
        <f>cukier10[[#This Row],[sprzedany_cukier]]*cukier10[[#This Row],[rabat]]</f>
        <v>2.7</v>
      </c>
    </row>
    <row r="1926" spans="1:6" x14ac:dyDescent="0.25">
      <c r="A1926" s="1">
        <v>41838</v>
      </c>
      <c r="B1926" t="s">
        <v>37</v>
      </c>
      <c r="C1926">
        <v>92</v>
      </c>
      <c r="D1926">
        <f>IF(cukier10[[#This Row],[nip_klienta]]=B1925,D1925+cukier10[[#This Row],[sprzedany_cukier]],cukier10[[#This Row],[sprzedany_cukier]])</f>
        <v>4961</v>
      </c>
      <c r="E1926" cm="1">
        <f t="array" ref="E19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26">
        <f>cukier10[[#This Row],[sprzedany_cukier]]*cukier10[[#This Row],[rabat]]</f>
        <v>9.2000000000000011</v>
      </c>
    </row>
    <row r="1927" spans="1:6" x14ac:dyDescent="0.25">
      <c r="A1927" s="1">
        <v>41852</v>
      </c>
      <c r="B1927" t="s">
        <v>37</v>
      </c>
      <c r="C1927">
        <v>178</v>
      </c>
      <c r="D1927">
        <f>IF(cukier10[[#This Row],[nip_klienta]]=B1926,D1926+cukier10[[#This Row],[sprzedany_cukier]],cukier10[[#This Row],[sprzedany_cukier]])</f>
        <v>5139</v>
      </c>
      <c r="E1927" cm="1">
        <f t="array" ref="E19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27">
        <f>cukier10[[#This Row],[sprzedany_cukier]]*cukier10[[#This Row],[rabat]]</f>
        <v>17.8</v>
      </c>
    </row>
    <row r="1928" spans="1:6" x14ac:dyDescent="0.25">
      <c r="A1928" s="1">
        <v>41982</v>
      </c>
      <c r="B1928" t="s">
        <v>37</v>
      </c>
      <c r="C1928">
        <v>93</v>
      </c>
      <c r="D1928">
        <f>IF(cukier10[[#This Row],[nip_klienta]]=B1927,D1927+cukier10[[#This Row],[sprzedany_cukier]],cukier10[[#This Row],[sprzedany_cukier]])</f>
        <v>5232</v>
      </c>
      <c r="E1928" cm="1">
        <f t="array" ref="E19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28">
        <f>cukier10[[#This Row],[sprzedany_cukier]]*cukier10[[#This Row],[rabat]]</f>
        <v>9.3000000000000007</v>
      </c>
    </row>
    <row r="1929" spans="1:6" x14ac:dyDescent="0.25">
      <c r="A1929" s="1">
        <v>41517</v>
      </c>
      <c r="B1929" t="s">
        <v>234</v>
      </c>
      <c r="C1929">
        <v>5</v>
      </c>
      <c r="D1929">
        <f>IF(cukier10[[#This Row],[nip_klienta]]=B1928,D1928+cukier10[[#This Row],[sprzedany_cukier]],cukier10[[#This Row],[sprzedany_cukier]])</f>
        <v>5</v>
      </c>
      <c r="E1929" cm="1">
        <f t="array" ref="E19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29">
        <f>cukier10[[#This Row],[sprzedany_cukier]]*cukier10[[#This Row],[rabat]]</f>
        <v>0</v>
      </c>
    </row>
    <row r="1930" spans="1:6" x14ac:dyDescent="0.25">
      <c r="A1930" s="1">
        <v>41651</v>
      </c>
      <c r="B1930" t="s">
        <v>234</v>
      </c>
      <c r="C1930">
        <v>3</v>
      </c>
      <c r="D1930">
        <f>IF(cukier10[[#This Row],[nip_klienta]]=B1929,D1929+cukier10[[#This Row],[sprzedany_cukier]],cukier10[[#This Row],[sprzedany_cukier]])</f>
        <v>8</v>
      </c>
      <c r="E1930" cm="1">
        <f t="array" ref="E19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30">
        <f>cukier10[[#This Row],[sprzedany_cukier]]*cukier10[[#This Row],[rabat]]</f>
        <v>0</v>
      </c>
    </row>
    <row r="1931" spans="1:6" x14ac:dyDescent="0.25">
      <c r="A1931" s="1">
        <v>39623</v>
      </c>
      <c r="B1931" t="s">
        <v>169</v>
      </c>
      <c r="C1931">
        <v>10</v>
      </c>
      <c r="D1931">
        <f>IF(cukier10[[#This Row],[nip_klienta]]=B1930,D1930+cukier10[[#This Row],[sprzedany_cukier]],cukier10[[#This Row],[sprzedany_cukier]])</f>
        <v>10</v>
      </c>
      <c r="E1931" cm="1">
        <f t="array" ref="E19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31">
        <f>cukier10[[#This Row],[sprzedany_cukier]]*cukier10[[#This Row],[rabat]]</f>
        <v>0</v>
      </c>
    </row>
    <row r="1932" spans="1:6" x14ac:dyDescent="0.25">
      <c r="A1932" s="1">
        <v>39924</v>
      </c>
      <c r="B1932" t="s">
        <v>169</v>
      </c>
      <c r="C1932">
        <v>4</v>
      </c>
      <c r="D1932">
        <f>IF(cukier10[[#This Row],[nip_klienta]]=B1931,D1931+cukier10[[#This Row],[sprzedany_cukier]],cukier10[[#This Row],[sprzedany_cukier]])</f>
        <v>14</v>
      </c>
      <c r="E1932" cm="1">
        <f t="array" ref="E19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32">
        <f>cukier10[[#This Row],[sprzedany_cukier]]*cukier10[[#This Row],[rabat]]</f>
        <v>0</v>
      </c>
    </row>
    <row r="1933" spans="1:6" x14ac:dyDescent="0.25">
      <c r="A1933" s="1">
        <v>38429</v>
      </c>
      <c r="B1933" t="s">
        <v>31</v>
      </c>
      <c r="C1933">
        <v>196</v>
      </c>
      <c r="D1933">
        <f>IF(cukier10[[#This Row],[nip_klienta]]=B1932,D1932+cukier10[[#This Row],[sprzedany_cukier]],cukier10[[#This Row],[sprzedany_cukier]])</f>
        <v>196</v>
      </c>
      <c r="E1933" cm="1">
        <f t="array" ref="E19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33">
        <f>cukier10[[#This Row],[sprzedany_cukier]]*cukier10[[#This Row],[rabat]]</f>
        <v>9.8000000000000007</v>
      </c>
    </row>
    <row r="1934" spans="1:6" x14ac:dyDescent="0.25">
      <c r="A1934" s="1">
        <v>38606</v>
      </c>
      <c r="B1934" t="s">
        <v>31</v>
      </c>
      <c r="C1934">
        <v>105</v>
      </c>
      <c r="D1934">
        <f>IF(cukier10[[#This Row],[nip_klienta]]=B1933,D1933+cukier10[[#This Row],[sprzedany_cukier]],cukier10[[#This Row],[sprzedany_cukier]])</f>
        <v>301</v>
      </c>
      <c r="E1934" cm="1">
        <f t="array" ref="E19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34">
        <f>cukier10[[#This Row],[sprzedany_cukier]]*cukier10[[#This Row],[rabat]]</f>
        <v>5.25</v>
      </c>
    </row>
    <row r="1935" spans="1:6" x14ac:dyDescent="0.25">
      <c r="A1935" s="1">
        <v>38985</v>
      </c>
      <c r="B1935" t="s">
        <v>31</v>
      </c>
      <c r="C1935">
        <v>94</v>
      </c>
      <c r="D1935">
        <f>IF(cukier10[[#This Row],[nip_klienta]]=B1934,D1934+cukier10[[#This Row],[sprzedany_cukier]],cukier10[[#This Row],[sprzedany_cukier]])</f>
        <v>395</v>
      </c>
      <c r="E1935" cm="1">
        <f t="array" ref="E19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35">
        <f>cukier10[[#This Row],[sprzedany_cukier]]*cukier10[[#This Row],[rabat]]</f>
        <v>4.7</v>
      </c>
    </row>
    <row r="1936" spans="1:6" x14ac:dyDescent="0.25">
      <c r="A1936" s="1">
        <v>39605</v>
      </c>
      <c r="B1936" t="s">
        <v>31</v>
      </c>
      <c r="C1936">
        <v>64</v>
      </c>
      <c r="D1936">
        <f>IF(cukier10[[#This Row],[nip_klienta]]=B1935,D1935+cukier10[[#This Row],[sprzedany_cukier]],cukier10[[#This Row],[sprzedany_cukier]])</f>
        <v>459</v>
      </c>
      <c r="E1936" cm="1">
        <f t="array" ref="E19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36">
        <f>cukier10[[#This Row],[sprzedany_cukier]]*cukier10[[#This Row],[rabat]]</f>
        <v>3.2</v>
      </c>
    </row>
    <row r="1937" spans="1:6" x14ac:dyDescent="0.25">
      <c r="A1937" s="1">
        <v>39714</v>
      </c>
      <c r="B1937" t="s">
        <v>31</v>
      </c>
      <c r="C1937">
        <v>52</v>
      </c>
      <c r="D1937">
        <f>IF(cukier10[[#This Row],[nip_klienta]]=B1936,D1936+cukier10[[#This Row],[sprzedany_cukier]],cukier10[[#This Row],[sprzedany_cukier]])</f>
        <v>511</v>
      </c>
      <c r="E1937" cm="1">
        <f t="array" ref="E19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37">
        <f>cukier10[[#This Row],[sprzedany_cukier]]*cukier10[[#This Row],[rabat]]</f>
        <v>2.6</v>
      </c>
    </row>
    <row r="1938" spans="1:6" x14ac:dyDescent="0.25">
      <c r="A1938" s="1">
        <v>39729</v>
      </c>
      <c r="B1938" t="s">
        <v>31</v>
      </c>
      <c r="C1938">
        <v>136</v>
      </c>
      <c r="D1938">
        <f>IF(cukier10[[#This Row],[nip_klienta]]=B1937,D1937+cukier10[[#This Row],[sprzedany_cukier]],cukier10[[#This Row],[sprzedany_cukier]])</f>
        <v>647</v>
      </c>
      <c r="E1938" cm="1">
        <f t="array" ref="E19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38">
        <f>cukier10[[#This Row],[sprzedany_cukier]]*cukier10[[#This Row],[rabat]]</f>
        <v>6.8000000000000007</v>
      </c>
    </row>
    <row r="1939" spans="1:6" x14ac:dyDescent="0.25">
      <c r="A1939" s="1">
        <v>39733</v>
      </c>
      <c r="B1939" t="s">
        <v>31</v>
      </c>
      <c r="C1939">
        <v>51</v>
      </c>
      <c r="D1939">
        <f>IF(cukier10[[#This Row],[nip_klienta]]=B1938,D1938+cukier10[[#This Row],[sprzedany_cukier]],cukier10[[#This Row],[sprzedany_cukier]])</f>
        <v>698</v>
      </c>
      <c r="E1939" cm="1">
        <f t="array" ref="E19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39">
        <f>cukier10[[#This Row],[sprzedany_cukier]]*cukier10[[#This Row],[rabat]]</f>
        <v>2.5500000000000003</v>
      </c>
    </row>
    <row r="1940" spans="1:6" x14ac:dyDescent="0.25">
      <c r="A1940" s="1">
        <v>39805</v>
      </c>
      <c r="B1940" t="s">
        <v>31</v>
      </c>
      <c r="C1940">
        <v>94</v>
      </c>
      <c r="D1940">
        <f>IF(cukier10[[#This Row],[nip_klienta]]=B1939,D1939+cukier10[[#This Row],[sprzedany_cukier]],cukier10[[#This Row],[sprzedany_cukier]])</f>
        <v>792</v>
      </c>
      <c r="E1940" cm="1">
        <f t="array" ref="E19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40">
        <f>cukier10[[#This Row],[sprzedany_cukier]]*cukier10[[#This Row],[rabat]]</f>
        <v>4.7</v>
      </c>
    </row>
    <row r="1941" spans="1:6" x14ac:dyDescent="0.25">
      <c r="A1941" s="1">
        <v>39909</v>
      </c>
      <c r="B1941" t="s">
        <v>31</v>
      </c>
      <c r="C1941">
        <v>109</v>
      </c>
      <c r="D1941">
        <f>IF(cukier10[[#This Row],[nip_klienta]]=B1940,D1940+cukier10[[#This Row],[sprzedany_cukier]],cukier10[[#This Row],[sprzedany_cukier]])</f>
        <v>901</v>
      </c>
      <c r="E1941" cm="1">
        <f t="array" ref="E19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41">
        <f>cukier10[[#This Row],[sprzedany_cukier]]*cukier10[[#This Row],[rabat]]</f>
        <v>5.45</v>
      </c>
    </row>
    <row r="1942" spans="1:6" x14ac:dyDescent="0.25">
      <c r="A1942" s="1">
        <v>39923</v>
      </c>
      <c r="B1942" t="s">
        <v>31</v>
      </c>
      <c r="C1942">
        <v>114</v>
      </c>
      <c r="D1942">
        <f>IF(cukier10[[#This Row],[nip_klienta]]=B1941,D1941+cukier10[[#This Row],[sprzedany_cukier]],cukier10[[#This Row],[sprzedany_cukier]])</f>
        <v>1015</v>
      </c>
      <c r="E1942" cm="1">
        <f t="array" ref="E19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42">
        <f>cukier10[[#This Row],[sprzedany_cukier]]*cukier10[[#This Row],[rabat]]</f>
        <v>11.4</v>
      </c>
    </row>
    <row r="1943" spans="1:6" x14ac:dyDescent="0.25">
      <c r="A1943" s="1">
        <v>40065</v>
      </c>
      <c r="B1943" t="s">
        <v>31</v>
      </c>
      <c r="C1943">
        <v>192</v>
      </c>
      <c r="D1943">
        <f>IF(cukier10[[#This Row],[nip_klienta]]=B1942,D1942+cukier10[[#This Row],[sprzedany_cukier]],cukier10[[#This Row],[sprzedany_cukier]])</f>
        <v>1207</v>
      </c>
      <c r="E1943" cm="1">
        <f t="array" ref="E19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43">
        <f>cukier10[[#This Row],[sprzedany_cukier]]*cukier10[[#This Row],[rabat]]</f>
        <v>19.200000000000003</v>
      </c>
    </row>
    <row r="1944" spans="1:6" x14ac:dyDescent="0.25">
      <c r="A1944" s="1">
        <v>40089</v>
      </c>
      <c r="B1944" t="s">
        <v>31</v>
      </c>
      <c r="C1944">
        <v>86</v>
      </c>
      <c r="D1944">
        <f>IF(cukier10[[#This Row],[nip_klienta]]=B1943,D1943+cukier10[[#This Row],[sprzedany_cukier]],cukier10[[#This Row],[sprzedany_cukier]])</f>
        <v>1293</v>
      </c>
      <c r="E1944" cm="1">
        <f t="array" ref="E19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44">
        <f>cukier10[[#This Row],[sprzedany_cukier]]*cukier10[[#This Row],[rabat]]</f>
        <v>8.6</v>
      </c>
    </row>
    <row r="1945" spans="1:6" x14ac:dyDescent="0.25">
      <c r="A1945" s="1">
        <v>40329</v>
      </c>
      <c r="B1945" t="s">
        <v>31</v>
      </c>
      <c r="C1945">
        <v>67</v>
      </c>
      <c r="D1945">
        <f>IF(cukier10[[#This Row],[nip_klienta]]=B1944,D1944+cukier10[[#This Row],[sprzedany_cukier]],cukier10[[#This Row],[sprzedany_cukier]])</f>
        <v>1360</v>
      </c>
      <c r="E1945" cm="1">
        <f t="array" ref="E19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45">
        <f>cukier10[[#This Row],[sprzedany_cukier]]*cukier10[[#This Row],[rabat]]</f>
        <v>6.7</v>
      </c>
    </row>
    <row r="1946" spans="1:6" x14ac:dyDescent="0.25">
      <c r="A1946" s="1">
        <v>40545</v>
      </c>
      <c r="B1946" t="s">
        <v>31</v>
      </c>
      <c r="C1946">
        <v>102</v>
      </c>
      <c r="D1946">
        <f>IF(cukier10[[#This Row],[nip_klienta]]=B1945,D1945+cukier10[[#This Row],[sprzedany_cukier]],cukier10[[#This Row],[sprzedany_cukier]])</f>
        <v>1462</v>
      </c>
      <c r="E1946" cm="1">
        <f t="array" ref="E19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46">
        <f>cukier10[[#This Row],[sprzedany_cukier]]*cukier10[[#This Row],[rabat]]</f>
        <v>10.200000000000001</v>
      </c>
    </row>
    <row r="1947" spans="1:6" x14ac:dyDescent="0.25">
      <c r="A1947" s="1">
        <v>40614</v>
      </c>
      <c r="B1947" t="s">
        <v>31</v>
      </c>
      <c r="C1947">
        <v>37</v>
      </c>
      <c r="D1947">
        <f>IF(cukier10[[#This Row],[nip_klienta]]=B1946,D1946+cukier10[[#This Row],[sprzedany_cukier]],cukier10[[#This Row],[sprzedany_cukier]])</f>
        <v>1499</v>
      </c>
      <c r="E1947" cm="1">
        <f t="array" ref="E19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47">
        <f>cukier10[[#This Row],[sprzedany_cukier]]*cukier10[[#This Row],[rabat]]</f>
        <v>3.7</v>
      </c>
    </row>
    <row r="1948" spans="1:6" x14ac:dyDescent="0.25">
      <c r="A1948" s="1">
        <v>40704</v>
      </c>
      <c r="B1948" t="s">
        <v>31</v>
      </c>
      <c r="C1948">
        <v>104</v>
      </c>
      <c r="D1948">
        <f>IF(cukier10[[#This Row],[nip_klienta]]=B1947,D1947+cukier10[[#This Row],[sprzedany_cukier]],cukier10[[#This Row],[sprzedany_cukier]])</f>
        <v>1603</v>
      </c>
      <c r="E1948" cm="1">
        <f t="array" ref="E19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48">
        <f>cukier10[[#This Row],[sprzedany_cukier]]*cukier10[[#This Row],[rabat]]</f>
        <v>10.4</v>
      </c>
    </row>
    <row r="1949" spans="1:6" x14ac:dyDescent="0.25">
      <c r="A1949" s="1">
        <v>40959</v>
      </c>
      <c r="B1949" t="s">
        <v>31</v>
      </c>
      <c r="C1949">
        <v>54</v>
      </c>
      <c r="D1949">
        <f>IF(cukier10[[#This Row],[nip_klienta]]=B1948,D1948+cukier10[[#This Row],[sprzedany_cukier]],cukier10[[#This Row],[sprzedany_cukier]])</f>
        <v>1657</v>
      </c>
      <c r="E1949" cm="1">
        <f t="array" ref="E19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49">
        <f>cukier10[[#This Row],[sprzedany_cukier]]*cukier10[[#This Row],[rabat]]</f>
        <v>5.4</v>
      </c>
    </row>
    <row r="1950" spans="1:6" x14ac:dyDescent="0.25">
      <c r="A1950" s="1">
        <v>41317</v>
      </c>
      <c r="B1950" t="s">
        <v>31</v>
      </c>
      <c r="C1950">
        <v>80</v>
      </c>
      <c r="D1950">
        <f>IF(cukier10[[#This Row],[nip_klienta]]=B1949,D1949+cukier10[[#This Row],[sprzedany_cukier]],cukier10[[#This Row],[sprzedany_cukier]])</f>
        <v>1737</v>
      </c>
      <c r="E1950" cm="1">
        <f t="array" ref="E19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50">
        <f>cukier10[[#This Row],[sprzedany_cukier]]*cukier10[[#This Row],[rabat]]</f>
        <v>8</v>
      </c>
    </row>
    <row r="1951" spans="1:6" x14ac:dyDescent="0.25">
      <c r="A1951" s="1">
        <v>38612</v>
      </c>
      <c r="B1951" t="s">
        <v>80</v>
      </c>
      <c r="C1951">
        <v>39</v>
      </c>
      <c r="D1951">
        <f>IF(cukier10[[#This Row],[nip_klienta]]=B1950,D1950+cukier10[[#This Row],[sprzedany_cukier]],cukier10[[#This Row],[sprzedany_cukier]])</f>
        <v>39</v>
      </c>
      <c r="E1951" cm="1">
        <f t="array" ref="E19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51">
        <f>cukier10[[#This Row],[sprzedany_cukier]]*cukier10[[#This Row],[rabat]]</f>
        <v>0</v>
      </c>
    </row>
    <row r="1952" spans="1:6" x14ac:dyDescent="0.25">
      <c r="A1952" s="1">
        <v>38626</v>
      </c>
      <c r="B1952" t="s">
        <v>80</v>
      </c>
      <c r="C1952">
        <v>193</v>
      </c>
      <c r="D1952">
        <f>IF(cukier10[[#This Row],[nip_klienta]]=B1951,D1951+cukier10[[#This Row],[sprzedany_cukier]],cukier10[[#This Row],[sprzedany_cukier]])</f>
        <v>232</v>
      </c>
      <c r="E1952" cm="1">
        <f t="array" ref="E19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52">
        <f>cukier10[[#This Row],[sprzedany_cukier]]*cukier10[[#This Row],[rabat]]</f>
        <v>9.65</v>
      </c>
    </row>
    <row r="1953" spans="1:6" x14ac:dyDescent="0.25">
      <c r="A1953" s="1">
        <v>38855</v>
      </c>
      <c r="B1953" t="s">
        <v>80</v>
      </c>
      <c r="C1953">
        <v>168</v>
      </c>
      <c r="D1953">
        <f>IF(cukier10[[#This Row],[nip_klienta]]=B1952,D1952+cukier10[[#This Row],[sprzedany_cukier]],cukier10[[#This Row],[sprzedany_cukier]])</f>
        <v>400</v>
      </c>
      <c r="E1953" cm="1">
        <f t="array" ref="E19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53">
        <f>cukier10[[#This Row],[sprzedany_cukier]]*cukier10[[#This Row],[rabat]]</f>
        <v>8.4</v>
      </c>
    </row>
    <row r="1954" spans="1:6" x14ac:dyDescent="0.25">
      <c r="A1954" s="1">
        <v>39427</v>
      </c>
      <c r="B1954" t="s">
        <v>80</v>
      </c>
      <c r="C1954">
        <v>43</v>
      </c>
      <c r="D1954">
        <f>IF(cukier10[[#This Row],[nip_klienta]]=B1953,D1953+cukier10[[#This Row],[sprzedany_cukier]],cukier10[[#This Row],[sprzedany_cukier]])</f>
        <v>443</v>
      </c>
      <c r="E1954" cm="1">
        <f t="array" ref="E19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54">
        <f>cukier10[[#This Row],[sprzedany_cukier]]*cukier10[[#This Row],[rabat]]</f>
        <v>2.15</v>
      </c>
    </row>
    <row r="1955" spans="1:6" x14ac:dyDescent="0.25">
      <c r="A1955" s="1">
        <v>39556</v>
      </c>
      <c r="B1955" t="s">
        <v>80</v>
      </c>
      <c r="C1955">
        <v>30</v>
      </c>
      <c r="D1955">
        <f>IF(cukier10[[#This Row],[nip_klienta]]=B1954,D1954+cukier10[[#This Row],[sprzedany_cukier]],cukier10[[#This Row],[sprzedany_cukier]])</f>
        <v>473</v>
      </c>
      <c r="E1955" cm="1">
        <f t="array" ref="E19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55">
        <f>cukier10[[#This Row],[sprzedany_cukier]]*cukier10[[#This Row],[rabat]]</f>
        <v>1.5</v>
      </c>
    </row>
    <row r="1956" spans="1:6" x14ac:dyDescent="0.25">
      <c r="A1956" s="1">
        <v>40065</v>
      </c>
      <c r="B1956" t="s">
        <v>80</v>
      </c>
      <c r="C1956">
        <v>142</v>
      </c>
      <c r="D1956">
        <f>IF(cukier10[[#This Row],[nip_klienta]]=B1955,D1955+cukier10[[#This Row],[sprzedany_cukier]],cukier10[[#This Row],[sprzedany_cukier]])</f>
        <v>615</v>
      </c>
      <c r="E1956" cm="1">
        <f t="array" ref="E19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56">
        <f>cukier10[[#This Row],[sprzedany_cukier]]*cukier10[[#This Row],[rabat]]</f>
        <v>7.1000000000000005</v>
      </c>
    </row>
    <row r="1957" spans="1:6" x14ac:dyDescent="0.25">
      <c r="A1957" s="1">
        <v>40350</v>
      </c>
      <c r="B1957" t="s">
        <v>80</v>
      </c>
      <c r="C1957">
        <v>22</v>
      </c>
      <c r="D1957">
        <f>IF(cukier10[[#This Row],[nip_klienta]]=B1956,D1956+cukier10[[#This Row],[sprzedany_cukier]],cukier10[[#This Row],[sprzedany_cukier]])</f>
        <v>637</v>
      </c>
      <c r="E1957" cm="1">
        <f t="array" ref="E19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57">
        <f>cukier10[[#This Row],[sprzedany_cukier]]*cukier10[[#This Row],[rabat]]</f>
        <v>1.1000000000000001</v>
      </c>
    </row>
    <row r="1958" spans="1:6" x14ac:dyDescent="0.25">
      <c r="A1958" s="1">
        <v>40616</v>
      </c>
      <c r="B1958" t="s">
        <v>80</v>
      </c>
      <c r="C1958">
        <v>108</v>
      </c>
      <c r="D1958">
        <f>IF(cukier10[[#This Row],[nip_klienta]]=B1957,D1957+cukier10[[#This Row],[sprzedany_cukier]],cukier10[[#This Row],[sprzedany_cukier]])</f>
        <v>745</v>
      </c>
      <c r="E1958" cm="1">
        <f t="array" ref="E19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58">
        <f>cukier10[[#This Row],[sprzedany_cukier]]*cukier10[[#This Row],[rabat]]</f>
        <v>5.4</v>
      </c>
    </row>
    <row r="1959" spans="1:6" x14ac:dyDescent="0.25">
      <c r="A1959" s="1">
        <v>41149</v>
      </c>
      <c r="B1959" t="s">
        <v>80</v>
      </c>
      <c r="C1959">
        <v>143</v>
      </c>
      <c r="D1959">
        <f>IF(cukier10[[#This Row],[nip_klienta]]=B1958,D1958+cukier10[[#This Row],[sprzedany_cukier]],cukier10[[#This Row],[sprzedany_cukier]])</f>
        <v>888</v>
      </c>
      <c r="E1959" cm="1">
        <f t="array" ref="E19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59">
        <f>cukier10[[#This Row],[sprzedany_cukier]]*cukier10[[#This Row],[rabat]]</f>
        <v>7.15</v>
      </c>
    </row>
    <row r="1960" spans="1:6" x14ac:dyDescent="0.25">
      <c r="A1960" s="1">
        <v>38896</v>
      </c>
      <c r="B1960" t="s">
        <v>115</v>
      </c>
      <c r="C1960">
        <v>12</v>
      </c>
      <c r="D1960">
        <f>IF(cukier10[[#This Row],[nip_klienta]]=B1959,D1959+cukier10[[#This Row],[sprzedany_cukier]],cukier10[[#This Row],[sprzedany_cukier]])</f>
        <v>12</v>
      </c>
      <c r="E1960" cm="1">
        <f t="array" ref="E19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60">
        <f>cukier10[[#This Row],[sprzedany_cukier]]*cukier10[[#This Row],[rabat]]</f>
        <v>0</v>
      </c>
    </row>
    <row r="1961" spans="1:6" x14ac:dyDescent="0.25">
      <c r="A1961" s="1">
        <v>39291</v>
      </c>
      <c r="B1961" t="s">
        <v>115</v>
      </c>
      <c r="C1961">
        <v>6</v>
      </c>
      <c r="D1961">
        <f>IF(cukier10[[#This Row],[nip_klienta]]=B1960,D1960+cukier10[[#This Row],[sprzedany_cukier]],cukier10[[#This Row],[sprzedany_cukier]])</f>
        <v>18</v>
      </c>
      <c r="E1961" cm="1">
        <f t="array" ref="E19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61">
        <f>cukier10[[#This Row],[sprzedany_cukier]]*cukier10[[#This Row],[rabat]]</f>
        <v>0</v>
      </c>
    </row>
    <row r="1962" spans="1:6" x14ac:dyDescent="0.25">
      <c r="A1962" s="1">
        <v>39974</v>
      </c>
      <c r="B1962" t="s">
        <v>115</v>
      </c>
      <c r="C1962">
        <v>11</v>
      </c>
      <c r="D1962">
        <f>IF(cukier10[[#This Row],[nip_klienta]]=B1961,D1961+cukier10[[#This Row],[sprzedany_cukier]],cukier10[[#This Row],[sprzedany_cukier]])</f>
        <v>29</v>
      </c>
      <c r="E1962" cm="1">
        <f t="array" ref="E19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1962">
        <f>cukier10[[#This Row],[sprzedany_cukier]]*cukier10[[#This Row],[rabat]]</f>
        <v>0</v>
      </c>
    </row>
    <row r="1963" spans="1:6" x14ac:dyDescent="0.25">
      <c r="A1963" s="1">
        <v>38503</v>
      </c>
      <c r="B1963" t="s">
        <v>50</v>
      </c>
      <c r="C1963">
        <v>253</v>
      </c>
      <c r="D1963">
        <f>IF(cukier10[[#This Row],[nip_klienta]]=B1962,D1962+cukier10[[#This Row],[sprzedany_cukier]],cukier10[[#This Row],[sprzedany_cukier]])</f>
        <v>253</v>
      </c>
      <c r="E1963" cm="1">
        <f t="array" ref="E19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63">
        <f>cukier10[[#This Row],[sprzedany_cukier]]*cukier10[[#This Row],[rabat]]</f>
        <v>12.65</v>
      </c>
    </row>
    <row r="1964" spans="1:6" x14ac:dyDescent="0.25">
      <c r="A1964" s="1">
        <v>38551</v>
      </c>
      <c r="B1964" t="s">
        <v>50</v>
      </c>
      <c r="C1964">
        <v>433</v>
      </c>
      <c r="D1964">
        <f>IF(cukier10[[#This Row],[nip_klienta]]=B1963,D1963+cukier10[[#This Row],[sprzedany_cukier]],cukier10[[#This Row],[sprzedany_cukier]])</f>
        <v>686</v>
      </c>
      <c r="E1964" cm="1">
        <f t="array" ref="E19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64">
        <f>cukier10[[#This Row],[sprzedany_cukier]]*cukier10[[#This Row],[rabat]]</f>
        <v>21.650000000000002</v>
      </c>
    </row>
    <row r="1965" spans="1:6" x14ac:dyDescent="0.25">
      <c r="A1965" s="1">
        <v>38558</v>
      </c>
      <c r="B1965" t="s">
        <v>50</v>
      </c>
      <c r="C1965">
        <v>118</v>
      </c>
      <c r="D1965">
        <f>IF(cukier10[[#This Row],[nip_klienta]]=B1964,D1964+cukier10[[#This Row],[sprzedany_cukier]],cukier10[[#This Row],[sprzedany_cukier]])</f>
        <v>804</v>
      </c>
      <c r="E1965" cm="1">
        <f t="array" ref="E19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1965">
        <f>cukier10[[#This Row],[sprzedany_cukier]]*cukier10[[#This Row],[rabat]]</f>
        <v>5.9</v>
      </c>
    </row>
    <row r="1966" spans="1:6" x14ac:dyDescent="0.25">
      <c r="A1966" s="1">
        <v>38562</v>
      </c>
      <c r="B1966" t="s">
        <v>50</v>
      </c>
      <c r="C1966">
        <v>467</v>
      </c>
      <c r="D1966">
        <f>IF(cukier10[[#This Row],[nip_klienta]]=B1965,D1965+cukier10[[#This Row],[sprzedany_cukier]],cukier10[[#This Row],[sprzedany_cukier]])</f>
        <v>1271</v>
      </c>
      <c r="E1966" cm="1">
        <f t="array" ref="E19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66">
        <f>cukier10[[#This Row],[sprzedany_cukier]]*cukier10[[#This Row],[rabat]]</f>
        <v>46.7</v>
      </c>
    </row>
    <row r="1967" spans="1:6" x14ac:dyDescent="0.25">
      <c r="A1967" s="1">
        <v>38590</v>
      </c>
      <c r="B1967" t="s">
        <v>50</v>
      </c>
      <c r="C1967">
        <v>299</v>
      </c>
      <c r="D1967">
        <f>IF(cukier10[[#This Row],[nip_klienta]]=B1966,D1966+cukier10[[#This Row],[sprzedany_cukier]],cukier10[[#This Row],[sprzedany_cukier]])</f>
        <v>1570</v>
      </c>
      <c r="E1967" cm="1">
        <f t="array" ref="E19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67">
        <f>cukier10[[#This Row],[sprzedany_cukier]]*cukier10[[#This Row],[rabat]]</f>
        <v>29.900000000000002</v>
      </c>
    </row>
    <row r="1968" spans="1:6" x14ac:dyDescent="0.25">
      <c r="A1968" s="1">
        <v>38604</v>
      </c>
      <c r="B1968" t="s">
        <v>50</v>
      </c>
      <c r="C1968">
        <v>447</v>
      </c>
      <c r="D1968">
        <f>IF(cukier10[[#This Row],[nip_klienta]]=B1967,D1967+cukier10[[#This Row],[sprzedany_cukier]],cukier10[[#This Row],[sprzedany_cukier]])</f>
        <v>2017</v>
      </c>
      <c r="E1968" cm="1">
        <f t="array" ref="E19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68">
        <f>cukier10[[#This Row],[sprzedany_cukier]]*cukier10[[#This Row],[rabat]]</f>
        <v>44.7</v>
      </c>
    </row>
    <row r="1969" spans="1:6" x14ac:dyDescent="0.25">
      <c r="A1969" s="1">
        <v>38612</v>
      </c>
      <c r="B1969" t="s">
        <v>50</v>
      </c>
      <c r="C1969">
        <v>404</v>
      </c>
      <c r="D1969">
        <f>IF(cukier10[[#This Row],[nip_klienta]]=B1968,D1968+cukier10[[#This Row],[sprzedany_cukier]],cukier10[[#This Row],[sprzedany_cukier]])</f>
        <v>2421</v>
      </c>
      <c r="E1969" cm="1">
        <f t="array" ref="E19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69">
        <f>cukier10[[#This Row],[sprzedany_cukier]]*cukier10[[#This Row],[rabat]]</f>
        <v>40.400000000000006</v>
      </c>
    </row>
    <row r="1970" spans="1:6" x14ac:dyDescent="0.25">
      <c r="A1970" s="1">
        <v>38646</v>
      </c>
      <c r="B1970" t="s">
        <v>50</v>
      </c>
      <c r="C1970">
        <v>234</v>
      </c>
      <c r="D1970">
        <f>IF(cukier10[[#This Row],[nip_klienta]]=B1969,D1969+cukier10[[#This Row],[sprzedany_cukier]],cukier10[[#This Row],[sprzedany_cukier]])</f>
        <v>2655</v>
      </c>
      <c r="E1970" cm="1">
        <f t="array" ref="E19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70">
        <f>cukier10[[#This Row],[sprzedany_cukier]]*cukier10[[#This Row],[rabat]]</f>
        <v>23.400000000000002</v>
      </c>
    </row>
    <row r="1971" spans="1:6" x14ac:dyDescent="0.25">
      <c r="A1971" s="1">
        <v>38820</v>
      </c>
      <c r="B1971" t="s">
        <v>50</v>
      </c>
      <c r="C1971">
        <v>162</v>
      </c>
      <c r="D1971">
        <f>IF(cukier10[[#This Row],[nip_klienta]]=B1970,D1970+cukier10[[#This Row],[sprzedany_cukier]],cukier10[[#This Row],[sprzedany_cukier]])</f>
        <v>2817</v>
      </c>
      <c r="E1971" cm="1">
        <f t="array" ref="E19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71">
        <f>cukier10[[#This Row],[sprzedany_cukier]]*cukier10[[#This Row],[rabat]]</f>
        <v>16.2</v>
      </c>
    </row>
    <row r="1972" spans="1:6" x14ac:dyDescent="0.25">
      <c r="A1972" s="1">
        <v>38953</v>
      </c>
      <c r="B1972" t="s">
        <v>50</v>
      </c>
      <c r="C1972">
        <v>256</v>
      </c>
      <c r="D1972">
        <f>IF(cukier10[[#This Row],[nip_klienta]]=B1971,D1971+cukier10[[#This Row],[sprzedany_cukier]],cukier10[[#This Row],[sprzedany_cukier]])</f>
        <v>3073</v>
      </c>
      <c r="E1972" cm="1">
        <f t="array" ref="E19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72">
        <f>cukier10[[#This Row],[sprzedany_cukier]]*cukier10[[#This Row],[rabat]]</f>
        <v>25.6</v>
      </c>
    </row>
    <row r="1973" spans="1:6" x14ac:dyDescent="0.25">
      <c r="A1973" s="1">
        <v>39032</v>
      </c>
      <c r="B1973" t="s">
        <v>50</v>
      </c>
      <c r="C1973">
        <v>437</v>
      </c>
      <c r="D1973">
        <f>IF(cukier10[[#This Row],[nip_klienta]]=B1972,D1972+cukier10[[#This Row],[sprzedany_cukier]],cukier10[[#This Row],[sprzedany_cukier]])</f>
        <v>3510</v>
      </c>
      <c r="E1973" cm="1">
        <f t="array" ref="E19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73">
        <f>cukier10[[#This Row],[sprzedany_cukier]]*cukier10[[#This Row],[rabat]]</f>
        <v>43.7</v>
      </c>
    </row>
    <row r="1974" spans="1:6" x14ac:dyDescent="0.25">
      <c r="A1974" s="1">
        <v>39060</v>
      </c>
      <c r="B1974" t="s">
        <v>50</v>
      </c>
      <c r="C1974">
        <v>163</v>
      </c>
      <c r="D1974">
        <f>IF(cukier10[[#This Row],[nip_klienta]]=B1973,D1973+cukier10[[#This Row],[sprzedany_cukier]],cukier10[[#This Row],[sprzedany_cukier]])</f>
        <v>3673</v>
      </c>
      <c r="E1974" cm="1">
        <f t="array" ref="E19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74">
        <f>cukier10[[#This Row],[sprzedany_cukier]]*cukier10[[#This Row],[rabat]]</f>
        <v>16.3</v>
      </c>
    </row>
    <row r="1975" spans="1:6" x14ac:dyDescent="0.25">
      <c r="A1975" s="1">
        <v>39072</v>
      </c>
      <c r="B1975" t="s">
        <v>50</v>
      </c>
      <c r="C1975">
        <v>193</v>
      </c>
      <c r="D1975">
        <f>IF(cukier10[[#This Row],[nip_klienta]]=B1974,D1974+cukier10[[#This Row],[sprzedany_cukier]],cukier10[[#This Row],[sprzedany_cukier]])</f>
        <v>3866</v>
      </c>
      <c r="E1975" cm="1">
        <f t="array" ref="E19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75">
        <f>cukier10[[#This Row],[sprzedany_cukier]]*cukier10[[#This Row],[rabat]]</f>
        <v>19.3</v>
      </c>
    </row>
    <row r="1976" spans="1:6" x14ac:dyDescent="0.25">
      <c r="A1976" s="1">
        <v>39120</v>
      </c>
      <c r="B1976" t="s">
        <v>50</v>
      </c>
      <c r="C1976">
        <v>403</v>
      </c>
      <c r="D1976">
        <f>IF(cukier10[[#This Row],[nip_klienta]]=B1975,D1975+cukier10[[#This Row],[sprzedany_cukier]],cukier10[[#This Row],[sprzedany_cukier]])</f>
        <v>4269</v>
      </c>
      <c r="E1976" cm="1">
        <f t="array" ref="E19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76">
        <f>cukier10[[#This Row],[sprzedany_cukier]]*cukier10[[#This Row],[rabat]]</f>
        <v>40.300000000000004</v>
      </c>
    </row>
    <row r="1977" spans="1:6" x14ac:dyDescent="0.25">
      <c r="A1977" s="1">
        <v>39162</v>
      </c>
      <c r="B1977" t="s">
        <v>50</v>
      </c>
      <c r="C1977">
        <v>339</v>
      </c>
      <c r="D1977">
        <f>IF(cukier10[[#This Row],[nip_klienta]]=B1976,D1976+cukier10[[#This Row],[sprzedany_cukier]],cukier10[[#This Row],[sprzedany_cukier]])</f>
        <v>4608</v>
      </c>
      <c r="E1977" cm="1">
        <f t="array" ref="E19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77">
        <f>cukier10[[#This Row],[sprzedany_cukier]]*cukier10[[#This Row],[rabat]]</f>
        <v>33.9</v>
      </c>
    </row>
    <row r="1978" spans="1:6" x14ac:dyDescent="0.25">
      <c r="A1978" s="1">
        <v>39167</v>
      </c>
      <c r="B1978" t="s">
        <v>50</v>
      </c>
      <c r="C1978">
        <v>268</v>
      </c>
      <c r="D1978">
        <f>IF(cukier10[[#This Row],[nip_klienta]]=B1977,D1977+cukier10[[#This Row],[sprzedany_cukier]],cukier10[[#This Row],[sprzedany_cukier]])</f>
        <v>4876</v>
      </c>
      <c r="E1978" cm="1">
        <f t="array" ref="E19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78">
        <f>cukier10[[#This Row],[sprzedany_cukier]]*cukier10[[#This Row],[rabat]]</f>
        <v>26.8</v>
      </c>
    </row>
    <row r="1979" spans="1:6" x14ac:dyDescent="0.25">
      <c r="A1979" s="1">
        <v>39282</v>
      </c>
      <c r="B1979" t="s">
        <v>50</v>
      </c>
      <c r="C1979">
        <v>445</v>
      </c>
      <c r="D1979">
        <f>IF(cukier10[[#This Row],[nip_klienta]]=B1978,D1978+cukier10[[#This Row],[sprzedany_cukier]],cukier10[[#This Row],[sprzedany_cukier]])</f>
        <v>5321</v>
      </c>
      <c r="E1979" cm="1">
        <f t="array" ref="E19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79">
        <f>cukier10[[#This Row],[sprzedany_cukier]]*cukier10[[#This Row],[rabat]]</f>
        <v>44.5</v>
      </c>
    </row>
    <row r="1980" spans="1:6" x14ac:dyDescent="0.25">
      <c r="A1980" s="1">
        <v>39382</v>
      </c>
      <c r="B1980" t="s">
        <v>50</v>
      </c>
      <c r="C1980">
        <v>444</v>
      </c>
      <c r="D1980">
        <f>IF(cukier10[[#This Row],[nip_klienta]]=B1979,D1979+cukier10[[#This Row],[sprzedany_cukier]],cukier10[[#This Row],[sprzedany_cukier]])</f>
        <v>5765</v>
      </c>
      <c r="E1980" cm="1">
        <f t="array" ref="E19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80">
        <f>cukier10[[#This Row],[sprzedany_cukier]]*cukier10[[#This Row],[rabat]]</f>
        <v>44.400000000000006</v>
      </c>
    </row>
    <row r="1981" spans="1:6" x14ac:dyDescent="0.25">
      <c r="A1981" s="1">
        <v>39421</v>
      </c>
      <c r="B1981" t="s">
        <v>50</v>
      </c>
      <c r="C1981">
        <v>377</v>
      </c>
      <c r="D1981">
        <f>IF(cukier10[[#This Row],[nip_klienta]]=B1980,D1980+cukier10[[#This Row],[sprzedany_cukier]],cukier10[[#This Row],[sprzedany_cukier]])</f>
        <v>6142</v>
      </c>
      <c r="E1981" cm="1">
        <f t="array" ref="E19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81">
        <f>cukier10[[#This Row],[sprzedany_cukier]]*cukier10[[#This Row],[rabat]]</f>
        <v>37.700000000000003</v>
      </c>
    </row>
    <row r="1982" spans="1:6" x14ac:dyDescent="0.25">
      <c r="A1982" s="1">
        <v>39434</v>
      </c>
      <c r="B1982" t="s">
        <v>50</v>
      </c>
      <c r="C1982">
        <v>482</v>
      </c>
      <c r="D1982">
        <f>IF(cukier10[[#This Row],[nip_klienta]]=B1981,D1981+cukier10[[#This Row],[sprzedany_cukier]],cukier10[[#This Row],[sprzedany_cukier]])</f>
        <v>6624</v>
      </c>
      <c r="E1982" cm="1">
        <f t="array" ref="E19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82">
        <f>cukier10[[#This Row],[sprzedany_cukier]]*cukier10[[#This Row],[rabat]]</f>
        <v>48.2</v>
      </c>
    </row>
    <row r="1983" spans="1:6" x14ac:dyDescent="0.25">
      <c r="A1983" s="1">
        <v>39436</v>
      </c>
      <c r="B1983" t="s">
        <v>50</v>
      </c>
      <c r="C1983">
        <v>481</v>
      </c>
      <c r="D1983">
        <f>IF(cukier10[[#This Row],[nip_klienta]]=B1982,D1982+cukier10[[#This Row],[sprzedany_cukier]],cukier10[[#This Row],[sprzedany_cukier]])</f>
        <v>7105</v>
      </c>
      <c r="E1983" cm="1">
        <f t="array" ref="E19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83">
        <f>cukier10[[#This Row],[sprzedany_cukier]]*cukier10[[#This Row],[rabat]]</f>
        <v>48.1</v>
      </c>
    </row>
    <row r="1984" spans="1:6" x14ac:dyDescent="0.25">
      <c r="A1984" s="1">
        <v>39448</v>
      </c>
      <c r="B1984" t="s">
        <v>50</v>
      </c>
      <c r="C1984">
        <v>438</v>
      </c>
      <c r="D1984">
        <f>IF(cukier10[[#This Row],[nip_klienta]]=B1983,D1983+cukier10[[#This Row],[sprzedany_cukier]],cukier10[[#This Row],[sprzedany_cukier]])</f>
        <v>7543</v>
      </c>
      <c r="E1984" cm="1">
        <f t="array" ref="E19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84">
        <f>cukier10[[#This Row],[sprzedany_cukier]]*cukier10[[#This Row],[rabat]]</f>
        <v>43.800000000000004</v>
      </c>
    </row>
    <row r="1985" spans="1:6" x14ac:dyDescent="0.25">
      <c r="A1985" s="1">
        <v>39497</v>
      </c>
      <c r="B1985" t="s">
        <v>50</v>
      </c>
      <c r="C1985">
        <v>335</v>
      </c>
      <c r="D1985">
        <f>IF(cukier10[[#This Row],[nip_klienta]]=B1984,D1984+cukier10[[#This Row],[sprzedany_cukier]],cukier10[[#This Row],[sprzedany_cukier]])</f>
        <v>7878</v>
      </c>
      <c r="E1985" cm="1">
        <f t="array" ref="E19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85">
        <f>cukier10[[#This Row],[sprzedany_cukier]]*cukier10[[#This Row],[rabat]]</f>
        <v>33.5</v>
      </c>
    </row>
    <row r="1986" spans="1:6" x14ac:dyDescent="0.25">
      <c r="A1986" s="1">
        <v>39512</v>
      </c>
      <c r="B1986" t="s">
        <v>50</v>
      </c>
      <c r="C1986">
        <v>404</v>
      </c>
      <c r="D1986">
        <f>IF(cukier10[[#This Row],[nip_klienta]]=B1985,D1985+cukier10[[#This Row],[sprzedany_cukier]],cukier10[[#This Row],[sprzedany_cukier]])</f>
        <v>8282</v>
      </c>
      <c r="E1986" cm="1">
        <f t="array" ref="E19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86">
        <f>cukier10[[#This Row],[sprzedany_cukier]]*cukier10[[#This Row],[rabat]]</f>
        <v>40.400000000000006</v>
      </c>
    </row>
    <row r="1987" spans="1:6" x14ac:dyDescent="0.25">
      <c r="A1987" s="1">
        <v>39537</v>
      </c>
      <c r="B1987" t="s">
        <v>50</v>
      </c>
      <c r="C1987">
        <v>483</v>
      </c>
      <c r="D1987">
        <f>IF(cukier10[[#This Row],[nip_klienta]]=B1986,D1986+cukier10[[#This Row],[sprzedany_cukier]],cukier10[[#This Row],[sprzedany_cukier]])</f>
        <v>8765</v>
      </c>
      <c r="E1987" cm="1">
        <f t="array" ref="E19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87">
        <f>cukier10[[#This Row],[sprzedany_cukier]]*cukier10[[#This Row],[rabat]]</f>
        <v>48.300000000000004</v>
      </c>
    </row>
    <row r="1988" spans="1:6" x14ac:dyDescent="0.25">
      <c r="A1988" s="1">
        <v>39553</v>
      </c>
      <c r="B1988" t="s">
        <v>50</v>
      </c>
      <c r="C1988">
        <v>358</v>
      </c>
      <c r="D1988">
        <f>IF(cukier10[[#This Row],[nip_klienta]]=B1987,D1987+cukier10[[#This Row],[sprzedany_cukier]],cukier10[[#This Row],[sprzedany_cukier]])</f>
        <v>9123</v>
      </c>
      <c r="E1988" cm="1">
        <f t="array" ref="E19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88">
        <f>cukier10[[#This Row],[sprzedany_cukier]]*cukier10[[#This Row],[rabat]]</f>
        <v>35.800000000000004</v>
      </c>
    </row>
    <row r="1989" spans="1:6" x14ac:dyDescent="0.25">
      <c r="A1989" s="1">
        <v>39563</v>
      </c>
      <c r="B1989" t="s">
        <v>50</v>
      </c>
      <c r="C1989">
        <v>129</v>
      </c>
      <c r="D1989">
        <f>IF(cukier10[[#This Row],[nip_klienta]]=B1988,D1988+cukier10[[#This Row],[sprzedany_cukier]],cukier10[[#This Row],[sprzedany_cukier]])</f>
        <v>9252</v>
      </c>
      <c r="E1989" cm="1">
        <f t="array" ref="E19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89">
        <f>cukier10[[#This Row],[sprzedany_cukier]]*cukier10[[#This Row],[rabat]]</f>
        <v>12.9</v>
      </c>
    </row>
    <row r="1990" spans="1:6" x14ac:dyDescent="0.25">
      <c r="A1990" s="1">
        <v>39605</v>
      </c>
      <c r="B1990" t="s">
        <v>50</v>
      </c>
      <c r="C1990">
        <v>237</v>
      </c>
      <c r="D1990">
        <f>IF(cukier10[[#This Row],[nip_klienta]]=B1989,D1989+cukier10[[#This Row],[sprzedany_cukier]],cukier10[[#This Row],[sprzedany_cukier]])</f>
        <v>9489</v>
      </c>
      <c r="E1990" cm="1">
        <f t="array" ref="E19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90">
        <f>cukier10[[#This Row],[sprzedany_cukier]]*cukier10[[#This Row],[rabat]]</f>
        <v>23.700000000000003</v>
      </c>
    </row>
    <row r="1991" spans="1:6" x14ac:dyDescent="0.25">
      <c r="A1991" s="1">
        <v>39637</v>
      </c>
      <c r="B1991" t="s">
        <v>50</v>
      </c>
      <c r="C1991">
        <v>117</v>
      </c>
      <c r="D1991">
        <f>IF(cukier10[[#This Row],[nip_klienta]]=B1990,D1990+cukier10[[#This Row],[sprzedany_cukier]],cukier10[[#This Row],[sprzedany_cukier]])</f>
        <v>9606</v>
      </c>
      <c r="E1991" cm="1">
        <f t="array" ref="E19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91">
        <f>cukier10[[#This Row],[sprzedany_cukier]]*cukier10[[#This Row],[rabat]]</f>
        <v>11.700000000000001</v>
      </c>
    </row>
    <row r="1992" spans="1:6" x14ac:dyDescent="0.25">
      <c r="A1992" s="1">
        <v>39645</v>
      </c>
      <c r="B1992" t="s">
        <v>50</v>
      </c>
      <c r="C1992">
        <v>132</v>
      </c>
      <c r="D1992">
        <f>IF(cukier10[[#This Row],[nip_klienta]]=B1991,D1991+cukier10[[#This Row],[sprzedany_cukier]],cukier10[[#This Row],[sprzedany_cukier]])</f>
        <v>9738</v>
      </c>
      <c r="E1992" cm="1">
        <f t="array" ref="E19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1992">
        <f>cukier10[[#This Row],[sprzedany_cukier]]*cukier10[[#This Row],[rabat]]</f>
        <v>13.200000000000001</v>
      </c>
    </row>
    <row r="1993" spans="1:6" x14ac:dyDescent="0.25">
      <c r="A1993" s="1">
        <v>39697</v>
      </c>
      <c r="B1993" t="s">
        <v>50</v>
      </c>
      <c r="C1993">
        <v>322</v>
      </c>
      <c r="D1993">
        <f>IF(cukier10[[#This Row],[nip_klienta]]=B1992,D1992+cukier10[[#This Row],[sprzedany_cukier]],cukier10[[#This Row],[sprzedany_cukier]])</f>
        <v>10060</v>
      </c>
      <c r="E1993" cm="1">
        <f t="array" ref="E19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993">
        <f>cukier10[[#This Row],[sprzedany_cukier]]*cukier10[[#This Row],[rabat]]</f>
        <v>64.400000000000006</v>
      </c>
    </row>
    <row r="1994" spans="1:6" x14ac:dyDescent="0.25">
      <c r="A1994" s="1">
        <v>39712</v>
      </c>
      <c r="B1994" t="s">
        <v>50</v>
      </c>
      <c r="C1994">
        <v>136</v>
      </c>
      <c r="D1994">
        <f>IF(cukier10[[#This Row],[nip_klienta]]=B1993,D1993+cukier10[[#This Row],[sprzedany_cukier]],cukier10[[#This Row],[sprzedany_cukier]])</f>
        <v>10196</v>
      </c>
      <c r="E1994" cm="1">
        <f t="array" ref="E19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994">
        <f>cukier10[[#This Row],[sprzedany_cukier]]*cukier10[[#This Row],[rabat]]</f>
        <v>27.200000000000003</v>
      </c>
    </row>
    <row r="1995" spans="1:6" x14ac:dyDescent="0.25">
      <c r="A1995" s="1">
        <v>39740</v>
      </c>
      <c r="B1995" t="s">
        <v>50</v>
      </c>
      <c r="C1995">
        <v>125</v>
      </c>
      <c r="D1995">
        <f>IF(cukier10[[#This Row],[nip_klienta]]=B1994,D1994+cukier10[[#This Row],[sprzedany_cukier]],cukier10[[#This Row],[sprzedany_cukier]])</f>
        <v>10321</v>
      </c>
      <c r="E1995" cm="1">
        <f t="array" ref="E19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995">
        <f>cukier10[[#This Row],[sprzedany_cukier]]*cukier10[[#This Row],[rabat]]</f>
        <v>25</v>
      </c>
    </row>
    <row r="1996" spans="1:6" x14ac:dyDescent="0.25">
      <c r="A1996" s="1">
        <v>39770</v>
      </c>
      <c r="B1996" t="s">
        <v>50</v>
      </c>
      <c r="C1996">
        <v>401</v>
      </c>
      <c r="D1996">
        <f>IF(cukier10[[#This Row],[nip_klienta]]=B1995,D1995+cukier10[[#This Row],[sprzedany_cukier]],cukier10[[#This Row],[sprzedany_cukier]])</f>
        <v>10722</v>
      </c>
      <c r="E1996" cm="1">
        <f t="array" ref="E19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996">
        <f>cukier10[[#This Row],[sprzedany_cukier]]*cukier10[[#This Row],[rabat]]</f>
        <v>80.2</v>
      </c>
    </row>
    <row r="1997" spans="1:6" x14ac:dyDescent="0.25">
      <c r="A1997" s="1">
        <v>39803</v>
      </c>
      <c r="B1997" t="s">
        <v>50</v>
      </c>
      <c r="C1997">
        <v>442</v>
      </c>
      <c r="D1997">
        <f>IF(cukier10[[#This Row],[nip_klienta]]=B1996,D1996+cukier10[[#This Row],[sprzedany_cukier]],cukier10[[#This Row],[sprzedany_cukier]])</f>
        <v>11164</v>
      </c>
      <c r="E1997" cm="1">
        <f t="array" ref="E19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997">
        <f>cukier10[[#This Row],[sprzedany_cukier]]*cukier10[[#This Row],[rabat]]</f>
        <v>88.4</v>
      </c>
    </row>
    <row r="1998" spans="1:6" x14ac:dyDescent="0.25">
      <c r="A1998" s="1">
        <v>39856</v>
      </c>
      <c r="B1998" t="s">
        <v>50</v>
      </c>
      <c r="C1998">
        <v>241</v>
      </c>
      <c r="D1998">
        <f>IF(cukier10[[#This Row],[nip_klienta]]=B1997,D1997+cukier10[[#This Row],[sprzedany_cukier]],cukier10[[#This Row],[sprzedany_cukier]])</f>
        <v>11405</v>
      </c>
      <c r="E1998" cm="1">
        <f t="array" ref="E19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998">
        <f>cukier10[[#This Row],[sprzedany_cukier]]*cukier10[[#This Row],[rabat]]</f>
        <v>48.2</v>
      </c>
    </row>
    <row r="1999" spans="1:6" x14ac:dyDescent="0.25">
      <c r="A1999" s="1">
        <v>39891</v>
      </c>
      <c r="B1999" t="s">
        <v>50</v>
      </c>
      <c r="C1999">
        <v>393</v>
      </c>
      <c r="D1999">
        <f>IF(cukier10[[#This Row],[nip_klienta]]=B1998,D1998+cukier10[[#This Row],[sprzedany_cukier]],cukier10[[#This Row],[sprzedany_cukier]])</f>
        <v>11798</v>
      </c>
      <c r="E1999" cm="1">
        <f t="array" ref="E19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1999">
        <f>cukier10[[#This Row],[sprzedany_cukier]]*cukier10[[#This Row],[rabat]]</f>
        <v>78.600000000000009</v>
      </c>
    </row>
    <row r="2000" spans="1:6" x14ac:dyDescent="0.25">
      <c r="A2000" s="1">
        <v>39916</v>
      </c>
      <c r="B2000" t="s">
        <v>50</v>
      </c>
      <c r="C2000">
        <v>310</v>
      </c>
      <c r="D2000">
        <f>IF(cukier10[[#This Row],[nip_klienta]]=B1999,D1999+cukier10[[#This Row],[sprzedany_cukier]],cukier10[[#This Row],[sprzedany_cukier]])</f>
        <v>12108</v>
      </c>
      <c r="E2000" cm="1">
        <f t="array" ref="E20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00">
        <f>cukier10[[#This Row],[sprzedany_cukier]]*cukier10[[#This Row],[rabat]]</f>
        <v>62</v>
      </c>
    </row>
    <row r="2001" spans="1:6" x14ac:dyDescent="0.25">
      <c r="A2001" s="1">
        <v>39958</v>
      </c>
      <c r="B2001" t="s">
        <v>50</v>
      </c>
      <c r="C2001">
        <v>380</v>
      </c>
      <c r="D2001">
        <f>IF(cukier10[[#This Row],[nip_klienta]]=B2000,D2000+cukier10[[#This Row],[sprzedany_cukier]],cukier10[[#This Row],[sprzedany_cukier]])</f>
        <v>12488</v>
      </c>
      <c r="E2001" cm="1">
        <f t="array" ref="E20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01">
        <f>cukier10[[#This Row],[sprzedany_cukier]]*cukier10[[#This Row],[rabat]]</f>
        <v>76</v>
      </c>
    </row>
    <row r="2002" spans="1:6" x14ac:dyDescent="0.25">
      <c r="A2002" s="1">
        <v>39978</v>
      </c>
      <c r="B2002" t="s">
        <v>50</v>
      </c>
      <c r="C2002">
        <v>498</v>
      </c>
      <c r="D2002">
        <f>IF(cukier10[[#This Row],[nip_klienta]]=B2001,D2001+cukier10[[#This Row],[sprzedany_cukier]],cukier10[[#This Row],[sprzedany_cukier]])</f>
        <v>12986</v>
      </c>
      <c r="E2002" cm="1">
        <f t="array" ref="E20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02">
        <f>cukier10[[#This Row],[sprzedany_cukier]]*cukier10[[#This Row],[rabat]]</f>
        <v>99.600000000000009</v>
      </c>
    </row>
    <row r="2003" spans="1:6" x14ac:dyDescent="0.25">
      <c r="A2003" s="1">
        <v>40012</v>
      </c>
      <c r="B2003" t="s">
        <v>50</v>
      </c>
      <c r="C2003">
        <v>260</v>
      </c>
      <c r="D2003">
        <f>IF(cukier10[[#This Row],[nip_klienta]]=B2002,D2002+cukier10[[#This Row],[sprzedany_cukier]],cukier10[[#This Row],[sprzedany_cukier]])</f>
        <v>13246</v>
      </c>
      <c r="E2003" cm="1">
        <f t="array" ref="E20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03">
        <f>cukier10[[#This Row],[sprzedany_cukier]]*cukier10[[#This Row],[rabat]]</f>
        <v>52</v>
      </c>
    </row>
    <row r="2004" spans="1:6" x14ac:dyDescent="0.25">
      <c r="A2004" s="1">
        <v>40014</v>
      </c>
      <c r="B2004" t="s">
        <v>50</v>
      </c>
      <c r="C2004">
        <v>144</v>
      </c>
      <c r="D2004">
        <f>IF(cukier10[[#This Row],[nip_klienta]]=B2003,D2003+cukier10[[#This Row],[sprzedany_cukier]],cukier10[[#This Row],[sprzedany_cukier]])</f>
        <v>13390</v>
      </c>
      <c r="E2004" cm="1">
        <f t="array" ref="E20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04">
        <f>cukier10[[#This Row],[sprzedany_cukier]]*cukier10[[#This Row],[rabat]]</f>
        <v>28.8</v>
      </c>
    </row>
    <row r="2005" spans="1:6" x14ac:dyDescent="0.25">
      <c r="A2005" s="1">
        <v>40039</v>
      </c>
      <c r="B2005" t="s">
        <v>50</v>
      </c>
      <c r="C2005">
        <v>493</v>
      </c>
      <c r="D2005">
        <f>IF(cukier10[[#This Row],[nip_klienta]]=B2004,D2004+cukier10[[#This Row],[sprzedany_cukier]],cukier10[[#This Row],[sprzedany_cukier]])</f>
        <v>13883</v>
      </c>
      <c r="E2005" cm="1">
        <f t="array" ref="E20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05">
        <f>cukier10[[#This Row],[sprzedany_cukier]]*cukier10[[#This Row],[rabat]]</f>
        <v>98.600000000000009</v>
      </c>
    </row>
    <row r="2006" spans="1:6" x14ac:dyDescent="0.25">
      <c r="A2006" s="1">
        <v>40056</v>
      </c>
      <c r="B2006" t="s">
        <v>50</v>
      </c>
      <c r="C2006">
        <v>133</v>
      </c>
      <c r="D2006">
        <f>IF(cukier10[[#This Row],[nip_klienta]]=B2005,D2005+cukier10[[#This Row],[sprzedany_cukier]],cukier10[[#This Row],[sprzedany_cukier]])</f>
        <v>14016</v>
      </c>
      <c r="E2006" cm="1">
        <f t="array" ref="E20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06">
        <f>cukier10[[#This Row],[sprzedany_cukier]]*cukier10[[#This Row],[rabat]]</f>
        <v>26.6</v>
      </c>
    </row>
    <row r="2007" spans="1:6" x14ac:dyDescent="0.25">
      <c r="A2007" s="1">
        <v>40173</v>
      </c>
      <c r="B2007" t="s">
        <v>50</v>
      </c>
      <c r="C2007">
        <v>294</v>
      </c>
      <c r="D2007">
        <f>IF(cukier10[[#This Row],[nip_klienta]]=B2006,D2006+cukier10[[#This Row],[sprzedany_cukier]],cukier10[[#This Row],[sprzedany_cukier]])</f>
        <v>14310</v>
      </c>
      <c r="E2007" cm="1">
        <f t="array" ref="E20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07">
        <f>cukier10[[#This Row],[sprzedany_cukier]]*cukier10[[#This Row],[rabat]]</f>
        <v>58.800000000000004</v>
      </c>
    </row>
    <row r="2008" spans="1:6" x14ac:dyDescent="0.25">
      <c r="A2008" s="1">
        <v>40194</v>
      </c>
      <c r="B2008" t="s">
        <v>50</v>
      </c>
      <c r="C2008">
        <v>221</v>
      </c>
      <c r="D2008">
        <f>IF(cukier10[[#This Row],[nip_klienta]]=B2007,D2007+cukier10[[#This Row],[sprzedany_cukier]],cukier10[[#This Row],[sprzedany_cukier]])</f>
        <v>14531</v>
      </c>
      <c r="E2008" cm="1">
        <f t="array" ref="E20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08">
        <f>cukier10[[#This Row],[sprzedany_cukier]]*cukier10[[#This Row],[rabat]]</f>
        <v>44.2</v>
      </c>
    </row>
    <row r="2009" spans="1:6" x14ac:dyDescent="0.25">
      <c r="A2009" s="1">
        <v>40214</v>
      </c>
      <c r="B2009" t="s">
        <v>50</v>
      </c>
      <c r="C2009">
        <v>347</v>
      </c>
      <c r="D2009">
        <f>IF(cukier10[[#This Row],[nip_klienta]]=B2008,D2008+cukier10[[#This Row],[sprzedany_cukier]],cukier10[[#This Row],[sprzedany_cukier]])</f>
        <v>14878</v>
      </c>
      <c r="E2009" cm="1">
        <f t="array" ref="E20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09">
        <f>cukier10[[#This Row],[sprzedany_cukier]]*cukier10[[#This Row],[rabat]]</f>
        <v>69.400000000000006</v>
      </c>
    </row>
    <row r="2010" spans="1:6" x14ac:dyDescent="0.25">
      <c r="A2010" s="1">
        <v>40303</v>
      </c>
      <c r="B2010" t="s">
        <v>50</v>
      </c>
      <c r="C2010">
        <v>139</v>
      </c>
      <c r="D2010">
        <f>IF(cukier10[[#This Row],[nip_klienta]]=B2009,D2009+cukier10[[#This Row],[sprzedany_cukier]],cukier10[[#This Row],[sprzedany_cukier]])</f>
        <v>15017</v>
      </c>
      <c r="E2010" cm="1">
        <f t="array" ref="E20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10">
        <f>cukier10[[#This Row],[sprzedany_cukier]]*cukier10[[#This Row],[rabat]]</f>
        <v>27.8</v>
      </c>
    </row>
    <row r="2011" spans="1:6" x14ac:dyDescent="0.25">
      <c r="A2011" s="1">
        <v>40323</v>
      </c>
      <c r="B2011" t="s">
        <v>50</v>
      </c>
      <c r="C2011">
        <v>311</v>
      </c>
      <c r="D2011">
        <f>IF(cukier10[[#This Row],[nip_klienta]]=B2010,D2010+cukier10[[#This Row],[sprzedany_cukier]],cukier10[[#This Row],[sprzedany_cukier]])</f>
        <v>15328</v>
      </c>
      <c r="E2011" cm="1">
        <f t="array" ref="E20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11">
        <f>cukier10[[#This Row],[sprzedany_cukier]]*cukier10[[#This Row],[rabat]]</f>
        <v>62.2</v>
      </c>
    </row>
    <row r="2012" spans="1:6" x14ac:dyDescent="0.25">
      <c r="A2012" s="1">
        <v>40447</v>
      </c>
      <c r="B2012" t="s">
        <v>50</v>
      </c>
      <c r="C2012">
        <v>274</v>
      </c>
      <c r="D2012">
        <f>IF(cukier10[[#This Row],[nip_klienta]]=B2011,D2011+cukier10[[#This Row],[sprzedany_cukier]],cukier10[[#This Row],[sprzedany_cukier]])</f>
        <v>15602</v>
      </c>
      <c r="E2012" cm="1">
        <f t="array" ref="E20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12">
        <f>cukier10[[#This Row],[sprzedany_cukier]]*cukier10[[#This Row],[rabat]]</f>
        <v>54.800000000000004</v>
      </c>
    </row>
    <row r="2013" spans="1:6" x14ac:dyDescent="0.25">
      <c r="A2013" s="1">
        <v>40456</v>
      </c>
      <c r="B2013" t="s">
        <v>50</v>
      </c>
      <c r="C2013">
        <v>217</v>
      </c>
      <c r="D2013">
        <f>IF(cukier10[[#This Row],[nip_klienta]]=B2012,D2012+cukier10[[#This Row],[sprzedany_cukier]],cukier10[[#This Row],[sprzedany_cukier]])</f>
        <v>15819</v>
      </c>
      <c r="E2013" cm="1">
        <f t="array" ref="E20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13">
        <f>cukier10[[#This Row],[sprzedany_cukier]]*cukier10[[#This Row],[rabat]]</f>
        <v>43.400000000000006</v>
      </c>
    </row>
    <row r="2014" spans="1:6" x14ac:dyDescent="0.25">
      <c r="A2014" s="1">
        <v>40574</v>
      </c>
      <c r="B2014" t="s">
        <v>50</v>
      </c>
      <c r="C2014">
        <v>423</v>
      </c>
      <c r="D2014">
        <f>IF(cukier10[[#This Row],[nip_klienta]]=B2013,D2013+cukier10[[#This Row],[sprzedany_cukier]],cukier10[[#This Row],[sprzedany_cukier]])</f>
        <v>16242</v>
      </c>
      <c r="E2014" cm="1">
        <f t="array" ref="E20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14">
        <f>cukier10[[#This Row],[sprzedany_cukier]]*cukier10[[#This Row],[rabat]]</f>
        <v>84.600000000000009</v>
      </c>
    </row>
    <row r="2015" spans="1:6" x14ac:dyDescent="0.25">
      <c r="A2015" s="1">
        <v>40662</v>
      </c>
      <c r="B2015" t="s">
        <v>50</v>
      </c>
      <c r="C2015">
        <v>478</v>
      </c>
      <c r="D2015">
        <f>IF(cukier10[[#This Row],[nip_klienta]]=B2014,D2014+cukier10[[#This Row],[sprzedany_cukier]],cukier10[[#This Row],[sprzedany_cukier]])</f>
        <v>16720</v>
      </c>
      <c r="E2015" cm="1">
        <f t="array" ref="E20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15">
        <f>cukier10[[#This Row],[sprzedany_cukier]]*cukier10[[#This Row],[rabat]]</f>
        <v>95.600000000000009</v>
      </c>
    </row>
    <row r="2016" spans="1:6" x14ac:dyDescent="0.25">
      <c r="A2016" s="1">
        <v>40704</v>
      </c>
      <c r="B2016" t="s">
        <v>50</v>
      </c>
      <c r="C2016">
        <v>476</v>
      </c>
      <c r="D2016">
        <f>IF(cukier10[[#This Row],[nip_klienta]]=B2015,D2015+cukier10[[#This Row],[sprzedany_cukier]],cukier10[[#This Row],[sprzedany_cukier]])</f>
        <v>17196</v>
      </c>
      <c r="E2016" cm="1">
        <f t="array" ref="E20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16">
        <f>cukier10[[#This Row],[sprzedany_cukier]]*cukier10[[#This Row],[rabat]]</f>
        <v>95.2</v>
      </c>
    </row>
    <row r="2017" spans="1:6" x14ac:dyDescent="0.25">
      <c r="A2017" s="1">
        <v>40830</v>
      </c>
      <c r="B2017" t="s">
        <v>50</v>
      </c>
      <c r="C2017">
        <v>274</v>
      </c>
      <c r="D2017">
        <f>IF(cukier10[[#This Row],[nip_klienta]]=B2016,D2016+cukier10[[#This Row],[sprzedany_cukier]],cukier10[[#This Row],[sprzedany_cukier]])</f>
        <v>17470</v>
      </c>
      <c r="E2017" cm="1">
        <f t="array" ref="E20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17">
        <f>cukier10[[#This Row],[sprzedany_cukier]]*cukier10[[#This Row],[rabat]]</f>
        <v>54.800000000000004</v>
      </c>
    </row>
    <row r="2018" spans="1:6" x14ac:dyDescent="0.25">
      <c r="A2018" s="1">
        <v>40837</v>
      </c>
      <c r="B2018" t="s">
        <v>50</v>
      </c>
      <c r="C2018">
        <v>496</v>
      </c>
      <c r="D2018">
        <f>IF(cukier10[[#This Row],[nip_klienta]]=B2017,D2017+cukier10[[#This Row],[sprzedany_cukier]],cukier10[[#This Row],[sprzedany_cukier]])</f>
        <v>17966</v>
      </c>
      <c r="E2018" cm="1">
        <f t="array" ref="E20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18">
        <f>cukier10[[#This Row],[sprzedany_cukier]]*cukier10[[#This Row],[rabat]]</f>
        <v>99.2</v>
      </c>
    </row>
    <row r="2019" spans="1:6" x14ac:dyDescent="0.25">
      <c r="A2019" s="1">
        <v>40935</v>
      </c>
      <c r="B2019" t="s">
        <v>50</v>
      </c>
      <c r="C2019">
        <v>201</v>
      </c>
      <c r="D2019">
        <f>IF(cukier10[[#This Row],[nip_klienta]]=B2018,D2018+cukier10[[#This Row],[sprzedany_cukier]],cukier10[[#This Row],[sprzedany_cukier]])</f>
        <v>18167</v>
      </c>
      <c r="E2019" cm="1">
        <f t="array" ref="E20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19">
        <f>cukier10[[#This Row],[sprzedany_cukier]]*cukier10[[#This Row],[rabat]]</f>
        <v>40.200000000000003</v>
      </c>
    </row>
    <row r="2020" spans="1:6" x14ac:dyDescent="0.25">
      <c r="A2020" s="1">
        <v>40956</v>
      </c>
      <c r="B2020" t="s">
        <v>50</v>
      </c>
      <c r="C2020">
        <v>288</v>
      </c>
      <c r="D2020">
        <f>IF(cukier10[[#This Row],[nip_klienta]]=B2019,D2019+cukier10[[#This Row],[sprzedany_cukier]],cukier10[[#This Row],[sprzedany_cukier]])</f>
        <v>18455</v>
      </c>
      <c r="E2020" cm="1">
        <f t="array" ref="E20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20">
        <f>cukier10[[#This Row],[sprzedany_cukier]]*cukier10[[#This Row],[rabat]]</f>
        <v>57.6</v>
      </c>
    </row>
    <row r="2021" spans="1:6" x14ac:dyDescent="0.25">
      <c r="A2021" s="1">
        <v>41034</v>
      </c>
      <c r="B2021" t="s">
        <v>50</v>
      </c>
      <c r="C2021">
        <v>301</v>
      </c>
      <c r="D2021">
        <f>IF(cukier10[[#This Row],[nip_klienta]]=B2020,D2020+cukier10[[#This Row],[sprzedany_cukier]],cukier10[[#This Row],[sprzedany_cukier]])</f>
        <v>18756</v>
      </c>
      <c r="E2021" cm="1">
        <f t="array" ref="E20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21">
        <f>cukier10[[#This Row],[sprzedany_cukier]]*cukier10[[#This Row],[rabat]]</f>
        <v>60.2</v>
      </c>
    </row>
    <row r="2022" spans="1:6" x14ac:dyDescent="0.25">
      <c r="A2022" s="1">
        <v>41052</v>
      </c>
      <c r="B2022" t="s">
        <v>50</v>
      </c>
      <c r="C2022">
        <v>179</v>
      </c>
      <c r="D2022">
        <f>IF(cukier10[[#This Row],[nip_klienta]]=B2021,D2021+cukier10[[#This Row],[sprzedany_cukier]],cukier10[[#This Row],[sprzedany_cukier]])</f>
        <v>18935</v>
      </c>
      <c r="E2022" cm="1">
        <f t="array" ref="E20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22">
        <f>cukier10[[#This Row],[sprzedany_cukier]]*cukier10[[#This Row],[rabat]]</f>
        <v>35.800000000000004</v>
      </c>
    </row>
    <row r="2023" spans="1:6" x14ac:dyDescent="0.25">
      <c r="A2023" s="1">
        <v>41054</v>
      </c>
      <c r="B2023" t="s">
        <v>50</v>
      </c>
      <c r="C2023">
        <v>335</v>
      </c>
      <c r="D2023">
        <f>IF(cukier10[[#This Row],[nip_klienta]]=B2022,D2022+cukier10[[#This Row],[sprzedany_cukier]],cukier10[[#This Row],[sprzedany_cukier]])</f>
        <v>19270</v>
      </c>
      <c r="E2023" cm="1">
        <f t="array" ref="E20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23">
        <f>cukier10[[#This Row],[sprzedany_cukier]]*cukier10[[#This Row],[rabat]]</f>
        <v>67</v>
      </c>
    </row>
    <row r="2024" spans="1:6" x14ac:dyDescent="0.25">
      <c r="A2024" s="1">
        <v>41061</v>
      </c>
      <c r="B2024" t="s">
        <v>50</v>
      </c>
      <c r="C2024">
        <v>237</v>
      </c>
      <c r="D2024">
        <f>IF(cukier10[[#This Row],[nip_klienta]]=B2023,D2023+cukier10[[#This Row],[sprzedany_cukier]],cukier10[[#This Row],[sprzedany_cukier]])</f>
        <v>19507</v>
      </c>
      <c r="E2024" cm="1">
        <f t="array" ref="E20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24">
        <f>cukier10[[#This Row],[sprzedany_cukier]]*cukier10[[#This Row],[rabat]]</f>
        <v>47.400000000000006</v>
      </c>
    </row>
    <row r="2025" spans="1:6" x14ac:dyDescent="0.25">
      <c r="A2025" s="1">
        <v>41076</v>
      </c>
      <c r="B2025" t="s">
        <v>50</v>
      </c>
      <c r="C2025">
        <v>221</v>
      </c>
      <c r="D2025">
        <f>IF(cukier10[[#This Row],[nip_klienta]]=B2024,D2024+cukier10[[#This Row],[sprzedany_cukier]],cukier10[[#This Row],[sprzedany_cukier]])</f>
        <v>19728</v>
      </c>
      <c r="E2025" cm="1">
        <f t="array" ref="E20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25">
        <f>cukier10[[#This Row],[sprzedany_cukier]]*cukier10[[#This Row],[rabat]]</f>
        <v>44.2</v>
      </c>
    </row>
    <row r="2026" spans="1:6" x14ac:dyDescent="0.25">
      <c r="A2026" s="1">
        <v>41130</v>
      </c>
      <c r="B2026" t="s">
        <v>50</v>
      </c>
      <c r="C2026">
        <v>349</v>
      </c>
      <c r="D2026">
        <f>IF(cukier10[[#This Row],[nip_klienta]]=B2025,D2025+cukier10[[#This Row],[sprzedany_cukier]],cukier10[[#This Row],[sprzedany_cukier]])</f>
        <v>20077</v>
      </c>
      <c r="E2026" cm="1">
        <f t="array" ref="E20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26">
        <f>cukier10[[#This Row],[sprzedany_cukier]]*cukier10[[#This Row],[rabat]]</f>
        <v>69.8</v>
      </c>
    </row>
    <row r="2027" spans="1:6" x14ac:dyDescent="0.25">
      <c r="A2027" s="1">
        <v>41148</v>
      </c>
      <c r="B2027" t="s">
        <v>50</v>
      </c>
      <c r="C2027">
        <v>115</v>
      </c>
      <c r="D2027">
        <f>IF(cukier10[[#This Row],[nip_klienta]]=B2026,D2026+cukier10[[#This Row],[sprzedany_cukier]],cukier10[[#This Row],[sprzedany_cukier]])</f>
        <v>20192</v>
      </c>
      <c r="E2027" cm="1">
        <f t="array" ref="E20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27">
        <f>cukier10[[#This Row],[sprzedany_cukier]]*cukier10[[#This Row],[rabat]]</f>
        <v>23</v>
      </c>
    </row>
    <row r="2028" spans="1:6" x14ac:dyDescent="0.25">
      <c r="A2028" s="1">
        <v>41252</v>
      </c>
      <c r="B2028" t="s">
        <v>50</v>
      </c>
      <c r="C2028">
        <v>319</v>
      </c>
      <c r="D2028">
        <f>IF(cukier10[[#This Row],[nip_klienta]]=B2027,D2027+cukier10[[#This Row],[sprzedany_cukier]],cukier10[[#This Row],[sprzedany_cukier]])</f>
        <v>20511</v>
      </c>
      <c r="E2028" cm="1">
        <f t="array" ref="E20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28">
        <f>cukier10[[#This Row],[sprzedany_cukier]]*cukier10[[#This Row],[rabat]]</f>
        <v>63.800000000000004</v>
      </c>
    </row>
    <row r="2029" spans="1:6" x14ac:dyDescent="0.25">
      <c r="A2029" s="1">
        <v>41456</v>
      </c>
      <c r="B2029" t="s">
        <v>50</v>
      </c>
      <c r="C2029">
        <v>424</v>
      </c>
      <c r="D2029">
        <f>IF(cukier10[[#This Row],[nip_klienta]]=B2028,D2028+cukier10[[#This Row],[sprzedany_cukier]],cukier10[[#This Row],[sprzedany_cukier]])</f>
        <v>20935</v>
      </c>
      <c r="E2029" cm="1">
        <f t="array" ref="E20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29">
        <f>cukier10[[#This Row],[sprzedany_cukier]]*cukier10[[#This Row],[rabat]]</f>
        <v>84.800000000000011</v>
      </c>
    </row>
    <row r="2030" spans="1:6" x14ac:dyDescent="0.25">
      <c r="A2030" s="1">
        <v>41681</v>
      </c>
      <c r="B2030" t="s">
        <v>50</v>
      </c>
      <c r="C2030">
        <v>166</v>
      </c>
      <c r="D2030">
        <f>IF(cukier10[[#This Row],[nip_klienta]]=B2029,D2029+cukier10[[#This Row],[sprzedany_cukier]],cukier10[[#This Row],[sprzedany_cukier]])</f>
        <v>21101</v>
      </c>
      <c r="E2030" cm="1">
        <f t="array" ref="E20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30">
        <f>cukier10[[#This Row],[sprzedany_cukier]]*cukier10[[#This Row],[rabat]]</f>
        <v>33.200000000000003</v>
      </c>
    </row>
    <row r="2031" spans="1:6" x14ac:dyDescent="0.25">
      <c r="A2031" s="1">
        <v>41750</v>
      </c>
      <c r="B2031" t="s">
        <v>50</v>
      </c>
      <c r="C2031">
        <v>254</v>
      </c>
      <c r="D2031">
        <f>IF(cukier10[[#This Row],[nip_klienta]]=B2030,D2030+cukier10[[#This Row],[sprzedany_cukier]],cukier10[[#This Row],[sprzedany_cukier]])</f>
        <v>21355</v>
      </c>
      <c r="E2031" cm="1">
        <f t="array" ref="E20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31">
        <f>cukier10[[#This Row],[sprzedany_cukier]]*cukier10[[#This Row],[rabat]]</f>
        <v>50.800000000000004</v>
      </c>
    </row>
    <row r="2032" spans="1:6" x14ac:dyDescent="0.25">
      <c r="A2032" s="1">
        <v>41784</v>
      </c>
      <c r="B2032" t="s">
        <v>50</v>
      </c>
      <c r="C2032">
        <v>101</v>
      </c>
      <c r="D2032">
        <f>IF(cukier10[[#This Row],[nip_klienta]]=B2031,D2031+cukier10[[#This Row],[sprzedany_cukier]],cukier10[[#This Row],[sprzedany_cukier]])</f>
        <v>21456</v>
      </c>
      <c r="E2032" cm="1">
        <f t="array" ref="E20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32">
        <f>cukier10[[#This Row],[sprzedany_cukier]]*cukier10[[#This Row],[rabat]]</f>
        <v>20.200000000000003</v>
      </c>
    </row>
    <row r="2033" spans="1:6" x14ac:dyDescent="0.25">
      <c r="A2033" s="1">
        <v>41853</v>
      </c>
      <c r="B2033" t="s">
        <v>50</v>
      </c>
      <c r="C2033">
        <v>455</v>
      </c>
      <c r="D2033">
        <f>IF(cukier10[[#This Row],[nip_klienta]]=B2032,D2032+cukier10[[#This Row],[sprzedany_cukier]],cukier10[[#This Row],[sprzedany_cukier]])</f>
        <v>21911</v>
      </c>
      <c r="E2033" cm="1">
        <f t="array" ref="E20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33">
        <f>cukier10[[#This Row],[sprzedany_cukier]]*cukier10[[#This Row],[rabat]]</f>
        <v>91</v>
      </c>
    </row>
    <row r="2034" spans="1:6" x14ac:dyDescent="0.25">
      <c r="A2034" s="1">
        <v>41863</v>
      </c>
      <c r="B2034" t="s">
        <v>50</v>
      </c>
      <c r="C2034">
        <v>138</v>
      </c>
      <c r="D2034">
        <f>IF(cukier10[[#This Row],[nip_klienta]]=B2033,D2033+cukier10[[#This Row],[sprzedany_cukier]],cukier10[[#This Row],[sprzedany_cukier]])</f>
        <v>22049</v>
      </c>
      <c r="E2034" cm="1">
        <f t="array" ref="E20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34">
        <f>cukier10[[#This Row],[sprzedany_cukier]]*cukier10[[#This Row],[rabat]]</f>
        <v>27.6</v>
      </c>
    </row>
    <row r="2035" spans="1:6" x14ac:dyDescent="0.25">
      <c r="A2035" s="1">
        <v>41864</v>
      </c>
      <c r="B2035" t="s">
        <v>50</v>
      </c>
      <c r="C2035">
        <v>303</v>
      </c>
      <c r="D2035">
        <f>IF(cukier10[[#This Row],[nip_klienta]]=B2034,D2034+cukier10[[#This Row],[sprzedany_cukier]],cukier10[[#This Row],[sprzedany_cukier]])</f>
        <v>22352</v>
      </c>
      <c r="E2035" cm="1">
        <f t="array" ref="E20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0.2</v>
      </c>
      <c r="F2035">
        <f>cukier10[[#This Row],[sprzedany_cukier]]*cukier10[[#This Row],[rabat]]</f>
        <v>60.6</v>
      </c>
    </row>
    <row r="2036" spans="1:6" x14ac:dyDescent="0.25">
      <c r="A2036" s="1">
        <v>40510</v>
      </c>
      <c r="B2036" t="s">
        <v>215</v>
      </c>
      <c r="C2036">
        <v>9</v>
      </c>
      <c r="D2036">
        <f>IF(cukier10[[#This Row],[nip_klienta]]=B2035,D2035+cukier10[[#This Row],[sprzedany_cukier]],cukier10[[#This Row],[sprzedany_cukier]])</f>
        <v>9</v>
      </c>
      <c r="E2036" cm="1">
        <f t="array" ref="E20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36">
        <f>cukier10[[#This Row],[sprzedany_cukier]]*cukier10[[#This Row],[rabat]]</f>
        <v>0</v>
      </c>
    </row>
    <row r="2037" spans="1:6" x14ac:dyDescent="0.25">
      <c r="A2037" s="1">
        <v>41656</v>
      </c>
      <c r="B2037" t="s">
        <v>215</v>
      </c>
      <c r="C2037">
        <v>14</v>
      </c>
      <c r="D2037">
        <f>IF(cukier10[[#This Row],[nip_klienta]]=B2036,D2036+cukier10[[#This Row],[sprzedany_cukier]],cukier10[[#This Row],[sprzedany_cukier]])</f>
        <v>23</v>
      </c>
      <c r="E2037" cm="1">
        <f t="array" ref="E20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37">
        <f>cukier10[[#This Row],[sprzedany_cukier]]*cukier10[[#This Row],[rabat]]</f>
        <v>0</v>
      </c>
    </row>
    <row r="2038" spans="1:6" x14ac:dyDescent="0.25">
      <c r="A2038" s="1">
        <v>38362</v>
      </c>
      <c r="B2038" t="s">
        <v>3</v>
      </c>
      <c r="C2038">
        <v>5</v>
      </c>
      <c r="D2038">
        <f>IF(cukier10[[#This Row],[nip_klienta]]=B2037,D2037+cukier10[[#This Row],[sprzedany_cukier]],cukier10[[#This Row],[sprzedany_cukier]])</f>
        <v>5</v>
      </c>
      <c r="E2038" cm="1">
        <f t="array" ref="E20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38">
        <f>cukier10[[#This Row],[sprzedany_cukier]]*cukier10[[#This Row],[rabat]]</f>
        <v>0</v>
      </c>
    </row>
    <row r="2039" spans="1:6" x14ac:dyDescent="0.25">
      <c r="A2039" s="1">
        <v>38515</v>
      </c>
      <c r="B2039" t="s">
        <v>3</v>
      </c>
      <c r="C2039">
        <v>9</v>
      </c>
      <c r="D2039">
        <f>IF(cukier10[[#This Row],[nip_klienta]]=B2038,D2038+cukier10[[#This Row],[sprzedany_cukier]],cukier10[[#This Row],[sprzedany_cukier]])</f>
        <v>14</v>
      </c>
      <c r="E2039" cm="1">
        <f t="array" ref="E20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39">
        <f>cukier10[[#This Row],[sprzedany_cukier]]*cukier10[[#This Row],[rabat]]</f>
        <v>0</v>
      </c>
    </row>
    <row r="2040" spans="1:6" x14ac:dyDescent="0.25">
      <c r="A2040" s="1">
        <v>39696</v>
      </c>
      <c r="B2040" t="s">
        <v>3</v>
      </c>
      <c r="C2040">
        <v>6</v>
      </c>
      <c r="D2040">
        <f>IF(cukier10[[#This Row],[nip_klienta]]=B2039,D2039+cukier10[[#This Row],[sprzedany_cukier]],cukier10[[#This Row],[sprzedany_cukier]])</f>
        <v>20</v>
      </c>
      <c r="E2040" cm="1">
        <f t="array" ref="E20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40">
        <f>cukier10[[#This Row],[sprzedany_cukier]]*cukier10[[#This Row],[rabat]]</f>
        <v>0</v>
      </c>
    </row>
    <row r="2041" spans="1:6" x14ac:dyDescent="0.25">
      <c r="A2041" s="1">
        <v>41275</v>
      </c>
      <c r="B2041" t="s">
        <v>3</v>
      </c>
      <c r="C2041">
        <v>7</v>
      </c>
      <c r="D2041">
        <f>IF(cukier10[[#This Row],[nip_klienta]]=B2040,D2040+cukier10[[#This Row],[sprzedany_cukier]],cukier10[[#This Row],[sprzedany_cukier]])</f>
        <v>27</v>
      </c>
      <c r="E2041" cm="1">
        <f t="array" ref="E20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41">
        <f>cukier10[[#This Row],[sprzedany_cukier]]*cukier10[[#This Row],[rabat]]</f>
        <v>0</v>
      </c>
    </row>
    <row r="2042" spans="1:6" x14ac:dyDescent="0.25">
      <c r="A2042" s="1">
        <v>41475</v>
      </c>
      <c r="B2042" t="s">
        <v>3</v>
      </c>
      <c r="C2042">
        <v>5</v>
      </c>
      <c r="D2042">
        <f>IF(cukier10[[#This Row],[nip_klienta]]=B2041,D2041+cukier10[[#This Row],[sprzedany_cukier]],cukier10[[#This Row],[sprzedany_cukier]])</f>
        <v>32</v>
      </c>
      <c r="E2042" cm="1">
        <f t="array" ref="E20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42">
        <f>cukier10[[#This Row],[sprzedany_cukier]]*cukier10[[#This Row],[rabat]]</f>
        <v>0</v>
      </c>
    </row>
    <row r="2043" spans="1:6" x14ac:dyDescent="0.25">
      <c r="A2043" s="1">
        <v>38911</v>
      </c>
      <c r="B2043" t="s">
        <v>120</v>
      </c>
      <c r="C2043">
        <v>88</v>
      </c>
      <c r="D2043">
        <f>IF(cukier10[[#This Row],[nip_klienta]]=B2042,D2042+cukier10[[#This Row],[sprzedany_cukier]],cukier10[[#This Row],[sprzedany_cukier]])</f>
        <v>88</v>
      </c>
      <c r="E2043" cm="1">
        <f t="array" ref="E20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43">
        <f>cukier10[[#This Row],[sprzedany_cukier]]*cukier10[[#This Row],[rabat]]</f>
        <v>0</v>
      </c>
    </row>
    <row r="2044" spans="1:6" x14ac:dyDescent="0.25">
      <c r="A2044" s="1">
        <v>39350</v>
      </c>
      <c r="B2044" t="s">
        <v>120</v>
      </c>
      <c r="C2044">
        <v>78</v>
      </c>
      <c r="D2044">
        <f>IF(cukier10[[#This Row],[nip_klienta]]=B2043,D2043+cukier10[[#This Row],[sprzedany_cukier]],cukier10[[#This Row],[sprzedany_cukier]])</f>
        <v>166</v>
      </c>
      <c r="E2044" cm="1">
        <f t="array" ref="E20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044">
        <f>cukier10[[#This Row],[sprzedany_cukier]]*cukier10[[#This Row],[rabat]]</f>
        <v>3.9000000000000004</v>
      </c>
    </row>
    <row r="2045" spans="1:6" x14ac:dyDescent="0.25">
      <c r="A2045" s="1">
        <v>40013</v>
      </c>
      <c r="B2045" t="s">
        <v>120</v>
      </c>
      <c r="C2045">
        <v>181</v>
      </c>
      <c r="D2045">
        <f>IF(cukier10[[#This Row],[nip_klienta]]=B2044,D2044+cukier10[[#This Row],[sprzedany_cukier]],cukier10[[#This Row],[sprzedany_cukier]])</f>
        <v>347</v>
      </c>
      <c r="E2045" cm="1">
        <f t="array" ref="E20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045">
        <f>cukier10[[#This Row],[sprzedany_cukier]]*cukier10[[#This Row],[rabat]]</f>
        <v>9.0500000000000007</v>
      </c>
    </row>
    <row r="2046" spans="1:6" x14ac:dyDescent="0.25">
      <c r="A2046" s="1">
        <v>40128</v>
      </c>
      <c r="B2046" t="s">
        <v>120</v>
      </c>
      <c r="C2046">
        <v>102</v>
      </c>
      <c r="D2046">
        <f>IF(cukier10[[#This Row],[nip_klienta]]=B2045,D2045+cukier10[[#This Row],[sprzedany_cukier]],cukier10[[#This Row],[sprzedany_cukier]])</f>
        <v>449</v>
      </c>
      <c r="E2046" cm="1">
        <f t="array" ref="E20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046">
        <f>cukier10[[#This Row],[sprzedany_cukier]]*cukier10[[#This Row],[rabat]]</f>
        <v>5.1000000000000005</v>
      </c>
    </row>
    <row r="2047" spans="1:6" x14ac:dyDescent="0.25">
      <c r="A2047" s="1">
        <v>40771</v>
      </c>
      <c r="B2047" t="s">
        <v>120</v>
      </c>
      <c r="C2047">
        <v>140</v>
      </c>
      <c r="D2047">
        <f>IF(cukier10[[#This Row],[nip_klienta]]=B2046,D2046+cukier10[[#This Row],[sprzedany_cukier]],cukier10[[#This Row],[sprzedany_cukier]])</f>
        <v>589</v>
      </c>
      <c r="E2047" cm="1">
        <f t="array" ref="E20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047">
        <f>cukier10[[#This Row],[sprzedany_cukier]]*cukier10[[#This Row],[rabat]]</f>
        <v>7</v>
      </c>
    </row>
    <row r="2048" spans="1:6" x14ac:dyDescent="0.25">
      <c r="A2048" s="1">
        <v>41512</v>
      </c>
      <c r="B2048" t="s">
        <v>120</v>
      </c>
      <c r="C2048">
        <v>170</v>
      </c>
      <c r="D2048">
        <f>IF(cukier10[[#This Row],[nip_klienta]]=B2047,D2047+cukier10[[#This Row],[sprzedany_cukier]],cukier10[[#This Row],[sprzedany_cukier]])</f>
        <v>759</v>
      </c>
      <c r="E2048" cm="1">
        <f t="array" ref="E20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048">
        <f>cukier10[[#This Row],[sprzedany_cukier]]*cukier10[[#This Row],[rabat]]</f>
        <v>8.5</v>
      </c>
    </row>
    <row r="2049" spans="1:6" x14ac:dyDescent="0.25">
      <c r="A2049" s="1">
        <v>41949</v>
      </c>
      <c r="B2049" t="s">
        <v>120</v>
      </c>
      <c r="C2049">
        <v>56</v>
      </c>
      <c r="D2049">
        <f>IF(cukier10[[#This Row],[nip_klienta]]=B2048,D2048+cukier10[[#This Row],[sprzedany_cukier]],cukier10[[#This Row],[sprzedany_cukier]])</f>
        <v>815</v>
      </c>
      <c r="E2049" cm="1">
        <f t="array" ref="E20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049">
        <f>cukier10[[#This Row],[sprzedany_cukier]]*cukier10[[#This Row],[rabat]]</f>
        <v>2.8000000000000003</v>
      </c>
    </row>
    <row r="2050" spans="1:6" x14ac:dyDescent="0.25">
      <c r="A2050" s="1">
        <v>40212</v>
      </c>
      <c r="B2050" t="s">
        <v>204</v>
      </c>
      <c r="C2050">
        <v>6</v>
      </c>
      <c r="D2050">
        <f>IF(cukier10[[#This Row],[nip_klienta]]=B2049,D2049+cukier10[[#This Row],[sprzedany_cukier]],cukier10[[#This Row],[sprzedany_cukier]])</f>
        <v>6</v>
      </c>
      <c r="E2050" cm="1">
        <f t="array" ref="E20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50">
        <f>cukier10[[#This Row],[sprzedany_cukier]]*cukier10[[#This Row],[rabat]]</f>
        <v>0</v>
      </c>
    </row>
    <row r="2051" spans="1:6" x14ac:dyDescent="0.25">
      <c r="A2051" s="1">
        <v>41793</v>
      </c>
      <c r="B2051" t="s">
        <v>204</v>
      </c>
      <c r="C2051">
        <v>10</v>
      </c>
      <c r="D2051">
        <f>IF(cukier10[[#This Row],[nip_klienta]]=B2050,D2050+cukier10[[#This Row],[sprzedany_cukier]],cukier10[[#This Row],[sprzedany_cukier]])</f>
        <v>16</v>
      </c>
      <c r="E2051" cm="1">
        <f t="array" ref="E20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51">
        <f>cukier10[[#This Row],[sprzedany_cukier]]*cukier10[[#This Row],[rabat]]</f>
        <v>0</v>
      </c>
    </row>
    <row r="2052" spans="1:6" x14ac:dyDescent="0.25">
      <c r="A2052" s="1">
        <v>38667</v>
      </c>
      <c r="B2052" t="s">
        <v>85</v>
      </c>
      <c r="C2052">
        <v>10</v>
      </c>
      <c r="D2052">
        <f>IF(cukier10[[#This Row],[nip_klienta]]=B2051,D2051+cukier10[[#This Row],[sprzedany_cukier]],cukier10[[#This Row],[sprzedany_cukier]])</f>
        <v>10</v>
      </c>
      <c r="E2052" cm="1">
        <f t="array" ref="E20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52">
        <f>cukier10[[#This Row],[sprzedany_cukier]]*cukier10[[#This Row],[rabat]]</f>
        <v>0</v>
      </c>
    </row>
    <row r="2053" spans="1:6" x14ac:dyDescent="0.25">
      <c r="A2053" s="1">
        <v>40218</v>
      </c>
      <c r="B2053" t="s">
        <v>85</v>
      </c>
      <c r="C2053">
        <v>4</v>
      </c>
      <c r="D2053">
        <f>IF(cukier10[[#This Row],[nip_klienta]]=B2052,D2052+cukier10[[#This Row],[sprzedany_cukier]],cukier10[[#This Row],[sprzedany_cukier]])</f>
        <v>14</v>
      </c>
      <c r="E2053" cm="1">
        <f t="array" ref="E20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53">
        <f>cukier10[[#This Row],[sprzedany_cukier]]*cukier10[[#This Row],[rabat]]</f>
        <v>0</v>
      </c>
    </row>
    <row r="2054" spans="1:6" x14ac:dyDescent="0.25">
      <c r="A2054" s="1">
        <v>41614</v>
      </c>
      <c r="B2054" t="s">
        <v>85</v>
      </c>
      <c r="C2054">
        <v>16</v>
      </c>
      <c r="D2054">
        <f>IF(cukier10[[#This Row],[nip_klienta]]=B2053,D2053+cukier10[[#This Row],[sprzedany_cukier]],cukier10[[#This Row],[sprzedany_cukier]])</f>
        <v>30</v>
      </c>
      <c r="E2054" cm="1">
        <f t="array" ref="E20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54">
        <f>cukier10[[#This Row],[sprzedany_cukier]]*cukier10[[#This Row],[rabat]]</f>
        <v>0</v>
      </c>
    </row>
    <row r="2055" spans="1:6" x14ac:dyDescent="0.25">
      <c r="A2055" s="1">
        <v>39060</v>
      </c>
      <c r="B2055" t="s">
        <v>132</v>
      </c>
      <c r="C2055">
        <v>14</v>
      </c>
      <c r="D2055">
        <f>IF(cukier10[[#This Row],[nip_klienta]]=B2054,D2054+cukier10[[#This Row],[sprzedany_cukier]],cukier10[[#This Row],[sprzedany_cukier]])</f>
        <v>14</v>
      </c>
      <c r="E2055" cm="1">
        <f t="array" ref="E20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55">
        <f>cukier10[[#This Row],[sprzedany_cukier]]*cukier10[[#This Row],[rabat]]</f>
        <v>0</v>
      </c>
    </row>
    <row r="2056" spans="1:6" x14ac:dyDescent="0.25">
      <c r="A2056" s="1">
        <v>41248</v>
      </c>
      <c r="B2056" t="s">
        <v>132</v>
      </c>
      <c r="C2056">
        <v>10</v>
      </c>
      <c r="D2056">
        <f>IF(cukier10[[#This Row],[nip_klienta]]=B2055,D2055+cukier10[[#This Row],[sprzedany_cukier]],cukier10[[#This Row],[sprzedany_cukier]])</f>
        <v>24</v>
      </c>
      <c r="E2056" cm="1">
        <f t="array" ref="E20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56">
        <f>cukier10[[#This Row],[sprzedany_cukier]]*cukier10[[#This Row],[rabat]]</f>
        <v>0</v>
      </c>
    </row>
    <row r="2057" spans="1:6" x14ac:dyDescent="0.25">
      <c r="A2057" s="1">
        <v>41375</v>
      </c>
      <c r="B2057" t="s">
        <v>132</v>
      </c>
      <c r="C2057">
        <v>3</v>
      </c>
      <c r="D2057">
        <f>IF(cukier10[[#This Row],[nip_klienta]]=B2056,D2056+cukier10[[#This Row],[sprzedany_cukier]],cukier10[[#This Row],[sprzedany_cukier]])</f>
        <v>27</v>
      </c>
      <c r="E2057" cm="1">
        <f t="array" ref="E20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57">
        <f>cukier10[[#This Row],[sprzedany_cukier]]*cukier10[[#This Row],[rabat]]</f>
        <v>0</v>
      </c>
    </row>
    <row r="2058" spans="1:6" x14ac:dyDescent="0.25">
      <c r="A2058" s="1">
        <v>41966</v>
      </c>
      <c r="B2058" t="s">
        <v>132</v>
      </c>
      <c r="C2058">
        <v>4</v>
      </c>
      <c r="D2058">
        <f>IF(cukier10[[#This Row],[nip_klienta]]=B2057,D2057+cukier10[[#This Row],[sprzedany_cukier]],cukier10[[#This Row],[sprzedany_cukier]])</f>
        <v>31</v>
      </c>
      <c r="E2058" cm="1">
        <f t="array" ref="E20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58">
        <f>cukier10[[#This Row],[sprzedany_cukier]]*cukier10[[#This Row],[rabat]]</f>
        <v>0</v>
      </c>
    </row>
    <row r="2059" spans="1:6" x14ac:dyDescent="0.25">
      <c r="A2059" s="1">
        <v>38420</v>
      </c>
      <c r="B2059" t="s">
        <v>27</v>
      </c>
      <c r="C2059">
        <v>16</v>
      </c>
      <c r="D2059">
        <f>IF(cukier10[[#This Row],[nip_klienta]]=B2058,D2058+cukier10[[#This Row],[sprzedany_cukier]],cukier10[[#This Row],[sprzedany_cukier]])</f>
        <v>16</v>
      </c>
      <c r="E2059" cm="1">
        <f t="array" ref="E20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59">
        <f>cukier10[[#This Row],[sprzedany_cukier]]*cukier10[[#This Row],[rabat]]</f>
        <v>0</v>
      </c>
    </row>
    <row r="2060" spans="1:6" x14ac:dyDescent="0.25">
      <c r="A2060" s="1">
        <v>39109</v>
      </c>
      <c r="B2060" t="s">
        <v>27</v>
      </c>
      <c r="C2060">
        <v>12</v>
      </c>
      <c r="D2060">
        <f>IF(cukier10[[#This Row],[nip_klienta]]=B2059,D2059+cukier10[[#This Row],[sprzedany_cukier]],cukier10[[#This Row],[sprzedany_cukier]])</f>
        <v>28</v>
      </c>
      <c r="E2060" cm="1">
        <f t="array" ref="E20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60">
        <f>cukier10[[#This Row],[sprzedany_cukier]]*cukier10[[#This Row],[rabat]]</f>
        <v>0</v>
      </c>
    </row>
    <row r="2061" spans="1:6" x14ac:dyDescent="0.25">
      <c r="A2061" s="1">
        <v>39512</v>
      </c>
      <c r="B2061" t="s">
        <v>27</v>
      </c>
      <c r="C2061">
        <v>20</v>
      </c>
      <c r="D2061">
        <f>IF(cukier10[[#This Row],[nip_klienta]]=B2060,D2060+cukier10[[#This Row],[sprzedany_cukier]],cukier10[[#This Row],[sprzedany_cukier]])</f>
        <v>48</v>
      </c>
      <c r="E2061" cm="1">
        <f t="array" ref="E20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61">
        <f>cukier10[[#This Row],[sprzedany_cukier]]*cukier10[[#This Row],[rabat]]</f>
        <v>0</v>
      </c>
    </row>
    <row r="2062" spans="1:6" x14ac:dyDescent="0.25">
      <c r="A2062" s="1">
        <v>40158</v>
      </c>
      <c r="B2062" t="s">
        <v>27</v>
      </c>
      <c r="C2062">
        <v>18</v>
      </c>
      <c r="D2062">
        <f>IF(cukier10[[#This Row],[nip_klienta]]=B2061,D2061+cukier10[[#This Row],[sprzedany_cukier]],cukier10[[#This Row],[sprzedany_cukier]])</f>
        <v>66</v>
      </c>
      <c r="E2062" cm="1">
        <f t="array" ref="E20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62">
        <f>cukier10[[#This Row],[sprzedany_cukier]]*cukier10[[#This Row],[rabat]]</f>
        <v>0</v>
      </c>
    </row>
    <row r="2063" spans="1:6" x14ac:dyDescent="0.25">
      <c r="A2063" s="1">
        <v>38440</v>
      </c>
      <c r="B2063" t="s">
        <v>34</v>
      </c>
      <c r="C2063">
        <v>7</v>
      </c>
      <c r="D2063">
        <f>IF(cukier10[[#This Row],[nip_klienta]]=B2062,D2062+cukier10[[#This Row],[sprzedany_cukier]],cukier10[[#This Row],[sprzedany_cukier]])</f>
        <v>7</v>
      </c>
      <c r="E2063" cm="1">
        <f t="array" ref="E20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63">
        <f>cukier10[[#This Row],[sprzedany_cukier]]*cukier10[[#This Row],[rabat]]</f>
        <v>0</v>
      </c>
    </row>
    <row r="2064" spans="1:6" x14ac:dyDescent="0.25">
      <c r="A2064" s="1">
        <v>39318</v>
      </c>
      <c r="B2064" t="s">
        <v>34</v>
      </c>
      <c r="C2064">
        <v>2</v>
      </c>
      <c r="D2064">
        <f>IF(cukier10[[#This Row],[nip_klienta]]=B2063,D2063+cukier10[[#This Row],[sprzedany_cukier]],cukier10[[#This Row],[sprzedany_cukier]])</f>
        <v>9</v>
      </c>
      <c r="E2064" cm="1">
        <f t="array" ref="E206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64">
        <f>cukier10[[#This Row],[sprzedany_cukier]]*cukier10[[#This Row],[rabat]]</f>
        <v>0</v>
      </c>
    </row>
    <row r="2065" spans="1:6" x14ac:dyDescent="0.25">
      <c r="A2065" s="1">
        <v>38826</v>
      </c>
      <c r="B2065" t="s">
        <v>104</v>
      </c>
      <c r="C2065">
        <v>4</v>
      </c>
      <c r="D2065">
        <f>IF(cukier10[[#This Row],[nip_klienta]]=B2064,D2064+cukier10[[#This Row],[sprzedany_cukier]],cukier10[[#This Row],[sprzedany_cukier]])</f>
        <v>4</v>
      </c>
      <c r="E2065" cm="1">
        <f t="array" ref="E206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65">
        <f>cukier10[[#This Row],[sprzedany_cukier]]*cukier10[[#This Row],[rabat]]</f>
        <v>0</v>
      </c>
    </row>
    <row r="2066" spans="1:6" x14ac:dyDescent="0.25">
      <c r="A2066" s="1">
        <v>41053</v>
      </c>
      <c r="B2066" t="s">
        <v>104</v>
      </c>
      <c r="C2066">
        <v>19</v>
      </c>
      <c r="D2066">
        <f>IF(cukier10[[#This Row],[nip_klienta]]=B2065,D2065+cukier10[[#This Row],[sprzedany_cukier]],cukier10[[#This Row],[sprzedany_cukier]])</f>
        <v>23</v>
      </c>
      <c r="E2066" cm="1">
        <f t="array" ref="E206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66">
        <f>cukier10[[#This Row],[sprzedany_cukier]]*cukier10[[#This Row],[rabat]]</f>
        <v>0</v>
      </c>
    </row>
    <row r="2067" spans="1:6" x14ac:dyDescent="0.25">
      <c r="A2067" s="1">
        <v>41916</v>
      </c>
      <c r="B2067" t="s">
        <v>104</v>
      </c>
      <c r="C2067">
        <v>5</v>
      </c>
      <c r="D2067">
        <f>IF(cukier10[[#This Row],[nip_klienta]]=B2066,D2066+cukier10[[#This Row],[sprzedany_cukier]],cukier10[[#This Row],[sprzedany_cukier]])</f>
        <v>28</v>
      </c>
      <c r="E2067" cm="1">
        <f t="array" ref="E206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67">
        <f>cukier10[[#This Row],[sprzedany_cukier]]*cukier10[[#This Row],[rabat]]</f>
        <v>0</v>
      </c>
    </row>
    <row r="2068" spans="1:6" x14ac:dyDescent="0.25">
      <c r="A2068" s="1">
        <v>39344</v>
      </c>
      <c r="B2068" t="s">
        <v>147</v>
      </c>
      <c r="C2068">
        <v>10</v>
      </c>
      <c r="D2068">
        <f>IF(cukier10[[#This Row],[nip_klienta]]=B2067,D2067+cukier10[[#This Row],[sprzedany_cukier]],cukier10[[#This Row],[sprzedany_cukier]])</f>
        <v>10</v>
      </c>
      <c r="E2068" cm="1">
        <f t="array" ref="E206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68">
        <f>cukier10[[#This Row],[sprzedany_cukier]]*cukier10[[#This Row],[rabat]]</f>
        <v>0</v>
      </c>
    </row>
    <row r="2069" spans="1:6" x14ac:dyDescent="0.25">
      <c r="A2069" s="1">
        <v>39812</v>
      </c>
      <c r="B2069" t="s">
        <v>147</v>
      </c>
      <c r="C2069">
        <v>7</v>
      </c>
      <c r="D2069">
        <f>IF(cukier10[[#This Row],[nip_klienta]]=B2068,D2068+cukier10[[#This Row],[sprzedany_cukier]],cukier10[[#This Row],[sprzedany_cukier]])</f>
        <v>17</v>
      </c>
      <c r="E2069" cm="1">
        <f t="array" ref="E206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69">
        <f>cukier10[[#This Row],[sprzedany_cukier]]*cukier10[[#This Row],[rabat]]</f>
        <v>0</v>
      </c>
    </row>
    <row r="2070" spans="1:6" x14ac:dyDescent="0.25">
      <c r="A2070" s="1">
        <v>41118</v>
      </c>
      <c r="B2070" t="s">
        <v>147</v>
      </c>
      <c r="C2070">
        <v>10</v>
      </c>
      <c r="D2070">
        <f>IF(cukier10[[#This Row],[nip_klienta]]=B2069,D2069+cukier10[[#This Row],[sprzedany_cukier]],cukier10[[#This Row],[sprzedany_cukier]])</f>
        <v>27</v>
      </c>
      <c r="E2070" cm="1">
        <f t="array" ref="E207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70">
        <f>cukier10[[#This Row],[sprzedany_cukier]]*cukier10[[#This Row],[rabat]]</f>
        <v>0</v>
      </c>
    </row>
    <row r="2071" spans="1:6" x14ac:dyDescent="0.25">
      <c r="A2071" s="1">
        <v>41584</v>
      </c>
      <c r="B2071" t="s">
        <v>147</v>
      </c>
      <c r="C2071">
        <v>1</v>
      </c>
      <c r="D2071">
        <f>IF(cukier10[[#This Row],[nip_klienta]]=B2070,D2070+cukier10[[#This Row],[sprzedany_cukier]],cukier10[[#This Row],[sprzedany_cukier]])</f>
        <v>28</v>
      </c>
      <c r="E2071" cm="1">
        <f t="array" ref="E207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71">
        <f>cukier10[[#This Row],[sprzedany_cukier]]*cukier10[[#This Row],[rabat]]</f>
        <v>0</v>
      </c>
    </row>
    <row r="2072" spans="1:6" x14ac:dyDescent="0.25">
      <c r="A2072" s="1">
        <v>41820</v>
      </c>
      <c r="B2072" t="s">
        <v>147</v>
      </c>
      <c r="C2072">
        <v>7</v>
      </c>
      <c r="D2072">
        <f>IF(cukier10[[#This Row],[nip_klienta]]=B2071,D2071+cukier10[[#This Row],[sprzedany_cukier]],cukier10[[#This Row],[sprzedany_cukier]])</f>
        <v>35</v>
      </c>
      <c r="E2072" cm="1">
        <f t="array" ref="E207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72">
        <f>cukier10[[#This Row],[sprzedany_cukier]]*cukier10[[#This Row],[rabat]]</f>
        <v>0</v>
      </c>
    </row>
    <row r="2073" spans="1:6" x14ac:dyDescent="0.25">
      <c r="A2073" s="1">
        <v>40915</v>
      </c>
      <c r="B2073" t="s">
        <v>227</v>
      </c>
      <c r="C2073">
        <v>20</v>
      </c>
      <c r="D2073">
        <f>IF(cukier10[[#This Row],[nip_klienta]]=B2072,D2072+cukier10[[#This Row],[sprzedany_cukier]],cukier10[[#This Row],[sprzedany_cukier]])</f>
        <v>20</v>
      </c>
      <c r="E2073" cm="1">
        <f t="array" ref="E207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73">
        <f>cukier10[[#This Row],[sprzedany_cukier]]*cukier10[[#This Row],[rabat]]</f>
        <v>0</v>
      </c>
    </row>
    <row r="2074" spans="1:6" x14ac:dyDescent="0.25">
      <c r="A2074" s="1">
        <v>38792</v>
      </c>
      <c r="B2074" t="s">
        <v>100</v>
      </c>
      <c r="C2074">
        <v>17</v>
      </c>
      <c r="D2074">
        <f>IF(cukier10[[#This Row],[nip_klienta]]=B2073,D2073+cukier10[[#This Row],[sprzedany_cukier]],cukier10[[#This Row],[sprzedany_cukier]])</f>
        <v>17</v>
      </c>
      <c r="E2074" cm="1">
        <f t="array" ref="E207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74">
        <f>cukier10[[#This Row],[sprzedany_cukier]]*cukier10[[#This Row],[rabat]]</f>
        <v>0</v>
      </c>
    </row>
    <row r="2075" spans="1:6" x14ac:dyDescent="0.25">
      <c r="A2075" s="1">
        <v>38931</v>
      </c>
      <c r="B2075" t="s">
        <v>100</v>
      </c>
      <c r="C2075">
        <v>8</v>
      </c>
      <c r="D2075">
        <f>IF(cukier10[[#This Row],[nip_klienta]]=B2074,D2074+cukier10[[#This Row],[sprzedany_cukier]],cukier10[[#This Row],[sprzedany_cukier]])</f>
        <v>25</v>
      </c>
      <c r="E2075" cm="1">
        <f t="array" ref="E207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75">
        <f>cukier10[[#This Row],[sprzedany_cukier]]*cukier10[[#This Row],[rabat]]</f>
        <v>0</v>
      </c>
    </row>
    <row r="2076" spans="1:6" x14ac:dyDescent="0.25">
      <c r="A2076" s="1">
        <v>39095</v>
      </c>
      <c r="B2076" t="s">
        <v>100</v>
      </c>
      <c r="C2076">
        <v>19</v>
      </c>
      <c r="D2076">
        <f>IF(cukier10[[#This Row],[nip_klienta]]=B2075,D2075+cukier10[[#This Row],[sprzedany_cukier]],cukier10[[#This Row],[sprzedany_cukier]])</f>
        <v>44</v>
      </c>
      <c r="E2076" cm="1">
        <f t="array" ref="E207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76">
        <f>cukier10[[#This Row],[sprzedany_cukier]]*cukier10[[#This Row],[rabat]]</f>
        <v>0</v>
      </c>
    </row>
    <row r="2077" spans="1:6" x14ac:dyDescent="0.25">
      <c r="A2077" s="1">
        <v>39444</v>
      </c>
      <c r="B2077" t="s">
        <v>100</v>
      </c>
      <c r="C2077">
        <v>4</v>
      </c>
      <c r="D2077">
        <f>IF(cukier10[[#This Row],[nip_klienta]]=B2076,D2076+cukier10[[#This Row],[sprzedany_cukier]],cukier10[[#This Row],[sprzedany_cukier]])</f>
        <v>48</v>
      </c>
      <c r="E2077" cm="1">
        <f t="array" ref="E207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077">
        <f>cukier10[[#This Row],[sprzedany_cukier]]*cukier10[[#This Row],[rabat]]</f>
        <v>0</v>
      </c>
    </row>
    <row r="2078" spans="1:6" x14ac:dyDescent="0.25">
      <c r="A2078" s="1">
        <v>38453</v>
      </c>
      <c r="B2078" t="s">
        <v>35</v>
      </c>
      <c r="C2078">
        <v>120</v>
      </c>
      <c r="D2078">
        <f>IF(cukier10[[#This Row],[nip_klienta]]=B2077,D2077+cukier10[[#This Row],[sprzedany_cukier]],cukier10[[#This Row],[sprzedany_cukier]])</f>
        <v>120</v>
      </c>
      <c r="E2078" cm="1">
        <f t="array" ref="E207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078">
        <f>cukier10[[#This Row],[sprzedany_cukier]]*cukier10[[#This Row],[rabat]]</f>
        <v>6</v>
      </c>
    </row>
    <row r="2079" spans="1:6" x14ac:dyDescent="0.25">
      <c r="A2079" s="1">
        <v>38754</v>
      </c>
      <c r="B2079" t="s">
        <v>35</v>
      </c>
      <c r="C2079">
        <v>190</v>
      </c>
      <c r="D2079">
        <f>IF(cukier10[[#This Row],[nip_klienta]]=B2078,D2078+cukier10[[#This Row],[sprzedany_cukier]],cukier10[[#This Row],[sprzedany_cukier]])</f>
        <v>310</v>
      </c>
      <c r="E2079" cm="1">
        <f t="array" ref="E207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079">
        <f>cukier10[[#This Row],[sprzedany_cukier]]*cukier10[[#This Row],[rabat]]</f>
        <v>9.5</v>
      </c>
    </row>
    <row r="2080" spans="1:6" x14ac:dyDescent="0.25">
      <c r="A2080" s="1">
        <v>38949</v>
      </c>
      <c r="B2080" t="s">
        <v>35</v>
      </c>
      <c r="C2080">
        <v>97</v>
      </c>
      <c r="D2080">
        <f>IF(cukier10[[#This Row],[nip_klienta]]=B2079,D2079+cukier10[[#This Row],[sprzedany_cukier]],cukier10[[#This Row],[sprzedany_cukier]])</f>
        <v>407</v>
      </c>
      <c r="E2080" cm="1">
        <f t="array" ref="E208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080">
        <f>cukier10[[#This Row],[sprzedany_cukier]]*cukier10[[#This Row],[rabat]]</f>
        <v>4.8500000000000005</v>
      </c>
    </row>
    <row r="2081" spans="1:6" x14ac:dyDescent="0.25">
      <c r="A2081" s="1">
        <v>38956</v>
      </c>
      <c r="B2081" t="s">
        <v>35</v>
      </c>
      <c r="C2081">
        <v>33</v>
      </c>
      <c r="D2081">
        <f>IF(cukier10[[#This Row],[nip_klienta]]=B2080,D2080+cukier10[[#This Row],[sprzedany_cukier]],cukier10[[#This Row],[sprzedany_cukier]])</f>
        <v>440</v>
      </c>
      <c r="E2081" cm="1">
        <f t="array" ref="E208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081">
        <f>cukier10[[#This Row],[sprzedany_cukier]]*cukier10[[#This Row],[rabat]]</f>
        <v>1.6500000000000001</v>
      </c>
    </row>
    <row r="2082" spans="1:6" x14ac:dyDescent="0.25">
      <c r="A2082" s="1">
        <v>39174</v>
      </c>
      <c r="B2082" t="s">
        <v>35</v>
      </c>
      <c r="C2082">
        <v>110</v>
      </c>
      <c r="D2082">
        <f>IF(cukier10[[#This Row],[nip_klienta]]=B2081,D2081+cukier10[[#This Row],[sprzedany_cukier]],cukier10[[#This Row],[sprzedany_cukier]])</f>
        <v>550</v>
      </c>
      <c r="E2082" cm="1">
        <f t="array" ref="E208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082">
        <f>cukier10[[#This Row],[sprzedany_cukier]]*cukier10[[#This Row],[rabat]]</f>
        <v>5.5</v>
      </c>
    </row>
    <row r="2083" spans="1:6" x14ac:dyDescent="0.25">
      <c r="A2083" s="1">
        <v>39188</v>
      </c>
      <c r="B2083" t="s">
        <v>35</v>
      </c>
      <c r="C2083">
        <v>30</v>
      </c>
      <c r="D2083">
        <f>IF(cukier10[[#This Row],[nip_klienta]]=B2082,D2082+cukier10[[#This Row],[sprzedany_cukier]],cukier10[[#This Row],[sprzedany_cukier]])</f>
        <v>580</v>
      </c>
      <c r="E2083" cm="1">
        <f t="array" ref="E208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083">
        <f>cukier10[[#This Row],[sprzedany_cukier]]*cukier10[[#This Row],[rabat]]</f>
        <v>1.5</v>
      </c>
    </row>
    <row r="2084" spans="1:6" x14ac:dyDescent="0.25">
      <c r="A2084" s="1">
        <v>39253</v>
      </c>
      <c r="B2084" t="s">
        <v>35</v>
      </c>
      <c r="C2084">
        <v>198</v>
      </c>
      <c r="D2084">
        <f>IF(cukier10[[#This Row],[nip_klienta]]=B2083,D2083+cukier10[[#This Row],[sprzedany_cukier]],cukier10[[#This Row],[sprzedany_cukier]])</f>
        <v>778</v>
      </c>
      <c r="E2084" cm="1">
        <f t="array" ref="E208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084">
        <f>cukier10[[#This Row],[sprzedany_cukier]]*cukier10[[#This Row],[rabat]]</f>
        <v>9.9</v>
      </c>
    </row>
    <row r="2085" spans="1:6" x14ac:dyDescent="0.25">
      <c r="A2085" s="1">
        <v>39423</v>
      </c>
      <c r="B2085" t="s">
        <v>35</v>
      </c>
      <c r="C2085">
        <v>89</v>
      </c>
      <c r="D2085">
        <f>IF(cukier10[[#This Row],[nip_klienta]]=B2084,D2084+cukier10[[#This Row],[sprzedany_cukier]],cukier10[[#This Row],[sprzedany_cukier]])</f>
        <v>867</v>
      </c>
      <c r="E2085" cm="1">
        <f t="array" ref="E208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085">
        <f>cukier10[[#This Row],[sprzedany_cukier]]*cukier10[[#This Row],[rabat]]</f>
        <v>4.45</v>
      </c>
    </row>
    <row r="2086" spans="1:6" x14ac:dyDescent="0.25">
      <c r="A2086" s="1">
        <v>39527</v>
      </c>
      <c r="B2086" t="s">
        <v>35</v>
      </c>
      <c r="C2086">
        <v>125</v>
      </c>
      <c r="D2086">
        <f>IF(cukier10[[#This Row],[nip_klienta]]=B2085,D2085+cukier10[[#This Row],[sprzedany_cukier]],cukier10[[#This Row],[sprzedany_cukier]])</f>
        <v>992</v>
      </c>
      <c r="E2086" cm="1">
        <f t="array" ref="E208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086">
        <f>cukier10[[#This Row],[sprzedany_cukier]]*cukier10[[#This Row],[rabat]]</f>
        <v>6.25</v>
      </c>
    </row>
    <row r="2087" spans="1:6" x14ac:dyDescent="0.25">
      <c r="A2087" s="1">
        <v>39628</v>
      </c>
      <c r="B2087" t="s">
        <v>35</v>
      </c>
      <c r="C2087">
        <v>161</v>
      </c>
      <c r="D2087">
        <f>IF(cukier10[[#This Row],[nip_klienta]]=B2086,D2086+cukier10[[#This Row],[sprzedany_cukier]],cukier10[[#This Row],[sprzedany_cukier]])</f>
        <v>1153</v>
      </c>
      <c r="E2087" cm="1">
        <f t="array" ref="E208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087">
        <f>cukier10[[#This Row],[sprzedany_cukier]]*cukier10[[#This Row],[rabat]]</f>
        <v>16.100000000000001</v>
      </c>
    </row>
    <row r="2088" spans="1:6" x14ac:dyDescent="0.25">
      <c r="A2088" s="1">
        <v>39739</v>
      </c>
      <c r="B2088" t="s">
        <v>35</v>
      </c>
      <c r="C2088">
        <v>140</v>
      </c>
      <c r="D2088">
        <f>IF(cukier10[[#This Row],[nip_klienta]]=B2087,D2087+cukier10[[#This Row],[sprzedany_cukier]],cukier10[[#This Row],[sprzedany_cukier]])</f>
        <v>1293</v>
      </c>
      <c r="E2088" cm="1">
        <f t="array" ref="E208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088">
        <f>cukier10[[#This Row],[sprzedany_cukier]]*cukier10[[#This Row],[rabat]]</f>
        <v>14</v>
      </c>
    </row>
    <row r="2089" spans="1:6" x14ac:dyDescent="0.25">
      <c r="A2089" s="1">
        <v>40021</v>
      </c>
      <c r="B2089" t="s">
        <v>35</v>
      </c>
      <c r="C2089">
        <v>24</v>
      </c>
      <c r="D2089">
        <f>IF(cukier10[[#This Row],[nip_klienta]]=B2088,D2088+cukier10[[#This Row],[sprzedany_cukier]],cukier10[[#This Row],[sprzedany_cukier]])</f>
        <v>1317</v>
      </c>
      <c r="E2089" cm="1">
        <f t="array" ref="E208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089">
        <f>cukier10[[#This Row],[sprzedany_cukier]]*cukier10[[#This Row],[rabat]]</f>
        <v>2.4000000000000004</v>
      </c>
    </row>
    <row r="2090" spans="1:6" x14ac:dyDescent="0.25">
      <c r="A2090" s="1">
        <v>40113</v>
      </c>
      <c r="B2090" t="s">
        <v>35</v>
      </c>
      <c r="C2090">
        <v>22</v>
      </c>
      <c r="D2090">
        <f>IF(cukier10[[#This Row],[nip_klienta]]=B2089,D2089+cukier10[[#This Row],[sprzedany_cukier]],cukier10[[#This Row],[sprzedany_cukier]])</f>
        <v>1339</v>
      </c>
      <c r="E2090" cm="1">
        <f t="array" ref="E209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090">
        <f>cukier10[[#This Row],[sprzedany_cukier]]*cukier10[[#This Row],[rabat]]</f>
        <v>2.2000000000000002</v>
      </c>
    </row>
    <row r="2091" spans="1:6" x14ac:dyDescent="0.25">
      <c r="A2091" s="1">
        <v>40142</v>
      </c>
      <c r="B2091" t="s">
        <v>35</v>
      </c>
      <c r="C2091">
        <v>91</v>
      </c>
      <c r="D2091">
        <f>IF(cukier10[[#This Row],[nip_klienta]]=B2090,D2090+cukier10[[#This Row],[sprzedany_cukier]],cukier10[[#This Row],[sprzedany_cukier]])</f>
        <v>1430</v>
      </c>
      <c r="E2091" cm="1">
        <f t="array" ref="E209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091">
        <f>cukier10[[#This Row],[sprzedany_cukier]]*cukier10[[#This Row],[rabat]]</f>
        <v>9.1</v>
      </c>
    </row>
    <row r="2092" spans="1:6" x14ac:dyDescent="0.25">
      <c r="A2092" s="1">
        <v>40176</v>
      </c>
      <c r="B2092" t="s">
        <v>35</v>
      </c>
      <c r="C2092">
        <v>168</v>
      </c>
      <c r="D2092">
        <f>IF(cukier10[[#This Row],[nip_klienta]]=B2091,D2091+cukier10[[#This Row],[sprzedany_cukier]],cukier10[[#This Row],[sprzedany_cukier]])</f>
        <v>1598</v>
      </c>
      <c r="E2092" cm="1">
        <f t="array" ref="E209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092">
        <f>cukier10[[#This Row],[sprzedany_cukier]]*cukier10[[#This Row],[rabat]]</f>
        <v>16.8</v>
      </c>
    </row>
    <row r="2093" spans="1:6" x14ac:dyDescent="0.25">
      <c r="A2093" s="1">
        <v>40211</v>
      </c>
      <c r="B2093" t="s">
        <v>35</v>
      </c>
      <c r="C2093">
        <v>195</v>
      </c>
      <c r="D2093">
        <f>IF(cukier10[[#This Row],[nip_klienta]]=B2092,D2092+cukier10[[#This Row],[sprzedany_cukier]],cukier10[[#This Row],[sprzedany_cukier]])</f>
        <v>1793</v>
      </c>
      <c r="E2093" cm="1">
        <f t="array" ref="E209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093">
        <f>cukier10[[#This Row],[sprzedany_cukier]]*cukier10[[#This Row],[rabat]]</f>
        <v>19.5</v>
      </c>
    </row>
    <row r="2094" spans="1:6" x14ac:dyDescent="0.25">
      <c r="A2094" s="1">
        <v>40360</v>
      </c>
      <c r="B2094" t="s">
        <v>35</v>
      </c>
      <c r="C2094">
        <v>170</v>
      </c>
      <c r="D2094">
        <f>IF(cukier10[[#This Row],[nip_klienta]]=B2093,D2093+cukier10[[#This Row],[sprzedany_cukier]],cukier10[[#This Row],[sprzedany_cukier]])</f>
        <v>1963</v>
      </c>
      <c r="E2094" cm="1">
        <f t="array" ref="E209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094">
        <f>cukier10[[#This Row],[sprzedany_cukier]]*cukier10[[#This Row],[rabat]]</f>
        <v>17</v>
      </c>
    </row>
    <row r="2095" spans="1:6" x14ac:dyDescent="0.25">
      <c r="A2095" s="1">
        <v>40425</v>
      </c>
      <c r="B2095" t="s">
        <v>35</v>
      </c>
      <c r="C2095">
        <v>200</v>
      </c>
      <c r="D2095">
        <f>IF(cukier10[[#This Row],[nip_klienta]]=B2094,D2094+cukier10[[#This Row],[sprzedany_cukier]],cukier10[[#This Row],[sprzedany_cukier]])</f>
        <v>2163</v>
      </c>
      <c r="E2095" cm="1">
        <f t="array" ref="E209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095">
        <f>cukier10[[#This Row],[sprzedany_cukier]]*cukier10[[#This Row],[rabat]]</f>
        <v>20</v>
      </c>
    </row>
    <row r="2096" spans="1:6" x14ac:dyDescent="0.25">
      <c r="A2096" s="1">
        <v>40439</v>
      </c>
      <c r="B2096" t="s">
        <v>35</v>
      </c>
      <c r="C2096">
        <v>58</v>
      </c>
      <c r="D2096">
        <f>IF(cukier10[[#This Row],[nip_klienta]]=B2095,D2095+cukier10[[#This Row],[sprzedany_cukier]],cukier10[[#This Row],[sprzedany_cukier]])</f>
        <v>2221</v>
      </c>
      <c r="E2096" cm="1">
        <f t="array" ref="E209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096">
        <f>cukier10[[#This Row],[sprzedany_cukier]]*cukier10[[#This Row],[rabat]]</f>
        <v>5.8000000000000007</v>
      </c>
    </row>
    <row r="2097" spans="1:6" x14ac:dyDescent="0.25">
      <c r="A2097" s="1">
        <v>40465</v>
      </c>
      <c r="B2097" t="s">
        <v>35</v>
      </c>
      <c r="C2097">
        <v>124</v>
      </c>
      <c r="D2097">
        <f>IF(cukier10[[#This Row],[nip_klienta]]=B2096,D2096+cukier10[[#This Row],[sprzedany_cukier]],cukier10[[#This Row],[sprzedany_cukier]])</f>
        <v>2345</v>
      </c>
      <c r="E2097" cm="1">
        <f t="array" ref="E209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097">
        <f>cukier10[[#This Row],[sprzedany_cukier]]*cukier10[[#This Row],[rabat]]</f>
        <v>12.4</v>
      </c>
    </row>
    <row r="2098" spans="1:6" x14ac:dyDescent="0.25">
      <c r="A2098" s="1">
        <v>40602</v>
      </c>
      <c r="B2098" t="s">
        <v>35</v>
      </c>
      <c r="C2098">
        <v>114</v>
      </c>
      <c r="D2098">
        <f>IF(cukier10[[#This Row],[nip_klienta]]=B2097,D2097+cukier10[[#This Row],[sprzedany_cukier]],cukier10[[#This Row],[sprzedany_cukier]])</f>
        <v>2459</v>
      </c>
      <c r="E2098" cm="1">
        <f t="array" ref="E209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098">
        <f>cukier10[[#This Row],[sprzedany_cukier]]*cukier10[[#This Row],[rabat]]</f>
        <v>11.4</v>
      </c>
    </row>
    <row r="2099" spans="1:6" x14ac:dyDescent="0.25">
      <c r="A2099" s="1">
        <v>40647</v>
      </c>
      <c r="B2099" t="s">
        <v>35</v>
      </c>
      <c r="C2099">
        <v>46</v>
      </c>
      <c r="D2099">
        <f>IF(cukier10[[#This Row],[nip_klienta]]=B2098,D2098+cukier10[[#This Row],[sprzedany_cukier]],cukier10[[#This Row],[sprzedany_cukier]])</f>
        <v>2505</v>
      </c>
      <c r="E2099" cm="1">
        <f t="array" ref="E209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099">
        <f>cukier10[[#This Row],[sprzedany_cukier]]*cukier10[[#This Row],[rabat]]</f>
        <v>4.6000000000000005</v>
      </c>
    </row>
    <row r="2100" spans="1:6" x14ac:dyDescent="0.25">
      <c r="A2100" s="1">
        <v>40706</v>
      </c>
      <c r="B2100" t="s">
        <v>35</v>
      </c>
      <c r="C2100">
        <v>127</v>
      </c>
      <c r="D2100">
        <f>IF(cukier10[[#This Row],[nip_klienta]]=B2099,D2099+cukier10[[#This Row],[sprzedany_cukier]],cukier10[[#This Row],[sprzedany_cukier]])</f>
        <v>2632</v>
      </c>
      <c r="E2100" cm="1">
        <f t="array" ref="E210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00">
        <f>cukier10[[#This Row],[sprzedany_cukier]]*cukier10[[#This Row],[rabat]]</f>
        <v>12.700000000000001</v>
      </c>
    </row>
    <row r="2101" spans="1:6" x14ac:dyDescent="0.25">
      <c r="A2101" s="1">
        <v>40733</v>
      </c>
      <c r="B2101" t="s">
        <v>35</v>
      </c>
      <c r="C2101">
        <v>141</v>
      </c>
      <c r="D2101">
        <f>IF(cukier10[[#This Row],[nip_klienta]]=B2100,D2100+cukier10[[#This Row],[sprzedany_cukier]],cukier10[[#This Row],[sprzedany_cukier]])</f>
        <v>2773</v>
      </c>
      <c r="E2101" cm="1">
        <f t="array" ref="E210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01">
        <f>cukier10[[#This Row],[sprzedany_cukier]]*cukier10[[#This Row],[rabat]]</f>
        <v>14.100000000000001</v>
      </c>
    </row>
    <row r="2102" spans="1:6" x14ac:dyDescent="0.25">
      <c r="A2102" s="1">
        <v>40759</v>
      </c>
      <c r="B2102" t="s">
        <v>35</v>
      </c>
      <c r="C2102">
        <v>165</v>
      </c>
      <c r="D2102">
        <f>IF(cukier10[[#This Row],[nip_klienta]]=B2101,D2101+cukier10[[#This Row],[sprzedany_cukier]],cukier10[[#This Row],[sprzedany_cukier]])</f>
        <v>2938</v>
      </c>
      <c r="E2102" cm="1">
        <f t="array" ref="E210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02">
        <f>cukier10[[#This Row],[sprzedany_cukier]]*cukier10[[#This Row],[rabat]]</f>
        <v>16.5</v>
      </c>
    </row>
    <row r="2103" spans="1:6" x14ac:dyDescent="0.25">
      <c r="A2103" s="1">
        <v>40760</v>
      </c>
      <c r="B2103" t="s">
        <v>35</v>
      </c>
      <c r="C2103">
        <v>180</v>
      </c>
      <c r="D2103">
        <f>IF(cukier10[[#This Row],[nip_klienta]]=B2102,D2102+cukier10[[#This Row],[sprzedany_cukier]],cukier10[[#This Row],[sprzedany_cukier]])</f>
        <v>3118</v>
      </c>
      <c r="E2103" cm="1">
        <f t="array" ref="E210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03">
        <f>cukier10[[#This Row],[sprzedany_cukier]]*cukier10[[#This Row],[rabat]]</f>
        <v>18</v>
      </c>
    </row>
    <row r="2104" spans="1:6" x14ac:dyDescent="0.25">
      <c r="A2104" s="1">
        <v>40767</v>
      </c>
      <c r="B2104" t="s">
        <v>35</v>
      </c>
      <c r="C2104">
        <v>128</v>
      </c>
      <c r="D2104">
        <f>IF(cukier10[[#This Row],[nip_klienta]]=B2103,D2103+cukier10[[#This Row],[sprzedany_cukier]],cukier10[[#This Row],[sprzedany_cukier]])</f>
        <v>3246</v>
      </c>
      <c r="E2104" cm="1">
        <f t="array" ref="E210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04">
        <f>cukier10[[#This Row],[sprzedany_cukier]]*cukier10[[#This Row],[rabat]]</f>
        <v>12.8</v>
      </c>
    </row>
    <row r="2105" spans="1:6" x14ac:dyDescent="0.25">
      <c r="A2105" s="1">
        <v>40986</v>
      </c>
      <c r="B2105" t="s">
        <v>35</v>
      </c>
      <c r="C2105">
        <v>140</v>
      </c>
      <c r="D2105">
        <f>IF(cukier10[[#This Row],[nip_klienta]]=B2104,D2104+cukier10[[#This Row],[sprzedany_cukier]],cukier10[[#This Row],[sprzedany_cukier]])</f>
        <v>3386</v>
      </c>
      <c r="E2105" cm="1">
        <f t="array" ref="E210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05">
        <f>cukier10[[#This Row],[sprzedany_cukier]]*cukier10[[#This Row],[rabat]]</f>
        <v>14</v>
      </c>
    </row>
    <row r="2106" spans="1:6" x14ac:dyDescent="0.25">
      <c r="A2106" s="1">
        <v>41067</v>
      </c>
      <c r="B2106" t="s">
        <v>35</v>
      </c>
      <c r="C2106">
        <v>147</v>
      </c>
      <c r="D2106">
        <f>IF(cukier10[[#This Row],[nip_klienta]]=B2105,D2105+cukier10[[#This Row],[sprzedany_cukier]],cukier10[[#This Row],[sprzedany_cukier]])</f>
        <v>3533</v>
      </c>
      <c r="E2106" cm="1">
        <f t="array" ref="E210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06">
        <f>cukier10[[#This Row],[sprzedany_cukier]]*cukier10[[#This Row],[rabat]]</f>
        <v>14.700000000000001</v>
      </c>
    </row>
    <row r="2107" spans="1:6" x14ac:dyDescent="0.25">
      <c r="A2107" s="1">
        <v>41141</v>
      </c>
      <c r="B2107" t="s">
        <v>35</v>
      </c>
      <c r="C2107">
        <v>76</v>
      </c>
      <c r="D2107">
        <f>IF(cukier10[[#This Row],[nip_klienta]]=B2106,D2106+cukier10[[#This Row],[sprzedany_cukier]],cukier10[[#This Row],[sprzedany_cukier]])</f>
        <v>3609</v>
      </c>
      <c r="E2107" cm="1">
        <f t="array" ref="E210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07">
        <f>cukier10[[#This Row],[sprzedany_cukier]]*cukier10[[#This Row],[rabat]]</f>
        <v>7.6000000000000005</v>
      </c>
    </row>
    <row r="2108" spans="1:6" x14ac:dyDescent="0.25">
      <c r="A2108" s="1">
        <v>41362</v>
      </c>
      <c r="B2108" t="s">
        <v>35</v>
      </c>
      <c r="C2108">
        <v>37</v>
      </c>
      <c r="D2108">
        <f>IF(cukier10[[#This Row],[nip_klienta]]=B2107,D2107+cukier10[[#This Row],[sprzedany_cukier]],cukier10[[#This Row],[sprzedany_cukier]])</f>
        <v>3646</v>
      </c>
      <c r="E2108" cm="1">
        <f t="array" ref="E210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08">
        <f>cukier10[[#This Row],[sprzedany_cukier]]*cukier10[[#This Row],[rabat]]</f>
        <v>3.7</v>
      </c>
    </row>
    <row r="2109" spans="1:6" x14ac:dyDescent="0.25">
      <c r="A2109" s="1">
        <v>41472</v>
      </c>
      <c r="B2109" t="s">
        <v>35</v>
      </c>
      <c r="C2109">
        <v>60</v>
      </c>
      <c r="D2109">
        <f>IF(cukier10[[#This Row],[nip_klienta]]=B2108,D2108+cukier10[[#This Row],[sprzedany_cukier]],cukier10[[#This Row],[sprzedany_cukier]])</f>
        <v>3706</v>
      </c>
      <c r="E2109" cm="1">
        <f t="array" ref="E210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09">
        <f>cukier10[[#This Row],[sprzedany_cukier]]*cukier10[[#This Row],[rabat]]</f>
        <v>6</v>
      </c>
    </row>
    <row r="2110" spans="1:6" x14ac:dyDescent="0.25">
      <c r="A2110" s="1">
        <v>41629</v>
      </c>
      <c r="B2110" t="s">
        <v>35</v>
      </c>
      <c r="C2110">
        <v>192</v>
      </c>
      <c r="D2110">
        <f>IF(cukier10[[#This Row],[nip_klienta]]=B2109,D2109+cukier10[[#This Row],[sprzedany_cukier]],cukier10[[#This Row],[sprzedany_cukier]])</f>
        <v>3898</v>
      </c>
      <c r="E2110" cm="1">
        <f t="array" ref="E211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10">
        <f>cukier10[[#This Row],[sprzedany_cukier]]*cukier10[[#This Row],[rabat]]</f>
        <v>19.200000000000003</v>
      </c>
    </row>
    <row r="2111" spans="1:6" x14ac:dyDescent="0.25">
      <c r="A2111" s="1">
        <v>41630</v>
      </c>
      <c r="B2111" t="s">
        <v>35</v>
      </c>
      <c r="C2111">
        <v>92</v>
      </c>
      <c r="D2111">
        <f>IF(cukier10[[#This Row],[nip_klienta]]=B2110,D2110+cukier10[[#This Row],[sprzedany_cukier]],cukier10[[#This Row],[sprzedany_cukier]])</f>
        <v>3990</v>
      </c>
      <c r="E2111" cm="1">
        <f t="array" ref="E211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11">
        <f>cukier10[[#This Row],[sprzedany_cukier]]*cukier10[[#This Row],[rabat]]</f>
        <v>9.2000000000000011</v>
      </c>
    </row>
    <row r="2112" spans="1:6" x14ac:dyDescent="0.25">
      <c r="A2112" s="1">
        <v>41701</v>
      </c>
      <c r="B2112" t="s">
        <v>35</v>
      </c>
      <c r="C2112">
        <v>102</v>
      </c>
      <c r="D2112">
        <f>IF(cukier10[[#This Row],[nip_klienta]]=B2111,D2111+cukier10[[#This Row],[sprzedany_cukier]],cukier10[[#This Row],[sprzedany_cukier]])</f>
        <v>4092</v>
      </c>
      <c r="E2112" cm="1">
        <f t="array" ref="E211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12">
        <f>cukier10[[#This Row],[sprzedany_cukier]]*cukier10[[#This Row],[rabat]]</f>
        <v>10.200000000000001</v>
      </c>
    </row>
    <row r="2113" spans="1:6" x14ac:dyDescent="0.25">
      <c r="A2113" s="1">
        <v>41776</v>
      </c>
      <c r="B2113" t="s">
        <v>35</v>
      </c>
      <c r="C2113">
        <v>161</v>
      </c>
      <c r="D2113">
        <f>IF(cukier10[[#This Row],[nip_klienta]]=B2112,D2112+cukier10[[#This Row],[sprzedany_cukier]],cukier10[[#This Row],[sprzedany_cukier]])</f>
        <v>4253</v>
      </c>
      <c r="E2113" cm="1">
        <f t="array" ref="E211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13">
        <f>cukier10[[#This Row],[sprzedany_cukier]]*cukier10[[#This Row],[rabat]]</f>
        <v>16.100000000000001</v>
      </c>
    </row>
    <row r="2114" spans="1:6" x14ac:dyDescent="0.25">
      <c r="A2114" s="1">
        <v>41802</v>
      </c>
      <c r="B2114" t="s">
        <v>35</v>
      </c>
      <c r="C2114">
        <v>154</v>
      </c>
      <c r="D2114">
        <f>IF(cukier10[[#This Row],[nip_klienta]]=B2113,D2113+cukier10[[#This Row],[sprzedany_cukier]],cukier10[[#This Row],[sprzedany_cukier]])</f>
        <v>4407</v>
      </c>
      <c r="E2114" cm="1">
        <f t="array" ref="E211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14">
        <f>cukier10[[#This Row],[sprzedany_cukier]]*cukier10[[#This Row],[rabat]]</f>
        <v>15.4</v>
      </c>
    </row>
    <row r="2115" spans="1:6" x14ac:dyDescent="0.25">
      <c r="A2115" s="1">
        <v>38589</v>
      </c>
      <c r="B2115" t="s">
        <v>75</v>
      </c>
      <c r="C2115">
        <v>8</v>
      </c>
      <c r="D2115">
        <f>IF(cukier10[[#This Row],[nip_klienta]]=B2114,D2114+cukier10[[#This Row],[sprzedany_cukier]],cukier10[[#This Row],[sprzedany_cukier]])</f>
        <v>8</v>
      </c>
      <c r="E2115" cm="1">
        <f t="array" ref="E211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15">
        <f>cukier10[[#This Row],[sprzedany_cukier]]*cukier10[[#This Row],[rabat]]</f>
        <v>0</v>
      </c>
    </row>
    <row r="2116" spans="1:6" x14ac:dyDescent="0.25">
      <c r="A2116" s="1">
        <v>39184</v>
      </c>
      <c r="B2116" t="s">
        <v>75</v>
      </c>
      <c r="C2116">
        <v>12</v>
      </c>
      <c r="D2116">
        <f>IF(cukier10[[#This Row],[nip_klienta]]=B2115,D2115+cukier10[[#This Row],[sprzedany_cukier]],cukier10[[#This Row],[sprzedany_cukier]])</f>
        <v>20</v>
      </c>
      <c r="E2116" cm="1">
        <f t="array" ref="E211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16">
        <f>cukier10[[#This Row],[sprzedany_cukier]]*cukier10[[#This Row],[rabat]]</f>
        <v>0</v>
      </c>
    </row>
    <row r="2117" spans="1:6" x14ac:dyDescent="0.25">
      <c r="A2117" s="1">
        <v>40839</v>
      </c>
      <c r="B2117" t="s">
        <v>75</v>
      </c>
      <c r="C2117">
        <v>2</v>
      </c>
      <c r="D2117">
        <f>IF(cukier10[[#This Row],[nip_klienta]]=B2116,D2116+cukier10[[#This Row],[sprzedany_cukier]],cukier10[[#This Row],[sprzedany_cukier]])</f>
        <v>22</v>
      </c>
      <c r="E2117" cm="1">
        <f t="array" ref="E211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17">
        <f>cukier10[[#This Row],[sprzedany_cukier]]*cukier10[[#This Row],[rabat]]</f>
        <v>0</v>
      </c>
    </row>
    <row r="2118" spans="1:6" x14ac:dyDescent="0.25">
      <c r="A2118" s="1">
        <v>41577</v>
      </c>
      <c r="B2118" t="s">
        <v>75</v>
      </c>
      <c r="C2118">
        <v>4</v>
      </c>
      <c r="D2118">
        <f>IF(cukier10[[#This Row],[nip_klienta]]=B2117,D2117+cukier10[[#This Row],[sprzedany_cukier]],cukier10[[#This Row],[sprzedany_cukier]])</f>
        <v>26</v>
      </c>
      <c r="E2118" cm="1">
        <f t="array" ref="E211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18">
        <f>cukier10[[#This Row],[sprzedany_cukier]]*cukier10[[#This Row],[rabat]]</f>
        <v>0</v>
      </c>
    </row>
    <row r="2119" spans="1:6" x14ac:dyDescent="0.25">
      <c r="A2119" s="1">
        <v>39049</v>
      </c>
      <c r="B2119" t="s">
        <v>128</v>
      </c>
      <c r="C2119">
        <v>6</v>
      </c>
      <c r="D2119">
        <f>IF(cukier10[[#This Row],[nip_klienta]]=B2118,D2118+cukier10[[#This Row],[sprzedany_cukier]],cukier10[[#This Row],[sprzedany_cukier]])</f>
        <v>6</v>
      </c>
      <c r="E2119" cm="1">
        <f t="array" ref="E211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19">
        <f>cukier10[[#This Row],[sprzedany_cukier]]*cukier10[[#This Row],[rabat]]</f>
        <v>0</v>
      </c>
    </row>
    <row r="2120" spans="1:6" x14ac:dyDescent="0.25">
      <c r="A2120" s="1">
        <v>41716</v>
      </c>
      <c r="B2120" t="s">
        <v>128</v>
      </c>
      <c r="C2120">
        <v>1</v>
      </c>
      <c r="D2120">
        <f>IF(cukier10[[#This Row],[nip_klienta]]=B2119,D2119+cukier10[[#This Row],[sprzedany_cukier]],cukier10[[#This Row],[sprzedany_cukier]])</f>
        <v>7</v>
      </c>
      <c r="E2120" cm="1">
        <f t="array" ref="E212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20">
        <f>cukier10[[#This Row],[sprzedany_cukier]]*cukier10[[#This Row],[rabat]]</f>
        <v>0</v>
      </c>
    </row>
    <row r="2121" spans="1:6" x14ac:dyDescent="0.25">
      <c r="A2121" s="1">
        <v>40573</v>
      </c>
      <c r="B2121" t="s">
        <v>216</v>
      </c>
      <c r="C2121">
        <v>18</v>
      </c>
      <c r="D2121">
        <f>IF(cukier10[[#This Row],[nip_klienta]]=B2120,D2120+cukier10[[#This Row],[sprzedany_cukier]],cukier10[[#This Row],[sprzedany_cukier]])</f>
        <v>18</v>
      </c>
      <c r="E2121" cm="1">
        <f t="array" ref="E212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21">
        <f>cukier10[[#This Row],[sprzedany_cukier]]*cukier10[[#This Row],[rabat]]</f>
        <v>0</v>
      </c>
    </row>
    <row r="2122" spans="1:6" x14ac:dyDescent="0.25">
      <c r="A2122" s="1">
        <v>38577</v>
      </c>
      <c r="B2122" t="s">
        <v>70</v>
      </c>
      <c r="C2122">
        <v>6</v>
      </c>
      <c r="D2122">
        <f>IF(cukier10[[#This Row],[nip_klienta]]=B2121,D2121+cukier10[[#This Row],[sprzedany_cukier]],cukier10[[#This Row],[sprzedany_cukier]])</f>
        <v>6</v>
      </c>
      <c r="E2122" cm="1">
        <f t="array" ref="E212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22">
        <f>cukier10[[#This Row],[sprzedany_cukier]]*cukier10[[#This Row],[rabat]]</f>
        <v>0</v>
      </c>
    </row>
    <row r="2123" spans="1:6" x14ac:dyDescent="0.25">
      <c r="A2123" s="1">
        <v>39780</v>
      </c>
      <c r="B2123" t="s">
        <v>70</v>
      </c>
      <c r="C2123">
        <v>11</v>
      </c>
      <c r="D2123">
        <f>IF(cukier10[[#This Row],[nip_klienta]]=B2122,D2122+cukier10[[#This Row],[sprzedany_cukier]],cukier10[[#This Row],[sprzedany_cukier]])</f>
        <v>17</v>
      </c>
      <c r="E2123" cm="1">
        <f t="array" ref="E212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23">
        <f>cukier10[[#This Row],[sprzedany_cukier]]*cukier10[[#This Row],[rabat]]</f>
        <v>0</v>
      </c>
    </row>
    <row r="2124" spans="1:6" x14ac:dyDescent="0.25">
      <c r="A2124" s="1">
        <v>40107</v>
      </c>
      <c r="B2124" t="s">
        <v>70</v>
      </c>
      <c r="C2124">
        <v>5</v>
      </c>
      <c r="D2124">
        <f>IF(cukier10[[#This Row],[nip_klienta]]=B2123,D2123+cukier10[[#This Row],[sprzedany_cukier]],cukier10[[#This Row],[sprzedany_cukier]])</f>
        <v>22</v>
      </c>
      <c r="E2124" cm="1">
        <f t="array" ref="E212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24">
        <f>cukier10[[#This Row],[sprzedany_cukier]]*cukier10[[#This Row],[rabat]]</f>
        <v>0</v>
      </c>
    </row>
    <row r="2125" spans="1:6" x14ac:dyDescent="0.25">
      <c r="A2125" s="1">
        <v>40491</v>
      </c>
      <c r="B2125" t="s">
        <v>70</v>
      </c>
      <c r="C2125">
        <v>17</v>
      </c>
      <c r="D2125">
        <f>IF(cukier10[[#This Row],[nip_klienta]]=B2124,D2124+cukier10[[#This Row],[sprzedany_cukier]],cukier10[[#This Row],[sprzedany_cukier]])</f>
        <v>39</v>
      </c>
      <c r="E2125" cm="1">
        <f t="array" ref="E212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25">
        <f>cukier10[[#This Row],[sprzedany_cukier]]*cukier10[[#This Row],[rabat]]</f>
        <v>0</v>
      </c>
    </row>
    <row r="2126" spans="1:6" x14ac:dyDescent="0.25">
      <c r="A2126" s="1">
        <v>41921</v>
      </c>
      <c r="B2126" t="s">
        <v>70</v>
      </c>
      <c r="C2126">
        <v>16</v>
      </c>
      <c r="D2126">
        <f>IF(cukier10[[#This Row],[nip_klienta]]=B2125,D2125+cukier10[[#This Row],[sprzedany_cukier]],cukier10[[#This Row],[sprzedany_cukier]])</f>
        <v>55</v>
      </c>
      <c r="E2126" cm="1">
        <f t="array" ref="E212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26">
        <f>cukier10[[#This Row],[sprzedany_cukier]]*cukier10[[#This Row],[rabat]]</f>
        <v>0</v>
      </c>
    </row>
    <row r="2127" spans="1:6" x14ac:dyDescent="0.25">
      <c r="A2127" s="1">
        <v>38910</v>
      </c>
      <c r="B2127" t="s">
        <v>119</v>
      </c>
      <c r="C2127">
        <v>9</v>
      </c>
      <c r="D2127">
        <f>IF(cukier10[[#This Row],[nip_klienta]]=B2126,D2126+cukier10[[#This Row],[sprzedany_cukier]],cukier10[[#This Row],[sprzedany_cukier]])</f>
        <v>9</v>
      </c>
      <c r="E2127" cm="1">
        <f t="array" ref="E212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27">
        <f>cukier10[[#This Row],[sprzedany_cukier]]*cukier10[[#This Row],[rabat]]</f>
        <v>0</v>
      </c>
    </row>
    <row r="2128" spans="1:6" x14ac:dyDescent="0.25">
      <c r="A2128" s="1">
        <v>39308</v>
      </c>
      <c r="B2128" t="s">
        <v>119</v>
      </c>
      <c r="C2128">
        <v>11</v>
      </c>
      <c r="D2128">
        <f>IF(cukier10[[#This Row],[nip_klienta]]=B2127,D2127+cukier10[[#This Row],[sprzedany_cukier]],cukier10[[#This Row],[sprzedany_cukier]])</f>
        <v>20</v>
      </c>
      <c r="E2128" cm="1">
        <f t="array" ref="E212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28">
        <f>cukier10[[#This Row],[sprzedany_cukier]]*cukier10[[#This Row],[rabat]]</f>
        <v>0</v>
      </c>
    </row>
    <row r="2129" spans="1:6" x14ac:dyDescent="0.25">
      <c r="A2129" s="1">
        <v>39505</v>
      </c>
      <c r="B2129" t="s">
        <v>119</v>
      </c>
      <c r="C2129">
        <v>5</v>
      </c>
      <c r="D2129">
        <f>IF(cukier10[[#This Row],[nip_klienta]]=B2128,D2128+cukier10[[#This Row],[sprzedany_cukier]],cukier10[[#This Row],[sprzedany_cukier]])</f>
        <v>25</v>
      </c>
      <c r="E2129" cm="1">
        <f t="array" ref="E212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29">
        <f>cukier10[[#This Row],[sprzedany_cukier]]*cukier10[[#This Row],[rabat]]</f>
        <v>0</v>
      </c>
    </row>
    <row r="2130" spans="1:6" x14ac:dyDescent="0.25">
      <c r="A2130" s="1">
        <v>41945</v>
      </c>
      <c r="B2130" t="s">
        <v>119</v>
      </c>
      <c r="C2130">
        <v>11</v>
      </c>
      <c r="D2130">
        <f>IF(cukier10[[#This Row],[nip_klienta]]=B2129,D2129+cukier10[[#This Row],[sprzedany_cukier]],cukier10[[#This Row],[sprzedany_cukier]])</f>
        <v>36</v>
      </c>
      <c r="E2130" cm="1">
        <f t="array" ref="E213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30">
        <f>cukier10[[#This Row],[sprzedany_cukier]]*cukier10[[#This Row],[rabat]]</f>
        <v>0</v>
      </c>
    </row>
    <row r="2131" spans="1:6" x14ac:dyDescent="0.25">
      <c r="A2131" s="1">
        <v>38790</v>
      </c>
      <c r="B2131" t="s">
        <v>99</v>
      </c>
      <c r="C2131">
        <v>10</v>
      </c>
      <c r="D2131">
        <f>IF(cukier10[[#This Row],[nip_klienta]]=B2130,D2130+cukier10[[#This Row],[sprzedany_cukier]],cukier10[[#This Row],[sprzedany_cukier]])</f>
        <v>10</v>
      </c>
      <c r="E2131" cm="1">
        <f t="array" ref="E213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31">
        <f>cukier10[[#This Row],[sprzedany_cukier]]*cukier10[[#This Row],[rabat]]</f>
        <v>0</v>
      </c>
    </row>
    <row r="2132" spans="1:6" x14ac:dyDescent="0.25">
      <c r="A2132" s="1">
        <v>39111</v>
      </c>
      <c r="B2132" t="s">
        <v>99</v>
      </c>
      <c r="C2132">
        <v>12</v>
      </c>
      <c r="D2132">
        <f>IF(cukier10[[#This Row],[nip_klienta]]=B2131,D2131+cukier10[[#This Row],[sprzedany_cukier]],cukier10[[#This Row],[sprzedany_cukier]])</f>
        <v>22</v>
      </c>
      <c r="E2132" cm="1">
        <f t="array" ref="E213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32">
        <f>cukier10[[#This Row],[sprzedany_cukier]]*cukier10[[#This Row],[rabat]]</f>
        <v>0</v>
      </c>
    </row>
    <row r="2133" spans="1:6" x14ac:dyDescent="0.25">
      <c r="A2133" s="1">
        <v>41576</v>
      </c>
      <c r="B2133" t="s">
        <v>99</v>
      </c>
      <c r="C2133">
        <v>19</v>
      </c>
      <c r="D2133">
        <f>IF(cukier10[[#This Row],[nip_klienta]]=B2132,D2132+cukier10[[#This Row],[sprzedany_cukier]],cukier10[[#This Row],[sprzedany_cukier]])</f>
        <v>41</v>
      </c>
      <c r="E2133" cm="1">
        <f t="array" ref="E213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33">
        <f>cukier10[[#This Row],[sprzedany_cukier]]*cukier10[[#This Row],[rabat]]</f>
        <v>0</v>
      </c>
    </row>
    <row r="2134" spans="1:6" x14ac:dyDescent="0.25">
      <c r="A2134" s="1">
        <v>38887</v>
      </c>
      <c r="B2134" t="s">
        <v>114</v>
      </c>
      <c r="C2134">
        <v>7</v>
      </c>
      <c r="D2134">
        <f>IF(cukier10[[#This Row],[nip_klienta]]=B2133,D2133+cukier10[[#This Row],[sprzedany_cukier]],cukier10[[#This Row],[sprzedany_cukier]])</f>
        <v>7</v>
      </c>
      <c r="E2134" cm="1">
        <f t="array" ref="E213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34">
        <f>cukier10[[#This Row],[sprzedany_cukier]]*cukier10[[#This Row],[rabat]]</f>
        <v>0</v>
      </c>
    </row>
    <row r="2135" spans="1:6" x14ac:dyDescent="0.25">
      <c r="A2135" s="1">
        <v>38815</v>
      </c>
      <c r="B2135" t="s">
        <v>102</v>
      </c>
      <c r="C2135">
        <v>171</v>
      </c>
      <c r="D2135">
        <f>IF(cukier10[[#This Row],[nip_klienta]]=B2134,D2134+cukier10[[#This Row],[sprzedany_cukier]],cukier10[[#This Row],[sprzedany_cukier]])</f>
        <v>171</v>
      </c>
      <c r="E2135" cm="1">
        <f t="array" ref="E213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135">
        <f>cukier10[[#This Row],[sprzedany_cukier]]*cukier10[[#This Row],[rabat]]</f>
        <v>8.5500000000000007</v>
      </c>
    </row>
    <row r="2136" spans="1:6" x14ac:dyDescent="0.25">
      <c r="A2136" s="1">
        <v>38864</v>
      </c>
      <c r="B2136" t="s">
        <v>102</v>
      </c>
      <c r="C2136">
        <v>243</v>
      </c>
      <c r="D2136">
        <f>IF(cukier10[[#This Row],[nip_klienta]]=B2135,D2135+cukier10[[#This Row],[sprzedany_cukier]],cukier10[[#This Row],[sprzedany_cukier]])</f>
        <v>414</v>
      </c>
      <c r="E2136" cm="1">
        <f t="array" ref="E213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136">
        <f>cukier10[[#This Row],[sprzedany_cukier]]*cukier10[[#This Row],[rabat]]</f>
        <v>12.15</v>
      </c>
    </row>
    <row r="2137" spans="1:6" x14ac:dyDescent="0.25">
      <c r="A2137" s="1">
        <v>38919</v>
      </c>
      <c r="B2137" t="s">
        <v>102</v>
      </c>
      <c r="C2137">
        <v>382</v>
      </c>
      <c r="D2137">
        <f>IF(cukier10[[#This Row],[nip_klienta]]=B2136,D2136+cukier10[[#This Row],[sprzedany_cukier]],cukier10[[#This Row],[sprzedany_cukier]])</f>
        <v>796</v>
      </c>
      <c r="E2137" cm="1">
        <f t="array" ref="E213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0.05</v>
      </c>
      <c r="F2137">
        <f>cukier10[[#This Row],[sprzedany_cukier]]*cukier10[[#This Row],[rabat]]</f>
        <v>19.100000000000001</v>
      </c>
    </row>
    <row r="2138" spans="1:6" x14ac:dyDescent="0.25">
      <c r="A2138" s="1">
        <v>38974</v>
      </c>
      <c r="B2138" t="s">
        <v>102</v>
      </c>
      <c r="C2138">
        <v>343</v>
      </c>
      <c r="D2138">
        <f>IF(cukier10[[#This Row],[nip_klienta]]=B2137,D2137+cukier10[[#This Row],[sprzedany_cukier]],cukier10[[#This Row],[sprzedany_cukier]])</f>
        <v>1139</v>
      </c>
      <c r="E2138" cm="1">
        <f t="array" ref="E213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38">
        <f>cukier10[[#This Row],[sprzedany_cukier]]*cukier10[[#This Row],[rabat]]</f>
        <v>34.300000000000004</v>
      </c>
    </row>
    <row r="2139" spans="1:6" x14ac:dyDescent="0.25">
      <c r="A2139" s="1">
        <v>39527</v>
      </c>
      <c r="B2139" t="s">
        <v>102</v>
      </c>
      <c r="C2139">
        <v>298</v>
      </c>
      <c r="D2139">
        <f>IF(cukier10[[#This Row],[nip_klienta]]=B2138,D2138+cukier10[[#This Row],[sprzedany_cukier]],cukier10[[#This Row],[sprzedany_cukier]])</f>
        <v>1437</v>
      </c>
      <c r="E2139" cm="1">
        <f t="array" ref="E213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39">
        <f>cukier10[[#This Row],[sprzedany_cukier]]*cukier10[[#This Row],[rabat]]</f>
        <v>29.8</v>
      </c>
    </row>
    <row r="2140" spans="1:6" x14ac:dyDescent="0.25">
      <c r="A2140" s="1">
        <v>39549</v>
      </c>
      <c r="B2140" t="s">
        <v>102</v>
      </c>
      <c r="C2140">
        <v>477</v>
      </c>
      <c r="D2140">
        <f>IF(cukier10[[#This Row],[nip_klienta]]=B2139,D2139+cukier10[[#This Row],[sprzedany_cukier]],cukier10[[#This Row],[sprzedany_cukier]])</f>
        <v>1914</v>
      </c>
      <c r="E2140" cm="1">
        <f t="array" ref="E214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40">
        <f>cukier10[[#This Row],[sprzedany_cukier]]*cukier10[[#This Row],[rabat]]</f>
        <v>47.7</v>
      </c>
    </row>
    <row r="2141" spans="1:6" x14ac:dyDescent="0.25">
      <c r="A2141" s="1">
        <v>39584</v>
      </c>
      <c r="B2141" t="s">
        <v>102</v>
      </c>
      <c r="C2141">
        <v>431</v>
      </c>
      <c r="D2141">
        <f>IF(cukier10[[#This Row],[nip_klienta]]=B2140,D2140+cukier10[[#This Row],[sprzedany_cukier]],cukier10[[#This Row],[sprzedany_cukier]])</f>
        <v>2345</v>
      </c>
      <c r="E2141" cm="1">
        <f t="array" ref="E214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41">
        <f>cukier10[[#This Row],[sprzedany_cukier]]*cukier10[[#This Row],[rabat]]</f>
        <v>43.1</v>
      </c>
    </row>
    <row r="2142" spans="1:6" x14ac:dyDescent="0.25">
      <c r="A2142" s="1">
        <v>39692</v>
      </c>
      <c r="B2142" t="s">
        <v>102</v>
      </c>
      <c r="C2142">
        <v>346</v>
      </c>
      <c r="D2142">
        <f>IF(cukier10[[#This Row],[nip_klienta]]=B2141,D2141+cukier10[[#This Row],[sprzedany_cukier]],cukier10[[#This Row],[sprzedany_cukier]])</f>
        <v>2691</v>
      </c>
      <c r="E2142" cm="1">
        <f t="array" ref="E214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42">
        <f>cukier10[[#This Row],[sprzedany_cukier]]*cukier10[[#This Row],[rabat]]</f>
        <v>34.6</v>
      </c>
    </row>
    <row r="2143" spans="1:6" x14ac:dyDescent="0.25">
      <c r="A2143" s="1">
        <v>40072</v>
      </c>
      <c r="B2143" t="s">
        <v>102</v>
      </c>
      <c r="C2143">
        <v>395</v>
      </c>
      <c r="D2143">
        <f>IF(cukier10[[#This Row],[nip_klienta]]=B2142,D2142+cukier10[[#This Row],[sprzedany_cukier]],cukier10[[#This Row],[sprzedany_cukier]])</f>
        <v>3086</v>
      </c>
      <c r="E2143" cm="1">
        <f t="array" ref="E214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43">
        <f>cukier10[[#This Row],[sprzedany_cukier]]*cukier10[[#This Row],[rabat]]</f>
        <v>39.5</v>
      </c>
    </row>
    <row r="2144" spans="1:6" x14ac:dyDescent="0.25">
      <c r="A2144" s="1">
        <v>40121</v>
      </c>
      <c r="B2144" t="s">
        <v>102</v>
      </c>
      <c r="C2144">
        <v>200</v>
      </c>
      <c r="D2144">
        <f>IF(cukier10[[#This Row],[nip_klienta]]=B2143,D2143+cukier10[[#This Row],[sprzedany_cukier]],cukier10[[#This Row],[sprzedany_cukier]])</f>
        <v>3286</v>
      </c>
      <c r="E2144" cm="1">
        <f t="array" ref="E214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44">
        <f>cukier10[[#This Row],[sprzedany_cukier]]*cukier10[[#This Row],[rabat]]</f>
        <v>20</v>
      </c>
    </row>
    <row r="2145" spans="1:6" x14ac:dyDescent="0.25">
      <c r="A2145" s="1">
        <v>40350</v>
      </c>
      <c r="B2145" t="s">
        <v>102</v>
      </c>
      <c r="C2145">
        <v>260</v>
      </c>
      <c r="D2145">
        <f>IF(cukier10[[#This Row],[nip_klienta]]=B2144,D2144+cukier10[[#This Row],[sprzedany_cukier]],cukier10[[#This Row],[sprzedany_cukier]])</f>
        <v>3546</v>
      </c>
      <c r="E2145" cm="1">
        <f t="array" ref="E214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45">
        <f>cukier10[[#This Row],[sprzedany_cukier]]*cukier10[[#This Row],[rabat]]</f>
        <v>26</v>
      </c>
    </row>
    <row r="2146" spans="1:6" x14ac:dyDescent="0.25">
      <c r="A2146" s="1">
        <v>40736</v>
      </c>
      <c r="B2146" t="s">
        <v>102</v>
      </c>
      <c r="C2146">
        <v>329</v>
      </c>
      <c r="D2146">
        <f>IF(cukier10[[#This Row],[nip_klienta]]=B2145,D2145+cukier10[[#This Row],[sprzedany_cukier]],cukier10[[#This Row],[sprzedany_cukier]])</f>
        <v>3875</v>
      </c>
      <c r="E2146" cm="1">
        <f t="array" ref="E214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46">
        <f>cukier10[[#This Row],[sprzedany_cukier]]*cukier10[[#This Row],[rabat]]</f>
        <v>32.9</v>
      </c>
    </row>
    <row r="2147" spans="1:6" x14ac:dyDescent="0.25">
      <c r="A2147" s="1">
        <v>40807</v>
      </c>
      <c r="B2147" t="s">
        <v>102</v>
      </c>
      <c r="C2147">
        <v>249</v>
      </c>
      <c r="D2147">
        <f>IF(cukier10[[#This Row],[nip_klienta]]=B2146,D2146+cukier10[[#This Row],[sprzedany_cukier]],cukier10[[#This Row],[sprzedany_cukier]])</f>
        <v>4124</v>
      </c>
      <c r="E2147" cm="1">
        <f t="array" ref="E214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47">
        <f>cukier10[[#This Row],[sprzedany_cukier]]*cukier10[[#This Row],[rabat]]</f>
        <v>24.900000000000002</v>
      </c>
    </row>
    <row r="2148" spans="1:6" x14ac:dyDescent="0.25">
      <c r="A2148" s="1">
        <v>40955</v>
      </c>
      <c r="B2148" t="s">
        <v>102</v>
      </c>
      <c r="C2148">
        <v>248</v>
      </c>
      <c r="D2148">
        <f>IF(cukier10[[#This Row],[nip_klienta]]=B2147,D2147+cukier10[[#This Row],[sprzedany_cukier]],cukier10[[#This Row],[sprzedany_cukier]])</f>
        <v>4372</v>
      </c>
      <c r="E2148" cm="1">
        <f t="array" ref="E214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48">
        <f>cukier10[[#This Row],[sprzedany_cukier]]*cukier10[[#This Row],[rabat]]</f>
        <v>24.8</v>
      </c>
    </row>
    <row r="2149" spans="1:6" x14ac:dyDescent="0.25">
      <c r="A2149" s="1">
        <v>40971</v>
      </c>
      <c r="B2149" t="s">
        <v>102</v>
      </c>
      <c r="C2149">
        <v>221</v>
      </c>
      <c r="D2149">
        <f>IF(cukier10[[#This Row],[nip_klienta]]=B2148,D2148+cukier10[[#This Row],[sprzedany_cukier]],cukier10[[#This Row],[sprzedany_cukier]])</f>
        <v>4593</v>
      </c>
      <c r="E2149" cm="1">
        <f t="array" ref="E214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49">
        <f>cukier10[[#This Row],[sprzedany_cukier]]*cukier10[[#This Row],[rabat]]</f>
        <v>22.1</v>
      </c>
    </row>
    <row r="2150" spans="1:6" x14ac:dyDescent="0.25">
      <c r="A2150" s="1">
        <v>41011</v>
      </c>
      <c r="B2150" t="s">
        <v>102</v>
      </c>
      <c r="C2150">
        <v>353</v>
      </c>
      <c r="D2150">
        <f>IF(cukier10[[#This Row],[nip_klienta]]=B2149,D2149+cukier10[[#This Row],[sprzedany_cukier]],cukier10[[#This Row],[sprzedany_cukier]])</f>
        <v>4946</v>
      </c>
      <c r="E2150" cm="1">
        <f t="array" ref="E215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50">
        <f>cukier10[[#This Row],[sprzedany_cukier]]*cukier10[[#This Row],[rabat]]</f>
        <v>35.300000000000004</v>
      </c>
    </row>
    <row r="2151" spans="1:6" x14ac:dyDescent="0.25">
      <c r="A2151" s="1">
        <v>41147</v>
      </c>
      <c r="B2151" t="s">
        <v>102</v>
      </c>
      <c r="C2151">
        <v>344</v>
      </c>
      <c r="D2151">
        <f>IF(cukier10[[#This Row],[nip_klienta]]=B2150,D2150+cukier10[[#This Row],[sprzedany_cukier]],cukier10[[#This Row],[sprzedany_cukier]])</f>
        <v>5290</v>
      </c>
      <c r="E2151" cm="1">
        <f t="array" ref="E215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51">
        <f>cukier10[[#This Row],[sprzedany_cukier]]*cukier10[[#This Row],[rabat]]</f>
        <v>34.4</v>
      </c>
    </row>
    <row r="2152" spans="1:6" x14ac:dyDescent="0.25">
      <c r="A2152" s="1">
        <v>41346</v>
      </c>
      <c r="B2152" t="s">
        <v>102</v>
      </c>
      <c r="C2152">
        <v>424</v>
      </c>
      <c r="D2152">
        <f>IF(cukier10[[#This Row],[nip_klienta]]=B2151,D2151+cukier10[[#This Row],[sprzedany_cukier]],cukier10[[#This Row],[sprzedany_cukier]])</f>
        <v>5714</v>
      </c>
      <c r="E2152" cm="1">
        <f t="array" ref="E215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52">
        <f>cukier10[[#This Row],[sprzedany_cukier]]*cukier10[[#This Row],[rabat]]</f>
        <v>42.400000000000006</v>
      </c>
    </row>
    <row r="2153" spans="1:6" x14ac:dyDescent="0.25">
      <c r="A2153" s="1">
        <v>41476</v>
      </c>
      <c r="B2153" t="s">
        <v>102</v>
      </c>
      <c r="C2153">
        <v>125</v>
      </c>
      <c r="D2153">
        <f>IF(cukier10[[#This Row],[nip_klienta]]=B2152,D2152+cukier10[[#This Row],[sprzedany_cukier]],cukier10[[#This Row],[sprzedany_cukier]])</f>
        <v>5839</v>
      </c>
      <c r="E2153" cm="1">
        <f t="array" ref="E215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53">
        <f>cukier10[[#This Row],[sprzedany_cukier]]*cukier10[[#This Row],[rabat]]</f>
        <v>12.5</v>
      </c>
    </row>
    <row r="2154" spans="1:6" x14ac:dyDescent="0.25">
      <c r="A2154" s="1">
        <v>41491</v>
      </c>
      <c r="B2154" t="s">
        <v>102</v>
      </c>
      <c r="C2154">
        <v>338</v>
      </c>
      <c r="D2154">
        <f>IF(cukier10[[#This Row],[nip_klienta]]=B2153,D2153+cukier10[[#This Row],[sprzedany_cukier]],cukier10[[#This Row],[sprzedany_cukier]])</f>
        <v>6177</v>
      </c>
      <c r="E2154" cm="1">
        <f t="array" ref="E2154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54">
        <f>cukier10[[#This Row],[sprzedany_cukier]]*cukier10[[#This Row],[rabat]]</f>
        <v>33.800000000000004</v>
      </c>
    </row>
    <row r="2155" spans="1:6" x14ac:dyDescent="0.25">
      <c r="A2155" s="1">
        <v>41503</v>
      </c>
      <c r="B2155" t="s">
        <v>102</v>
      </c>
      <c r="C2155">
        <v>166</v>
      </c>
      <c r="D2155">
        <f>IF(cukier10[[#This Row],[nip_klienta]]=B2154,D2154+cukier10[[#This Row],[sprzedany_cukier]],cukier10[[#This Row],[sprzedany_cukier]])</f>
        <v>6343</v>
      </c>
      <c r="E2155" cm="1">
        <f t="array" ref="E2155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55">
        <f>cukier10[[#This Row],[sprzedany_cukier]]*cukier10[[#This Row],[rabat]]</f>
        <v>16.600000000000001</v>
      </c>
    </row>
    <row r="2156" spans="1:6" x14ac:dyDescent="0.25">
      <c r="A2156" s="1">
        <v>41647</v>
      </c>
      <c r="B2156" t="s">
        <v>102</v>
      </c>
      <c r="C2156">
        <v>143</v>
      </c>
      <c r="D2156">
        <f>IF(cukier10[[#This Row],[nip_klienta]]=B2155,D2155+cukier10[[#This Row],[sprzedany_cukier]],cukier10[[#This Row],[sprzedany_cukier]])</f>
        <v>6486</v>
      </c>
      <c r="E2156" cm="1">
        <f t="array" ref="E2156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56">
        <f>cukier10[[#This Row],[sprzedany_cukier]]*cukier10[[#This Row],[rabat]]</f>
        <v>14.3</v>
      </c>
    </row>
    <row r="2157" spans="1:6" x14ac:dyDescent="0.25">
      <c r="A2157" s="1">
        <v>41736</v>
      </c>
      <c r="B2157" t="s">
        <v>102</v>
      </c>
      <c r="C2157">
        <v>422</v>
      </c>
      <c r="D2157">
        <f>IF(cukier10[[#This Row],[nip_klienta]]=B2156,D2156+cukier10[[#This Row],[sprzedany_cukier]],cukier10[[#This Row],[sprzedany_cukier]])</f>
        <v>6908</v>
      </c>
      <c r="E2157" cm="1">
        <f t="array" ref="E2157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57">
        <f>cukier10[[#This Row],[sprzedany_cukier]]*cukier10[[#This Row],[rabat]]</f>
        <v>42.2</v>
      </c>
    </row>
    <row r="2158" spans="1:6" x14ac:dyDescent="0.25">
      <c r="A2158" s="1">
        <v>41789</v>
      </c>
      <c r="B2158" t="s">
        <v>102</v>
      </c>
      <c r="C2158">
        <v>197</v>
      </c>
      <c r="D2158">
        <f>IF(cukier10[[#This Row],[nip_klienta]]=B2157,D2157+cukier10[[#This Row],[sprzedany_cukier]],cukier10[[#This Row],[sprzedany_cukier]])</f>
        <v>7105</v>
      </c>
      <c r="E2158" cm="1">
        <f t="array" ref="E2158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58">
        <f>cukier10[[#This Row],[sprzedany_cukier]]*cukier10[[#This Row],[rabat]]</f>
        <v>19.700000000000003</v>
      </c>
    </row>
    <row r="2159" spans="1:6" x14ac:dyDescent="0.25">
      <c r="A2159" s="1">
        <v>41818</v>
      </c>
      <c r="B2159" t="s">
        <v>102</v>
      </c>
      <c r="C2159">
        <v>361</v>
      </c>
      <c r="D2159">
        <f>IF(cukier10[[#This Row],[nip_klienta]]=B2158,D2158+cukier10[[#This Row],[sprzedany_cukier]],cukier10[[#This Row],[sprzedany_cukier]])</f>
        <v>7466</v>
      </c>
      <c r="E2159" cm="1">
        <f t="array" ref="E2159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59">
        <f>cukier10[[#This Row],[sprzedany_cukier]]*cukier10[[#This Row],[rabat]]</f>
        <v>36.1</v>
      </c>
    </row>
    <row r="2160" spans="1:6" x14ac:dyDescent="0.25">
      <c r="A2160" s="1">
        <v>41886</v>
      </c>
      <c r="B2160" t="s">
        <v>102</v>
      </c>
      <c r="C2160">
        <v>106</v>
      </c>
      <c r="D2160">
        <f>IF(cukier10[[#This Row],[nip_klienta]]=B2159,D2159+cukier10[[#This Row],[sprzedany_cukier]],cukier10[[#This Row],[sprzedany_cukier]])</f>
        <v>7572</v>
      </c>
      <c r="E2160" cm="1">
        <f t="array" ref="E2160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60">
        <f>cukier10[[#This Row],[sprzedany_cukier]]*cukier10[[#This Row],[rabat]]</f>
        <v>10.600000000000001</v>
      </c>
    </row>
    <row r="2161" spans="1:6" x14ac:dyDescent="0.25">
      <c r="A2161" s="1">
        <v>41892</v>
      </c>
      <c r="B2161" t="s">
        <v>102</v>
      </c>
      <c r="C2161">
        <v>332</v>
      </c>
      <c r="D2161">
        <f>IF(cukier10[[#This Row],[nip_klienta]]=B2160,D2160+cukier10[[#This Row],[sprzedany_cukier]],cukier10[[#This Row],[sprzedany_cukier]])</f>
        <v>7904</v>
      </c>
      <c r="E2161" cm="1">
        <f t="array" ref="E2161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0.1</v>
      </c>
      <c r="F2161">
        <f>cukier10[[#This Row],[sprzedany_cukier]]*cukier10[[#This Row],[rabat]]</f>
        <v>33.200000000000003</v>
      </c>
    </row>
    <row r="2162" spans="1:6" x14ac:dyDescent="0.25">
      <c r="A2162" s="1">
        <v>38437</v>
      </c>
      <c r="B2162" t="s">
        <v>32</v>
      </c>
      <c r="C2162">
        <v>7</v>
      </c>
      <c r="D2162">
        <f>IF(cukier10[[#This Row],[nip_klienta]]=B2161,D2161+cukier10[[#This Row],[sprzedany_cukier]],cukier10[[#This Row],[sprzedany_cukier]])</f>
        <v>7</v>
      </c>
      <c r="E2162" cm="1">
        <f t="array" ref="E2162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62">
        <f>cukier10[[#This Row],[sprzedany_cukier]]*cukier10[[#This Row],[rabat]]</f>
        <v>0</v>
      </c>
    </row>
    <row r="2163" spans="1:6" x14ac:dyDescent="0.25">
      <c r="A2163" s="1">
        <v>39494</v>
      </c>
      <c r="B2163" t="s">
        <v>32</v>
      </c>
      <c r="C2163">
        <v>9</v>
      </c>
      <c r="D2163">
        <f>IF(cukier10[[#This Row],[nip_klienta]]=B2162,D2162+cukier10[[#This Row],[sprzedany_cukier]],cukier10[[#This Row],[sprzedany_cukier]])</f>
        <v>16</v>
      </c>
      <c r="E2163" cm="1">
        <f t="array" ref="E2163">_xlfn.IFS(AND(cukier10[[#This Row],[sprzedany_lacznie_cukier]]&lt;1000,cukier10[[#This Row],[sprzedany_lacznie_cukier]]&gt;=100),0.05,AND(cukier10[[#This Row],[sprzedany_lacznie_cukier]]&gt;=1000,cukier10[[#This Row],[sprzedany_lacznie_cukier]]&lt;10000),0.1,cukier10[[#This Row],[sprzedany_lacznie_cukier]]&gt;=10000,0.2,cukier10[[#This Row],[sprzedany_lacznie_cukier]]&lt;100,0)</f>
        <v>0</v>
      </c>
      <c r="F2163">
        <f>cukier10[[#This Row],[sprzedany_cukier]]*cukier10[[#This Row],[rabat]]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CA16-BFBE-41C0-9460-52AD519055B1}">
  <dimension ref="A1:L2163"/>
  <sheetViews>
    <sheetView tabSelected="1" zoomScale="130" zoomScaleNormal="130" workbookViewId="0">
      <selection activeCell="L13" sqref="L13"/>
    </sheetView>
  </sheetViews>
  <sheetFormatPr defaultRowHeight="15" x14ac:dyDescent="0.25"/>
  <cols>
    <col min="1" max="1" width="10.85546875" bestFit="1" customWidth="1"/>
    <col min="2" max="2" width="14" bestFit="1" customWidth="1"/>
    <col min="3" max="3" width="18.85546875" bestFit="1" customWidth="1"/>
    <col min="4" max="4" width="10" bestFit="1" customWidth="1"/>
    <col min="5" max="5" width="28.140625" bestFit="1" customWidth="1"/>
    <col min="6" max="6" width="13.5703125" bestFit="1" customWidth="1"/>
    <col min="7" max="7" width="17" bestFit="1" customWidth="1"/>
    <col min="8" max="8" width="20.28515625" bestFit="1" customWidth="1"/>
    <col min="11" max="12" width="5.42578125" bestFit="1" customWidth="1"/>
    <col min="14" max="14" width="10.140625" bestFit="1" customWidth="1"/>
  </cols>
  <sheetData>
    <row r="1" spans="1:12" x14ac:dyDescent="0.25">
      <c r="A1" t="s">
        <v>240</v>
      </c>
      <c r="B1" t="s">
        <v>241</v>
      </c>
      <c r="C1" t="s">
        <v>242</v>
      </c>
      <c r="D1" t="s">
        <v>252</v>
      </c>
      <c r="E1" t="s">
        <v>253</v>
      </c>
      <c r="F1" t="s">
        <v>256</v>
      </c>
      <c r="G1" t="s">
        <v>254</v>
      </c>
      <c r="H1" t="s">
        <v>255</v>
      </c>
      <c r="I1" t="s">
        <v>257</v>
      </c>
      <c r="K1" t="s">
        <v>244</v>
      </c>
      <c r="L1" t="s">
        <v>243</v>
      </c>
    </row>
    <row r="2" spans="1:12" x14ac:dyDescent="0.25">
      <c r="A2" s="1">
        <v>38353</v>
      </c>
      <c r="B2" t="s">
        <v>0</v>
      </c>
      <c r="C2">
        <v>10</v>
      </c>
      <c r="D2">
        <f>MONTH(cukier11[[#This Row],[data]])</f>
        <v>1</v>
      </c>
      <c r="E2">
        <f>IF(D3&lt;&gt;cukier11[[#This Row],[miesiac]],1,0)</f>
        <v>0</v>
      </c>
      <c r="F2">
        <v>0</v>
      </c>
      <c r="G2">
        <v>5000</v>
      </c>
      <c r="H2">
        <f>cukier11[[#This Row],[stan_magazynu]]-cukier11[[#This Row],[sprzedany_cukier]]</f>
        <v>4990</v>
      </c>
      <c r="I2" s="9">
        <v>4990</v>
      </c>
      <c r="K2" s="4">
        <v>2005</v>
      </c>
      <c r="L2" s="2">
        <v>2</v>
      </c>
    </row>
    <row r="3" spans="1:12" x14ac:dyDescent="0.25">
      <c r="A3" s="1">
        <v>38356</v>
      </c>
      <c r="B3" t="s">
        <v>1</v>
      </c>
      <c r="C3">
        <v>2</v>
      </c>
      <c r="D3">
        <f>MONTH(cukier11[[#This Row],[data]])</f>
        <v>1</v>
      </c>
      <c r="E3">
        <f>IF(D4&lt;&gt;cukier11[[#This Row],[miesiac]],1,0)</f>
        <v>0</v>
      </c>
      <c r="F3">
        <f>IF(AND(H2&lt;5000,cukier11[[#This Row],[czy_nastapiła_zmiana_mies]]=1),ROUNDUP((5000-H2)/1000,0),0)</f>
        <v>0</v>
      </c>
      <c r="G3">
        <f>I2</f>
        <v>4990</v>
      </c>
      <c r="H3">
        <f>cukier11[[#This Row],[stan_magazynu]]-cukier11[[#This Row],[sprzedany_cukier]]</f>
        <v>4988</v>
      </c>
      <c r="I3" s="9">
        <f>cukier11[[#This Row],[stan_po_sprzedazy]]+cukier11[[#This Row],[ile_dokupic]]*1000</f>
        <v>4988</v>
      </c>
      <c r="K3" s="5">
        <v>2006</v>
      </c>
      <c r="L3" s="3">
        <v>2.0499999999999998</v>
      </c>
    </row>
    <row r="4" spans="1:12" x14ac:dyDescent="0.25">
      <c r="A4" s="1">
        <v>38357</v>
      </c>
      <c r="B4" t="s">
        <v>2</v>
      </c>
      <c r="C4">
        <v>2</v>
      </c>
      <c r="D4">
        <f>MONTH(cukier11[[#This Row],[data]])</f>
        <v>1</v>
      </c>
      <c r="E4">
        <f>IF(D5&lt;&gt;cukier11[[#This Row],[miesiac]],1,0)</f>
        <v>0</v>
      </c>
      <c r="F4">
        <f>IF(AND(H3&lt;5000,cukier11[[#This Row],[czy_nastapiła_zmiana_mies]]=1),ROUNDUP((5000-H3)/1000,0),0)</f>
        <v>0</v>
      </c>
      <c r="G4">
        <f t="shared" ref="G4:G67" si="0">I3</f>
        <v>4988</v>
      </c>
      <c r="H4">
        <f>cukier11[[#This Row],[stan_magazynu]]-cukier11[[#This Row],[sprzedany_cukier]]</f>
        <v>4986</v>
      </c>
      <c r="I4" s="9">
        <f>cukier11[[#This Row],[stan_po_sprzedazy]]+cukier11[[#This Row],[ile_dokupic]]*1000</f>
        <v>4986</v>
      </c>
      <c r="K4" s="4">
        <v>2007</v>
      </c>
      <c r="L4" s="2">
        <v>2.09</v>
      </c>
    </row>
    <row r="5" spans="1:12" x14ac:dyDescent="0.25">
      <c r="A5" s="1">
        <v>38362</v>
      </c>
      <c r="B5" t="s">
        <v>3</v>
      </c>
      <c r="C5">
        <v>5</v>
      </c>
      <c r="D5">
        <f>MONTH(cukier11[[#This Row],[data]])</f>
        <v>1</v>
      </c>
      <c r="E5">
        <f>IF(D6&lt;&gt;cukier11[[#This Row],[miesiac]],1,0)</f>
        <v>0</v>
      </c>
      <c r="F5">
        <f>IF(AND(H4&lt;5000,cukier11[[#This Row],[czy_nastapiła_zmiana_mies]]=1),ROUNDUP((5000-H4)/1000,0),0)</f>
        <v>0</v>
      </c>
      <c r="G5">
        <f t="shared" si="0"/>
        <v>4986</v>
      </c>
      <c r="H5">
        <f>cukier11[[#This Row],[stan_magazynu]]-cukier11[[#This Row],[sprzedany_cukier]]</f>
        <v>4981</v>
      </c>
      <c r="I5" s="9">
        <f>cukier11[[#This Row],[stan_po_sprzedazy]]+cukier11[[#This Row],[ile_dokupic]]*1000</f>
        <v>4981</v>
      </c>
      <c r="K5" s="5">
        <v>2008</v>
      </c>
      <c r="L5" s="3">
        <v>2.15</v>
      </c>
    </row>
    <row r="6" spans="1:12" x14ac:dyDescent="0.25">
      <c r="A6" s="1">
        <v>38363</v>
      </c>
      <c r="B6" t="s">
        <v>4</v>
      </c>
      <c r="C6">
        <v>14</v>
      </c>
      <c r="D6">
        <f>MONTH(cukier11[[#This Row],[data]])</f>
        <v>1</v>
      </c>
      <c r="E6">
        <f>IF(D7&lt;&gt;cukier11[[#This Row],[miesiac]],1,0)</f>
        <v>0</v>
      </c>
      <c r="F6">
        <f>IF(AND(H5&lt;5000,cukier11[[#This Row],[czy_nastapiła_zmiana_mies]]=1),ROUNDUP((5000-H5)/1000,0),0)</f>
        <v>0</v>
      </c>
      <c r="G6">
        <f t="shared" si="0"/>
        <v>4981</v>
      </c>
      <c r="H6">
        <f>cukier11[[#This Row],[stan_magazynu]]-cukier11[[#This Row],[sprzedany_cukier]]</f>
        <v>4967</v>
      </c>
      <c r="I6" s="9">
        <f>cukier11[[#This Row],[stan_po_sprzedazy]]+cukier11[[#This Row],[ile_dokupic]]*1000</f>
        <v>4967</v>
      </c>
      <c r="K6" s="4">
        <v>2009</v>
      </c>
      <c r="L6" s="2">
        <v>2.13</v>
      </c>
    </row>
    <row r="7" spans="1:12" x14ac:dyDescent="0.25">
      <c r="A7" s="1">
        <v>38365</v>
      </c>
      <c r="B7" t="s">
        <v>5</v>
      </c>
      <c r="C7">
        <v>436</v>
      </c>
      <c r="D7">
        <f>MONTH(cukier11[[#This Row],[data]])</f>
        <v>1</v>
      </c>
      <c r="E7">
        <f>IF(D8&lt;&gt;cukier11[[#This Row],[miesiac]],1,0)</f>
        <v>0</v>
      </c>
      <c r="F7">
        <f>IF(AND(H6&lt;5000,cukier11[[#This Row],[czy_nastapiła_zmiana_mies]]=1),ROUNDUP((5000-H6)/1000,0),0)</f>
        <v>0</v>
      </c>
      <c r="G7">
        <f t="shared" si="0"/>
        <v>4967</v>
      </c>
      <c r="H7">
        <f>cukier11[[#This Row],[stan_magazynu]]-cukier11[[#This Row],[sprzedany_cukier]]</f>
        <v>4531</v>
      </c>
      <c r="I7" s="9">
        <f>cukier11[[#This Row],[stan_po_sprzedazy]]+cukier11[[#This Row],[ile_dokupic]]*1000</f>
        <v>4531</v>
      </c>
      <c r="K7" s="5">
        <v>2010</v>
      </c>
      <c r="L7" s="3">
        <v>2.1</v>
      </c>
    </row>
    <row r="8" spans="1:12" x14ac:dyDescent="0.25">
      <c r="A8" s="1">
        <v>38366</v>
      </c>
      <c r="B8" t="s">
        <v>6</v>
      </c>
      <c r="C8">
        <v>95</v>
      </c>
      <c r="D8">
        <f>MONTH(cukier11[[#This Row],[data]])</f>
        <v>1</v>
      </c>
      <c r="E8">
        <f>IF(D9&lt;&gt;cukier11[[#This Row],[miesiac]],1,0)</f>
        <v>0</v>
      </c>
      <c r="F8">
        <f>IF(AND(H7&lt;5000,cukier11[[#This Row],[czy_nastapiła_zmiana_mies]]=1),ROUNDUP((5000-H7)/1000,0),0)</f>
        <v>0</v>
      </c>
      <c r="G8">
        <f t="shared" si="0"/>
        <v>4531</v>
      </c>
      <c r="H8">
        <f>cukier11[[#This Row],[stan_magazynu]]-cukier11[[#This Row],[sprzedany_cukier]]</f>
        <v>4436</v>
      </c>
      <c r="I8" s="9">
        <f>cukier11[[#This Row],[stan_po_sprzedazy]]+cukier11[[#This Row],[ile_dokupic]]*1000</f>
        <v>4436</v>
      </c>
      <c r="K8" s="4">
        <v>2011</v>
      </c>
      <c r="L8" s="2">
        <v>2.2000000000000002</v>
      </c>
    </row>
    <row r="9" spans="1:12" x14ac:dyDescent="0.25">
      <c r="A9" s="1">
        <v>38370</v>
      </c>
      <c r="B9" t="s">
        <v>7</v>
      </c>
      <c r="C9">
        <v>350</v>
      </c>
      <c r="D9">
        <f>MONTH(cukier11[[#This Row],[data]])</f>
        <v>1</v>
      </c>
      <c r="E9">
        <f>IF(D10&lt;&gt;cukier11[[#This Row],[miesiac]],1,0)</f>
        <v>0</v>
      </c>
      <c r="F9">
        <f>IF(AND(H8&lt;5000,cukier11[[#This Row],[czy_nastapiła_zmiana_mies]]=1),ROUNDUP((5000-H8)/1000,0),0)</f>
        <v>0</v>
      </c>
      <c r="G9">
        <f t="shared" si="0"/>
        <v>4436</v>
      </c>
      <c r="H9">
        <f>cukier11[[#This Row],[stan_magazynu]]-cukier11[[#This Row],[sprzedany_cukier]]</f>
        <v>4086</v>
      </c>
      <c r="I9" s="9">
        <f>cukier11[[#This Row],[stan_po_sprzedazy]]+cukier11[[#This Row],[ile_dokupic]]*1000</f>
        <v>4086</v>
      </c>
      <c r="K9" s="5">
        <v>2012</v>
      </c>
      <c r="L9" s="3">
        <v>2.25</v>
      </c>
    </row>
    <row r="10" spans="1:12" x14ac:dyDescent="0.25">
      <c r="A10" s="1">
        <v>38371</v>
      </c>
      <c r="B10" t="s">
        <v>7</v>
      </c>
      <c r="C10">
        <v>231</v>
      </c>
      <c r="D10">
        <f>MONTH(cukier11[[#This Row],[data]])</f>
        <v>1</v>
      </c>
      <c r="E10">
        <f>IF(D11&lt;&gt;cukier11[[#This Row],[miesiac]],1,0)</f>
        <v>0</v>
      </c>
      <c r="F10">
        <f>IF(AND(H9&lt;5000,cukier11[[#This Row],[czy_nastapiła_zmiana_mies]]=1),ROUNDUP((5000-H9)/1000,0),0)</f>
        <v>0</v>
      </c>
      <c r="G10">
        <f t="shared" si="0"/>
        <v>4086</v>
      </c>
      <c r="H10">
        <f>cukier11[[#This Row],[stan_magazynu]]-cukier11[[#This Row],[sprzedany_cukier]]</f>
        <v>3855</v>
      </c>
      <c r="I10" s="9">
        <f>cukier11[[#This Row],[stan_po_sprzedazy]]+cukier11[[#This Row],[ile_dokupic]]*1000</f>
        <v>3855</v>
      </c>
      <c r="K10" s="4">
        <v>2013</v>
      </c>
      <c r="L10" s="2">
        <v>2.2200000000000002</v>
      </c>
    </row>
    <row r="11" spans="1:12" x14ac:dyDescent="0.25">
      <c r="A11" s="1">
        <v>38372</v>
      </c>
      <c r="B11" t="s">
        <v>8</v>
      </c>
      <c r="C11">
        <v>38</v>
      </c>
      <c r="D11">
        <f>MONTH(cukier11[[#This Row],[data]])</f>
        <v>1</v>
      </c>
      <c r="E11">
        <f>IF(D12&lt;&gt;cukier11[[#This Row],[miesiac]],1,0)</f>
        <v>0</v>
      </c>
      <c r="F11">
        <f>IF(AND(H10&lt;5000,cukier11[[#This Row],[czy_nastapiła_zmiana_mies]]=1),ROUNDUP((5000-H10)/1000,0),0)</f>
        <v>0</v>
      </c>
      <c r="G11">
        <f t="shared" si="0"/>
        <v>3855</v>
      </c>
      <c r="H11">
        <f>cukier11[[#This Row],[stan_magazynu]]-cukier11[[#This Row],[sprzedany_cukier]]</f>
        <v>3817</v>
      </c>
      <c r="I11" s="9">
        <f>cukier11[[#This Row],[stan_po_sprzedazy]]+cukier11[[#This Row],[ile_dokupic]]*1000</f>
        <v>3817</v>
      </c>
      <c r="K11" s="5">
        <v>2014</v>
      </c>
      <c r="L11" s="3">
        <v>2.23</v>
      </c>
    </row>
    <row r="12" spans="1:12" x14ac:dyDescent="0.25">
      <c r="A12" s="1">
        <v>38374</v>
      </c>
      <c r="B12" t="s">
        <v>9</v>
      </c>
      <c r="C12">
        <v>440</v>
      </c>
      <c r="D12">
        <f>MONTH(cukier11[[#This Row],[data]])</f>
        <v>1</v>
      </c>
      <c r="E12">
        <f>IF(D13&lt;&gt;cukier11[[#This Row],[miesiac]],1,0)</f>
        <v>0</v>
      </c>
      <c r="F12">
        <f>IF(AND(H11&lt;5000,cukier11[[#This Row],[czy_nastapiła_zmiana_mies]]=1),ROUNDUP((5000-H11)/1000,0),0)</f>
        <v>0</v>
      </c>
      <c r="G12">
        <f t="shared" si="0"/>
        <v>3817</v>
      </c>
      <c r="H12">
        <f>cukier11[[#This Row],[stan_magazynu]]-cukier11[[#This Row],[sprzedany_cukier]]</f>
        <v>3377</v>
      </c>
      <c r="I12" s="9">
        <f>cukier11[[#This Row],[stan_po_sprzedazy]]+cukier11[[#This Row],[ile_dokupic]]*1000</f>
        <v>3377</v>
      </c>
    </row>
    <row r="13" spans="1:12" x14ac:dyDescent="0.25">
      <c r="A13" s="1">
        <v>38376</v>
      </c>
      <c r="B13" t="s">
        <v>10</v>
      </c>
      <c r="C13">
        <v>120</v>
      </c>
      <c r="D13">
        <f>MONTH(cukier11[[#This Row],[data]])</f>
        <v>1</v>
      </c>
      <c r="E13">
        <f>IF(D14&lt;&gt;cukier11[[#This Row],[miesiac]],1,0)</f>
        <v>0</v>
      </c>
      <c r="F13">
        <f>IF(AND(H12&lt;5000,cukier11[[#This Row],[czy_nastapiła_zmiana_mies]]=1),ROUNDUP((5000-H12)/1000,0),0)</f>
        <v>0</v>
      </c>
      <c r="G13">
        <f t="shared" si="0"/>
        <v>3377</v>
      </c>
      <c r="H13">
        <f>cukier11[[#This Row],[stan_magazynu]]-cukier11[[#This Row],[sprzedany_cukier]]</f>
        <v>3257</v>
      </c>
      <c r="I13" s="9">
        <f>cukier11[[#This Row],[stan_po_sprzedazy]]+cukier11[[#This Row],[ile_dokupic]]*1000</f>
        <v>3257</v>
      </c>
    </row>
    <row r="14" spans="1:12" x14ac:dyDescent="0.25">
      <c r="A14" s="1">
        <v>38377</v>
      </c>
      <c r="B14" t="s">
        <v>11</v>
      </c>
      <c r="C14">
        <v>11</v>
      </c>
      <c r="D14">
        <f>MONTH(cukier11[[#This Row],[data]])</f>
        <v>1</v>
      </c>
      <c r="E14">
        <f>IF(D15&lt;&gt;cukier11[[#This Row],[miesiac]],1,0)</f>
        <v>0</v>
      </c>
      <c r="F14">
        <f>IF(AND(H13&lt;5000,cukier11[[#This Row],[czy_nastapiła_zmiana_mies]]=1),ROUNDUP((5000-H13)/1000,0),0)</f>
        <v>0</v>
      </c>
      <c r="G14">
        <f t="shared" si="0"/>
        <v>3257</v>
      </c>
      <c r="H14">
        <f>cukier11[[#This Row],[stan_magazynu]]-cukier11[[#This Row],[sprzedany_cukier]]</f>
        <v>3246</v>
      </c>
      <c r="I14" s="9">
        <f>cukier11[[#This Row],[stan_po_sprzedazy]]+cukier11[[#This Row],[ile_dokupic]]*1000</f>
        <v>3246</v>
      </c>
      <c r="K14" s="7">
        <f>COUNTIF(cukier11[ile_dokupic],"&gt;=4")</f>
        <v>14</v>
      </c>
    </row>
    <row r="15" spans="1:12" x14ac:dyDescent="0.25">
      <c r="A15" s="1">
        <v>38378</v>
      </c>
      <c r="B15" t="s">
        <v>12</v>
      </c>
      <c r="C15">
        <v>36</v>
      </c>
      <c r="D15">
        <f>MONTH(cukier11[[#This Row],[data]])</f>
        <v>1</v>
      </c>
      <c r="E15">
        <f>IF(D16&lt;&gt;cukier11[[#This Row],[miesiac]],1,0)</f>
        <v>0</v>
      </c>
      <c r="F15">
        <f>IF(AND(H14&lt;5000,cukier11[[#This Row],[czy_nastapiła_zmiana_mies]]=1),ROUNDUP((5000-H14)/1000,0),0)</f>
        <v>0</v>
      </c>
      <c r="G15">
        <f t="shared" si="0"/>
        <v>3246</v>
      </c>
      <c r="H15">
        <f>cukier11[[#This Row],[stan_magazynu]]-cukier11[[#This Row],[sprzedany_cukier]]</f>
        <v>3210</v>
      </c>
      <c r="I15" s="9">
        <f>cukier11[[#This Row],[stan_po_sprzedazy]]+cukier11[[#This Row],[ile_dokupic]]*1000</f>
        <v>3210</v>
      </c>
    </row>
    <row r="16" spans="1:12" x14ac:dyDescent="0.25">
      <c r="A16" s="1">
        <v>38379</v>
      </c>
      <c r="B16" t="s">
        <v>10</v>
      </c>
      <c r="C16">
        <v>51</v>
      </c>
      <c r="D16">
        <f>MONTH(cukier11[[#This Row],[data]])</f>
        <v>1</v>
      </c>
      <c r="E16">
        <f>IF(D17&lt;&gt;cukier11[[#This Row],[miesiac]],1,0)</f>
        <v>1</v>
      </c>
      <c r="F16">
        <f>IF(AND(H15&lt;5000,cukier11[[#This Row],[czy_nastapiła_zmiana_mies]]=1),ROUNDUP((5000-H15)/1000,0),0)</f>
        <v>2</v>
      </c>
      <c r="G16">
        <f t="shared" si="0"/>
        <v>3210</v>
      </c>
      <c r="H16">
        <f>cukier11[[#This Row],[stan_magazynu]]-cukier11[[#This Row],[sprzedany_cukier]]</f>
        <v>3159</v>
      </c>
      <c r="I16" s="9">
        <f>cukier11[[#This Row],[stan_po_sprzedazy]]+cukier11[[#This Row],[ile_dokupic]]*1000</f>
        <v>5159</v>
      </c>
    </row>
    <row r="17" spans="1:9" x14ac:dyDescent="0.25">
      <c r="A17" s="1">
        <v>38385</v>
      </c>
      <c r="B17" t="s">
        <v>7</v>
      </c>
      <c r="C17">
        <v>465</v>
      </c>
      <c r="D17">
        <f>MONTH(cukier11[[#This Row],[data]])</f>
        <v>2</v>
      </c>
      <c r="E17">
        <f>IF(D18&lt;&gt;cukier11[[#This Row],[miesiac]],1,0)</f>
        <v>0</v>
      </c>
      <c r="F17">
        <f>IF(AND(H16&lt;5000,cukier11[[#This Row],[czy_nastapiła_zmiana_mies]]=1),ROUNDUP((5000-H16)/1000,0),0)</f>
        <v>0</v>
      </c>
      <c r="G17">
        <f t="shared" si="0"/>
        <v>5159</v>
      </c>
      <c r="H17">
        <f>cukier11[[#This Row],[stan_magazynu]]-cukier11[[#This Row],[sprzedany_cukier]]</f>
        <v>4694</v>
      </c>
      <c r="I17" s="9">
        <f>cukier11[[#This Row],[stan_po_sprzedazy]]+cukier11[[#This Row],[ile_dokupic]]*1000</f>
        <v>4694</v>
      </c>
    </row>
    <row r="18" spans="1:9" x14ac:dyDescent="0.25">
      <c r="A18" s="1">
        <v>38386</v>
      </c>
      <c r="B18" t="s">
        <v>13</v>
      </c>
      <c r="C18">
        <v>8</v>
      </c>
      <c r="D18">
        <f>MONTH(cukier11[[#This Row],[data]])</f>
        <v>2</v>
      </c>
      <c r="E18">
        <f>IF(D19&lt;&gt;cukier11[[#This Row],[miesiac]],1,0)</f>
        <v>0</v>
      </c>
      <c r="F18">
        <f>IF(AND(H17&lt;5000,cukier11[[#This Row],[czy_nastapiła_zmiana_mies]]=1),ROUNDUP((5000-H17)/1000,0),0)</f>
        <v>0</v>
      </c>
      <c r="G18">
        <f t="shared" si="0"/>
        <v>4694</v>
      </c>
      <c r="H18">
        <f>cukier11[[#This Row],[stan_magazynu]]-cukier11[[#This Row],[sprzedany_cukier]]</f>
        <v>4686</v>
      </c>
      <c r="I18" s="9">
        <f>cukier11[[#This Row],[stan_po_sprzedazy]]+cukier11[[#This Row],[ile_dokupic]]*1000</f>
        <v>4686</v>
      </c>
    </row>
    <row r="19" spans="1:9" x14ac:dyDescent="0.25">
      <c r="A19" s="1">
        <v>38388</v>
      </c>
      <c r="B19" t="s">
        <v>14</v>
      </c>
      <c r="C19">
        <v>287</v>
      </c>
      <c r="D19">
        <f>MONTH(cukier11[[#This Row],[data]])</f>
        <v>2</v>
      </c>
      <c r="E19">
        <f>IF(D20&lt;&gt;cukier11[[#This Row],[miesiac]],1,0)</f>
        <v>0</v>
      </c>
      <c r="F19">
        <f>IF(AND(H18&lt;5000,cukier11[[#This Row],[czy_nastapiła_zmiana_mies]]=1),ROUNDUP((5000-H18)/1000,0),0)</f>
        <v>0</v>
      </c>
      <c r="G19">
        <f t="shared" si="0"/>
        <v>4686</v>
      </c>
      <c r="H19">
        <f>cukier11[[#This Row],[stan_magazynu]]-cukier11[[#This Row],[sprzedany_cukier]]</f>
        <v>4399</v>
      </c>
      <c r="I19" s="9">
        <f>cukier11[[#This Row],[stan_po_sprzedazy]]+cukier11[[#This Row],[ile_dokupic]]*1000</f>
        <v>4399</v>
      </c>
    </row>
    <row r="20" spans="1:9" x14ac:dyDescent="0.25">
      <c r="A20" s="1">
        <v>38388</v>
      </c>
      <c r="B20" t="s">
        <v>15</v>
      </c>
      <c r="C20">
        <v>12</v>
      </c>
      <c r="D20">
        <f>MONTH(cukier11[[#This Row],[data]])</f>
        <v>2</v>
      </c>
      <c r="E20">
        <f>IF(D21&lt;&gt;cukier11[[#This Row],[miesiac]],1,0)</f>
        <v>0</v>
      </c>
      <c r="F20">
        <f>IF(AND(H19&lt;5000,cukier11[[#This Row],[czy_nastapiła_zmiana_mies]]=1),ROUNDUP((5000-H19)/1000,0),0)</f>
        <v>0</v>
      </c>
      <c r="G20">
        <f t="shared" si="0"/>
        <v>4399</v>
      </c>
      <c r="H20">
        <f>cukier11[[#This Row],[stan_magazynu]]-cukier11[[#This Row],[sprzedany_cukier]]</f>
        <v>4387</v>
      </c>
      <c r="I20" s="9">
        <f>cukier11[[#This Row],[stan_po_sprzedazy]]+cukier11[[#This Row],[ile_dokupic]]*1000</f>
        <v>4387</v>
      </c>
    </row>
    <row r="21" spans="1:9" x14ac:dyDescent="0.25">
      <c r="A21" s="1">
        <v>38393</v>
      </c>
      <c r="B21" t="s">
        <v>16</v>
      </c>
      <c r="C21">
        <v>6</v>
      </c>
      <c r="D21">
        <f>MONTH(cukier11[[#This Row],[data]])</f>
        <v>2</v>
      </c>
      <c r="E21">
        <f>IF(D22&lt;&gt;cukier11[[#This Row],[miesiac]],1,0)</f>
        <v>0</v>
      </c>
      <c r="F21">
        <f>IF(AND(H20&lt;5000,cukier11[[#This Row],[czy_nastapiła_zmiana_mies]]=1),ROUNDUP((5000-H20)/1000,0),0)</f>
        <v>0</v>
      </c>
      <c r="G21">
        <f t="shared" si="0"/>
        <v>4387</v>
      </c>
      <c r="H21">
        <f>cukier11[[#This Row],[stan_magazynu]]-cukier11[[#This Row],[sprzedany_cukier]]</f>
        <v>4381</v>
      </c>
      <c r="I21" s="9">
        <f>cukier11[[#This Row],[stan_po_sprzedazy]]+cukier11[[#This Row],[ile_dokupic]]*1000</f>
        <v>4381</v>
      </c>
    </row>
    <row r="22" spans="1:9" x14ac:dyDescent="0.25">
      <c r="A22" s="1">
        <v>38397</v>
      </c>
      <c r="B22" t="s">
        <v>17</v>
      </c>
      <c r="C22">
        <v>321</v>
      </c>
      <c r="D22">
        <f>MONTH(cukier11[[#This Row],[data]])</f>
        <v>2</v>
      </c>
      <c r="E22">
        <f>IF(D23&lt;&gt;cukier11[[#This Row],[miesiac]],1,0)</f>
        <v>0</v>
      </c>
      <c r="F22">
        <f>IF(AND(H21&lt;5000,cukier11[[#This Row],[czy_nastapiła_zmiana_mies]]=1),ROUNDUP((5000-H21)/1000,0),0)</f>
        <v>0</v>
      </c>
      <c r="G22">
        <f t="shared" si="0"/>
        <v>4381</v>
      </c>
      <c r="H22">
        <f>cukier11[[#This Row],[stan_magazynu]]-cukier11[[#This Row],[sprzedany_cukier]]</f>
        <v>4060</v>
      </c>
      <c r="I22" s="9">
        <f>cukier11[[#This Row],[stan_po_sprzedazy]]+cukier11[[#This Row],[ile_dokupic]]*1000</f>
        <v>4060</v>
      </c>
    </row>
    <row r="23" spans="1:9" x14ac:dyDescent="0.25">
      <c r="A23" s="1">
        <v>38401</v>
      </c>
      <c r="B23" t="s">
        <v>18</v>
      </c>
      <c r="C23">
        <v>99</v>
      </c>
      <c r="D23">
        <f>MONTH(cukier11[[#This Row],[data]])</f>
        <v>2</v>
      </c>
      <c r="E23">
        <f>IF(D24&lt;&gt;cukier11[[#This Row],[miesiac]],1,0)</f>
        <v>0</v>
      </c>
      <c r="F23">
        <f>IF(AND(H22&lt;5000,cukier11[[#This Row],[czy_nastapiła_zmiana_mies]]=1),ROUNDUP((5000-H22)/1000,0),0)</f>
        <v>0</v>
      </c>
      <c r="G23">
        <f t="shared" si="0"/>
        <v>4060</v>
      </c>
      <c r="H23">
        <f>cukier11[[#This Row],[stan_magazynu]]-cukier11[[#This Row],[sprzedany_cukier]]</f>
        <v>3961</v>
      </c>
      <c r="I23" s="9">
        <f>cukier11[[#This Row],[stan_po_sprzedazy]]+cukier11[[#This Row],[ile_dokupic]]*1000</f>
        <v>3961</v>
      </c>
    </row>
    <row r="24" spans="1:9" x14ac:dyDescent="0.25">
      <c r="A24" s="1">
        <v>38401</v>
      </c>
      <c r="B24" t="s">
        <v>19</v>
      </c>
      <c r="C24">
        <v>91</v>
      </c>
      <c r="D24">
        <f>MONTH(cukier11[[#This Row],[data]])</f>
        <v>2</v>
      </c>
      <c r="E24">
        <f>IF(D25&lt;&gt;cukier11[[#This Row],[miesiac]],1,0)</f>
        <v>0</v>
      </c>
      <c r="F24">
        <f>IF(AND(H23&lt;5000,cukier11[[#This Row],[czy_nastapiła_zmiana_mies]]=1),ROUNDUP((5000-H23)/1000,0),0)</f>
        <v>0</v>
      </c>
      <c r="G24">
        <f t="shared" si="0"/>
        <v>3961</v>
      </c>
      <c r="H24">
        <f>cukier11[[#This Row],[stan_magazynu]]-cukier11[[#This Row],[sprzedany_cukier]]</f>
        <v>3870</v>
      </c>
      <c r="I24" s="9">
        <f>cukier11[[#This Row],[stan_po_sprzedazy]]+cukier11[[#This Row],[ile_dokupic]]*1000</f>
        <v>3870</v>
      </c>
    </row>
    <row r="25" spans="1:9" x14ac:dyDescent="0.25">
      <c r="A25" s="1">
        <v>38407</v>
      </c>
      <c r="B25" t="s">
        <v>14</v>
      </c>
      <c r="C25">
        <v>118</v>
      </c>
      <c r="D25">
        <f>MONTH(cukier11[[#This Row],[data]])</f>
        <v>2</v>
      </c>
      <c r="E25">
        <f>IF(D26&lt;&gt;cukier11[[#This Row],[miesiac]],1,0)</f>
        <v>0</v>
      </c>
      <c r="F25">
        <f>IF(AND(H24&lt;5000,cukier11[[#This Row],[czy_nastapiła_zmiana_mies]]=1),ROUNDUP((5000-H24)/1000,0),0)</f>
        <v>0</v>
      </c>
      <c r="G25">
        <f t="shared" si="0"/>
        <v>3870</v>
      </c>
      <c r="H25">
        <f>cukier11[[#This Row],[stan_magazynu]]-cukier11[[#This Row],[sprzedany_cukier]]</f>
        <v>3752</v>
      </c>
      <c r="I25" s="9">
        <f>cukier11[[#This Row],[stan_po_sprzedazy]]+cukier11[[#This Row],[ile_dokupic]]*1000</f>
        <v>3752</v>
      </c>
    </row>
    <row r="26" spans="1:9" x14ac:dyDescent="0.25">
      <c r="A26" s="1">
        <v>38408</v>
      </c>
      <c r="B26" t="s">
        <v>20</v>
      </c>
      <c r="C26">
        <v>58</v>
      </c>
      <c r="D26">
        <f>MONTH(cukier11[[#This Row],[data]])</f>
        <v>2</v>
      </c>
      <c r="E26">
        <f>IF(D27&lt;&gt;cukier11[[#This Row],[miesiac]],1,0)</f>
        <v>0</v>
      </c>
      <c r="F26">
        <f>IF(AND(H25&lt;5000,cukier11[[#This Row],[czy_nastapiła_zmiana_mies]]=1),ROUNDUP((5000-H25)/1000,0),0)</f>
        <v>0</v>
      </c>
      <c r="G26">
        <f t="shared" si="0"/>
        <v>3752</v>
      </c>
      <c r="H26">
        <f>cukier11[[#This Row],[stan_magazynu]]-cukier11[[#This Row],[sprzedany_cukier]]</f>
        <v>3694</v>
      </c>
      <c r="I26" s="9">
        <f>cukier11[[#This Row],[stan_po_sprzedazy]]+cukier11[[#This Row],[ile_dokupic]]*1000</f>
        <v>3694</v>
      </c>
    </row>
    <row r="27" spans="1:9" x14ac:dyDescent="0.25">
      <c r="A27" s="1">
        <v>38409</v>
      </c>
      <c r="B27" t="s">
        <v>21</v>
      </c>
      <c r="C27">
        <v>16</v>
      </c>
      <c r="D27">
        <f>MONTH(cukier11[[#This Row],[data]])</f>
        <v>2</v>
      </c>
      <c r="E27">
        <f>IF(D28&lt;&gt;cukier11[[#This Row],[miesiac]],1,0)</f>
        <v>0</v>
      </c>
      <c r="F27">
        <f>IF(AND(H26&lt;5000,cukier11[[#This Row],[czy_nastapiła_zmiana_mies]]=1),ROUNDUP((5000-H26)/1000,0),0)</f>
        <v>0</v>
      </c>
      <c r="G27">
        <f t="shared" si="0"/>
        <v>3694</v>
      </c>
      <c r="H27">
        <f>cukier11[[#This Row],[stan_magazynu]]-cukier11[[#This Row],[sprzedany_cukier]]</f>
        <v>3678</v>
      </c>
      <c r="I27" s="9">
        <f>cukier11[[#This Row],[stan_po_sprzedazy]]+cukier11[[#This Row],[ile_dokupic]]*1000</f>
        <v>3678</v>
      </c>
    </row>
    <row r="28" spans="1:9" x14ac:dyDescent="0.25">
      <c r="A28" s="1">
        <v>38409</v>
      </c>
      <c r="B28" t="s">
        <v>22</v>
      </c>
      <c r="C28">
        <v>348</v>
      </c>
      <c r="D28">
        <f>MONTH(cukier11[[#This Row],[data]])</f>
        <v>2</v>
      </c>
      <c r="E28">
        <f>IF(D29&lt;&gt;cukier11[[#This Row],[miesiac]],1,0)</f>
        <v>0</v>
      </c>
      <c r="F28">
        <f>IF(AND(H27&lt;5000,cukier11[[#This Row],[czy_nastapiła_zmiana_mies]]=1),ROUNDUP((5000-H27)/1000,0),0)</f>
        <v>0</v>
      </c>
      <c r="G28">
        <f t="shared" si="0"/>
        <v>3678</v>
      </c>
      <c r="H28">
        <f>cukier11[[#This Row],[stan_magazynu]]-cukier11[[#This Row],[sprzedany_cukier]]</f>
        <v>3330</v>
      </c>
      <c r="I28" s="9">
        <f>cukier11[[#This Row],[stan_po_sprzedazy]]+cukier11[[#This Row],[ile_dokupic]]*1000</f>
        <v>3330</v>
      </c>
    </row>
    <row r="29" spans="1:9" x14ac:dyDescent="0.25">
      <c r="A29" s="1">
        <v>38410</v>
      </c>
      <c r="B29" t="s">
        <v>5</v>
      </c>
      <c r="C29">
        <v>336</v>
      </c>
      <c r="D29">
        <f>MONTH(cukier11[[#This Row],[data]])</f>
        <v>2</v>
      </c>
      <c r="E29">
        <f>IF(D30&lt;&gt;cukier11[[#This Row],[miesiac]],1,0)</f>
        <v>0</v>
      </c>
      <c r="F29">
        <f>IF(AND(H28&lt;5000,cukier11[[#This Row],[czy_nastapiła_zmiana_mies]]=1),ROUNDUP((5000-H28)/1000,0),0)</f>
        <v>0</v>
      </c>
      <c r="G29">
        <f t="shared" si="0"/>
        <v>3330</v>
      </c>
      <c r="H29">
        <f>cukier11[[#This Row],[stan_magazynu]]-cukier11[[#This Row],[sprzedany_cukier]]</f>
        <v>2994</v>
      </c>
      <c r="I29" s="9">
        <f>cukier11[[#This Row],[stan_po_sprzedazy]]+cukier11[[#This Row],[ile_dokupic]]*1000</f>
        <v>2994</v>
      </c>
    </row>
    <row r="30" spans="1:9" x14ac:dyDescent="0.25">
      <c r="A30" s="1">
        <v>38410</v>
      </c>
      <c r="B30" t="s">
        <v>22</v>
      </c>
      <c r="C30">
        <v>435</v>
      </c>
      <c r="D30">
        <f>MONTH(cukier11[[#This Row],[data]])</f>
        <v>2</v>
      </c>
      <c r="E30">
        <f>IF(D31&lt;&gt;cukier11[[#This Row],[miesiac]],1,0)</f>
        <v>0</v>
      </c>
      <c r="F30">
        <f>IF(AND(H29&lt;5000,cukier11[[#This Row],[czy_nastapiła_zmiana_mies]]=1),ROUNDUP((5000-H29)/1000,0),0)</f>
        <v>0</v>
      </c>
      <c r="G30">
        <f t="shared" si="0"/>
        <v>2994</v>
      </c>
      <c r="H30">
        <f>cukier11[[#This Row],[stan_magazynu]]-cukier11[[#This Row],[sprzedany_cukier]]</f>
        <v>2559</v>
      </c>
      <c r="I30" s="9">
        <f>cukier11[[#This Row],[stan_po_sprzedazy]]+cukier11[[#This Row],[ile_dokupic]]*1000</f>
        <v>2559</v>
      </c>
    </row>
    <row r="31" spans="1:9" x14ac:dyDescent="0.25">
      <c r="A31" s="1">
        <v>38410</v>
      </c>
      <c r="B31" t="s">
        <v>23</v>
      </c>
      <c r="C31">
        <v>110</v>
      </c>
      <c r="D31">
        <f>MONTH(cukier11[[#This Row],[data]])</f>
        <v>2</v>
      </c>
      <c r="E31">
        <f>IF(D32&lt;&gt;cukier11[[#This Row],[miesiac]],1,0)</f>
        <v>1</v>
      </c>
      <c r="F31">
        <f>IF(AND(H30&lt;5000,cukier11[[#This Row],[czy_nastapiła_zmiana_mies]]=1),ROUNDUP((5000-H30)/1000,0),0)</f>
        <v>3</v>
      </c>
      <c r="G31">
        <f t="shared" si="0"/>
        <v>2559</v>
      </c>
      <c r="H31">
        <f>cukier11[[#This Row],[stan_magazynu]]-cukier11[[#This Row],[sprzedany_cukier]]</f>
        <v>2449</v>
      </c>
      <c r="I31" s="9">
        <f>cukier11[[#This Row],[stan_po_sprzedazy]]+cukier11[[#This Row],[ile_dokupic]]*1000</f>
        <v>5449</v>
      </c>
    </row>
    <row r="32" spans="1:9" x14ac:dyDescent="0.25">
      <c r="A32" s="1">
        <v>38412</v>
      </c>
      <c r="B32" t="s">
        <v>24</v>
      </c>
      <c r="C32">
        <v>204</v>
      </c>
      <c r="D32">
        <f>MONTH(cukier11[[#This Row],[data]])</f>
        <v>3</v>
      </c>
      <c r="E32">
        <f>IF(D33&lt;&gt;cukier11[[#This Row],[miesiac]],1,0)</f>
        <v>0</v>
      </c>
      <c r="F32">
        <f>IF(AND(H31&lt;5000,cukier11[[#This Row],[czy_nastapiła_zmiana_mies]]=1),ROUNDUP((5000-H31)/1000,0),0)</f>
        <v>0</v>
      </c>
      <c r="G32">
        <f t="shared" si="0"/>
        <v>5449</v>
      </c>
      <c r="H32">
        <f>cukier11[[#This Row],[stan_magazynu]]-cukier11[[#This Row],[sprzedany_cukier]]</f>
        <v>5245</v>
      </c>
      <c r="I32" s="9">
        <f>cukier11[[#This Row],[stan_po_sprzedazy]]+cukier11[[#This Row],[ile_dokupic]]*1000</f>
        <v>5245</v>
      </c>
    </row>
    <row r="33" spans="1:9" x14ac:dyDescent="0.25">
      <c r="A33" s="1">
        <v>38412</v>
      </c>
      <c r="B33" t="s">
        <v>18</v>
      </c>
      <c r="C33">
        <v>20</v>
      </c>
      <c r="D33">
        <f>MONTH(cukier11[[#This Row],[data]])</f>
        <v>3</v>
      </c>
      <c r="E33">
        <f>IF(D34&lt;&gt;cukier11[[#This Row],[miesiac]],1,0)</f>
        <v>0</v>
      </c>
      <c r="F33">
        <f>IF(AND(H32&lt;5000,cukier11[[#This Row],[czy_nastapiła_zmiana_mies]]=1),ROUNDUP((5000-H32)/1000,0),0)</f>
        <v>0</v>
      </c>
      <c r="G33">
        <f t="shared" si="0"/>
        <v>5245</v>
      </c>
      <c r="H33">
        <f>cukier11[[#This Row],[stan_magazynu]]-cukier11[[#This Row],[sprzedany_cukier]]</f>
        <v>5225</v>
      </c>
      <c r="I33" s="9">
        <f>cukier11[[#This Row],[stan_po_sprzedazy]]+cukier11[[#This Row],[ile_dokupic]]*1000</f>
        <v>5225</v>
      </c>
    </row>
    <row r="34" spans="1:9" x14ac:dyDescent="0.25">
      <c r="A34" s="1">
        <v>38414</v>
      </c>
      <c r="B34" t="s">
        <v>25</v>
      </c>
      <c r="C34">
        <v>102</v>
      </c>
      <c r="D34">
        <f>MONTH(cukier11[[#This Row],[data]])</f>
        <v>3</v>
      </c>
      <c r="E34">
        <f>IF(D35&lt;&gt;cukier11[[#This Row],[miesiac]],1,0)</f>
        <v>0</v>
      </c>
      <c r="F34">
        <f>IF(AND(H33&lt;5000,cukier11[[#This Row],[czy_nastapiła_zmiana_mies]]=1),ROUNDUP((5000-H33)/1000,0),0)</f>
        <v>0</v>
      </c>
      <c r="G34">
        <f t="shared" si="0"/>
        <v>5225</v>
      </c>
      <c r="H34">
        <f>cukier11[[#This Row],[stan_magazynu]]-cukier11[[#This Row],[sprzedany_cukier]]</f>
        <v>5123</v>
      </c>
      <c r="I34" s="9">
        <f>cukier11[[#This Row],[stan_po_sprzedazy]]+cukier11[[#This Row],[ile_dokupic]]*1000</f>
        <v>5123</v>
      </c>
    </row>
    <row r="35" spans="1:9" x14ac:dyDescent="0.25">
      <c r="A35" s="1">
        <v>38416</v>
      </c>
      <c r="B35" t="s">
        <v>26</v>
      </c>
      <c r="C35">
        <v>48</v>
      </c>
      <c r="D35">
        <f>MONTH(cukier11[[#This Row],[data]])</f>
        <v>3</v>
      </c>
      <c r="E35">
        <f>IF(D36&lt;&gt;cukier11[[#This Row],[miesiac]],1,0)</f>
        <v>0</v>
      </c>
      <c r="F35">
        <f>IF(AND(H34&lt;5000,cukier11[[#This Row],[czy_nastapiła_zmiana_mies]]=1),ROUNDUP((5000-H34)/1000,0),0)</f>
        <v>0</v>
      </c>
      <c r="G35">
        <f t="shared" si="0"/>
        <v>5123</v>
      </c>
      <c r="H35">
        <f>cukier11[[#This Row],[stan_magazynu]]-cukier11[[#This Row],[sprzedany_cukier]]</f>
        <v>5075</v>
      </c>
      <c r="I35" s="9">
        <f>cukier11[[#This Row],[stan_po_sprzedazy]]+cukier11[[#This Row],[ile_dokupic]]*1000</f>
        <v>5075</v>
      </c>
    </row>
    <row r="36" spans="1:9" x14ac:dyDescent="0.25">
      <c r="A36" s="1">
        <v>38418</v>
      </c>
      <c r="B36" t="s">
        <v>22</v>
      </c>
      <c r="C36">
        <v>329</v>
      </c>
      <c r="D36">
        <f>MONTH(cukier11[[#This Row],[data]])</f>
        <v>3</v>
      </c>
      <c r="E36">
        <f>IF(D37&lt;&gt;cukier11[[#This Row],[miesiac]],1,0)</f>
        <v>0</v>
      </c>
      <c r="F36">
        <f>IF(AND(H35&lt;5000,cukier11[[#This Row],[czy_nastapiła_zmiana_mies]]=1),ROUNDUP((5000-H35)/1000,0),0)</f>
        <v>0</v>
      </c>
      <c r="G36">
        <f t="shared" si="0"/>
        <v>5075</v>
      </c>
      <c r="H36">
        <f>cukier11[[#This Row],[stan_magazynu]]-cukier11[[#This Row],[sprzedany_cukier]]</f>
        <v>4746</v>
      </c>
      <c r="I36" s="9">
        <f>cukier11[[#This Row],[stan_po_sprzedazy]]+cukier11[[#This Row],[ile_dokupic]]*1000</f>
        <v>4746</v>
      </c>
    </row>
    <row r="37" spans="1:9" x14ac:dyDescent="0.25">
      <c r="A37" s="1">
        <v>38420</v>
      </c>
      <c r="B37" t="s">
        <v>27</v>
      </c>
      <c r="C37">
        <v>16</v>
      </c>
      <c r="D37">
        <f>MONTH(cukier11[[#This Row],[data]])</f>
        <v>3</v>
      </c>
      <c r="E37">
        <f>IF(D38&lt;&gt;cukier11[[#This Row],[miesiac]],1,0)</f>
        <v>0</v>
      </c>
      <c r="F37">
        <f>IF(AND(H36&lt;5000,cukier11[[#This Row],[czy_nastapiła_zmiana_mies]]=1),ROUNDUP((5000-H36)/1000,0),0)</f>
        <v>0</v>
      </c>
      <c r="G37">
        <f t="shared" si="0"/>
        <v>4746</v>
      </c>
      <c r="H37">
        <f>cukier11[[#This Row],[stan_magazynu]]-cukier11[[#This Row],[sprzedany_cukier]]</f>
        <v>4730</v>
      </c>
      <c r="I37" s="9">
        <f>cukier11[[#This Row],[stan_po_sprzedazy]]+cukier11[[#This Row],[ile_dokupic]]*1000</f>
        <v>4730</v>
      </c>
    </row>
    <row r="38" spans="1:9" x14ac:dyDescent="0.25">
      <c r="A38" s="1">
        <v>38421</v>
      </c>
      <c r="B38" t="s">
        <v>28</v>
      </c>
      <c r="C38">
        <v>102</v>
      </c>
      <c r="D38">
        <f>MONTH(cukier11[[#This Row],[data]])</f>
        <v>3</v>
      </c>
      <c r="E38">
        <f>IF(D39&lt;&gt;cukier11[[#This Row],[miesiac]],1,0)</f>
        <v>0</v>
      </c>
      <c r="F38">
        <f>IF(AND(H37&lt;5000,cukier11[[#This Row],[czy_nastapiła_zmiana_mies]]=1),ROUNDUP((5000-H37)/1000,0),0)</f>
        <v>0</v>
      </c>
      <c r="G38">
        <f t="shared" si="0"/>
        <v>4730</v>
      </c>
      <c r="H38">
        <f>cukier11[[#This Row],[stan_magazynu]]-cukier11[[#This Row],[sprzedany_cukier]]</f>
        <v>4628</v>
      </c>
      <c r="I38" s="9">
        <f>cukier11[[#This Row],[stan_po_sprzedazy]]+cukier11[[#This Row],[ile_dokupic]]*1000</f>
        <v>4628</v>
      </c>
    </row>
    <row r="39" spans="1:9" x14ac:dyDescent="0.25">
      <c r="A39" s="1">
        <v>38421</v>
      </c>
      <c r="B39" t="s">
        <v>14</v>
      </c>
      <c r="C39">
        <v>309</v>
      </c>
      <c r="D39">
        <f>MONTH(cukier11[[#This Row],[data]])</f>
        <v>3</v>
      </c>
      <c r="E39">
        <f>IF(D40&lt;&gt;cukier11[[#This Row],[miesiac]],1,0)</f>
        <v>0</v>
      </c>
      <c r="F39">
        <f>IF(AND(H38&lt;5000,cukier11[[#This Row],[czy_nastapiła_zmiana_mies]]=1),ROUNDUP((5000-H38)/1000,0),0)</f>
        <v>0</v>
      </c>
      <c r="G39">
        <f t="shared" si="0"/>
        <v>4628</v>
      </c>
      <c r="H39">
        <f>cukier11[[#This Row],[stan_magazynu]]-cukier11[[#This Row],[sprzedany_cukier]]</f>
        <v>4319</v>
      </c>
      <c r="I39" s="9">
        <f>cukier11[[#This Row],[stan_po_sprzedazy]]+cukier11[[#This Row],[ile_dokupic]]*1000</f>
        <v>4319</v>
      </c>
    </row>
    <row r="40" spans="1:9" x14ac:dyDescent="0.25">
      <c r="A40" s="1">
        <v>38423</v>
      </c>
      <c r="B40" t="s">
        <v>5</v>
      </c>
      <c r="C40">
        <v>331</v>
      </c>
      <c r="D40">
        <f>MONTH(cukier11[[#This Row],[data]])</f>
        <v>3</v>
      </c>
      <c r="E40">
        <f>IF(D41&lt;&gt;cukier11[[#This Row],[miesiac]],1,0)</f>
        <v>0</v>
      </c>
      <c r="F40">
        <f>IF(AND(H39&lt;5000,cukier11[[#This Row],[czy_nastapiła_zmiana_mies]]=1),ROUNDUP((5000-H39)/1000,0),0)</f>
        <v>0</v>
      </c>
      <c r="G40">
        <f t="shared" si="0"/>
        <v>4319</v>
      </c>
      <c r="H40">
        <f>cukier11[[#This Row],[stan_magazynu]]-cukier11[[#This Row],[sprzedany_cukier]]</f>
        <v>3988</v>
      </c>
      <c r="I40" s="9">
        <f>cukier11[[#This Row],[stan_po_sprzedazy]]+cukier11[[#This Row],[ile_dokupic]]*1000</f>
        <v>3988</v>
      </c>
    </row>
    <row r="41" spans="1:9" x14ac:dyDescent="0.25">
      <c r="A41" s="1">
        <v>38428</v>
      </c>
      <c r="B41" t="s">
        <v>29</v>
      </c>
      <c r="C41">
        <v>3</v>
      </c>
      <c r="D41">
        <f>MONTH(cukier11[[#This Row],[data]])</f>
        <v>3</v>
      </c>
      <c r="E41">
        <f>IF(D42&lt;&gt;cukier11[[#This Row],[miesiac]],1,0)</f>
        <v>0</v>
      </c>
      <c r="F41">
        <f>IF(AND(H40&lt;5000,cukier11[[#This Row],[czy_nastapiła_zmiana_mies]]=1),ROUNDUP((5000-H40)/1000,0),0)</f>
        <v>0</v>
      </c>
      <c r="G41">
        <f t="shared" si="0"/>
        <v>3988</v>
      </c>
      <c r="H41">
        <f>cukier11[[#This Row],[stan_magazynu]]-cukier11[[#This Row],[sprzedany_cukier]]</f>
        <v>3985</v>
      </c>
      <c r="I41" s="9">
        <f>cukier11[[#This Row],[stan_po_sprzedazy]]+cukier11[[#This Row],[ile_dokupic]]*1000</f>
        <v>3985</v>
      </c>
    </row>
    <row r="42" spans="1:9" x14ac:dyDescent="0.25">
      <c r="A42" s="1">
        <v>38429</v>
      </c>
      <c r="B42" t="s">
        <v>30</v>
      </c>
      <c r="C42">
        <v>76</v>
      </c>
      <c r="D42">
        <f>MONTH(cukier11[[#This Row],[data]])</f>
        <v>3</v>
      </c>
      <c r="E42">
        <f>IF(D43&lt;&gt;cukier11[[#This Row],[miesiac]],1,0)</f>
        <v>0</v>
      </c>
      <c r="F42">
        <f>IF(AND(H41&lt;5000,cukier11[[#This Row],[czy_nastapiła_zmiana_mies]]=1),ROUNDUP((5000-H41)/1000,0),0)</f>
        <v>0</v>
      </c>
      <c r="G42">
        <f t="shared" si="0"/>
        <v>3985</v>
      </c>
      <c r="H42">
        <f>cukier11[[#This Row],[stan_magazynu]]-cukier11[[#This Row],[sprzedany_cukier]]</f>
        <v>3909</v>
      </c>
      <c r="I42" s="9">
        <f>cukier11[[#This Row],[stan_po_sprzedazy]]+cukier11[[#This Row],[ile_dokupic]]*1000</f>
        <v>3909</v>
      </c>
    </row>
    <row r="43" spans="1:9" x14ac:dyDescent="0.25">
      <c r="A43" s="1">
        <v>38429</v>
      </c>
      <c r="B43" t="s">
        <v>31</v>
      </c>
      <c r="C43">
        <v>196</v>
      </c>
      <c r="D43">
        <f>MONTH(cukier11[[#This Row],[data]])</f>
        <v>3</v>
      </c>
      <c r="E43">
        <f>IF(D44&lt;&gt;cukier11[[#This Row],[miesiac]],1,0)</f>
        <v>0</v>
      </c>
      <c r="F43">
        <f>IF(AND(H42&lt;5000,cukier11[[#This Row],[czy_nastapiła_zmiana_mies]]=1),ROUNDUP((5000-H42)/1000,0),0)</f>
        <v>0</v>
      </c>
      <c r="G43">
        <f t="shared" si="0"/>
        <v>3909</v>
      </c>
      <c r="H43">
        <f>cukier11[[#This Row],[stan_magazynu]]-cukier11[[#This Row],[sprzedany_cukier]]</f>
        <v>3713</v>
      </c>
      <c r="I43" s="9">
        <f>cukier11[[#This Row],[stan_po_sprzedazy]]+cukier11[[#This Row],[ile_dokupic]]*1000</f>
        <v>3713</v>
      </c>
    </row>
    <row r="44" spans="1:9" x14ac:dyDescent="0.25">
      <c r="A44" s="1">
        <v>38431</v>
      </c>
      <c r="B44" t="s">
        <v>18</v>
      </c>
      <c r="C44">
        <v>54</v>
      </c>
      <c r="D44">
        <f>MONTH(cukier11[[#This Row],[data]])</f>
        <v>3</v>
      </c>
      <c r="E44">
        <f>IF(D45&lt;&gt;cukier11[[#This Row],[miesiac]],1,0)</f>
        <v>0</v>
      </c>
      <c r="F44">
        <f>IF(AND(H43&lt;5000,cukier11[[#This Row],[czy_nastapiła_zmiana_mies]]=1),ROUNDUP((5000-H43)/1000,0),0)</f>
        <v>0</v>
      </c>
      <c r="G44">
        <f t="shared" si="0"/>
        <v>3713</v>
      </c>
      <c r="H44">
        <f>cukier11[[#This Row],[stan_magazynu]]-cukier11[[#This Row],[sprzedany_cukier]]</f>
        <v>3659</v>
      </c>
      <c r="I44" s="9">
        <f>cukier11[[#This Row],[stan_po_sprzedazy]]+cukier11[[#This Row],[ile_dokupic]]*1000</f>
        <v>3659</v>
      </c>
    </row>
    <row r="45" spans="1:9" x14ac:dyDescent="0.25">
      <c r="A45" s="1">
        <v>38435</v>
      </c>
      <c r="B45" t="s">
        <v>9</v>
      </c>
      <c r="C45">
        <v>277</v>
      </c>
      <c r="D45">
        <f>MONTH(cukier11[[#This Row],[data]])</f>
        <v>3</v>
      </c>
      <c r="E45">
        <f>IF(D46&lt;&gt;cukier11[[#This Row],[miesiac]],1,0)</f>
        <v>0</v>
      </c>
      <c r="F45">
        <f>IF(AND(H44&lt;5000,cukier11[[#This Row],[czy_nastapiła_zmiana_mies]]=1),ROUNDUP((5000-H44)/1000,0),0)</f>
        <v>0</v>
      </c>
      <c r="G45">
        <f t="shared" si="0"/>
        <v>3659</v>
      </c>
      <c r="H45">
        <f>cukier11[[#This Row],[stan_magazynu]]-cukier11[[#This Row],[sprzedany_cukier]]</f>
        <v>3382</v>
      </c>
      <c r="I45" s="9">
        <f>cukier11[[#This Row],[stan_po_sprzedazy]]+cukier11[[#This Row],[ile_dokupic]]*1000</f>
        <v>3382</v>
      </c>
    </row>
    <row r="46" spans="1:9" x14ac:dyDescent="0.25">
      <c r="A46" s="1">
        <v>38437</v>
      </c>
      <c r="B46" t="s">
        <v>32</v>
      </c>
      <c r="C46">
        <v>7</v>
      </c>
      <c r="D46">
        <f>MONTH(cukier11[[#This Row],[data]])</f>
        <v>3</v>
      </c>
      <c r="E46">
        <f>IF(D47&lt;&gt;cukier11[[#This Row],[miesiac]],1,0)</f>
        <v>0</v>
      </c>
      <c r="F46">
        <f>IF(AND(H45&lt;5000,cukier11[[#This Row],[czy_nastapiła_zmiana_mies]]=1),ROUNDUP((5000-H45)/1000,0),0)</f>
        <v>0</v>
      </c>
      <c r="G46">
        <f t="shared" si="0"/>
        <v>3382</v>
      </c>
      <c r="H46">
        <f>cukier11[[#This Row],[stan_magazynu]]-cukier11[[#This Row],[sprzedany_cukier]]</f>
        <v>3375</v>
      </c>
      <c r="I46" s="9">
        <f>cukier11[[#This Row],[stan_po_sprzedazy]]+cukier11[[#This Row],[ile_dokupic]]*1000</f>
        <v>3375</v>
      </c>
    </row>
    <row r="47" spans="1:9" x14ac:dyDescent="0.25">
      <c r="A47" s="1">
        <v>38439</v>
      </c>
      <c r="B47" t="s">
        <v>33</v>
      </c>
      <c r="C47">
        <v>12</v>
      </c>
      <c r="D47">
        <f>MONTH(cukier11[[#This Row],[data]])</f>
        <v>3</v>
      </c>
      <c r="E47">
        <f>IF(D48&lt;&gt;cukier11[[#This Row],[miesiac]],1,0)</f>
        <v>0</v>
      </c>
      <c r="F47">
        <f>IF(AND(H46&lt;5000,cukier11[[#This Row],[czy_nastapiła_zmiana_mies]]=1),ROUNDUP((5000-H46)/1000,0),0)</f>
        <v>0</v>
      </c>
      <c r="G47">
        <f t="shared" si="0"/>
        <v>3375</v>
      </c>
      <c r="H47">
        <f>cukier11[[#This Row],[stan_magazynu]]-cukier11[[#This Row],[sprzedany_cukier]]</f>
        <v>3363</v>
      </c>
      <c r="I47" s="9">
        <f>cukier11[[#This Row],[stan_po_sprzedazy]]+cukier11[[#This Row],[ile_dokupic]]*1000</f>
        <v>3363</v>
      </c>
    </row>
    <row r="48" spans="1:9" x14ac:dyDescent="0.25">
      <c r="A48" s="1">
        <v>38440</v>
      </c>
      <c r="B48" t="s">
        <v>34</v>
      </c>
      <c r="C48">
        <v>7</v>
      </c>
      <c r="D48">
        <f>MONTH(cukier11[[#This Row],[data]])</f>
        <v>3</v>
      </c>
      <c r="E48">
        <f>IF(D49&lt;&gt;cukier11[[#This Row],[miesiac]],1,0)</f>
        <v>0</v>
      </c>
      <c r="F48">
        <f>IF(AND(H47&lt;5000,cukier11[[#This Row],[czy_nastapiła_zmiana_mies]]=1),ROUNDUP((5000-H47)/1000,0),0)</f>
        <v>0</v>
      </c>
      <c r="G48">
        <f t="shared" si="0"/>
        <v>3363</v>
      </c>
      <c r="H48">
        <f>cukier11[[#This Row],[stan_magazynu]]-cukier11[[#This Row],[sprzedany_cukier]]</f>
        <v>3356</v>
      </c>
      <c r="I48" s="9">
        <f>cukier11[[#This Row],[stan_po_sprzedazy]]+cukier11[[#This Row],[ile_dokupic]]*1000</f>
        <v>3356</v>
      </c>
    </row>
    <row r="49" spans="1:9" x14ac:dyDescent="0.25">
      <c r="A49" s="1">
        <v>38442</v>
      </c>
      <c r="B49" t="s">
        <v>7</v>
      </c>
      <c r="C49">
        <v>416</v>
      </c>
      <c r="D49">
        <f>MONTH(cukier11[[#This Row],[data]])</f>
        <v>3</v>
      </c>
      <c r="E49">
        <f>IF(D50&lt;&gt;cukier11[[#This Row],[miesiac]],1,0)</f>
        <v>1</v>
      </c>
      <c r="F49">
        <f>IF(AND(H48&lt;5000,cukier11[[#This Row],[czy_nastapiła_zmiana_mies]]=1),ROUNDUP((5000-H48)/1000,0),0)</f>
        <v>2</v>
      </c>
      <c r="G49">
        <f t="shared" si="0"/>
        <v>3356</v>
      </c>
      <c r="H49">
        <f>cukier11[[#This Row],[stan_magazynu]]-cukier11[[#This Row],[sprzedany_cukier]]</f>
        <v>2940</v>
      </c>
      <c r="I49" s="9">
        <f>cukier11[[#This Row],[stan_po_sprzedazy]]+cukier11[[#This Row],[ile_dokupic]]*1000</f>
        <v>4940</v>
      </c>
    </row>
    <row r="50" spans="1:9" x14ac:dyDescent="0.25">
      <c r="A50" s="1">
        <v>38445</v>
      </c>
      <c r="B50" t="s">
        <v>7</v>
      </c>
      <c r="C50">
        <v>263</v>
      </c>
      <c r="D50">
        <f>MONTH(cukier11[[#This Row],[data]])</f>
        <v>4</v>
      </c>
      <c r="E50">
        <f>IF(D51&lt;&gt;cukier11[[#This Row],[miesiac]],1,0)</f>
        <v>0</v>
      </c>
      <c r="F50">
        <f>IF(AND(H49&lt;5000,cukier11[[#This Row],[czy_nastapiła_zmiana_mies]]=1),ROUNDUP((5000-H49)/1000,0),0)</f>
        <v>0</v>
      </c>
      <c r="G50">
        <f t="shared" si="0"/>
        <v>4940</v>
      </c>
      <c r="H50">
        <f>cukier11[[#This Row],[stan_magazynu]]-cukier11[[#This Row],[sprzedany_cukier]]</f>
        <v>4677</v>
      </c>
      <c r="I50" s="9">
        <f>cukier11[[#This Row],[stan_po_sprzedazy]]+cukier11[[#This Row],[ile_dokupic]]*1000</f>
        <v>4677</v>
      </c>
    </row>
    <row r="51" spans="1:9" x14ac:dyDescent="0.25">
      <c r="A51" s="1">
        <v>38448</v>
      </c>
      <c r="B51" t="s">
        <v>1</v>
      </c>
      <c r="C51">
        <v>15</v>
      </c>
      <c r="D51">
        <f>MONTH(cukier11[[#This Row],[data]])</f>
        <v>4</v>
      </c>
      <c r="E51">
        <f>IF(D52&lt;&gt;cukier11[[#This Row],[miesiac]],1,0)</f>
        <v>0</v>
      </c>
      <c r="F51">
        <f>IF(AND(H50&lt;5000,cukier11[[#This Row],[czy_nastapiła_zmiana_mies]]=1),ROUNDUP((5000-H50)/1000,0),0)</f>
        <v>0</v>
      </c>
      <c r="G51">
        <f t="shared" si="0"/>
        <v>4677</v>
      </c>
      <c r="H51">
        <f>cukier11[[#This Row],[stan_magazynu]]-cukier11[[#This Row],[sprzedany_cukier]]</f>
        <v>4662</v>
      </c>
      <c r="I51" s="9">
        <f>cukier11[[#This Row],[stan_po_sprzedazy]]+cukier11[[#This Row],[ile_dokupic]]*1000</f>
        <v>4662</v>
      </c>
    </row>
    <row r="52" spans="1:9" x14ac:dyDescent="0.25">
      <c r="A52" s="1">
        <v>38452</v>
      </c>
      <c r="B52" t="s">
        <v>25</v>
      </c>
      <c r="C52">
        <v>194</v>
      </c>
      <c r="D52">
        <f>MONTH(cukier11[[#This Row],[data]])</f>
        <v>4</v>
      </c>
      <c r="E52">
        <f>IF(D53&lt;&gt;cukier11[[#This Row],[miesiac]],1,0)</f>
        <v>0</v>
      </c>
      <c r="F52">
        <f>IF(AND(H51&lt;5000,cukier11[[#This Row],[czy_nastapiła_zmiana_mies]]=1),ROUNDUP((5000-H51)/1000,0),0)</f>
        <v>0</v>
      </c>
      <c r="G52">
        <f t="shared" si="0"/>
        <v>4662</v>
      </c>
      <c r="H52">
        <f>cukier11[[#This Row],[stan_magazynu]]-cukier11[[#This Row],[sprzedany_cukier]]</f>
        <v>4468</v>
      </c>
      <c r="I52" s="9">
        <f>cukier11[[#This Row],[stan_po_sprzedazy]]+cukier11[[#This Row],[ile_dokupic]]*1000</f>
        <v>4468</v>
      </c>
    </row>
    <row r="53" spans="1:9" x14ac:dyDescent="0.25">
      <c r="A53" s="1">
        <v>38453</v>
      </c>
      <c r="B53" t="s">
        <v>35</v>
      </c>
      <c r="C53">
        <v>120</v>
      </c>
      <c r="D53">
        <f>MONTH(cukier11[[#This Row],[data]])</f>
        <v>4</v>
      </c>
      <c r="E53">
        <f>IF(D54&lt;&gt;cukier11[[#This Row],[miesiac]],1,0)</f>
        <v>0</v>
      </c>
      <c r="F53">
        <f>IF(AND(H52&lt;5000,cukier11[[#This Row],[czy_nastapiła_zmiana_mies]]=1),ROUNDUP((5000-H52)/1000,0),0)</f>
        <v>0</v>
      </c>
      <c r="G53">
        <f t="shared" si="0"/>
        <v>4468</v>
      </c>
      <c r="H53">
        <f>cukier11[[#This Row],[stan_magazynu]]-cukier11[[#This Row],[sprzedany_cukier]]</f>
        <v>4348</v>
      </c>
      <c r="I53" s="9">
        <f>cukier11[[#This Row],[stan_po_sprzedazy]]+cukier11[[#This Row],[ile_dokupic]]*1000</f>
        <v>4348</v>
      </c>
    </row>
    <row r="54" spans="1:9" x14ac:dyDescent="0.25">
      <c r="A54" s="1">
        <v>38454</v>
      </c>
      <c r="B54" t="s">
        <v>7</v>
      </c>
      <c r="C54">
        <v>175</v>
      </c>
      <c r="D54">
        <f>MONTH(cukier11[[#This Row],[data]])</f>
        <v>4</v>
      </c>
      <c r="E54">
        <f>IF(D55&lt;&gt;cukier11[[#This Row],[miesiac]],1,0)</f>
        <v>0</v>
      </c>
      <c r="F54">
        <f>IF(AND(H53&lt;5000,cukier11[[#This Row],[czy_nastapiła_zmiana_mies]]=1),ROUNDUP((5000-H53)/1000,0),0)</f>
        <v>0</v>
      </c>
      <c r="G54">
        <f t="shared" si="0"/>
        <v>4348</v>
      </c>
      <c r="H54">
        <f>cukier11[[#This Row],[stan_magazynu]]-cukier11[[#This Row],[sprzedany_cukier]]</f>
        <v>4173</v>
      </c>
      <c r="I54" s="9">
        <f>cukier11[[#This Row],[stan_po_sprzedazy]]+cukier11[[#This Row],[ile_dokupic]]*1000</f>
        <v>4173</v>
      </c>
    </row>
    <row r="55" spans="1:9" x14ac:dyDescent="0.25">
      <c r="A55" s="1">
        <v>38456</v>
      </c>
      <c r="B55" t="s">
        <v>36</v>
      </c>
      <c r="C55">
        <v>12</v>
      </c>
      <c r="D55">
        <f>MONTH(cukier11[[#This Row],[data]])</f>
        <v>4</v>
      </c>
      <c r="E55">
        <f>IF(D56&lt;&gt;cukier11[[#This Row],[miesiac]],1,0)</f>
        <v>0</v>
      </c>
      <c r="F55">
        <f>IF(AND(H54&lt;5000,cukier11[[#This Row],[czy_nastapiła_zmiana_mies]]=1),ROUNDUP((5000-H54)/1000,0),0)</f>
        <v>0</v>
      </c>
      <c r="G55">
        <f t="shared" si="0"/>
        <v>4173</v>
      </c>
      <c r="H55">
        <f>cukier11[[#This Row],[stan_magazynu]]-cukier11[[#This Row],[sprzedany_cukier]]</f>
        <v>4161</v>
      </c>
      <c r="I55" s="9">
        <f>cukier11[[#This Row],[stan_po_sprzedazy]]+cukier11[[#This Row],[ile_dokupic]]*1000</f>
        <v>4161</v>
      </c>
    </row>
    <row r="56" spans="1:9" x14ac:dyDescent="0.25">
      <c r="A56" s="1">
        <v>38457</v>
      </c>
      <c r="B56" t="s">
        <v>37</v>
      </c>
      <c r="C56">
        <v>174</v>
      </c>
      <c r="D56">
        <f>MONTH(cukier11[[#This Row],[data]])</f>
        <v>4</v>
      </c>
      <c r="E56">
        <f>IF(D57&lt;&gt;cukier11[[#This Row],[miesiac]],1,0)</f>
        <v>0</v>
      </c>
      <c r="F56">
        <f>IF(AND(H55&lt;5000,cukier11[[#This Row],[czy_nastapiła_zmiana_mies]]=1),ROUNDUP((5000-H55)/1000,0),0)</f>
        <v>0</v>
      </c>
      <c r="G56">
        <f t="shared" si="0"/>
        <v>4161</v>
      </c>
      <c r="H56">
        <f>cukier11[[#This Row],[stan_magazynu]]-cukier11[[#This Row],[sprzedany_cukier]]</f>
        <v>3987</v>
      </c>
      <c r="I56" s="9">
        <f>cukier11[[#This Row],[stan_po_sprzedazy]]+cukier11[[#This Row],[ile_dokupic]]*1000</f>
        <v>3987</v>
      </c>
    </row>
    <row r="57" spans="1:9" x14ac:dyDescent="0.25">
      <c r="A57" s="1">
        <v>38458</v>
      </c>
      <c r="B57" t="s">
        <v>38</v>
      </c>
      <c r="C57">
        <v>3</v>
      </c>
      <c r="D57">
        <f>MONTH(cukier11[[#This Row],[data]])</f>
        <v>4</v>
      </c>
      <c r="E57">
        <f>IF(D58&lt;&gt;cukier11[[#This Row],[miesiac]],1,0)</f>
        <v>0</v>
      </c>
      <c r="F57">
        <f>IF(AND(H56&lt;5000,cukier11[[#This Row],[czy_nastapiła_zmiana_mies]]=1),ROUNDUP((5000-H56)/1000,0),0)</f>
        <v>0</v>
      </c>
      <c r="G57">
        <f t="shared" si="0"/>
        <v>3987</v>
      </c>
      <c r="H57">
        <f>cukier11[[#This Row],[stan_magazynu]]-cukier11[[#This Row],[sprzedany_cukier]]</f>
        <v>3984</v>
      </c>
      <c r="I57" s="9">
        <f>cukier11[[#This Row],[stan_po_sprzedazy]]+cukier11[[#This Row],[ile_dokupic]]*1000</f>
        <v>3984</v>
      </c>
    </row>
    <row r="58" spans="1:9" x14ac:dyDescent="0.25">
      <c r="A58" s="1">
        <v>38459</v>
      </c>
      <c r="B58" t="s">
        <v>39</v>
      </c>
      <c r="C58">
        <v>149</v>
      </c>
      <c r="D58">
        <f>MONTH(cukier11[[#This Row],[data]])</f>
        <v>4</v>
      </c>
      <c r="E58">
        <f>IF(D59&lt;&gt;cukier11[[#This Row],[miesiac]],1,0)</f>
        <v>0</v>
      </c>
      <c r="F58">
        <f>IF(AND(H57&lt;5000,cukier11[[#This Row],[czy_nastapiła_zmiana_mies]]=1),ROUNDUP((5000-H57)/1000,0),0)</f>
        <v>0</v>
      </c>
      <c r="G58">
        <f t="shared" si="0"/>
        <v>3984</v>
      </c>
      <c r="H58">
        <f>cukier11[[#This Row],[stan_magazynu]]-cukier11[[#This Row],[sprzedany_cukier]]</f>
        <v>3835</v>
      </c>
      <c r="I58" s="9">
        <f>cukier11[[#This Row],[stan_po_sprzedazy]]+cukier11[[#This Row],[ile_dokupic]]*1000</f>
        <v>3835</v>
      </c>
    </row>
    <row r="59" spans="1:9" x14ac:dyDescent="0.25">
      <c r="A59" s="1">
        <v>38460</v>
      </c>
      <c r="B59" t="s">
        <v>17</v>
      </c>
      <c r="C59">
        <v>492</v>
      </c>
      <c r="D59">
        <f>MONTH(cukier11[[#This Row],[data]])</f>
        <v>4</v>
      </c>
      <c r="E59">
        <f>IF(D60&lt;&gt;cukier11[[#This Row],[miesiac]],1,0)</f>
        <v>0</v>
      </c>
      <c r="F59">
        <f>IF(AND(H58&lt;5000,cukier11[[#This Row],[czy_nastapiła_zmiana_mies]]=1),ROUNDUP((5000-H58)/1000,0),0)</f>
        <v>0</v>
      </c>
      <c r="G59">
        <f t="shared" si="0"/>
        <v>3835</v>
      </c>
      <c r="H59">
        <f>cukier11[[#This Row],[stan_magazynu]]-cukier11[[#This Row],[sprzedany_cukier]]</f>
        <v>3343</v>
      </c>
      <c r="I59" s="9">
        <f>cukier11[[#This Row],[stan_po_sprzedazy]]+cukier11[[#This Row],[ile_dokupic]]*1000</f>
        <v>3343</v>
      </c>
    </row>
    <row r="60" spans="1:9" x14ac:dyDescent="0.25">
      <c r="A60" s="1">
        <v>38460</v>
      </c>
      <c r="B60" t="s">
        <v>40</v>
      </c>
      <c r="C60">
        <v>2</v>
      </c>
      <c r="D60">
        <f>MONTH(cukier11[[#This Row],[data]])</f>
        <v>4</v>
      </c>
      <c r="E60">
        <f>IF(D61&lt;&gt;cukier11[[#This Row],[miesiac]],1,0)</f>
        <v>0</v>
      </c>
      <c r="F60">
        <f>IF(AND(H59&lt;5000,cukier11[[#This Row],[czy_nastapiła_zmiana_mies]]=1),ROUNDUP((5000-H59)/1000,0),0)</f>
        <v>0</v>
      </c>
      <c r="G60">
        <f t="shared" si="0"/>
        <v>3343</v>
      </c>
      <c r="H60">
        <f>cukier11[[#This Row],[stan_magazynu]]-cukier11[[#This Row],[sprzedany_cukier]]</f>
        <v>3341</v>
      </c>
      <c r="I60" s="9">
        <f>cukier11[[#This Row],[stan_po_sprzedazy]]+cukier11[[#This Row],[ile_dokupic]]*1000</f>
        <v>3341</v>
      </c>
    </row>
    <row r="61" spans="1:9" x14ac:dyDescent="0.25">
      <c r="A61" s="1">
        <v>38461</v>
      </c>
      <c r="B61" t="s">
        <v>14</v>
      </c>
      <c r="C61">
        <v>298</v>
      </c>
      <c r="D61">
        <f>MONTH(cukier11[[#This Row],[data]])</f>
        <v>4</v>
      </c>
      <c r="E61">
        <f>IF(D62&lt;&gt;cukier11[[#This Row],[miesiac]],1,0)</f>
        <v>0</v>
      </c>
      <c r="F61">
        <f>IF(AND(H60&lt;5000,cukier11[[#This Row],[czy_nastapiła_zmiana_mies]]=1),ROUNDUP((5000-H60)/1000,0),0)</f>
        <v>0</v>
      </c>
      <c r="G61">
        <f t="shared" si="0"/>
        <v>3341</v>
      </c>
      <c r="H61">
        <f>cukier11[[#This Row],[stan_magazynu]]-cukier11[[#This Row],[sprzedany_cukier]]</f>
        <v>3043</v>
      </c>
      <c r="I61" s="9">
        <f>cukier11[[#This Row],[stan_po_sprzedazy]]+cukier11[[#This Row],[ile_dokupic]]*1000</f>
        <v>3043</v>
      </c>
    </row>
    <row r="62" spans="1:9" x14ac:dyDescent="0.25">
      <c r="A62" s="1">
        <v>38472</v>
      </c>
      <c r="B62" t="s">
        <v>17</v>
      </c>
      <c r="C62">
        <v>201</v>
      </c>
      <c r="D62">
        <f>MONTH(cukier11[[#This Row],[data]])</f>
        <v>4</v>
      </c>
      <c r="E62">
        <f>IF(D63&lt;&gt;cukier11[[#This Row],[miesiac]],1,0)</f>
        <v>1</v>
      </c>
      <c r="F62">
        <f>IF(AND(H61&lt;5000,cukier11[[#This Row],[czy_nastapiła_zmiana_mies]]=1),ROUNDUP((5000-H61)/1000,0),0)</f>
        <v>2</v>
      </c>
      <c r="G62">
        <f t="shared" si="0"/>
        <v>3043</v>
      </c>
      <c r="H62">
        <f>cukier11[[#This Row],[stan_magazynu]]-cukier11[[#This Row],[sprzedany_cukier]]</f>
        <v>2842</v>
      </c>
      <c r="I62" s="9">
        <f>cukier11[[#This Row],[stan_po_sprzedazy]]+cukier11[[#This Row],[ile_dokupic]]*1000</f>
        <v>4842</v>
      </c>
    </row>
    <row r="63" spans="1:9" x14ac:dyDescent="0.25">
      <c r="A63" s="1">
        <v>38473</v>
      </c>
      <c r="B63" t="s">
        <v>41</v>
      </c>
      <c r="C63">
        <v>15</v>
      </c>
      <c r="D63">
        <f>MONTH(cukier11[[#This Row],[data]])</f>
        <v>5</v>
      </c>
      <c r="E63">
        <f>IF(D64&lt;&gt;cukier11[[#This Row],[miesiac]],1,0)</f>
        <v>0</v>
      </c>
      <c r="F63">
        <f>IF(AND(H62&lt;5000,cukier11[[#This Row],[czy_nastapiła_zmiana_mies]]=1),ROUNDUP((5000-H62)/1000,0),0)</f>
        <v>0</v>
      </c>
      <c r="G63">
        <f t="shared" si="0"/>
        <v>4842</v>
      </c>
      <c r="H63">
        <f>cukier11[[#This Row],[stan_magazynu]]-cukier11[[#This Row],[sprzedany_cukier]]</f>
        <v>4827</v>
      </c>
      <c r="I63" s="9">
        <f>cukier11[[#This Row],[stan_po_sprzedazy]]+cukier11[[#This Row],[ile_dokupic]]*1000</f>
        <v>4827</v>
      </c>
    </row>
    <row r="64" spans="1:9" x14ac:dyDescent="0.25">
      <c r="A64" s="1">
        <v>38473</v>
      </c>
      <c r="B64" t="s">
        <v>14</v>
      </c>
      <c r="C64">
        <v>319</v>
      </c>
      <c r="D64">
        <f>MONTH(cukier11[[#This Row],[data]])</f>
        <v>5</v>
      </c>
      <c r="E64">
        <f>IF(D65&lt;&gt;cukier11[[#This Row],[miesiac]],1,0)</f>
        <v>0</v>
      </c>
      <c r="F64">
        <f>IF(AND(H63&lt;5000,cukier11[[#This Row],[czy_nastapiła_zmiana_mies]]=1),ROUNDUP((5000-H63)/1000,0),0)</f>
        <v>0</v>
      </c>
      <c r="G64">
        <f t="shared" si="0"/>
        <v>4827</v>
      </c>
      <c r="H64">
        <f>cukier11[[#This Row],[stan_magazynu]]-cukier11[[#This Row],[sprzedany_cukier]]</f>
        <v>4508</v>
      </c>
      <c r="I64" s="9">
        <f>cukier11[[#This Row],[stan_po_sprzedazy]]+cukier11[[#This Row],[ile_dokupic]]*1000</f>
        <v>4508</v>
      </c>
    </row>
    <row r="65" spans="1:9" x14ac:dyDescent="0.25">
      <c r="A65" s="1">
        <v>38474</v>
      </c>
      <c r="B65" t="s">
        <v>42</v>
      </c>
      <c r="C65">
        <v>9</v>
      </c>
      <c r="D65">
        <f>MONTH(cukier11[[#This Row],[data]])</f>
        <v>5</v>
      </c>
      <c r="E65">
        <f>IF(D66&lt;&gt;cukier11[[#This Row],[miesiac]],1,0)</f>
        <v>0</v>
      </c>
      <c r="F65">
        <f>IF(AND(H64&lt;5000,cukier11[[#This Row],[czy_nastapiła_zmiana_mies]]=1),ROUNDUP((5000-H64)/1000,0),0)</f>
        <v>0</v>
      </c>
      <c r="G65">
        <f t="shared" si="0"/>
        <v>4508</v>
      </c>
      <c r="H65">
        <f>cukier11[[#This Row],[stan_magazynu]]-cukier11[[#This Row],[sprzedany_cukier]]</f>
        <v>4499</v>
      </c>
      <c r="I65" s="9">
        <f>cukier11[[#This Row],[stan_po_sprzedazy]]+cukier11[[#This Row],[ile_dokupic]]*1000</f>
        <v>4499</v>
      </c>
    </row>
    <row r="66" spans="1:9" x14ac:dyDescent="0.25">
      <c r="A66" s="1">
        <v>38476</v>
      </c>
      <c r="B66" t="s">
        <v>43</v>
      </c>
      <c r="C66">
        <v>15</v>
      </c>
      <c r="D66">
        <f>MONTH(cukier11[[#This Row],[data]])</f>
        <v>5</v>
      </c>
      <c r="E66">
        <f>IF(D67&lt;&gt;cukier11[[#This Row],[miesiac]],1,0)</f>
        <v>0</v>
      </c>
      <c r="F66">
        <f>IF(AND(H65&lt;5000,cukier11[[#This Row],[czy_nastapiła_zmiana_mies]]=1),ROUNDUP((5000-H65)/1000,0),0)</f>
        <v>0</v>
      </c>
      <c r="G66">
        <f t="shared" si="0"/>
        <v>4499</v>
      </c>
      <c r="H66">
        <f>cukier11[[#This Row],[stan_magazynu]]-cukier11[[#This Row],[sprzedany_cukier]]</f>
        <v>4484</v>
      </c>
      <c r="I66" s="9">
        <f>cukier11[[#This Row],[stan_po_sprzedazy]]+cukier11[[#This Row],[ile_dokupic]]*1000</f>
        <v>4484</v>
      </c>
    </row>
    <row r="67" spans="1:9" x14ac:dyDescent="0.25">
      <c r="A67" s="1">
        <v>38479</v>
      </c>
      <c r="B67" t="s">
        <v>22</v>
      </c>
      <c r="C67">
        <v>444</v>
      </c>
      <c r="D67">
        <f>MONTH(cukier11[[#This Row],[data]])</f>
        <v>5</v>
      </c>
      <c r="E67">
        <f>IF(D68&lt;&gt;cukier11[[#This Row],[miesiac]],1,0)</f>
        <v>0</v>
      </c>
      <c r="F67">
        <f>IF(AND(H66&lt;5000,cukier11[[#This Row],[czy_nastapiła_zmiana_mies]]=1),ROUNDUP((5000-H66)/1000,0),0)</f>
        <v>0</v>
      </c>
      <c r="G67">
        <f t="shared" si="0"/>
        <v>4484</v>
      </c>
      <c r="H67">
        <f>cukier11[[#This Row],[stan_magazynu]]-cukier11[[#This Row],[sprzedany_cukier]]</f>
        <v>4040</v>
      </c>
      <c r="I67" s="9">
        <f>cukier11[[#This Row],[stan_po_sprzedazy]]+cukier11[[#This Row],[ile_dokupic]]*1000</f>
        <v>4040</v>
      </c>
    </row>
    <row r="68" spans="1:9" x14ac:dyDescent="0.25">
      <c r="A68" s="1">
        <v>38479</v>
      </c>
      <c r="B68" t="s">
        <v>44</v>
      </c>
      <c r="C68">
        <v>13</v>
      </c>
      <c r="D68">
        <f>MONTH(cukier11[[#This Row],[data]])</f>
        <v>5</v>
      </c>
      <c r="E68">
        <f>IF(D69&lt;&gt;cukier11[[#This Row],[miesiac]],1,0)</f>
        <v>0</v>
      </c>
      <c r="F68">
        <f>IF(AND(H67&lt;5000,cukier11[[#This Row],[czy_nastapiła_zmiana_mies]]=1),ROUNDUP((5000-H67)/1000,0),0)</f>
        <v>0</v>
      </c>
      <c r="G68">
        <f t="shared" ref="G68:G131" si="1">I67</f>
        <v>4040</v>
      </c>
      <c r="H68">
        <f>cukier11[[#This Row],[stan_magazynu]]-cukier11[[#This Row],[sprzedany_cukier]]</f>
        <v>4027</v>
      </c>
      <c r="I68" s="9">
        <f>cukier11[[#This Row],[stan_po_sprzedazy]]+cukier11[[#This Row],[ile_dokupic]]*1000</f>
        <v>4027</v>
      </c>
    </row>
    <row r="69" spans="1:9" x14ac:dyDescent="0.25">
      <c r="A69" s="1">
        <v>38481</v>
      </c>
      <c r="B69" t="s">
        <v>45</v>
      </c>
      <c r="C69">
        <v>366</v>
      </c>
      <c r="D69">
        <f>MONTH(cukier11[[#This Row],[data]])</f>
        <v>5</v>
      </c>
      <c r="E69">
        <f>IF(D70&lt;&gt;cukier11[[#This Row],[miesiac]],1,0)</f>
        <v>0</v>
      </c>
      <c r="F69">
        <f>IF(AND(H68&lt;5000,cukier11[[#This Row],[czy_nastapiła_zmiana_mies]]=1),ROUNDUP((5000-H68)/1000,0),0)</f>
        <v>0</v>
      </c>
      <c r="G69">
        <f t="shared" si="1"/>
        <v>4027</v>
      </c>
      <c r="H69">
        <f>cukier11[[#This Row],[stan_magazynu]]-cukier11[[#This Row],[sprzedany_cukier]]</f>
        <v>3661</v>
      </c>
      <c r="I69" s="9">
        <f>cukier11[[#This Row],[stan_po_sprzedazy]]+cukier11[[#This Row],[ile_dokupic]]*1000</f>
        <v>3661</v>
      </c>
    </row>
    <row r="70" spans="1:9" x14ac:dyDescent="0.25">
      <c r="A70" s="1">
        <v>38492</v>
      </c>
      <c r="B70" t="s">
        <v>9</v>
      </c>
      <c r="C70">
        <v>259</v>
      </c>
      <c r="D70">
        <f>MONTH(cukier11[[#This Row],[data]])</f>
        <v>5</v>
      </c>
      <c r="E70">
        <f>IF(D71&lt;&gt;cukier11[[#This Row],[miesiac]],1,0)</f>
        <v>0</v>
      </c>
      <c r="F70">
        <f>IF(AND(H69&lt;5000,cukier11[[#This Row],[czy_nastapiła_zmiana_mies]]=1),ROUNDUP((5000-H69)/1000,0),0)</f>
        <v>0</v>
      </c>
      <c r="G70">
        <f t="shared" si="1"/>
        <v>3661</v>
      </c>
      <c r="H70">
        <f>cukier11[[#This Row],[stan_magazynu]]-cukier11[[#This Row],[sprzedany_cukier]]</f>
        <v>3402</v>
      </c>
      <c r="I70" s="9">
        <f>cukier11[[#This Row],[stan_po_sprzedazy]]+cukier11[[#This Row],[ile_dokupic]]*1000</f>
        <v>3402</v>
      </c>
    </row>
    <row r="71" spans="1:9" x14ac:dyDescent="0.25">
      <c r="A71" s="1">
        <v>38493</v>
      </c>
      <c r="B71" t="s">
        <v>46</v>
      </c>
      <c r="C71">
        <v>16</v>
      </c>
      <c r="D71">
        <f>MONTH(cukier11[[#This Row],[data]])</f>
        <v>5</v>
      </c>
      <c r="E71">
        <f>IF(D72&lt;&gt;cukier11[[#This Row],[miesiac]],1,0)</f>
        <v>0</v>
      </c>
      <c r="F71">
        <f>IF(AND(H70&lt;5000,cukier11[[#This Row],[czy_nastapiła_zmiana_mies]]=1),ROUNDUP((5000-H70)/1000,0),0)</f>
        <v>0</v>
      </c>
      <c r="G71">
        <f t="shared" si="1"/>
        <v>3402</v>
      </c>
      <c r="H71">
        <f>cukier11[[#This Row],[stan_magazynu]]-cukier11[[#This Row],[sprzedany_cukier]]</f>
        <v>3386</v>
      </c>
      <c r="I71" s="9">
        <f>cukier11[[#This Row],[stan_po_sprzedazy]]+cukier11[[#This Row],[ile_dokupic]]*1000</f>
        <v>3386</v>
      </c>
    </row>
    <row r="72" spans="1:9" x14ac:dyDescent="0.25">
      <c r="A72" s="1">
        <v>38496</v>
      </c>
      <c r="B72" t="s">
        <v>28</v>
      </c>
      <c r="C72">
        <v>49</v>
      </c>
      <c r="D72">
        <f>MONTH(cukier11[[#This Row],[data]])</f>
        <v>5</v>
      </c>
      <c r="E72">
        <f>IF(D73&lt;&gt;cukier11[[#This Row],[miesiac]],1,0)</f>
        <v>0</v>
      </c>
      <c r="F72">
        <f>IF(AND(H71&lt;5000,cukier11[[#This Row],[czy_nastapiła_zmiana_mies]]=1),ROUNDUP((5000-H71)/1000,0),0)</f>
        <v>0</v>
      </c>
      <c r="G72">
        <f t="shared" si="1"/>
        <v>3386</v>
      </c>
      <c r="H72">
        <f>cukier11[[#This Row],[stan_magazynu]]-cukier11[[#This Row],[sprzedany_cukier]]</f>
        <v>3337</v>
      </c>
      <c r="I72" s="9">
        <f>cukier11[[#This Row],[stan_po_sprzedazy]]+cukier11[[#This Row],[ile_dokupic]]*1000</f>
        <v>3337</v>
      </c>
    </row>
    <row r="73" spans="1:9" x14ac:dyDescent="0.25">
      <c r="A73" s="1">
        <v>38497</v>
      </c>
      <c r="B73" t="s">
        <v>47</v>
      </c>
      <c r="C73">
        <v>3</v>
      </c>
      <c r="D73">
        <f>MONTH(cukier11[[#This Row],[data]])</f>
        <v>5</v>
      </c>
      <c r="E73">
        <f>IF(D74&lt;&gt;cukier11[[#This Row],[miesiac]],1,0)</f>
        <v>0</v>
      </c>
      <c r="F73">
        <f>IF(AND(H72&lt;5000,cukier11[[#This Row],[czy_nastapiła_zmiana_mies]]=1),ROUNDUP((5000-H72)/1000,0),0)</f>
        <v>0</v>
      </c>
      <c r="G73">
        <f t="shared" si="1"/>
        <v>3337</v>
      </c>
      <c r="H73">
        <f>cukier11[[#This Row],[stan_magazynu]]-cukier11[[#This Row],[sprzedany_cukier]]</f>
        <v>3334</v>
      </c>
      <c r="I73" s="9">
        <f>cukier11[[#This Row],[stan_po_sprzedazy]]+cukier11[[#This Row],[ile_dokupic]]*1000</f>
        <v>3334</v>
      </c>
    </row>
    <row r="74" spans="1:9" x14ac:dyDescent="0.25">
      <c r="A74" s="1">
        <v>38497</v>
      </c>
      <c r="B74" t="s">
        <v>22</v>
      </c>
      <c r="C74">
        <v>251</v>
      </c>
      <c r="D74">
        <f>MONTH(cukier11[[#This Row],[data]])</f>
        <v>5</v>
      </c>
      <c r="E74">
        <f>IF(D75&lt;&gt;cukier11[[#This Row],[miesiac]],1,0)</f>
        <v>0</v>
      </c>
      <c r="F74">
        <f>IF(AND(H73&lt;5000,cukier11[[#This Row],[czy_nastapiła_zmiana_mies]]=1),ROUNDUP((5000-H73)/1000,0),0)</f>
        <v>0</v>
      </c>
      <c r="G74">
        <f t="shared" si="1"/>
        <v>3334</v>
      </c>
      <c r="H74">
        <f>cukier11[[#This Row],[stan_magazynu]]-cukier11[[#This Row],[sprzedany_cukier]]</f>
        <v>3083</v>
      </c>
      <c r="I74" s="9">
        <f>cukier11[[#This Row],[stan_po_sprzedazy]]+cukier11[[#This Row],[ile_dokupic]]*1000</f>
        <v>3083</v>
      </c>
    </row>
    <row r="75" spans="1:9" x14ac:dyDescent="0.25">
      <c r="A75" s="1">
        <v>38499</v>
      </c>
      <c r="B75" t="s">
        <v>30</v>
      </c>
      <c r="C75">
        <v>179</v>
      </c>
      <c r="D75">
        <f>MONTH(cukier11[[#This Row],[data]])</f>
        <v>5</v>
      </c>
      <c r="E75">
        <f>IF(D76&lt;&gt;cukier11[[#This Row],[miesiac]],1,0)</f>
        <v>0</v>
      </c>
      <c r="F75">
        <f>IF(AND(H74&lt;5000,cukier11[[#This Row],[czy_nastapiła_zmiana_mies]]=1),ROUNDUP((5000-H74)/1000,0),0)</f>
        <v>0</v>
      </c>
      <c r="G75">
        <f t="shared" si="1"/>
        <v>3083</v>
      </c>
      <c r="H75">
        <f>cukier11[[#This Row],[stan_magazynu]]-cukier11[[#This Row],[sprzedany_cukier]]</f>
        <v>2904</v>
      </c>
      <c r="I75" s="9">
        <f>cukier11[[#This Row],[stan_po_sprzedazy]]+cukier11[[#This Row],[ile_dokupic]]*1000</f>
        <v>2904</v>
      </c>
    </row>
    <row r="76" spans="1:9" x14ac:dyDescent="0.25">
      <c r="A76" s="1">
        <v>38501</v>
      </c>
      <c r="B76" t="s">
        <v>10</v>
      </c>
      <c r="C76">
        <v>116</v>
      </c>
      <c r="D76">
        <f>MONTH(cukier11[[#This Row],[data]])</f>
        <v>5</v>
      </c>
      <c r="E76">
        <f>IF(D77&lt;&gt;cukier11[[#This Row],[miesiac]],1,0)</f>
        <v>0</v>
      </c>
      <c r="F76">
        <f>IF(AND(H75&lt;5000,cukier11[[#This Row],[czy_nastapiła_zmiana_mies]]=1),ROUNDUP((5000-H75)/1000,0),0)</f>
        <v>0</v>
      </c>
      <c r="G76">
        <f t="shared" si="1"/>
        <v>2904</v>
      </c>
      <c r="H76">
        <f>cukier11[[#This Row],[stan_magazynu]]-cukier11[[#This Row],[sprzedany_cukier]]</f>
        <v>2788</v>
      </c>
      <c r="I76" s="9">
        <f>cukier11[[#This Row],[stan_po_sprzedazy]]+cukier11[[#This Row],[ile_dokupic]]*1000</f>
        <v>2788</v>
      </c>
    </row>
    <row r="77" spans="1:9" x14ac:dyDescent="0.25">
      <c r="A77" s="1">
        <v>38501</v>
      </c>
      <c r="B77" t="s">
        <v>48</v>
      </c>
      <c r="C77">
        <v>13</v>
      </c>
      <c r="D77">
        <f>MONTH(cukier11[[#This Row],[data]])</f>
        <v>5</v>
      </c>
      <c r="E77">
        <f>IF(D78&lt;&gt;cukier11[[#This Row],[miesiac]],1,0)</f>
        <v>0</v>
      </c>
      <c r="F77">
        <f>IF(AND(H76&lt;5000,cukier11[[#This Row],[czy_nastapiła_zmiana_mies]]=1),ROUNDUP((5000-H76)/1000,0),0)</f>
        <v>0</v>
      </c>
      <c r="G77">
        <f t="shared" si="1"/>
        <v>2788</v>
      </c>
      <c r="H77">
        <f>cukier11[[#This Row],[stan_magazynu]]-cukier11[[#This Row],[sprzedany_cukier]]</f>
        <v>2775</v>
      </c>
      <c r="I77" s="9">
        <f>cukier11[[#This Row],[stan_po_sprzedazy]]+cukier11[[#This Row],[ile_dokupic]]*1000</f>
        <v>2775</v>
      </c>
    </row>
    <row r="78" spans="1:9" x14ac:dyDescent="0.25">
      <c r="A78" s="1">
        <v>38503</v>
      </c>
      <c r="B78" t="s">
        <v>49</v>
      </c>
      <c r="C78">
        <v>3</v>
      </c>
      <c r="D78">
        <f>MONTH(cukier11[[#This Row],[data]])</f>
        <v>5</v>
      </c>
      <c r="E78">
        <f>IF(D79&lt;&gt;cukier11[[#This Row],[miesiac]],1,0)</f>
        <v>0</v>
      </c>
      <c r="F78">
        <f>IF(AND(H77&lt;5000,cukier11[[#This Row],[czy_nastapiła_zmiana_mies]]=1),ROUNDUP((5000-H77)/1000,0),0)</f>
        <v>0</v>
      </c>
      <c r="G78">
        <f t="shared" si="1"/>
        <v>2775</v>
      </c>
      <c r="H78">
        <f>cukier11[[#This Row],[stan_magazynu]]-cukier11[[#This Row],[sprzedany_cukier]]</f>
        <v>2772</v>
      </c>
      <c r="I78" s="9">
        <f>cukier11[[#This Row],[stan_po_sprzedazy]]+cukier11[[#This Row],[ile_dokupic]]*1000</f>
        <v>2772</v>
      </c>
    </row>
    <row r="79" spans="1:9" x14ac:dyDescent="0.25">
      <c r="A79" s="1">
        <v>38503</v>
      </c>
      <c r="B79" t="s">
        <v>50</v>
      </c>
      <c r="C79">
        <v>253</v>
      </c>
      <c r="D79">
        <f>MONTH(cukier11[[#This Row],[data]])</f>
        <v>5</v>
      </c>
      <c r="E79">
        <f>IF(D80&lt;&gt;cukier11[[#This Row],[miesiac]],1,0)</f>
        <v>1</v>
      </c>
      <c r="F79">
        <f>IF(AND(H78&lt;5000,cukier11[[#This Row],[czy_nastapiła_zmiana_mies]]=1),ROUNDUP((5000-H78)/1000,0),0)</f>
        <v>3</v>
      </c>
      <c r="G79">
        <f t="shared" si="1"/>
        <v>2772</v>
      </c>
      <c r="H79">
        <f>cukier11[[#This Row],[stan_magazynu]]-cukier11[[#This Row],[sprzedany_cukier]]</f>
        <v>2519</v>
      </c>
      <c r="I79" s="9">
        <f>cukier11[[#This Row],[stan_po_sprzedazy]]+cukier11[[#This Row],[ile_dokupic]]*1000</f>
        <v>5519</v>
      </c>
    </row>
    <row r="80" spans="1:9" x14ac:dyDescent="0.25">
      <c r="A80" s="1">
        <v>38510</v>
      </c>
      <c r="B80" t="s">
        <v>23</v>
      </c>
      <c r="C80">
        <v>83</v>
      </c>
      <c r="D80">
        <f>MONTH(cukier11[[#This Row],[data]])</f>
        <v>6</v>
      </c>
      <c r="E80">
        <f>IF(D81&lt;&gt;cukier11[[#This Row],[miesiac]],1,0)</f>
        <v>0</v>
      </c>
      <c r="F80">
        <f>IF(AND(H79&lt;5000,cukier11[[#This Row],[czy_nastapiła_zmiana_mies]]=1),ROUNDUP((5000-H79)/1000,0),0)</f>
        <v>0</v>
      </c>
      <c r="G80">
        <f t="shared" si="1"/>
        <v>5519</v>
      </c>
      <c r="H80">
        <f>cukier11[[#This Row],[stan_magazynu]]-cukier11[[#This Row],[sprzedany_cukier]]</f>
        <v>5436</v>
      </c>
      <c r="I80" s="9">
        <f>cukier11[[#This Row],[stan_po_sprzedazy]]+cukier11[[#This Row],[ile_dokupic]]*1000</f>
        <v>5436</v>
      </c>
    </row>
    <row r="81" spans="1:9" x14ac:dyDescent="0.25">
      <c r="A81" s="1">
        <v>38512</v>
      </c>
      <c r="B81" t="s">
        <v>18</v>
      </c>
      <c r="C81">
        <v>177</v>
      </c>
      <c r="D81">
        <f>MONTH(cukier11[[#This Row],[data]])</f>
        <v>6</v>
      </c>
      <c r="E81">
        <f>IF(D82&lt;&gt;cukier11[[#This Row],[miesiac]],1,0)</f>
        <v>0</v>
      </c>
      <c r="F81">
        <f>IF(AND(H80&lt;5000,cukier11[[#This Row],[czy_nastapiła_zmiana_mies]]=1),ROUNDUP((5000-H80)/1000,0),0)</f>
        <v>0</v>
      </c>
      <c r="G81">
        <f t="shared" si="1"/>
        <v>5436</v>
      </c>
      <c r="H81">
        <f>cukier11[[#This Row],[stan_magazynu]]-cukier11[[#This Row],[sprzedany_cukier]]</f>
        <v>5259</v>
      </c>
      <c r="I81" s="9">
        <f>cukier11[[#This Row],[stan_po_sprzedazy]]+cukier11[[#This Row],[ile_dokupic]]*1000</f>
        <v>5259</v>
      </c>
    </row>
    <row r="82" spans="1:9" x14ac:dyDescent="0.25">
      <c r="A82" s="1">
        <v>38512</v>
      </c>
      <c r="B82" t="s">
        <v>51</v>
      </c>
      <c r="C82">
        <v>7</v>
      </c>
      <c r="D82">
        <f>MONTH(cukier11[[#This Row],[data]])</f>
        <v>6</v>
      </c>
      <c r="E82">
        <f>IF(D83&lt;&gt;cukier11[[#This Row],[miesiac]],1,0)</f>
        <v>0</v>
      </c>
      <c r="F82">
        <f>IF(AND(H81&lt;5000,cukier11[[#This Row],[czy_nastapiła_zmiana_mies]]=1),ROUNDUP((5000-H81)/1000,0),0)</f>
        <v>0</v>
      </c>
      <c r="G82">
        <f t="shared" si="1"/>
        <v>5259</v>
      </c>
      <c r="H82">
        <f>cukier11[[#This Row],[stan_magazynu]]-cukier11[[#This Row],[sprzedany_cukier]]</f>
        <v>5252</v>
      </c>
      <c r="I82" s="9">
        <f>cukier11[[#This Row],[stan_po_sprzedazy]]+cukier11[[#This Row],[ile_dokupic]]*1000</f>
        <v>5252</v>
      </c>
    </row>
    <row r="83" spans="1:9" x14ac:dyDescent="0.25">
      <c r="A83" s="1">
        <v>38513</v>
      </c>
      <c r="B83" t="s">
        <v>52</v>
      </c>
      <c r="C83">
        <v>46</v>
      </c>
      <c r="D83">
        <f>MONTH(cukier11[[#This Row],[data]])</f>
        <v>6</v>
      </c>
      <c r="E83">
        <f>IF(D84&lt;&gt;cukier11[[#This Row],[miesiac]],1,0)</f>
        <v>0</v>
      </c>
      <c r="F83">
        <f>IF(AND(H82&lt;5000,cukier11[[#This Row],[czy_nastapiła_zmiana_mies]]=1),ROUNDUP((5000-H82)/1000,0),0)</f>
        <v>0</v>
      </c>
      <c r="G83">
        <f t="shared" si="1"/>
        <v>5252</v>
      </c>
      <c r="H83">
        <f>cukier11[[#This Row],[stan_magazynu]]-cukier11[[#This Row],[sprzedany_cukier]]</f>
        <v>5206</v>
      </c>
      <c r="I83" s="9">
        <f>cukier11[[#This Row],[stan_po_sprzedazy]]+cukier11[[#This Row],[ile_dokupic]]*1000</f>
        <v>5206</v>
      </c>
    </row>
    <row r="84" spans="1:9" x14ac:dyDescent="0.25">
      <c r="A84" s="1">
        <v>38514</v>
      </c>
      <c r="B84" t="s">
        <v>53</v>
      </c>
      <c r="C84">
        <v>2</v>
      </c>
      <c r="D84">
        <f>MONTH(cukier11[[#This Row],[data]])</f>
        <v>6</v>
      </c>
      <c r="E84">
        <f>IF(D85&lt;&gt;cukier11[[#This Row],[miesiac]],1,0)</f>
        <v>0</v>
      </c>
      <c r="F84">
        <f>IF(AND(H83&lt;5000,cukier11[[#This Row],[czy_nastapiła_zmiana_mies]]=1),ROUNDUP((5000-H83)/1000,0),0)</f>
        <v>0</v>
      </c>
      <c r="G84">
        <f t="shared" si="1"/>
        <v>5206</v>
      </c>
      <c r="H84">
        <f>cukier11[[#This Row],[stan_magazynu]]-cukier11[[#This Row],[sprzedany_cukier]]</f>
        <v>5204</v>
      </c>
      <c r="I84" s="9">
        <f>cukier11[[#This Row],[stan_po_sprzedazy]]+cukier11[[#This Row],[ile_dokupic]]*1000</f>
        <v>5204</v>
      </c>
    </row>
    <row r="85" spans="1:9" x14ac:dyDescent="0.25">
      <c r="A85" s="1">
        <v>38515</v>
      </c>
      <c r="B85" t="s">
        <v>3</v>
      </c>
      <c r="C85">
        <v>9</v>
      </c>
      <c r="D85">
        <f>MONTH(cukier11[[#This Row],[data]])</f>
        <v>6</v>
      </c>
      <c r="E85">
        <f>IF(D86&lt;&gt;cukier11[[#This Row],[miesiac]],1,0)</f>
        <v>0</v>
      </c>
      <c r="F85">
        <f>IF(AND(H84&lt;5000,cukier11[[#This Row],[czy_nastapiła_zmiana_mies]]=1),ROUNDUP((5000-H84)/1000,0),0)</f>
        <v>0</v>
      </c>
      <c r="G85">
        <f t="shared" si="1"/>
        <v>5204</v>
      </c>
      <c r="H85">
        <f>cukier11[[#This Row],[stan_magazynu]]-cukier11[[#This Row],[sprzedany_cukier]]</f>
        <v>5195</v>
      </c>
      <c r="I85" s="9">
        <f>cukier11[[#This Row],[stan_po_sprzedazy]]+cukier11[[#This Row],[ile_dokupic]]*1000</f>
        <v>5195</v>
      </c>
    </row>
    <row r="86" spans="1:9" x14ac:dyDescent="0.25">
      <c r="A86" s="1">
        <v>38517</v>
      </c>
      <c r="B86" t="s">
        <v>54</v>
      </c>
      <c r="C86">
        <v>3</v>
      </c>
      <c r="D86">
        <f>MONTH(cukier11[[#This Row],[data]])</f>
        <v>6</v>
      </c>
      <c r="E86">
        <f>IF(D87&lt;&gt;cukier11[[#This Row],[miesiac]],1,0)</f>
        <v>0</v>
      </c>
      <c r="F86">
        <f>IF(AND(H85&lt;5000,cukier11[[#This Row],[czy_nastapiła_zmiana_mies]]=1),ROUNDUP((5000-H85)/1000,0),0)</f>
        <v>0</v>
      </c>
      <c r="G86">
        <f t="shared" si="1"/>
        <v>5195</v>
      </c>
      <c r="H86">
        <f>cukier11[[#This Row],[stan_magazynu]]-cukier11[[#This Row],[sprzedany_cukier]]</f>
        <v>5192</v>
      </c>
      <c r="I86" s="9">
        <f>cukier11[[#This Row],[stan_po_sprzedazy]]+cukier11[[#This Row],[ile_dokupic]]*1000</f>
        <v>5192</v>
      </c>
    </row>
    <row r="87" spans="1:9" x14ac:dyDescent="0.25">
      <c r="A87" s="1">
        <v>38517</v>
      </c>
      <c r="B87" t="s">
        <v>55</v>
      </c>
      <c r="C87">
        <v>67</v>
      </c>
      <c r="D87">
        <f>MONTH(cukier11[[#This Row],[data]])</f>
        <v>6</v>
      </c>
      <c r="E87">
        <f>IF(D88&lt;&gt;cukier11[[#This Row],[miesiac]],1,0)</f>
        <v>0</v>
      </c>
      <c r="F87">
        <f>IF(AND(H86&lt;5000,cukier11[[#This Row],[czy_nastapiła_zmiana_mies]]=1),ROUNDUP((5000-H86)/1000,0),0)</f>
        <v>0</v>
      </c>
      <c r="G87">
        <f t="shared" si="1"/>
        <v>5192</v>
      </c>
      <c r="H87">
        <f>cukier11[[#This Row],[stan_magazynu]]-cukier11[[#This Row],[sprzedany_cukier]]</f>
        <v>5125</v>
      </c>
      <c r="I87" s="9">
        <f>cukier11[[#This Row],[stan_po_sprzedazy]]+cukier11[[#This Row],[ile_dokupic]]*1000</f>
        <v>5125</v>
      </c>
    </row>
    <row r="88" spans="1:9" x14ac:dyDescent="0.25">
      <c r="A88" s="1">
        <v>38517</v>
      </c>
      <c r="B88" t="s">
        <v>45</v>
      </c>
      <c r="C88">
        <v>425</v>
      </c>
      <c r="D88">
        <f>MONTH(cukier11[[#This Row],[data]])</f>
        <v>6</v>
      </c>
      <c r="E88">
        <f>IF(D89&lt;&gt;cukier11[[#This Row],[miesiac]],1,0)</f>
        <v>0</v>
      </c>
      <c r="F88">
        <f>IF(AND(H87&lt;5000,cukier11[[#This Row],[czy_nastapiła_zmiana_mies]]=1),ROUNDUP((5000-H87)/1000,0),0)</f>
        <v>0</v>
      </c>
      <c r="G88">
        <f t="shared" si="1"/>
        <v>5125</v>
      </c>
      <c r="H88">
        <f>cukier11[[#This Row],[stan_magazynu]]-cukier11[[#This Row],[sprzedany_cukier]]</f>
        <v>4700</v>
      </c>
      <c r="I88" s="9">
        <f>cukier11[[#This Row],[stan_po_sprzedazy]]+cukier11[[#This Row],[ile_dokupic]]*1000</f>
        <v>4700</v>
      </c>
    </row>
    <row r="89" spans="1:9" x14ac:dyDescent="0.25">
      <c r="A89" s="1">
        <v>38518</v>
      </c>
      <c r="B89" t="s">
        <v>5</v>
      </c>
      <c r="C89">
        <v>453</v>
      </c>
      <c r="D89">
        <f>MONTH(cukier11[[#This Row],[data]])</f>
        <v>6</v>
      </c>
      <c r="E89">
        <f>IF(D90&lt;&gt;cukier11[[#This Row],[miesiac]],1,0)</f>
        <v>0</v>
      </c>
      <c r="F89">
        <f>IF(AND(H88&lt;5000,cukier11[[#This Row],[czy_nastapiła_zmiana_mies]]=1),ROUNDUP((5000-H88)/1000,0),0)</f>
        <v>0</v>
      </c>
      <c r="G89">
        <f t="shared" si="1"/>
        <v>4700</v>
      </c>
      <c r="H89">
        <f>cukier11[[#This Row],[stan_magazynu]]-cukier11[[#This Row],[sprzedany_cukier]]</f>
        <v>4247</v>
      </c>
      <c r="I89" s="9">
        <f>cukier11[[#This Row],[stan_po_sprzedazy]]+cukier11[[#This Row],[ile_dokupic]]*1000</f>
        <v>4247</v>
      </c>
    </row>
    <row r="90" spans="1:9" x14ac:dyDescent="0.25">
      <c r="A90" s="1">
        <v>38523</v>
      </c>
      <c r="B90" t="s">
        <v>22</v>
      </c>
      <c r="C90">
        <v>212</v>
      </c>
      <c r="D90">
        <f>MONTH(cukier11[[#This Row],[data]])</f>
        <v>6</v>
      </c>
      <c r="E90">
        <f>IF(D91&lt;&gt;cukier11[[#This Row],[miesiac]],1,0)</f>
        <v>0</v>
      </c>
      <c r="F90">
        <f>IF(AND(H89&lt;5000,cukier11[[#This Row],[czy_nastapiła_zmiana_mies]]=1),ROUNDUP((5000-H89)/1000,0),0)</f>
        <v>0</v>
      </c>
      <c r="G90">
        <f t="shared" si="1"/>
        <v>4247</v>
      </c>
      <c r="H90">
        <f>cukier11[[#This Row],[stan_magazynu]]-cukier11[[#This Row],[sprzedany_cukier]]</f>
        <v>4035</v>
      </c>
      <c r="I90" s="9">
        <f>cukier11[[#This Row],[stan_po_sprzedazy]]+cukier11[[#This Row],[ile_dokupic]]*1000</f>
        <v>4035</v>
      </c>
    </row>
    <row r="91" spans="1:9" x14ac:dyDescent="0.25">
      <c r="A91" s="1">
        <v>38525</v>
      </c>
      <c r="B91" t="s">
        <v>56</v>
      </c>
      <c r="C91">
        <v>19</v>
      </c>
      <c r="D91">
        <f>MONTH(cukier11[[#This Row],[data]])</f>
        <v>6</v>
      </c>
      <c r="E91">
        <f>IF(D92&lt;&gt;cukier11[[#This Row],[miesiac]],1,0)</f>
        <v>0</v>
      </c>
      <c r="F91">
        <f>IF(AND(H90&lt;5000,cukier11[[#This Row],[czy_nastapiła_zmiana_mies]]=1),ROUNDUP((5000-H90)/1000,0),0)</f>
        <v>0</v>
      </c>
      <c r="G91">
        <f t="shared" si="1"/>
        <v>4035</v>
      </c>
      <c r="H91">
        <f>cukier11[[#This Row],[stan_magazynu]]-cukier11[[#This Row],[sprzedany_cukier]]</f>
        <v>4016</v>
      </c>
      <c r="I91" s="9">
        <f>cukier11[[#This Row],[stan_po_sprzedazy]]+cukier11[[#This Row],[ile_dokupic]]*1000</f>
        <v>4016</v>
      </c>
    </row>
    <row r="92" spans="1:9" x14ac:dyDescent="0.25">
      <c r="A92" s="1">
        <v>38526</v>
      </c>
      <c r="B92" t="s">
        <v>6</v>
      </c>
      <c r="C92">
        <v>81</v>
      </c>
      <c r="D92">
        <f>MONTH(cukier11[[#This Row],[data]])</f>
        <v>6</v>
      </c>
      <c r="E92">
        <f>IF(D93&lt;&gt;cukier11[[#This Row],[miesiac]],1,0)</f>
        <v>0</v>
      </c>
      <c r="F92">
        <f>IF(AND(H91&lt;5000,cukier11[[#This Row],[czy_nastapiła_zmiana_mies]]=1),ROUNDUP((5000-H91)/1000,0),0)</f>
        <v>0</v>
      </c>
      <c r="G92">
        <f t="shared" si="1"/>
        <v>4016</v>
      </c>
      <c r="H92">
        <f>cukier11[[#This Row],[stan_magazynu]]-cukier11[[#This Row],[sprzedany_cukier]]</f>
        <v>3935</v>
      </c>
      <c r="I92" s="9">
        <f>cukier11[[#This Row],[stan_po_sprzedazy]]+cukier11[[#This Row],[ile_dokupic]]*1000</f>
        <v>3935</v>
      </c>
    </row>
    <row r="93" spans="1:9" x14ac:dyDescent="0.25">
      <c r="A93" s="1">
        <v>38528</v>
      </c>
      <c r="B93" t="s">
        <v>57</v>
      </c>
      <c r="C93">
        <v>7</v>
      </c>
      <c r="D93">
        <f>MONTH(cukier11[[#This Row],[data]])</f>
        <v>6</v>
      </c>
      <c r="E93">
        <f>IF(D94&lt;&gt;cukier11[[#This Row],[miesiac]],1,0)</f>
        <v>0</v>
      </c>
      <c r="F93">
        <f>IF(AND(H92&lt;5000,cukier11[[#This Row],[czy_nastapiła_zmiana_mies]]=1),ROUNDUP((5000-H92)/1000,0),0)</f>
        <v>0</v>
      </c>
      <c r="G93">
        <f t="shared" si="1"/>
        <v>3935</v>
      </c>
      <c r="H93">
        <f>cukier11[[#This Row],[stan_magazynu]]-cukier11[[#This Row],[sprzedany_cukier]]</f>
        <v>3928</v>
      </c>
      <c r="I93" s="9">
        <f>cukier11[[#This Row],[stan_po_sprzedazy]]+cukier11[[#This Row],[ile_dokupic]]*1000</f>
        <v>3928</v>
      </c>
    </row>
    <row r="94" spans="1:9" x14ac:dyDescent="0.25">
      <c r="A94" s="1">
        <v>38529</v>
      </c>
      <c r="B94" t="s">
        <v>58</v>
      </c>
      <c r="C94">
        <v>179</v>
      </c>
      <c r="D94">
        <f>MONTH(cukier11[[#This Row],[data]])</f>
        <v>6</v>
      </c>
      <c r="E94">
        <f>IF(D95&lt;&gt;cukier11[[#This Row],[miesiac]],1,0)</f>
        <v>0</v>
      </c>
      <c r="F94">
        <f>IF(AND(H93&lt;5000,cukier11[[#This Row],[czy_nastapiła_zmiana_mies]]=1),ROUNDUP((5000-H93)/1000,0),0)</f>
        <v>0</v>
      </c>
      <c r="G94">
        <f t="shared" si="1"/>
        <v>3928</v>
      </c>
      <c r="H94">
        <f>cukier11[[#This Row],[stan_magazynu]]-cukier11[[#This Row],[sprzedany_cukier]]</f>
        <v>3749</v>
      </c>
      <c r="I94" s="9">
        <f>cukier11[[#This Row],[stan_po_sprzedazy]]+cukier11[[#This Row],[ile_dokupic]]*1000</f>
        <v>3749</v>
      </c>
    </row>
    <row r="95" spans="1:9" x14ac:dyDescent="0.25">
      <c r="A95" s="1">
        <v>38531</v>
      </c>
      <c r="B95" t="s">
        <v>14</v>
      </c>
      <c r="C95">
        <v>222</v>
      </c>
      <c r="D95">
        <f>MONTH(cukier11[[#This Row],[data]])</f>
        <v>6</v>
      </c>
      <c r="E95">
        <f>IF(D96&lt;&gt;cukier11[[#This Row],[miesiac]],1,0)</f>
        <v>0</v>
      </c>
      <c r="F95">
        <f>IF(AND(H94&lt;5000,cukier11[[#This Row],[czy_nastapiła_zmiana_mies]]=1),ROUNDUP((5000-H94)/1000,0),0)</f>
        <v>0</v>
      </c>
      <c r="G95">
        <f t="shared" si="1"/>
        <v>3749</v>
      </c>
      <c r="H95">
        <f>cukier11[[#This Row],[stan_magazynu]]-cukier11[[#This Row],[sprzedany_cukier]]</f>
        <v>3527</v>
      </c>
      <c r="I95" s="9">
        <f>cukier11[[#This Row],[stan_po_sprzedazy]]+cukier11[[#This Row],[ile_dokupic]]*1000</f>
        <v>3527</v>
      </c>
    </row>
    <row r="96" spans="1:9" x14ac:dyDescent="0.25">
      <c r="A96" s="1">
        <v>38532</v>
      </c>
      <c r="B96" t="s">
        <v>59</v>
      </c>
      <c r="C96">
        <v>14</v>
      </c>
      <c r="D96">
        <f>MONTH(cukier11[[#This Row],[data]])</f>
        <v>6</v>
      </c>
      <c r="E96">
        <f>IF(D97&lt;&gt;cukier11[[#This Row],[miesiac]],1,0)</f>
        <v>1</v>
      </c>
      <c r="F96">
        <f>IF(AND(H95&lt;5000,cukier11[[#This Row],[czy_nastapiła_zmiana_mies]]=1),ROUNDUP((5000-H95)/1000,0),0)</f>
        <v>2</v>
      </c>
      <c r="G96">
        <f t="shared" si="1"/>
        <v>3527</v>
      </c>
      <c r="H96">
        <f>cukier11[[#This Row],[stan_magazynu]]-cukier11[[#This Row],[sprzedany_cukier]]</f>
        <v>3513</v>
      </c>
      <c r="I96" s="9">
        <f>cukier11[[#This Row],[stan_po_sprzedazy]]+cukier11[[#This Row],[ile_dokupic]]*1000</f>
        <v>5513</v>
      </c>
    </row>
    <row r="97" spans="1:9" x14ac:dyDescent="0.25">
      <c r="A97" s="1">
        <v>38534</v>
      </c>
      <c r="B97" t="s">
        <v>60</v>
      </c>
      <c r="C97">
        <v>15</v>
      </c>
      <c r="D97">
        <f>MONTH(cukier11[[#This Row],[data]])</f>
        <v>7</v>
      </c>
      <c r="E97">
        <f>IF(D98&lt;&gt;cukier11[[#This Row],[miesiac]],1,0)</f>
        <v>0</v>
      </c>
      <c r="F97">
        <f>IF(AND(H96&lt;5000,cukier11[[#This Row],[czy_nastapiła_zmiana_mies]]=1),ROUNDUP((5000-H96)/1000,0),0)</f>
        <v>0</v>
      </c>
      <c r="G97">
        <f t="shared" si="1"/>
        <v>5513</v>
      </c>
      <c r="H97">
        <f>cukier11[[#This Row],[stan_magazynu]]-cukier11[[#This Row],[sprzedany_cukier]]</f>
        <v>5498</v>
      </c>
      <c r="I97" s="9">
        <f>cukier11[[#This Row],[stan_po_sprzedazy]]+cukier11[[#This Row],[ile_dokupic]]*1000</f>
        <v>5498</v>
      </c>
    </row>
    <row r="98" spans="1:9" x14ac:dyDescent="0.25">
      <c r="A98" s="1">
        <v>38536</v>
      </c>
      <c r="B98" t="s">
        <v>61</v>
      </c>
      <c r="C98">
        <v>97</v>
      </c>
      <c r="D98">
        <f>MONTH(cukier11[[#This Row],[data]])</f>
        <v>7</v>
      </c>
      <c r="E98">
        <f>IF(D99&lt;&gt;cukier11[[#This Row],[miesiac]],1,0)</f>
        <v>0</v>
      </c>
      <c r="F98">
        <f>IF(AND(H97&lt;5000,cukier11[[#This Row],[czy_nastapiła_zmiana_mies]]=1),ROUNDUP((5000-H97)/1000,0),0)</f>
        <v>0</v>
      </c>
      <c r="G98">
        <f t="shared" si="1"/>
        <v>5498</v>
      </c>
      <c r="H98">
        <f>cukier11[[#This Row],[stan_magazynu]]-cukier11[[#This Row],[sprzedany_cukier]]</f>
        <v>5401</v>
      </c>
      <c r="I98" s="9">
        <f>cukier11[[#This Row],[stan_po_sprzedazy]]+cukier11[[#This Row],[ile_dokupic]]*1000</f>
        <v>5401</v>
      </c>
    </row>
    <row r="99" spans="1:9" x14ac:dyDescent="0.25">
      <c r="A99" s="1">
        <v>38542</v>
      </c>
      <c r="B99" t="s">
        <v>20</v>
      </c>
      <c r="C99">
        <v>142</v>
      </c>
      <c r="D99">
        <f>MONTH(cukier11[[#This Row],[data]])</f>
        <v>7</v>
      </c>
      <c r="E99">
        <f>IF(D100&lt;&gt;cukier11[[#This Row],[miesiac]],1,0)</f>
        <v>0</v>
      </c>
      <c r="F99">
        <f>IF(AND(H98&lt;5000,cukier11[[#This Row],[czy_nastapiła_zmiana_mies]]=1),ROUNDUP((5000-H98)/1000,0),0)</f>
        <v>0</v>
      </c>
      <c r="G99">
        <f t="shared" si="1"/>
        <v>5401</v>
      </c>
      <c r="H99">
        <f>cukier11[[#This Row],[stan_magazynu]]-cukier11[[#This Row],[sprzedany_cukier]]</f>
        <v>5259</v>
      </c>
      <c r="I99" s="9">
        <f>cukier11[[#This Row],[stan_po_sprzedazy]]+cukier11[[#This Row],[ile_dokupic]]*1000</f>
        <v>5259</v>
      </c>
    </row>
    <row r="100" spans="1:9" x14ac:dyDescent="0.25">
      <c r="A100" s="1">
        <v>38546</v>
      </c>
      <c r="B100" t="s">
        <v>45</v>
      </c>
      <c r="C100">
        <v>214</v>
      </c>
      <c r="D100">
        <f>MONTH(cukier11[[#This Row],[data]])</f>
        <v>7</v>
      </c>
      <c r="E100">
        <f>IF(D101&lt;&gt;cukier11[[#This Row],[miesiac]],1,0)</f>
        <v>0</v>
      </c>
      <c r="F100">
        <f>IF(AND(H99&lt;5000,cukier11[[#This Row],[czy_nastapiła_zmiana_mies]]=1),ROUNDUP((5000-H99)/1000,0),0)</f>
        <v>0</v>
      </c>
      <c r="G100">
        <f t="shared" si="1"/>
        <v>5259</v>
      </c>
      <c r="H100">
        <f>cukier11[[#This Row],[stan_magazynu]]-cukier11[[#This Row],[sprzedany_cukier]]</f>
        <v>5045</v>
      </c>
      <c r="I100" s="9">
        <f>cukier11[[#This Row],[stan_po_sprzedazy]]+cukier11[[#This Row],[ile_dokupic]]*1000</f>
        <v>5045</v>
      </c>
    </row>
    <row r="101" spans="1:9" x14ac:dyDescent="0.25">
      <c r="A101" s="1">
        <v>38546</v>
      </c>
      <c r="B101" t="s">
        <v>14</v>
      </c>
      <c r="C101">
        <v>408</v>
      </c>
      <c r="D101">
        <f>MONTH(cukier11[[#This Row],[data]])</f>
        <v>7</v>
      </c>
      <c r="E101">
        <f>IF(D102&lt;&gt;cukier11[[#This Row],[miesiac]],1,0)</f>
        <v>0</v>
      </c>
      <c r="F101">
        <f>IF(AND(H100&lt;5000,cukier11[[#This Row],[czy_nastapiła_zmiana_mies]]=1),ROUNDUP((5000-H100)/1000,0),0)</f>
        <v>0</v>
      </c>
      <c r="G101">
        <f t="shared" si="1"/>
        <v>5045</v>
      </c>
      <c r="H101">
        <f>cukier11[[#This Row],[stan_magazynu]]-cukier11[[#This Row],[sprzedany_cukier]]</f>
        <v>4637</v>
      </c>
      <c r="I101" s="9">
        <f>cukier11[[#This Row],[stan_po_sprzedazy]]+cukier11[[#This Row],[ile_dokupic]]*1000</f>
        <v>4637</v>
      </c>
    </row>
    <row r="102" spans="1:9" x14ac:dyDescent="0.25">
      <c r="A102" s="1">
        <v>38547</v>
      </c>
      <c r="B102" t="s">
        <v>12</v>
      </c>
      <c r="C102">
        <v>144</v>
      </c>
      <c r="D102">
        <f>MONTH(cukier11[[#This Row],[data]])</f>
        <v>7</v>
      </c>
      <c r="E102">
        <f>IF(D103&lt;&gt;cukier11[[#This Row],[miesiac]],1,0)</f>
        <v>0</v>
      </c>
      <c r="F102">
        <f>IF(AND(H101&lt;5000,cukier11[[#This Row],[czy_nastapiła_zmiana_mies]]=1),ROUNDUP((5000-H101)/1000,0),0)</f>
        <v>0</v>
      </c>
      <c r="G102">
        <f t="shared" si="1"/>
        <v>4637</v>
      </c>
      <c r="H102">
        <f>cukier11[[#This Row],[stan_magazynu]]-cukier11[[#This Row],[sprzedany_cukier]]</f>
        <v>4493</v>
      </c>
      <c r="I102" s="9">
        <f>cukier11[[#This Row],[stan_po_sprzedazy]]+cukier11[[#This Row],[ile_dokupic]]*1000</f>
        <v>4493</v>
      </c>
    </row>
    <row r="103" spans="1:9" x14ac:dyDescent="0.25">
      <c r="A103" s="1">
        <v>38547</v>
      </c>
      <c r="B103" t="s">
        <v>6</v>
      </c>
      <c r="C103">
        <v>173</v>
      </c>
      <c r="D103">
        <f>MONTH(cukier11[[#This Row],[data]])</f>
        <v>7</v>
      </c>
      <c r="E103">
        <f>IF(D104&lt;&gt;cukier11[[#This Row],[miesiac]],1,0)</f>
        <v>0</v>
      </c>
      <c r="F103">
        <f>IF(AND(H102&lt;5000,cukier11[[#This Row],[czy_nastapiła_zmiana_mies]]=1),ROUNDUP((5000-H102)/1000,0),0)</f>
        <v>0</v>
      </c>
      <c r="G103">
        <f t="shared" si="1"/>
        <v>4493</v>
      </c>
      <c r="H103">
        <f>cukier11[[#This Row],[stan_magazynu]]-cukier11[[#This Row],[sprzedany_cukier]]</f>
        <v>4320</v>
      </c>
      <c r="I103" s="9">
        <f>cukier11[[#This Row],[stan_po_sprzedazy]]+cukier11[[#This Row],[ile_dokupic]]*1000</f>
        <v>4320</v>
      </c>
    </row>
    <row r="104" spans="1:9" x14ac:dyDescent="0.25">
      <c r="A104" s="1">
        <v>38549</v>
      </c>
      <c r="B104" t="s">
        <v>62</v>
      </c>
      <c r="C104">
        <v>15</v>
      </c>
      <c r="D104">
        <f>MONTH(cukier11[[#This Row],[data]])</f>
        <v>7</v>
      </c>
      <c r="E104">
        <f>IF(D105&lt;&gt;cukier11[[#This Row],[miesiac]],1,0)</f>
        <v>0</v>
      </c>
      <c r="F104">
        <f>IF(AND(H103&lt;5000,cukier11[[#This Row],[czy_nastapiła_zmiana_mies]]=1),ROUNDUP((5000-H103)/1000,0),0)</f>
        <v>0</v>
      </c>
      <c r="G104">
        <f t="shared" si="1"/>
        <v>4320</v>
      </c>
      <c r="H104">
        <f>cukier11[[#This Row],[stan_magazynu]]-cukier11[[#This Row],[sprzedany_cukier]]</f>
        <v>4305</v>
      </c>
      <c r="I104" s="9">
        <f>cukier11[[#This Row],[stan_po_sprzedazy]]+cukier11[[#This Row],[ile_dokupic]]*1000</f>
        <v>4305</v>
      </c>
    </row>
    <row r="105" spans="1:9" x14ac:dyDescent="0.25">
      <c r="A105" s="1">
        <v>38551</v>
      </c>
      <c r="B105" t="s">
        <v>50</v>
      </c>
      <c r="C105">
        <v>433</v>
      </c>
      <c r="D105">
        <f>MONTH(cukier11[[#This Row],[data]])</f>
        <v>7</v>
      </c>
      <c r="E105">
        <f>IF(D106&lt;&gt;cukier11[[#This Row],[miesiac]],1,0)</f>
        <v>0</v>
      </c>
      <c r="F105">
        <f>IF(AND(H104&lt;5000,cukier11[[#This Row],[czy_nastapiła_zmiana_mies]]=1),ROUNDUP((5000-H104)/1000,0),0)</f>
        <v>0</v>
      </c>
      <c r="G105">
        <f t="shared" si="1"/>
        <v>4305</v>
      </c>
      <c r="H105">
        <f>cukier11[[#This Row],[stan_magazynu]]-cukier11[[#This Row],[sprzedany_cukier]]</f>
        <v>3872</v>
      </c>
      <c r="I105" s="9">
        <f>cukier11[[#This Row],[stan_po_sprzedazy]]+cukier11[[#This Row],[ile_dokupic]]*1000</f>
        <v>3872</v>
      </c>
    </row>
    <row r="106" spans="1:9" x14ac:dyDescent="0.25">
      <c r="A106" s="1">
        <v>38555</v>
      </c>
      <c r="B106" t="s">
        <v>63</v>
      </c>
      <c r="C106">
        <v>137</v>
      </c>
      <c r="D106">
        <f>MONTH(cukier11[[#This Row],[data]])</f>
        <v>7</v>
      </c>
      <c r="E106">
        <f>IF(D107&lt;&gt;cukier11[[#This Row],[miesiac]],1,0)</f>
        <v>0</v>
      </c>
      <c r="F106">
        <f>IF(AND(H105&lt;5000,cukier11[[#This Row],[czy_nastapiła_zmiana_mies]]=1),ROUNDUP((5000-H105)/1000,0),0)</f>
        <v>0</v>
      </c>
      <c r="G106">
        <f t="shared" si="1"/>
        <v>3872</v>
      </c>
      <c r="H106">
        <f>cukier11[[#This Row],[stan_magazynu]]-cukier11[[#This Row],[sprzedany_cukier]]</f>
        <v>3735</v>
      </c>
      <c r="I106" s="9">
        <f>cukier11[[#This Row],[stan_po_sprzedazy]]+cukier11[[#This Row],[ile_dokupic]]*1000</f>
        <v>3735</v>
      </c>
    </row>
    <row r="107" spans="1:9" x14ac:dyDescent="0.25">
      <c r="A107" s="1">
        <v>38558</v>
      </c>
      <c r="B107" t="s">
        <v>50</v>
      </c>
      <c r="C107">
        <v>118</v>
      </c>
      <c r="D107">
        <f>MONTH(cukier11[[#This Row],[data]])</f>
        <v>7</v>
      </c>
      <c r="E107">
        <f>IF(D108&lt;&gt;cukier11[[#This Row],[miesiac]],1,0)</f>
        <v>0</v>
      </c>
      <c r="F107">
        <f>IF(AND(H106&lt;5000,cukier11[[#This Row],[czy_nastapiła_zmiana_mies]]=1),ROUNDUP((5000-H106)/1000,0),0)</f>
        <v>0</v>
      </c>
      <c r="G107">
        <f t="shared" si="1"/>
        <v>3735</v>
      </c>
      <c r="H107">
        <f>cukier11[[#This Row],[stan_magazynu]]-cukier11[[#This Row],[sprzedany_cukier]]</f>
        <v>3617</v>
      </c>
      <c r="I107" s="9">
        <f>cukier11[[#This Row],[stan_po_sprzedazy]]+cukier11[[#This Row],[ile_dokupic]]*1000</f>
        <v>3617</v>
      </c>
    </row>
    <row r="108" spans="1:9" x14ac:dyDescent="0.25">
      <c r="A108" s="1">
        <v>38558</v>
      </c>
      <c r="B108" t="s">
        <v>9</v>
      </c>
      <c r="C108">
        <v>158</v>
      </c>
      <c r="D108">
        <f>MONTH(cukier11[[#This Row],[data]])</f>
        <v>7</v>
      </c>
      <c r="E108">
        <f>IF(D109&lt;&gt;cukier11[[#This Row],[miesiac]],1,0)</f>
        <v>0</v>
      </c>
      <c r="F108">
        <f>IF(AND(H107&lt;5000,cukier11[[#This Row],[czy_nastapiła_zmiana_mies]]=1),ROUNDUP((5000-H107)/1000,0),0)</f>
        <v>0</v>
      </c>
      <c r="G108">
        <f t="shared" si="1"/>
        <v>3617</v>
      </c>
      <c r="H108">
        <f>cukier11[[#This Row],[stan_magazynu]]-cukier11[[#This Row],[sprzedany_cukier]]</f>
        <v>3459</v>
      </c>
      <c r="I108" s="9">
        <f>cukier11[[#This Row],[stan_po_sprzedazy]]+cukier11[[#This Row],[ile_dokupic]]*1000</f>
        <v>3459</v>
      </c>
    </row>
    <row r="109" spans="1:9" x14ac:dyDescent="0.25">
      <c r="A109" s="1">
        <v>38559</v>
      </c>
      <c r="B109" t="s">
        <v>44</v>
      </c>
      <c r="C109">
        <v>13</v>
      </c>
      <c r="D109">
        <f>MONTH(cukier11[[#This Row],[data]])</f>
        <v>7</v>
      </c>
      <c r="E109">
        <f>IF(D110&lt;&gt;cukier11[[#This Row],[miesiac]],1,0)</f>
        <v>0</v>
      </c>
      <c r="F109">
        <f>IF(AND(H108&lt;5000,cukier11[[#This Row],[czy_nastapiła_zmiana_mies]]=1),ROUNDUP((5000-H108)/1000,0),0)</f>
        <v>0</v>
      </c>
      <c r="G109">
        <f t="shared" si="1"/>
        <v>3459</v>
      </c>
      <c r="H109">
        <f>cukier11[[#This Row],[stan_magazynu]]-cukier11[[#This Row],[sprzedany_cukier]]</f>
        <v>3446</v>
      </c>
      <c r="I109" s="9">
        <f>cukier11[[#This Row],[stan_po_sprzedazy]]+cukier11[[#This Row],[ile_dokupic]]*1000</f>
        <v>3446</v>
      </c>
    </row>
    <row r="110" spans="1:9" x14ac:dyDescent="0.25">
      <c r="A110" s="1">
        <v>38560</v>
      </c>
      <c r="B110" t="s">
        <v>64</v>
      </c>
      <c r="C110">
        <v>2</v>
      </c>
      <c r="D110">
        <f>MONTH(cukier11[[#This Row],[data]])</f>
        <v>7</v>
      </c>
      <c r="E110">
        <f>IF(D111&lt;&gt;cukier11[[#This Row],[miesiac]],1,0)</f>
        <v>0</v>
      </c>
      <c r="F110">
        <f>IF(AND(H109&lt;5000,cukier11[[#This Row],[czy_nastapiła_zmiana_mies]]=1),ROUNDUP((5000-H109)/1000,0),0)</f>
        <v>0</v>
      </c>
      <c r="G110">
        <f t="shared" si="1"/>
        <v>3446</v>
      </c>
      <c r="H110">
        <f>cukier11[[#This Row],[stan_magazynu]]-cukier11[[#This Row],[sprzedany_cukier]]</f>
        <v>3444</v>
      </c>
      <c r="I110" s="9">
        <f>cukier11[[#This Row],[stan_po_sprzedazy]]+cukier11[[#This Row],[ile_dokupic]]*1000</f>
        <v>3444</v>
      </c>
    </row>
    <row r="111" spans="1:9" x14ac:dyDescent="0.25">
      <c r="A111" s="1">
        <v>38562</v>
      </c>
      <c r="B111" t="s">
        <v>50</v>
      </c>
      <c r="C111">
        <v>467</v>
      </c>
      <c r="D111">
        <f>MONTH(cukier11[[#This Row],[data]])</f>
        <v>7</v>
      </c>
      <c r="E111">
        <f>IF(D112&lt;&gt;cukier11[[#This Row],[miesiac]],1,0)</f>
        <v>0</v>
      </c>
      <c r="F111">
        <f>IF(AND(H110&lt;5000,cukier11[[#This Row],[czy_nastapiła_zmiana_mies]]=1),ROUNDUP((5000-H110)/1000,0),0)</f>
        <v>0</v>
      </c>
      <c r="G111">
        <f t="shared" si="1"/>
        <v>3444</v>
      </c>
      <c r="H111">
        <f>cukier11[[#This Row],[stan_magazynu]]-cukier11[[#This Row],[sprzedany_cukier]]</f>
        <v>2977</v>
      </c>
      <c r="I111" s="9">
        <f>cukier11[[#This Row],[stan_po_sprzedazy]]+cukier11[[#This Row],[ile_dokupic]]*1000</f>
        <v>2977</v>
      </c>
    </row>
    <row r="112" spans="1:9" x14ac:dyDescent="0.25">
      <c r="A112" s="1">
        <v>38563</v>
      </c>
      <c r="B112" t="s">
        <v>65</v>
      </c>
      <c r="C112">
        <v>9</v>
      </c>
      <c r="D112">
        <f>MONTH(cukier11[[#This Row],[data]])</f>
        <v>7</v>
      </c>
      <c r="E112">
        <f>IF(D113&lt;&gt;cukier11[[#This Row],[miesiac]],1,0)</f>
        <v>1</v>
      </c>
      <c r="F112">
        <f>IF(AND(H111&lt;5000,cukier11[[#This Row],[czy_nastapiła_zmiana_mies]]=1),ROUNDUP((5000-H111)/1000,0),0)</f>
        <v>3</v>
      </c>
      <c r="G112">
        <f t="shared" si="1"/>
        <v>2977</v>
      </c>
      <c r="H112">
        <f>cukier11[[#This Row],[stan_magazynu]]-cukier11[[#This Row],[sprzedany_cukier]]</f>
        <v>2968</v>
      </c>
      <c r="I112" s="9">
        <f>cukier11[[#This Row],[stan_po_sprzedazy]]+cukier11[[#This Row],[ile_dokupic]]*1000</f>
        <v>5968</v>
      </c>
    </row>
    <row r="113" spans="1:9" x14ac:dyDescent="0.25">
      <c r="A113" s="1">
        <v>38567</v>
      </c>
      <c r="B113" t="s">
        <v>66</v>
      </c>
      <c r="C113">
        <v>189</v>
      </c>
      <c r="D113">
        <f>MONTH(cukier11[[#This Row],[data]])</f>
        <v>8</v>
      </c>
      <c r="E113">
        <f>IF(D114&lt;&gt;cukier11[[#This Row],[miesiac]],1,0)</f>
        <v>0</v>
      </c>
      <c r="F113">
        <f>IF(AND(H112&lt;5000,cukier11[[#This Row],[czy_nastapiła_zmiana_mies]]=1),ROUNDUP((5000-H112)/1000,0),0)</f>
        <v>0</v>
      </c>
      <c r="G113">
        <f t="shared" si="1"/>
        <v>5968</v>
      </c>
      <c r="H113">
        <f>cukier11[[#This Row],[stan_magazynu]]-cukier11[[#This Row],[sprzedany_cukier]]</f>
        <v>5779</v>
      </c>
      <c r="I113" s="9">
        <f>cukier11[[#This Row],[stan_po_sprzedazy]]+cukier11[[#This Row],[ile_dokupic]]*1000</f>
        <v>5779</v>
      </c>
    </row>
    <row r="114" spans="1:9" x14ac:dyDescent="0.25">
      <c r="A114" s="1">
        <v>38568</v>
      </c>
      <c r="B114" t="s">
        <v>67</v>
      </c>
      <c r="C114">
        <v>19</v>
      </c>
      <c r="D114">
        <f>MONTH(cukier11[[#This Row],[data]])</f>
        <v>8</v>
      </c>
      <c r="E114">
        <f>IF(D115&lt;&gt;cukier11[[#This Row],[miesiac]],1,0)</f>
        <v>0</v>
      </c>
      <c r="F114">
        <f>IF(AND(H113&lt;5000,cukier11[[#This Row],[czy_nastapiła_zmiana_mies]]=1),ROUNDUP((5000-H113)/1000,0),0)</f>
        <v>0</v>
      </c>
      <c r="G114">
        <f t="shared" si="1"/>
        <v>5779</v>
      </c>
      <c r="H114">
        <f>cukier11[[#This Row],[stan_magazynu]]-cukier11[[#This Row],[sprzedany_cukier]]</f>
        <v>5760</v>
      </c>
      <c r="I114" s="9">
        <f>cukier11[[#This Row],[stan_po_sprzedazy]]+cukier11[[#This Row],[ile_dokupic]]*1000</f>
        <v>5760</v>
      </c>
    </row>
    <row r="115" spans="1:9" x14ac:dyDescent="0.25">
      <c r="A115" s="1">
        <v>38569</v>
      </c>
      <c r="B115" t="s">
        <v>9</v>
      </c>
      <c r="C115">
        <v>172</v>
      </c>
      <c r="D115">
        <f>MONTH(cukier11[[#This Row],[data]])</f>
        <v>8</v>
      </c>
      <c r="E115">
        <f>IF(D116&lt;&gt;cukier11[[#This Row],[miesiac]],1,0)</f>
        <v>0</v>
      </c>
      <c r="F115">
        <f>IF(AND(H114&lt;5000,cukier11[[#This Row],[czy_nastapiła_zmiana_mies]]=1),ROUNDUP((5000-H114)/1000,0),0)</f>
        <v>0</v>
      </c>
      <c r="G115">
        <f t="shared" si="1"/>
        <v>5760</v>
      </c>
      <c r="H115">
        <f>cukier11[[#This Row],[stan_magazynu]]-cukier11[[#This Row],[sprzedany_cukier]]</f>
        <v>5588</v>
      </c>
      <c r="I115" s="9">
        <f>cukier11[[#This Row],[stan_po_sprzedazy]]+cukier11[[#This Row],[ile_dokupic]]*1000</f>
        <v>5588</v>
      </c>
    </row>
    <row r="116" spans="1:9" x14ac:dyDescent="0.25">
      <c r="A116" s="1">
        <v>38570</v>
      </c>
      <c r="B116" t="s">
        <v>55</v>
      </c>
      <c r="C116">
        <v>84</v>
      </c>
      <c r="D116">
        <f>MONTH(cukier11[[#This Row],[data]])</f>
        <v>8</v>
      </c>
      <c r="E116">
        <f>IF(D117&lt;&gt;cukier11[[#This Row],[miesiac]],1,0)</f>
        <v>0</v>
      </c>
      <c r="F116">
        <f>IF(AND(H115&lt;5000,cukier11[[#This Row],[czy_nastapiła_zmiana_mies]]=1),ROUNDUP((5000-H115)/1000,0),0)</f>
        <v>0</v>
      </c>
      <c r="G116">
        <f t="shared" si="1"/>
        <v>5588</v>
      </c>
      <c r="H116">
        <f>cukier11[[#This Row],[stan_magazynu]]-cukier11[[#This Row],[sprzedany_cukier]]</f>
        <v>5504</v>
      </c>
      <c r="I116" s="9">
        <f>cukier11[[#This Row],[stan_po_sprzedazy]]+cukier11[[#This Row],[ile_dokupic]]*1000</f>
        <v>5504</v>
      </c>
    </row>
    <row r="117" spans="1:9" x14ac:dyDescent="0.25">
      <c r="A117" s="1">
        <v>38570</v>
      </c>
      <c r="B117" t="s">
        <v>68</v>
      </c>
      <c r="C117">
        <v>8</v>
      </c>
      <c r="D117">
        <f>MONTH(cukier11[[#This Row],[data]])</f>
        <v>8</v>
      </c>
      <c r="E117">
        <f>IF(D118&lt;&gt;cukier11[[#This Row],[miesiac]],1,0)</f>
        <v>0</v>
      </c>
      <c r="F117">
        <f>IF(AND(H116&lt;5000,cukier11[[#This Row],[czy_nastapiła_zmiana_mies]]=1),ROUNDUP((5000-H116)/1000,0),0)</f>
        <v>0</v>
      </c>
      <c r="G117">
        <f t="shared" si="1"/>
        <v>5504</v>
      </c>
      <c r="H117">
        <f>cukier11[[#This Row],[stan_magazynu]]-cukier11[[#This Row],[sprzedany_cukier]]</f>
        <v>5496</v>
      </c>
      <c r="I117" s="9">
        <f>cukier11[[#This Row],[stan_po_sprzedazy]]+cukier11[[#This Row],[ile_dokupic]]*1000</f>
        <v>5496</v>
      </c>
    </row>
    <row r="118" spans="1:9" x14ac:dyDescent="0.25">
      <c r="A118" s="1">
        <v>38570</v>
      </c>
      <c r="B118" t="s">
        <v>69</v>
      </c>
      <c r="C118">
        <v>66</v>
      </c>
      <c r="D118">
        <f>MONTH(cukier11[[#This Row],[data]])</f>
        <v>8</v>
      </c>
      <c r="E118">
        <f>IF(D119&lt;&gt;cukier11[[#This Row],[miesiac]],1,0)</f>
        <v>0</v>
      </c>
      <c r="F118">
        <f>IF(AND(H117&lt;5000,cukier11[[#This Row],[czy_nastapiła_zmiana_mies]]=1),ROUNDUP((5000-H117)/1000,0),0)</f>
        <v>0</v>
      </c>
      <c r="G118">
        <f t="shared" si="1"/>
        <v>5496</v>
      </c>
      <c r="H118">
        <f>cukier11[[#This Row],[stan_magazynu]]-cukier11[[#This Row],[sprzedany_cukier]]</f>
        <v>5430</v>
      </c>
      <c r="I118" s="9">
        <f>cukier11[[#This Row],[stan_po_sprzedazy]]+cukier11[[#This Row],[ile_dokupic]]*1000</f>
        <v>5430</v>
      </c>
    </row>
    <row r="119" spans="1:9" x14ac:dyDescent="0.25">
      <c r="A119" s="1">
        <v>38571</v>
      </c>
      <c r="B119" t="s">
        <v>37</v>
      </c>
      <c r="C119">
        <v>35</v>
      </c>
      <c r="D119">
        <f>MONTH(cukier11[[#This Row],[data]])</f>
        <v>8</v>
      </c>
      <c r="E119">
        <f>IF(D120&lt;&gt;cukier11[[#This Row],[miesiac]],1,0)</f>
        <v>0</v>
      </c>
      <c r="F119">
        <f>IF(AND(H118&lt;5000,cukier11[[#This Row],[czy_nastapiła_zmiana_mies]]=1),ROUNDUP((5000-H118)/1000,0),0)</f>
        <v>0</v>
      </c>
      <c r="G119">
        <f t="shared" si="1"/>
        <v>5430</v>
      </c>
      <c r="H119">
        <f>cukier11[[#This Row],[stan_magazynu]]-cukier11[[#This Row],[sprzedany_cukier]]</f>
        <v>5395</v>
      </c>
      <c r="I119" s="9">
        <f>cukier11[[#This Row],[stan_po_sprzedazy]]+cukier11[[#This Row],[ile_dokupic]]*1000</f>
        <v>5395</v>
      </c>
    </row>
    <row r="120" spans="1:9" x14ac:dyDescent="0.25">
      <c r="A120" s="1">
        <v>38572</v>
      </c>
      <c r="B120" t="s">
        <v>30</v>
      </c>
      <c r="C120">
        <v>91</v>
      </c>
      <c r="D120">
        <f>MONTH(cukier11[[#This Row],[data]])</f>
        <v>8</v>
      </c>
      <c r="E120">
        <f>IF(D121&lt;&gt;cukier11[[#This Row],[miesiac]],1,0)</f>
        <v>0</v>
      </c>
      <c r="F120">
        <f>IF(AND(H119&lt;5000,cukier11[[#This Row],[czy_nastapiła_zmiana_mies]]=1),ROUNDUP((5000-H119)/1000,0),0)</f>
        <v>0</v>
      </c>
      <c r="G120">
        <f t="shared" si="1"/>
        <v>5395</v>
      </c>
      <c r="H120">
        <f>cukier11[[#This Row],[stan_magazynu]]-cukier11[[#This Row],[sprzedany_cukier]]</f>
        <v>5304</v>
      </c>
      <c r="I120" s="9">
        <f>cukier11[[#This Row],[stan_po_sprzedazy]]+cukier11[[#This Row],[ile_dokupic]]*1000</f>
        <v>5304</v>
      </c>
    </row>
    <row r="121" spans="1:9" x14ac:dyDescent="0.25">
      <c r="A121" s="1">
        <v>38577</v>
      </c>
      <c r="B121" t="s">
        <v>7</v>
      </c>
      <c r="C121">
        <v>396</v>
      </c>
      <c r="D121">
        <f>MONTH(cukier11[[#This Row],[data]])</f>
        <v>8</v>
      </c>
      <c r="E121">
        <f>IF(D122&lt;&gt;cukier11[[#This Row],[miesiac]],1,0)</f>
        <v>0</v>
      </c>
      <c r="F121">
        <f>IF(AND(H120&lt;5000,cukier11[[#This Row],[czy_nastapiła_zmiana_mies]]=1),ROUNDUP((5000-H120)/1000,0),0)</f>
        <v>0</v>
      </c>
      <c r="G121">
        <f t="shared" si="1"/>
        <v>5304</v>
      </c>
      <c r="H121">
        <f>cukier11[[#This Row],[stan_magazynu]]-cukier11[[#This Row],[sprzedany_cukier]]</f>
        <v>4908</v>
      </c>
      <c r="I121" s="9">
        <f>cukier11[[#This Row],[stan_po_sprzedazy]]+cukier11[[#This Row],[ile_dokupic]]*1000</f>
        <v>4908</v>
      </c>
    </row>
    <row r="122" spans="1:9" x14ac:dyDescent="0.25">
      <c r="A122" s="1">
        <v>38577</v>
      </c>
      <c r="B122" t="s">
        <v>70</v>
      </c>
      <c r="C122">
        <v>6</v>
      </c>
      <c r="D122">
        <f>MONTH(cukier11[[#This Row],[data]])</f>
        <v>8</v>
      </c>
      <c r="E122">
        <f>IF(D123&lt;&gt;cukier11[[#This Row],[miesiac]],1,0)</f>
        <v>0</v>
      </c>
      <c r="F122">
        <f>IF(AND(H121&lt;5000,cukier11[[#This Row],[czy_nastapiła_zmiana_mies]]=1),ROUNDUP((5000-H121)/1000,0),0)</f>
        <v>0</v>
      </c>
      <c r="G122">
        <f t="shared" si="1"/>
        <v>4908</v>
      </c>
      <c r="H122">
        <f>cukier11[[#This Row],[stan_magazynu]]-cukier11[[#This Row],[sprzedany_cukier]]</f>
        <v>4902</v>
      </c>
      <c r="I122" s="9">
        <f>cukier11[[#This Row],[stan_po_sprzedazy]]+cukier11[[#This Row],[ile_dokupic]]*1000</f>
        <v>4902</v>
      </c>
    </row>
    <row r="123" spans="1:9" x14ac:dyDescent="0.25">
      <c r="A123" s="1">
        <v>38579</v>
      </c>
      <c r="B123" t="s">
        <v>28</v>
      </c>
      <c r="C123">
        <v>47</v>
      </c>
      <c r="D123">
        <f>MONTH(cukier11[[#This Row],[data]])</f>
        <v>8</v>
      </c>
      <c r="E123">
        <f>IF(D124&lt;&gt;cukier11[[#This Row],[miesiac]],1,0)</f>
        <v>0</v>
      </c>
      <c r="F123">
        <f>IF(AND(H122&lt;5000,cukier11[[#This Row],[czy_nastapiła_zmiana_mies]]=1),ROUNDUP((5000-H122)/1000,0),0)</f>
        <v>0</v>
      </c>
      <c r="G123">
        <f t="shared" si="1"/>
        <v>4902</v>
      </c>
      <c r="H123">
        <f>cukier11[[#This Row],[stan_magazynu]]-cukier11[[#This Row],[sprzedany_cukier]]</f>
        <v>4855</v>
      </c>
      <c r="I123" s="9">
        <f>cukier11[[#This Row],[stan_po_sprzedazy]]+cukier11[[#This Row],[ile_dokupic]]*1000</f>
        <v>4855</v>
      </c>
    </row>
    <row r="124" spans="1:9" x14ac:dyDescent="0.25">
      <c r="A124" s="1">
        <v>38581</v>
      </c>
      <c r="B124" t="s">
        <v>19</v>
      </c>
      <c r="C124">
        <v>41</v>
      </c>
      <c r="D124">
        <f>MONTH(cukier11[[#This Row],[data]])</f>
        <v>8</v>
      </c>
      <c r="E124">
        <f>IF(D125&lt;&gt;cukier11[[#This Row],[miesiac]],1,0)</f>
        <v>0</v>
      </c>
      <c r="F124">
        <f>IF(AND(H123&lt;5000,cukier11[[#This Row],[czy_nastapiła_zmiana_mies]]=1),ROUNDUP((5000-H123)/1000,0),0)</f>
        <v>0</v>
      </c>
      <c r="G124">
        <f t="shared" si="1"/>
        <v>4855</v>
      </c>
      <c r="H124">
        <f>cukier11[[#This Row],[stan_magazynu]]-cukier11[[#This Row],[sprzedany_cukier]]</f>
        <v>4814</v>
      </c>
      <c r="I124" s="9">
        <f>cukier11[[#This Row],[stan_po_sprzedazy]]+cukier11[[#This Row],[ile_dokupic]]*1000</f>
        <v>4814</v>
      </c>
    </row>
    <row r="125" spans="1:9" x14ac:dyDescent="0.25">
      <c r="A125" s="1">
        <v>38582</v>
      </c>
      <c r="B125" t="s">
        <v>71</v>
      </c>
      <c r="C125">
        <v>136</v>
      </c>
      <c r="D125">
        <f>MONTH(cukier11[[#This Row],[data]])</f>
        <v>8</v>
      </c>
      <c r="E125">
        <f>IF(D126&lt;&gt;cukier11[[#This Row],[miesiac]],1,0)</f>
        <v>0</v>
      </c>
      <c r="F125">
        <f>IF(AND(H124&lt;5000,cukier11[[#This Row],[czy_nastapiła_zmiana_mies]]=1),ROUNDUP((5000-H124)/1000,0),0)</f>
        <v>0</v>
      </c>
      <c r="G125">
        <f t="shared" si="1"/>
        <v>4814</v>
      </c>
      <c r="H125">
        <f>cukier11[[#This Row],[stan_magazynu]]-cukier11[[#This Row],[sprzedany_cukier]]</f>
        <v>4678</v>
      </c>
      <c r="I125" s="9">
        <f>cukier11[[#This Row],[stan_po_sprzedazy]]+cukier11[[#This Row],[ile_dokupic]]*1000</f>
        <v>4678</v>
      </c>
    </row>
    <row r="126" spans="1:9" x14ac:dyDescent="0.25">
      <c r="A126" s="1">
        <v>38583</v>
      </c>
      <c r="B126" t="s">
        <v>72</v>
      </c>
      <c r="C126">
        <v>16</v>
      </c>
      <c r="D126">
        <f>MONTH(cukier11[[#This Row],[data]])</f>
        <v>8</v>
      </c>
      <c r="E126">
        <f>IF(D127&lt;&gt;cukier11[[#This Row],[miesiac]],1,0)</f>
        <v>0</v>
      </c>
      <c r="F126">
        <f>IF(AND(H125&lt;5000,cukier11[[#This Row],[czy_nastapiła_zmiana_mies]]=1),ROUNDUP((5000-H125)/1000,0),0)</f>
        <v>0</v>
      </c>
      <c r="G126">
        <f t="shared" si="1"/>
        <v>4678</v>
      </c>
      <c r="H126">
        <f>cukier11[[#This Row],[stan_magazynu]]-cukier11[[#This Row],[sprzedany_cukier]]</f>
        <v>4662</v>
      </c>
      <c r="I126" s="9">
        <f>cukier11[[#This Row],[stan_po_sprzedazy]]+cukier11[[#This Row],[ile_dokupic]]*1000</f>
        <v>4662</v>
      </c>
    </row>
    <row r="127" spans="1:9" x14ac:dyDescent="0.25">
      <c r="A127" s="1">
        <v>38585</v>
      </c>
      <c r="B127" t="s">
        <v>73</v>
      </c>
      <c r="C127">
        <v>18</v>
      </c>
      <c r="D127">
        <f>MONTH(cukier11[[#This Row],[data]])</f>
        <v>8</v>
      </c>
      <c r="E127">
        <f>IF(D128&lt;&gt;cukier11[[#This Row],[miesiac]],1,0)</f>
        <v>0</v>
      </c>
      <c r="F127">
        <f>IF(AND(H126&lt;5000,cukier11[[#This Row],[czy_nastapiła_zmiana_mies]]=1),ROUNDUP((5000-H126)/1000,0),0)</f>
        <v>0</v>
      </c>
      <c r="G127">
        <f t="shared" si="1"/>
        <v>4662</v>
      </c>
      <c r="H127">
        <f>cukier11[[#This Row],[stan_magazynu]]-cukier11[[#This Row],[sprzedany_cukier]]</f>
        <v>4644</v>
      </c>
      <c r="I127" s="9">
        <f>cukier11[[#This Row],[stan_po_sprzedazy]]+cukier11[[#This Row],[ile_dokupic]]*1000</f>
        <v>4644</v>
      </c>
    </row>
    <row r="128" spans="1:9" x14ac:dyDescent="0.25">
      <c r="A128" s="1">
        <v>38589</v>
      </c>
      <c r="B128" t="s">
        <v>74</v>
      </c>
      <c r="C128">
        <v>11</v>
      </c>
      <c r="D128">
        <f>MONTH(cukier11[[#This Row],[data]])</f>
        <v>8</v>
      </c>
      <c r="E128">
        <f>IF(D129&lt;&gt;cukier11[[#This Row],[miesiac]],1,0)</f>
        <v>0</v>
      </c>
      <c r="F128">
        <f>IF(AND(H127&lt;5000,cukier11[[#This Row],[czy_nastapiła_zmiana_mies]]=1),ROUNDUP((5000-H127)/1000,0),0)</f>
        <v>0</v>
      </c>
      <c r="G128">
        <f t="shared" si="1"/>
        <v>4644</v>
      </c>
      <c r="H128">
        <f>cukier11[[#This Row],[stan_magazynu]]-cukier11[[#This Row],[sprzedany_cukier]]</f>
        <v>4633</v>
      </c>
      <c r="I128" s="9">
        <f>cukier11[[#This Row],[stan_po_sprzedazy]]+cukier11[[#This Row],[ile_dokupic]]*1000</f>
        <v>4633</v>
      </c>
    </row>
    <row r="129" spans="1:9" x14ac:dyDescent="0.25">
      <c r="A129" s="1">
        <v>38589</v>
      </c>
      <c r="B129" t="s">
        <v>75</v>
      </c>
      <c r="C129">
        <v>8</v>
      </c>
      <c r="D129">
        <f>MONTH(cukier11[[#This Row],[data]])</f>
        <v>8</v>
      </c>
      <c r="E129">
        <f>IF(D130&lt;&gt;cukier11[[#This Row],[miesiac]],1,0)</f>
        <v>0</v>
      </c>
      <c r="F129">
        <f>IF(AND(H128&lt;5000,cukier11[[#This Row],[czy_nastapiła_zmiana_mies]]=1),ROUNDUP((5000-H128)/1000,0),0)</f>
        <v>0</v>
      </c>
      <c r="G129">
        <f t="shared" si="1"/>
        <v>4633</v>
      </c>
      <c r="H129">
        <f>cukier11[[#This Row],[stan_magazynu]]-cukier11[[#This Row],[sprzedany_cukier]]</f>
        <v>4625</v>
      </c>
      <c r="I129" s="9">
        <f>cukier11[[#This Row],[stan_po_sprzedazy]]+cukier11[[#This Row],[ile_dokupic]]*1000</f>
        <v>4625</v>
      </c>
    </row>
    <row r="130" spans="1:9" x14ac:dyDescent="0.25">
      <c r="A130" s="1">
        <v>38589</v>
      </c>
      <c r="B130" t="s">
        <v>76</v>
      </c>
      <c r="C130">
        <v>16</v>
      </c>
      <c r="D130">
        <f>MONTH(cukier11[[#This Row],[data]])</f>
        <v>8</v>
      </c>
      <c r="E130">
        <f>IF(D131&lt;&gt;cukier11[[#This Row],[miesiac]],1,0)</f>
        <v>0</v>
      </c>
      <c r="F130">
        <f>IF(AND(H129&lt;5000,cukier11[[#This Row],[czy_nastapiła_zmiana_mies]]=1),ROUNDUP((5000-H129)/1000,0),0)</f>
        <v>0</v>
      </c>
      <c r="G130">
        <f t="shared" si="1"/>
        <v>4625</v>
      </c>
      <c r="H130">
        <f>cukier11[[#This Row],[stan_magazynu]]-cukier11[[#This Row],[sprzedany_cukier]]</f>
        <v>4609</v>
      </c>
      <c r="I130" s="9">
        <f>cukier11[[#This Row],[stan_po_sprzedazy]]+cukier11[[#This Row],[ile_dokupic]]*1000</f>
        <v>4609</v>
      </c>
    </row>
    <row r="131" spans="1:9" x14ac:dyDescent="0.25">
      <c r="A131" s="1">
        <v>38589</v>
      </c>
      <c r="B131" t="s">
        <v>28</v>
      </c>
      <c r="C131">
        <v>54</v>
      </c>
      <c r="D131">
        <f>MONTH(cukier11[[#This Row],[data]])</f>
        <v>8</v>
      </c>
      <c r="E131">
        <f>IF(D132&lt;&gt;cukier11[[#This Row],[miesiac]],1,0)</f>
        <v>0</v>
      </c>
      <c r="F131">
        <f>IF(AND(H130&lt;5000,cukier11[[#This Row],[czy_nastapiła_zmiana_mies]]=1),ROUNDUP((5000-H130)/1000,0),0)</f>
        <v>0</v>
      </c>
      <c r="G131">
        <f t="shared" si="1"/>
        <v>4609</v>
      </c>
      <c r="H131">
        <f>cukier11[[#This Row],[stan_magazynu]]-cukier11[[#This Row],[sprzedany_cukier]]</f>
        <v>4555</v>
      </c>
      <c r="I131" s="9">
        <f>cukier11[[#This Row],[stan_po_sprzedazy]]+cukier11[[#This Row],[ile_dokupic]]*1000</f>
        <v>4555</v>
      </c>
    </row>
    <row r="132" spans="1:9" x14ac:dyDescent="0.25">
      <c r="A132" s="1">
        <v>38590</v>
      </c>
      <c r="B132" t="s">
        <v>50</v>
      </c>
      <c r="C132">
        <v>299</v>
      </c>
      <c r="D132">
        <f>MONTH(cukier11[[#This Row],[data]])</f>
        <v>8</v>
      </c>
      <c r="E132">
        <f>IF(D133&lt;&gt;cukier11[[#This Row],[miesiac]],1,0)</f>
        <v>0</v>
      </c>
      <c r="F132">
        <f>IF(AND(H131&lt;5000,cukier11[[#This Row],[czy_nastapiła_zmiana_mies]]=1),ROUNDUP((5000-H131)/1000,0),0)</f>
        <v>0</v>
      </c>
      <c r="G132">
        <f t="shared" ref="G132:G195" si="2">I131</f>
        <v>4555</v>
      </c>
      <c r="H132">
        <f>cukier11[[#This Row],[stan_magazynu]]-cukier11[[#This Row],[sprzedany_cukier]]</f>
        <v>4256</v>
      </c>
      <c r="I132" s="9">
        <f>cukier11[[#This Row],[stan_po_sprzedazy]]+cukier11[[#This Row],[ile_dokupic]]*1000</f>
        <v>4256</v>
      </c>
    </row>
    <row r="133" spans="1:9" x14ac:dyDescent="0.25">
      <c r="A133" s="1">
        <v>38592</v>
      </c>
      <c r="B133" t="s">
        <v>69</v>
      </c>
      <c r="C133">
        <v>168</v>
      </c>
      <c r="D133">
        <f>MONTH(cukier11[[#This Row],[data]])</f>
        <v>8</v>
      </c>
      <c r="E133">
        <f>IF(D134&lt;&gt;cukier11[[#This Row],[miesiac]],1,0)</f>
        <v>0</v>
      </c>
      <c r="F133">
        <f>IF(AND(H132&lt;5000,cukier11[[#This Row],[czy_nastapiła_zmiana_mies]]=1),ROUNDUP((5000-H132)/1000,0),0)</f>
        <v>0</v>
      </c>
      <c r="G133">
        <f t="shared" si="2"/>
        <v>4256</v>
      </c>
      <c r="H133">
        <f>cukier11[[#This Row],[stan_magazynu]]-cukier11[[#This Row],[sprzedany_cukier]]</f>
        <v>4088</v>
      </c>
      <c r="I133" s="9">
        <f>cukier11[[#This Row],[stan_po_sprzedazy]]+cukier11[[#This Row],[ile_dokupic]]*1000</f>
        <v>4088</v>
      </c>
    </row>
    <row r="134" spans="1:9" x14ac:dyDescent="0.25">
      <c r="A134" s="1">
        <v>38593</v>
      </c>
      <c r="B134" t="s">
        <v>9</v>
      </c>
      <c r="C134">
        <v>106</v>
      </c>
      <c r="D134">
        <f>MONTH(cukier11[[#This Row],[data]])</f>
        <v>8</v>
      </c>
      <c r="E134">
        <f>IF(D135&lt;&gt;cukier11[[#This Row],[miesiac]],1,0)</f>
        <v>0</v>
      </c>
      <c r="F134">
        <f>IF(AND(H133&lt;5000,cukier11[[#This Row],[czy_nastapiła_zmiana_mies]]=1),ROUNDUP((5000-H133)/1000,0),0)</f>
        <v>0</v>
      </c>
      <c r="G134">
        <f t="shared" si="2"/>
        <v>4088</v>
      </c>
      <c r="H134">
        <f>cukier11[[#This Row],[stan_magazynu]]-cukier11[[#This Row],[sprzedany_cukier]]</f>
        <v>3982</v>
      </c>
      <c r="I134" s="9">
        <f>cukier11[[#This Row],[stan_po_sprzedazy]]+cukier11[[#This Row],[ile_dokupic]]*1000</f>
        <v>3982</v>
      </c>
    </row>
    <row r="135" spans="1:9" x14ac:dyDescent="0.25">
      <c r="A135" s="1">
        <v>38594</v>
      </c>
      <c r="B135" t="s">
        <v>12</v>
      </c>
      <c r="C135">
        <v>41</v>
      </c>
      <c r="D135">
        <f>MONTH(cukier11[[#This Row],[data]])</f>
        <v>8</v>
      </c>
      <c r="E135">
        <f>IF(D136&lt;&gt;cukier11[[#This Row],[miesiac]],1,0)</f>
        <v>0</v>
      </c>
      <c r="F135">
        <f>IF(AND(H134&lt;5000,cukier11[[#This Row],[czy_nastapiła_zmiana_mies]]=1),ROUNDUP((5000-H134)/1000,0),0)</f>
        <v>0</v>
      </c>
      <c r="G135">
        <f t="shared" si="2"/>
        <v>3982</v>
      </c>
      <c r="H135">
        <f>cukier11[[#This Row],[stan_magazynu]]-cukier11[[#This Row],[sprzedany_cukier]]</f>
        <v>3941</v>
      </c>
      <c r="I135" s="9">
        <f>cukier11[[#This Row],[stan_po_sprzedazy]]+cukier11[[#This Row],[ile_dokupic]]*1000</f>
        <v>3941</v>
      </c>
    </row>
    <row r="136" spans="1:9" x14ac:dyDescent="0.25">
      <c r="A136" s="1">
        <v>38594</v>
      </c>
      <c r="B136" t="s">
        <v>39</v>
      </c>
      <c r="C136">
        <v>31</v>
      </c>
      <c r="D136">
        <f>MONTH(cukier11[[#This Row],[data]])</f>
        <v>8</v>
      </c>
      <c r="E136">
        <f>IF(D137&lt;&gt;cukier11[[#This Row],[miesiac]],1,0)</f>
        <v>1</v>
      </c>
      <c r="F136">
        <f>IF(AND(H135&lt;5000,cukier11[[#This Row],[czy_nastapiła_zmiana_mies]]=1),ROUNDUP((5000-H135)/1000,0),0)</f>
        <v>2</v>
      </c>
      <c r="G136">
        <f t="shared" si="2"/>
        <v>3941</v>
      </c>
      <c r="H136">
        <f>cukier11[[#This Row],[stan_magazynu]]-cukier11[[#This Row],[sprzedany_cukier]]</f>
        <v>3910</v>
      </c>
      <c r="I136" s="9">
        <f>cukier11[[#This Row],[stan_po_sprzedazy]]+cukier11[[#This Row],[ile_dokupic]]*1000</f>
        <v>5910</v>
      </c>
    </row>
    <row r="137" spans="1:9" x14ac:dyDescent="0.25">
      <c r="A137" s="1">
        <v>38596</v>
      </c>
      <c r="B137" t="s">
        <v>77</v>
      </c>
      <c r="C137">
        <v>8</v>
      </c>
      <c r="D137">
        <f>MONTH(cukier11[[#This Row],[data]])</f>
        <v>9</v>
      </c>
      <c r="E137">
        <f>IF(D138&lt;&gt;cukier11[[#This Row],[miesiac]],1,0)</f>
        <v>0</v>
      </c>
      <c r="F137">
        <f>IF(AND(H136&lt;5000,cukier11[[#This Row],[czy_nastapiła_zmiana_mies]]=1),ROUNDUP((5000-H136)/1000,0),0)</f>
        <v>0</v>
      </c>
      <c r="G137">
        <f t="shared" si="2"/>
        <v>5910</v>
      </c>
      <c r="H137">
        <f>cukier11[[#This Row],[stan_magazynu]]-cukier11[[#This Row],[sprzedany_cukier]]</f>
        <v>5902</v>
      </c>
      <c r="I137" s="9">
        <f>cukier11[[#This Row],[stan_po_sprzedazy]]+cukier11[[#This Row],[ile_dokupic]]*1000</f>
        <v>5902</v>
      </c>
    </row>
    <row r="138" spans="1:9" x14ac:dyDescent="0.25">
      <c r="A138" s="1">
        <v>38599</v>
      </c>
      <c r="B138" t="s">
        <v>19</v>
      </c>
      <c r="C138">
        <v>63</v>
      </c>
      <c r="D138">
        <f>MONTH(cukier11[[#This Row],[data]])</f>
        <v>9</v>
      </c>
      <c r="E138">
        <f>IF(D139&lt;&gt;cukier11[[#This Row],[miesiac]],1,0)</f>
        <v>0</v>
      </c>
      <c r="F138">
        <f>IF(AND(H137&lt;5000,cukier11[[#This Row],[czy_nastapiła_zmiana_mies]]=1),ROUNDUP((5000-H137)/1000,0),0)</f>
        <v>0</v>
      </c>
      <c r="G138">
        <f t="shared" si="2"/>
        <v>5902</v>
      </c>
      <c r="H138">
        <f>cukier11[[#This Row],[stan_magazynu]]-cukier11[[#This Row],[sprzedany_cukier]]</f>
        <v>5839</v>
      </c>
      <c r="I138" s="9">
        <f>cukier11[[#This Row],[stan_po_sprzedazy]]+cukier11[[#This Row],[ile_dokupic]]*1000</f>
        <v>5839</v>
      </c>
    </row>
    <row r="139" spans="1:9" x14ac:dyDescent="0.25">
      <c r="A139" s="1">
        <v>38602</v>
      </c>
      <c r="B139" t="s">
        <v>5</v>
      </c>
      <c r="C139">
        <v>368</v>
      </c>
      <c r="D139">
        <f>MONTH(cukier11[[#This Row],[data]])</f>
        <v>9</v>
      </c>
      <c r="E139">
        <f>IF(D140&lt;&gt;cukier11[[#This Row],[miesiac]],1,0)</f>
        <v>0</v>
      </c>
      <c r="F139">
        <f>IF(AND(H138&lt;5000,cukier11[[#This Row],[czy_nastapiła_zmiana_mies]]=1),ROUNDUP((5000-H138)/1000,0),0)</f>
        <v>0</v>
      </c>
      <c r="G139">
        <f t="shared" si="2"/>
        <v>5839</v>
      </c>
      <c r="H139">
        <f>cukier11[[#This Row],[stan_magazynu]]-cukier11[[#This Row],[sprzedany_cukier]]</f>
        <v>5471</v>
      </c>
      <c r="I139" s="9">
        <f>cukier11[[#This Row],[stan_po_sprzedazy]]+cukier11[[#This Row],[ile_dokupic]]*1000</f>
        <v>5471</v>
      </c>
    </row>
    <row r="140" spans="1:9" x14ac:dyDescent="0.25">
      <c r="A140" s="1">
        <v>38603</v>
      </c>
      <c r="B140" t="s">
        <v>78</v>
      </c>
      <c r="C140">
        <v>106</v>
      </c>
      <c r="D140">
        <f>MONTH(cukier11[[#This Row],[data]])</f>
        <v>9</v>
      </c>
      <c r="E140">
        <f>IF(D141&lt;&gt;cukier11[[#This Row],[miesiac]],1,0)</f>
        <v>0</v>
      </c>
      <c r="F140">
        <f>IF(AND(H139&lt;5000,cukier11[[#This Row],[czy_nastapiła_zmiana_mies]]=1),ROUNDUP((5000-H139)/1000,0),0)</f>
        <v>0</v>
      </c>
      <c r="G140">
        <f t="shared" si="2"/>
        <v>5471</v>
      </c>
      <c r="H140">
        <f>cukier11[[#This Row],[stan_magazynu]]-cukier11[[#This Row],[sprzedany_cukier]]</f>
        <v>5365</v>
      </c>
      <c r="I140" s="9">
        <f>cukier11[[#This Row],[stan_po_sprzedazy]]+cukier11[[#This Row],[ile_dokupic]]*1000</f>
        <v>5365</v>
      </c>
    </row>
    <row r="141" spans="1:9" x14ac:dyDescent="0.25">
      <c r="A141" s="1">
        <v>38604</v>
      </c>
      <c r="B141" t="s">
        <v>8</v>
      </c>
      <c r="C141">
        <v>47</v>
      </c>
      <c r="D141">
        <f>MONTH(cukier11[[#This Row],[data]])</f>
        <v>9</v>
      </c>
      <c r="E141">
        <f>IF(D142&lt;&gt;cukier11[[#This Row],[miesiac]],1,0)</f>
        <v>0</v>
      </c>
      <c r="F141">
        <f>IF(AND(H140&lt;5000,cukier11[[#This Row],[czy_nastapiła_zmiana_mies]]=1),ROUNDUP((5000-H140)/1000,0),0)</f>
        <v>0</v>
      </c>
      <c r="G141">
        <f t="shared" si="2"/>
        <v>5365</v>
      </c>
      <c r="H141">
        <f>cukier11[[#This Row],[stan_magazynu]]-cukier11[[#This Row],[sprzedany_cukier]]</f>
        <v>5318</v>
      </c>
      <c r="I141" s="9">
        <f>cukier11[[#This Row],[stan_po_sprzedazy]]+cukier11[[#This Row],[ile_dokupic]]*1000</f>
        <v>5318</v>
      </c>
    </row>
    <row r="142" spans="1:9" x14ac:dyDescent="0.25">
      <c r="A142" s="1">
        <v>38604</v>
      </c>
      <c r="B142" t="s">
        <v>50</v>
      </c>
      <c r="C142">
        <v>447</v>
      </c>
      <c r="D142">
        <f>MONTH(cukier11[[#This Row],[data]])</f>
        <v>9</v>
      </c>
      <c r="E142">
        <f>IF(D143&lt;&gt;cukier11[[#This Row],[miesiac]],1,0)</f>
        <v>0</v>
      </c>
      <c r="F142">
        <f>IF(AND(H141&lt;5000,cukier11[[#This Row],[czy_nastapiła_zmiana_mies]]=1),ROUNDUP((5000-H141)/1000,0),0)</f>
        <v>0</v>
      </c>
      <c r="G142">
        <f t="shared" si="2"/>
        <v>5318</v>
      </c>
      <c r="H142">
        <f>cukier11[[#This Row],[stan_magazynu]]-cukier11[[#This Row],[sprzedany_cukier]]</f>
        <v>4871</v>
      </c>
      <c r="I142" s="9">
        <f>cukier11[[#This Row],[stan_po_sprzedazy]]+cukier11[[#This Row],[ile_dokupic]]*1000</f>
        <v>4871</v>
      </c>
    </row>
    <row r="143" spans="1:9" x14ac:dyDescent="0.25">
      <c r="A143" s="1">
        <v>38605</v>
      </c>
      <c r="B143" t="s">
        <v>69</v>
      </c>
      <c r="C143">
        <v>106</v>
      </c>
      <c r="D143">
        <f>MONTH(cukier11[[#This Row],[data]])</f>
        <v>9</v>
      </c>
      <c r="E143">
        <f>IF(D144&lt;&gt;cukier11[[#This Row],[miesiac]],1,0)</f>
        <v>0</v>
      </c>
      <c r="F143">
        <f>IF(AND(H142&lt;5000,cukier11[[#This Row],[czy_nastapiła_zmiana_mies]]=1),ROUNDUP((5000-H142)/1000,0),0)</f>
        <v>0</v>
      </c>
      <c r="G143">
        <f t="shared" si="2"/>
        <v>4871</v>
      </c>
      <c r="H143">
        <f>cukier11[[#This Row],[stan_magazynu]]-cukier11[[#This Row],[sprzedany_cukier]]</f>
        <v>4765</v>
      </c>
      <c r="I143" s="9">
        <f>cukier11[[#This Row],[stan_po_sprzedazy]]+cukier11[[#This Row],[ile_dokupic]]*1000</f>
        <v>4765</v>
      </c>
    </row>
    <row r="144" spans="1:9" x14ac:dyDescent="0.25">
      <c r="A144" s="1">
        <v>38606</v>
      </c>
      <c r="B144" t="s">
        <v>79</v>
      </c>
      <c r="C144">
        <v>13</v>
      </c>
      <c r="D144">
        <f>MONTH(cukier11[[#This Row],[data]])</f>
        <v>9</v>
      </c>
      <c r="E144">
        <f>IF(D145&lt;&gt;cukier11[[#This Row],[miesiac]],1,0)</f>
        <v>0</v>
      </c>
      <c r="F144">
        <f>IF(AND(H143&lt;5000,cukier11[[#This Row],[czy_nastapiła_zmiana_mies]]=1),ROUNDUP((5000-H143)/1000,0),0)</f>
        <v>0</v>
      </c>
      <c r="G144">
        <f t="shared" si="2"/>
        <v>4765</v>
      </c>
      <c r="H144">
        <f>cukier11[[#This Row],[stan_magazynu]]-cukier11[[#This Row],[sprzedany_cukier]]</f>
        <v>4752</v>
      </c>
      <c r="I144" s="9">
        <f>cukier11[[#This Row],[stan_po_sprzedazy]]+cukier11[[#This Row],[ile_dokupic]]*1000</f>
        <v>4752</v>
      </c>
    </row>
    <row r="145" spans="1:9" x14ac:dyDescent="0.25">
      <c r="A145" s="1">
        <v>38606</v>
      </c>
      <c r="B145" t="s">
        <v>52</v>
      </c>
      <c r="C145">
        <v>89</v>
      </c>
      <c r="D145">
        <f>MONTH(cukier11[[#This Row],[data]])</f>
        <v>9</v>
      </c>
      <c r="E145">
        <f>IF(D146&lt;&gt;cukier11[[#This Row],[miesiac]],1,0)</f>
        <v>0</v>
      </c>
      <c r="F145">
        <f>IF(AND(H144&lt;5000,cukier11[[#This Row],[czy_nastapiła_zmiana_mies]]=1),ROUNDUP((5000-H144)/1000,0),0)</f>
        <v>0</v>
      </c>
      <c r="G145">
        <f t="shared" si="2"/>
        <v>4752</v>
      </c>
      <c r="H145">
        <f>cukier11[[#This Row],[stan_magazynu]]-cukier11[[#This Row],[sprzedany_cukier]]</f>
        <v>4663</v>
      </c>
      <c r="I145" s="9">
        <f>cukier11[[#This Row],[stan_po_sprzedazy]]+cukier11[[#This Row],[ile_dokupic]]*1000</f>
        <v>4663</v>
      </c>
    </row>
    <row r="146" spans="1:9" x14ac:dyDescent="0.25">
      <c r="A146" s="1">
        <v>38606</v>
      </c>
      <c r="B146" t="s">
        <v>31</v>
      </c>
      <c r="C146">
        <v>105</v>
      </c>
      <c r="D146">
        <f>MONTH(cukier11[[#This Row],[data]])</f>
        <v>9</v>
      </c>
      <c r="E146">
        <f>IF(D147&lt;&gt;cukier11[[#This Row],[miesiac]],1,0)</f>
        <v>0</v>
      </c>
      <c r="F146">
        <f>IF(AND(H145&lt;5000,cukier11[[#This Row],[czy_nastapiła_zmiana_mies]]=1),ROUNDUP((5000-H145)/1000,0),0)</f>
        <v>0</v>
      </c>
      <c r="G146">
        <f t="shared" si="2"/>
        <v>4663</v>
      </c>
      <c r="H146">
        <f>cukier11[[#This Row],[stan_magazynu]]-cukier11[[#This Row],[sprzedany_cukier]]</f>
        <v>4558</v>
      </c>
      <c r="I146" s="9">
        <f>cukier11[[#This Row],[stan_po_sprzedazy]]+cukier11[[#This Row],[ile_dokupic]]*1000</f>
        <v>4558</v>
      </c>
    </row>
    <row r="147" spans="1:9" x14ac:dyDescent="0.25">
      <c r="A147" s="1">
        <v>38606</v>
      </c>
      <c r="B147" t="s">
        <v>7</v>
      </c>
      <c r="C147">
        <v>147</v>
      </c>
      <c r="D147">
        <f>MONTH(cukier11[[#This Row],[data]])</f>
        <v>9</v>
      </c>
      <c r="E147">
        <f>IF(D148&lt;&gt;cukier11[[#This Row],[miesiac]],1,0)</f>
        <v>0</v>
      </c>
      <c r="F147">
        <f>IF(AND(H146&lt;5000,cukier11[[#This Row],[czy_nastapiła_zmiana_mies]]=1),ROUNDUP((5000-H146)/1000,0),0)</f>
        <v>0</v>
      </c>
      <c r="G147">
        <f t="shared" si="2"/>
        <v>4558</v>
      </c>
      <c r="H147">
        <f>cukier11[[#This Row],[stan_magazynu]]-cukier11[[#This Row],[sprzedany_cukier]]</f>
        <v>4411</v>
      </c>
      <c r="I147" s="9">
        <f>cukier11[[#This Row],[stan_po_sprzedazy]]+cukier11[[#This Row],[ile_dokupic]]*1000</f>
        <v>4411</v>
      </c>
    </row>
    <row r="148" spans="1:9" x14ac:dyDescent="0.25">
      <c r="A148" s="1">
        <v>38608</v>
      </c>
      <c r="B148" t="s">
        <v>9</v>
      </c>
      <c r="C148">
        <v>309</v>
      </c>
      <c r="D148">
        <f>MONTH(cukier11[[#This Row],[data]])</f>
        <v>9</v>
      </c>
      <c r="E148">
        <f>IF(D149&lt;&gt;cukier11[[#This Row],[miesiac]],1,0)</f>
        <v>0</v>
      </c>
      <c r="F148">
        <f>IF(AND(H147&lt;5000,cukier11[[#This Row],[czy_nastapiła_zmiana_mies]]=1),ROUNDUP((5000-H147)/1000,0),0)</f>
        <v>0</v>
      </c>
      <c r="G148">
        <f t="shared" si="2"/>
        <v>4411</v>
      </c>
      <c r="H148">
        <f>cukier11[[#This Row],[stan_magazynu]]-cukier11[[#This Row],[sprzedany_cukier]]</f>
        <v>4102</v>
      </c>
      <c r="I148" s="9">
        <f>cukier11[[#This Row],[stan_po_sprzedazy]]+cukier11[[#This Row],[ile_dokupic]]*1000</f>
        <v>4102</v>
      </c>
    </row>
    <row r="149" spans="1:9" x14ac:dyDescent="0.25">
      <c r="A149" s="1">
        <v>38610</v>
      </c>
      <c r="B149" t="s">
        <v>28</v>
      </c>
      <c r="C149">
        <v>47</v>
      </c>
      <c r="D149">
        <f>MONTH(cukier11[[#This Row],[data]])</f>
        <v>9</v>
      </c>
      <c r="E149">
        <f>IF(D150&lt;&gt;cukier11[[#This Row],[miesiac]],1,0)</f>
        <v>0</v>
      </c>
      <c r="F149">
        <f>IF(AND(H148&lt;5000,cukier11[[#This Row],[czy_nastapiła_zmiana_mies]]=1),ROUNDUP((5000-H148)/1000,0),0)</f>
        <v>0</v>
      </c>
      <c r="G149">
        <f t="shared" si="2"/>
        <v>4102</v>
      </c>
      <c r="H149">
        <f>cukier11[[#This Row],[stan_magazynu]]-cukier11[[#This Row],[sprzedany_cukier]]</f>
        <v>4055</v>
      </c>
      <c r="I149" s="9">
        <f>cukier11[[#This Row],[stan_po_sprzedazy]]+cukier11[[#This Row],[ile_dokupic]]*1000</f>
        <v>4055</v>
      </c>
    </row>
    <row r="150" spans="1:9" x14ac:dyDescent="0.25">
      <c r="A150" s="1">
        <v>38612</v>
      </c>
      <c r="B150" t="s">
        <v>50</v>
      </c>
      <c r="C150">
        <v>404</v>
      </c>
      <c r="D150">
        <f>MONTH(cukier11[[#This Row],[data]])</f>
        <v>9</v>
      </c>
      <c r="E150">
        <f>IF(D151&lt;&gt;cukier11[[#This Row],[miesiac]],1,0)</f>
        <v>0</v>
      </c>
      <c r="F150">
        <f>IF(AND(H149&lt;5000,cukier11[[#This Row],[czy_nastapiła_zmiana_mies]]=1),ROUNDUP((5000-H149)/1000,0),0)</f>
        <v>0</v>
      </c>
      <c r="G150">
        <f t="shared" si="2"/>
        <v>4055</v>
      </c>
      <c r="H150">
        <f>cukier11[[#This Row],[stan_magazynu]]-cukier11[[#This Row],[sprzedany_cukier]]</f>
        <v>3651</v>
      </c>
      <c r="I150" s="9">
        <f>cukier11[[#This Row],[stan_po_sprzedazy]]+cukier11[[#This Row],[ile_dokupic]]*1000</f>
        <v>3651</v>
      </c>
    </row>
    <row r="151" spans="1:9" x14ac:dyDescent="0.25">
      <c r="A151" s="1">
        <v>38612</v>
      </c>
      <c r="B151" t="s">
        <v>80</v>
      </c>
      <c r="C151">
        <v>39</v>
      </c>
      <c r="D151">
        <f>MONTH(cukier11[[#This Row],[data]])</f>
        <v>9</v>
      </c>
      <c r="E151">
        <f>IF(D152&lt;&gt;cukier11[[#This Row],[miesiac]],1,0)</f>
        <v>0</v>
      </c>
      <c r="F151">
        <f>IF(AND(H150&lt;5000,cukier11[[#This Row],[czy_nastapiła_zmiana_mies]]=1),ROUNDUP((5000-H150)/1000,0),0)</f>
        <v>0</v>
      </c>
      <c r="G151">
        <f t="shared" si="2"/>
        <v>3651</v>
      </c>
      <c r="H151">
        <f>cukier11[[#This Row],[stan_magazynu]]-cukier11[[#This Row],[sprzedany_cukier]]</f>
        <v>3612</v>
      </c>
      <c r="I151" s="9">
        <f>cukier11[[#This Row],[stan_po_sprzedazy]]+cukier11[[#This Row],[ile_dokupic]]*1000</f>
        <v>3612</v>
      </c>
    </row>
    <row r="152" spans="1:9" x14ac:dyDescent="0.25">
      <c r="A152" s="1">
        <v>38612</v>
      </c>
      <c r="B152" t="s">
        <v>12</v>
      </c>
      <c r="C152">
        <v>61</v>
      </c>
      <c r="D152">
        <f>MONTH(cukier11[[#This Row],[data]])</f>
        <v>9</v>
      </c>
      <c r="E152">
        <f>IF(D153&lt;&gt;cukier11[[#This Row],[miesiac]],1,0)</f>
        <v>0</v>
      </c>
      <c r="F152">
        <f>IF(AND(H151&lt;5000,cukier11[[#This Row],[czy_nastapiła_zmiana_mies]]=1),ROUNDUP((5000-H151)/1000,0),0)</f>
        <v>0</v>
      </c>
      <c r="G152">
        <f t="shared" si="2"/>
        <v>3612</v>
      </c>
      <c r="H152">
        <f>cukier11[[#This Row],[stan_magazynu]]-cukier11[[#This Row],[sprzedany_cukier]]</f>
        <v>3551</v>
      </c>
      <c r="I152" s="9">
        <f>cukier11[[#This Row],[stan_po_sprzedazy]]+cukier11[[#This Row],[ile_dokupic]]*1000</f>
        <v>3551</v>
      </c>
    </row>
    <row r="153" spans="1:9" x14ac:dyDescent="0.25">
      <c r="A153" s="1">
        <v>38615</v>
      </c>
      <c r="B153" t="s">
        <v>66</v>
      </c>
      <c r="C153">
        <v>89</v>
      </c>
      <c r="D153">
        <f>MONTH(cukier11[[#This Row],[data]])</f>
        <v>9</v>
      </c>
      <c r="E153">
        <f>IF(D154&lt;&gt;cukier11[[#This Row],[miesiac]],1,0)</f>
        <v>0</v>
      </c>
      <c r="F153">
        <f>IF(AND(H152&lt;5000,cukier11[[#This Row],[czy_nastapiła_zmiana_mies]]=1),ROUNDUP((5000-H152)/1000,0),0)</f>
        <v>0</v>
      </c>
      <c r="G153">
        <f t="shared" si="2"/>
        <v>3551</v>
      </c>
      <c r="H153">
        <f>cukier11[[#This Row],[stan_magazynu]]-cukier11[[#This Row],[sprzedany_cukier]]</f>
        <v>3462</v>
      </c>
      <c r="I153" s="9">
        <f>cukier11[[#This Row],[stan_po_sprzedazy]]+cukier11[[#This Row],[ile_dokupic]]*1000</f>
        <v>3462</v>
      </c>
    </row>
    <row r="154" spans="1:9" x14ac:dyDescent="0.25">
      <c r="A154" s="1">
        <v>38617</v>
      </c>
      <c r="B154" t="s">
        <v>23</v>
      </c>
      <c r="C154">
        <v>127</v>
      </c>
      <c r="D154">
        <f>MONTH(cukier11[[#This Row],[data]])</f>
        <v>9</v>
      </c>
      <c r="E154">
        <f>IF(D155&lt;&gt;cukier11[[#This Row],[miesiac]],1,0)</f>
        <v>0</v>
      </c>
      <c r="F154">
        <f>IF(AND(H153&lt;5000,cukier11[[#This Row],[czy_nastapiła_zmiana_mies]]=1),ROUNDUP((5000-H153)/1000,0),0)</f>
        <v>0</v>
      </c>
      <c r="G154">
        <f t="shared" si="2"/>
        <v>3462</v>
      </c>
      <c r="H154">
        <f>cukier11[[#This Row],[stan_magazynu]]-cukier11[[#This Row],[sprzedany_cukier]]</f>
        <v>3335</v>
      </c>
      <c r="I154" s="9">
        <f>cukier11[[#This Row],[stan_po_sprzedazy]]+cukier11[[#This Row],[ile_dokupic]]*1000</f>
        <v>3335</v>
      </c>
    </row>
    <row r="155" spans="1:9" x14ac:dyDescent="0.25">
      <c r="A155" s="1">
        <v>38620</v>
      </c>
      <c r="B155" t="s">
        <v>18</v>
      </c>
      <c r="C155">
        <v>81</v>
      </c>
      <c r="D155">
        <f>MONTH(cukier11[[#This Row],[data]])</f>
        <v>9</v>
      </c>
      <c r="E155">
        <f>IF(D156&lt;&gt;cukier11[[#This Row],[miesiac]],1,0)</f>
        <v>0</v>
      </c>
      <c r="F155">
        <f>IF(AND(H154&lt;5000,cukier11[[#This Row],[czy_nastapiła_zmiana_mies]]=1),ROUNDUP((5000-H154)/1000,0),0)</f>
        <v>0</v>
      </c>
      <c r="G155">
        <f t="shared" si="2"/>
        <v>3335</v>
      </c>
      <c r="H155">
        <f>cukier11[[#This Row],[stan_magazynu]]-cukier11[[#This Row],[sprzedany_cukier]]</f>
        <v>3254</v>
      </c>
      <c r="I155" s="9">
        <f>cukier11[[#This Row],[stan_po_sprzedazy]]+cukier11[[#This Row],[ile_dokupic]]*1000</f>
        <v>3254</v>
      </c>
    </row>
    <row r="156" spans="1:9" x14ac:dyDescent="0.25">
      <c r="A156" s="1">
        <v>38623</v>
      </c>
      <c r="B156" t="s">
        <v>45</v>
      </c>
      <c r="C156">
        <v>433</v>
      </c>
      <c r="D156">
        <f>MONTH(cukier11[[#This Row],[data]])</f>
        <v>9</v>
      </c>
      <c r="E156">
        <f>IF(D157&lt;&gt;cukier11[[#This Row],[miesiac]],1,0)</f>
        <v>0</v>
      </c>
      <c r="F156">
        <f>IF(AND(H155&lt;5000,cukier11[[#This Row],[czy_nastapiła_zmiana_mies]]=1),ROUNDUP((5000-H155)/1000,0),0)</f>
        <v>0</v>
      </c>
      <c r="G156">
        <f t="shared" si="2"/>
        <v>3254</v>
      </c>
      <c r="H156">
        <f>cukier11[[#This Row],[stan_magazynu]]-cukier11[[#This Row],[sprzedany_cukier]]</f>
        <v>2821</v>
      </c>
      <c r="I156" s="9">
        <f>cukier11[[#This Row],[stan_po_sprzedazy]]+cukier11[[#This Row],[ile_dokupic]]*1000</f>
        <v>2821</v>
      </c>
    </row>
    <row r="157" spans="1:9" x14ac:dyDescent="0.25">
      <c r="A157" s="1">
        <v>38623</v>
      </c>
      <c r="B157" t="s">
        <v>9</v>
      </c>
      <c r="C157">
        <v>284</v>
      </c>
      <c r="D157">
        <f>MONTH(cukier11[[#This Row],[data]])</f>
        <v>9</v>
      </c>
      <c r="E157">
        <f>IF(D158&lt;&gt;cukier11[[#This Row],[miesiac]],1,0)</f>
        <v>0</v>
      </c>
      <c r="F157">
        <f>IF(AND(H156&lt;5000,cukier11[[#This Row],[czy_nastapiła_zmiana_mies]]=1),ROUNDUP((5000-H156)/1000,0),0)</f>
        <v>0</v>
      </c>
      <c r="G157">
        <f t="shared" si="2"/>
        <v>2821</v>
      </c>
      <c r="H157">
        <f>cukier11[[#This Row],[stan_magazynu]]-cukier11[[#This Row],[sprzedany_cukier]]</f>
        <v>2537</v>
      </c>
      <c r="I157" s="9">
        <f>cukier11[[#This Row],[stan_po_sprzedazy]]+cukier11[[#This Row],[ile_dokupic]]*1000</f>
        <v>2537</v>
      </c>
    </row>
    <row r="158" spans="1:9" x14ac:dyDescent="0.25">
      <c r="A158" s="1">
        <v>38624</v>
      </c>
      <c r="B158" t="s">
        <v>6</v>
      </c>
      <c r="C158">
        <v>122</v>
      </c>
      <c r="D158">
        <f>MONTH(cukier11[[#This Row],[data]])</f>
        <v>9</v>
      </c>
      <c r="E158">
        <f>IF(D159&lt;&gt;cukier11[[#This Row],[miesiac]],1,0)</f>
        <v>1</v>
      </c>
      <c r="F158">
        <f>IF(AND(H157&lt;5000,cukier11[[#This Row],[czy_nastapiła_zmiana_mies]]=1),ROUNDUP((5000-H157)/1000,0),0)</f>
        <v>3</v>
      </c>
      <c r="G158">
        <f t="shared" si="2"/>
        <v>2537</v>
      </c>
      <c r="H158">
        <f>cukier11[[#This Row],[stan_magazynu]]-cukier11[[#This Row],[sprzedany_cukier]]</f>
        <v>2415</v>
      </c>
      <c r="I158" s="9">
        <f>cukier11[[#This Row],[stan_po_sprzedazy]]+cukier11[[#This Row],[ile_dokupic]]*1000</f>
        <v>5415</v>
      </c>
    </row>
    <row r="159" spans="1:9" x14ac:dyDescent="0.25">
      <c r="A159" s="1">
        <v>38626</v>
      </c>
      <c r="B159" t="s">
        <v>80</v>
      </c>
      <c r="C159">
        <v>193</v>
      </c>
      <c r="D159">
        <f>MONTH(cukier11[[#This Row],[data]])</f>
        <v>10</v>
      </c>
      <c r="E159">
        <f>IF(D160&lt;&gt;cukier11[[#This Row],[miesiac]],1,0)</f>
        <v>0</v>
      </c>
      <c r="F159">
        <f>IF(AND(H158&lt;5000,cukier11[[#This Row],[czy_nastapiła_zmiana_mies]]=1),ROUNDUP((5000-H158)/1000,0),0)</f>
        <v>0</v>
      </c>
      <c r="G159">
        <f t="shared" si="2"/>
        <v>5415</v>
      </c>
      <c r="H159">
        <f>cukier11[[#This Row],[stan_magazynu]]-cukier11[[#This Row],[sprzedany_cukier]]</f>
        <v>5222</v>
      </c>
      <c r="I159" s="9">
        <f>cukier11[[#This Row],[stan_po_sprzedazy]]+cukier11[[#This Row],[ile_dokupic]]*1000</f>
        <v>5222</v>
      </c>
    </row>
    <row r="160" spans="1:9" x14ac:dyDescent="0.25">
      <c r="A160" s="1">
        <v>38628</v>
      </c>
      <c r="B160" t="s">
        <v>28</v>
      </c>
      <c r="C160">
        <v>118</v>
      </c>
      <c r="D160">
        <f>MONTH(cukier11[[#This Row],[data]])</f>
        <v>10</v>
      </c>
      <c r="E160">
        <f>IF(D161&lt;&gt;cukier11[[#This Row],[miesiac]],1,0)</f>
        <v>0</v>
      </c>
      <c r="F160">
        <f>IF(AND(H159&lt;5000,cukier11[[#This Row],[czy_nastapiła_zmiana_mies]]=1),ROUNDUP((5000-H159)/1000,0),0)</f>
        <v>0</v>
      </c>
      <c r="G160">
        <f t="shared" si="2"/>
        <v>5222</v>
      </c>
      <c r="H160">
        <f>cukier11[[#This Row],[stan_magazynu]]-cukier11[[#This Row],[sprzedany_cukier]]</f>
        <v>5104</v>
      </c>
      <c r="I160" s="9">
        <f>cukier11[[#This Row],[stan_po_sprzedazy]]+cukier11[[#This Row],[ile_dokupic]]*1000</f>
        <v>5104</v>
      </c>
    </row>
    <row r="161" spans="1:9" x14ac:dyDescent="0.25">
      <c r="A161" s="1">
        <v>38629</v>
      </c>
      <c r="B161" t="s">
        <v>5</v>
      </c>
      <c r="C161">
        <v>173</v>
      </c>
      <c r="D161">
        <f>MONTH(cukier11[[#This Row],[data]])</f>
        <v>10</v>
      </c>
      <c r="E161">
        <f>IF(D162&lt;&gt;cukier11[[#This Row],[miesiac]],1,0)</f>
        <v>0</v>
      </c>
      <c r="F161">
        <f>IF(AND(H160&lt;5000,cukier11[[#This Row],[czy_nastapiła_zmiana_mies]]=1),ROUNDUP((5000-H160)/1000,0),0)</f>
        <v>0</v>
      </c>
      <c r="G161">
        <f t="shared" si="2"/>
        <v>5104</v>
      </c>
      <c r="H161">
        <f>cukier11[[#This Row],[stan_magazynu]]-cukier11[[#This Row],[sprzedany_cukier]]</f>
        <v>4931</v>
      </c>
      <c r="I161" s="9">
        <f>cukier11[[#This Row],[stan_po_sprzedazy]]+cukier11[[#This Row],[ile_dokupic]]*1000</f>
        <v>4931</v>
      </c>
    </row>
    <row r="162" spans="1:9" x14ac:dyDescent="0.25">
      <c r="A162" s="1">
        <v>38632</v>
      </c>
      <c r="B162" t="s">
        <v>22</v>
      </c>
      <c r="C162">
        <v>392</v>
      </c>
      <c r="D162">
        <f>MONTH(cukier11[[#This Row],[data]])</f>
        <v>10</v>
      </c>
      <c r="E162">
        <f>IF(D163&lt;&gt;cukier11[[#This Row],[miesiac]],1,0)</f>
        <v>0</v>
      </c>
      <c r="F162">
        <f>IF(AND(H161&lt;5000,cukier11[[#This Row],[czy_nastapiła_zmiana_mies]]=1),ROUNDUP((5000-H161)/1000,0),0)</f>
        <v>0</v>
      </c>
      <c r="G162">
        <f t="shared" si="2"/>
        <v>4931</v>
      </c>
      <c r="H162">
        <f>cukier11[[#This Row],[stan_magazynu]]-cukier11[[#This Row],[sprzedany_cukier]]</f>
        <v>4539</v>
      </c>
      <c r="I162" s="9">
        <f>cukier11[[#This Row],[stan_po_sprzedazy]]+cukier11[[#This Row],[ile_dokupic]]*1000</f>
        <v>4539</v>
      </c>
    </row>
    <row r="163" spans="1:9" x14ac:dyDescent="0.25">
      <c r="A163" s="1">
        <v>38633</v>
      </c>
      <c r="B163" t="s">
        <v>16</v>
      </c>
      <c r="C163">
        <v>8</v>
      </c>
      <c r="D163">
        <f>MONTH(cukier11[[#This Row],[data]])</f>
        <v>10</v>
      </c>
      <c r="E163">
        <f>IF(D164&lt;&gt;cukier11[[#This Row],[miesiac]],1,0)</f>
        <v>0</v>
      </c>
      <c r="F163">
        <f>IF(AND(H162&lt;5000,cukier11[[#This Row],[czy_nastapiła_zmiana_mies]]=1),ROUNDUP((5000-H162)/1000,0),0)</f>
        <v>0</v>
      </c>
      <c r="G163">
        <f t="shared" si="2"/>
        <v>4539</v>
      </c>
      <c r="H163">
        <f>cukier11[[#This Row],[stan_magazynu]]-cukier11[[#This Row],[sprzedany_cukier]]</f>
        <v>4531</v>
      </c>
      <c r="I163" s="9">
        <f>cukier11[[#This Row],[stan_po_sprzedazy]]+cukier11[[#This Row],[ile_dokupic]]*1000</f>
        <v>4531</v>
      </c>
    </row>
    <row r="164" spans="1:9" x14ac:dyDescent="0.25">
      <c r="A164" s="1">
        <v>38638</v>
      </c>
      <c r="B164" t="s">
        <v>28</v>
      </c>
      <c r="C164">
        <v>132</v>
      </c>
      <c r="D164">
        <f>MONTH(cukier11[[#This Row],[data]])</f>
        <v>10</v>
      </c>
      <c r="E164">
        <f>IF(D165&lt;&gt;cukier11[[#This Row],[miesiac]],1,0)</f>
        <v>0</v>
      </c>
      <c r="F164">
        <f>IF(AND(H163&lt;5000,cukier11[[#This Row],[czy_nastapiła_zmiana_mies]]=1),ROUNDUP((5000-H163)/1000,0),0)</f>
        <v>0</v>
      </c>
      <c r="G164">
        <f t="shared" si="2"/>
        <v>4531</v>
      </c>
      <c r="H164">
        <f>cukier11[[#This Row],[stan_magazynu]]-cukier11[[#This Row],[sprzedany_cukier]]</f>
        <v>4399</v>
      </c>
      <c r="I164" s="9">
        <f>cukier11[[#This Row],[stan_po_sprzedazy]]+cukier11[[#This Row],[ile_dokupic]]*1000</f>
        <v>4399</v>
      </c>
    </row>
    <row r="165" spans="1:9" x14ac:dyDescent="0.25">
      <c r="A165" s="1">
        <v>38638</v>
      </c>
      <c r="B165" t="s">
        <v>8</v>
      </c>
      <c r="C165">
        <v>76</v>
      </c>
      <c r="D165">
        <f>MONTH(cukier11[[#This Row],[data]])</f>
        <v>10</v>
      </c>
      <c r="E165">
        <f>IF(D166&lt;&gt;cukier11[[#This Row],[miesiac]],1,0)</f>
        <v>0</v>
      </c>
      <c r="F165">
        <f>IF(AND(H164&lt;5000,cukier11[[#This Row],[czy_nastapiła_zmiana_mies]]=1),ROUNDUP((5000-H164)/1000,0),0)</f>
        <v>0</v>
      </c>
      <c r="G165">
        <f t="shared" si="2"/>
        <v>4399</v>
      </c>
      <c r="H165">
        <f>cukier11[[#This Row],[stan_magazynu]]-cukier11[[#This Row],[sprzedany_cukier]]</f>
        <v>4323</v>
      </c>
      <c r="I165" s="9">
        <f>cukier11[[#This Row],[stan_po_sprzedazy]]+cukier11[[#This Row],[ile_dokupic]]*1000</f>
        <v>4323</v>
      </c>
    </row>
    <row r="166" spans="1:9" x14ac:dyDescent="0.25">
      <c r="A166" s="1">
        <v>38639</v>
      </c>
      <c r="B166" t="s">
        <v>81</v>
      </c>
      <c r="C166">
        <v>17</v>
      </c>
      <c r="D166">
        <f>MONTH(cukier11[[#This Row],[data]])</f>
        <v>10</v>
      </c>
      <c r="E166">
        <f>IF(D167&lt;&gt;cukier11[[#This Row],[miesiac]],1,0)</f>
        <v>0</v>
      </c>
      <c r="F166">
        <f>IF(AND(H165&lt;5000,cukier11[[#This Row],[czy_nastapiła_zmiana_mies]]=1),ROUNDUP((5000-H165)/1000,0),0)</f>
        <v>0</v>
      </c>
      <c r="G166">
        <f t="shared" si="2"/>
        <v>4323</v>
      </c>
      <c r="H166">
        <f>cukier11[[#This Row],[stan_magazynu]]-cukier11[[#This Row],[sprzedany_cukier]]</f>
        <v>4306</v>
      </c>
      <c r="I166" s="9">
        <f>cukier11[[#This Row],[stan_po_sprzedazy]]+cukier11[[#This Row],[ile_dokupic]]*1000</f>
        <v>4306</v>
      </c>
    </row>
    <row r="167" spans="1:9" x14ac:dyDescent="0.25">
      <c r="A167" s="1">
        <v>38640</v>
      </c>
      <c r="B167" t="s">
        <v>82</v>
      </c>
      <c r="C167">
        <v>17</v>
      </c>
      <c r="D167">
        <f>MONTH(cukier11[[#This Row],[data]])</f>
        <v>10</v>
      </c>
      <c r="E167">
        <f>IF(D168&lt;&gt;cukier11[[#This Row],[miesiac]],1,0)</f>
        <v>0</v>
      </c>
      <c r="F167">
        <f>IF(AND(H166&lt;5000,cukier11[[#This Row],[czy_nastapiła_zmiana_mies]]=1),ROUNDUP((5000-H166)/1000,0),0)</f>
        <v>0</v>
      </c>
      <c r="G167">
        <f t="shared" si="2"/>
        <v>4306</v>
      </c>
      <c r="H167">
        <f>cukier11[[#This Row],[stan_magazynu]]-cukier11[[#This Row],[sprzedany_cukier]]</f>
        <v>4289</v>
      </c>
      <c r="I167" s="9">
        <f>cukier11[[#This Row],[stan_po_sprzedazy]]+cukier11[[#This Row],[ile_dokupic]]*1000</f>
        <v>4289</v>
      </c>
    </row>
    <row r="168" spans="1:9" x14ac:dyDescent="0.25">
      <c r="A168" s="1">
        <v>38643</v>
      </c>
      <c r="B168" t="s">
        <v>83</v>
      </c>
      <c r="C168">
        <v>2</v>
      </c>
      <c r="D168">
        <f>MONTH(cukier11[[#This Row],[data]])</f>
        <v>10</v>
      </c>
      <c r="E168">
        <f>IF(D169&lt;&gt;cukier11[[#This Row],[miesiac]],1,0)</f>
        <v>0</v>
      </c>
      <c r="F168">
        <f>IF(AND(H167&lt;5000,cukier11[[#This Row],[czy_nastapiła_zmiana_mies]]=1),ROUNDUP((5000-H167)/1000,0),0)</f>
        <v>0</v>
      </c>
      <c r="G168">
        <f t="shared" si="2"/>
        <v>4289</v>
      </c>
      <c r="H168">
        <f>cukier11[[#This Row],[stan_magazynu]]-cukier11[[#This Row],[sprzedany_cukier]]</f>
        <v>4287</v>
      </c>
      <c r="I168" s="9">
        <f>cukier11[[#This Row],[stan_po_sprzedazy]]+cukier11[[#This Row],[ile_dokupic]]*1000</f>
        <v>4287</v>
      </c>
    </row>
    <row r="169" spans="1:9" x14ac:dyDescent="0.25">
      <c r="A169" s="1">
        <v>38645</v>
      </c>
      <c r="B169" t="s">
        <v>19</v>
      </c>
      <c r="C169">
        <v>125</v>
      </c>
      <c r="D169">
        <f>MONTH(cukier11[[#This Row],[data]])</f>
        <v>10</v>
      </c>
      <c r="E169">
        <f>IF(D170&lt;&gt;cukier11[[#This Row],[miesiac]],1,0)</f>
        <v>0</v>
      </c>
      <c r="F169">
        <f>IF(AND(H168&lt;5000,cukier11[[#This Row],[czy_nastapiła_zmiana_mies]]=1),ROUNDUP((5000-H168)/1000,0),0)</f>
        <v>0</v>
      </c>
      <c r="G169">
        <f t="shared" si="2"/>
        <v>4287</v>
      </c>
      <c r="H169">
        <f>cukier11[[#This Row],[stan_magazynu]]-cukier11[[#This Row],[sprzedany_cukier]]</f>
        <v>4162</v>
      </c>
      <c r="I169" s="9">
        <f>cukier11[[#This Row],[stan_po_sprzedazy]]+cukier11[[#This Row],[ile_dokupic]]*1000</f>
        <v>4162</v>
      </c>
    </row>
    <row r="170" spans="1:9" x14ac:dyDescent="0.25">
      <c r="A170" s="1">
        <v>38646</v>
      </c>
      <c r="B170" t="s">
        <v>50</v>
      </c>
      <c r="C170">
        <v>234</v>
      </c>
      <c r="D170">
        <f>MONTH(cukier11[[#This Row],[data]])</f>
        <v>10</v>
      </c>
      <c r="E170">
        <f>IF(D171&lt;&gt;cukier11[[#This Row],[miesiac]],1,0)</f>
        <v>0</v>
      </c>
      <c r="F170">
        <f>IF(AND(H169&lt;5000,cukier11[[#This Row],[czy_nastapiła_zmiana_mies]]=1),ROUNDUP((5000-H169)/1000,0),0)</f>
        <v>0</v>
      </c>
      <c r="G170">
        <f t="shared" si="2"/>
        <v>4162</v>
      </c>
      <c r="H170">
        <f>cukier11[[#This Row],[stan_magazynu]]-cukier11[[#This Row],[sprzedany_cukier]]</f>
        <v>3928</v>
      </c>
      <c r="I170" s="9">
        <f>cukier11[[#This Row],[stan_po_sprzedazy]]+cukier11[[#This Row],[ile_dokupic]]*1000</f>
        <v>3928</v>
      </c>
    </row>
    <row r="171" spans="1:9" x14ac:dyDescent="0.25">
      <c r="A171" s="1">
        <v>38652</v>
      </c>
      <c r="B171" t="s">
        <v>69</v>
      </c>
      <c r="C171">
        <v>53</v>
      </c>
      <c r="D171">
        <f>MONTH(cukier11[[#This Row],[data]])</f>
        <v>10</v>
      </c>
      <c r="E171">
        <f>IF(D172&lt;&gt;cukier11[[#This Row],[miesiac]],1,0)</f>
        <v>0</v>
      </c>
      <c r="F171">
        <f>IF(AND(H170&lt;5000,cukier11[[#This Row],[czy_nastapiła_zmiana_mies]]=1),ROUNDUP((5000-H170)/1000,0),0)</f>
        <v>0</v>
      </c>
      <c r="G171">
        <f t="shared" si="2"/>
        <v>3928</v>
      </c>
      <c r="H171">
        <f>cukier11[[#This Row],[stan_magazynu]]-cukier11[[#This Row],[sprzedany_cukier]]</f>
        <v>3875</v>
      </c>
      <c r="I171" s="9">
        <f>cukier11[[#This Row],[stan_po_sprzedazy]]+cukier11[[#This Row],[ile_dokupic]]*1000</f>
        <v>3875</v>
      </c>
    </row>
    <row r="172" spans="1:9" x14ac:dyDescent="0.25">
      <c r="A172" s="1">
        <v>38653</v>
      </c>
      <c r="B172" t="s">
        <v>37</v>
      </c>
      <c r="C172">
        <v>165</v>
      </c>
      <c r="D172">
        <f>MONTH(cukier11[[#This Row],[data]])</f>
        <v>10</v>
      </c>
      <c r="E172">
        <f>IF(D173&lt;&gt;cukier11[[#This Row],[miesiac]],1,0)</f>
        <v>0</v>
      </c>
      <c r="F172">
        <f>IF(AND(H171&lt;5000,cukier11[[#This Row],[czy_nastapiła_zmiana_mies]]=1),ROUNDUP((5000-H171)/1000,0),0)</f>
        <v>0</v>
      </c>
      <c r="G172">
        <f t="shared" si="2"/>
        <v>3875</v>
      </c>
      <c r="H172">
        <f>cukier11[[#This Row],[stan_magazynu]]-cukier11[[#This Row],[sprzedany_cukier]]</f>
        <v>3710</v>
      </c>
      <c r="I172" s="9">
        <f>cukier11[[#This Row],[stan_po_sprzedazy]]+cukier11[[#This Row],[ile_dokupic]]*1000</f>
        <v>3710</v>
      </c>
    </row>
    <row r="173" spans="1:9" x14ac:dyDescent="0.25">
      <c r="A173" s="1">
        <v>38653</v>
      </c>
      <c r="B173" t="s">
        <v>10</v>
      </c>
      <c r="C173">
        <v>177</v>
      </c>
      <c r="D173">
        <f>MONTH(cukier11[[#This Row],[data]])</f>
        <v>10</v>
      </c>
      <c r="E173">
        <f>IF(D174&lt;&gt;cukier11[[#This Row],[miesiac]],1,0)</f>
        <v>0</v>
      </c>
      <c r="F173">
        <f>IF(AND(H172&lt;5000,cukier11[[#This Row],[czy_nastapiła_zmiana_mies]]=1),ROUNDUP((5000-H172)/1000,0),0)</f>
        <v>0</v>
      </c>
      <c r="G173">
        <f t="shared" si="2"/>
        <v>3710</v>
      </c>
      <c r="H173">
        <f>cukier11[[#This Row],[stan_magazynu]]-cukier11[[#This Row],[sprzedany_cukier]]</f>
        <v>3533</v>
      </c>
      <c r="I173" s="9">
        <f>cukier11[[#This Row],[stan_po_sprzedazy]]+cukier11[[#This Row],[ile_dokupic]]*1000</f>
        <v>3533</v>
      </c>
    </row>
    <row r="174" spans="1:9" x14ac:dyDescent="0.25">
      <c r="A174" s="1">
        <v>38655</v>
      </c>
      <c r="B174" t="s">
        <v>18</v>
      </c>
      <c r="C174">
        <v>103</v>
      </c>
      <c r="D174">
        <f>MONTH(cukier11[[#This Row],[data]])</f>
        <v>10</v>
      </c>
      <c r="E174">
        <f>IF(D175&lt;&gt;cukier11[[#This Row],[miesiac]],1,0)</f>
        <v>1</v>
      </c>
      <c r="F174">
        <f>IF(AND(H173&lt;5000,cukier11[[#This Row],[czy_nastapiła_zmiana_mies]]=1),ROUNDUP((5000-H173)/1000,0),0)</f>
        <v>2</v>
      </c>
      <c r="G174">
        <f t="shared" si="2"/>
        <v>3533</v>
      </c>
      <c r="H174">
        <f>cukier11[[#This Row],[stan_magazynu]]-cukier11[[#This Row],[sprzedany_cukier]]</f>
        <v>3430</v>
      </c>
      <c r="I174" s="9">
        <f>cukier11[[#This Row],[stan_po_sprzedazy]]+cukier11[[#This Row],[ile_dokupic]]*1000</f>
        <v>5430</v>
      </c>
    </row>
    <row r="175" spans="1:9" x14ac:dyDescent="0.25">
      <c r="A175" s="1">
        <v>38657</v>
      </c>
      <c r="B175" t="s">
        <v>84</v>
      </c>
      <c r="C175">
        <v>2</v>
      </c>
      <c r="D175">
        <f>MONTH(cukier11[[#This Row],[data]])</f>
        <v>11</v>
      </c>
      <c r="E175">
        <f>IF(D176&lt;&gt;cukier11[[#This Row],[miesiac]],1,0)</f>
        <v>0</v>
      </c>
      <c r="F175">
        <f>IF(AND(H174&lt;5000,cukier11[[#This Row],[czy_nastapiła_zmiana_mies]]=1),ROUNDUP((5000-H174)/1000,0),0)</f>
        <v>0</v>
      </c>
      <c r="G175">
        <f t="shared" si="2"/>
        <v>5430</v>
      </c>
      <c r="H175">
        <f>cukier11[[#This Row],[stan_magazynu]]-cukier11[[#This Row],[sprzedany_cukier]]</f>
        <v>5428</v>
      </c>
      <c r="I175" s="9">
        <f>cukier11[[#This Row],[stan_po_sprzedazy]]+cukier11[[#This Row],[ile_dokupic]]*1000</f>
        <v>5428</v>
      </c>
    </row>
    <row r="176" spans="1:9" x14ac:dyDescent="0.25">
      <c r="A176" s="1">
        <v>38657</v>
      </c>
      <c r="B176" t="s">
        <v>9</v>
      </c>
      <c r="C176">
        <v>279</v>
      </c>
      <c r="D176">
        <f>MONTH(cukier11[[#This Row],[data]])</f>
        <v>11</v>
      </c>
      <c r="E176">
        <f>IF(D177&lt;&gt;cukier11[[#This Row],[miesiac]],1,0)</f>
        <v>0</v>
      </c>
      <c r="F176">
        <f>IF(AND(H175&lt;5000,cukier11[[#This Row],[czy_nastapiła_zmiana_mies]]=1),ROUNDUP((5000-H175)/1000,0),0)</f>
        <v>0</v>
      </c>
      <c r="G176">
        <f t="shared" si="2"/>
        <v>5428</v>
      </c>
      <c r="H176">
        <f>cukier11[[#This Row],[stan_magazynu]]-cukier11[[#This Row],[sprzedany_cukier]]</f>
        <v>5149</v>
      </c>
      <c r="I176" s="9">
        <f>cukier11[[#This Row],[stan_po_sprzedazy]]+cukier11[[#This Row],[ile_dokupic]]*1000</f>
        <v>5149</v>
      </c>
    </row>
    <row r="177" spans="1:9" x14ac:dyDescent="0.25">
      <c r="A177" s="1">
        <v>38662</v>
      </c>
      <c r="B177" t="s">
        <v>30</v>
      </c>
      <c r="C177">
        <v>185</v>
      </c>
      <c r="D177">
        <f>MONTH(cukier11[[#This Row],[data]])</f>
        <v>11</v>
      </c>
      <c r="E177">
        <f>IF(D178&lt;&gt;cukier11[[#This Row],[miesiac]],1,0)</f>
        <v>0</v>
      </c>
      <c r="F177">
        <f>IF(AND(H176&lt;5000,cukier11[[#This Row],[czy_nastapiła_zmiana_mies]]=1),ROUNDUP((5000-H176)/1000,0),0)</f>
        <v>0</v>
      </c>
      <c r="G177">
        <f t="shared" si="2"/>
        <v>5149</v>
      </c>
      <c r="H177">
        <f>cukier11[[#This Row],[stan_magazynu]]-cukier11[[#This Row],[sprzedany_cukier]]</f>
        <v>4964</v>
      </c>
      <c r="I177" s="9">
        <f>cukier11[[#This Row],[stan_po_sprzedazy]]+cukier11[[#This Row],[ile_dokupic]]*1000</f>
        <v>4964</v>
      </c>
    </row>
    <row r="178" spans="1:9" x14ac:dyDescent="0.25">
      <c r="A178" s="1">
        <v>38663</v>
      </c>
      <c r="B178" t="s">
        <v>7</v>
      </c>
      <c r="C178">
        <v>434</v>
      </c>
      <c r="D178">
        <f>MONTH(cukier11[[#This Row],[data]])</f>
        <v>11</v>
      </c>
      <c r="E178">
        <f>IF(D179&lt;&gt;cukier11[[#This Row],[miesiac]],1,0)</f>
        <v>0</v>
      </c>
      <c r="F178">
        <f>IF(AND(H177&lt;5000,cukier11[[#This Row],[czy_nastapiła_zmiana_mies]]=1),ROUNDUP((5000-H177)/1000,0),0)</f>
        <v>0</v>
      </c>
      <c r="G178">
        <f t="shared" si="2"/>
        <v>4964</v>
      </c>
      <c r="H178">
        <f>cukier11[[#This Row],[stan_magazynu]]-cukier11[[#This Row],[sprzedany_cukier]]</f>
        <v>4530</v>
      </c>
      <c r="I178" s="9">
        <f>cukier11[[#This Row],[stan_po_sprzedazy]]+cukier11[[#This Row],[ile_dokupic]]*1000</f>
        <v>4530</v>
      </c>
    </row>
    <row r="179" spans="1:9" x14ac:dyDescent="0.25">
      <c r="A179" s="1">
        <v>38667</v>
      </c>
      <c r="B179" t="s">
        <v>85</v>
      </c>
      <c r="C179">
        <v>10</v>
      </c>
      <c r="D179">
        <f>MONTH(cukier11[[#This Row],[data]])</f>
        <v>11</v>
      </c>
      <c r="E179">
        <f>IF(D180&lt;&gt;cukier11[[#This Row],[miesiac]],1,0)</f>
        <v>0</v>
      </c>
      <c r="F179">
        <f>IF(AND(H178&lt;5000,cukier11[[#This Row],[czy_nastapiła_zmiana_mies]]=1),ROUNDUP((5000-H178)/1000,0),0)</f>
        <v>0</v>
      </c>
      <c r="G179">
        <f t="shared" si="2"/>
        <v>4530</v>
      </c>
      <c r="H179">
        <f>cukier11[[#This Row],[stan_magazynu]]-cukier11[[#This Row],[sprzedany_cukier]]</f>
        <v>4520</v>
      </c>
      <c r="I179" s="9">
        <f>cukier11[[#This Row],[stan_po_sprzedazy]]+cukier11[[#This Row],[ile_dokupic]]*1000</f>
        <v>4520</v>
      </c>
    </row>
    <row r="180" spans="1:9" x14ac:dyDescent="0.25">
      <c r="A180" s="1">
        <v>38669</v>
      </c>
      <c r="B180" t="s">
        <v>86</v>
      </c>
      <c r="C180">
        <v>9</v>
      </c>
      <c r="D180">
        <f>MONTH(cukier11[[#This Row],[data]])</f>
        <v>11</v>
      </c>
      <c r="E180">
        <f>IF(D181&lt;&gt;cukier11[[#This Row],[miesiac]],1,0)</f>
        <v>0</v>
      </c>
      <c r="F180">
        <f>IF(AND(H179&lt;5000,cukier11[[#This Row],[czy_nastapiła_zmiana_mies]]=1),ROUNDUP((5000-H179)/1000,0),0)</f>
        <v>0</v>
      </c>
      <c r="G180">
        <f t="shared" si="2"/>
        <v>4520</v>
      </c>
      <c r="H180">
        <f>cukier11[[#This Row],[stan_magazynu]]-cukier11[[#This Row],[sprzedany_cukier]]</f>
        <v>4511</v>
      </c>
      <c r="I180" s="9">
        <f>cukier11[[#This Row],[stan_po_sprzedazy]]+cukier11[[#This Row],[ile_dokupic]]*1000</f>
        <v>4511</v>
      </c>
    </row>
    <row r="181" spans="1:9" x14ac:dyDescent="0.25">
      <c r="A181" s="1">
        <v>38670</v>
      </c>
      <c r="B181" t="s">
        <v>24</v>
      </c>
      <c r="C181">
        <v>383</v>
      </c>
      <c r="D181">
        <f>MONTH(cukier11[[#This Row],[data]])</f>
        <v>11</v>
      </c>
      <c r="E181">
        <f>IF(D182&lt;&gt;cukier11[[#This Row],[miesiac]],1,0)</f>
        <v>0</v>
      </c>
      <c r="F181">
        <f>IF(AND(H180&lt;5000,cukier11[[#This Row],[czy_nastapiła_zmiana_mies]]=1),ROUNDUP((5000-H180)/1000,0),0)</f>
        <v>0</v>
      </c>
      <c r="G181">
        <f t="shared" si="2"/>
        <v>4511</v>
      </c>
      <c r="H181">
        <f>cukier11[[#This Row],[stan_magazynu]]-cukier11[[#This Row],[sprzedany_cukier]]</f>
        <v>4128</v>
      </c>
      <c r="I181" s="9">
        <f>cukier11[[#This Row],[stan_po_sprzedazy]]+cukier11[[#This Row],[ile_dokupic]]*1000</f>
        <v>4128</v>
      </c>
    </row>
    <row r="182" spans="1:9" x14ac:dyDescent="0.25">
      <c r="A182" s="1">
        <v>38670</v>
      </c>
      <c r="B182" t="s">
        <v>30</v>
      </c>
      <c r="C182">
        <v>189</v>
      </c>
      <c r="D182">
        <f>MONTH(cukier11[[#This Row],[data]])</f>
        <v>11</v>
      </c>
      <c r="E182">
        <f>IF(D183&lt;&gt;cukier11[[#This Row],[miesiac]],1,0)</f>
        <v>0</v>
      </c>
      <c r="F182">
        <f>IF(AND(H181&lt;5000,cukier11[[#This Row],[czy_nastapiła_zmiana_mies]]=1),ROUNDUP((5000-H181)/1000,0),0)</f>
        <v>0</v>
      </c>
      <c r="G182">
        <f t="shared" si="2"/>
        <v>4128</v>
      </c>
      <c r="H182">
        <f>cukier11[[#This Row],[stan_magazynu]]-cukier11[[#This Row],[sprzedany_cukier]]</f>
        <v>3939</v>
      </c>
      <c r="I182" s="9">
        <f>cukier11[[#This Row],[stan_po_sprzedazy]]+cukier11[[#This Row],[ile_dokupic]]*1000</f>
        <v>3939</v>
      </c>
    </row>
    <row r="183" spans="1:9" x14ac:dyDescent="0.25">
      <c r="A183" s="1">
        <v>38672</v>
      </c>
      <c r="B183" t="s">
        <v>12</v>
      </c>
      <c r="C183">
        <v>161</v>
      </c>
      <c r="D183">
        <f>MONTH(cukier11[[#This Row],[data]])</f>
        <v>11</v>
      </c>
      <c r="E183">
        <f>IF(D184&lt;&gt;cukier11[[#This Row],[miesiac]],1,0)</f>
        <v>0</v>
      </c>
      <c r="F183">
        <f>IF(AND(H182&lt;5000,cukier11[[#This Row],[czy_nastapiła_zmiana_mies]]=1),ROUNDUP((5000-H182)/1000,0),0)</f>
        <v>0</v>
      </c>
      <c r="G183">
        <f t="shared" si="2"/>
        <v>3939</v>
      </c>
      <c r="H183">
        <f>cukier11[[#This Row],[stan_magazynu]]-cukier11[[#This Row],[sprzedany_cukier]]</f>
        <v>3778</v>
      </c>
      <c r="I183" s="9">
        <f>cukier11[[#This Row],[stan_po_sprzedazy]]+cukier11[[#This Row],[ile_dokupic]]*1000</f>
        <v>3778</v>
      </c>
    </row>
    <row r="184" spans="1:9" x14ac:dyDescent="0.25">
      <c r="A184" s="1">
        <v>38672</v>
      </c>
      <c r="B184" t="s">
        <v>63</v>
      </c>
      <c r="C184">
        <v>115</v>
      </c>
      <c r="D184">
        <f>MONTH(cukier11[[#This Row],[data]])</f>
        <v>11</v>
      </c>
      <c r="E184">
        <f>IF(D185&lt;&gt;cukier11[[#This Row],[miesiac]],1,0)</f>
        <v>0</v>
      </c>
      <c r="F184">
        <f>IF(AND(H183&lt;5000,cukier11[[#This Row],[czy_nastapiła_zmiana_mies]]=1),ROUNDUP((5000-H183)/1000,0),0)</f>
        <v>0</v>
      </c>
      <c r="G184">
        <f t="shared" si="2"/>
        <v>3778</v>
      </c>
      <c r="H184">
        <f>cukier11[[#This Row],[stan_magazynu]]-cukier11[[#This Row],[sprzedany_cukier]]</f>
        <v>3663</v>
      </c>
      <c r="I184" s="9">
        <f>cukier11[[#This Row],[stan_po_sprzedazy]]+cukier11[[#This Row],[ile_dokupic]]*1000</f>
        <v>3663</v>
      </c>
    </row>
    <row r="185" spans="1:9" x14ac:dyDescent="0.25">
      <c r="A185" s="1">
        <v>38674</v>
      </c>
      <c r="B185" t="s">
        <v>69</v>
      </c>
      <c r="C185">
        <v>58</v>
      </c>
      <c r="D185">
        <f>MONTH(cukier11[[#This Row],[data]])</f>
        <v>11</v>
      </c>
      <c r="E185">
        <f>IF(D186&lt;&gt;cukier11[[#This Row],[miesiac]],1,0)</f>
        <v>0</v>
      </c>
      <c r="F185">
        <f>IF(AND(H184&lt;5000,cukier11[[#This Row],[czy_nastapiła_zmiana_mies]]=1),ROUNDUP((5000-H184)/1000,0),0)</f>
        <v>0</v>
      </c>
      <c r="G185">
        <f t="shared" si="2"/>
        <v>3663</v>
      </c>
      <c r="H185">
        <f>cukier11[[#This Row],[stan_magazynu]]-cukier11[[#This Row],[sprzedany_cukier]]</f>
        <v>3605</v>
      </c>
      <c r="I185" s="9">
        <f>cukier11[[#This Row],[stan_po_sprzedazy]]+cukier11[[#This Row],[ile_dokupic]]*1000</f>
        <v>3605</v>
      </c>
    </row>
    <row r="186" spans="1:9" x14ac:dyDescent="0.25">
      <c r="A186" s="1">
        <v>38674</v>
      </c>
      <c r="B186" t="s">
        <v>87</v>
      </c>
      <c r="C186">
        <v>16</v>
      </c>
      <c r="D186">
        <f>MONTH(cukier11[[#This Row],[data]])</f>
        <v>11</v>
      </c>
      <c r="E186">
        <f>IF(D187&lt;&gt;cukier11[[#This Row],[miesiac]],1,0)</f>
        <v>0</v>
      </c>
      <c r="F186">
        <f>IF(AND(H185&lt;5000,cukier11[[#This Row],[czy_nastapiła_zmiana_mies]]=1),ROUNDUP((5000-H185)/1000,0),0)</f>
        <v>0</v>
      </c>
      <c r="G186">
        <f t="shared" si="2"/>
        <v>3605</v>
      </c>
      <c r="H186">
        <f>cukier11[[#This Row],[stan_magazynu]]-cukier11[[#This Row],[sprzedany_cukier]]</f>
        <v>3589</v>
      </c>
      <c r="I186" s="9">
        <f>cukier11[[#This Row],[stan_po_sprzedazy]]+cukier11[[#This Row],[ile_dokupic]]*1000</f>
        <v>3589</v>
      </c>
    </row>
    <row r="187" spans="1:9" x14ac:dyDescent="0.25">
      <c r="A187" s="1">
        <v>38675</v>
      </c>
      <c r="B187" t="s">
        <v>53</v>
      </c>
      <c r="C187">
        <v>17</v>
      </c>
      <c r="D187">
        <f>MONTH(cukier11[[#This Row],[data]])</f>
        <v>11</v>
      </c>
      <c r="E187">
        <f>IF(D188&lt;&gt;cukier11[[#This Row],[miesiac]],1,0)</f>
        <v>0</v>
      </c>
      <c r="F187">
        <f>IF(AND(H186&lt;5000,cukier11[[#This Row],[czy_nastapiła_zmiana_mies]]=1),ROUNDUP((5000-H186)/1000,0),0)</f>
        <v>0</v>
      </c>
      <c r="G187">
        <f t="shared" si="2"/>
        <v>3589</v>
      </c>
      <c r="H187">
        <f>cukier11[[#This Row],[stan_magazynu]]-cukier11[[#This Row],[sprzedany_cukier]]</f>
        <v>3572</v>
      </c>
      <c r="I187" s="9">
        <f>cukier11[[#This Row],[stan_po_sprzedazy]]+cukier11[[#This Row],[ile_dokupic]]*1000</f>
        <v>3572</v>
      </c>
    </row>
    <row r="188" spans="1:9" x14ac:dyDescent="0.25">
      <c r="A188" s="1">
        <v>38676</v>
      </c>
      <c r="B188" t="s">
        <v>5</v>
      </c>
      <c r="C188">
        <v>177</v>
      </c>
      <c r="D188">
        <f>MONTH(cukier11[[#This Row],[data]])</f>
        <v>11</v>
      </c>
      <c r="E188">
        <f>IF(D189&lt;&gt;cukier11[[#This Row],[miesiac]],1,0)</f>
        <v>0</v>
      </c>
      <c r="F188">
        <f>IF(AND(H187&lt;5000,cukier11[[#This Row],[czy_nastapiła_zmiana_mies]]=1),ROUNDUP((5000-H187)/1000,0),0)</f>
        <v>0</v>
      </c>
      <c r="G188">
        <f t="shared" si="2"/>
        <v>3572</v>
      </c>
      <c r="H188">
        <f>cukier11[[#This Row],[stan_magazynu]]-cukier11[[#This Row],[sprzedany_cukier]]</f>
        <v>3395</v>
      </c>
      <c r="I188" s="9">
        <f>cukier11[[#This Row],[stan_po_sprzedazy]]+cukier11[[#This Row],[ile_dokupic]]*1000</f>
        <v>3395</v>
      </c>
    </row>
    <row r="189" spans="1:9" x14ac:dyDescent="0.25">
      <c r="A189" s="1">
        <v>38677</v>
      </c>
      <c r="B189" t="s">
        <v>78</v>
      </c>
      <c r="C189">
        <v>33</v>
      </c>
      <c r="D189">
        <f>MONTH(cukier11[[#This Row],[data]])</f>
        <v>11</v>
      </c>
      <c r="E189">
        <f>IF(D190&lt;&gt;cukier11[[#This Row],[miesiac]],1,0)</f>
        <v>0</v>
      </c>
      <c r="F189">
        <f>IF(AND(H188&lt;5000,cukier11[[#This Row],[czy_nastapiła_zmiana_mies]]=1),ROUNDUP((5000-H188)/1000,0),0)</f>
        <v>0</v>
      </c>
      <c r="G189">
        <f t="shared" si="2"/>
        <v>3395</v>
      </c>
      <c r="H189">
        <f>cukier11[[#This Row],[stan_magazynu]]-cukier11[[#This Row],[sprzedany_cukier]]</f>
        <v>3362</v>
      </c>
      <c r="I189" s="9">
        <f>cukier11[[#This Row],[stan_po_sprzedazy]]+cukier11[[#This Row],[ile_dokupic]]*1000</f>
        <v>3362</v>
      </c>
    </row>
    <row r="190" spans="1:9" x14ac:dyDescent="0.25">
      <c r="A190" s="1">
        <v>38680</v>
      </c>
      <c r="B190" t="s">
        <v>18</v>
      </c>
      <c r="C190">
        <v>60</v>
      </c>
      <c r="D190">
        <f>MONTH(cukier11[[#This Row],[data]])</f>
        <v>11</v>
      </c>
      <c r="E190">
        <f>IF(D191&lt;&gt;cukier11[[#This Row],[miesiac]],1,0)</f>
        <v>0</v>
      </c>
      <c r="F190">
        <f>IF(AND(H189&lt;5000,cukier11[[#This Row],[czy_nastapiła_zmiana_mies]]=1),ROUNDUP((5000-H189)/1000,0),0)</f>
        <v>0</v>
      </c>
      <c r="G190">
        <f t="shared" si="2"/>
        <v>3362</v>
      </c>
      <c r="H190">
        <f>cukier11[[#This Row],[stan_magazynu]]-cukier11[[#This Row],[sprzedany_cukier]]</f>
        <v>3302</v>
      </c>
      <c r="I190" s="9">
        <f>cukier11[[#This Row],[stan_po_sprzedazy]]+cukier11[[#This Row],[ile_dokupic]]*1000</f>
        <v>3302</v>
      </c>
    </row>
    <row r="191" spans="1:9" x14ac:dyDescent="0.25">
      <c r="A191" s="1">
        <v>38682</v>
      </c>
      <c r="B191" t="s">
        <v>88</v>
      </c>
      <c r="C191">
        <v>8</v>
      </c>
      <c r="D191">
        <f>MONTH(cukier11[[#This Row],[data]])</f>
        <v>11</v>
      </c>
      <c r="E191">
        <f>IF(D192&lt;&gt;cukier11[[#This Row],[miesiac]],1,0)</f>
        <v>1</v>
      </c>
      <c r="F191">
        <f>IF(AND(H190&lt;5000,cukier11[[#This Row],[czy_nastapiła_zmiana_mies]]=1),ROUNDUP((5000-H190)/1000,0),0)</f>
        <v>2</v>
      </c>
      <c r="G191">
        <f t="shared" si="2"/>
        <v>3302</v>
      </c>
      <c r="H191">
        <f>cukier11[[#This Row],[stan_magazynu]]-cukier11[[#This Row],[sprzedany_cukier]]</f>
        <v>3294</v>
      </c>
      <c r="I191" s="9">
        <f>cukier11[[#This Row],[stan_po_sprzedazy]]+cukier11[[#This Row],[ile_dokupic]]*1000</f>
        <v>5294</v>
      </c>
    </row>
    <row r="192" spans="1:9" x14ac:dyDescent="0.25">
      <c r="A192" s="1">
        <v>38687</v>
      </c>
      <c r="B192" t="s">
        <v>9</v>
      </c>
      <c r="C192">
        <v>317</v>
      </c>
      <c r="D192">
        <f>MONTH(cukier11[[#This Row],[data]])</f>
        <v>12</v>
      </c>
      <c r="E192">
        <f>IF(D193&lt;&gt;cukier11[[#This Row],[miesiac]],1,0)</f>
        <v>0</v>
      </c>
      <c r="F192">
        <f>IF(AND(H191&lt;5000,cukier11[[#This Row],[czy_nastapiła_zmiana_mies]]=1),ROUNDUP((5000-H191)/1000,0),0)</f>
        <v>0</v>
      </c>
      <c r="G192">
        <f t="shared" si="2"/>
        <v>5294</v>
      </c>
      <c r="H192">
        <f>cukier11[[#This Row],[stan_magazynu]]-cukier11[[#This Row],[sprzedany_cukier]]</f>
        <v>4977</v>
      </c>
      <c r="I192" s="9">
        <f>cukier11[[#This Row],[stan_po_sprzedazy]]+cukier11[[#This Row],[ile_dokupic]]*1000</f>
        <v>4977</v>
      </c>
    </row>
    <row r="193" spans="1:9" x14ac:dyDescent="0.25">
      <c r="A193" s="1">
        <v>38689</v>
      </c>
      <c r="B193" t="s">
        <v>89</v>
      </c>
      <c r="C193">
        <v>3</v>
      </c>
      <c r="D193">
        <f>MONTH(cukier11[[#This Row],[data]])</f>
        <v>12</v>
      </c>
      <c r="E193">
        <f>IF(D194&lt;&gt;cukier11[[#This Row],[miesiac]],1,0)</f>
        <v>0</v>
      </c>
      <c r="F193">
        <f>IF(AND(H192&lt;5000,cukier11[[#This Row],[czy_nastapiła_zmiana_mies]]=1),ROUNDUP((5000-H192)/1000,0),0)</f>
        <v>0</v>
      </c>
      <c r="G193">
        <f t="shared" si="2"/>
        <v>4977</v>
      </c>
      <c r="H193">
        <f>cukier11[[#This Row],[stan_magazynu]]-cukier11[[#This Row],[sprzedany_cukier]]</f>
        <v>4974</v>
      </c>
      <c r="I193" s="9">
        <f>cukier11[[#This Row],[stan_po_sprzedazy]]+cukier11[[#This Row],[ile_dokupic]]*1000</f>
        <v>4974</v>
      </c>
    </row>
    <row r="194" spans="1:9" x14ac:dyDescent="0.25">
      <c r="A194" s="1">
        <v>38691</v>
      </c>
      <c r="B194" t="s">
        <v>90</v>
      </c>
      <c r="C194">
        <v>16</v>
      </c>
      <c r="D194">
        <f>MONTH(cukier11[[#This Row],[data]])</f>
        <v>12</v>
      </c>
      <c r="E194">
        <f>IF(D195&lt;&gt;cukier11[[#This Row],[miesiac]],1,0)</f>
        <v>0</v>
      </c>
      <c r="F194">
        <f>IF(AND(H193&lt;5000,cukier11[[#This Row],[czy_nastapiła_zmiana_mies]]=1),ROUNDUP((5000-H193)/1000,0),0)</f>
        <v>0</v>
      </c>
      <c r="G194">
        <f t="shared" si="2"/>
        <v>4974</v>
      </c>
      <c r="H194">
        <f>cukier11[[#This Row],[stan_magazynu]]-cukier11[[#This Row],[sprzedany_cukier]]</f>
        <v>4958</v>
      </c>
      <c r="I194" s="9">
        <f>cukier11[[#This Row],[stan_po_sprzedazy]]+cukier11[[#This Row],[ile_dokupic]]*1000</f>
        <v>4958</v>
      </c>
    </row>
    <row r="195" spans="1:9" x14ac:dyDescent="0.25">
      <c r="A195" s="1">
        <v>38700</v>
      </c>
      <c r="B195" t="s">
        <v>65</v>
      </c>
      <c r="C195">
        <v>2</v>
      </c>
      <c r="D195">
        <f>MONTH(cukier11[[#This Row],[data]])</f>
        <v>12</v>
      </c>
      <c r="E195">
        <f>IF(D196&lt;&gt;cukier11[[#This Row],[miesiac]],1,0)</f>
        <v>0</v>
      </c>
      <c r="F195">
        <f>IF(AND(H194&lt;5000,cukier11[[#This Row],[czy_nastapiła_zmiana_mies]]=1),ROUNDUP((5000-H194)/1000,0),0)</f>
        <v>0</v>
      </c>
      <c r="G195">
        <f t="shared" si="2"/>
        <v>4958</v>
      </c>
      <c r="H195">
        <f>cukier11[[#This Row],[stan_magazynu]]-cukier11[[#This Row],[sprzedany_cukier]]</f>
        <v>4956</v>
      </c>
      <c r="I195" s="9">
        <f>cukier11[[#This Row],[stan_po_sprzedazy]]+cukier11[[#This Row],[ile_dokupic]]*1000</f>
        <v>4956</v>
      </c>
    </row>
    <row r="196" spans="1:9" x14ac:dyDescent="0.25">
      <c r="A196" s="1">
        <v>38705</v>
      </c>
      <c r="B196" t="s">
        <v>10</v>
      </c>
      <c r="C196">
        <v>161</v>
      </c>
      <c r="D196">
        <f>MONTH(cukier11[[#This Row],[data]])</f>
        <v>12</v>
      </c>
      <c r="E196">
        <f>IF(D197&lt;&gt;cukier11[[#This Row],[miesiac]],1,0)</f>
        <v>0</v>
      </c>
      <c r="F196">
        <f>IF(AND(H195&lt;5000,cukier11[[#This Row],[czy_nastapiła_zmiana_mies]]=1),ROUNDUP((5000-H195)/1000,0),0)</f>
        <v>0</v>
      </c>
      <c r="G196">
        <f t="shared" ref="G196:G259" si="3">I195</f>
        <v>4956</v>
      </c>
      <c r="H196">
        <f>cukier11[[#This Row],[stan_magazynu]]-cukier11[[#This Row],[sprzedany_cukier]]</f>
        <v>4795</v>
      </c>
      <c r="I196" s="9">
        <f>cukier11[[#This Row],[stan_po_sprzedazy]]+cukier11[[#This Row],[ile_dokupic]]*1000</f>
        <v>4795</v>
      </c>
    </row>
    <row r="197" spans="1:9" x14ac:dyDescent="0.25">
      <c r="A197" s="1">
        <v>38708</v>
      </c>
      <c r="B197" t="s">
        <v>37</v>
      </c>
      <c r="C197">
        <v>187</v>
      </c>
      <c r="D197">
        <f>MONTH(cukier11[[#This Row],[data]])</f>
        <v>12</v>
      </c>
      <c r="E197">
        <f>IF(D198&lt;&gt;cukier11[[#This Row],[miesiac]],1,0)</f>
        <v>0</v>
      </c>
      <c r="F197">
        <f>IF(AND(H196&lt;5000,cukier11[[#This Row],[czy_nastapiła_zmiana_mies]]=1),ROUNDUP((5000-H196)/1000,0),0)</f>
        <v>0</v>
      </c>
      <c r="G197">
        <f t="shared" si="3"/>
        <v>4795</v>
      </c>
      <c r="H197">
        <f>cukier11[[#This Row],[stan_magazynu]]-cukier11[[#This Row],[sprzedany_cukier]]</f>
        <v>4608</v>
      </c>
      <c r="I197" s="9">
        <f>cukier11[[#This Row],[stan_po_sprzedazy]]+cukier11[[#This Row],[ile_dokupic]]*1000</f>
        <v>4608</v>
      </c>
    </row>
    <row r="198" spans="1:9" x14ac:dyDescent="0.25">
      <c r="A198" s="1">
        <v>38708</v>
      </c>
      <c r="B198" t="s">
        <v>91</v>
      </c>
      <c r="C198">
        <v>17</v>
      </c>
      <c r="D198">
        <f>MONTH(cukier11[[#This Row],[data]])</f>
        <v>12</v>
      </c>
      <c r="E198">
        <f>IF(D199&lt;&gt;cukier11[[#This Row],[miesiac]],1,0)</f>
        <v>0</v>
      </c>
      <c r="F198">
        <f>IF(AND(H197&lt;5000,cukier11[[#This Row],[czy_nastapiła_zmiana_mies]]=1),ROUNDUP((5000-H197)/1000,0),0)</f>
        <v>0</v>
      </c>
      <c r="G198">
        <f t="shared" si="3"/>
        <v>4608</v>
      </c>
      <c r="H198">
        <f>cukier11[[#This Row],[stan_magazynu]]-cukier11[[#This Row],[sprzedany_cukier]]</f>
        <v>4591</v>
      </c>
      <c r="I198" s="9">
        <f>cukier11[[#This Row],[stan_po_sprzedazy]]+cukier11[[#This Row],[ile_dokupic]]*1000</f>
        <v>4591</v>
      </c>
    </row>
    <row r="199" spans="1:9" x14ac:dyDescent="0.25">
      <c r="A199" s="1">
        <v>38709</v>
      </c>
      <c r="B199" t="s">
        <v>92</v>
      </c>
      <c r="C199">
        <v>5</v>
      </c>
      <c r="D199">
        <f>MONTH(cukier11[[#This Row],[data]])</f>
        <v>12</v>
      </c>
      <c r="E199">
        <f>IF(D200&lt;&gt;cukier11[[#This Row],[miesiac]],1,0)</f>
        <v>0</v>
      </c>
      <c r="F199">
        <f>IF(AND(H198&lt;5000,cukier11[[#This Row],[czy_nastapiła_zmiana_mies]]=1),ROUNDUP((5000-H198)/1000,0),0)</f>
        <v>0</v>
      </c>
      <c r="G199">
        <f t="shared" si="3"/>
        <v>4591</v>
      </c>
      <c r="H199">
        <f>cukier11[[#This Row],[stan_magazynu]]-cukier11[[#This Row],[sprzedany_cukier]]</f>
        <v>4586</v>
      </c>
      <c r="I199" s="9">
        <f>cukier11[[#This Row],[stan_po_sprzedazy]]+cukier11[[#This Row],[ile_dokupic]]*1000</f>
        <v>4586</v>
      </c>
    </row>
    <row r="200" spans="1:9" x14ac:dyDescent="0.25">
      <c r="A200" s="1">
        <v>38711</v>
      </c>
      <c r="B200" t="s">
        <v>53</v>
      </c>
      <c r="C200">
        <v>10</v>
      </c>
      <c r="D200">
        <f>MONTH(cukier11[[#This Row],[data]])</f>
        <v>12</v>
      </c>
      <c r="E200">
        <f>IF(D201&lt;&gt;cukier11[[#This Row],[miesiac]],1,0)</f>
        <v>0</v>
      </c>
      <c r="F200">
        <f>IF(AND(H199&lt;5000,cukier11[[#This Row],[czy_nastapiła_zmiana_mies]]=1),ROUNDUP((5000-H199)/1000,0),0)</f>
        <v>0</v>
      </c>
      <c r="G200">
        <f t="shared" si="3"/>
        <v>4586</v>
      </c>
      <c r="H200">
        <f>cukier11[[#This Row],[stan_magazynu]]-cukier11[[#This Row],[sprzedany_cukier]]</f>
        <v>4576</v>
      </c>
      <c r="I200" s="9">
        <f>cukier11[[#This Row],[stan_po_sprzedazy]]+cukier11[[#This Row],[ile_dokupic]]*1000</f>
        <v>4576</v>
      </c>
    </row>
    <row r="201" spans="1:9" x14ac:dyDescent="0.25">
      <c r="A201" s="1">
        <v>38711</v>
      </c>
      <c r="B201" t="s">
        <v>14</v>
      </c>
      <c r="C201">
        <v>225</v>
      </c>
      <c r="D201">
        <f>MONTH(cukier11[[#This Row],[data]])</f>
        <v>12</v>
      </c>
      <c r="E201">
        <f>IF(D202&lt;&gt;cukier11[[#This Row],[miesiac]],1,0)</f>
        <v>0</v>
      </c>
      <c r="F201">
        <f>IF(AND(H200&lt;5000,cukier11[[#This Row],[czy_nastapiła_zmiana_mies]]=1),ROUNDUP((5000-H200)/1000,0),0)</f>
        <v>0</v>
      </c>
      <c r="G201">
        <f t="shared" si="3"/>
        <v>4576</v>
      </c>
      <c r="H201">
        <f>cukier11[[#This Row],[stan_magazynu]]-cukier11[[#This Row],[sprzedany_cukier]]</f>
        <v>4351</v>
      </c>
      <c r="I201" s="9">
        <f>cukier11[[#This Row],[stan_po_sprzedazy]]+cukier11[[#This Row],[ile_dokupic]]*1000</f>
        <v>4351</v>
      </c>
    </row>
    <row r="202" spans="1:9" x14ac:dyDescent="0.25">
      <c r="A202" s="1">
        <v>38716</v>
      </c>
      <c r="B202" t="s">
        <v>17</v>
      </c>
      <c r="C202">
        <v>367</v>
      </c>
      <c r="D202">
        <f>MONTH(cukier11[[#This Row],[data]])</f>
        <v>12</v>
      </c>
      <c r="E202">
        <f>IF(D203&lt;&gt;cukier11[[#This Row],[miesiac]],1,0)</f>
        <v>1</v>
      </c>
      <c r="F202">
        <f>IF(AND(H201&lt;5000,cukier11[[#This Row],[czy_nastapiła_zmiana_mies]]=1),ROUNDUP((5000-H201)/1000,0),0)</f>
        <v>1</v>
      </c>
      <c r="G202">
        <f t="shared" si="3"/>
        <v>4351</v>
      </c>
      <c r="H202">
        <f>cukier11[[#This Row],[stan_magazynu]]-cukier11[[#This Row],[sprzedany_cukier]]</f>
        <v>3984</v>
      </c>
      <c r="I202" s="9">
        <f>cukier11[[#This Row],[stan_po_sprzedazy]]+cukier11[[#This Row],[ile_dokupic]]*1000</f>
        <v>4984</v>
      </c>
    </row>
    <row r="203" spans="1:9" x14ac:dyDescent="0.25">
      <c r="A203" s="1">
        <v>38721</v>
      </c>
      <c r="B203" t="s">
        <v>14</v>
      </c>
      <c r="C203">
        <v>295</v>
      </c>
      <c r="D203">
        <f>MONTH(cukier11[[#This Row],[data]])</f>
        <v>1</v>
      </c>
      <c r="E203">
        <f>IF(D204&lt;&gt;cukier11[[#This Row],[miesiac]],1,0)</f>
        <v>0</v>
      </c>
      <c r="F203">
        <f>IF(AND(H202&lt;5000,cukier11[[#This Row],[czy_nastapiła_zmiana_mies]]=1),ROUNDUP((5000-H202)/1000,0),0)</f>
        <v>0</v>
      </c>
      <c r="G203">
        <f t="shared" si="3"/>
        <v>4984</v>
      </c>
      <c r="H203">
        <f>cukier11[[#This Row],[stan_magazynu]]-cukier11[[#This Row],[sprzedany_cukier]]</f>
        <v>4689</v>
      </c>
      <c r="I203" s="9">
        <f>cukier11[[#This Row],[stan_po_sprzedazy]]+cukier11[[#This Row],[ile_dokupic]]*1000</f>
        <v>4689</v>
      </c>
    </row>
    <row r="204" spans="1:9" x14ac:dyDescent="0.25">
      <c r="A204" s="1">
        <v>38725</v>
      </c>
      <c r="B204" t="s">
        <v>55</v>
      </c>
      <c r="C204">
        <v>26</v>
      </c>
      <c r="D204">
        <f>MONTH(cukier11[[#This Row],[data]])</f>
        <v>1</v>
      </c>
      <c r="E204">
        <f>IF(D205&lt;&gt;cukier11[[#This Row],[miesiac]],1,0)</f>
        <v>0</v>
      </c>
      <c r="F204">
        <f>IF(AND(H203&lt;5000,cukier11[[#This Row],[czy_nastapiła_zmiana_mies]]=1),ROUNDUP((5000-H203)/1000,0),0)</f>
        <v>0</v>
      </c>
      <c r="G204">
        <f t="shared" si="3"/>
        <v>4689</v>
      </c>
      <c r="H204">
        <f>cukier11[[#This Row],[stan_magazynu]]-cukier11[[#This Row],[sprzedany_cukier]]</f>
        <v>4663</v>
      </c>
      <c r="I204" s="9">
        <f>cukier11[[#This Row],[stan_po_sprzedazy]]+cukier11[[#This Row],[ile_dokupic]]*1000</f>
        <v>4663</v>
      </c>
    </row>
    <row r="205" spans="1:9" x14ac:dyDescent="0.25">
      <c r="A205" s="1">
        <v>38725</v>
      </c>
      <c r="B205" t="s">
        <v>93</v>
      </c>
      <c r="C205">
        <v>16</v>
      </c>
      <c r="D205">
        <f>MONTH(cukier11[[#This Row],[data]])</f>
        <v>1</v>
      </c>
      <c r="E205">
        <f>IF(D206&lt;&gt;cukier11[[#This Row],[miesiac]],1,0)</f>
        <v>0</v>
      </c>
      <c r="F205">
        <f>IF(AND(H204&lt;5000,cukier11[[#This Row],[czy_nastapiła_zmiana_mies]]=1),ROUNDUP((5000-H204)/1000,0),0)</f>
        <v>0</v>
      </c>
      <c r="G205">
        <f t="shared" si="3"/>
        <v>4663</v>
      </c>
      <c r="H205">
        <f>cukier11[[#This Row],[stan_magazynu]]-cukier11[[#This Row],[sprzedany_cukier]]</f>
        <v>4647</v>
      </c>
      <c r="I205" s="9">
        <f>cukier11[[#This Row],[stan_po_sprzedazy]]+cukier11[[#This Row],[ile_dokupic]]*1000</f>
        <v>4647</v>
      </c>
    </row>
    <row r="206" spans="1:9" x14ac:dyDescent="0.25">
      <c r="A206" s="1">
        <v>38729</v>
      </c>
      <c r="B206" t="s">
        <v>9</v>
      </c>
      <c r="C206">
        <v>165</v>
      </c>
      <c r="D206">
        <f>MONTH(cukier11[[#This Row],[data]])</f>
        <v>1</v>
      </c>
      <c r="E206">
        <f>IF(D207&lt;&gt;cukier11[[#This Row],[miesiac]],1,0)</f>
        <v>0</v>
      </c>
      <c r="F206">
        <f>IF(AND(H205&lt;5000,cukier11[[#This Row],[czy_nastapiła_zmiana_mies]]=1),ROUNDUP((5000-H205)/1000,0),0)</f>
        <v>0</v>
      </c>
      <c r="G206">
        <f t="shared" si="3"/>
        <v>4647</v>
      </c>
      <c r="H206">
        <f>cukier11[[#This Row],[stan_magazynu]]-cukier11[[#This Row],[sprzedany_cukier]]</f>
        <v>4482</v>
      </c>
      <c r="I206" s="9">
        <f>cukier11[[#This Row],[stan_po_sprzedazy]]+cukier11[[#This Row],[ile_dokupic]]*1000</f>
        <v>4482</v>
      </c>
    </row>
    <row r="207" spans="1:9" x14ac:dyDescent="0.25">
      <c r="A207" s="1">
        <v>38729</v>
      </c>
      <c r="B207" t="s">
        <v>94</v>
      </c>
      <c r="C207">
        <v>20</v>
      </c>
      <c r="D207">
        <f>MONTH(cukier11[[#This Row],[data]])</f>
        <v>1</v>
      </c>
      <c r="E207">
        <f>IF(D208&lt;&gt;cukier11[[#This Row],[miesiac]],1,0)</f>
        <v>0</v>
      </c>
      <c r="F207">
        <f>IF(AND(H206&lt;5000,cukier11[[#This Row],[czy_nastapiła_zmiana_mies]]=1),ROUNDUP((5000-H206)/1000,0),0)</f>
        <v>0</v>
      </c>
      <c r="G207">
        <f t="shared" si="3"/>
        <v>4482</v>
      </c>
      <c r="H207">
        <f>cukier11[[#This Row],[stan_magazynu]]-cukier11[[#This Row],[sprzedany_cukier]]</f>
        <v>4462</v>
      </c>
      <c r="I207" s="9">
        <f>cukier11[[#This Row],[stan_po_sprzedazy]]+cukier11[[#This Row],[ile_dokupic]]*1000</f>
        <v>4462</v>
      </c>
    </row>
    <row r="208" spans="1:9" x14ac:dyDescent="0.25">
      <c r="A208" s="1">
        <v>38734</v>
      </c>
      <c r="B208" t="s">
        <v>95</v>
      </c>
      <c r="C208">
        <v>2</v>
      </c>
      <c r="D208">
        <f>MONTH(cukier11[[#This Row],[data]])</f>
        <v>1</v>
      </c>
      <c r="E208">
        <f>IF(D209&lt;&gt;cukier11[[#This Row],[miesiac]],1,0)</f>
        <v>0</v>
      </c>
      <c r="F208">
        <f>IF(AND(H207&lt;5000,cukier11[[#This Row],[czy_nastapiła_zmiana_mies]]=1),ROUNDUP((5000-H207)/1000,0),0)</f>
        <v>0</v>
      </c>
      <c r="G208">
        <f t="shared" si="3"/>
        <v>4462</v>
      </c>
      <c r="H208">
        <f>cukier11[[#This Row],[stan_magazynu]]-cukier11[[#This Row],[sprzedany_cukier]]</f>
        <v>4460</v>
      </c>
      <c r="I208" s="9">
        <f>cukier11[[#This Row],[stan_po_sprzedazy]]+cukier11[[#This Row],[ile_dokupic]]*1000</f>
        <v>4460</v>
      </c>
    </row>
    <row r="209" spans="1:9" x14ac:dyDescent="0.25">
      <c r="A209" s="1">
        <v>38734</v>
      </c>
      <c r="B209" t="s">
        <v>96</v>
      </c>
      <c r="C209">
        <v>7</v>
      </c>
      <c r="D209">
        <f>MONTH(cukier11[[#This Row],[data]])</f>
        <v>1</v>
      </c>
      <c r="E209">
        <f>IF(D210&lt;&gt;cukier11[[#This Row],[miesiac]],1,0)</f>
        <v>0</v>
      </c>
      <c r="F209">
        <f>IF(AND(H208&lt;5000,cukier11[[#This Row],[czy_nastapiła_zmiana_mies]]=1),ROUNDUP((5000-H208)/1000,0),0)</f>
        <v>0</v>
      </c>
      <c r="G209">
        <f t="shared" si="3"/>
        <v>4460</v>
      </c>
      <c r="H209">
        <f>cukier11[[#This Row],[stan_magazynu]]-cukier11[[#This Row],[sprzedany_cukier]]</f>
        <v>4453</v>
      </c>
      <c r="I209" s="9">
        <f>cukier11[[#This Row],[stan_po_sprzedazy]]+cukier11[[#This Row],[ile_dokupic]]*1000</f>
        <v>4453</v>
      </c>
    </row>
    <row r="210" spans="1:9" x14ac:dyDescent="0.25">
      <c r="A210" s="1">
        <v>38734</v>
      </c>
      <c r="B210" t="s">
        <v>29</v>
      </c>
      <c r="C210">
        <v>7</v>
      </c>
      <c r="D210">
        <f>MONTH(cukier11[[#This Row],[data]])</f>
        <v>1</v>
      </c>
      <c r="E210">
        <f>IF(D211&lt;&gt;cukier11[[#This Row],[miesiac]],1,0)</f>
        <v>0</v>
      </c>
      <c r="F210">
        <f>IF(AND(H209&lt;5000,cukier11[[#This Row],[czy_nastapiła_zmiana_mies]]=1),ROUNDUP((5000-H209)/1000,0),0)</f>
        <v>0</v>
      </c>
      <c r="G210">
        <f t="shared" si="3"/>
        <v>4453</v>
      </c>
      <c r="H210">
        <f>cukier11[[#This Row],[stan_magazynu]]-cukier11[[#This Row],[sprzedany_cukier]]</f>
        <v>4446</v>
      </c>
      <c r="I210" s="9">
        <f>cukier11[[#This Row],[stan_po_sprzedazy]]+cukier11[[#This Row],[ile_dokupic]]*1000</f>
        <v>4446</v>
      </c>
    </row>
    <row r="211" spans="1:9" x14ac:dyDescent="0.25">
      <c r="A211" s="1">
        <v>38734</v>
      </c>
      <c r="B211" t="s">
        <v>78</v>
      </c>
      <c r="C211">
        <v>72</v>
      </c>
      <c r="D211">
        <f>MONTH(cukier11[[#This Row],[data]])</f>
        <v>1</v>
      </c>
      <c r="E211">
        <f>IF(D212&lt;&gt;cukier11[[#This Row],[miesiac]],1,0)</f>
        <v>0</v>
      </c>
      <c r="F211">
        <f>IF(AND(H210&lt;5000,cukier11[[#This Row],[czy_nastapiła_zmiana_mies]]=1),ROUNDUP((5000-H210)/1000,0),0)</f>
        <v>0</v>
      </c>
      <c r="G211">
        <f t="shared" si="3"/>
        <v>4446</v>
      </c>
      <c r="H211">
        <f>cukier11[[#This Row],[stan_magazynu]]-cukier11[[#This Row],[sprzedany_cukier]]</f>
        <v>4374</v>
      </c>
      <c r="I211" s="9">
        <f>cukier11[[#This Row],[stan_po_sprzedazy]]+cukier11[[#This Row],[ile_dokupic]]*1000</f>
        <v>4374</v>
      </c>
    </row>
    <row r="212" spans="1:9" x14ac:dyDescent="0.25">
      <c r="A212" s="1">
        <v>38735</v>
      </c>
      <c r="B212" t="s">
        <v>71</v>
      </c>
      <c r="C212">
        <v>59</v>
      </c>
      <c r="D212">
        <f>MONTH(cukier11[[#This Row],[data]])</f>
        <v>1</v>
      </c>
      <c r="E212">
        <f>IF(D213&lt;&gt;cukier11[[#This Row],[miesiac]],1,0)</f>
        <v>0</v>
      </c>
      <c r="F212">
        <f>IF(AND(H211&lt;5000,cukier11[[#This Row],[czy_nastapiła_zmiana_mies]]=1),ROUNDUP((5000-H211)/1000,0),0)</f>
        <v>0</v>
      </c>
      <c r="G212">
        <f t="shared" si="3"/>
        <v>4374</v>
      </c>
      <c r="H212">
        <f>cukier11[[#This Row],[stan_magazynu]]-cukier11[[#This Row],[sprzedany_cukier]]</f>
        <v>4315</v>
      </c>
      <c r="I212" s="9">
        <f>cukier11[[#This Row],[stan_po_sprzedazy]]+cukier11[[#This Row],[ile_dokupic]]*1000</f>
        <v>4315</v>
      </c>
    </row>
    <row r="213" spans="1:9" x14ac:dyDescent="0.25">
      <c r="A213" s="1">
        <v>38736</v>
      </c>
      <c r="B213" t="s">
        <v>45</v>
      </c>
      <c r="C213">
        <v>212</v>
      </c>
      <c r="D213">
        <f>MONTH(cukier11[[#This Row],[data]])</f>
        <v>1</v>
      </c>
      <c r="E213">
        <f>IF(D214&lt;&gt;cukier11[[#This Row],[miesiac]],1,0)</f>
        <v>0</v>
      </c>
      <c r="F213">
        <f>IF(AND(H212&lt;5000,cukier11[[#This Row],[czy_nastapiła_zmiana_mies]]=1),ROUNDUP((5000-H212)/1000,0),0)</f>
        <v>0</v>
      </c>
      <c r="G213">
        <f t="shared" si="3"/>
        <v>4315</v>
      </c>
      <c r="H213">
        <f>cukier11[[#This Row],[stan_magazynu]]-cukier11[[#This Row],[sprzedany_cukier]]</f>
        <v>4103</v>
      </c>
      <c r="I213" s="9">
        <f>cukier11[[#This Row],[stan_po_sprzedazy]]+cukier11[[#This Row],[ile_dokupic]]*1000</f>
        <v>4103</v>
      </c>
    </row>
    <row r="214" spans="1:9" x14ac:dyDescent="0.25">
      <c r="A214" s="1">
        <v>38741</v>
      </c>
      <c r="B214" t="s">
        <v>17</v>
      </c>
      <c r="C214">
        <v>195</v>
      </c>
      <c r="D214">
        <f>MONTH(cukier11[[#This Row],[data]])</f>
        <v>1</v>
      </c>
      <c r="E214">
        <f>IF(D215&lt;&gt;cukier11[[#This Row],[miesiac]],1,0)</f>
        <v>0</v>
      </c>
      <c r="F214">
        <f>IF(AND(H213&lt;5000,cukier11[[#This Row],[czy_nastapiła_zmiana_mies]]=1),ROUNDUP((5000-H213)/1000,0),0)</f>
        <v>0</v>
      </c>
      <c r="G214">
        <f t="shared" si="3"/>
        <v>4103</v>
      </c>
      <c r="H214">
        <f>cukier11[[#This Row],[stan_magazynu]]-cukier11[[#This Row],[sprzedany_cukier]]</f>
        <v>3908</v>
      </c>
      <c r="I214" s="9">
        <f>cukier11[[#This Row],[stan_po_sprzedazy]]+cukier11[[#This Row],[ile_dokupic]]*1000</f>
        <v>3908</v>
      </c>
    </row>
    <row r="215" spans="1:9" x14ac:dyDescent="0.25">
      <c r="A215" s="1">
        <v>38741</v>
      </c>
      <c r="B215" t="s">
        <v>57</v>
      </c>
      <c r="C215">
        <v>16</v>
      </c>
      <c r="D215">
        <f>MONTH(cukier11[[#This Row],[data]])</f>
        <v>1</v>
      </c>
      <c r="E215">
        <f>IF(D216&lt;&gt;cukier11[[#This Row],[miesiac]],1,0)</f>
        <v>0</v>
      </c>
      <c r="F215">
        <f>IF(AND(H214&lt;5000,cukier11[[#This Row],[czy_nastapiła_zmiana_mies]]=1),ROUNDUP((5000-H214)/1000,0),0)</f>
        <v>0</v>
      </c>
      <c r="G215">
        <f t="shared" si="3"/>
        <v>3908</v>
      </c>
      <c r="H215">
        <f>cukier11[[#This Row],[stan_magazynu]]-cukier11[[#This Row],[sprzedany_cukier]]</f>
        <v>3892</v>
      </c>
      <c r="I215" s="9">
        <f>cukier11[[#This Row],[stan_po_sprzedazy]]+cukier11[[#This Row],[ile_dokupic]]*1000</f>
        <v>3892</v>
      </c>
    </row>
    <row r="216" spans="1:9" x14ac:dyDescent="0.25">
      <c r="A216" s="1">
        <v>38745</v>
      </c>
      <c r="B216" t="s">
        <v>12</v>
      </c>
      <c r="C216">
        <v>187</v>
      </c>
      <c r="D216">
        <f>MONTH(cukier11[[#This Row],[data]])</f>
        <v>1</v>
      </c>
      <c r="E216">
        <f>IF(D217&lt;&gt;cukier11[[#This Row],[miesiac]],1,0)</f>
        <v>1</v>
      </c>
      <c r="F216">
        <f>IF(AND(H215&lt;5000,cukier11[[#This Row],[czy_nastapiła_zmiana_mies]]=1),ROUNDUP((5000-H215)/1000,0),0)</f>
        <v>2</v>
      </c>
      <c r="G216">
        <f t="shared" si="3"/>
        <v>3892</v>
      </c>
      <c r="H216">
        <f>cukier11[[#This Row],[stan_magazynu]]-cukier11[[#This Row],[sprzedany_cukier]]</f>
        <v>3705</v>
      </c>
      <c r="I216" s="9">
        <f>cukier11[[#This Row],[stan_po_sprzedazy]]+cukier11[[#This Row],[ile_dokupic]]*1000</f>
        <v>5705</v>
      </c>
    </row>
    <row r="217" spans="1:9" x14ac:dyDescent="0.25">
      <c r="A217" s="1">
        <v>38751</v>
      </c>
      <c r="B217" t="s">
        <v>17</v>
      </c>
      <c r="C217">
        <v>369</v>
      </c>
      <c r="D217">
        <f>MONTH(cukier11[[#This Row],[data]])</f>
        <v>2</v>
      </c>
      <c r="E217">
        <f>IF(D218&lt;&gt;cukier11[[#This Row],[miesiac]],1,0)</f>
        <v>0</v>
      </c>
      <c r="F217">
        <f>IF(AND(H216&lt;5000,cukier11[[#This Row],[czy_nastapiła_zmiana_mies]]=1),ROUNDUP((5000-H216)/1000,0),0)</f>
        <v>0</v>
      </c>
      <c r="G217">
        <f t="shared" si="3"/>
        <v>5705</v>
      </c>
      <c r="H217">
        <f>cukier11[[#This Row],[stan_magazynu]]-cukier11[[#This Row],[sprzedany_cukier]]</f>
        <v>5336</v>
      </c>
      <c r="I217" s="9">
        <f>cukier11[[#This Row],[stan_po_sprzedazy]]+cukier11[[#This Row],[ile_dokupic]]*1000</f>
        <v>5336</v>
      </c>
    </row>
    <row r="218" spans="1:9" x14ac:dyDescent="0.25">
      <c r="A218" s="1">
        <v>38754</v>
      </c>
      <c r="B218" t="s">
        <v>35</v>
      </c>
      <c r="C218">
        <v>190</v>
      </c>
      <c r="D218">
        <f>MONTH(cukier11[[#This Row],[data]])</f>
        <v>2</v>
      </c>
      <c r="E218">
        <f>IF(D219&lt;&gt;cukier11[[#This Row],[miesiac]],1,0)</f>
        <v>0</v>
      </c>
      <c r="F218">
        <f>IF(AND(H217&lt;5000,cukier11[[#This Row],[czy_nastapiła_zmiana_mies]]=1),ROUNDUP((5000-H217)/1000,0),0)</f>
        <v>0</v>
      </c>
      <c r="G218">
        <f t="shared" si="3"/>
        <v>5336</v>
      </c>
      <c r="H218">
        <f>cukier11[[#This Row],[stan_magazynu]]-cukier11[[#This Row],[sprzedany_cukier]]</f>
        <v>5146</v>
      </c>
      <c r="I218" s="9">
        <f>cukier11[[#This Row],[stan_po_sprzedazy]]+cukier11[[#This Row],[ile_dokupic]]*1000</f>
        <v>5146</v>
      </c>
    </row>
    <row r="219" spans="1:9" x14ac:dyDescent="0.25">
      <c r="A219" s="1">
        <v>38754</v>
      </c>
      <c r="B219" t="s">
        <v>14</v>
      </c>
      <c r="C219">
        <v>453</v>
      </c>
      <c r="D219">
        <f>MONTH(cukier11[[#This Row],[data]])</f>
        <v>2</v>
      </c>
      <c r="E219">
        <f>IF(D220&lt;&gt;cukier11[[#This Row],[miesiac]],1,0)</f>
        <v>0</v>
      </c>
      <c r="F219">
        <f>IF(AND(H218&lt;5000,cukier11[[#This Row],[czy_nastapiła_zmiana_mies]]=1),ROUNDUP((5000-H218)/1000,0),0)</f>
        <v>0</v>
      </c>
      <c r="G219">
        <f t="shared" si="3"/>
        <v>5146</v>
      </c>
      <c r="H219">
        <f>cukier11[[#This Row],[stan_magazynu]]-cukier11[[#This Row],[sprzedany_cukier]]</f>
        <v>4693</v>
      </c>
      <c r="I219" s="9">
        <f>cukier11[[#This Row],[stan_po_sprzedazy]]+cukier11[[#This Row],[ile_dokupic]]*1000</f>
        <v>4693</v>
      </c>
    </row>
    <row r="220" spans="1:9" x14ac:dyDescent="0.25">
      <c r="A220" s="1">
        <v>38754</v>
      </c>
      <c r="B220" t="s">
        <v>22</v>
      </c>
      <c r="C220">
        <v>223</v>
      </c>
      <c r="D220">
        <f>MONTH(cukier11[[#This Row],[data]])</f>
        <v>2</v>
      </c>
      <c r="E220">
        <f>IF(D221&lt;&gt;cukier11[[#This Row],[miesiac]],1,0)</f>
        <v>0</v>
      </c>
      <c r="F220">
        <f>IF(AND(H219&lt;5000,cukier11[[#This Row],[czy_nastapiła_zmiana_mies]]=1),ROUNDUP((5000-H219)/1000,0),0)</f>
        <v>0</v>
      </c>
      <c r="G220">
        <f t="shared" si="3"/>
        <v>4693</v>
      </c>
      <c r="H220">
        <f>cukier11[[#This Row],[stan_magazynu]]-cukier11[[#This Row],[sprzedany_cukier]]</f>
        <v>4470</v>
      </c>
      <c r="I220" s="9">
        <f>cukier11[[#This Row],[stan_po_sprzedazy]]+cukier11[[#This Row],[ile_dokupic]]*1000</f>
        <v>4470</v>
      </c>
    </row>
    <row r="221" spans="1:9" x14ac:dyDescent="0.25">
      <c r="A221" s="1">
        <v>38755</v>
      </c>
      <c r="B221" t="s">
        <v>64</v>
      </c>
      <c r="C221">
        <v>1</v>
      </c>
      <c r="D221">
        <f>MONTH(cukier11[[#This Row],[data]])</f>
        <v>2</v>
      </c>
      <c r="E221">
        <f>IF(D222&lt;&gt;cukier11[[#This Row],[miesiac]],1,0)</f>
        <v>0</v>
      </c>
      <c r="F221">
        <f>IF(AND(H220&lt;5000,cukier11[[#This Row],[czy_nastapiła_zmiana_mies]]=1),ROUNDUP((5000-H220)/1000,0),0)</f>
        <v>0</v>
      </c>
      <c r="G221">
        <f t="shared" si="3"/>
        <v>4470</v>
      </c>
      <c r="H221">
        <f>cukier11[[#This Row],[stan_magazynu]]-cukier11[[#This Row],[sprzedany_cukier]]</f>
        <v>4469</v>
      </c>
      <c r="I221" s="9">
        <f>cukier11[[#This Row],[stan_po_sprzedazy]]+cukier11[[#This Row],[ile_dokupic]]*1000</f>
        <v>4469</v>
      </c>
    </row>
    <row r="222" spans="1:9" x14ac:dyDescent="0.25">
      <c r="A222" s="1">
        <v>38757</v>
      </c>
      <c r="B222" t="s">
        <v>55</v>
      </c>
      <c r="C222">
        <v>170</v>
      </c>
      <c r="D222">
        <f>MONTH(cukier11[[#This Row],[data]])</f>
        <v>2</v>
      </c>
      <c r="E222">
        <f>IF(D223&lt;&gt;cukier11[[#This Row],[miesiac]],1,0)</f>
        <v>0</v>
      </c>
      <c r="F222">
        <f>IF(AND(H221&lt;5000,cukier11[[#This Row],[czy_nastapiła_zmiana_mies]]=1),ROUNDUP((5000-H221)/1000,0),0)</f>
        <v>0</v>
      </c>
      <c r="G222">
        <f t="shared" si="3"/>
        <v>4469</v>
      </c>
      <c r="H222">
        <f>cukier11[[#This Row],[stan_magazynu]]-cukier11[[#This Row],[sprzedany_cukier]]</f>
        <v>4299</v>
      </c>
      <c r="I222" s="9">
        <f>cukier11[[#This Row],[stan_po_sprzedazy]]+cukier11[[#This Row],[ile_dokupic]]*1000</f>
        <v>4299</v>
      </c>
    </row>
    <row r="223" spans="1:9" x14ac:dyDescent="0.25">
      <c r="A223" s="1">
        <v>38757</v>
      </c>
      <c r="B223" t="s">
        <v>86</v>
      </c>
      <c r="C223">
        <v>19</v>
      </c>
      <c r="D223">
        <f>MONTH(cukier11[[#This Row],[data]])</f>
        <v>2</v>
      </c>
      <c r="E223">
        <f>IF(D224&lt;&gt;cukier11[[#This Row],[miesiac]],1,0)</f>
        <v>0</v>
      </c>
      <c r="F223">
        <f>IF(AND(H222&lt;5000,cukier11[[#This Row],[czy_nastapiła_zmiana_mies]]=1),ROUNDUP((5000-H222)/1000,0),0)</f>
        <v>0</v>
      </c>
      <c r="G223">
        <f t="shared" si="3"/>
        <v>4299</v>
      </c>
      <c r="H223">
        <f>cukier11[[#This Row],[stan_magazynu]]-cukier11[[#This Row],[sprzedany_cukier]]</f>
        <v>4280</v>
      </c>
      <c r="I223" s="9">
        <f>cukier11[[#This Row],[stan_po_sprzedazy]]+cukier11[[#This Row],[ile_dokupic]]*1000</f>
        <v>4280</v>
      </c>
    </row>
    <row r="224" spans="1:9" x14ac:dyDescent="0.25">
      <c r="A224" s="1">
        <v>38757</v>
      </c>
      <c r="B224" t="s">
        <v>17</v>
      </c>
      <c r="C224">
        <v>464</v>
      </c>
      <c r="D224">
        <f>MONTH(cukier11[[#This Row],[data]])</f>
        <v>2</v>
      </c>
      <c r="E224">
        <f>IF(D225&lt;&gt;cukier11[[#This Row],[miesiac]],1,0)</f>
        <v>0</v>
      </c>
      <c r="F224">
        <f>IF(AND(H223&lt;5000,cukier11[[#This Row],[czy_nastapiła_zmiana_mies]]=1),ROUNDUP((5000-H223)/1000,0),0)</f>
        <v>0</v>
      </c>
      <c r="G224">
        <f t="shared" si="3"/>
        <v>4280</v>
      </c>
      <c r="H224">
        <f>cukier11[[#This Row],[stan_magazynu]]-cukier11[[#This Row],[sprzedany_cukier]]</f>
        <v>3816</v>
      </c>
      <c r="I224" s="9">
        <f>cukier11[[#This Row],[stan_po_sprzedazy]]+cukier11[[#This Row],[ile_dokupic]]*1000</f>
        <v>3816</v>
      </c>
    </row>
    <row r="225" spans="1:9" x14ac:dyDescent="0.25">
      <c r="A225" s="1">
        <v>38761</v>
      </c>
      <c r="B225" t="s">
        <v>7</v>
      </c>
      <c r="C225">
        <v>230</v>
      </c>
      <c r="D225">
        <f>MONTH(cukier11[[#This Row],[data]])</f>
        <v>2</v>
      </c>
      <c r="E225">
        <f>IF(D226&lt;&gt;cukier11[[#This Row],[miesiac]],1,0)</f>
        <v>0</v>
      </c>
      <c r="F225">
        <f>IF(AND(H224&lt;5000,cukier11[[#This Row],[czy_nastapiła_zmiana_mies]]=1),ROUNDUP((5000-H224)/1000,0),0)</f>
        <v>0</v>
      </c>
      <c r="G225">
        <f t="shared" si="3"/>
        <v>3816</v>
      </c>
      <c r="H225">
        <f>cukier11[[#This Row],[stan_magazynu]]-cukier11[[#This Row],[sprzedany_cukier]]</f>
        <v>3586</v>
      </c>
      <c r="I225" s="9">
        <f>cukier11[[#This Row],[stan_po_sprzedazy]]+cukier11[[#This Row],[ile_dokupic]]*1000</f>
        <v>3586</v>
      </c>
    </row>
    <row r="226" spans="1:9" x14ac:dyDescent="0.25">
      <c r="A226" s="1">
        <v>38765</v>
      </c>
      <c r="B226" t="s">
        <v>9</v>
      </c>
      <c r="C226">
        <v>387</v>
      </c>
      <c r="D226">
        <f>MONTH(cukier11[[#This Row],[data]])</f>
        <v>2</v>
      </c>
      <c r="E226">
        <f>IF(D227&lt;&gt;cukier11[[#This Row],[miesiac]],1,0)</f>
        <v>0</v>
      </c>
      <c r="F226">
        <f>IF(AND(H225&lt;5000,cukier11[[#This Row],[czy_nastapiła_zmiana_mies]]=1),ROUNDUP((5000-H225)/1000,0),0)</f>
        <v>0</v>
      </c>
      <c r="G226">
        <f t="shared" si="3"/>
        <v>3586</v>
      </c>
      <c r="H226">
        <f>cukier11[[#This Row],[stan_magazynu]]-cukier11[[#This Row],[sprzedany_cukier]]</f>
        <v>3199</v>
      </c>
      <c r="I226" s="9">
        <f>cukier11[[#This Row],[stan_po_sprzedazy]]+cukier11[[#This Row],[ile_dokupic]]*1000</f>
        <v>3199</v>
      </c>
    </row>
    <row r="227" spans="1:9" x14ac:dyDescent="0.25">
      <c r="A227" s="1">
        <v>38766</v>
      </c>
      <c r="B227" t="s">
        <v>45</v>
      </c>
      <c r="C227">
        <v>264</v>
      </c>
      <c r="D227">
        <f>MONTH(cukier11[[#This Row],[data]])</f>
        <v>2</v>
      </c>
      <c r="E227">
        <f>IF(D228&lt;&gt;cukier11[[#This Row],[miesiac]],1,0)</f>
        <v>0</v>
      </c>
      <c r="F227">
        <f>IF(AND(H226&lt;5000,cukier11[[#This Row],[czy_nastapiła_zmiana_mies]]=1),ROUNDUP((5000-H226)/1000,0),0)</f>
        <v>0</v>
      </c>
      <c r="G227">
        <f t="shared" si="3"/>
        <v>3199</v>
      </c>
      <c r="H227">
        <f>cukier11[[#This Row],[stan_magazynu]]-cukier11[[#This Row],[sprzedany_cukier]]</f>
        <v>2935</v>
      </c>
      <c r="I227" s="9">
        <f>cukier11[[#This Row],[stan_po_sprzedazy]]+cukier11[[#This Row],[ile_dokupic]]*1000</f>
        <v>2935</v>
      </c>
    </row>
    <row r="228" spans="1:9" x14ac:dyDescent="0.25">
      <c r="A228" s="1">
        <v>38767</v>
      </c>
      <c r="B228" t="s">
        <v>18</v>
      </c>
      <c r="C228">
        <v>163</v>
      </c>
      <c r="D228">
        <f>MONTH(cukier11[[#This Row],[data]])</f>
        <v>2</v>
      </c>
      <c r="E228">
        <f>IF(D229&lt;&gt;cukier11[[#This Row],[miesiac]],1,0)</f>
        <v>0</v>
      </c>
      <c r="F228">
        <f>IF(AND(H227&lt;5000,cukier11[[#This Row],[czy_nastapiła_zmiana_mies]]=1),ROUNDUP((5000-H227)/1000,0),0)</f>
        <v>0</v>
      </c>
      <c r="G228">
        <f t="shared" si="3"/>
        <v>2935</v>
      </c>
      <c r="H228">
        <f>cukier11[[#This Row],[stan_magazynu]]-cukier11[[#This Row],[sprzedany_cukier]]</f>
        <v>2772</v>
      </c>
      <c r="I228" s="9">
        <f>cukier11[[#This Row],[stan_po_sprzedazy]]+cukier11[[#This Row],[ile_dokupic]]*1000</f>
        <v>2772</v>
      </c>
    </row>
    <row r="229" spans="1:9" x14ac:dyDescent="0.25">
      <c r="A229" s="1">
        <v>38768</v>
      </c>
      <c r="B229" t="s">
        <v>36</v>
      </c>
      <c r="C229">
        <v>14</v>
      </c>
      <c r="D229">
        <f>MONTH(cukier11[[#This Row],[data]])</f>
        <v>2</v>
      </c>
      <c r="E229">
        <f>IF(D230&lt;&gt;cukier11[[#This Row],[miesiac]],1,0)</f>
        <v>0</v>
      </c>
      <c r="F229">
        <f>IF(AND(H228&lt;5000,cukier11[[#This Row],[czy_nastapiła_zmiana_mies]]=1),ROUNDUP((5000-H228)/1000,0),0)</f>
        <v>0</v>
      </c>
      <c r="G229">
        <f t="shared" si="3"/>
        <v>2772</v>
      </c>
      <c r="H229">
        <f>cukier11[[#This Row],[stan_magazynu]]-cukier11[[#This Row],[sprzedany_cukier]]</f>
        <v>2758</v>
      </c>
      <c r="I229" s="9">
        <f>cukier11[[#This Row],[stan_po_sprzedazy]]+cukier11[[#This Row],[ile_dokupic]]*1000</f>
        <v>2758</v>
      </c>
    </row>
    <row r="230" spans="1:9" x14ac:dyDescent="0.25">
      <c r="A230" s="1">
        <v>38769</v>
      </c>
      <c r="B230" t="s">
        <v>71</v>
      </c>
      <c r="C230">
        <v>98</v>
      </c>
      <c r="D230">
        <f>MONTH(cukier11[[#This Row],[data]])</f>
        <v>2</v>
      </c>
      <c r="E230">
        <f>IF(D231&lt;&gt;cukier11[[#This Row],[miesiac]],1,0)</f>
        <v>1</v>
      </c>
      <c r="F230">
        <f>IF(AND(H229&lt;5000,cukier11[[#This Row],[czy_nastapiła_zmiana_mies]]=1),ROUNDUP((5000-H229)/1000,0),0)</f>
        <v>3</v>
      </c>
      <c r="G230">
        <f t="shared" si="3"/>
        <v>2758</v>
      </c>
      <c r="H230">
        <f>cukier11[[#This Row],[stan_magazynu]]-cukier11[[#This Row],[sprzedany_cukier]]</f>
        <v>2660</v>
      </c>
      <c r="I230" s="9">
        <f>cukier11[[#This Row],[stan_po_sprzedazy]]+cukier11[[#This Row],[ile_dokupic]]*1000</f>
        <v>5660</v>
      </c>
    </row>
    <row r="231" spans="1:9" x14ac:dyDescent="0.25">
      <c r="A231" s="1">
        <v>38780</v>
      </c>
      <c r="B231" t="s">
        <v>97</v>
      </c>
      <c r="C231">
        <v>16</v>
      </c>
      <c r="D231">
        <f>MONTH(cukier11[[#This Row],[data]])</f>
        <v>3</v>
      </c>
      <c r="E231">
        <f>IF(D232&lt;&gt;cukier11[[#This Row],[miesiac]],1,0)</f>
        <v>0</v>
      </c>
      <c r="F231">
        <f>IF(AND(H230&lt;5000,cukier11[[#This Row],[czy_nastapiła_zmiana_mies]]=1),ROUNDUP((5000-H230)/1000,0),0)</f>
        <v>0</v>
      </c>
      <c r="G231">
        <f t="shared" si="3"/>
        <v>5660</v>
      </c>
      <c r="H231">
        <f>cukier11[[#This Row],[stan_magazynu]]-cukier11[[#This Row],[sprzedany_cukier]]</f>
        <v>5644</v>
      </c>
      <c r="I231" s="9">
        <f>cukier11[[#This Row],[stan_po_sprzedazy]]+cukier11[[#This Row],[ile_dokupic]]*1000</f>
        <v>5644</v>
      </c>
    </row>
    <row r="232" spans="1:9" x14ac:dyDescent="0.25">
      <c r="A232" s="1">
        <v>38780</v>
      </c>
      <c r="B232" t="s">
        <v>26</v>
      </c>
      <c r="C232">
        <v>80</v>
      </c>
      <c r="D232">
        <f>MONTH(cukier11[[#This Row],[data]])</f>
        <v>3</v>
      </c>
      <c r="E232">
        <f>IF(D233&lt;&gt;cukier11[[#This Row],[miesiac]],1,0)</f>
        <v>0</v>
      </c>
      <c r="F232">
        <f>IF(AND(H231&lt;5000,cukier11[[#This Row],[czy_nastapiła_zmiana_mies]]=1),ROUNDUP((5000-H231)/1000,0),0)</f>
        <v>0</v>
      </c>
      <c r="G232">
        <f t="shared" si="3"/>
        <v>5644</v>
      </c>
      <c r="H232">
        <f>cukier11[[#This Row],[stan_magazynu]]-cukier11[[#This Row],[sprzedany_cukier]]</f>
        <v>5564</v>
      </c>
      <c r="I232" s="9">
        <f>cukier11[[#This Row],[stan_po_sprzedazy]]+cukier11[[#This Row],[ile_dokupic]]*1000</f>
        <v>5564</v>
      </c>
    </row>
    <row r="233" spans="1:9" x14ac:dyDescent="0.25">
      <c r="A233" s="1">
        <v>38784</v>
      </c>
      <c r="B233" t="s">
        <v>39</v>
      </c>
      <c r="C233">
        <v>127</v>
      </c>
      <c r="D233">
        <f>MONTH(cukier11[[#This Row],[data]])</f>
        <v>3</v>
      </c>
      <c r="E233">
        <f>IF(D234&lt;&gt;cukier11[[#This Row],[miesiac]],1,0)</f>
        <v>0</v>
      </c>
      <c r="F233">
        <f>IF(AND(H232&lt;5000,cukier11[[#This Row],[czy_nastapiła_zmiana_mies]]=1),ROUNDUP((5000-H232)/1000,0),0)</f>
        <v>0</v>
      </c>
      <c r="G233">
        <f t="shared" si="3"/>
        <v>5564</v>
      </c>
      <c r="H233">
        <f>cukier11[[#This Row],[stan_magazynu]]-cukier11[[#This Row],[sprzedany_cukier]]</f>
        <v>5437</v>
      </c>
      <c r="I233" s="9">
        <f>cukier11[[#This Row],[stan_po_sprzedazy]]+cukier11[[#This Row],[ile_dokupic]]*1000</f>
        <v>5437</v>
      </c>
    </row>
    <row r="234" spans="1:9" x14ac:dyDescent="0.25">
      <c r="A234" s="1">
        <v>38786</v>
      </c>
      <c r="B234" t="s">
        <v>19</v>
      </c>
      <c r="C234">
        <v>170</v>
      </c>
      <c r="D234">
        <f>MONTH(cukier11[[#This Row],[data]])</f>
        <v>3</v>
      </c>
      <c r="E234">
        <f>IF(D235&lt;&gt;cukier11[[#This Row],[miesiac]],1,0)</f>
        <v>0</v>
      </c>
      <c r="F234">
        <f>IF(AND(H233&lt;5000,cukier11[[#This Row],[czy_nastapiła_zmiana_mies]]=1),ROUNDUP((5000-H233)/1000,0),0)</f>
        <v>0</v>
      </c>
      <c r="G234">
        <f t="shared" si="3"/>
        <v>5437</v>
      </c>
      <c r="H234">
        <f>cukier11[[#This Row],[stan_magazynu]]-cukier11[[#This Row],[sprzedany_cukier]]</f>
        <v>5267</v>
      </c>
      <c r="I234" s="9">
        <f>cukier11[[#This Row],[stan_po_sprzedazy]]+cukier11[[#This Row],[ile_dokupic]]*1000</f>
        <v>5267</v>
      </c>
    </row>
    <row r="235" spans="1:9" x14ac:dyDescent="0.25">
      <c r="A235" s="1">
        <v>38787</v>
      </c>
      <c r="B235" t="s">
        <v>61</v>
      </c>
      <c r="C235">
        <v>28</v>
      </c>
      <c r="D235">
        <f>MONTH(cukier11[[#This Row],[data]])</f>
        <v>3</v>
      </c>
      <c r="E235">
        <f>IF(D236&lt;&gt;cukier11[[#This Row],[miesiac]],1,0)</f>
        <v>0</v>
      </c>
      <c r="F235">
        <f>IF(AND(H234&lt;5000,cukier11[[#This Row],[czy_nastapiła_zmiana_mies]]=1),ROUNDUP((5000-H234)/1000,0),0)</f>
        <v>0</v>
      </c>
      <c r="G235">
        <f t="shared" si="3"/>
        <v>5267</v>
      </c>
      <c r="H235">
        <f>cukier11[[#This Row],[stan_magazynu]]-cukier11[[#This Row],[sprzedany_cukier]]</f>
        <v>5239</v>
      </c>
      <c r="I235" s="9">
        <f>cukier11[[#This Row],[stan_po_sprzedazy]]+cukier11[[#This Row],[ile_dokupic]]*1000</f>
        <v>5239</v>
      </c>
    </row>
    <row r="236" spans="1:9" x14ac:dyDescent="0.25">
      <c r="A236" s="1">
        <v>38788</v>
      </c>
      <c r="B236" t="s">
        <v>98</v>
      </c>
      <c r="C236">
        <v>12</v>
      </c>
      <c r="D236">
        <f>MONTH(cukier11[[#This Row],[data]])</f>
        <v>3</v>
      </c>
      <c r="E236">
        <f>IF(D237&lt;&gt;cukier11[[#This Row],[miesiac]],1,0)</f>
        <v>0</v>
      </c>
      <c r="F236">
        <f>IF(AND(H235&lt;5000,cukier11[[#This Row],[czy_nastapiła_zmiana_mies]]=1),ROUNDUP((5000-H235)/1000,0),0)</f>
        <v>0</v>
      </c>
      <c r="G236">
        <f t="shared" si="3"/>
        <v>5239</v>
      </c>
      <c r="H236">
        <f>cukier11[[#This Row],[stan_magazynu]]-cukier11[[#This Row],[sprzedany_cukier]]</f>
        <v>5227</v>
      </c>
      <c r="I236" s="9">
        <f>cukier11[[#This Row],[stan_po_sprzedazy]]+cukier11[[#This Row],[ile_dokupic]]*1000</f>
        <v>5227</v>
      </c>
    </row>
    <row r="237" spans="1:9" x14ac:dyDescent="0.25">
      <c r="A237" s="1">
        <v>38790</v>
      </c>
      <c r="B237" t="s">
        <v>99</v>
      </c>
      <c r="C237">
        <v>10</v>
      </c>
      <c r="D237">
        <f>MONTH(cukier11[[#This Row],[data]])</f>
        <v>3</v>
      </c>
      <c r="E237">
        <f>IF(D238&lt;&gt;cukier11[[#This Row],[miesiac]],1,0)</f>
        <v>0</v>
      </c>
      <c r="F237">
        <f>IF(AND(H236&lt;5000,cukier11[[#This Row],[czy_nastapiła_zmiana_mies]]=1),ROUNDUP((5000-H236)/1000,0),0)</f>
        <v>0</v>
      </c>
      <c r="G237">
        <f t="shared" si="3"/>
        <v>5227</v>
      </c>
      <c r="H237">
        <f>cukier11[[#This Row],[stan_magazynu]]-cukier11[[#This Row],[sprzedany_cukier]]</f>
        <v>5217</v>
      </c>
      <c r="I237" s="9">
        <f>cukier11[[#This Row],[stan_po_sprzedazy]]+cukier11[[#This Row],[ile_dokupic]]*1000</f>
        <v>5217</v>
      </c>
    </row>
    <row r="238" spans="1:9" x14ac:dyDescent="0.25">
      <c r="A238" s="1">
        <v>38791</v>
      </c>
      <c r="B238" t="s">
        <v>30</v>
      </c>
      <c r="C238">
        <v>65</v>
      </c>
      <c r="D238">
        <f>MONTH(cukier11[[#This Row],[data]])</f>
        <v>3</v>
      </c>
      <c r="E238">
        <f>IF(D239&lt;&gt;cukier11[[#This Row],[miesiac]],1,0)</f>
        <v>0</v>
      </c>
      <c r="F238">
        <f>IF(AND(H237&lt;5000,cukier11[[#This Row],[czy_nastapiła_zmiana_mies]]=1),ROUNDUP((5000-H237)/1000,0),0)</f>
        <v>0</v>
      </c>
      <c r="G238">
        <f t="shared" si="3"/>
        <v>5217</v>
      </c>
      <c r="H238">
        <f>cukier11[[#This Row],[stan_magazynu]]-cukier11[[#This Row],[sprzedany_cukier]]</f>
        <v>5152</v>
      </c>
      <c r="I238" s="9">
        <f>cukier11[[#This Row],[stan_po_sprzedazy]]+cukier11[[#This Row],[ile_dokupic]]*1000</f>
        <v>5152</v>
      </c>
    </row>
    <row r="239" spans="1:9" x14ac:dyDescent="0.25">
      <c r="A239" s="1">
        <v>38792</v>
      </c>
      <c r="B239" t="s">
        <v>100</v>
      </c>
      <c r="C239">
        <v>17</v>
      </c>
      <c r="D239">
        <f>MONTH(cukier11[[#This Row],[data]])</f>
        <v>3</v>
      </c>
      <c r="E239">
        <f>IF(D240&lt;&gt;cukier11[[#This Row],[miesiac]],1,0)</f>
        <v>0</v>
      </c>
      <c r="F239">
        <f>IF(AND(H238&lt;5000,cukier11[[#This Row],[czy_nastapiła_zmiana_mies]]=1),ROUNDUP((5000-H238)/1000,0),0)</f>
        <v>0</v>
      </c>
      <c r="G239">
        <f t="shared" si="3"/>
        <v>5152</v>
      </c>
      <c r="H239">
        <f>cukier11[[#This Row],[stan_magazynu]]-cukier11[[#This Row],[sprzedany_cukier]]</f>
        <v>5135</v>
      </c>
      <c r="I239" s="9">
        <f>cukier11[[#This Row],[stan_po_sprzedazy]]+cukier11[[#This Row],[ile_dokupic]]*1000</f>
        <v>5135</v>
      </c>
    </row>
    <row r="240" spans="1:9" x14ac:dyDescent="0.25">
      <c r="A240" s="1">
        <v>38792</v>
      </c>
      <c r="B240" t="s">
        <v>9</v>
      </c>
      <c r="C240">
        <v>262</v>
      </c>
      <c r="D240">
        <f>MONTH(cukier11[[#This Row],[data]])</f>
        <v>3</v>
      </c>
      <c r="E240">
        <f>IF(D241&lt;&gt;cukier11[[#This Row],[miesiac]],1,0)</f>
        <v>0</v>
      </c>
      <c r="F240">
        <f>IF(AND(H239&lt;5000,cukier11[[#This Row],[czy_nastapiła_zmiana_mies]]=1),ROUNDUP((5000-H239)/1000,0),0)</f>
        <v>0</v>
      </c>
      <c r="G240">
        <f t="shared" si="3"/>
        <v>5135</v>
      </c>
      <c r="H240">
        <f>cukier11[[#This Row],[stan_magazynu]]-cukier11[[#This Row],[sprzedany_cukier]]</f>
        <v>4873</v>
      </c>
      <c r="I240" s="9">
        <f>cukier11[[#This Row],[stan_po_sprzedazy]]+cukier11[[#This Row],[ile_dokupic]]*1000</f>
        <v>4873</v>
      </c>
    </row>
    <row r="241" spans="1:9" x14ac:dyDescent="0.25">
      <c r="A241" s="1">
        <v>38792</v>
      </c>
      <c r="B241" t="s">
        <v>101</v>
      </c>
      <c r="C241">
        <v>20</v>
      </c>
      <c r="D241">
        <f>MONTH(cukier11[[#This Row],[data]])</f>
        <v>3</v>
      </c>
      <c r="E241">
        <f>IF(D242&lt;&gt;cukier11[[#This Row],[miesiac]],1,0)</f>
        <v>0</v>
      </c>
      <c r="F241">
        <f>IF(AND(H240&lt;5000,cukier11[[#This Row],[czy_nastapiła_zmiana_mies]]=1),ROUNDUP((5000-H240)/1000,0),0)</f>
        <v>0</v>
      </c>
      <c r="G241">
        <f t="shared" si="3"/>
        <v>4873</v>
      </c>
      <c r="H241">
        <f>cukier11[[#This Row],[stan_magazynu]]-cukier11[[#This Row],[sprzedany_cukier]]</f>
        <v>4853</v>
      </c>
      <c r="I241" s="9">
        <f>cukier11[[#This Row],[stan_po_sprzedazy]]+cukier11[[#This Row],[ile_dokupic]]*1000</f>
        <v>4853</v>
      </c>
    </row>
    <row r="242" spans="1:9" x14ac:dyDescent="0.25">
      <c r="A242" s="1">
        <v>38801</v>
      </c>
      <c r="B242" t="s">
        <v>7</v>
      </c>
      <c r="C242">
        <v>224</v>
      </c>
      <c r="D242">
        <f>MONTH(cukier11[[#This Row],[data]])</f>
        <v>3</v>
      </c>
      <c r="E242">
        <f>IF(D243&lt;&gt;cukier11[[#This Row],[miesiac]],1,0)</f>
        <v>1</v>
      </c>
      <c r="F242">
        <f>IF(AND(H241&lt;5000,cukier11[[#This Row],[czy_nastapiła_zmiana_mies]]=1),ROUNDUP((5000-H241)/1000,0),0)</f>
        <v>1</v>
      </c>
      <c r="G242">
        <f t="shared" si="3"/>
        <v>4853</v>
      </c>
      <c r="H242">
        <f>cukier11[[#This Row],[stan_magazynu]]-cukier11[[#This Row],[sprzedany_cukier]]</f>
        <v>4629</v>
      </c>
      <c r="I242" s="9">
        <f>cukier11[[#This Row],[stan_po_sprzedazy]]+cukier11[[#This Row],[ile_dokupic]]*1000</f>
        <v>5629</v>
      </c>
    </row>
    <row r="243" spans="1:9" x14ac:dyDescent="0.25">
      <c r="A243" s="1">
        <v>38808</v>
      </c>
      <c r="B243" t="s">
        <v>52</v>
      </c>
      <c r="C243">
        <v>199</v>
      </c>
      <c r="D243">
        <f>MONTH(cukier11[[#This Row],[data]])</f>
        <v>4</v>
      </c>
      <c r="E243">
        <f>IF(D244&lt;&gt;cukier11[[#This Row],[miesiac]],1,0)</f>
        <v>0</v>
      </c>
      <c r="F243">
        <f>IF(AND(H242&lt;5000,cukier11[[#This Row],[czy_nastapiła_zmiana_mies]]=1),ROUNDUP((5000-H242)/1000,0),0)</f>
        <v>0</v>
      </c>
      <c r="G243">
        <f t="shared" si="3"/>
        <v>5629</v>
      </c>
      <c r="H243">
        <f>cukier11[[#This Row],[stan_magazynu]]-cukier11[[#This Row],[sprzedany_cukier]]</f>
        <v>5430</v>
      </c>
      <c r="I243" s="9">
        <f>cukier11[[#This Row],[stan_po_sprzedazy]]+cukier11[[#This Row],[ile_dokupic]]*1000</f>
        <v>5430</v>
      </c>
    </row>
    <row r="244" spans="1:9" x14ac:dyDescent="0.25">
      <c r="A244" s="1">
        <v>38813</v>
      </c>
      <c r="B244" t="s">
        <v>30</v>
      </c>
      <c r="C244">
        <v>70</v>
      </c>
      <c r="D244">
        <f>MONTH(cukier11[[#This Row],[data]])</f>
        <v>4</v>
      </c>
      <c r="E244">
        <f>IF(D245&lt;&gt;cukier11[[#This Row],[miesiac]],1,0)</f>
        <v>0</v>
      </c>
      <c r="F244">
        <f>IF(AND(H243&lt;5000,cukier11[[#This Row],[czy_nastapiła_zmiana_mies]]=1),ROUNDUP((5000-H243)/1000,0),0)</f>
        <v>0</v>
      </c>
      <c r="G244">
        <f t="shared" si="3"/>
        <v>5430</v>
      </c>
      <c r="H244">
        <f>cukier11[[#This Row],[stan_magazynu]]-cukier11[[#This Row],[sprzedany_cukier]]</f>
        <v>5360</v>
      </c>
      <c r="I244" s="9">
        <f>cukier11[[#This Row],[stan_po_sprzedazy]]+cukier11[[#This Row],[ile_dokupic]]*1000</f>
        <v>5360</v>
      </c>
    </row>
    <row r="245" spans="1:9" x14ac:dyDescent="0.25">
      <c r="A245" s="1">
        <v>38815</v>
      </c>
      <c r="B245" t="s">
        <v>102</v>
      </c>
      <c r="C245">
        <v>171</v>
      </c>
      <c r="D245">
        <f>MONTH(cukier11[[#This Row],[data]])</f>
        <v>4</v>
      </c>
      <c r="E245">
        <f>IF(D246&lt;&gt;cukier11[[#This Row],[miesiac]],1,0)</f>
        <v>0</v>
      </c>
      <c r="F245">
        <f>IF(AND(H244&lt;5000,cukier11[[#This Row],[czy_nastapiła_zmiana_mies]]=1),ROUNDUP((5000-H244)/1000,0),0)</f>
        <v>0</v>
      </c>
      <c r="G245">
        <f t="shared" si="3"/>
        <v>5360</v>
      </c>
      <c r="H245">
        <f>cukier11[[#This Row],[stan_magazynu]]-cukier11[[#This Row],[sprzedany_cukier]]</f>
        <v>5189</v>
      </c>
      <c r="I245" s="9">
        <f>cukier11[[#This Row],[stan_po_sprzedazy]]+cukier11[[#This Row],[ile_dokupic]]*1000</f>
        <v>5189</v>
      </c>
    </row>
    <row r="246" spans="1:9" x14ac:dyDescent="0.25">
      <c r="A246" s="1">
        <v>38815</v>
      </c>
      <c r="B246" t="s">
        <v>103</v>
      </c>
      <c r="C246">
        <v>1</v>
      </c>
      <c r="D246">
        <f>MONTH(cukier11[[#This Row],[data]])</f>
        <v>4</v>
      </c>
      <c r="E246">
        <f>IF(D247&lt;&gt;cukier11[[#This Row],[miesiac]],1,0)</f>
        <v>0</v>
      </c>
      <c r="F246">
        <f>IF(AND(H245&lt;5000,cukier11[[#This Row],[czy_nastapiła_zmiana_mies]]=1),ROUNDUP((5000-H245)/1000,0),0)</f>
        <v>0</v>
      </c>
      <c r="G246">
        <f t="shared" si="3"/>
        <v>5189</v>
      </c>
      <c r="H246">
        <f>cukier11[[#This Row],[stan_magazynu]]-cukier11[[#This Row],[sprzedany_cukier]]</f>
        <v>5188</v>
      </c>
      <c r="I246" s="9">
        <f>cukier11[[#This Row],[stan_po_sprzedazy]]+cukier11[[#This Row],[ile_dokupic]]*1000</f>
        <v>5188</v>
      </c>
    </row>
    <row r="247" spans="1:9" x14ac:dyDescent="0.25">
      <c r="A247" s="1">
        <v>38817</v>
      </c>
      <c r="B247" t="s">
        <v>94</v>
      </c>
      <c r="C247">
        <v>13</v>
      </c>
      <c r="D247">
        <f>MONTH(cukier11[[#This Row],[data]])</f>
        <v>4</v>
      </c>
      <c r="E247">
        <f>IF(D248&lt;&gt;cukier11[[#This Row],[miesiac]],1,0)</f>
        <v>0</v>
      </c>
      <c r="F247">
        <f>IF(AND(H246&lt;5000,cukier11[[#This Row],[czy_nastapiła_zmiana_mies]]=1),ROUNDUP((5000-H246)/1000,0),0)</f>
        <v>0</v>
      </c>
      <c r="G247">
        <f t="shared" si="3"/>
        <v>5188</v>
      </c>
      <c r="H247">
        <f>cukier11[[#This Row],[stan_magazynu]]-cukier11[[#This Row],[sprzedany_cukier]]</f>
        <v>5175</v>
      </c>
      <c r="I247" s="9">
        <f>cukier11[[#This Row],[stan_po_sprzedazy]]+cukier11[[#This Row],[ile_dokupic]]*1000</f>
        <v>5175</v>
      </c>
    </row>
    <row r="248" spans="1:9" x14ac:dyDescent="0.25">
      <c r="A248" s="1">
        <v>38818</v>
      </c>
      <c r="B248" t="s">
        <v>9</v>
      </c>
      <c r="C248">
        <v>293</v>
      </c>
      <c r="D248">
        <f>MONTH(cukier11[[#This Row],[data]])</f>
        <v>4</v>
      </c>
      <c r="E248">
        <f>IF(D249&lt;&gt;cukier11[[#This Row],[miesiac]],1,0)</f>
        <v>0</v>
      </c>
      <c r="F248">
        <f>IF(AND(H247&lt;5000,cukier11[[#This Row],[czy_nastapiła_zmiana_mies]]=1),ROUNDUP((5000-H247)/1000,0),0)</f>
        <v>0</v>
      </c>
      <c r="G248">
        <f t="shared" si="3"/>
        <v>5175</v>
      </c>
      <c r="H248">
        <f>cukier11[[#This Row],[stan_magazynu]]-cukier11[[#This Row],[sprzedany_cukier]]</f>
        <v>4882</v>
      </c>
      <c r="I248" s="9">
        <f>cukier11[[#This Row],[stan_po_sprzedazy]]+cukier11[[#This Row],[ile_dokupic]]*1000</f>
        <v>4882</v>
      </c>
    </row>
    <row r="249" spans="1:9" x14ac:dyDescent="0.25">
      <c r="A249" s="1">
        <v>38818</v>
      </c>
      <c r="B249" t="s">
        <v>87</v>
      </c>
      <c r="C249">
        <v>11</v>
      </c>
      <c r="D249">
        <f>MONTH(cukier11[[#This Row],[data]])</f>
        <v>4</v>
      </c>
      <c r="E249">
        <f>IF(D250&lt;&gt;cukier11[[#This Row],[miesiac]],1,0)</f>
        <v>0</v>
      </c>
      <c r="F249">
        <f>IF(AND(H248&lt;5000,cukier11[[#This Row],[czy_nastapiła_zmiana_mies]]=1),ROUNDUP((5000-H248)/1000,0),0)</f>
        <v>0</v>
      </c>
      <c r="G249">
        <f t="shared" si="3"/>
        <v>4882</v>
      </c>
      <c r="H249">
        <f>cukier11[[#This Row],[stan_magazynu]]-cukier11[[#This Row],[sprzedany_cukier]]</f>
        <v>4871</v>
      </c>
      <c r="I249" s="9">
        <f>cukier11[[#This Row],[stan_po_sprzedazy]]+cukier11[[#This Row],[ile_dokupic]]*1000</f>
        <v>4871</v>
      </c>
    </row>
    <row r="250" spans="1:9" x14ac:dyDescent="0.25">
      <c r="A250" s="1">
        <v>38820</v>
      </c>
      <c r="B250" t="s">
        <v>50</v>
      </c>
      <c r="C250">
        <v>162</v>
      </c>
      <c r="D250">
        <f>MONTH(cukier11[[#This Row],[data]])</f>
        <v>4</v>
      </c>
      <c r="E250">
        <f>IF(D251&lt;&gt;cukier11[[#This Row],[miesiac]],1,0)</f>
        <v>0</v>
      </c>
      <c r="F250">
        <f>IF(AND(H249&lt;5000,cukier11[[#This Row],[czy_nastapiła_zmiana_mies]]=1),ROUNDUP((5000-H249)/1000,0),0)</f>
        <v>0</v>
      </c>
      <c r="G250">
        <f t="shared" si="3"/>
        <v>4871</v>
      </c>
      <c r="H250">
        <f>cukier11[[#This Row],[stan_magazynu]]-cukier11[[#This Row],[sprzedany_cukier]]</f>
        <v>4709</v>
      </c>
      <c r="I250" s="9">
        <f>cukier11[[#This Row],[stan_po_sprzedazy]]+cukier11[[#This Row],[ile_dokupic]]*1000</f>
        <v>4709</v>
      </c>
    </row>
    <row r="251" spans="1:9" x14ac:dyDescent="0.25">
      <c r="A251" s="1">
        <v>38821</v>
      </c>
      <c r="B251" t="s">
        <v>58</v>
      </c>
      <c r="C251">
        <v>187</v>
      </c>
      <c r="D251">
        <f>MONTH(cukier11[[#This Row],[data]])</f>
        <v>4</v>
      </c>
      <c r="E251">
        <f>IF(D252&lt;&gt;cukier11[[#This Row],[miesiac]],1,0)</f>
        <v>0</v>
      </c>
      <c r="F251">
        <f>IF(AND(H250&lt;5000,cukier11[[#This Row],[czy_nastapiła_zmiana_mies]]=1),ROUNDUP((5000-H250)/1000,0),0)</f>
        <v>0</v>
      </c>
      <c r="G251">
        <f t="shared" si="3"/>
        <v>4709</v>
      </c>
      <c r="H251">
        <f>cukier11[[#This Row],[stan_magazynu]]-cukier11[[#This Row],[sprzedany_cukier]]</f>
        <v>4522</v>
      </c>
      <c r="I251" s="9">
        <f>cukier11[[#This Row],[stan_po_sprzedazy]]+cukier11[[#This Row],[ile_dokupic]]*1000</f>
        <v>4522</v>
      </c>
    </row>
    <row r="252" spans="1:9" x14ac:dyDescent="0.25">
      <c r="A252" s="1">
        <v>38822</v>
      </c>
      <c r="B252" t="s">
        <v>18</v>
      </c>
      <c r="C252">
        <v>192</v>
      </c>
      <c r="D252">
        <f>MONTH(cukier11[[#This Row],[data]])</f>
        <v>4</v>
      </c>
      <c r="E252">
        <f>IF(D253&lt;&gt;cukier11[[#This Row],[miesiac]],1,0)</f>
        <v>0</v>
      </c>
      <c r="F252">
        <f>IF(AND(H251&lt;5000,cukier11[[#This Row],[czy_nastapiła_zmiana_mies]]=1),ROUNDUP((5000-H251)/1000,0),0)</f>
        <v>0</v>
      </c>
      <c r="G252">
        <f t="shared" si="3"/>
        <v>4522</v>
      </c>
      <c r="H252">
        <f>cukier11[[#This Row],[stan_magazynu]]-cukier11[[#This Row],[sprzedany_cukier]]</f>
        <v>4330</v>
      </c>
      <c r="I252" s="9">
        <f>cukier11[[#This Row],[stan_po_sprzedazy]]+cukier11[[#This Row],[ile_dokupic]]*1000</f>
        <v>4330</v>
      </c>
    </row>
    <row r="253" spans="1:9" x14ac:dyDescent="0.25">
      <c r="A253" s="1">
        <v>38824</v>
      </c>
      <c r="B253" t="s">
        <v>24</v>
      </c>
      <c r="C253">
        <v>127</v>
      </c>
      <c r="D253">
        <f>MONTH(cukier11[[#This Row],[data]])</f>
        <v>4</v>
      </c>
      <c r="E253">
        <f>IF(D254&lt;&gt;cukier11[[#This Row],[miesiac]],1,0)</f>
        <v>0</v>
      </c>
      <c r="F253">
        <f>IF(AND(H252&lt;5000,cukier11[[#This Row],[czy_nastapiła_zmiana_mies]]=1),ROUNDUP((5000-H252)/1000,0),0)</f>
        <v>0</v>
      </c>
      <c r="G253">
        <f t="shared" si="3"/>
        <v>4330</v>
      </c>
      <c r="H253">
        <f>cukier11[[#This Row],[stan_magazynu]]-cukier11[[#This Row],[sprzedany_cukier]]</f>
        <v>4203</v>
      </c>
      <c r="I253" s="9">
        <f>cukier11[[#This Row],[stan_po_sprzedazy]]+cukier11[[#This Row],[ile_dokupic]]*1000</f>
        <v>4203</v>
      </c>
    </row>
    <row r="254" spans="1:9" x14ac:dyDescent="0.25">
      <c r="A254" s="1">
        <v>38826</v>
      </c>
      <c r="B254" t="s">
        <v>9</v>
      </c>
      <c r="C254">
        <v>198</v>
      </c>
      <c r="D254">
        <f>MONTH(cukier11[[#This Row],[data]])</f>
        <v>4</v>
      </c>
      <c r="E254">
        <f>IF(D255&lt;&gt;cukier11[[#This Row],[miesiac]],1,0)</f>
        <v>0</v>
      </c>
      <c r="F254">
        <f>IF(AND(H253&lt;5000,cukier11[[#This Row],[czy_nastapiła_zmiana_mies]]=1),ROUNDUP((5000-H253)/1000,0),0)</f>
        <v>0</v>
      </c>
      <c r="G254">
        <f t="shared" si="3"/>
        <v>4203</v>
      </c>
      <c r="H254">
        <f>cukier11[[#This Row],[stan_magazynu]]-cukier11[[#This Row],[sprzedany_cukier]]</f>
        <v>4005</v>
      </c>
      <c r="I254" s="9">
        <f>cukier11[[#This Row],[stan_po_sprzedazy]]+cukier11[[#This Row],[ile_dokupic]]*1000</f>
        <v>4005</v>
      </c>
    </row>
    <row r="255" spans="1:9" x14ac:dyDescent="0.25">
      <c r="A255" s="1">
        <v>38826</v>
      </c>
      <c r="B255" t="s">
        <v>104</v>
      </c>
      <c r="C255">
        <v>4</v>
      </c>
      <c r="D255">
        <f>MONTH(cukier11[[#This Row],[data]])</f>
        <v>4</v>
      </c>
      <c r="E255">
        <f>IF(D256&lt;&gt;cukier11[[#This Row],[miesiac]],1,0)</f>
        <v>0</v>
      </c>
      <c r="F255">
        <f>IF(AND(H254&lt;5000,cukier11[[#This Row],[czy_nastapiła_zmiana_mies]]=1),ROUNDUP((5000-H254)/1000,0),0)</f>
        <v>0</v>
      </c>
      <c r="G255">
        <f t="shared" si="3"/>
        <v>4005</v>
      </c>
      <c r="H255">
        <f>cukier11[[#This Row],[stan_magazynu]]-cukier11[[#This Row],[sprzedany_cukier]]</f>
        <v>4001</v>
      </c>
      <c r="I255" s="9">
        <f>cukier11[[#This Row],[stan_po_sprzedazy]]+cukier11[[#This Row],[ile_dokupic]]*1000</f>
        <v>4001</v>
      </c>
    </row>
    <row r="256" spans="1:9" x14ac:dyDescent="0.25">
      <c r="A256" s="1">
        <v>38826</v>
      </c>
      <c r="B256" t="s">
        <v>17</v>
      </c>
      <c r="C256">
        <v>110</v>
      </c>
      <c r="D256">
        <f>MONTH(cukier11[[#This Row],[data]])</f>
        <v>4</v>
      </c>
      <c r="E256">
        <f>IF(D257&lt;&gt;cukier11[[#This Row],[miesiac]],1,0)</f>
        <v>0</v>
      </c>
      <c r="F256">
        <f>IF(AND(H255&lt;5000,cukier11[[#This Row],[czy_nastapiła_zmiana_mies]]=1),ROUNDUP((5000-H255)/1000,0),0)</f>
        <v>0</v>
      </c>
      <c r="G256">
        <f t="shared" si="3"/>
        <v>4001</v>
      </c>
      <c r="H256">
        <f>cukier11[[#This Row],[stan_magazynu]]-cukier11[[#This Row],[sprzedany_cukier]]</f>
        <v>3891</v>
      </c>
      <c r="I256" s="9">
        <f>cukier11[[#This Row],[stan_po_sprzedazy]]+cukier11[[#This Row],[ile_dokupic]]*1000</f>
        <v>3891</v>
      </c>
    </row>
    <row r="257" spans="1:9" x14ac:dyDescent="0.25">
      <c r="A257" s="1">
        <v>38826</v>
      </c>
      <c r="B257" t="s">
        <v>18</v>
      </c>
      <c r="C257">
        <v>123</v>
      </c>
      <c r="D257">
        <f>MONTH(cukier11[[#This Row],[data]])</f>
        <v>4</v>
      </c>
      <c r="E257">
        <f>IF(D258&lt;&gt;cukier11[[#This Row],[miesiac]],1,0)</f>
        <v>0</v>
      </c>
      <c r="F257">
        <f>IF(AND(H256&lt;5000,cukier11[[#This Row],[czy_nastapiła_zmiana_mies]]=1),ROUNDUP((5000-H256)/1000,0),0)</f>
        <v>0</v>
      </c>
      <c r="G257">
        <f t="shared" si="3"/>
        <v>3891</v>
      </c>
      <c r="H257">
        <f>cukier11[[#This Row],[stan_magazynu]]-cukier11[[#This Row],[sprzedany_cukier]]</f>
        <v>3768</v>
      </c>
      <c r="I257" s="9">
        <f>cukier11[[#This Row],[stan_po_sprzedazy]]+cukier11[[#This Row],[ile_dokupic]]*1000</f>
        <v>3768</v>
      </c>
    </row>
    <row r="258" spans="1:9" x14ac:dyDescent="0.25">
      <c r="A258" s="1">
        <v>38827</v>
      </c>
      <c r="B258" t="s">
        <v>66</v>
      </c>
      <c r="C258">
        <v>159</v>
      </c>
      <c r="D258">
        <f>MONTH(cukier11[[#This Row],[data]])</f>
        <v>4</v>
      </c>
      <c r="E258">
        <f>IF(D259&lt;&gt;cukier11[[#This Row],[miesiac]],1,0)</f>
        <v>0</v>
      </c>
      <c r="F258">
        <f>IF(AND(H257&lt;5000,cukier11[[#This Row],[czy_nastapiła_zmiana_mies]]=1),ROUNDUP((5000-H257)/1000,0),0)</f>
        <v>0</v>
      </c>
      <c r="G258">
        <f t="shared" si="3"/>
        <v>3768</v>
      </c>
      <c r="H258">
        <f>cukier11[[#This Row],[stan_magazynu]]-cukier11[[#This Row],[sprzedany_cukier]]</f>
        <v>3609</v>
      </c>
      <c r="I258" s="9">
        <f>cukier11[[#This Row],[stan_po_sprzedazy]]+cukier11[[#This Row],[ile_dokupic]]*1000</f>
        <v>3609</v>
      </c>
    </row>
    <row r="259" spans="1:9" x14ac:dyDescent="0.25">
      <c r="A259" s="1">
        <v>38828</v>
      </c>
      <c r="B259" t="s">
        <v>105</v>
      </c>
      <c r="C259">
        <v>19</v>
      </c>
      <c r="D259">
        <f>MONTH(cukier11[[#This Row],[data]])</f>
        <v>4</v>
      </c>
      <c r="E259">
        <f>IF(D260&lt;&gt;cukier11[[#This Row],[miesiac]],1,0)</f>
        <v>0</v>
      </c>
      <c r="F259">
        <f>IF(AND(H258&lt;5000,cukier11[[#This Row],[czy_nastapiła_zmiana_mies]]=1),ROUNDUP((5000-H258)/1000,0),0)</f>
        <v>0</v>
      </c>
      <c r="G259">
        <f t="shared" si="3"/>
        <v>3609</v>
      </c>
      <c r="H259">
        <f>cukier11[[#This Row],[stan_magazynu]]-cukier11[[#This Row],[sprzedany_cukier]]</f>
        <v>3590</v>
      </c>
      <c r="I259" s="9">
        <f>cukier11[[#This Row],[stan_po_sprzedazy]]+cukier11[[#This Row],[ile_dokupic]]*1000</f>
        <v>3590</v>
      </c>
    </row>
    <row r="260" spans="1:9" x14ac:dyDescent="0.25">
      <c r="A260" s="1">
        <v>38834</v>
      </c>
      <c r="B260" t="s">
        <v>22</v>
      </c>
      <c r="C260">
        <v>289</v>
      </c>
      <c r="D260">
        <f>MONTH(cukier11[[#This Row],[data]])</f>
        <v>4</v>
      </c>
      <c r="E260">
        <f>IF(D261&lt;&gt;cukier11[[#This Row],[miesiac]],1,0)</f>
        <v>0</v>
      </c>
      <c r="F260">
        <f>IF(AND(H259&lt;5000,cukier11[[#This Row],[czy_nastapiła_zmiana_mies]]=1),ROUNDUP((5000-H259)/1000,0),0)</f>
        <v>0</v>
      </c>
      <c r="G260">
        <f t="shared" ref="G260:G323" si="4">I259</f>
        <v>3590</v>
      </c>
      <c r="H260">
        <f>cukier11[[#This Row],[stan_magazynu]]-cukier11[[#This Row],[sprzedany_cukier]]</f>
        <v>3301</v>
      </c>
      <c r="I260" s="9">
        <f>cukier11[[#This Row],[stan_po_sprzedazy]]+cukier11[[#This Row],[ile_dokupic]]*1000</f>
        <v>3301</v>
      </c>
    </row>
    <row r="261" spans="1:9" x14ac:dyDescent="0.25">
      <c r="A261" s="1">
        <v>38834</v>
      </c>
      <c r="B261" t="s">
        <v>23</v>
      </c>
      <c r="C261">
        <v>136</v>
      </c>
      <c r="D261">
        <f>MONTH(cukier11[[#This Row],[data]])</f>
        <v>4</v>
      </c>
      <c r="E261">
        <f>IF(D262&lt;&gt;cukier11[[#This Row],[miesiac]],1,0)</f>
        <v>1</v>
      </c>
      <c r="F261">
        <f>IF(AND(H260&lt;5000,cukier11[[#This Row],[czy_nastapiła_zmiana_mies]]=1),ROUNDUP((5000-H260)/1000,0),0)</f>
        <v>2</v>
      </c>
      <c r="G261">
        <f t="shared" si="4"/>
        <v>3301</v>
      </c>
      <c r="H261">
        <f>cukier11[[#This Row],[stan_magazynu]]-cukier11[[#This Row],[sprzedany_cukier]]</f>
        <v>3165</v>
      </c>
      <c r="I261" s="9">
        <f>cukier11[[#This Row],[stan_po_sprzedazy]]+cukier11[[#This Row],[ile_dokupic]]*1000</f>
        <v>5165</v>
      </c>
    </row>
    <row r="262" spans="1:9" x14ac:dyDescent="0.25">
      <c r="A262" s="1">
        <v>38845</v>
      </c>
      <c r="B262" t="s">
        <v>25</v>
      </c>
      <c r="C262">
        <v>41</v>
      </c>
      <c r="D262">
        <f>MONTH(cukier11[[#This Row],[data]])</f>
        <v>5</v>
      </c>
      <c r="E262">
        <f>IF(D263&lt;&gt;cukier11[[#This Row],[miesiac]],1,0)</f>
        <v>0</v>
      </c>
      <c r="F262">
        <f>IF(AND(H261&lt;5000,cukier11[[#This Row],[czy_nastapiła_zmiana_mies]]=1),ROUNDUP((5000-H261)/1000,0),0)</f>
        <v>0</v>
      </c>
      <c r="G262">
        <f t="shared" si="4"/>
        <v>5165</v>
      </c>
      <c r="H262">
        <f>cukier11[[#This Row],[stan_magazynu]]-cukier11[[#This Row],[sprzedany_cukier]]</f>
        <v>5124</v>
      </c>
      <c r="I262" s="9">
        <f>cukier11[[#This Row],[stan_po_sprzedazy]]+cukier11[[#This Row],[ile_dokupic]]*1000</f>
        <v>5124</v>
      </c>
    </row>
    <row r="263" spans="1:9" x14ac:dyDescent="0.25">
      <c r="A263" s="1">
        <v>38846</v>
      </c>
      <c r="B263" t="s">
        <v>45</v>
      </c>
      <c r="C263">
        <v>385</v>
      </c>
      <c r="D263">
        <f>MONTH(cukier11[[#This Row],[data]])</f>
        <v>5</v>
      </c>
      <c r="E263">
        <f>IF(D264&lt;&gt;cukier11[[#This Row],[miesiac]],1,0)</f>
        <v>0</v>
      </c>
      <c r="F263">
        <f>IF(AND(H262&lt;5000,cukier11[[#This Row],[czy_nastapiła_zmiana_mies]]=1),ROUNDUP((5000-H262)/1000,0),0)</f>
        <v>0</v>
      </c>
      <c r="G263">
        <f t="shared" si="4"/>
        <v>5124</v>
      </c>
      <c r="H263">
        <f>cukier11[[#This Row],[stan_magazynu]]-cukier11[[#This Row],[sprzedany_cukier]]</f>
        <v>4739</v>
      </c>
      <c r="I263" s="9">
        <f>cukier11[[#This Row],[stan_po_sprzedazy]]+cukier11[[#This Row],[ile_dokupic]]*1000</f>
        <v>4739</v>
      </c>
    </row>
    <row r="264" spans="1:9" x14ac:dyDescent="0.25">
      <c r="A264" s="1">
        <v>38847</v>
      </c>
      <c r="B264" t="s">
        <v>106</v>
      </c>
      <c r="C264">
        <v>17</v>
      </c>
      <c r="D264">
        <f>MONTH(cukier11[[#This Row],[data]])</f>
        <v>5</v>
      </c>
      <c r="E264">
        <f>IF(D265&lt;&gt;cukier11[[#This Row],[miesiac]],1,0)</f>
        <v>0</v>
      </c>
      <c r="F264">
        <f>IF(AND(H263&lt;5000,cukier11[[#This Row],[czy_nastapiła_zmiana_mies]]=1),ROUNDUP((5000-H263)/1000,0),0)</f>
        <v>0</v>
      </c>
      <c r="G264">
        <f t="shared" si="4"/>
        <v>4739</v>
      </c>
      <c r="H264">
        <f>cukier11[[#This Row],[stan_magazynu]]-cukier11[[#This Row],[sprzedany_cukier]]</f>
        <v>4722</v>
      </c>
      <c r="I264" s="9">
        <f>cukier11[[#This Row],[stan_po_sprzedazy]]+cukier11[[#This Row],[ile_dokupic]]*1000</f>
        <v>4722</v>
      </c>
    </row>
    <row r="265" spans="1:9" x14ac:dyDescent="0.25">
      <c r="A265" s="1">
        <v>38847</v>
      </c>
      <c r="B265" t="s">
        <v>107</v>
      </c>
      <c r="C265">
        <v>20</v>
      </c>
      <c r="D265">
        <f>MONTH(cukier11[[#This Row],[data]])</f>
        <v>5</v>
      </c>
      <c r="E265">
        <f>IF(D266&lt;&gt;cukier11[[#This Row],[miesiac]],1,0)</f>
        <v>0</v>
      </c>
      <c r="F265">
        <f>IF(AND(H264&lt;5000,cukier11[[#This Row],[czy_nastapiła_zmiana_mies]]=1),ROUNDUP((5000-H264)/1000,0),0)</f>
        <v>0</v>
      </c>
      <c r="G265">
        <f t="shared" si="4"/>
        <v>4722</v>
      </c>
      <c r="H265">
        <f>cukier11[[#This Row],[stan_magazynu]]-cukier11[[#This Row],[sprzedany_cukier]]</f>
        <v>4702</v>
      </c>
      <c r="I265" s="9">
        <f>cukier11[[#This Row],[stan_po_sprzedazy]]+cukier11[[#This Row],[ile_dokupic]]*1000</f>
        <v>4702</v>
      </c>
    </row>
    <row r="266" spans="1:9" x14ac:dyDescent="0.25">
      <c r="A266" s="1">
        <v>38851</v>
      </c>
      <c r="B266" t="s">
        <v>108</v>
      </c>
      <c r="C266">
        <v>19</v>
      </c>
      <c r="D266">
        <f>MONTH(cukier11[[#This Row],[data]])</f>
        <v>5</v>
      </c>
      <c r="E266">
        <f>IF(D267&lt;&gt;cukier11[[#This Row],[miesiac]],1,0)</f>
        <v>0</v>
      </c>
      <c r="F266">
        <f>IF(AND(H265&lt;5000,cukier11[[#This Row],[czy_nastapiła_zmiana_mies]]=1),ROUNDUP((5000-H265)/1000,0),0)</f>
        <v>0</v>
      </c>
      <c r="G266">
        <f t="shared" si="4"/>
        <v>4702</v>
      </c>
      <c r="H266">
        <f>cukier11[[#This Row],[stan_magazynu]]-cukier11[[#This Row],[sprzedany_cukier]]</f>
        <v>4683</v>
      </c>
      <c r="I266" s="9">
        <f>cukier11[[#This Row],[stan_po_sprzedazy]]+cukier11[[#This Row],[ile_dokupic]]*1000</f>
        <v>4683</v>
      </c>
    </row>
    <row r="267" spans="1:9" x14ac:dyDescent="0.25">
      <c r="A267" s="1">
        <v>38852</v>
      </c>
      <c r="B267" t="s">
        <v>43</v>
      </c>
      <c r="C267">
        <v>13</v>
      </c>
      <c r="D267">
        <f>MONTH(cukier11[[#This Row],[data]])</f>
        <v>5</v>
      </c>
      <c r="E267">
        <f>IF(D268&lt;&gt;cukier11[[#This Row],[miesiac]],1,0)</f>
        <v>0</v>
      </c>
      <c r="F267">
        <f>IF(AND(H266&lt;5000,cukier11[[#This Row],[czy_nastapiła_zmiana_mies]]=1),ROUNDUP((5000-H266)/1000,0),0)</f>
        <v>0</v>
      </c>
      <c r="G267">
        <f t="shared" si="4"/>
        <v>4683</v>
      </c>
      <c r="H267">
        <f>cukier11[[#This Row],[stan_magazynu]]-cukier11[[#This Row],[sprzedany_cukier]]</f>
        <v>4670</v>
      </c>
      <c r="I267" s="9">
        <f>cukier11[[#This Row],[stan_po_sprzedazy]]+cukier11[[#This Row],[ile_dokupic]]*1000</f>
        <v>4670</v>
      </c>
    </row>
    <row r="268" spans="1:9" x14ac:dyDescent="0.25">
      <c r="A268" s="1">
        <v>38853</v>
      </c>
      <c r="B268" t="s">
        <v>97</v>
      </c>
      <c r="C268">
        <v>13</v>
      </c>
      <c r="D268">
        <f>MONTH(cukier11[[#This Row],[data]])</f>
        <v>5</v>
      </c>
      <c r="E268">
        <f>IF(D269&lt;&gt;cukier11[[#This Row],[miesiac]],1,0)</f>
        <v>0</v>
      </c>
      <c r="F268">
        <f>IF(AND(H267&lt;5000,cukier11[[#This Row],[czy_nastapiła_zmiana_mies]]=1),ROUNDUP((5000-H267)/1000,0),0)</f>
        <v>0</v>
      </c>
      <c r="G268">
        <f t="shared" si="4"/>
        <v>4670</v>
      </c>
      <c r="H268">
        <f>cukier11[[#This Row],[stan_magazynu]]-cukier11[[#This Row],[sprzedany_cukier]]</f>
        <v>4657</v>
      </c>
      <c r="I268" s="9">
        <f>cukier11[[#This Row],[stan_po_sprzedazy]]+cukier11[[#This Row],[ile_dokupic]]*1000</f>
        <v>4657</v>
      </c>
    </row>
    <row r="269" spans="1:9" x14ac:dyDescent="0.25">
      <c r="A269" s="1">
        <v>38855</v>
      </c>
      <c r="B269" t="s">
        <v>80</v>
      </c>
      <c r="C269">
        <v>168</v>
      </c>
      <c r="D269">
        <f>MONTH(cukier11[[#This Row],[data]])</f>
        <v>5</v>
      </c>
      <c r="E269">
        <f>IF(D270&lt;&gt;cukier11[[#This Row],[miesiac]],1,0)</f>
        <v>0</v>
      </c>
      <c r="F269">
        <f>IF(AND(H268&lt;5000,cukier11[[#This Row],[czy_nastapiła_zmiana_mies]]=1),ROUNDUP((5000-H268)/1000,0),0)</f>
        <v>0</v>
      </c>
      <c r="G269">
        <f t="shared" si="4"/>
        <v>4657</v>
      </c>
      <c r="H269">
        <f>cukier11[[#This Row],[stan_magazynu]]-cukier11[[#This Row],[sprzedany_cukier]]</f>
        <v>4489</v>
      </c>
      <c r="I269" s="9">
        <f>cukier11[[#This Row],[stan_po_sprzedazy]]+cukier11[[#This Row],[ile_dokupic]]*1000</f>
        <v>4489</v>
      </c>
    </row>
    <row r="270" spans="1:9" x14ac:dyDescent="0.25">
      <c r="A270" s="1">
        <v>38855</v>
      </c>
      <c r="B270" t="s">
        <v>109</v>
      </c>
      <c r="C270">
        <v>18</v>
      </c>
      <c r="D270">
        <f>MONTH(cukier11[[#This Row],[data]])</f>
        <v>5</v>
      </c>
      <c r="E270">
        <f>IF(D271&lt;&gt;cukier11[[#This Row],[miesiac]],1,0)</f>
        <v>0</v>
      </c>
      <c r="F270">
        <f>IF(AND(H269&lt;5000,cukier11[[#This Row],[czy_nastapiła_zmiana_mies]]=1),ROUNDUP((5000-H269)/1000,0),0)</f>
        <v>0</v>
      </c>
      <c r="G270">
        <f t="shared" si="4"/>
        <v>4489</v>
      </c>
      <c r="H270">
        <f>cukier11[[#This Row],[stan_magazynu]]-cukier11[[#This Row],[sprzedany_cukier]]</f>
        <v>4471</v>
      </c>
      <c r="I270" s="9">
        <f>cukier11[[#This Row],[stan_po_sprzedazy]]+cukier11[[#This Row],[ile_dokupic]]*1000</f>
        <v>4471</v>
      </c>
    </row>
    <row r="271" spans="1:9" x14ac:dyDescent="0.25">
      <c r="A271" s="1">
        <v>38855</v>
      </c>
      <c r="B271" t="s">
        <v>14</v>
      </c>
      <c r="C271">
        <v>131</v>
      </c>
      <c r="D271">
        <f>MONTH(cukier11[[#This Row],[data]])</f>
        <v>5</v>
      </c>
      <c r="E271">
        <f>IF(D272&lt;&gt;cukier11[[#This Row],[miesiac]],1,0)</f>
        <v>0</v>
      </c>
      <c r="F271">
        <f>IF(AND(H270&lt;5000,cukier11[[#This Row],[czy_nastapiła_zmiana_mies]]=1),ROUNDUP((5000-H270)/1000,0),0)</f>
        <v>0</v>
      </c>
      <c r="G271">
        <f t="shared" si="4"/>
        <v>4471</v>
      </c>
      <c r="H271">
        <f>cukier11[[#This Row],[stan_magazynu]]-cukier11[[#This Row],[sprzedany_cukier]]</f>
        <v>4340</v>
      </c>
      <c r="I271" s="9">
        <f>cukier11[[#This Row],[stan_po_sprzedazy]]+cukier11[[#This Row],[ile_dokupic]]*1000</f>
        <v>4340</v>
      </c>
    </row>
    <row r="272" spans="1:9" x14ac:dyDescent="0.25">
      <c r="A272" s="1">
        <v>38856</v>
      </c>
      <c r="B272" t="s">
        <v>22</v>
      </c>
      <c r="C272">
        <v>187</v>
      </c>
      <c r="D272">
        <f>MONTH(cukier11[[#This Row],[data]])</f>
        <v>5</v>
      </c>
      <c r="E272">
        <f>IF(D273&lt;&gt;cukier11[[#This Row],[miesiac]],1,0)</f>
        <v>0</v>
      </c>
      <c r="F272">
        <f>IF(AND(H271&lt;5000,cukier11[[#This Row],[czy_nastapiła_zmiana_mies]]=1),ROUNDUP((5000-H271)/1000,0),0)</f>
        <v>0</v>
      </c>
      <c r="G272">
        <f t="shared" si="4"/>
        <v>4340</v>
      </c>
      <c r="H272">
        <f>cukier11[[#This Row],[stan_magazynu]]-cukier11[[#This Row],[sprzedany_cukier]]</f>
        <v>4153</v>
      </c>
      <c r="I272" s="9">
        <f>cukier11[[#This Row],[stan_po_sprzedazy]]+cukier11[[#This Row],[ile_dokupic]]*1000</f>
        <v>4153</v>
      </c>
    </row>
    <row r="273" spans="1:9" x14ac:dyDescent="0.25">
      <c r="A273" s="1">
        <v>38857</v>
      </c>
      <c r="B273" t="s">
        <v>24</v>
      </c>
      <c r="C273">
        <v>412</v>
      </c>
      <c r="D273">
        <f>MONTH(cukier11[[#This Row],[data]])</f>
        <v>5</v>
      </c>
      <c r="E273">
        <f>IF(D274&lt;&gt;cukier11[[#This Row],[miesiac]],1,0)</f>
        <v>0</v>
      </c>
      <c r="F273">
        <f>IF(AND(H272&lt;5000,cukier11[[#This Row],[czy_nastapiła_zmiana_mies]]=1),ROUNDUP((5000-H272)/1000,0),0)</f>
        <v>0</v>
      </c>
      <c r="G273">
        <f t="shared" si="4"/>
        <v>4153</v>
      </c>
      <c r="H273">
        <f>cukier11[[#This Row],[stan_magazynu]]-cukier11[[#This Row],[sprzedany_cukier]]</f>
        <v>3741</v>
      </c>
      <c r="I273" s="9">
        <f>cukier11[[#This Row],[stan_po_sprzedazy]]+cukier11[[#This Row],[ile_dokupic]]*1000</f>
        <v>3741</v>
      </c>
    </row>
    <row r="274" spans="1:9" x14ac:dyDescent="0.25">
      <c r="A274" s="1">
        <v>38859</v>
      </c>
      <c r="B274" t="s">
        <v>6</v>
      </c>
      <c r="C274">
        <v>40</v>
      </c>
      <c r="D274">
        <f>MONTH(cukier11[[#This Row],[data]])</f>
        <v>5</v>
      </c>
      <c r="E274">
        <f>IF(D275&lt;&gt;cukier11[[#This Row],[miesiac]],1,0)</f>
        <v>0</v>
      </c>
      <c r="F274">
        <f>IF(AND(H273&lt;5000,cukier11[[#This Row],[czy_nastapiła_zmiana_mies]]=1),ROUNDUP((5000-H273)/1000,0),0)</f>
        <v>0</v>
      </c>
      <c r="G274">
        <f t="shared" si="4"/>
        <v>3741</v>
      </c>
      <c r="H274">
        <f>cukier11[[#This Row],[stan_magazynu]]-cukier11[[#This Row],[sprzedany_cukier]]</f>
        <v>3701</v>
      </c>
      <c r="I274" s="9">
        <f>cukier11[[#This Row],[stan_po_sprzedazy]]+cukier11[[#This Row],[ile_dokupic]]*1000</f>
        <v>3701</v>
      </c>
    </row>
    <row r="275" spans="1:9" x14ac:dyDescent="0.25">
      <c r="A275" s="1">
        <v>38860</v>
      </c>
      <c r="B275" t="s">
        <v>37</v>
      </c>
      <c r="C275">
        <v>166</v>
      </c>
      <c r="D275">
        <f>MONTH(cukier11[[#This Row],[data]])</f>
        <v>5</v>
      </c>
      <c r="E275">
        <f>IF(D276&lt;&gt;cukier11[[#This Row],[miesiac]],1,0)</f>
        <v>0</v>
      </c>
      <c r="F275">
        <f>IF(AND(H274&lt;5000,cukier11[[#This Row],[czy_nastapiła_zmiana_mies]]=1),ROUNDUP((5000-H274)/1000,0),0)</f>
        <v>0</v>
      </c>
      <c r="G275">
        <f t="shared" si="4"/>
        <v>3701</v>
      </c>
      <c r="H275">
        <f>cukier11[[#This Row],[stan_magazynu]]-cukier11[[#This Row],[sprzedany_cukier]]</f>
        <v>3535</v>
      </c>
      <c r="I275" s="9">
        <f>cukier11[[#This Row],[stan_po_sprzedazy]]+cukier11[[#This Row],[ile_dokupic]]*1000</f>
        <v>3535</v>
      </c>
    </row>
    <row r="276" spans="1:9" x14ac:dyDescent="0.25">
      <c r="A276" s="1">
        <v>38861</v>
      </c>
      <c r="B276" t="s">
        <v>66</v>
      </c>
      <c r="C276">
        <v>173</v>
      </c>
      <c r="D276">
        <f>MONTH(cukier11[[#This Row],[data]])</f>
        <v>5</v>
      </c>
      <c r="E276">
        <f>IF(D277&lt;&gt;cukier11[[#This Row],[miesiac]],1,0)</f>
        <v>0</v>
      </c>
      <c r="F276">
        <f>IF(AND(H275&lt;5000,cukier11[[#This Row],[czy_nastapiła_zmiana_mies]]=1),ROUNDUP((5000-H275)/1000,0),0)</f>
        <v>0</v>
      </c>
      <c r="G276">
        <f t="shared" si="4"/>
        <v>3535</v>
      </c>
      <c r="H276">
        <f>cukier11[[#This Row],[stan_magazynu]]-cukier11[[#This Row],[sprzedany_cukier]]</f>
        <v>3362</v>
      </c>
      <c r="I276" s="9">
        <f>cukier11[[#This Row],[stan_po_sprzedazy]]+cukier11[[#This Row],[ile_dokupic]]*1000</f>
        <v>3362</v>
      </c>
    </row>
    <row r="277" spans="1:9" x14ac:dyDescent="0.25">
      <c r="A277" s="1">
        <v>38862</v>
      </c>
      <c r="B277" t="s">
        <v>110</v>
      </c>
      <c r="C277">
        <v>2</v>
      </c>
      <c r="D277">
        <f>MONTH(cukier11[[#This Row],[data]])</f>
        <v>5</v>
      </c>
      <c r="E277">
        <f>IF(D278&lt;&gt;cukier11[[#This Row],[miesiac]],1,0)</f>
        <v>0</v>
      </c>
      <c r="F277">
        <f>IF(AND(H276&lt;5000,cukier11[[#This Row],[czy_nastapiła_zmiana_mies]]=1),ROUNDUP((5000-H276)/1000,0),0)</f>
        <v>0</v>
      </c>
      <c r="G277">
        <f t="shared" si="4"/>
        <v>3362</v>
      </c>
      <c r="H277">
        <f>cukier11[[#This Row],[stan_magazynu]]-cukier11[[#This Row],[sprzedany_cukier]]</f>
        <v>3360</v>
      </c>
      <c r="I277" s="9">
        <f>cukier11[[#This Row],[stan_po_sprzedazy]]+cukier11[[#This Row],[ile_dokupic]]*1000</f>
        <v>3360</v>
      </c>
    </row>
    <row r="278" spans="1:9" x14ac:dyDescent="0.25">
      <c r="A278" s="1">
        <v>38862</v>
      </c>
      <c r="B278" t="s">
        <v>111</v>
      </c>
      <c r="C278">
        <v>18</v>
      </c>
      <c r="D278">
        <f>MONTH(cukier11[[#This Row],[data]])</f>
        <v>5</v>
      </c>
      <c r="E278">
        <f>IF(D279&lt;&gt;cukier11[[#This Row],[miesiac]],1,0)</f>
        <v>0</v>
      </c>
      <c r="F278">
        <f>IF(AND(H277&lt;5000,cukier11[[#This Row],[czy_nastapiła_zmiana_mies]]=1),ROUNDUP((5000-H277)/1000,0),0)</f>
        <v>0</v>
      </c>
      <c r="G278">
        <f t="shared" si="4"/>
        <v>3360</v>
      </c>
      <c r="H278">
        <f>cukier11[[#This Row],[stan_magazynu]]-cukier11[[#This Row],[sprzedany_cukier]]</f>
        <v>3342</v>
      </c>
      <c r="I278" s="9">
        <f>cukier11[[#This Row],[stan_po_sprzedazy]]+cukier11[[#This Row],[ile_dokupic]]*1000</f>
        <v>3342</v>
      </c>
    </row>
    <row r="279" spans="1:9" x14ac:dyDescent="0.25">
      <c r="A279" s="1">
        <v>38863</v>
      </c>
      <c r="B279" t="s">
        <v>112</v>
      </c>
      <c r="C279">
        <v>15</v>
      </c>
      <c r="D279">
        <f>MONTH(cukier11[[#This Row],[data]])</f>
        <v>5</v>
      </c>
      <c r="E279">
        <f>IF(D280&lt;&gt;cukier11[[#This Row],[miesiac]],1,0)</f>
        <v>0</v>
      </c>
      <c r="F279">
        <f>IF(AND(H278&lt;5000,cukier11[[#This Row],[czy_nastapiła_zmiana_mies]]=1),ROUNDUP((5000-H278)/1000,0),0)</f>
        <v>0</v>
      </c>
      <c r="G279">
        <f t="shared" si="4"/>
        <v>3342</v>
      </c>
      <c r="H279">
        <f>cukier11[[#This Row],[stan_magazynu]]-cukier11[[#This Row],[sprzedany_cukier]]</f>
        <v>3327</v>
      </c>
      <c r="I279" s="9">
        <f>cukier11[[#This Row],[stan_po_sprzedazy]]+cukier11[[#This Row],[ile_dokupic]]*1000</f>
        <v>3327</v>
      </c>
    </row>
    <row r="280" spans="1:9" x14ac:dyDescent="0.25">
      <c r="A280" s="1">
        <v>38864</v>
      </c>
      <c r="B280" t="s">
        <v>102</v>
      </c>
      <c r="C280">
        <v>243</v>
      </c>
      <c r="D280">
        <f>MONTH(cukier11[[#This Row],[data]])</f>
        <v>5</v>
      </c>
      <c r="E280">
        <f>IF(D281&lt;&gt;cukier11[[#This Row],[miesiac]],1,0)</f>
        <v>0</v>
      </c>
      <c r="F280">
        <f>IF(AND(H279&lt;5000,cukier11[[#This Row],[czy_nastapiła_zmiana_mies]]=1),ROUNDUP((5000-H279)/1000,0),0)</f>
        <v>0</v>
      </c>
      <c r="G280">
        <f t="shared" si="4"/>
        <v>3327</v>
      </c>
      <c r="H280">
        <f>cukier11[[#This Row],[stan_magazynu]]-cukier11[[#This Row],[sprzedany_cukier]]</f>
        <v>3084</v>
      </c>
      <c r="I280" s="9">
        <f>cukier11[[#This Row],[stan_po_sprzedazy]]+cukier11[[#This Row],[ile_dokupic]]*1000</f>
        <v>3084</v>
      </c>
    </row>
    <row r="281" spans="1:9" x14ac:dyDescent="0.25">
      <c r="A281" s="1">
        <v>38865</v>
      </c>
      <c r="B281" t="s">
        <v>17</v>
      </c>
      <c r="C281">
        <v>460</v>
      </c>
      <c r="D281">
        <f>MONTH(cukier11[[#This Row],[data]])</f>
        <v>5</v>
      </c>
      <c r="E281">
        <f>IF(D282&lt;&gt;cukier11[[#This Row],[miesiac]],1,0)</f>
        <v>0</v>
      </c>
      <c r="F281">
        <f>IF(AND(H280&lt;5000,cukier11[[#This Row],[czy_nastapiła_zmiana_mies]]=1),ROUNDUP((5000-H280)/1000,0),0)</f>
        <v>0</v>
      </c>
      <c r="G281">
        <f t="shared" si="4"/>
        <v>3084</v>
      </c>
      <c r="H281">
        <f>cukier11[[#This Row],[stan_magazynu]]-cukier11[[#This Row],[sprzedany_cukier]]</f>
        <v>2624</v>
      </c>
      <c r="I281" s="9">
        <f>cukier11[[#This Row],[stan_po_sprzedazy]]+cukier11[[#This Row],[ile_dokupic]]*1000</f>
        <v>2624</v>
      </c>
    </row>
    <row r="282" spans="1:9" x14ac:dyDescent="0.25">
      <c r="A282" s="1">
        <v>38865</v>
      </c>
      <c r="B282" t="s">
        <v>113</v>
      </c>
      <c r="C282">
        <v>8</v>
      </c>
      <c r="D282">
        <f>MONTH(cukier11[[#This Row],[data]])</f>
        <v>5</v>
      </c>
      <c r="E282">
        <f>IF(D283&lt;&gt;cukier11[[#This Row],[miesiac]],1,0)</f>
        <v>0</v>
      </c>
      <c r="F282">
        <f>IF(AND(H281&lt;5000,cukier11[[#This Row],[czy_nastapiła_zmiana_mies]]=1),ROUNDUP((5000-H281)/1000,0),0)</f>
        <v>0</v>
      </c>
      <c r="G282">
        <f t="shared" si="4"/>
        <v>2624</v>
      </c>
      <c r="H282">
        <f>cukier11[[#This Row],[stan_magazynu]]-cukier11[[#This Row],[sprzedany_cukier]]</f>
        <v>2616</v>
      </c>
      <c r="I282" s="9">
        <f>cukier11[[#This Row],[stan_po_sprzedazy]]+cukier11[[#This Row],[ile_dokupic]]*1000</f>
        <v>2616</v>
      </c>
    </row>
    <row r="283" spans="1:9" x14ac:dyDescent="0.25">
      <c r="A283" s="1">
        <v>38866</v>
      </c>
      <c r="B283" t="s">
        <v>8</v>
      </c>
      <c r="C283">
        <v>150</v>
      </c>
      <c r="D283">
        <f>MONTH(cukier11[[#This Row],[data]])</f>
        <v>5</v>
      </c>
      <c r="E283">
        <f>IF(D284&lt;&gt;cukier11[[#This Row],[miesiac]],1,0)</f>
        <v>0</v>
      </c>
      <c r="F283">
        <f>IF(AND(H282&lt;5000,cukier11[[#This Row],[czy_nastapiła_zmiana_mies]]=1),ROUNDUP((5000-H282)/1000,0),0)</f>
        <v>0</v>
      </c>
      <c r="G283">
        <f t="shared" si="4"/>
        <v>2616</v>
      </c>
      <c r="H283">
        <f>cukier11[[#This Row],[stan_magazynu]]-cukier11[[#This Row],[sprzedany_cukier]]</f>
        <v>2466</v>
      </c>
      <c r="I283" s="9">
        <f>cukier11[[#This Row],[stan_po_sprzedazy]]+cukier11[[#This Row],[ile_dokupic]]*1000</f>
        <v>2466</v>
      </c>
    </row>
    <row r="284" spans="1:9" x14ac:dyDescent="0.25">
      <c r="A284" s="1">
        <v>38867</v>
      </c>
      <c r="B284" t="s">
        <v>52</v>
      </c>
      <c r="C284">
        <v>72</v>
      </c>
      <c r="D284">
        <f>MONTH(cukier11[[#This Row],[data]])</f>
        <v>5</v>
      </c>
      <c r="E284">
        <f>IF(D285&lt;&gt;cukier11[[#This Row],[miesiac]],1,0)</f>
        <v>0</v>
      </c>
      <c r="F284">
        <f>IF(AND(H283&lt;5000,cukier11[[#This Row],[czy_nastapiła_zmiana_mies]]=1),ROUNDUP((5000-H283)/1000,0),0)</f>
        <v>0</v>
      </c>
      <c r="G284">
        <f t="shared" si="4"/>
        <v>2466</v>
      </c>
      <c r="H284">
        <f>cukier11[[#This Row],[stan_magazynu]]-cukier11[[#This Row],[sprzedany_cukier]]</f>
        <v>2394</v>
      </c>
      <c r="I284" s="9">
        <f>cukier11[[#This Row],[stan_po_sprzedazy]]+cukier11[[#This Row],[ile_dokupic]]*1000</f>
        <v>2394</v>
      </c>
    </row>
    <row r="285" spans="1:9" x14ac:dyDescent="0.25">
      <c r="A285" s="1">
        <v>38867</v>
      </c>
      <c r="B285" t="s">
        <v>9</v>
      </c>
      <c r="C285">
        <v>217</v>
      </c>
      <c r="D285">
        <f>MONTH(cukier11[[#This Row],[data]])</f>
        <v>5</v>
      </c>
      <c r="E285">
        <f>IF(D286&lt;&gt;cukier11[[#This Row],[miesiac]],1,0)</f>
        <v>1</v>
      </c>
      <c r="F285">
        <f>IF(AND(H284&lt;5000,cukier11[[#This Row],[czy_nastapiła_zmiana_mies]]=1),ROUNDUP((5000-H284)/1000,0),0)</f>
        <v>3</v>
      </c>
      <c r="G285">
        <f t="shared" si="4"/>
        <v>2394</v>
      </c>
      <c r="H285">
        <f>cukier11[[#This Row],[stan_magazynu]]-cukier11[[#This Row],[sprzedany_cukier]]</f>
        <v>2177</v>
      </c>
      <c r="I285" s="9">
        <f>cukier11[[#This Row],[stan_po_sprzedazy]]+cukier11[[#This Row],[ile_dokupic]]*1000</f>
        <v>5177</v>
      </c>
    </row>
    <row r="286" spans="1:9" x14ac:dyDescent="0.25">
      <c r="A286" s="1">
        <v>38870</v>
      </c>
      <c r="B286" t="s">
        <v>39</v>
      </c>
      <c r="C286">
        <v>164</v>
      </c>
      <c r="D286">
        <f>MONTH(cukier11[[#This Row],[data]])</f>
        <v>6</v>
      </c>
      <c r="E286">
        <f>IF(D287&lt;&gt;cukier11[[#This Row],[miesiac]],1,0)</f>
        <v>0</v>
      </c>
      <c r="F286">
        <f>IF(AND(H285&lt;5000,cukier11[[#This Row],[czy_nastapiła_zmiana_mies]]=1),ROUNDUP((5000-H285)/1000,0),0)</f>
        <v>0</v>
      </c>
      <c r="G286">
        <f t="shared" si="4"/>
        <v>5177</v>
      </c>
      <c r="H286">
        <f>cukier11[[#This Row],[stan_magazynu]]-cukier11[[#This Row],[sprzedany_cukier]]</f>
        <v>5013</v>
      </c>
      <c r="I286" s="9">
        <f>cukier11[[#This Row],[stan_po_sprzedazy]]+cukier11[[#This Row],[ile_dokupic]]*1000</f>
        <v>5013</v>
      </c>
    </row>
    <row r="287" spans="1:9" x14ac:dyDescent="0.25">
      <c r="A287" s="1">
        <v>38870</v>
      </c>
      <c r="B287" t="s">
        <v>45</v>
      </c>
      <c r="C287">
        <v>429</v>
      </c>
      <c r="D287">
        <f>MONTH(cukier11[[#This Row],[data]])</f>
        <v>6</v>
      </c>
      <c r="E287">
        <f>IF(D288&lt;&gt;cukier11[[#This Row],[miesiac]],1,0)</f>
        <v>0</v>
      </c>
      <c r="F287">
        <f>IF(AND(H286&lt;5000,cukier11[[#This Row],[czy_nastapiła_zmiana_mies]]=1),ROUNDUP((5000-H286)/1000,0),0)</f>
        <v>0</v>
      </c>
      <c r="G287">
        <f t="shared" si="4"/>
        <v>5013</v>
      </c>
      <c r="H287">
        <f>cukier11[[#This Row],[stan_magazynu]]-cukier11[[#This Row],[sprzedany_cukier]]</f>
        <v>4584</v>
      </c>
      <c r="I287" s="9">
        <f>cukier11[[#This Row],[stan_po_sprzedazy]]+cukier11[[#This Row],[ile_dokupic]]*1000</f>
        <v>4584</v>
      </c>
    </row>
    <row r="288" spans="1:9" x14ac:dyDescent="0.25">
      <c r="A288" s="1">
        <v>38875</v>
      </c>
      <c r="B288" t="s">
        <v>8</v>
      </c>
      <c r="C288">
        <v>63</v>
      </c>
      <c r="D288">
        <f>MONTH(cukier11[[#This Row],[data]])</f>
        <v>6</v>
      </c>
      <c r="E288">
        <f>IF(D289&lt;&gt;cukier11[[#This Row],[miesiac]],1,0)</f>
        <v>0</v>
      </c>
      <c r="F288">
        <f>IF(AND(H287&lt;5000,cukier11[[#This Row],[czy_nastapiła_zmiana_mies]]=1),ROUNDUP((5000-H287)/1000,0),0)</f>
        <v>0</v>
      </c>
      <c r="G288">
        <f t="shared" si="4"/>
        <v>4584</v>
      </c>
      <c r="H288">
        <f>cukier11[[#This Row],[stan_magazynu]]-cukier11[[#This Row],[sprzedany_cukier]]</f>
        <v>4521</v>
      </c>
      <c r="I288" s="9">
        <f>cukier11[[#This Row],[stan_po_sprzedazy]]+cukier11[[#This Row],[ile_dokupic]]*1000</f>
        <v>4521</v>
      </c>
    </row>
    <row r="289" spans="1:9" x14ac:dyDescent="0.25">
      <c r="A289" s="1">
        <v>38878</v>
      </c>
      <c r="B289" t="s">
        <v>30</v>
      </c>
      <c r="C289">
        <v>106</v>
      </c>
      <c r="D289">
        <f>MONTH(cukier11[[#This Row],[data]])</f>
        <v>6</v>
      </c>
      <c r="E289">
        <f>IF(D290&lt;&gt;cukier11[[#This Row],[miesiac]],1,0)</f>
        <v>0</v>
      </c>
      <c r="F289">
        <f>IF(AND(H288&lt;5000,cukier11[[#This Row],[czy_nastapiła_zmiana_mies]]=1),ROUNDUP((5000-H288)/1000,0),0)</f>
        <v>0</v>
      </c>
      <c r="G289">
        <f t="shared" si="4"/>
        <v>4521</v>
      </c>
      <c r="H289">
        <f>cukier11[[#This Row],[stan_magazynu]]-cukier11[[#This Row],[sprzedany_cukier]]</f>
        <v>4415</v>
      </c>
      <c r="I289" s="9">
        <f>cukier11[[#This Row],[stan_po_sprzedazy]]+cukier11[[#This Row],[ile_dokupic]]*1000</f>
        <v>4415</v>
      </c>
    </row>
    <row r="290" spans="1:9" x14ac:dyDescent="0.25">
      <c r="A290" s="1">
        <v>38886</v>
      </c>
      <c r="B290" t="s">
        <v>22</v>
      </c>
      <c r="C290">
        <v>136</v>
      </c>
      <c r="D290">
        <f>MONTH(cukier11[[#This Row],[data]])</f>
        <v>6</v>
      </c>
      <c r="E290">
        <f>IF(D291&lt;&gt;cukier11[[#This Row],[miesiac]],1,0)</f>
        <v>0</v>
      </c>
      <c r="F290">
        <f>IF(AND(H289&lt;5000,cukier11[[#This Row],[czy_nastapiła_zmiana_mies]]=1),ROUNDUP((5000-H289)/1000,0),0)</f>
        <v>0</v>
      </c>
      <c r="G290">
        <f t="shared" si="4"/>
        <v>4415</v>
      </c>
      <c r="H290">
        <f>cukier11[[#This Row],[stan_magazynu]]-cukier11[[#This Row],[sprzedany_cukier]]</f>
        <v>4279</v>
      </c>
      <c r="I290" s="9">
        <f>cukier11[[#This Row],[stan_po_sprzedazy]]+cukier11[[#This Row],[ile_dokupic]]*1000</f>
        <v>4279</v>
      </c>
    </row>
    <row r="291" spans="1:9" x14ac:dyDescent="0.25">
      <c r="A291" s="1">
        <v>38887</v>
      </c>
      <c r="B291" t="s">
        <v>114</v>
      </c>
      <c r="C291">
        <v>7</v>
      </c>
      <c r="D291">
        <f>MONTH(cukier11[[#This Row],[data]])</f>
        <v>6</v>
      </c>
      <c r="E291">
        <f>IF(D292&lt;&gt;cukier11[[#This Row],[miesiac]],1,0)</f>
        <v>0</v>
      </c>
      <c r="F291">
        <f>IF(AND(H290&lt;5000,cukier11[[#This Row],[czy_nastapiła_zmiana_mies]]=1),ROUNDUP((5000-H290)/1000,0),0)</f>
        <v>0</v>
      </c>
      <c r="G291">
        <f t="shared" si="4"/>
        <v>4279</v>
      </c>
      <c r="H291">
        <f>cukier11[[#This Row],[stan_magazynu]]-cukier11[[#This Row],[sprzedany_cukier]]</f>
        <v>4272</v>
      </c>
      <c r="I291" s="9">
        <f>cukier11[[#This Row],[stan_po_sprzedazy]]+cukier11[[#This Row],[ile_dokupic]]*1000</f>
        <v>4272</v>
      </c>
    </row>
    <row r="292" spans="1:9" x14ac:dyDescent="0.25">
      <c r="A292" s="1">
        <v>38896</v>
      </c>
      <c r="B292" t="s">
        <v>12</v>
      </c>
      <c r="C292">
        <v>114</v>
      </c>
      <c r="D292">
        <f>MONTH(cukier11[[#This Row],[data]])</f>
        <v>6</v>
      </c>
      <c r="E292">
        <f>IF(D293&lt;&gt;cukier11[[#This Row],[miesiac]],1,0)</f>
        <v>0</v>
      </c>
      <c r="F292">
        <f>IF(AND(H291&lt;5000,cukier11[[#This Row],[czy_nastapiła_zmiana_mies]]=1),ROUNDUP((5000-H291)/1000,0),0)</f>
        <v>0</v>
      </c>
      <c r="G292">
        <f t="shared" si="4"/>
        <v>4272</v>
      </c>
      <c r="H292">
        <f>cukier11[[#This Row],[stan_magazynu]]-cukier11[[#This Row],[sprzedany_cukier]]</f>
        <v>4158</v>
      </c>
      <c r="I292" s="9">
        <f>cukier11[[#This Row],[stan_po_sprzedazy]]+cukier11[[#This Row],[ile_dokupic]]*1000</f>
        <v>4158</v>
      </c>
    </row>
    <row r="293" spans="1:9" x14ac:dyDescent="0.25">
      <c r="A293" s="1">
        <v>38896</v>
      </c>
      <c r="B293" t="s">
        <v>115</v>
      </c>
      <c r="C293">
        <v>12</v>
      </c>
      <c r="D293">
        <f>MONTH(cukier11[[#This Row],[data]])</f>
        <v>6</v>
      </c>
      <c r="E293">
        <f>IF(D294&lt;&gt;cukier11[[#This Row],[miesiac]],1,0)</f>
        <v>1</v>
      </c>
      <c r="F293">
        <f>IF(AND(H292&lt;5000,cukier11[[#This Row],[czy_nastapiła_zmiana_mies]]=1),ROUNDUP((5000-H292)/1000,0),0)</f>
        <v>1</v>
      </c>
      <c r="G293">
        <f t="shared" si="4"/>
        <v>4158</v>
      </c>
      <c r="H293">
        <f>cukier11[[#This Row],[stan_magazynu]]-cukier11[[#This Row],[sprzedany_cukier]]</f>
        <v>4146</v>
      </c>
      <c r="I293" s="9">
        <f>cukier11[[#This Row],[stan_po_sprzedazy]]+cukier11[[#This Row],[ile_dokupic]]*1000</f>
        <v>5146</v>
      </c>
    </row>
    <row r="294" spans="1:9" x14ac:dyDescent="0.25">
      <c r="A294" s="1">
        <v>38902</v>
      </c>
      <c r="B294" t="s">
        <v>9</v>
      </c>
      <c r="C294">
        <v>443</v>
      </c>
      <c r="D294">
        <f>MONTH(cukier11[[#This Row],[data]])</f>
        <v>7</v>
      </c>
      <c r="E294">
        <f>IF(D295&lt;&gt;cukier11[[#This Row],[miesiac]],1,0)</f>
        <v>0</v>
      </c>
      <c r="F294">
        <f>IF(AND(H293&lt;5000,cukier11[[#This Row],[czy_nastapiła_zmiana_mies]]=1),ROUNDUP((5000-H293)/1000,0),0)</f>
        <v>0</v>
      </c>
      <c r="G294">
        <f t="shared" si="4"/>
        <v>5146</v>
      </c>
      <c r="H294">
        <f>cukier11[[#This Row],[stan_magazynu]]-cukier11[[#This Row],[sprzedany_cukier]]</f>
        <v>4703</v>
      </c>
      <c r="I294" s="9">
        <f>cukier11[[#This Row],[stan_po_sprzedazy]]+cukier11[[#This Row],[ile_dokupic]]*1000</f>
        <v>4703</v>
      </c>
    </row>
    <row r="295" spans="1:9" x14ac:dyDescent="0.25">
      <c r="A295" s="1">
        <v>38904</v>
      </c>
      <c r="B295" t="s">
        <v>52</v>
      </c>
      <c r="C295">
        <v>73</v>
      </c>
      <c r="D295">
        <f>MONTH(cukier11[[#This Row],[data]])</f>
        <v>7</v>
      </c>
      <c r="E295">
        <f>IF(D296&lt;&gt;cukier11[[#This Row],[miesiac]],1,0)</f>
        <v>0</v>
      </c>
      <c r="F295">
        <f>IF(AND(H294&lt;5000,cukier11[[#This Row],[czy_nastapiła_zmiana_mies]]=1),ROUNDUP((5000-H294)/1000,0),0)</f>
        <v>0</v>
      </c>
      <c r="G295">
        <f t="shared" si="4"/>
        <v>4703</v>
      </c>
      <c r="H295">
        <f>cukier11[[#This Row],[stan_magazynu]]-cukier11[[#This Row],[sprzedany_cukier]]</f>
        <v>4630</v>
      </c>
      <c r="I295" s="9">
        <f>cukier11[[#This Row],[stan_po_sprzedazy]]+cukier11[[#This Row],[ile_dokupic]]*1000</f>
        <v>4630</v>
      </c>
    </row>
    <row r="296" spans="1:9" x14ac:dyDescent="0.25">
      <c r="A296" s="1">
        <v>38907</v>
      </c>
      <c r="B296" t="s">
        <v>116</v>
      </c>
      <c r="C296">
        <v>15</v>
      </c>
      <c r="D296">
        <f>MONTH(cukier11[[#This Row],[data]])</f>
        <v>7</v>
      </c>
      <c r="E296">
        <f>IF(D297&lt;&gt;cukier11[[#This Row],[miesiac]],1,0)</f>
        <v>0</v>
      </c>
      <c r="F296">
        <f>IF(AND(H295&lt;5000,cukier11[[#This Row],[czy_nastapiła_zmiana_mies]]=1),ROUNDUP((5000-H295)/1000,0),0)</f>
        <v>0</v>
      </c>
      <c r="G296">
        <f t="shared" si="4"/>
        <v>4630</v>
      </c>
      <c r="H296">
        <f>cukier11[[#This Row],[stan_magazynu]]-cukier11[[#This Row],[sprzedany_cukier]]</f>
        <v>4615</v>
      </c>
      <c r="I296" s="9">
        <f>cukier11[[#This Row],[stan_po_sprzedazy]]+cukier11[[#This Row],[ile_dokupic]]*1000</f>
        <v>4615</v>
      </c>
    </row>
    <row r="297" spans="1:9" x14ac:dyDescent="0.25">
      <c r="A297" s="1">
        <v>38907</v>
      </c>
      <c r="B297" t="s">
        <v>117</v>
      </c>
      <c r="C297">
        <v>9</v>
      </c>
      <c r="D297">
        <f>MONTH(cukier11[[#This Row],[data]])</f>
        <v>7</v>
      </c>
      <c r="E297">
        <f>IF(D298&lt;&gt;cukier11[[#This Row],[miesiac]],1,0)</f>
        <v>0</v>
      </c>
      <c r="F297">
        <f>IF(AND(H296&lt;5000,cukier11[[#This Row],[czy_nastapiła_zmiana_mies]]=1),ROUNDUP((5000-H296)/1000,0),0)</f>
        <v>0</v>
      </c>
      <c r="G297">
        <f t="shared" si="4"/>
        <v>4615</v>
      </c>
      <c r="H297">
        <f>cukier11[[#This Row],[stan_magazynu]]-cukier11[[#This Row],[sprzedany_cukier]]</f>
        <v>4606</v>
      </c>
      <c r="I297" s="9">
        <f>cukier11[[#This Row],[stan_po_sprzedazy]]+cukier11[[#This Row],[ile_dokupic]]*1000</f>
        <v>4606</v>
      </c>
    </row>
    <row r="298" spans="1:9" x14ac:dyDescent="0.25">
      <c r="A298" s="1">
        <v>38908</v>
      </c>
      <c r="B298" t="s">
        <v>118</v>
      </c>
      <c r="C298">
        <v>20</v>
      </c>
      <c r="D298">
        <f>MONTH(cukier11[[#This Row],[data]])</f>
        <v>7</v>
      </c>
      <c r="E298">
        <f>IF(D299&lt;&gt;cukier11[[#This Row],[miesiac]],1,0)</f>
        <v>0</v>
      </c>
      <c r="F298">
        <f>IF(AND(H297&lt;5000,cukier11[[#This Row],[czy_nastapiła_zmiana_mies]]=1),ROUNDUP((5000-H297)/1000,0),0)</f>
        <v>0</v>
      </c>
      <c r="G298">
        <f t="shared" si="4"/>
        <v>4606</v>
      </c>
      <c r="H298">
        <f>cukier11[[#This Row],[stan_magazynu]]-cukier11[[#This Row],[sprzedany_cukier]]</f>
        <v>4586</v>
      </c>
      <c r="I298" s="9">
        <f>cukier11[[#This Row],[stan_po_sprzedazy]]+cukier11[[#This Row],[ile_dokupic]]*1000</f>
        <v>4586</v>
      </c>
    </row>
    <row r="299" spans="1:9" x14ac:dyDescent="0.25">
      <c r="A299" s="1">
        <v>38910</v>
      </c>
      <c r="B299" t="s">
        <v>119</v>
      </c>
      <c r="C299">
        <v>9</v>
      </c>
      <c r="D299">
        <f>MONTH(cukier11[[#This Row],[data]])</f>
        <v>7</v>
      </c>
      <c r="E299">
        <f>IF(D300&lt;&gt;cukier11[[#This Row],[miesiac]],1,0)</f>
        <v>0</v>
      </c>
      <c r="F299">
        <f>IF(AND(H298&lt;5000,cukier11[[#This Row],[czy_nastapiła_zmiana_mies]]=1),ROUNDUP((5000-H298)/1000,0),0)</f>
        <v>0</v>
      </c>
      <c r="G299">
        <f t="shared" si="4"/>
        <v>4586</v>
      </c>
      <c r="H299">
        <f>cukier11[[#This Row],[stan_magazynu]]-cukier11[[#This Row],[sprzedany_cukier]]</f>
        <v>4577</v>
      </c>
      <c r="I299" s="9">
        <f>cukier11[[#This Row],[stan_po_sprzedazy]]+cukier11[[#This Row],[ile_dokupic]]*1000</f>
        <v>4577</v>
      </c>
    </row>
    <row r="300" spans="1:9" x14ac:dyDescent="0.25">
      <c r="A300" s="1">
        <v>38911</v>
      </c>
      <c r="B300" t="s">
        <v>120</v>
      </c>
      <c r="C300">
        <v>88</v>
      </c>
      <c r="D300">
        <f>MONTH(cukier11[[#This Row],[data]])</f>
        <v>7</v>
      </c>
      <c r="E300">
        <f>IF(D301&lt;&gt;cukier11[[#This Row],[miesiac]],1,0)</f>
        <v>0</v>
      </c>
      <c r="F300">
        <f>IF(AND(H299&lt;5000,cukier11[[#This Row],[czy_nastapiła_zmiana_mies]]=1),ROUNDUP((5000-H299)/1000,0),0)</f>
        <v>0</v>
      </c>
      <c r="G300">
        <f t="shared" si="4"/>
        <v>4577</v>
      </c>
      <c r="H300">
        <f>cukier11[[#This Row],[stan_magazynu]]-cukier11[[#This Row],[sprzedany_cukier]]</f>
        <v>4489</v>
      </c>
      <c r="I300" s="9">
        <f>cukier11[[#This Row],[stan_po_sprzedazy]]+cukier11[[#This Row],[ile_dokupic]]*1000</f>
        <v>4489</v>
      </c>
    </row>
    <row r="301" spans="1:9" x14ac:dyDescent="0.25">
      <c r="A301" s="1">
        <v>38911</v>
      </c>
      <c r="B301" t="s">
        <v>7</v>
      </c>
      <c r="C301">
        <v>139</v>
      </c>
      <c r="D301">
        <f>MONTH(cukier11[[#This Row],[data]])</f>
        <v>7</v>
      </c>
      <c r="E301">
        <f>IF(D302&lt;&gt;cukier11[[#This Row],[miesiac]],1,0)</f>
        <v>0</v>
      </c>
      <c r="F301">
        <f>IF(AND(H300&lt;5000,cukier11[[#This Row],[czy_nastapiła_zmiana_mies]]=1),ROUNDUP((5000-H300)/1000,0),0)</f>
        <v>0</v>
      </c>
      <c r="G301">
        <f t="shared" si="4"/>
        <v>4489</v>
      </c>
      <c r="H301">
        <f>cukier11[[#This Row],[stan_magazynu]]-cukier11[[#This Row],[sprzedany_cukier]]</f>
        <v>4350</v>
      </c>
      <c r="I301" s="9">
        <f>cukier11[[#This Row],[stan_po_sprzedazy]]+cukier11[[#This Row],[ile_dokupic]]*1000</f>
        <v>4350</v>
      </c>
    </row>
    <row r="302" spans="1:9" x14ac:dyDescent="0.25">
      <c r="A302" s="1">
        <v>38912</v>
      </c>
      <c r="B302" t="s">
        <v>22</v>
      </c>
      <c r="C302">
        <v>346</v>
      </c>
      <c r="D302">
        <f>MONTH(cukier11[[#This Row],[data]])</f>
        <v>7</v>
      </c>
      <c r="E302">
        <f>IF(D303&lt;&gt;cukier11[[#This Row],[miesiac]],1,0)</f>
        <v>0</v>
      </c>
      <c r="F302">
        <f>IF(AND(H301&lt;5000,cukier11[[#This Row],[czy_nastapiła_zmiana_mies]]=1),ROUNDUP((5000-H301)/1000,0),0)</f>
        <v>0</v>
      </c>
      <c r="G302">
        <f t="shared" si="4"/>
        <v>4350</v>
      </c>
      <c r="H302">
        <f>cukier11[[#This Row],[stan_magazynu]]-cukier11[[#This Row],[sprzedany_cukier]]</f>
        <v>4004</v>
      </c>
      <c r="I302" s="9">
        <f>cukier11[[#This Row],[stan_po_sprzedazy]]+cukier11[[#This Row],[ile_dokupic]]*1000</f>
        <v>4004</v>
      </c>
    </row>
    <row r="303" spans="1:9" x14ac:dyDescent="0.25">
      <c r="A303" s="1">
        <v>38918</v>
      </c>
      <c r="B303" t="s">
        <v>121</v>
      </c>
      <c r="C303">
        <v>3</v>
      </c>
      <c r="D303">
        <f>MONTH(cukier11[[#This Row],[data]])</f>
        <v>7</v>
      </c>
      <c r="E303">
        <f>IF(D304&lt;&gt;cukier11[[#This Row],[miesiac]],1,0)</f>
        <v>0</v>
      </c>
      <c r="F303">
        <f>IF(AND(H302&lt;5000,cukier11[[#This Row],[czy_nastapiła_zmiana_mies]]=1),ROUNDUP((5000-H302)/1000,0),0)</f>
        <v>0</v>
      </c>
      <c r="G303">
        <f t="shared" si="4"/>
        <v>4004</v>
      </c>
      <c r="H303">
        <f>cukier11[[#This Row],[stan_magazynu]]-cukier11[[#This Row],[sprzedany_cukier]]</f>
        <v>4001</v>
      </c>
      <c r="I303" s="9">
        <f>cukier11[[#This Row],[stan_po_sprzedazy]]+cukier11[[#This Row],[ile_dokupic]]*1000</f>
        <v>4001</v>
      </c>
    </row>
    <row r="304" spans="1:9" x14ac:dyDescent="0.25">
      <c r="A304" s="1">
        <v>38918</v>
      </c>
      <c r="B304" t="s">
        <v>122</v>
      </c>
      <c r="C304">
        <v>9</v>
      </c>
      <c r="D304">
        <f>MONTH(cukier11[[#This Row],[data]])</f>
        <v>7</v>
      </c>
      <c r="E304">
        <f>IF(D305&lt;&gt;cukier11[[#This Row],[miesiac]],1,0)</f>
        <v>0</v>
      </c>
      <c r="F304">
        <f>IF(AND(H303&lt;5000,cukier11[[#This Row],[czy_nastapiła_zmiana_mies]]=1),ROUNDUP((5000-H303)/1000,0),0)</f>
        <v>0</v>
      </c>
      <c r="G304">
        <f t="shared" si="4"/>
        <v>4001</v>
      </c>
      <c r="H304">
        <f>cukier11[[#This Row],[stan_magazynu]]-cukier11[[#This Row],[sprzedany_cukier]]</f>
        <v>3992</v>
      </c>
      <c r="I304" s="9">
        <f>cukier11[[#This Row],[stan_po_sprzedazy]]+cukier11[[#This Row],[ile_dokupic]]*1000</f>
        <v>3992</v>
      </c>
    </row>
    <row r="305" spans="1:9" x14ac:dyDescent="0.25">
      <c r="A305" s="1">
        <v>38918</v>
      </c>
      <c r="B305" t="s">
        <v>9</v>
      </c>
      <c r="C305">
        <v>323</v>
      </c>
      <c r="D305">
        <f>MONTH(cukier11[[#This Row],[data]])</f>
        <v>7</v>
      </c>
      <c r="E305">
        <f>IF(D306&lt;&gt;cukier11[[#This Row],[miesiac]],1,0)</f>
        <v>0</v>
      </c>
      <c r="F305">
        <f>IF(AND(H304&lt;5000,cukier11[[#This Row],[czy_nastapiła_zmiana_mies]]=1),ROUNDUP((5000-H304)/1000,0),0)</f>
        <v>0</v>
      </c>
      <c r="G305">
        <f t="shared" si="4"/>
        <v>3992</v>
      </c>
      <c r="H305">
        <f>cukier11[[#This Row],[stan_magazynu]]-cukier11[[#This Row],[sprzedany_cukier]]</f>
        <v>3669</v>
      </c>
      <c r="I305" s="9">
        <f>cukier11[[#This Row],[stan_po_sprzedazy]]+cukier11[[#This Row],[ile_dokupic]]*1000</f>
        <v>3669</v>
      </c>
    </row>
    <row r="306" spans="1:9" x14ac:dyDescent="0.25">
      <c r="A306" s="1">
        <v>38919</v>
      </c>
      <c r="B306" t="s">
        <v>102</v>
      </c>
      <c r="C306">
        <v>382</v>
      </c>
      <c r="D306">
        <f>MONTH(cukier11[[#This Row],[data]])</f>
        <v>7</v>
      </c>
      <c r="E306">
        <f>IF(D307&lt;&gt;cukier11[[#This Row],[miesiac]],1,0)</f>
        <v>0</v>
      </c>
      <c r="F306">
        <f>IF(AND(H305&lt;5000,cukier11[[#This Row],[czy_nastapiła_zmiana_mies]]=1),ROUNDUP((5000-H305)/1000,0),0)</f>
        <v>0</v>
      </c>
      <c r="G306">
        <f t="shared" si="4"/>
        <v>3669</v>
      </c>
      <c r="H306">
        <f>cukier11[[#This Row],[stan_magazynu]]-cukier11[[#This Row],[sprzedany_cukier]]</f>
        <v>3287</v>
      </c>
      <c r="I306" s="9">
        <f>cukier11[[#This Row],[stan_po_sprzedazy]]+cukier11[[#This Row],[ile_dokupic]]*1000</f>
        <v>3287</v>
      </c>
    </row>
    <row r="307" spans="1:9" x14ac:dyDescent="0.25">
      <c r="A307" s="1">
        <v>38923</v>
      </c>
      <c r="B307" t="s">
        <v>17</v>
      </c>
      <c r="C307">
        <v>296</v>
      </c>
      <c r="D307">
        <f>MONTH(cukier11[[#This Row],[data]])</f>
        <v>7</v>
      </c>
      <c r="E307">
        <f>IF(D308&lt;&gt;cukier11[[#This Row],[miesiac]],1,0)</f>
        <v>0</v>
      </c>
      <c r="F307">
        <f>IF(AND(H306&lt;5000,cukier11[[#This Row],[czy_nastapiła_zmiana_mies]]=1),ROUNDUP((5000-H306)/1000,0),0)</f>
        <v>0</v>
      </c>
      <c r="G307">
        <f t="shared" si="4"/>
        <v>3287</v>
      </c>
      <c r="H307">
        <f>cukier11[[#This Row],[stan_magazynu]]-cukier11[[#This Row],[sprzedany_cukier]]</f>
        <v>2991</v>
      </c>
      <c r="I307" s="9">
        <f>cukier11[[#This Row],[stan_po_sprzedazy]]+cukier11[[#This Row],[ile_dokupic]]*1000</f>
        <v>2991</v>
      </c>
    </row>
    <row r="308" spans="1:9" x14ac:dyDescent="0.25">
      <c r="A308" s="1">
        <v>38924</v>
      </c>
      <c r="B308" t="s">
        <v>5</v>
      </c>
      <c r="C308">
        <v>121</v>
      </c>
      <c r="D308">
        <f>MONTH(cukier11[[#This Row],[data]])</f>
        <v>7</v>
      </c>
      <c r="E308">
        <f>IF(D309&lt;&gt;cukier11[[#This Row],[miesiac]],1,0)</f>
        <v>0</v>
      </c>
      <c r="F308">
        <f>IF(AND(H307&lt;5000,cukier11[[#This Row],[czy_nastapiła_zmiana_mies]]=1),ROUNDUP((5000-H307)/1000,0),0)</f>
        <v>0</v>
      </c>
      <c r="G308">
        <f t="shared" si="4"/>
        <v>2991</v>
      </c>
      <c r="H308">
        <f>cukier11[[#This Row],[stan_magazynu]]-cukier11[[#This Row],[sprzedany_cukier]]</f>
        <v>2870</v>
      </c>
      <c r="I308" s="9">
        <f>cukier11[[#This Row],[stan_po_sprzedazy]]+cukier11[[#This Row],[ile_dokupic]]*1000</f>
        <v>2870</v>
      </c>
    </row>
    <row r="309" spans="1:9" x14ac:dyDescent="0.25">
      <c r="A309" s="1">
        <v>38924</v>
      </c>
      <c r="B309" t="s">
        <v>25</v>
      </c>
      <c r="C309">
        <v>157</v>
      </c>
      <c r="D309">
        <f>MONTH(cukier11[[#This Row],[data]])</f>
        <v>7</v>
      </c>
      <c r="E309">
        <f>IF(D310&lt;&gt;cukier11[[#This Row],[miesiac]],1,0)</f>
        <v>0</v>
      </c>
      <c r="F309">
        <f>IF(AND(H308&lt;5000,cukier11[[#This Row],[czy_nastapiła_zmiana_mies]]=1),ROUNDUP((5000-H308)/1000,0),0)</f>
        <v>0</v>
      </c>
      <c r="G309">
        <f t="shared" si="4"/>
        <v>2870</v>
      </c>
      <c r="H309">
        <f>cukier11[[#This Row],[stan_magazynu]]-cukier11[[#This Row],[sprzedany_cukier]]</f>
        <v>2713</v>
      </c>
      <c r="I309" s="9">
        <f>cukier11[[#This Row],[stan_po_sprzedazy]]+cukier11[[#This Row],[ile_dokupic]]*1000</f>
        <v>2713</v>
      </c>
    </row>
    <row r="310" spans="1:9" x14ac:dyDescent="0.25">
      <c r="A310" s="1">
        <v>38926</v>
      </c>
      <c r="B310" t="s">
        <v>9</v>
      </c>
      <c r="C310">
        <v>497</v>
      </c>
      <c r="D310">
        <f>MONTH(cukier11[[#This Row],[data]])</f>
        <v>7</v>
      </c>
      <c r="E310">
        <f>IF(D311&lt;&gt;cukier11[[#This Row],[miesiac]],1,0)</f>
        <v>0</v>
      </c>
      <c r="F310">
        <f>IF(AND(H309&lt;5000,cukier11[[#This Row],[czy_nastapiła_zmiana_mies]]=1),ROUNDUP((5000-H309)/1000,0),0)</f>
        <v>0</v>
      </c>
      <c r="G310">
        <f t="shared" si="4"/>
        <v>2713</v>
      </c>
      <c r="H310">
        <f>cukier11[[#This Row],[stan_magazynu]]-cukier11[[#This Row],[sprzedany_cukier]]</f>
        <v>2216</v>
      </c>
      <c r="I310" s="9">
        <f>cukier11[[#This Row],[stan_po_sprzedazy]]+cukier11[[#This Row],[ile_dokupic]]*1000</f>
        <v>2216</v>
      </c>
    </row>
    <row r="311" spans="1:9" x14ac:dyDescent="0.25">
      <c r="A311" s="1">
        <v>38927</v>
      </c>
      <c r="B311" t="s">
        <v>9</v>
      </c>
      <c r="C311">
        <v>103</v>
      </c>
      <c r="D311">
        <f>MONTH(cukier11[[#This Row],[data]])</f>
        <v>7</v>
      </c>
      <c r="E311">
        <f>IF(D312&lt;&gt;cukier11[[#This Row],[miesiac]],1,0)</f>
        <v>0</v>
      </c>
      <c r="F311">
        <f>IF(AND(H310&lt;5000,cukier11[[#This Row],[czy_nastapiła_zmiana_mies]]=1),ROUNDUP((5000-H310)/1000,0),0)</f>
        <v>0</v>
      </c>
      <c r="G311">
        <f t="shared" si="4"/>
        <v>2216</v>
      </c>
      <c r="H311">
        <f>cukier11[[#This Row],[stan_magazynu]]-cukier11[[#This Row],[sprzedany_cukier]]</f>
        <v>2113</v>
      </c>
      <c r="I311" s="9">
        <f>cukier11[[#This Row],[stan_po_sprzedazy]]+cukier11[[#This Row],[ile_dokupic]]*1000</f>
        <v>2113</v>
      </c>
    </row>
    <row r="312" spans="1:9" x14ac:dyDescent="0.25">
      <c r="A312" s="1">
        <v>38928</v>
      </c>
      <c r="B312" t="s">
        <v>30</v>
      </c>
      <c r="C312">
        <v>142</v>
      </c>
      <c r="D312">
        <f>MONTH(cukier11[[#This Row],[data]])</f>
        <v>7</v>
      </c>
      <c r="E312">
        <f>IF(D313&lt;&gt;cukier11[[#This Row],[miesiac]],1,0)</f>
        <v>0</v>
      </c>
      <c r="F312">
        <f>IF(AND(H311&lt;5000,cukier11[[#This Row],[czy_nastapiła_zmiana_mies]]=1),ROUNDUP((5000-H311)/1000,0),0)</f>
        <v>0</v>
      </c>
      <c r="G312">
        <f t="shared" si="4"/>
        <v>2113</v>
      </c>
      <c r="H312">
        <f>cukier11[[#This Row],[stan_magazynu]]-cukier11[[#This Row],[sprzedany_cukier]]</f>
        <v>1971</v>
      </c>
      <c r="I312" s="9">
        <f>cukier11[[#This Row],[stan_po_sprzedazy]]+cukier11[[#This Row],[ile_dokupic]]*1000</f>
        <v>1971</v>
      </c>
    </row>
    <row r="313" spans="1:9" x14ac:dyDescent="0.25">
      <c r="A313" s="1">
        <v>38929</v>
      </c>
      <c r="B313" t="s">
        <v>23</v>
      </c>
      <c r="C313">
        <v>144</v>
      </c>
      <c r="D313">
        <f>MONTH(cukier11[[#This Row],[data]])</f>
        <v>7</v>
      </c>
      <c r="E313">
        <f>IF(D314&lt;&gt;cukier11[[#This Row],[miesiac]],1,0)</f>
        <v>1</v>
      </c>
      <c r="F313">
        <f>IF(AND(H312&lt;5000,cukier11[[#This Row],[czy_nastapiła_zmiana_mies]]=1),ROUNDUP((5000-H312)/1000,0),0)</f>
        <v>4</v>
      </c>
      <c r="G313">
        <f t="shared" si="4"/>
        <v>1971</v>
      </c>
      <c r="H313">
        <f>cukier11[[#This Row],[stan_magazynu]]-cukier11[[#This Row],[sprzedany_cukier]]</f>
        <v>1827</v>
      </c>
      <c r="I313" s="9">
        <f>cukier11[[#This Row],[stan_po_sprzedazy]]+cukier11[[#This Row],[ile_dokupic]]*1000</f>
        <v>5827</v>
      </c>
    </row>
    <row r="314" spans="1:9" x14ac:dyDescent="0.25">
      <c r="A314" s="1">
        <v>38931</v>
      </c>
      <c r="B314" t="s">
        <v>100</v>
      </c>
      <c r="C314">
        <v>8</v>
      </c>
      <c r="D314">
        <f>MONTH(cukier11[[#This Row],[data]])</f>
        <v>8</v>
      </c>
      <c r="E314">
        <f>IF(D315&lt;&gt;cukier11[[#This Row],[miesiac]],1,0)</f>
        <v>0</v>
      </c>
      <c r="F314">
        <f>IF(AND(H313&lt;5000,cukier11[[#This Row],[czy_nastapiła_zmiana_mies]]=1),ROUNDUP((5000-H313)/1000,0),0)</f>
        <v>0</v>
      </c>
      <c r="G314">
        <f t="shared" si="4"/>
        <v>5827</v>
      </c>
      <c r="H314">
        <f>cukier11[[#This Row],[stan_magazynu]]-cukier11[[#This Row],[sprzedany_cukier]]</f>
        <v>5819</v>
      </c>
      <c r="I314" s="9">
        <f>cukier11[[#This Row],[stan_po_sprzedazy]]+cukier11[[#This Row],[ile_dokupic]]*1000</f>
        <v>5819</v>
      </c>
    </row>
    <row r="315" spans="1:9" x14ac:dyDescent="0.25">
      <c r="A315" s="1">
        <v>38936</v>
      </c>
      <c r="B315" t="s">
        <v>55</v>
      </c>
      <c r="C315">
        <v>172</v>
      </c>
      <c r="D315">
        <f>MONTH(cukier11[[#This Row],[data]])</f>
        <v>8</v>
      </c>
      <c r="E315">
        <f>IF(D316&lt;&gt;cukier11[[#This Row],[miesiac]],1,0)</f>
        <v>0</v>
      </c>
      <c r="F315">
        <f>IF(AND(H314&lt;5000,cukier11[[#This Row],[czy_nastapiła_zmiana_mies]]=1),ROUNDUP((5000-H314)/1000,0),0)</f>
        <v>0</v>
      </c>
      <c r="G315">
        <f t="shared" si="4"/>
        <v>5819</v>
      </c>
      <c r="H315">
        <f>cukier11[[#This Row],[stan_magazynu]]-cukier11[[#This Row],[sprzedany_cukier]]</f>
        <v>5647</v>
      </c>
      <c r="I315" s="9">
        <f>cukier11[[#This Row],[stan_po_sprzedazy]]+cukier11[[#This Row],[ile_dokupic]]*1000</f>
        <v>5647</v>
      </c>
    </row>
    <row r="316" spans="1:9" x14ac:dyDescent="0.25">
      <c r="A316" s="1">
        <v>38940</v>
      </c>
      <c r="B316" t="s">
        <v>7</v>
      </c>
      <c r="C316">
        <v>290</v>
      </c>
      <c r="D316">
        <f>MONTH(cukier11[[#This Row],[data]])</f>
        <v>8</v>
      </c>
      <c r="E316">
        <f>IF(D317&lt;&gt;cukier11[[#This Row],[miesiac]],1,0)</f>
        <v>0</v>
      </c>
      <c r="F316">
        <f>IF(AND(H315&lt;5000,cukier11[[#This Row],[czy_nastapiła_zmiana_mies]]=1),ROUNDUP((5000-H315)/1000,0),0)</f>
        <v>0</v>
      </c>
      <c r="G316">
        <f t="shared" si="4"/>
        <v>5647</v>
      </c>
      <c r="H316">
        <f>cukier11[[#This Row],[stan_magazynu]]-cukier11[[#This Row],[sprzedany_cukier]]</f>
        <v>5357</v>
      </c>
      <c r="I316" s="9">
        <f>cukier11[[#This Row],[stan_po_sprzedazy]]+cukier11[[#This Row],[ile_dokupic]]*1000</f>
        <v>5357</v>
      </c>
    </row>
    <row r="317" spans="1:9" x14ac:dyDescent="0.25">
      <c r="A317" s="1">
        <v>38942</v>
      </c>
      <c r="B317" t="s">
        <v>14</v>
      </c>
      <c r="C317">
        <v>422</v>
      </c>
      <c r="D317">
        <f>MONTH(cukier11[[#This Row],[data]])</f>
        <v>8</v>
      </c>
      <c r="E317">
        <f>IF(D318&lt;&gt;cukier11[[#This Row],[miesiac]],1,0)</f>
        <v>0</v>
      </c>
      <c r="F317">
        <f>IF(AND(H316&lt;5000,cukier11[[#This Row],[czy_nastapiła_zmiana_mies]]=1),ROUNDUP((5000-H316)/1000,0),0)</f>
        <v>0</v>
      </c>
      <c r="G317">
        <f t="shared" si="4"/>
        <v>5357</v>
      </c>
      <c r="H317">
        <f>cukier11[[#This Row],[stan_magazynu]]-cukier11[[#This Row],[sprzedany_cukier]]</f>
        <v>4935</v>
      </c>
      <c r="I317" s="9">
        <f>cukier11[[#This Row],[stan_po_sprzedazy]]+cukier11[[#This Row],[ile_dokupic]]*1000</f>
        <v>4935</v>
      </c>
    </row>
    <row r="318" spans="1:9" x14ac:dyDescent="0.25">
      <c r="A318" s="1">
        <v>38945</v>
      </c>
      <c r="B318" t="s">
        <v>109</v>
      </c>
      <c r="C318">
        <v>12</v>
      </c>
      <c r="D318">
        <f>MONTH(cukier11[[#This Row],[data]])</f>
        <v>8</v>
      </c>
      <c r="E318">
        <f>IF(D319&lt;&gt;cukier11[[#This Row],[miesiac]],1,0)</f>
        <v>0</v>
      </c>
      <c r="F318">
        <f>IF(AND(H317&lt;5000,cukier11[[#This Row],[czy_nastapiła_zmiana_mies]]=1),ROUNDUP((5000-H317)/1000,0),0)</f>
        <v>0</v>
      </c>
      <c r="G318">
        <f t="shared" si="4"/>
        <v>4935</v>
      </c>
      <c r="H318">
        <f>cukier11[[#This Row],[stan_magazynu]]-cukier11[[#This Row],[sprzedany_cukier]]</f>
        <v>4923</v>
      </c>
      <c r="I318" s="9">
        <f>cukier11[[#This Row],[stan_po_sprzedazy]]+cukier11[[#This Row],[ile_dokupic]]*1000</f>
        <v>4923</v>
      </c>
    </row>
    <row r="319" spans="1:9" x14ac:dyDescent="0.25">
      <c r="A319" s="1">
        <v>38948</v>
      </c>
      <c r="B319" t="s">
        <v>55</v>
      </c>
      <c r="C319">
        <v>104</v>
      </c>
      <c r="D319">
        <f>MONTH(cukier11[[#This Row],[data]])</f>
        <v>8</v>
      </c>
      <c r="E319">
        <f>IF(D320&lt;&gt;cukier11[[#This Row],[miesiac]],1,0)</f>
        <v>0</v>
      </c>
      <c r="F319">
        <f>IF(AND(H318&lt;5000,cukier11[[#This Row],[czy_nastapiła_zmiana_mies]]=1),ROUNDUP((5000-H318)/1000,0),0)</f>
        <v>0</v>
      </c>
      <c r="G319">
        <f t="shared" si="4"/>
        <v>4923</v>
      </c>
      <c r="H319">
        <f>cukier11[[#This Row],[stan_magazynu]]-cukier11[[#This Row],[sprzedany_cukier]]</f>
        <v>4819</v>
      </c>
      <c r="I319" s="9">
        <f>cukier11[[#This Row],[stan_po_sprzedazy]]+cukier11[[#This Row],[ile_dokupic]]*1000</f>
        <v>4819</v>
      </c>
    </row>
    <row r="320" spans="1:9" x14ac:dyDescent="0.25">
      <c r="A320" s="1">
        <v>38949</v>
      </c>
      <c r="B320" t="s">
        <v>35</v>
      </c>
      <c r="C320">
        <v>97</v>
      </c>
      <c r="D320">
        <f>MONTH(cukier11[[#This Row],[data]])</f>
        <v>8</v>
      </c>
      <c r="E320">
        <f>IF(D321&lt;&gt;cukier11[[#This Row],[miesiac]],1,0)</f>
        <v>0</v>
      </c>
      <c r="F320">
        <f>IF(AND(H319&lt;5000,cukier11[[#This Row],[czy_nastapiła_zmiana_mies]]=1),ROUNDUP((5000-H319)/1000,0),0)</f>
        <v>0</v>
      </c>
      <c r="G320">
        <f t="shared" si="4"/>
        <v>4819</v>
      </c>
      <c r="H320">
        <f>cukier11[[#This Row],[stan_magazynu]]-cukier11[[#This Row],[sprzedany_cukier]]</f>
        <v>4722</v>
      </c>
      <c r="I320" s="9">
        <f>cukier11[[#This Row],[stan_po_sprzedazy]]+cukier11[[#This Row],[ile_dokupic]]*1000</f>
        <v>4722</v>
      </c>
    </row>
    <row r="321" spans="1:9" x14ac:dyDescent="0.25">
      <c r="A321" s="1">
        <v>38950</v>
      </c>
      <c r="B321" t="s">
        <v>26</v>
      </c>
      <c r="C321">
        <v>179</v>
      </c>
      <c r="D321">
        <f>MONTH(cukier11[[#This Row],[data]])</f>
        <v>8</v>
      </c>
      <c r="E321">
        <f>IF(D322&lt;&gt;cukier11[[#This Row],[miesiac]],1,0)</f>
        <v>0</v>
      </c>
      <c r="F321">
        <f>IF(AND(H320&lt;5000,cukier11[[#This Row],[czy_nastapiła_zmiana_mies]]=1),ROUNDUP((5000-H320)/1000,0),0)</f>
        <v>0</v>
      </c>
      <c r="G321">
        <f t="shared" si="4"/>
        <v>4722</v>
      </c>
      <c r="H321">
        <f>cukier11[[#This Row],[stan_magazynu]]-cukier11[[#This Row],[sprzedany_cukier]]</f>
        <v>4543</v>
      </c>
      <c r="I321" s="9">
        <f>cukier11[[#This Row],[stan_po_sprzedazy]]+cukier11[[#This Row],[ile_dokupic]]*1000</f>
        <v>4543</v>
      </c>
    </row>
    <row r="322" spans="1:9" x14ac:dyDescent="0.25">
      <c r="A322" s="1">
        <v>38953</v>
      </c>
      <c r="B322" t="s">
        <v>50</v>
      </c>
      <c r="C322">
        <v>256</v>
      </c>
      <c r="D322">
        <f>MONTH(cukier11[[#This Row],[data]])</f>
        <v>8</v>
      </c>
      <c r="E322">
        <f>IF(D323&lt;&gt;cukier11[[#This Row],[miesiac]],1,0)</f>
        <v>0</v>
      </c>
      <c r="F322">
        <f>IF(AND(H321&lt;5000,cukier11[[#This Row],[czy_nastapiła_zmiana_mies]]=1),ROUNDUP((5000-H321)/1000,0),0)</f>
        <v>0</v>
      </c>
      <c r="G322">
        <f t="shared" si="4"/>
        <v>4543</v>
      </c>
      <c r="H322">
        <f>cukier11[[#This Row],[stan_magazynu]]-cukier11[[#This Row],[sprzedany_cukier]]</f>
        <v>4287</v>
      </c>
      <c r="I322" s="9">
        <f>cukier11[[#This Row],[stan_po_sprzedazy]]+cukier11[[#This Row],[ile_dokupic]]*1000</f>
        <v>4287</v>
      </c>
    </row>
    <row r="323" spans="1:9" x14ac:dyDescent="0.25">
      <c r="A323" s="1">
        <v>38954</v>
      </c>
      <c r="B323" t="s">
        <v>113</v>
      </c>
      <c r="C323">
        <v>20</v>
      </c>
      <c r="D323">
        <f>MONTH(cukier11[[#This Row],[data]])</f>
        <v>8</v>
      </c>
      <c r="E323">
        <f>IF(D324&lt;&gt;cukier11[[#This Row],[miesiac]],1,0)</f>
        <v>0</v>
      </c>
      <c r="F323">
        <f>IF(AND(H322&lt;5000,cukier11[[#This Row],[czy_nastapiła_zmiana_mies]]=1),ROUNDUP((5000-H322)/1000,0),0)</f>
        <v>0</v>
      </c>
      <c r="G323">
        <f t="shared" si="4"/>
        <v>4287</v>
      </c>
      <c r="H323">
        <f>cukier11[[#This Row],[stan_magazynu]]-cukier11[[#This Row],[sprzedany_cukier]]</f>
        <v>4267</v>
      </c>
      <c r="I323" s="9">
        <f>cukier11[[#This Row],[stan_po_sprzedazy]]+cukier11[[#This Row],[ile_dokupic]]*1000</f>
        <v>4267</v>
      </c>
    </row>
    <row r="324" spans="1:9" x14ac:dyDescent="0.25">
      <c r="A324" s="1">
        <v>38954</v>
      </c>
      <c r="B324" t="s">
        <v>105</v>
      </c>
      <c r="C324">
        <v>10</v>
      </c>
      <c r="D324">
        <f>MONTH(cukier11[[#This Row],[data]])</f>
        <v>8</v>
      </c>
      <c r="E324">
        <f>IF(D325&lt;&gt;cukier11[[#This Row],[miesiac]],1,0)</f>
        <v>0</v>
      </c>
      <c r="F324">
        <f>IF(AND(H323&lt;5000,cukier11[[#This Row],[czy_nastapiła_zmiana_mies]]=1),ROUNDUP((5000-H323)/1000,0),0)</f>
        <v>0</v>
      </c>
      <c r="G324">
        <f t="shared" ref="G324:G387" si="5">I323</f>
        <v>4267</v>
      </c>
      <c r="H324">
        <f>cukier11[[#This Row],[stan_magazynu]]-cukier11[[#This Row],[sprzedany_cukier]]</f>
        <v>4257</v>
      </c>
      <c r="I324" s="9">
        <f>cukier11[[#This Row],[stan_po_sprzedazy]]+cukier11[[#This Row],[ile_dokupic]]*1000</f>
        <v>4257</v>
      </c>
    </row>
    <row r="325" spans="1:9" x14ac:dyDescent="0.25">
      <c r="A325" s="1">
        <v>38955</v>
      </c>
      <c r="B325" t="s">
        <v>7</v>
      </c>
      <c r="C325">
        <v>407</v>
      </c>
      <c r="D325">
        <f>MONTH(cukier11[[#This Row],[data]])</f>
        <v>8</v>
      </c>
      <c r="E325">
        <f>IF(D326&lt;&gt;cukier11[[#This Row],[miesiac]],1,0)</f>
        <v>0</v>
      </c>
      <c r="F325">
        <f>IF(AND(H324&lt;5000,cukier11[[#This Row],[czy_nastapiła_zmiana_mies]]=1),ROUNDUP((5000-H324)/1000,0),0)</f>
        <v>0</v>
      </c>
      <c r="G325">
        <f t="shared" si="5"/>
        <v>4257</v>
      </c>
      <c r="H325">
        <f>cukier11[[#This Row],[stan_magazynu]]-cukier11[[#This Row],[sprzedany_cukier]]</f>
        <v>3850</v>
      </c>
      <c r="I325" s="9">
        <f>cukier11[[#This Row],[stan_po_sprzedazy]]+cukier11[[#This Row],[ile_dokupic]]*1000</f>
        <v>3850</v>
      </c>
    </row>
    <row r="326" spans="1:9" x14ac:dyDescent="0.25">
      <c r="A326" s="1">
        <v>38956</v>
      </c>
      <c r="B326" t="s">
        <v>22</v>
      </c>
      <c r="C326">
        <v>297</v>
      </c>
      <c r="D326">
        <f>MONTH(cukier11[[#This Row],[data]])</f>
        <v>8</v>
      </c>
      <c r="E326">
        <f>IF(D327&lt;&gt;cukier11[[#This Row],[miesiac]],1,0)</f>
        <v>0</v>
      </c>
      <c r="F326">
        <f>IF(AND(H325&lt;5000,cukier11[[#This Row],[czy_nastapiła_zmiana_mies]]=1),ROUNDUP((5000-H325)/1000,0),0)</f>
        <v>0</v>
      </c>
      <c r="G326">
        <f t="shared" si="5"/>
        <v>3850</v>
      </c>
      <c r="H326">
        <f>cukier11[[#This Row],[stan_magazynu]]-cukier11[[#This Row],[sprzedany_cukier]]</f>
        <v>3553</v>
      </c>
      <c r="I326" s="9">
        <f>cukier11[[#This Row],[stan_po_sprzedazy]]+cukier11[[#This Row],[ile_dokupic]]*1000</f>
        <v>3553</v>
      </c>
    </row>
    <row r="327" spans="1:9" x14ac:dyDescent="0.25">
      <c r="A327" s="1">
        <v>38956</v>
      </c>
      <c r="B327" t="s">
        <v>71</v>
      </c>
      <c r="C327">
        <v>133</v>
      </c>
      <c r="D327">
        <f>MONTH(cukier11[[#This Row],[data]])</f>
        <v>8</v>
      </c>
      <c r="E327">
        <f>IF(D328&lt;&gt;cukier11[[#This Row],[miesiac]],1,0)</f>
        <v>0</v>
      </c>
      <c r="F327">
        <f>IF(AND(H326&lt;5000,cukier11[[#This Row],[czy_nastapiła_zmiana_mies]]=1),ROUNDUP((5000-H326)/1000,0),0)</f>
        <v>0</v>
      </c>
      <c r="G327">
        <f t="shared" si="5"/>
        <v>3553</v>
      </c>
      <c r="H327">
        <f>cukier11[[#This Row],[stan_magazynu]]-cukier11[[#This Row],[sprzedany_cukier]]</f>
        <v>3420</v>
      </c>
      <c r="I327" s="9">
        <f>cukier11[[#This Row],[stan_po_sprzedazy]]+cukier11[[#This Row],[ile_dokupic]]*1000</f>
        <v>3420</v>
      </c>
    </row>
    <row r="328" spans="1:9" x14ac:dyDescent="0.25">
      <c r="A328" s="1">
        <v>38956</v>
      </c>
      <c r="B328" t="s">
        <v>35</v>
      </c>
      <c r="C328">
        <v>33</v>
      </c>
      <c r="D328">
        <f>MONTH(cukier11[[#This Row],[data]])</f>
        <v>8</v>
      </c>
      <c r="E328">
        <f>IF(D329&lt;&gt;cukier11[[#This Row],[miesiac]],1,0)</f>
        <v>0</v>
      </c>
      <c r="F328">
        <f>IF(AND(H327&lt;5000,cukier11[[#This Row],[czy_nastapiła_zmiana_mies]]=1),ROUNDUP((5000-H327)/1000,0),0)</f>
        <v>0</v>
      </c>
      <c r="G328">
        <f t="shared" si="5"/>
        <v>3420</v>
      </c>
      <c r="H328">
        <f>cukier11[[#This Row],[stan_magazynu]]-cukier11[[#This Row],[sprzedany_cukier]]</f>
        <v>3387</v>
      </c>
      <c r="I328" s="9">
        <f>cukier11[[#This Row],[stan_po_sprzedazy]]+cukier11[[#This Row],[ile_dokupic]]*1000</f>
        <v>3387</v>
      </c>
    </row>
    <row r="329" spans="1:9" x14ac:dyDescent="0.25">
      <c r="A329" s="1">
        <v>38959</v>
      </c>
      <c r="B329" t="s">
        <v>14</v>
      </c>
      <c r="C329">
        <v>220</v>
      </c>
      <c r="D329">
        <f>MONTH(cukier11[[#This Row],[data]])</f>
        <v>8</v>
      </c>
      <c r="E329">
        <f>IF(D330&lt;&gt;cukier11[[#This Row],[miesiac]],1,0)</f>
        <v>0</v>
      </c>
      <c r="F329">
        <f>IF(AND(H328&lt;5000,cukier11[[#This Row],[czy_nastapiła_zmiana_mies]]=1),ROUNDUP((5000-H328)/1000,0),0)</f>
        <v>0</v>
      </c>
      <c r="G329">
        <f t="shared" si="5"/>
        <v>3387</v>
      </c>
      <c r="H329">
        <f>cukier11[[#This Row],[stan_magazynu]]-cukier11[[#This Row],[sprzedany_cukier]]</f>
        <v>3167</v>
      </c>
      <c r="I329" s="9">
        <f>cukier11[[#This Row],[stan_po_sprzedazy]]+cukier11[[#This Row],[ile_dokupic]]*1000</f>
        <v>3167</v>
      </c>
    </row>
    <row r="330" spans="1:9" x14ac:dyDescent="0.25">
      <c r="A330" s="1">
        <v>38959</v>
      </c>
      <c r="B330" t="s">
        <v>28</v>
      </c>
      <c r="C330">
        <v>114</v>
      </c>
      <c r="D330">
        <f>MONTH(cukier11[[#This Row],[data]])</f>
        <v>8</v>
      </c>
      <c r="E330">
        <f>IF(D331&lt;&gt;cukier11[[#This Row],[miesiac]],1,0)</f>
        <v>1</v>
      </c>
      <c r="F330">
        <f>IF(AND(H329&lt;5000,cukier11[[#This Row],[czy_nastapiła_zmiana_mies]]=1),ROUNDUP((5000-H329)/1000,0),0)</f>
        <v>2</v>
      </c>
      <c r="G330">
        <f t="shared" si="5"/>
        <v>3167</v>
      </c>
      <c r="H330">
        <f>cukier11[[#This Row],[stan_magazynu]]-cukier11[[#This Row],[sprzedany_cukier]]</f>
        <v>3053</v>
      </c>
      <c r="I330" s="9">
        <f>cukier11[[#This Row],[stan_po_sprzedazy]]+cukier11[[#This Row],[ile_dokupic]]*1000</f>
        <v>5053</v>
      </c>
    </row>
    <row r="331" spans="1:9" x14ac:dyDescent="0.25">
      <c r="A331" s="1">
        <v>38962</v>
      </c>
      <c r="B331" t="s">
        <v>8</v>
      </c>
      <c r="C331">
        <v>130</v>
      </c>
      <c r="D331">
        <f>MONTH(cukier11[[#This Row],[data]])</f>
        <v>9</v>
      </c>
      <c r="E331">
        <f>IF(D332&lt;&gt;cukier11[[#This Row],[miesiac]],1,0)</f>
        <v>0</v>
      </c>
      <c r="F331">
        <f>IF(AND(H330&lt;5000,cukier11[[#This Row],[czy_nastapiła_zmiana_mies]]=1),ROUNDUP((5000-H330)/1000,0),0)</f>
        <v>0</v>
      </c>
      <c r="G331">
        <f t="shared" si="5"/>
        <v>5053</v>
      </c>
      <c r="H331">
        <f>cukier11[[#This Row],[stan_magazynu]]-cukier11[[#This Row],[sprzedany_cukier]]</f>
        <v>4923</v>
      </c>
      <c r="I331" s="9">
        <f>cukier11[[#This Row],[stan_po_sprzedazy]]+cukier11[[#This Row],[ile_dokupic]]*1000</f>
        <v>4923</v>
      </c>
    </row>
    <row r="332" spans="1:9" x14ac:dyDescent="0.25">
      <c r="A332" s="1">
        <v>38962</v>
      </c>
      <c r="B332" t="s">
        <v>30</v>
      </c>
      <c r="C332">
        <v>52</v>
      </c>
      <c r="D332">
        <f>MONTH(cukier11[[#This Row],[data]])</f>
        <v>9</v>
      </c>
      <c r="E332">
        <f>IF(D333&lt;&gt;cukier11[[#This Row],[miesiac]],1,0)</f>
        <v>0</v>
      </c>
      <c r="F332">
        <f>IF(AND(H331&lt;5000,cukier11[[#This Row],[czy_nastapiła_zmiana_mies]]=1),ROUNDUP((5000-H331)/1000,0),0)</f>
        <v>0</v>
      </c>
      <c r="G332">
        <f t="shared" si="5"/>
        <v>4923</v>
      </c>
      <c r="H332">
        <f>cukier11[[#This Row],[stan_magazynu]]-cukier11[[#This Row],[sprzedany_cukier]]</f>
        <v>4871</v>
      </c>
      <c r="I332" s="9">
        <f>cukier11[[#This Row],[stan_po_sprzedazy]]+cukier11[[#This Row],[ile_dokupic]]*1000</f>
        <v>4871</v>
      </c>
    </row>
    <row r="333" spans="1:9" x14ac:dyDescent="0.25">
      <c r="A333" s="1">
        <v>38962</v>
      </c>
      <c r="B333" t="s">
        <v>28</v>
      </c>
      <c r="C333">
        <v>33</v>
      </c>
      <c r="D333">
        <f>MONTH(cukier11[[#This Row],[data]])</f>
        <v>9</v>
      </c>
      <c r="E333">
        <f>IF(D334&lt;&gt;cukier11[[#This Row],[miesiac]],1,0)</f>
        <v>0</v>
      </c>
      <c r="F333">
        <f>IF(AND(H332&lt;5000,cukier11[[#This Row],[czy_nastapiła_zmiana_mies]]=1),ROUNDUP((5000-H332)/1000,0),0)</f>
        <v>0</v>
      </c>
      <c r="G333">
        <f t="shared" si="5"/>
        <v>4871</v>
      </c>
      <c r="H333">
        <f>cukier11[[#This Row],[stan_magazynu]]-cukier11[[#This Row],[sprzedany_cukier]]</f>
        <v>4838</v>
      </c>
      <c r="I333" s="9">
        <f>cukier11[[#This Row],[stan_po_sprzedazy]]+cukier11[[#This Row],[ile_dokupic]]*1000</f>
        <v>4838</v>
      </c>
    </row>
    <row r="334" spans="1:9" x14ac:dyDescent="0.25">
      <c r="A334" s="1">
        <v>38963</v>
      </c>
      <c r="B334" t="s">
        <v>61</v>
      </c>
      <c r="C334">
        <v>57</v>
      </c>
      <c r="D334">
        <f>MONTH(cukier11[[#This Row],[data]])</f>
        <v>9</v>
      </c>
      <c r="E334">
        <f>IF(D335&lt;&gt;cukier11[[#This Row],[miesiac]],1,0)</f>
        <v>0</v>
      </c>
      <c r="F334">
        <f>IF(AND(H333&lt;5000,cukier11[[#This Row],[czy_nastapiła_zmiana_mies]]=1),ROUNDUP((5000-H333)/1000,0),0)</f>
        <v>0</v>
      </c>
      <c r="G334">
        <f t="shared" si="5"/>
        <v>4838</v>
      </c>
      <c r="H334">
        <f>cukier11[[#This Row],[stan_magazynu]]-cukier11[[#This Row],[sprzedany_cukier]]</f>
        <v>4781</v>
      </c>
      <c r="I334" s="9">
        <f>cukier11[[#This Row],[stan_po_sprzedazy]]+cukier11[[#This Row],[ile_dokupic]]*1000</f>
        <v>4781</v>
      </c>
    </row>
    <row r="335" spans="1:9" x14ac:dyDescent="0.25">
      <c r="A335" s="1">
        <v>38965</v>
      </c>
      <c r="B335" t="s">
        <v>123</v>
      </c>
      <c r="C335">
        <v>190</v>
      </c>
      <c r="D335">
        <f>MONTH(cukier11[[#This Row],[data]])</f>
        <v>9</v>
      </c>
      <c r="E335">
        <f>IF(D336&lt;&gt;cukier11[[#This Row],[miesiac]],1,0)</f>
        <v>0</v>
      </c>
      <c r="F335">
        <f>IF(AND(H334&lt;5000,cukier11[[#This Row],[czy_nastapiła_zmiana_mies]]=1),ROUNDUP((5000-H334)/1000,0),0)</f>
        <v>0</v>
      </c>
      <c r="G335">
        <f t="shared" si="5"/>
        <v>4781</v>
      </c>
      <c r="H335">
        <f>cukier11[[#This Row],[stan_magazynu]]-cukier11[[#This Row],[sprzedany_cukier]]</f>
        <v>4591</v>
      </c>
      <c r="I335" s="9">
        <f>cukier11[[#This Row],[stan_po_sprzedazy]]+cukier11[[#This Row],[ile_dokupic]]*1000</f>
        <v>4591</v>
      </c>
    </row>
    <row r="336" spans="1:9" x14ac:dyDescent="0.25">
      <c r="A336" s="1">
        <v>38965</v>
      </c>
      <c r="B336" t="s">
        <v>84</v>
      </c>
      <c r="C336">
        <v>8</v>
      </c>
      <c r="D336">
        <f>MONTH(cukier11[[#This Row],[data]])</f>
        <v>9</v>
      </c>
      <c r="E336">
        <f>IF(D337&lt;&gt;cukier11[[#This Row],[miesiac]],1,0)</f>
        <v>0</v>
      </c>
      <c r="F336">
        <f>IF(AND(H335&lt;5000,cukier11[[#This Row],[czy_nastapiła_zmiana_mies]]=1),ROUNDUP((5000-H335)/1000,0),0)</f>
        <v>0</v>
      </c>
      <c r="G336">
        <f t="shared" si="5"/>
        <v>4591</v>
      </c>
      <c r="H336">
        <f>cukier11[[#This Row],[stan_magazynu]]-cukier11[[#This Row],[sprzedany_cukier]]</f>
        <v>4583</v>
      </c>
      <c r="I336" s="9">
        <f>cukier11[[#This Row],[stan_po_sprzedazy]]+cukier11[[#This Row],[ile_dokupic]]*1000</f>
        <v>4583</v>
      </c>
    </row>
    <row r="337" spans="1:9" x14ac:dyDescent="0.25">
      <c r="A337" s="1">
        <v>38965</v>
      </c>
      <c r="B337" t="s">
        <v>7</v>
      </c>
      <c r="C337">
        <v>255</v>
      </c>
      <c r="D337">
        <f>MONTH(cukier11[[#This Row],[data]])</f>
        <v>9</v>
      </c>
      <c r="E337">
        <f>IF(D338&lt;&gt;cukier11[[#This Row],[miesiac]],1,0)</f>
        <v>0</v>
      </c>
      <c r="F337">
        <f>IF(AND(H336&lt;5000,cukier11[[#This Row],[czy_nastapiła_zmiana_mies]]=1),ROUNDUP((5000-H336)/1000,0),0)</f>
        <v>0</v>
      </c>
      <c r="G337">
        <f t="shared" si="5"/>
        <v>4583</v>
      </c>
      <c r="H337">
        <f>cukier11[[#This Row],[stan_magazynu]]-cukier11[[#This Row],[sprzedany_cukier]]</f>
        <v>4328</v>
      </c>
      <c r="I337" s="9">
        <f>cukier11[[#This Row],[stan_po_sprzedazy]]+cukier11[[#This Row],[ile_dokupic]]*1000</f>
        <v>4328</v>
      </c>
    </row>
    <row r="338" spans="1:9" x14ac:dyDescent="0.25">
      <c r="A338" s="1">
        <v>38967</v>
      </c>
      <c r="B338" t="s">
        <v>71</v>
      </c>
      <c r="C338">
        <v>108</v>
      </c>
      <c r="D338">
        <f>MONTH(cukier11[[#This Row],[data]])</f>
        <v>9</v>
      </c>
      <c r="E338">
        <f>IF(D339&lt;&gt;cukier11[[#This Row],[miesiac]],1,0)</f>
        <v>0</v>
      </c>
      <c r="F338">
        <f>IF(AND(H337&lt;5000,cukier11[[#This Row],[czy_nastapiła_zmiana_mies]]=1),ROUNDUP((5000-H337)/1000,0),0)</f>
        <v>0</v>
      </c>
      <c r="G338">
        <f t="shared" si="5"/>
        <v>4328</v>
      </c>
      <c r="H338">
        <f>cukier11[[#This Row],[stan_magazynu]]-cukier11[[#This Row],[sprzedany_cukier]]</f>
        <v>4220</v>
      </c>
      <c r="I338" s="9">
        <f>cukier11[[#This Row],[stan_po_sprzedazy]]+cukier11[[#This Row],[ile_dokupic]]*1000</f>
        <v>4220</v>
      </c>
    </row>
    <row r="339" spans="1:9" x14ac:dyDescent="0.25">
      <c r="A339" s="1">
        <v>38971</v>
      </c>
      <c r="B339" t="s">
        <v>18</v>
      </c>
      <c r="C339">
        <v>78</v>
      </c>
      <c r="D339">
        <f>MONTH(cukier11[[#This Row],[data]])</f>
        <v>9</v>
      </c>
      <c r="E339">
        <f>IF(D340&lt;&gt;cukier11[[#This Row],[miesiac]],1,0)</f>
        <v>0</v>
      </c>
      <c r="F339">
        <f>IF(AND(H338&lt;5000,cukier11[[#This Row],[czy_nastapiła_zmiana_mies]]=1),ROUNDUP((5000-H338)/1000,0),0)</f>
        <v>0</v>
      </c>
      <c r="G339">
        <f t="shared" si="5"/>
        <v>4220</v>
      </c>
      <c r="H339">
        <f>cukier11[[#This Row],[stan_magazynu]]-cukier11[[#This Row],[sprzedany_cukier]]</f>
        <v>4142</v>
      </c>
      <c r="I339" s="9">
        <f>cukier11[[#This Row],[stan_po_sprzedazy]]+cukier11[[#This Row],[ile_dokupic]]*1000</f>
        <v>4142</v>
      </c>
    </row>
    <row r="340" spans="1:9" x14ac:dyDescent="0.25">
      <c r="A340" s="1">
        <v>38972</v>
      </c>
      <c r="B340" t="s">
        <v>7</v>
      </c>
      <c r="C340">
        <v>364</v>
      </c>
      <c r="D340">
        <f>MONTH(cukier11[[#This Row],[data]])</f>
        <v>9</v>
      </c>
      <c r="E340">
        <f>IF(D341&lt;&gt;cukier11[[#This Row],[miesiac]],1,0)</f>
        <v>0</v>
      </c>
      <c r="F340">
        <f>IF(AND(H339&lt;5000,cukier11[[#This Row],[czy_nastapiła_zmiana_mies]]=1),ROUNDUP((5000-H339)/1000,0),0)</f>
        <v>0</v>
      </c>
      <c r="G340">
        <f t="shared" si="5"/>
        <v>4142</v>
      </c>
      <c r="H340">
        <f>cukier11[[#This Row],[stan_magazynu]]-cukier11[[#This Row],[sprzedany_cukier]]</f>
        <v>3778</v>
      </c>
      <c r="I340" s="9">
        <f>cukier11[[#This Row],[stan_po_sprzedazy]]+cukier11[[#This Row],[ile_dokupic]]*1000</f>
        <v>3778</v>
      </c>
    </row>
    <row r="341" spans="1:9" x14ac:dyDescent="0.25">
      <c r="A341" s="1">
        <v>38973</v>
      </c>
      <c r="B341" t="s">
        <v>66</v>
      </c>
      <c r="C341">
        <v>52</v>
      </c>
      <c r="D341">
        <f>MONTH(cukier11[[#This Row],[data]])</f>
        <v>9</v>
      </c>
      <c r="E341">
        <f>IF(D342&lt;&gt;cukier11[[#This Row],[miesiac]],1,0)</f>
        <v>0</v>
      </c>
      <c r="F341">
        <f>IF(AND(H340&lt;5000,cukier11[[#This Row],[czy_nastapiła_zmiana_mies]]=1),ROUNDUP((5000-H340)/1000,0),0)</f>
        <v>0</v>
      </c>
      <c r="G341">
        <f t="shared" si="5"/>
        <v>3778</v>
      </c>
      <c r="H341">
        <f>cukier11[[#This Row],[stan_magazynu]]-cukier11[[#This Row],[sprzedany_cukier]]</f>
        <v>3726</v>
      </c>
      <c r="I341" s="9">
        <f>cukier11[[#This Row],[stan_po_sprzedazy]]+cukier11[[#This Row],[ile_dokupic]]*1000</f>
        <v>3726</v>
      </c>
    </row>
    <row r="342" spans="1:9" x14ac:dyDescent="0.25">
      <c r="A342" s="1">
        <v>38974</v>
      </c>
      <c r="B342" t="s">
        <v>102</v>
      </c>
      <c r="C342">
        <v>343</v>
      </c>
      <c r="D342">
        <f>MONTH(cukier11[[#This Row],[data]])</f>
        <v>9</v>
      </c>
      <c r="E342">
        <f>IF(D343&lt;&gt;cukier11[[#This Row],[miesiac]],1,0)</f>
        <v>0</v>
      </c>
      <c r="F342">
        <f>IF(AND(H341&lt;5000,cukier11[[#This Row],[czy_nastapiła_zmiana_mies]]=1),ROUNDUP((5000-H341)/1000,0),0)</f>
        <v>0</v>
      </c>
      <c r="G342">
        <f t="shared" si="5"/>
        <v>3726</v>
      </c>
      <c r="H342">
        <f>cukier11[[#This Row],[stan_magazynu]]-cukier11[[#This Row],[sprzedany_cukier]]</f>
        <v>3383</v>
      </c>
      <c r="I342" s="9">
        <f>cukier11[[#This Row],[stan_po_sprzedazy]]+cukier11[[#This Row],[ile_dokupic]]*1000</f>
        <v>3383</v>
      </c>
    </row>
    <row r="343" spans="1:9" x14ac:dyDescent="0.25">
      <c r="A343" s="1">
        <v>38976</v>
      </c>
      <c r="B343" t="s">
        <v>52</v>
      </c>
      <c r="C343">
        <v>197</v>
      </c>
      <c r="D343">
        <f>MONTH(cukier11[[#This Row],[data]])</f>
        <v>9</v>
      </c>
      <c r="E343">
        <f>IF(D344&lt;&gt;cukier11[[#This Row],[miesiac]],1,0)</f>
        <v>0</v>
      </c>
      <c r="F343">
        <f>IF(AND(H342&lt;5000,cukier11[[#This Row],[czy_nastapiła_zmiana_mies]]=1),ROUNDUP((5000-H342)/1000,0),0)</f>
        <v>0</v>
      </c>
      <c r="G343">
        <f t="shared" si="5"/>
        <v>3383</v>
      </c>
      <c r="H343">
        <f>cukier11[[#This Row],[stan_magazynu]]-cukier11[[#This Row],[sprzedany_cukier]]</f>
        <v>3186</v>
      </c>
      <c r="I343" s="9">
        <f>cukier11[[#This Row],[stan_po_sprzedazy]]+cukier11[[#This Row],[ile_dokupic]]*1000</f>
        <v>3186</v>
      </c>
    </row>
    <row r="344" spans="1:9" x14ac:dyDescent="0.25">
      <c r="A344" s="1">
        <v>38977</v>
      </c>
      <c r="B344" t="s">
        <v>124</v>
      </c>
      <c r="C344">
        <v>4</v>
      </c>
      <c r="D344">
        <f>MONTH(cukier11[[#This Row],[data]])</f>
        <v>9</v>
      </c>
      <c r="E344">
        <f>IF(D345&lt;&gt;cukier11[[#This Row],[miesiac]],1,0)</f>
        <v>0</v>
      </c>
      <c r="F344">
        <f>IF(AND(H343&lt;5000,cukier11[[#This Row],[czy_nastapiła_zmiana_mies]]=1),ROUNDUP((5000-H343)/1000,0),0)</f>
        <v>0</v>
      </c>
      <c r="G344">
        <f t="shared" si="5"/>
        <v>3186</v>
      </c>
      <c r="H344">
        <f>cukier11[[#This Row],[stan_magazynu]]-cukier11[[#This Row],[sprzedany_cukier]]</f>
        <v>3182</v>
      </c>
      <c r="I344" s="9">
        <f>cukier11[[#This Row],[stan_po_sprzedazy]]+cukier11[[#This Row],[ile_dokupic]]*1000</f>
        <v>3182</v>
      </c>
    </row>
    <row r="345" spans="1:9" x14ac:dyDescent="0.25">
      <c r="A345" s="1">
        <v>38978</v>
      </c>
      <c r="B345" t="s">
        <v>125</v>
      </c>
      <c r="C345">
        <v>8</v>
      </c>
      <c r="D345">
        <f>MONTH(cukier11[[#This Row],[data]])</f>
        <v>9</v>
      </c>
      <c r="E345">
        <f>IF(D346&lt;&gt;cukier11[[#This Row],[miesiac]],1,0)</f>
        <v>0</v>
      </c>
      <c r="F345">
        <f>IF(AND(H344&lt;5000,cukier11[[#This Row],[czy_nastapiła_zmiana_mies]]=1),ROUNDUP((5000-H344)/1000,0),0)</f>
        <v>0</v>
      </c>
      <c r="G345">
        <f t="shared" si="5"/>
        <v>3182</v>
      </c>
      <c r="H345">
        <f>cukier11[[#This Row],[stan_magazynu]]-cukier11[[#This Row],[sprzedany_cukier]]</f>
        <v>3174</v>
      </c>
      <c r="I345" s="9">
        <f>cukier11[[#This Row],[stan_po_sprzedazy]]+cukier11[[#This Row],[ile_dokupic]]*1000</f>
        <v>3174</v>
      </c>
    </row>
    <row r="346" spans="1:9" x14ac:dyDescent="0.25">
      <c r="A346" s="1">
        <v>38978</v>
      </c>
      <c r="B346" t="s">
        <v>56</v>
      </c>
      <c r="C346">
        <v>11</v>
      </c>
      <c r="D346">
        <f>MONTH(cukier11[[#This Row],[data]])</f>
        <v>9</v>
      </c>
      <c r="E346">
        <f>IF(D347&lt;&gt;cukier11[[#This Row],[miesiac]],1,0)</f>
        <v>0</v>
      </c>
      <c r="F346">
        <f>IF(AND(H345&lt;5000,cukier11[[#This Row],[czy_nastapiła_zmiana_mies]]=1),ROUNDUP((5000-H345)/1000,0),0)</f>
        <v>0</v>
      </c>
      <c r="G346">
        <f t="shared" si="5"/>
        <v>3174</v>
      </c>
      <c r="H346">
        <f>cukier11[[#This Row],[stan_magazynu]]-cukier11[[#This Row],[sprzedany_cukier]]</f>
        <v>3163</v>
      </c>
      <c r="I346" s="9">
        <f>cukier11[[#This Row],[stan_po_sprzedazy]]+cukier11[[#This Row],[ile_dokupic]]*1000</f>
        <v>3163</v>
      </c>
    </row>
    <row r="347" spans="1:9" x14ac:dyDescent="0.25">
      <c r="A347" s="1">
        <v>38978</v>
      </c>
      <c r="B347" t="s">
        <v>72</v>
      </c>
      <c r="C347">
        <v>10</v>
      </c>
      <c r="D347">
        <f>MONTH(cukier11[[#This Row],[data]])</f>
        <v>9</v>
      </c>
      <c r="E347">
        <f>IF(D348&lt;&gt;cukier11[[#This Row],[miesiac]],1,0)</f>
        <v>0</v>
      </c>
      <c r="F347">
        <f>IF(AND(H346&lt;5000,cukier11[[#This Row],[czy_nastapiła_zmiana_mies]]=1),ROUNDUP((5000-H346)/1000,0),0)</f>
        <v>0</v>
      </c>
      <c r="G347">
        <f t="shared" si="5"/>
        <v>3163</v>
      </c>
      <c r="H347">
        <f>cukier11[[#This Row],[stan_magazynu]]-cukier11[[#This Row],[sprzedany_cukier]]</f>
        <v>3153</v>
      </c>
      <c r="I347" s="9">
        <f>cukier11[[#This Row],[stan_po_sprzedazy]]+cukier11[[#This Row],[ile_dokupic]]*1000</f>
        <v>3153</v>
      </c>
    </row>
    <row r="348" spans="1:9" x14ac:dyDescent="0.25">
      <c r="A348" s="1">
        <v>38981</v>
      </c>
      <c r="B348" t="s">
        <v>61</v>
      </c>
      <c r="C348">
        <v>96</v>
      </c>
      <c r="D348">
        <f>MONTH(cukier11[[#This Row],[data]])</f>
        <v>9</v>
      </c>
      <c r="E348">
        <f>IF(D349&lt;&gt;cukier11[[#This Row],[miesiac]],1,0)</f>
        <v>0</v>
      </c>
      <c r="F348">
        <f>IF(AND(H347&lt;5000,cukier11[[#This Row],[czy_nastapiła_zmiana_mies]]=1),ROUNDUP((5000-H347)/1000,0),0)</f>
        <v>0</v>
      </c>
      <c r="G348">
        <f t="shared" si="5"/>
        <v>3153</v>
      </c>
      <c r="H348">
        <f>cukier11[[#This Row],[stan_magazynu]]-cukier11[[#This Row],[sprzedany_cukier]]</f>
        <v>3057</v>
      </c>
      <c r="I348" s="9">
        <f>cukier11[[#This Row],[stan_po_sprzedazy]]+cukier11[[#This Row],[ile_dokupic]]*1000</f>
        <v>3057</v>
      </c>
    </row>
    <row r="349" spans="1:9" x14ac:dyDescent="0.25">
      <c r="A349" s="1">
        <v>38981</v>
      </c>
      <c r="B349" t="s">
        <v>55</v>
      </c>
      <c r="C349">
        <v>30</v>
      </c>
      <c r="D349">
        <f>MONTH(cukier11[[#This Row],[data]])</f>
        <v>9</v>
      </c>
      <c r="E349">
        <f>IF(D350&lt;&gt;cukier11[[#This Row],[miesiac]],1,0)</f>
        <v>0</v>
      </c>
      <c r="F349">
        <f>IF(AND(H348&lt;5000,cukier11[[#This Row],[czy_nastapiła_zmiana_mies]]=1),ROUNDUP((5000-H348)/1000,0),0)</f>
        <v>0</v>
      </c>
      <c r="G349">
        <f t="shared" si="5"/>
        <v>3057</v>
      </c>
      <c r="H349">
        <f>cukier11[[#This Row],[stan_magazynu]]-cukier11[[#This Row],[sprzedany_cukier]]</f>
        <v>3027</v>
      </c>
      <c r="I349" s="9">
        <f>cukier11[[#This Row],[stan_po_sprzedazy]]+cukier11[[#This Row],[ile_dokupic]]*1000</f>
        <v>3027</v>
      </c>
    </row>
    <row r="350" spans="1:9" x14ac:dyDescent="0.25">
      <c r="A350" s="1">
        <v>38982</v>
      </c>
      <c r="B350" t="s">
        <v>126</v>
      </c>
      <c r="C350">
        <v>17</v>
      </c>
      <c r="D350">
        <f>MONTH(cukier11[[#This Row],[data]])</f>
        <v>9</v>
      </c>
      <c r="E350">
        <f>IF(D351&lt;&gt;cukier11[[#This Row],[miesiac]],1,0)</f>
        <v>0</v>
      </c>
      <c r="F350">
        <f>IF(AND(H349&lt;5000,cukier11[[#This Row],[czy_nastapiła_zmiana_mies]]=1),ROUNDUP((5000-H349)/1000,0),0)</f>
        <v>0</v>
      </c>
      <c r="G350">
        <f t="shared" si="5"/>
        <v>3027</v>
      </c>
      <c r="H350">
        <f>cukier11[[#This Row],[stan_magazynu]]-cukier11[[#This Row],[sprzedany_cukier]]</f>
        <v>3010</v>
      </c>
      <c r="I350" s="9">
        <f>cukier11[[#This Row],[stan_po_sprzedazy]]+cukier11[[#This Row],[ile_dokupic]]*1000</f>
        <v>3010</v>
      </c>
    </row>
    <row r="351" spans="1:9" x14ac:dyDescent="0.25">
      <c r="A351" s="1">
        <v>38985</v>
      </c>
      <c r="B351" t="s">
        <v>122</v>
      </c>
      <c r="C351">
        <v>17</v>
      </c>
      <c r="D351">
        <f>MONTH(cukier11[[#This Row],[data]])</f>
        <v>9</v>
      </c>
      <c r="E351">
        <f>IF(D352&lt;&gt;cukier11[[#This Row],[miesiac]],1,0)</f>
        <v>0</v>
      </c>
      <c r="F351">
        <f>IF(AND(H350&lt;5000,cukier11[[#This Row],[czy_nastapiła_zmiana_mies]]=1),ROUNDUP((5000-H350)/1000,0),0)</f>
        <v>0</v>
      </c>
      <c r="G351">
        <f t="shared" si="5"/>
        <v>3010</v>
      </c>
      <c r="H351">
        <f>cukier11[[#This Row],[stan_magazynu]]-cukier11[[#This Row],[sprzedany_cukier]]</f>
        <v>2993</v>
      </c>
      <c r="I351" s="9">
        <f>cukier11[[#This Row],[stan_po_sprzedazy]]+cukier11[[#This Row],[ile_dokupic]]*1000</f>
        <v>2993</v>
      </c>
    </row>
    <row r="352" spans="1:9" x14ac:dyDescent="0.25">
      <c r="A352" s="1">
        <v>38985</v>
      </c>
      <c r="B352" t="s">
        <v>12</v>
      </c>
      <c r="C352">
        <v>180</v>
      </c>
      <c r="D352">
        <f>MONTH(cukier11[[#This Row],[data]])</f>
        <v>9</v>
      </c>
      <c r="E352">
        <f>IF(D353&lt;&gt;cukier11[[#This Row],[miesiac]],1,0)</f>
        <v>0</v>
      </c>
      <c r="F352">
        <f>IF(AND(H351&lt;5000,cukier11[[#This Row],[czy_nastapiła_zmiana_mies]]=1),ROUNDUP((5000-H351)/1000,0),0)</f>
        <v>0</v>
      </c>
      <c r="G352">
        <f t="shared" si="5"/>
        <v>2993</v>
      </c>
      <c r="H352">
        <f>cukier11[[#This Row],[stan_magazynu]]-cukier11[[#This Row],[sprzedany_cukier]]</f>
        <v>2813</v>
      </c>
      <c r="I352" s="9">
        <f>cukier11[[#This Row],[stan_po_sprzedazy]]+cukier11[[#This Row],[ile_dokupic]]*1000</f>
        <v>2813</v>
      </c>
    </row>
    <row r="353" spans="1:9" x14ac:dyDescent="0.25">
      <c r="A353" s="1">
        <v>38985</v>
      </c>
      <c r="B353" t="s">
        <v>31</v>
      </c>
      <c r="C353">
        <v>94</v>
      </c>
      <c r="D353">
        <f>MONTH(cukier11[[#This Row],[data]])</f>
        <v>9</v>
      </c>
      <c r="E353">
        <f>IF(D354&lt;&gt;cukier11[[#This Row],[miesiac]],1,0)</f>
        <v>0</v>
      </c>
      <c r="F353">
        <f>IF(AND(H352&lt;5000,cukier11[[#This Row],[czy_nastapiła_zmiana_mies]]=1),ROUNDUP((5000-H352)/1000,0),0)</f>
        <v>0</v>
      </c>
      <c r="G353">
        <f t="shared" si="5"/>
        <v>2813</v>
      </c>
      <c r="H353">
        <f>cukier11[[#This Row],[stan_magazynu]]-cukier11[[#This Row],[sprzedany_cukier]]</f>
        <v>2719</v>
      </c>
      <c r="I353" s="9">
        <f>cukier11[[#This Row],[stan_po_sprzedazy]]+cukier11[[#This Row],[ile_dokupic]]*1000</f>
        <v>2719</v>
      </c>
    </row>
    <row r="354" spans="1:9" x14ac:dyDescent="0.25">
      <c r="A354" s="1">
        <v>38986</v>
      </c>
      <c r="B354" t="s">
        <v>39</v>
      </c>
      <c r="C354">
        <v>45</v>
      </c>
      <c r="D354">
        <f>MONTH(cukier11[[#This Row],[data]])</f>
        <v>9</v>
      </c>
      <c r="E354">
        <f>IF(D355&lt;&gt;cukier11[[#This Row],[miesiac]],1,0)</f>
        <v>0</v>
      </c>
      <c r="F354">
        <f>IF(AND(H353&lt;5000,cukier11[[#This Row],[czy_nastapiła_zmiana_mies]]=1),ROUNDUP((5000-H353)/1000,0),0)</f>
        <v>0</v>
      </c>
      <c r="G354">
        <f t="shared" si="5"/>
        <v>2719</v>
      </c>
      <c r="H354">
        <f>cukier11[[#This Row],[stan_magazynu]]-cukier11[[#This Row],[sprzedany_cukier]]</f>
        <v>2674</v>
      </c>
      <c r="I354" s="9">
        <f>cukier11[[#This Row],[stan_po_sprzedazy]]+cukier11[[#This Row],[ile_dokupic]]*1000</f>
        <v>2674</v>
      </c>
    </row>
    <row r="355" spans="1:9" x14ac:dyDescent="0.25">
      <c r="A355" s="1">
        <v>38987</v>
      </c>
      <c r="B355" t="s">
        <v>7</v>
      </c>
      <c r="C355">
        <v>380</v>
      </c>
      <c r="D355">
        <f>MONTH(cukier11[[#This Row],[data]])</f>
        <v>9</v>
      </c>
      <c r="E355">
        <f>IF(D356&lt;&gt;cukier11[[#This Row],[miesiac]],1,0)</f>
        <v>0</v>
      </c>
      <c r="F355">
        <f>IF(AND(H354&lt;5000,cukier11[[#This Row],[czy_nastapiła_zmiana_mies]]=1),ROUNDUP((5000-H354)/1000,0),0)</f>
        <v>0</v>
      </c>
      <c r="G355">
        <f t="shared" si="5"/>
        <v>2674</v>
      </c>
      <c r="H355">
        <f>cukier11[[#This Row],[stan_magazynu]]-cukier11[[#This Row],[sprzedany_cukier]]</f>
        <v>2294</v>
      </c>
      <c r="I355" s="9">
        <f>cukier11[[#This Row],[stan_po_sprzedazy]]+cukier11[[#This Row],[ile_dokupic]]*1000</f>
        <v>2294</v>
      </c>
    </row>
    <row r="356" spans="1:9" x14ac:dyDescent="0.25">
      <c r="A356" s="1">
        <v>38987</v>
      </c>
      <c r="B356" t="s">
        <v>43</v>
      </c>
      <c r="C356">
        <v>5</v>
      </c>
      <c r="D356">
        <f>MONTH(cukier11[[#This Row],[data]])</f>
        <v>9</v>
      </c>
      <c r="E356">
        <f>IF(D357&lt;&gt;cukier11[[#This Row],[miesiac]],1,0)</f>
        <v>1</v>
      </c>
      <c r="F356">
        <f>IF(AND(H355&lt;5000,cukier11[[#This Row],[czy_nastapiła_zmiana_mies]]=1),ROUNDUP((5000-H355)/1000,0),0)</f>
        <v>3</v>
      </c>
      <c r="G356">
        <f t="shared" si="5"/>
        <v>2294</v>
      </c>
      <c r="H356">
        <f>cukier11[[#This Row],[stan_magazynu]]-cukier11[[#This Row],[sprzedany_cukier]]</f>
        <v>2289</v>
      </c>
      <c r="I356" s="9">
        <f>cukier11[[#This Row],[stan_po_sprzedazy]]+cukier11[[#This Row],[ile_dokupic]]*1000</f>
        <v>5289</v>
      </c>
    </row>
    <row r="357" spans="1:9" x14ac:dyDescent="0.25">
      <c r="A357" s="1">
        <v>38991</v>
      </c>
      <c r="B357" t="s">
        <v>37</v>
      </c>
      <c r="C357">
        <v>170</v>
      </c>
      <c r="D357">
        <f>MONTH(cukier11[[#This Row],[data]])</f>
        <v>10</v>
      </c>
      <c r="E357">
        <f>IF(D358&lt;&gt;cukier11[[#This Row],[miesiac]],1,0)</f>
        <v>0</v>
      </c>
      <c r="F357">
        <f>IF(AND(H356&lt;5000,cukier11[[#This Row],[czy_nastapiła_zmiana_mies]]=1),ROUNDUP((5000-H356)/1000,0),0)</f>
        <v>0</v>
      </c>
      <c r="G357">
        <f t="shared" si="5"/>
        <v>5289</v>
      </c>
      <c r="H357">
        <f>cukier11[[#This Row],[stan_magazynu]]-cukier11[[#This Row],[sprzedany_cukier]]</f>
        <v>5119</v>
      </c>
      <c r="I357" s="9">
        <f>cukier11[[#This Row],[stan_po_sprzedazy]]+cukier11[[#This Row],[ile_dokupic]]*1000</f>
        <v>5119</v>
      </c>
    </row>
    <row r="358" spans="1:9" x14ac:dyDescent="0.25">
      <c r="A358" s="1">
        <v>38995</v>
      </c>
      <c r="B358" t="s">
        <v>45</v>
      </c>
      <c r="C358">
        <v>198</v>
      </c>
      <c r="D358">
        <f>MONTH(cukier11[[#This Row],[data]])</f>
        <v>10</v>
      </c>
      <c r="E358">
        <f>IF(D359&lt;&gt;cukier11[[#This Row],[miesiac]],1,0)</f>
        <v>0</v>
      </c>
      <c r="F358">
        <f>IF(AND(H357&lt;5000,cukier11[[#This Row],[czy_nastapiła_zmiana_mies]]=1),ROUNDUP((5000-H357)/1000,0),0)</f>
        <v>0</v>
      </c>
      <c r="G358">
        <f t="shared" si="5"/>
        <v>5119</v>
      </c>
      <c r="H358">
        <f>cukier11[[#This Row],[stan_magazynu]]-cukier11[[#This Row],[sprzedany_cukier]]</f>
        <v>4921</v>
      </c>
      <c r="I358" s="9">
        <f>cukier11[[#This Row],[stan_po_sprzedazy]]+cukier11[[#This Row],[ile_dokupic]]*1000</f>
        <v>4921</v>
      </c>
    </row>
    <row r="359" spans="1:9" x14ac:dyDescent="0.25">
      <c r="A359" s="1">
        <v>38998</v>
      </c>
      <c r="B359" t="s">
        <v>17</v>
      </c>
      <c r="C359">
        <v>283</v>
      </c>
      <c r="D359">
        <f>MONTH(cukier11[[#This Row],[data]])</f>
        <v>10</v>
      </c>
      <c r="E359">
        <f>IF(D360&lt;&gt;cukier11[[#This Row],[miesiac]],1,0)</f>
        <v>0</v>
      </c>
      <c r="F359">
        <f>IF(AND(H358&lt;5000,cukier11[[#This Row],[czy_nastapiła_zmiana_mies]]=1),ROUNDUP((5000-H358)/1000,0),0)</f>
        <v>0</v>
      </c>
      <c r="G359">
        <f t="shared" si="5"/>
        <v>4921</v>
      </c>
      <c r="H359">
        <f>cukier11[[#This Row],[stan_magazynu]]-cukier11[[#This Row],[sprzedany_cukier]]</f>
        <v>4638</v>
      </c>
      <c r="I359" s="9">
        <f>cukier11[[#This Row],[stan_po_sprzedazy]]+cukier11[[#This Row],[ile_dokupic]]*1000</f>
        <v>4638</v>
      </c>
    </row>
    <row r="360" spans="1:9" x14ac:dyDescent="0.25">
      <c r="A360" s="1">
        <v>39001</v>
      </c>
      <c r="B360" t="s">
        <v>123</v>
      </c>
      <c r="C360">
        <v>42</v>
      </c>
      <c r="D360">
        <f>MONTH(cukier11[[#This Row],[data]])</f>
        <v>10</v>
      </c>
      <c r="E360">
        <f>IF(D361&lt;&gt;cukier11[[#This Row],[miesiac]],1,0)</f>
        <v>0</v>
      </c>
      <c r="F360">
        <f>IF(AND(H359&lt;5000,cukier11[[#This Row],[czy_nastapiła_zmiana_mies]]=1),ROUNDUP((5000-H359)/1000,0),0)</f>
        <v>0</v>
      </c>
      <c r="G360">
        <f t="shared" si="5"/>
        <v>4638</v>
      </c>
      <c r="H360">
        <f>cukier11[[#This Row],[stan_magazynu]]-cukier11[[#This Row],[sprzedany_cukier]]</f>
        <v>4596</v>
      </c>
      <c r="I360" s="9">
        <f>cukier11[[#This Row],[stan_po_sprzedazy]]+cukier11[[#This Row],[ile_dokupic]]*1000</f>
        <v>4596</v>
      </c>
    </row>
    <row r="361" spans="1:9" x14ac:dyDescent="0.25">
      <c r="A361" s="1">
        <v>39003</v>
      </c>
      <c r="B361" t="s">
        <v>6</v>
      </c>
      <c r="C361">
        <v>163</v>
      </c>
      <c r="D361">
        <f>MONTH(cukier11[[#This Row],[data]])</f>
        <v>10</v>
      </c>
      <c r="E361">
        <f>IF(D362&lt;&gt;cukier11[[#This Row],[miesiac]],1,0)</f>
        <v>0</v>
      </c>
      <c r="F361">
        <f>IF(AND(H360&lt;5000,cukier11[[#This Row],[czy_nastapiła_zmiana_mies]]=1),ROUNDUP((5000-H360)/1000,0),0)</f>
        <v>0</v>
      </c>
      <c r="G361">
        <f t="shared" si="5"/>
        <v>4596</v>
      </c>
      <c r="H361">
        <f>cukier11[[#This Row],[stan_magazynu]]-cukier11[[#This Row],[sprzedany_cukier]]</f>
        <v>4433</v>
      </c>
      <c r="I361" s="9">
        <f>cukier11[[#This Row],[stan_po_sprzedazy]]+cukier11[[#This Row],[ile_dokupic]]*1000</f>
        <v>4433</v>
      </c>
    </row>
    <row r="362" spans="1:9" x14ac:dyDescent="0.25">
      <c r="A362" s="1">
        <v>39009</v>
      </c>
      <c r="B362" t="s">
        <v>17</v>
      </c>
      <c r="C362">
        <v>115</v>
      </c>
      <c r="D362">
        <f>MONTH(cukier11[[#This Row],[data]])</f>
        <v>10</v>
      </c>
      <c r="E362">
        <f>IF(D363&lt;&gt;cukier11[[#This Row],[miesiac]],1,0)</f>
        <v>0</v>
      </c>
      <c r="F362">
        <f>IF(AND(H361&lt;5000,cukier11[[#This Row],[czy_nastapiła_zmiana_mies]]=1),ROUNDUP((5000-H361)/1000,0),0)</f>
        <v>0</v>
      </c>
      <c r="G362">
        <f t="shared" si="5"/>
        <v>4433</v>
      </c>
      <c r="H362">
        <f>cukier11[[#This Row],[stan_magazynu]]-cukier11[[#This Row],[sprzedany_cukier]]</f>
        <v>4318</v>
      </c>
      <c r="I362" s="9">
        <f>cukier11[[#This Row],[stan_po_sprzedazy]]+cukier11[[#This Row],[ile_dokupic]]*1000</f>
        <v>4318</v>
      </c>
    </row>
    <row r="363" spans="1:9" x14ac:dyDescent="0.25">
      <c r="A363" s="1">
        <v>39014</v>
      </c>
      <c r="B363" t="s">
        <v>71</v>
      </c>
      <c r="C363">
        <v>75</v>
      </c>
      <c r="D363">
        <f>MONTH(cukier11[[#This Row],[data]])</f>
        <v>10</v>
      </c>
      <c r="E363">
        <f>IF(D364&lt;&gt;cukier11[[#This Row],[miesiac]],1,0)</f>
        <v>0</v>
      </c>
      <c r="F363">
        <f>IF(AND(H362&lt;5000,cukier11[[#This Row],[czy_nastapiła_zmiana_mies]]=1),ROUNDUP((5000-H362)/1000,0),0)</f>
        <v>0</v>
      </c>
      <c r="G363">
        <f t="shared" si="5"/>
        <v>4318</v>
      </c>
      <c r="H363">
        <f>cukier11[[#This Row],[stan_magazynu]]-cukier11[[#This Row],[sprzedany_cukier]]</f>
        <v>4243</v>
      </c>
      <c r="I363" s="9">
        <f>cukier11[[#This Row],[stan_po_sprzedazy]]+cukier11[[#This Row],[ile_dokupic]]*1000</f>
        <v>4243</v>
      </c>
    </row>
    <row r="364" spans="1:9" x14ac:dyDescent="0.25">
      <c r="A364" s="1">
        <v>39015</v>
      </c>
      <c r="B364" t="s">
        <v>45</v>
      </c>
      <c r="C364">
        <v>403</v>
      </c>
      <c r="D364">
        <f>MONTH(cukier11[[#This Row],[data]])</f>
        <v>10</v>
      </c>
      <c r="E364">
        <f>IF(D365&lt;&gt;cukier11[[#This Row],[miesiac]],1,0)</f>
        <v>0</v>
      </c>
      <c r="F364">
        <f>IF(AND(H363&lt;5000,cukier11[[#This Row],[czy_nastapiła_zmiana_mies]]=1),ROUNDUP((5000-H363)/1000,0),0)</f>
        <v>0</v>
      </c>
      <c r="G364">
        <f t="shared" si="5"/>
        <v>4243</v>
      </c>
      <c r="H364">
        <f>cukier11[[#This Row],[stan_magazynu]]-cukier11[[#This Row],[sprzedany_cukier]]</f>
        <v>3840</v>
      </c>
      <c r="I364" s="9">
        <f>cukier11[[#This Row],[stan_po_sprzedazy]]+cukier11[[#This Row],[ile_dokupic]]*1000</f>
        <v>3840</v>
      </c>
    </row>
    <row r="365" spans="1:9" x14ac:dyDescent="0.25">
      <c r="A365" s="1">
        <v>39019</v>
      </c>
      <c r="B365" t="s">
        <v>17</v>
      </c>
      <c r="C365">
        <v>465</v>
      </c>
      <c r="D365">
        <f>MONTH(cukier11[[#This Row],[data]])</f>
        <v>10</v>
      </c>
      <c r="E365">
        <f>IF(D366&lt;&gt;cukier11[[#This Row],[miesiac]],1,0)</f>
        <v>0</v>
      </c>
      <c r="F365">
        <f>IF(AND(H364&lt;5000,cukier11[[#This Row],[czy_nastapiła_zmiana_mies]]=1),ROUNDUP((5000-H364)/1000,0),0)</f>
        <v>0</v>
      </c>
      <c r="G365">
        <f t="shared" si="5"/>
        <v>3840</v>
      </c>
      <c r="H365">
        <f>cukier11[[#This Row],[stan_magazynu]]-cukier11[[#This Row],[sprzedany_cukier]]</f>
        <v>3375</v>
      </c>
      <c r="I365" s="9">
        <f>cukier11[[#This Row],[stan_po_sprzedazy]]+cukier11[[#This Row],[ile_dokupic]]*1000</f>
        <v>3375</v>
      </c>
    </row>
    <row r="366" spans="1:9" x14ac:dyDescent="0.25">
      <c r="A366" s="1">
        <v>39021</v>
      </c>
      <c r="B366" t="s">
        <v>6</v>
      </c>
      <c r="C366">
        <v>194</v>
      </c>
      <c r="D366">
        <f>MONTH(cukier11[[#This Row],[data]])</f>
        <v>10</v>
      </c>
      <c r="E366">
        <f>IF(D367&lt;&gt;cukier11[[#This Row],[miesiac]],1,0)</f>
        <v>0</v>
      </c>
      <c r="F366">
        <f>IF(AND(H365&lt;5000,cukier11[[#This Row],[czy_nastapiła_zmiana_mies]]=1),ROUNDUP((5000-H365)/1000,0),0)</f>
        <v>0</v>
      </c>
      <c r="G366">
        <f t="shared" si="5"/>
        <v>3375</v>
      </c>
      <c r="H366">
        <f>cukier11[[#This Row],[stan_magazynu]]-cukier11[[#This Row],[sprzedany_cukier]]</f>
        <v>3181</v>
      </c>
      <c r="I366" s="9">
        <f>cukier11[[#This Row],[stan_po_sprzedazy]]+cukier11[[#This Row],[ile_dokupic]]*1000</f>
        <v>3181</v>
      </c>
    </row>
    <row r="367" spans="1:9" x14ac:dyDescent="0.25">
      <c r="A367" s="1">
        <v>39021</v>
      </c>
      <c r="B367" t="s">
        <v>69</v>
      </c>
      <c r="C367">
        <v>122</v>
      </c>
      <c r="D367">
        <f>MONTH(cukier11[[#This Row],[data]])</f>
        <v>10</v>
      </c>
      <c r="E367">
        <f>IF(D368&lt;&gt;cukier11[[#This Row],[miesiac]],1,0)</f>
        <v>0</v>
      </c>
      <c r="F367">
        <f>IF(AND(H366&lt;5000,cukier11[[#This Row],[czy_nastapiła_zmiana_mies]]=1),ROUNDUP((5000-H366)/1000,0),0)</f>
        <v>0</v>
      </c>
      <c r="G367">
        <f t="shared" si="5"/>
        <v>3181</v>
      </c>
      <c r="H367">
        <f>cukier11[[#This Row],[stan_magazynu]]-cukier11[[#This Row],[sprzedany_cukier]]</f>
        <v>3059</v>
      </c>
      <c r="I367" s="9">
        <f>cukier11[[#This Row],[stan_po_sprzedazy]]+cukier11[[#This Row],[ile_dokupic]]*1000</f>
        <v>3059</v>
      </c>
    </row>
    <row r="368" spans="1:9" x14ac:dyDescent="0.25">
      <c r="A368" s="1">
        <v>39021</v>
      </c>
      <c r="B368" t="s">
        <v>19</v>
      </c>
      <c r="C368">
        <v>186</v>
      </c>
      <c r="D368">
        <f>MONTH(cukier11[[#This Row],[data]])</f>
        <v>10</v>
      </c>
      <c r="E368">
        <f>IF(D369&lt;&gt;cukier11[[#This Row],[miesiac]],1,0)</f>
        <v>1</v>
      </c>
      <c r="F368">
        <f>IF(AND(H367&lt;5000,cukier11[[#This Row],[czy_nastapiła_zmiana_mies]]=1),ROUNDUP((5000-H367)/1000,0),0)</f>
        <v>2</v>
      </c>
      <c r="G368">
        <f t="shared" si="5"/>
        <v>3059</v>
      </c>
      <c r="H368">
        <f>cukier11[[#This Row],[stan_magazynu]]-cukier11[[#This Row],[sprzedany_cukier]]</f>
        <v>2873</v>
      </c>
      <c r="I368" s="9">
        <f>cukier11[[#This Row],[stan_po_sprzedazy]]+cukier11[[#This Row],[ile_dokupic]]*1000</f>
        <v>4873</v>
      </c>
    </row>
    <row r="369" spans="1:9" x14ac:dyDescent="0.25">
      <c r="A369" s="1">
        <v>39026</v>
      </c>
      <c r="B369" t="s">
        <v>12</v>
      </c>
      <c r="C369">
        <v>137</v>
      </c>
      <c r="D369">
        <f>MONTH(cukier11[[#This Row],[data]])</f>
        <v>11</v>
      </c>
      <c r="E369">
        <f>IF(D370&lt;&gt;cukier11[[#This Row],[miesiac]],1,0)</f>
        <v>0</v>
      </c>
      <c r="F369">
        <f>IF(AND(H368&lt;5000,cukier11[[#This Row],[czy_nastapiła_zmiana_mies]]=1),ROUNDUP((5000-H368)/1000,0),0)</f>
        <v>0</v>
      </c>
      <c r="G369">
        <f t="shared" si="5"/>
        <v>4873</v>
      </c>
      <c r="H369">
        <f>cukier11[[#This Row],[stan_magazynu]]-cukier11[[#This Row],[sprzedany_cukier]]</f>
        <v>4736</v>
      </c>
      <c r="I369" s="9">
        <f>cukier11[[#This Row],[stan_po_sprzedazy]]+cukier11[[#This Row],[ile_dokupic]]*1000</f>
        <v>4736</v>
      </c>
    </row>
    <row r="370" spans="1:9" x14ac:dyDescent="0.25">
      <c r="A370" s="1">
        <v>39029</v>
      </c>
      <c r="B370" t="s">
        <v>79</v>
      </c>
      <c r="C370">
        <v>10</v>
      </c>
      <c r="D370">
        <f>MONTH(cukier11[[#This Row],[data]])</f>
        <v>11</v>
      </c>
      <c r="E370">
        <f>IF(D371&lt;&gt;cukier11[[#This Row],[miesiac]],1,0)</f>
        <v>0</v>
      </c>
      <c r="F370">
        <f>IF(AND(H369&lt;5000,cukier11[[#This Row],[czy_nastapiła_zmiana_mies]]=1),ROUNDUP((5000-H369)/1000,0),0)</f>
        <v>0</v>
      </c>
      <c r="G370">
        <f t="shared" si="5"/>
        <v>4736</v>
      </c>
      <c r="H370">
        <f>cukier11[[#This Row],[stan_magazynu]]-cukier11[[#This Row],[sprzedany_cukier]]</f>
        <v>4726</v>
      </c>
      <c r="I370" s="9">
        <f>cukier11[[#This Row],[stan_po_sprzedazy]]+cukier11[[#This Row],[ile_dokupic]]*1000</f>
        <v>4726</v>
      </c>
    </row>
    <row r="371" spans="1:9" x14ac:dyDescent="0.25">
      <c r="A371" s="1">
        <v>39032</v>
      </c>
      <c r="B371" t="s">
        <v>50</v>
      </c>
      <c r="C371">
        <v>437</v>
      </c>
      <c r="D371">
        <f>MONTH(cukier11[[#This Row],[data]])</f>
        <v>11</v>
      </c>
      <c r="E371">
        <f>IF(D372&lt;&gt;cukier11[[#This Row],[miesiac]],1,0)</f>
        <v>0</v>
      </c>
      <c r="F371">
        <f>IF(AND(H370&lt;5000,cukier11[[#This Row],[czy_nastapiła_zmiana_mies]]=1),ROUNDUP((5000-H370)/1000,0),0)</f>
        <v>0</v>
      </c>
      <c r="G371">
        <f t="shared" si="5"/>
        <v>4726</v>
      </c>
      <c r="H371">
        <f>cukier11[[#This Row],[stan_magazynu]]-cukier11[[#This Row],[sprzedany_cukier]]</f>
        <v>4289</v>
      </c>
      <c r="I371" s="9">
        <f>cukier11[[#This Row],[stan_po_sprzedazy]]+cukier11[[#This Row],[ile_dokupic]]*1000</f>
        <v>4289</v>
      </c>
    </row>
    <row r="372" spans="1:9" x14ac:dyDescent="0.25">
      <c r="A372" s="1">
        <v>39034</v>
      </c>
      <c r="B372" t="s">
        <v>127</v>
      </c>
      <c r="C372">
        <v>20</v>
      </c>
      <c r="D372">
        <f>MONTH(cukier11[[#This Row],[data]])</f>
        <v>11</v>
      </c>
      <c r="E372">
        <f>IF(D373&lt;&gt;cukier11[[#This Row],[miesiac]],1,0)</f>
        <v>0</v>
      </c>
      <c r="F372">
        <f>IF(AND(H371&lt;5000,cukier11[[#This Row],[czy_nastapiła_zmiana_mies]]=1),ROUNDUP((5000-H371)/1000,0),0)</f>
        <v>0</v>
      </c>
      <c r="G372">
        <f t="shared" si="5"/>
        <v>4289</v>
      </c>
      <c r="H372">
        <f>cukier11[[#This Row],[stan_magazynu]]-cukier11[[#This Row],[sprzedany_cukier]]</f>
        <v>4269</v>
      </c>
      <c r="I372" s="9">
        <f>cukier11[[#This Row],[stan_po_sprzedazy]]+cukier11[[#This Row],[ile_dokupic]]*1000</f>
        <v>4269</v>
      </c>
    </row>
    <row r="373" spans="1:9" x14ac:dyDescent="0.25">
      <c r="A373" s="1">
        <v>39035</v>
      </c>
      <c r="B373" t="s">
        <v>14</v>
      </c>
      <c r="C373">
        <v>108</v>
      </c>
      <c r="D373">
        <f>MONTH(cukier11[[#This Row],[data]])</f>
        <v>11</v>
      </c>
      <c r="E373">
        <f>IF(D374&lt;&gt;cukier11[[#This Row],[miesiac]],1,0)</f>
        <v>0</v>
      </c>
      <c r="F373">
        <f>IF(AND(H372&lt;5000,cukier11[[#This Row],[czy_nastapiła_zmiana_mies]]=1),ROUNDUP((5000-H372)/1000,0),0)</f>
        <v>0</v>
      </c>
      <c r="G373">
        <f t="shared" si="5"/>
        <v>4269</v>
      </c>
      <c r="H373">
        <f>cukier11[[#This Row],[stan_magazynu]]-cukier11[[#This Row],[sprzedany_cukier]]</f>
        <v>4161</v>
      </c>
      <c r="I373" s="9">
        <f>cukier11[[#This Row],[stan_po_sprzedazy]]+cukier11[[#This Row],[ile_dokupic]]*1000</f>
        <v>4161</v>
      </c>
    </row>
    <row r="374" spans="1:9" x14ac:dyDescent="0.25">
      <c r="A374" s="1">
        <v>39040</v>
      </c>
      <c r="B374" t="s">
        <v>37</v>
      </c>
      <c r="C374">
        <v>62</v>
      </c>
      <c r="D374">
        <f>MONTH(cukier11[[#This Row],[data]])</f>
        <v>11</v>
      </c>
      <c r="E374">
        <f>IF(D375&lt;&gt;cukier11[[#This Row],[miesiac]],1,0)</f>
        <v>0</v>
      </c>
      <c r="F374">
        <f>IF(AND(H373&lt;5000,cukier11[[#This Row],[czy_nastapiła_zmiana_mies]]=1),ROUNDUP((5000-H373)/1000,0),0)</f>
        <v>0</v>
      </c>
      <c r="G374">
        <f t="shared" si="5"/>
        <v>4161</v>
      </c>
      <c r="H374">
        <f>cukier11[[#This Row],[stan_magazynu]]-cukier11[[#This Row],[sprzedany_cukier]]</f>
        <v>4099</v>
      </c>
      <c r="I374" s="9">
        <f>cukier11[[#This Row],[stan_po_sprzedazy]]+cukier11[[#This Row],[ile_dokupic]]*1000</f>
        <v>4099</v>
      </c>
    </row>
    <row r="375" spans="1:9" x14ac:dyDescent="0.25">
      <c r="A375" s="1">
        <v>39040</v>
      </c>
      <c r="B375" t="s">
        <v>7</v>
      </c>
      <c r="C375">
        <v>426</v>
      </c>
      <c r="D375">
        <f>MONTH(cukier11[[#This Row],[data]])</f>
        <v>11</v>
      </c>
      <c r="E375">
        <f>IF(D376&lt;&gt;cukier11[[#This Row],[miesiac]],1,0)</f>
        <v>0</v>
      </c>
      <c r="F375">
        <f>IF(AND(H374&lt;5000,cukier11[[#This Row],[czy_nastapiła_zmiana_mies]]=1),ROUNDUP((5000-H374)/1000,0),0)</f>
        <v>0</v>
      </c>
      <c r="G375">
        <f t="shared" si="5"/>
        <v>4099</v>
      </c>
      <c r="H375">
        <f>cukier11[[#This Row],[stan_magazynu]]-cukier11[[#This Row],[sprzedany_cukier]]</f>
        <v>3673</v>
      </c>
      <c r="I375" s="9">
        <f>cukier11[[#This Row],[stan_po_sprzedazy]]+cukier11[[#This Row],[ile_dokupic]]*1000</f>
        <v>3673</v>
      </c>
    </row>
    <row r="376" spans="1:9" x14ac:dyDescent="0.25">
      <c r="A376" s="1">
        <v>39043</v>
      </c>
      <c r="B376" t="s">
        <v>45</v>
      </c>
      <c r="C376">
        <v>303</v>
      </c>
      <c r="D376">
        <f>MONTH(cukier11[[#This Row],[data]])</f>
        <v>11</v>
      </c>
      <c r="E376">
        <f>IF(D377&lt;&gt;cukier11[[#This Row],[miesiac]],1,0)</f>
        <v>0</v>
      </c>
      <c r="F376">
        <f>IF(AND(H375&lt;5000,cukier11[[#This Row],[czy_nastapiła_zmiana_mies]]=1),ROUNDUP((5000-H375)/1000,0),0)</f>
        <v>0</v>
      </c>
      <c r="G376">
        <f t="shared" si="5"/>
        <v>3673</v>
      </c>
      <c r="H376">
        <f>cukier11[[#This Row],[stan_magazynu]]-cukier11[[#This Row],[sprzedany_cukier]]</f>
        <v>3370</v>
      </c>
      <c r="I376" s="9">
        <f>cukier11[[#This Row],[stan_po_sprzedazy]]+cukier11[[#This Row],[ile_dokupic]]*1000</f>
        <v>3370</v>
      </c>
    </row>
    <row r="377" spans="1:9" x14ac:dyDescent="0.25">
      <c r="A377" s="1">
        <v>39044</v>
      </c>
      <c r="B377" t="s">
        <v>0</v>
      </c>
      <c r="C377">
        <v>20</v>
      </c>
      <c r="D377">
        <f>MONTH(cukier11[[#This Row],[data]])</f>
        <v>11</v>
      </c>
      <c r="E377">
        <f>IF(D378&lt;&gt;cukier11[[#This Row],[miesiac]],1,0)</f>
        <v>0</v>
      </c>
      <c r="F377">
        <f>IF(AND(H376&lt;5000,cukier11[[#This Row],[czy_nastapiła_zmiana_mies]]=1),ROUNDUP((5000-H376)/1000,0),0)</f>
        <v>0</v>
      </c>
      <c r="G377">
        <f t="shared" si="5"/>
        <v>3370</v>
      </c>
      <c r="H377">
        <f>cukier11[[#This Row],[stan_magazynu]]-cukier11[[#This Row],[sprzedany_cukier]]</f>
        <v>3350</v>
      </c>
      <c r="I377" s="9">
        <f>cukier11[[#This Row],[stan_po_sprzedazy]]+cukier11[[#This Row],[ile_dokupic]]*1000</f>
        <v>3350</v>
      </c>
    </row>
    <row r="378" spans="1:9" x14ac:dyDescent="0.25">
      <c r="A378" s="1">
        <v>39047</v>
      </c>
      <c r="B378" t="s">
        <v>9</v>
      </c>
      <c r="C378">
        <v>237</v>
      </c>
      <c r="D378">
        <f>MONTH(cukier11[[#This Row],[data]])</f>
        <v>11</v>
      </c>
      <c r="E378">
        <f>IF(D379&lt;&gt;cukier11[[#This Row],[miesiac]],1,0)</f>
        <v>0</v>
      </c>
      <c r="F378">
        <f>IF(AND(H377&lt;5000,cukier11[[#This Row],[czy_nastapiła_zmiana_mies]]=1),ROUNDUP((5000-H377)/1000,0),0)</f>
        <v>0</v>
      </c>
      <c r="G378">
        <f t="shared" si="5"/>
        <v>3350</v>
      </c>
      <c r="H378">
        <f>cukier11[[#This Row],[stan_magazynu]]-cukier11[[#This Row],[sprzedany_cukier]]</f>
        <v>3113</v>
      </c>
      <c r="I378" s="9">
        <f>cukier11[[#This Row],[stan_po_sprzedazy]]+cukier11[[#This Row],[ile_dokupic]]*1000</f>
        <v>3113</v>
      </c>
    </row>
    <row r="379" spans="1:9" x14ac:dyDescent="0.25">
      <c r="A379" s="1">
        <v>39048</v>
      </c>
      <c r="B379" t="s">
        <v>23</v>
      </c>
      <c r="C379">
        <v>151</v>
      </c>
      <c r="D379">
        <f>MONTH(cukier11[[#This Row],[data]])</f>
        <v>11</v>
      </c>
      <c r="E379">
        <f>IF(D380&lt;&gt;cukier11[[#This Row],[miesiac]],1,0)</f>
        <v>0</v>
      </c>
      <c r="F379">
        <f>IF(AND(H378&lt;5000,cukier11[[#This Row],[czy_nastapiła_zmiana_mies]]=1),ROUNDUP((5000-H378)/1000,0),0)</f>
        <v>0</v>
      </c>
      <c r="G379">
        <f t="shared" si="5"/>
        <v>3113</v>
      </c>
      <c r="H379">
        <f>cukier11[[#This Row],[stan_magazynu]]-cukier11[[#This Row],[sprzedany_cukier]]</f>
        <v>2962</v>
      </c>
      <c r="I379" s="9">
        <f>cukier11[[#This Row],[stan_po_sprzedazy]]+cukier11[[#This Row],[ile_dokupic]]*1000</f>
        <v>2962</v>
      </c>
    </row>
    <row r="380" spans="1:9" x14ac:dyDescent="0.25">
      <c r="A380" s="1">
        <v>39049</v>
      </c>
      <c r="B380" t="s">
        <v>128</v>
      </c>
      <c r="C380">
        <v>6</v>
      </c>
      <c r="D380">
        <f>MONTH(cukier11[[#This Row],[data]])</f>
        <v>11</v>
      </c>
      <c r="E380">
        <f>IF(D381&lt;&gt;cukier11[[#This Row],[miesiac]],1,0)</f>
        <v>1</v>
      </c>
      <c r="F380">
        <f>IF(AND(H379&lt;5000,cukier11[[#This Row],[czy_nastapiła_zmiana_mies]]=1),ROUNDUP((5000-H379)/1000,0),0)</f>
        <v>3</v>
      </c>
      <c r="G380">
        <f t="shared" si="5"/>
        <v>2962</v>
      </c>
      <c r="H380">
        <f>cukier11[[#This Row],[stan_magazynu]]-cukier11[[#This Row],[sprzedany_cukier]]</f>
        <v>2956</v>
      </c>
      <c r="I380" s="9">
        <f>cukier11[[#This Row],[stan_po_sprzedazy]]+cukier11[[#This Row],[ile_dokupic]]*1000</f>
        <v>5956</v>
      </c>
    </row>
    <row r="381" spans="1:9" x14ac:dyDescent="0.25">
      <c r="A381" s="1">
        <v>39052</v>
      </c>
      <c r="B381" t="s">
        <v>6</v>
      </c>
      <c r="C381">
        <v>124</v>
      </c>
      <c r="D381">
        <f>MONTH(cukier11[[#This Row],[data]])</f>
        <v>12</v>
      </c>
      <c r="E381">
        <f>IF(D382&lt;&gt;cukier11[[#This Row],[miesiac]],1,0)</f>
        <v>0</v>
      </c>
      <c r="F381">
        <f>IF(AND(H380&lt;5000,cukier11[[#This Row],[czy_nastapiła_zmiana_mies]]=1),ROUNDUP((5000-H380)/1000,0),0)</f>
        <v>0</v>
      </c>
      <c r="G381">
        <f t="shared" si="5"/>
        <v>5956</v>
      </c>
      <c r="H381">
        <f>cukier11[[#This Row],[stan_magazynu]]-cukier11[[#This Row],[sprzedany_cukier]]</f>
        <v>5832</v>
      </c>
      <c r="I381" s="9">
        <f>cukier11[[#This Row],[stan_po_sprzedazy]]+cukier11[[#This Row],[ile_dokupic]]*1000</f>
        <v>5832</v>
      </c>
    </row>
    <row r="382" spans="1:9" x14ac:dyDescent="0.25">
      <c r="A382" s="1">
        <v>39054</v>
      </c>
      <c r="B382" t="s">
        <v>129</v>
      </c>
      <c r="C382">
        <v>7</v>
      </c>
      <c r="D382">
        <f>MONTH(cukier11[[#This Row],[data]])</f>
        <v>12</v>
      </c>
      <c r="E382">
        <f>IF(D383&lt;&gt;cukier11[[#This Row],[miesiac]],1,0)</f>
        <v>0</v>
      </c>
      <c r="F382">
        <f>IF(AND(H381&lt;5000,cukier11[[#This Row],[czy_nastapiła_zmiana_mies]]=1),ROUNDUP((5000-H381)/1000,0),0)</f>
        <v>0</v>
      </c>
      <c r="G382">
        <f t="shared" si="5"/>
        <v>5832</v>
      </c>
      <c r="H382">
        <f>cukier11[[#This Row],[stan_magazynu]]-cukier11[[#This Row],[sprzedany_cukier]]</f>
        <v>5825</v>
      </c>
      <c r="I382" s="9">
        <f>cukier11[[#This Row],[stan_po_sprzedazy]]+cukier11[[#This Row],[ile_dokupic]]*1000</f>
        <v>5825</v>
      </c>
    </row>
    <row r="383" spans="1:9" x14ac:dyDescent="0.25">
      <c r="A383" s="1">
        <v>39055</v>
      </c>
      <c r="B383" t="s">
        <v>130</v>
      </c>
      <c r="C383">
        <v>7</v>
      </c>
      <c r="D383">
        <f>MONTH(cukier11[[#This Row],[data]])</f>
        <v>12</v>
      </c>
      <c r="E383">
        <f>IF(D384&lt;&gt;cukier11[[#This Row],[miesiac]],1,0)</f>
        <v>0</v>
      </c>
      <c r="F383">
        <f>IF(AND(H382&lt;5000,cukier11[[#This Row],[czy_nastapiła_zmiana_mies]]=1),ROUNDUP((5000-H382)/1000,0),0)</f>
        <v>0</v>
      </c>
      <c r="G383">
        <f t="shared" si="5"/>
        <v>5825</v>
      </c>
      <c r="H383">
        <f>cukier11[[#This Row],[stan_magazynu]]-cukier11[[#This Row],[sprzedany_cukier]]</f>
        <v>5818</v>
      </c>
      <c r="I383" s="9">
        <f>cukier11[[#This Row],[stan_po_sprzedazy]]+cukier11[[#This Row],[ile_dokupic]]*1000</f>
        <v>5818</v>
      </c>
    </row>
    <row r="384" spans="1:9" x14ac:dyDescent="0.25">
      <c r="A384" s="1">
        <v>39057</v>
      </c>
      <c r="B384" t="s">
        <v>45</v>
      </c>
      <c r="C384">
        <v>105</v>
      </c>
      <c r="D384">
        <f>MONTH(cukier11[[#This Row],[data]])</f>
        <v>12</v>
      </c>
      <c r="E384">
        <f>IF(D385&lt;&gt;cukier11[[#This Row],[miesiac]],1,0)</f>
        <v>0</v>
      </c>
      <c r="F384">
        <f>IF(AND(H383&lt;5000,cukier11[[#This Row],[czy_nastapiła_zmiana_mies]]=1),ROUNDUP((5000-H383)/1000,0),0)</f>
        <v>0</v>
      </c>
      <c r="G384">
        <f t="shared" si="5"/>
        <v>5818</v>
      </c>
      <c r="H384">
        <f>cukier11[[#This Row],[stan_magazynu]]-cukier11[[#This Row],[sprzedany_cukier]]</f>
        <v>5713</v>
      </c>
      <c r="I384" s="9">
        <f>cukier11[[#This Row],[stan_po_sprzedazy]]+cukier11[[#This Row],[ile_dokupic]]*1000</f>
        <v>5713</v>
      </c>
    </row>
    <row r="385" spans="1:9" x14ac:dyDescent="0.25">
      <c r="A385" s="1">
        <v>39058</v>
      </c>
      <c r="B385" t="s">
        <v>69</v>
      </c>
      <c r="C385">
        <v>58</v>
      </c>
      <c r="D385">
        <f>MONTH(cukier11[[#This Row],[data]])</f>
        <v>12</v>
      </c>
      <c r="E385">
        <f>IF(D386&lt;&gt;cukier11[[#This Row],[miesiac]],1,0)</f>
        <v>0</v>
      </c>
      <c r="F385">
        <f>IF(AND(H384&lt;5000,cukier11[[#This Row],[czy_nastapiła_zmiana_mies]]=1),ROUNDUP((5000-H384)/1000,0),0)</f>
        <v>0</v>
      </c>
      <c r="G385">
        <f t="shared" si="5"/>
        <v>5713</v>
      </c>
      <c r="H385">
        <f>cukier11[[#This Row],[stan_magazynu]]-cukier11[[#This Row],[sprzedany_cukier]]</f>
        <v>5655</v>
      </c>
      <c r="I385" s="9">
        <f>cukier11[[#This Row],[stan_po_sprzedazy]]+cukier11[[#This Row],[ile_dokupic]]*1000</f>
        <v>5655</v>
      </c>
    </row>
    <row r="386" spans="1:9" x14ac:dyDescent="0.25">
      <c r="A386" s="1">
        <v>39058</v>
      </c>
      <c r="B386" t="s">
        <v>131</v>
      </c>
      <c r="C386">
        <v>182</v>
      </c>
      <c r="D386">
        <f>MONTH(cukier11[[#This Row],[data]])</f>
        <v>12</v>
      </c>
      <c r="E386">
        <f>IF(D387&lt;&gt;cukier11[[#This Row],[miesiac]],1,0)</f>
        <v>0</v>
      </c>
      <c r="F386">
        <f>IF(AND(H385&lt;5000,cukier11[[#This Row],[czy_nastapiła_zmiana_mies]]=1),ROUNDUP((5000-H385)/1000,0),0)</f>
        <v>0</v>
      </c>
      <c r="G386">
        <f t="shared" si="5"/>
        <v>5655</v>
      </c>
      <c r="H386">
        <f>cukier11[[#This Row],[stan_magazynu]]-cukier11[[#This Row],[sprzedany_cukier]]</f>
        <v>5473</v>
      </c>
      <c r="I386" s="9">
        <f>cukier11[[#This Row],[stan_po_sprzedazy]]+cukier11[[#This Row],[ile_dokupic]]*1000</f>
        <v>5473</v>
      </c>
    </row>
    <row r="387" spans="1:9" x14ac:dyDescent="0.25">
      <c r="A387" s="1">
        <v>39060</v>
      </c>
      <c r="B387" t="s">
        <v>50</v>
      </c>
      <c r="C387">
        <v>163</v>
      </c>
      <c r="D387">
        <f>MONTH(cukier11[[#This Row],[data]])</f>
        <v>12</v>
      </c>
      <c r="E387">
        <f>IF(D388&lt;&gt;cukier11[[#This Row],[miesiac]],1,0)</f>
        <v>0</v>
      </c>
      <c r="F387">
        <f>IF(AND(H386&lt;5000,cukier11[[#This Row],[czy_nastapiła_zmiana_mies]]=1),ROUNDUP((5000-H386)/1000,0),0)</f>
        <v>0</v>
      </c>
      <c r="G387">
        <f t="shared" si="5"/>
        <v>5473</v>
      </c>
      <c r="H387">
        <f>cukier11[[#This Row],[stan_magazynu]]-cukier11[[#This Row],[sprzedany_cukier]]</f>
        <v>5310</v>
      </c>
      <c r="I387" s="9">
        <f>cukier11[[#This Row],[stan_po_sprzedazy]]+cukier11[[#This Row],[ile_dokupic]]*1000</f>
        <v>5310</v>
      </c>
    </row>
    <row r="388" spans="1:9" x14ac:dyDescent="0.25">
      <c r="A388" s="1">
        <v>39060</v>
      </c>
      <c r="B388" t="s">
        <v>132</v>
      </c>
      <c r="C388">
        <v>14</v>
      </c>
      <c r="D388">
        <f>MONTH(cukier11[[#This Row],[data]])</f>
        <v>12</v>
      </c>
      <c r="E388">
        <f>IF(D389&lt;&gt;cukier11[[#This Row],[miesiac]],1,0)</f>
        <v>0</v>
      </c>
      <c r="F388">
        <f>IF(AND(H387&lt;5000,cukier11[[#This Row],[czy_nastapiła_zmiana_mies]]=1),ROUNDUP((5000-H387)/1000,0),0)</f>
        <v>0</v>
      </c>
      <c r="G388">
        <f t="shared" ref="G388:G451" si="6">I387</f>
        <v>5310</v>
      </c>
      <c r="H388">
        <f>cukier11[[#This Row],[stan_magazynu]]-cukier11[[#This Row],[sprzedany_cukier]]</f>
        <v>5296</v>
      </c>
      <c r="I388" s="9">
        <f>cukier11[[#This Row],[stan_po_sprzedazy]]+cukier11[[#This Row],[ile_dokupic]]*1000</f>
        <v>5296</v>
      </c>
    </row>
    <row r="389" spans="1:9" x14ac:dyDescent="0.25">
      <c r="A389" s="1">
        <v>39061</v>
      </c>
      <c r="B389" t="s">
        <v>133</v>
      </c>
      <c r="C389">
        <v>4</v>
      </c>
      <c r="D389">
        <f>MONTH(cukier11[[#This Row],[data]])</f>
        <v>12</v>
      </c>
      <c r="E389">
        <f>IF(D390&lt;&gt;cukier11[[#This Row],[miesiac]],1,0)</f>
        <v>0</v>
      </c>
      <c r="F389">
        <f>IF(AND(H388&lt;5000,cukier11[[#This Row],[czy_nastapiła_zmiana_mies]]=1),ROUNDUP((5000-H388)/1000,0),0)</f>
        <v>0</v>
      </c>
      <c r="G389">
        <f t="shared" si="6"/>
        <v>5296</v>
      </c>
      <c r="H389">
        <f>cukier11[[#This Row],[stan_magazynu]]-cukier11[[#This Row],[sprzedany_cukier]]</f>
        <v>5292</v>
      </c>
      <c r="I389" s="9">
        <f>cukier11[[#This Row],[stan_po_sprzedazy]]+cukier11[[#This Row],[ile_dokupic]]*1000</f>
        <v>5292</v>
      </c>
    </row>
    <row r="390" spans="1:9" x14ac:dyDescent="0.25">
      <c r="A390" s="1">
        <v>39062</v>
      </c>
      <c r="B390" t="s">
        <v>134</v>
      </c>
      <c r="C390">
        <v>13</v>
      </c>
      <c r="D390">
        <f>MONTH(cukier11[[#This Row],[data]])</f>
        <v>12</v>
      </c>
      <c r="E390">
        <f>IF(D391&lt;&gt;cukier11[[#This Row],[miesiac]],1,0)</f>
        <v>0</v>
      </c>
      <c r="F390">
        <f>IF(AND(H389&lt;5000,cukier11[[#This Row],[czy_nastapiła_zmiana_mies]]=1),ROUNDUP((5000-H389)/1000,0),0)</f>
        <v>0</v>
      </c>
      <c r="G390">
        <f t="shared" si="6"/>
        <v>5292</v>
      </c>
      <c r="H390">
        <f>cukier11[[#This Row],[stan_magazynu]]-cukier11[[#This Row],[sprzedany_cukier]]</f>
        <v>5279</v>
      </c>
      <c r="I390" s="9">
        <f>cukier11[[#This Row],[stan_po_sprzedazy]]+cukier11[[#This Row],[ile_dokupic]]*1000</f>
        <v>5279</v>
      </c>
    </row>
    <row r="391" spans="1:9" x14ac:dyDescent="0.25">
      <c r="A391" s="1">
        <v>39063</v>
      </c>
      <c r="B391" t="s">
        <v>7</v>
      </c>
      <c r="C391">
        <v>422</v>
      </c>
      <c r="D391">
        <f>MONTH(cukier11[[#This Row],[data]])</f>
        <v>12</v>
      </c>
      <c r="E391">
        <f>IF(D392&lt;&gt;cukier11[[#This Row],[miesiac]],1,0)</f>
        <v>0</v>
      </c>
      <c r="F391">
        <f>IF(AND(H390&lt;5000,cukier11[[#This Row],[czy_nastapiła_zmiana_mies]]=1),ROUNDUP((5000-H390)/1000,0),0)</f>
        <v>0</v>
      </c>
      <c r="G391">
        <f t="shared" si="6"/>
        <v>5279</v>
      </c>
      <c r="H391">
        <f>cukier11[[#This Row],[stan_magazynu]]-cukier11[[#This Row],[sprzedany_cukier]]</f>
        <v>4857</v>
      </c>
      <c r="I391" s="9">
        <f>cukier11[[#This Row],[stan_po_sprzedazy]]+cukier11[[#This Row],[ile_dokupic]]*1000</f>
        <v>4857</v>
      </c>
    </row>
    <row r="392" spans="1:9" x14ac:dyDescent="0.25">
      <c r="A392" s="1">
        <v>39064</v>
      </c>
      <c r="B392" t="s">
        <v>82</v>
      </c>
      <c r="C392">
        <v>6</v>
      </c>
      <c r="D392">
        <f>MONTH(cukier11[[#This Row],[data]])</f>
        <v>12</v>
      </c>
      <c r="E392">
        <f>IF(D393&lt;&gt;cukier11[[#This Row],[miesiac]],1,0)</f>
        <v>0</v>
      </c>
      <c r="F392">
        <f>IF(AND(H391&lt;5000,cukier11[[#This Row],[czy_nastapiła_zmiana_mies]]=1),ROUNDUP((5000-H391)/1000,0),0)</f>
        <v>0</v>
      </c>
      <c r="G392">
        <f t="shared" si="6"/>
        <v>4857</v>
      </c>
      <c r="H392">
        <f>cukier11[[#This Row],[stan_magazynu]]-cukier11[[#This Row],[sprzedany_cukier]]</f>
        <v>4851</v>
      </c>
      <c r="I392" s="9">
        <f>cukier11[[#This Row],[stan_po_sprzedazy]]+cukier11[[#This Row],[ile_dokupic]]*1000</f>
        <v>4851</v>
      </c>
    </row>
    <row r="393" spans="1:9" x14ac:dyDescent="0.25">
      <c r="A393" s="1">
        <v>39069</v>
      </c>
      <c r="B393" t="s">
        <v>135</v>
      </c>
      <c r="C393">
        <v>15</v>
      </c>
      <c r="D393">
        <f>MONTH(cukier11[[#This Row],[data]])</f>
        <v>12</v>
      </c>
      <c r="E393">
        <f>IF(D394&lt;&gt;cukier11[[#This Row],[miesiac]],1,0)</f>
        <v>0</v>
      </c>
      <c r="F393">
        <f>IF(AND(H392&lt;5000,cukier11[[#This Row],[czy_nastapiła_zmiana_mies]]=1),ROUNDUP((5000-H392)/1000,0),0)</f>
        <v>0</v>
      </c>
      <c r="G393">
        <f t="shared" si="6"/>
        <v>4851</v>
      </c>
      <c r="H393">
        <f>cukier11[[#This Row],[stan_magazynu]]-cukier11[[#This Row],[sprzedany_cukier]]</f>
        <v>4836</v>
      </c>
      <c r="I393" s="9">
        <f>cukier11[[#This Row],[stan_po_sprzedazy]]+cukier11[[#This Row],[ile_dokupic]]*1000</f>
        <v>4836</v>
      </c>
    </row>
    <row r="394" spans="1:9" x14ac:dyDescent="0.25">
      <c r="A394" s="1">
        <v>39070</v>
      </c>
      <c r="B394" t="s">
        <v>30</v>
      </c>
      <c r="C394">
        <v>168</v>
      </c>
      <c r="D394">
        <f>MONTH(cukier11[[#This Row],[data]])</f>
        <v>12</v>
      </c>
      <c r="E394">
        <f>IF(D395&lt;&gt;cukier11[[#This Row],[miesiac]],1,0)</f>
        <v>0</v>
      </c>
      <c r="F394">
        <f>IF(AND(H393&lt;5000,cukier11[[#This Row],[czy_nastapiła_zmiana_mies]]=1),ROUNDUP((5000-H393)/1000,0),0)</f>
        <v>0</v>
      </c>
      <c r="G394">
        <f t="shared" si="6"/>
        <v>4836</v>
      </c>
      <c r="H394">
        <f>cukier11[[#This Row],[stan_magazynu]]-cukier11[[#This Row],[sprzedany_cukier]]</f>
        <v>4668</v>
      </c>
      <c r="I394" s="9">
        <f>cukier11[[#This Row],[stan_po_sprzedazy]]+cukier11[[#This Row],[ile_dokupic]]*1000</f>
        <v>4668</v>
      </c>
    </row>
    <row r="395" spans="1:9" x14ac:dyDescent="0.25">
      <c r="A395" s="1">
        <v>39072</v>
      </c>
      <c r="B395" t="s">
        <v>50</v>
      </c>
      <c r="C395">
        <v>193</v>
      </c>
      <c r="D395">
        <f>MONTH(cukier11[[#This Row],[data]])</f>
        <v>12</v>
      </c>
      <c r="E395">
        <f>IF(D396&lt;&gt;cukier11[[#This Row],[miesiac]],1,0)</f>
        <v>0</v>
      </c>
      <c r="F395">
        <f>IF(AND(H394&lt;5000,cukier11[[#This Row],[czy_nastapiła_zmiana_mies]]=1),ROUNDUP((5000-H394)/1000,0),0)</f>
        <v>0</v>
      </c>
      <c r="G395">
        <f t="shared" si="6"/>
        <v>4668</v>
      </c>
      <c r="H395">
        <f>cukier11[[#This Row],[stan_magazynu]]-cukier11[[#This Row],[sprzedany_cukier]]</f>
        <v>4475</v>
      </c>
      <c r="I395" s="9">
        <f>cukier11[[#This Row],[stan_po_sprzedazy]]+cukier11[[#This Row],[ile_dokupic]]*1000</f>
        <v>4475</v>
      </c>
    </row>
    <row r="396" spans="1:9" x14ac:dyDescent="0.25">
      <c r="A396" s="1">
        <v>39078</v>
      </c>
      <c r="B396" t="s">
        <v>105</v>
      </c>
      <c r="C396">
        <v>15</v>
      </c>
      <c r="D396">
        <f>MONTH(cukier11[[#This Row],[data]])</f>
        <v>12</v>
      </c>
      <c r="E396">
        <f>IF(D397&lt;&gt;cukier11[[#This Row],[miesiac]],1,0)</f>
        <v>0</v>
      </c>
      <c r="F396">
        <f>IF(AND(H395&lt;5000,cukier11[[#This Row],[czy_nastapiła_zmiana_mies]]=1),ROUNDUP((5000-H395)/1000,0),0)</f>
        <v>0</v>
      </c>
      <c r="G396">
        <f t="shared" si="6"/>
        <v>4475</v>
      </c>
      <c r="H396">
        <f>cukier11[[#This Row],[stan_magazynu]]-cukier11[[#This Row],[sprzedany_cukier]]</f>
        <v>4460</v>
      </c>
      <c r="I396" s="9">
        <f>cukier11[[#This Row],[stan_po_sprzedazy]]+cukier11[[#This Row],[ile_dokupic]]*1000</f>
        <v>4460</v>
      </c>
    </row>
    <row r="397" spans="1:9" x14ac:dyDescent="0.25">
      <c r="A397" s="1">
        <v>39079</v>
      </c>
      <c r="B397" t="s">
        <v>23</v>
      </c>
      <c r="C397">
        <v>27</v>
      </c>
      <c r="D397">
        <f>MONTH(cukier11[[#This Row],[data]])</f>
        <v>12</v>
      </c>
      <c r="E397">
        <f>IF(D398&lt;&gt;cukier11[[#This Row],[miesiac]],1,0)</f>
        <v>0</v>
      </c>
      <c r="F397">
        <f>IF(AND(H396&lt;5000,cukier11[[#This Row],[czy_nastapiła_zmiana_mies]]=1),ROUNDUP((5000-H396)/1000,0),0)</f>
        <v>0</v>
      </c>
      <c r="G397">
        <f t="shared" si="6"/>
        <v>4460</v>
      </c>
      <c r="H397">
        <f>cukier11[[#This Row],[stan_magazynu]]-cukier11[[#This Row],[sprzedany_cukier]]</f>
        <v>4433</v>
      </c>
      <c r="I397" s="9">
        <f>cukier11[[#This Row],[stan_po_sprzedazy]]+cukier11[[#This Row],[ile_dokupic]]*1000</f>
        <v>4433</v>
      </c>
    </row>
    <row r="398" spans="1:9" x14ac:dyDescent="0.25">
      <c r="A398" s="1">
        <v>39080</v>
      </c>
      <c r="B398" t="s">
        <v>23</v>
      </c>
      <c r="C398">
        <v>116</v>
      </c>
      <c r="D398">
        <f>MONTH(cukier11[[#This Row],[data]])</f>
        <v>12</v>
      </c>
      <c r="E398">
        <f>IF(D399&lt;&gt;cukier11[[#This Row],[miesiac]],1,0)</f>
        <v>0</v>
      </c>
      <c r="F398">
        <f>IF(AND(H397&lt;5000,cukier11[[#This Row],[czy_nastapiła_zmiana_mies]]=1),ROUNDUP((5000-H397)/1000,0),0)</f>
        <v>0</v>
      </c>
      <c r="G398">
        <f t="shared" si="6"/>
        <v>4433</v>
      </c>
      <c r="H398">
        <f>cukier11[[#This Row],[stan_magazynu]]-cukier11[[#This Row],[sprzedany_cukier]]</f>
        <v>4317</v>
      </c>
      <c r="I398" s="9">
        <f>cukier11[[#This Row],[stan_po_sprzedazy]]+cukier11[[#This Row],[ile_dokupic]]*1000</f>
        <v>4317</v>
      </c>
    </row>
    <row r="399" spans="1:9" x14ac:dyDescent="0.25">
      <c r="A399" s="1">
        <v>39081</v>
      </c>
      <c r="B399" t="s">
        <v>61</v>
      </c>
      <c r="C399">
        <v>21</v>
      </c>
      <c r="D399">
        <f>MONTH(cukier11[[#This Row],[data]])</f>
        <v>12</v>
      </c>
      <c r="E399">
        <f>IF(D400&lt;&gt;cukier11[[#This Row],[miesiac]],1,0)</f>
        <v>0</v>
      </c>
      <c r="F399">
        <f>IF(AND(H398&lt;5000,cukier11[[#This Row],[czy_nastapiła_zmiana_mies]]=1),ROUNDUP((5000-H398)/1000,0),0)</f>
        <v>0</v>
      </c>
      <c r="G399">
        <f t="shared" si="6"/>
        <v>4317</v>
      </c>
      <c r="H399">
        <f>cukier11[[#This Row],[stan_magazynu]]-cukier11[[#This Row],[sprzedany_cukier]]</f>
        <v>4296</v>
      </c>
      <c r="I399" s="9">
        <f>cukier11[[#This Row],[stan_po_sprzedazy]]+cukier11[[#This Row],[ile_dokupic]]*1000</f>
        <v>4296</v>
      </c>
    </row>
    <row r="400" spans="1:9" x14ac:dyDescent="0.25">
      <c r="A400" s="1">
        <v>39081</v>
      </c>
      <c r="B400" t="s">
        <v>23</v>
      </c>
      <c r="C400">
        <v>61</v>
      </c>
      <c r="D400">
        <f>MONTH(cukier11[[#This Row],[data]])</f>
        <v>12</v>
      </c>
      <c r="E400">
        <f>IF(D401&lt;&gt;cukier11[[#This Row],[miesiac]],1,0)</f>
        <v>0</v>
      </c>
      <c r="F400">
        <f>IF(AND(H399&lt;5000,cukier11[[#This Row],[czy_nastapiła_zmiana_mies]]=1),ROUNDUP((5000-H399)/1000,0),0)</f>
        <v>0</v>
      </c>
      <c r="G400">
        <f t="shared" si="6"/>
        <v>4296</v>
      </c>
      <c r="H400">
        <f>cukier11[[#This Row],[stan_magazynu]]-cukier11[[#This Row],[sprzedany_cukier]]</f>
        <v>4235</v>
      </c>
      <c r="I400" s="9">
        <f>cukier11[[#This Row],[stan_po_sprzedazy]]+cukier11[[#This Row],[ile_dokupic]]*1000</f>
        <v>4235</v>
      </c>
    </row>
    <row r="401" spans="1:9" x14ac:dyDescent="0.25">
      <c r="A401" s="1">
        <v>39081</v>
      </c>
      <c r="B401" t="s">
        <v>17</v>
      </c>
      <c r="C401">
        <v>458</v>
      </c>
      <c r="D401">
        <f>MONTH(cukier11[[#This Row],[data]])</f>
        <v>12</v>
      </c>
      <c r="E401">
        <f>IF(D402&lt;&gt;cukier11[[#This Row],[miesiac]],1,0)</f>
        <v>0</v>
      </c>
      <c r="F401">
        <f>IF(AND(H400&lt;5000,cukier11[[#This Row],[czy_nastapiła_zmiana_mies]]=1),ROUNDUP((5000-H400)/1000,0),0)</f>
        <v>0</v>
      </c>
      <c r="G401">
        <f t="shared" si="6"/>
        <v>4235</v>
      </c>
      <c r="H401">
        <f>cukier11[[#This Row],[stan_magazynu]]-cukier11[[#This Row],[sprzedany_cukier]]</f>
        <v>3777</v>
      </c>
      <c r="I401" s="9">
        <f>cukier11[[#This Row],[stan_po_sprzedazy]]+cukier11[[#This Row],[ile_dokupic]]*1000</f>
        <v>3777</v>
      </c>
    </row>
    <row r="402" spans="1:9" x14ac:dyDescent="0.25">
      <c r="A402" s="1">
        <v>39082</v>
      </c>
      <c r="B402" t="s">
        <v>136</v>
      </c>
      <c r="C402">
        <v>19</v>
      </c>
      <c r="D402">
        <f>MONTH(cukier11[[#This Row],[data]])</f>
        <v>12</v>
      </c>
      <c r="E402">
        <f>IF(D403&lt;&gt;cukier11[[#This Row],[miesiac]],1,0)</f>
        <v>1</v>
      </c>
      <c r="F402">
        <f>IF(AND(H401&lt;5000,cukier11[[#This Row],[czy_nastapiła_zmiana_mies]]=1),ROUNDUP((5000-H401)/1000,0),0)</f>
        <v>2</v>
      </c>
      <c r="G402">
        <f t="shared" si="6"/>
        <v>3777</v>
      </c>
      <c r="H402">
        <f>cukier11[[#This Row],[stan_magazynu]]-cukier11[[#This Row],[sprzedany_cukier]]</f>
        <v>3758</v>
      </c>
      <c r="I402" s="9">
        <f>cukier11[[#This Row],[stan_po_sprzedazy]]+cukier11[[#This Row],[ile_dokupic]]*1000</f>
        <v>5758</v>
      </c>
    </row>
    <row r="403" spans="1:9" x14ac:dyDescent="0.25">
      <c r="A403" s="1">
        <v>39084</v>
      </c>
      <c r="B403" t="s">
        <v>55</v>
      </c>
      <c r="C403">
        <v>81</v>
      </c>
      <c r="D403">
        <f>MONTH(cukier11[[#This Row],[data]])</f>
        <v>1</v>
      </c>
      <c r="E403">
        <f>IF(D404&lt;&gt;cukier11[[#This Row],[miesiac]],1,0)</f>
        <v>0</v>
      </c>
      <c r="F403">
        <f>IF(AND(H402&lt;5000,cukier11[[#This Row],[czy_nastapiła_zmiana_mies]]=1),ROUNDUP((5000-H402)/1000,0),0)</f>
        <v>0</v>
      </c>
      <c r="G403">
        <f t="shared" si="6"/>
        <v>5758</v>
      </c>
      <c r="H403">
        <f>cukier11[[#This Row],[stan_magazynu]]-cukier11[[#This Row],[sprzedany_cukier]]</f>
        <v>5677</v>
      </c>
      <c r="I403" s="9">
        <f>cukier11[[#This Row],[stan_po_sprzedazy]]+cukier11[[#This Row],[ile_dokupic]]*1000</f>
        <v>5677</v>
      </c>
    </row>
    <row r="404" spans="1:9" x14ac:dyDescent="0.25">
      <c r="A404" s="1">
        <v>39085</v>
      </c>
      <c r="B404" t="s">
        <v>18</v>
      </c>
      <c r="C404">
        <v>86</v>
      </c>
      <c r="D404">
        <f>MONTH(cukier11[[#This Row],[data]])</f>
        <v>1</v>
      </c>
      <c r="E404">
        <f>IF(D405&lt;&gt;cukier11[[#This Row],[miesiac]],1,0)</f>
        <v>0</v>
      </c>
      <c r="F404">
        <f>IF(AND(H403&lt;5000,cukier11[[#This Row],[czy_nastapiła_zmiana_mies]]=1),ROUNDUP((5000-H403)/1000,0),0)</f>
        <v>0</v>
      </c>
      <c r="G404">
        <f t="shared" si="6"/>
        <v>5677</v>
      </c>
      <c r="H404">
        <f>cukier11[[#This Row],[stan_magazynu]]-cukier11[[#This Row],[sprzedany_cukier]]</f>
        <v>5591</v>
      </c>
      <c r="I404" s="9">
        <f>cukier11[[#This Row],[stan_po_sprzedazy]]+cukier11[[#This Row],[ile_dokupic]]*1000</f>
        <v>5591</v>
      </c>
    </row>
    <row r="405" spans="1:9" x14ac:dyDescent="0.25">
      <c r="A405" s="1">
        <v>39086</v>
      </c>
      <c r="B405" t="s">
        <v>7</v>
      </c>
      <c r="C405">
        <v>142</v>
      </c>
      <c r="D405">
        <f>MONTH(cukier11[[#This Row],[data]])</f>
        <v>1</v>
      </c>
      <c r="E405">
        <f>IF(D406&lt;&gt;cukier11[[#This Row],[miesiac]],1,0)</f>
        <v>0</v>
      </c>
      <c r="F405">
        <f>IF(AND(H404&lt;5000,cukier11[[#This Row],[czy_nastapiła_zmiana_mies]]=1),ROUNDUP((5000-H404)/1000,0),0)</f>
        <v>0</v>
      </c>
      <c r="G405">
        <f t="shared" si="6"/>
        <v>5591</v>
      </c>
      <c r="H405">
        <f>cukier11[[#This Row],[stan_magazynu]]-cukier11[[#This Row],[sprzedany_cukier]]</f>
        <v>5449</v>
      </c>
      <c r="I405" s="9">
        <f>cukier11[[#This Row],[stan_po_sprzedazy]]+cukier11[[#This Row],[ile_dokupic]]*1000</f>
        <v>5449</v>
      </c>
    </row>
    <row r="406" spans="1:9" x14ac:dyDescent="0.25">
      <c r="A406" s="1">
        <v>39092</v>
      </c>
      <c r="B406" t="s">
        <v>17</v>
      </c>
      <c r="C406">
        <v>459</v>
      </c>
      <c r="D406">
        <f>MONTH(cukier11[[#This Row],[data]])</f>
        <v>1</v>
      </c>
      <c r="E406">
        <f>IF(D407&lt;&gt;cukier11[[#This Row],[miesiac]],1,0)</f>
        <v>0</v>
      </c>
      <c r="F406">
        <f>IF(AND(H405&lt;5000,cukier11[[#This Row],[czy_nastapiła_zmiana_mies]]=1),ROUNDUP((5000-H405)/1000,0),0)</f>
        <v>0</v>
      </c>
      <c r="G406">
        <f t="shared" si="6"/>
        <v>5449</v>
      </c>
      <c r="H406">
        <f>cukier11[[#This Row],[stan_magazynu]]-cukier11[[#This Row],[sprzedany_cukier]]</f>
        <v>4990</v>
      </c>
      <c r="I406" s="9">
        <f>cukier11[[#This Row],[stan_po_sprzedazy]]+cukier11[[#This Row],[ile_dokupic]]*1000</f>
        <v>4990</v>
      </c>
    </row>
    <row r="407" spans="1:9" x14ac:dyDescent="0.25">
      <c r="A407" s="1">
        <v>39093</v>
      </c>
      <c r="B407" t="s">
        <v>40</v>
      </c>
      <c r="C407">
        <v>20</v>
      </c>
      <c r="D407">
        <f>MONTH(cukier11[[#This Row],[data]])</f>
        <v>1</v>
      </c>
      <c r="E407">
        <f>IF(D408&lt;&gt;cukier11[[#This Row],[miesiac]],1,0)</f>
        <v>0</v>
      </c>
      <c r="F407">
        <f>IF(AND(H406&lt;5000,cukier11[[#This Row],[czy_nastapiła_zmiana_mies]]=1),ROUNDUP((5000-H406)/1000,0),0)</f>
        <v>0</v>
      </c>
      <c r="G407">
        <f t="shared" si="6"/>
        <v>4990</v>
      </c>
      <c r="H407">
        <f>cukier11[[#This Row],[stan_magazynu]]-cukier11[[#This Row],[sprzedany_cukier]]</f>
        <v>4970</v>
      </c>
      <c r="I407" s="9">
        <f>cukier11[[#This Row],[stan_po_sprzedazy]]+cukier11[[#This Row],[ile_dokupic]]*1000</f>
        <v>4970</v>
      </c>
    </row>
    <row r="408" spans="1:9" x14ac:dyDescent="0.25">
      <c r="A408" s="1">
        <v>39095</v>
      </c>
      <c r="B408" t="s">
        <v>45</v>
      </c>
      <c r="C408">
        <v>245</v>
      </c>
      <c r="D408">
        <f>MONTH(cukier11[[#This Row],[data]])</f>
        <v>1</v>
      </c>
      <c r="E408">
        <f>IF(D409&lt;&gt;cukier11[[#This Row],[miesiac]],1,0)</f>
        <v>0</v>
      </c>
      <c r="F408">
        <f>IF(AND(H407&lt;5000,cukier11[[#This Row],[czy_nastapiła_zmiana_mies]]=1),ROUNDUP((5000-H407)/1000,0),0)</f>
        <v>0</v>
      </c>
      <c r="G408">
        <f t="shared" si="6"/>
        <v>4970</v>
      </c>
      <c r="H408">
        <f>cukier11[[#This Row],[stan_magazynu]]-cukier11[[#This Row],[sprzedany_cukier]]</f>
        <v>4725</v>
      </c>
      <c r="I408" s="9">
        <f>cukier11[[#This Row],[stan_po_sprzedazy]]+cukier11[[#This Row],[ile_dokupic]]*1000</f>
        <v>4725</v>
      </c>
    </row>
    <row r="409" spans="1:9" x14ac:dyDescent="0.25">
      <c r="A409" s="1">
        <v>39095</v>
      </c>
      <c r="B409" t="s">
        <v>100</v>
      </c>
      <c r="C409">
        <v>19</v>
      </c>
      <c r="D409">
        <f>MONTH(cukier11[[#This Row],[data]])</f>
        <v>1</v>
      </c>
      <c r="E409">
        <f>IF(D410&lt;&gt;cukier11[[#This Row],[miesiac]],1,0)</f>
        <v>0</v>
      </c>
      <c r="F409">
        <f>IF(AND(H408&lt;5000,cukier11[[#This Row],[czy_nastapiła_zmiana_mies]]=1),ROUNDUP((5000-H408)/1000,0),0)</f>
        <v>0</v>
      </c>
      <c r="G409">
        <f t="shared" si="6"/>
        <v>4725</v>
      </c>
      <c r="H409">
        <f>cukier11[[#This Row],[stan_magazynu]]-cukier11[[#This Row],[sprzedany_cukier]]</f>
        <v>4706</v>
      </c>
      <c r="I409" s="9">
        <f>cukier11[[#This Row],[stan_po_sprzedazy]]+cukier11[[#This Row],[ile_dokupic]]*1000</f>
        <v>4706</v>
      </c>
    </row>
    <row r="410" spans="1:9" x14ac:dyDescent="0.25">
      <c r="A410" s="1">
        <v>39096</v>
      </c>
      <c r="B410" t="s">
        <v>10</v>
      </c>
      <c r="C410">
        <v>159</v>
      </c>
      <c r="D410">
        <f>MONTH(cukier11[[#This Row],[data]])</f>
        <v>1</v>
      </c>
      <c r="E410">
        <f>IF(D411&lt;&gt;cukier11[[#This Row],[miesiac]],1,0)</f>
        <v>0</v>
      </c>
      <c r="F410">
        <f>IF(AND(H409&lt;5000,cukier11[[#This Row],[czy_nastapiła_zmiana_mies]]=1),ROUNDUP((5000-H409)/1000,0),0)</f>
        <v>0</v>
      </c>
      <c r="G410">
        <f t="shared" si="6"/>
        <v>4706</v>
      </c>
      <c r="H410">
        <f>cukier11[[#This Row],[stan_magazynu]]-cukier11[[#This Row],[sprzedany_cukier]]</f>
        <v>4547</v>
      </c>
      <c r="I410" s="9">
        <f>cukier11[[#This Row],[stan_po_sprzedazy]]+cukier11[[#This Row],[ile_dokupic]]*1000</f>
        <v>4547</v>
      </c>
    </row>
    <row r="411" spans="1:9" x14ac:dyDescent="0.25">
      <c r="A411" s="1">
        <v>39097</v>
      </c>
      <c r="B411" t="s">
        <v>23</v>
      </c>
      <c r="C411">
        <v>99</v>
      </c>
      <c r="D411">
        <f>MONTH(cukier11[[#This Row],[data]])</f>
        <v>1</v>
      </c>
      <c r="E411">
        <f>IF(D412&lt;&gt;cukier11[[#This Row],[miesiac]],1,0)</f>
        <v>0</v>
      </c>
      <c r="F411">
        <f>IF(AND(H410&lt;5000,cukier11[[#This Row],[czy_nastapiła_zmiana_mies]]=1),ROUNDUP((5000-H410)/1000,0),0)</f>
        <v>0</v>
      </c>
      <c r="G411">
        <f t="shared" si="6"/>
        <v>4547</v>
      </c>
      <c r="H411">
        <f>cukier11[[#This Row],[stan_magazynu]]-cukier11[[#This Row],[sprzedany_cukier]]</f>
        <v>4448</v>
      </c>
      <c r="I411" s="9">
        <f>cukier11[[#This Row],[stan_po_sprzedazy]]+cukier11[[#This Row],[ile_dokupic]]*1000</f>
        <v>4448</v>
      </c>
    </row>
    <row r="412" spans="1:9" x14ac:dyDescent="0.25">
      <c r="A412" s="1">
        <v>39099</v>
      </c>
      <c r="B412" t="s">
        <v>22</v>
      </c>
      <c r="C412">
        <v>213</v>
      </c>
      <c r="D412">
        <f>MONTH(cukier11[[#This Row],[data]])</f>
        <v>1</v>
      </c>
      <c r="E412">
        <f>IF(D413&lt;&gt;cukier11[[#This Row],[miesiac]],1,0)</f>
        <v>0</v>
      </c>
      <c r="F412">
        <f>IF(AND(H411&lt;5000,cukier11[[#This Row],[czy_nastapiła_zmiana_mies]]=1),ROUNDUP((5000-H411)/1000,0),0)</f>
        <v>0</v>
      </c>
      <c r="G412">
        <f t="shared" si="6"/>
        <v>4448</v>
      </c>
      <c r="H412">
        <f>cukier11[[#This Row],[stan_magazynu]]-cukier11[[#This Row],[sprzedany_cukier]]</f>
        <v>4235</v>
      </c>
      <c r="I412" s="9">
        <f>cukier11[[#This Row],[stan_po_sprzedazy]]+cukier11[[#This Row],[ile_dokupic]]*1000</f>
        <v>4235</v>
      </c>
    </row>
    <row r="413" spans="1:9" x14ac:dyDescent="0.25">
      <c r="A413" s="1">
        <v>39106</v>
      </c>
      <c r="B413" t="s">
        <v>14</v>
      </c>
      <c r="C413">
        <v>349</v>
      </c>
      <c r="D413">
        <f>MONTH(cukier11[[#This Row],[data]])</f>
        <v>1</v>
      </c>
      <c r="E413">
        <f>IF(D414&lt;&gt;cukier11[[#This Row],[miesiac]],1,0)</f>
        <v>0</v>
      </c>
      <c r="F413">
        <f>IF(AND(H412&lt;5000,cukier11[[#This Row],[czy_nastapiła_zmiana_mies]]=1),ROUNDUP((5000-H412)/1000,0),0)</f>
        <v>0</v>
      </c>
      <c r="G413">
        <f t="shared" si="6"/>
        <v>4235</v>
      </c>
      <c r="H413">
        <f>cukier11[[#This Row],[stan_magazynu]]-cukier11[[#This Row],[sprzedany_cukier]]</f>
        <v>3886</v>
      </c>
      <c r="I413" s="9">
        <f>cukier11[[#This Row],[stan_po_sprzedazy]]+cukier11[[#This Row],[ile_dokupic]]*1000</f>
        <v>3886</v>
      </c>
    </row>
    <row r="414" spans="1:9" x14ac:dyDescent="0.25">
      <c r="A414" s="1">
        <v>39109</v>
      </c>
      <c r="B414" t="s">
        <v>17</v>
      </c>
      <c r="C414">
        <v>114</v>
      </c>
      <c r="D414">
        <f>MONTH(cukier11[[#This Row],[data]])</f>
        <v>1</v>
      </c>
      <c r="E414">
        <f>IF(D415&lt;&gt;cukier11[[#This Row],[miesiac]],1,0)</f>
        <v>0</v>
      </c>
      <c r="F414">
        <f>IF(AND(H413&lt;5000,cukier11[[#This Row],[czy_nastapiła_zmiana_mies]]=1),ROUNDUP((5000-H413)/1000,0),0)</f>
        <v>0</v>
      </c>
      <c r="G414">
        <f t="shared" si="6"/>
        <v>3886</v>
      </c>
      <c r="H414">
        <f>cukier11[[#This Row],[stan_magazynu]]-cukier11[[#This Row],[sprzedany_cukier]]</f>
        <v>3772</v>
      </c>
      <c r="I414" s="9">
        <f>cukier11[[#This Row],[stan_po_sprzedazy]]+cukier11[[#This Row],[ile_dokupic]]*1000</f>
        <v>3772</v>
      </c>
    </row>
    <row r="415" spans="1:9" x14ac:dyDescent="0.25">
      <c r="A415" s="1">
        <v>39109</v>
      </c>
      <c r="B415" t="s">
        <v>27</v>
      </c>
      <c r="C415">
        <v>12</v>
      </c>
      <c r="D415">
        <f>MONTH(cukier11[[#This Row],[data]])</f>
        <v>1</v>
      </c>
      <c r="E415">
        <f>IF(D416&lt;&gt;cukier11[[#This Row],[miesiac]],1,0)</f>
        <v>0</v>
      </c>
      <c r="F415">
        <f>IF(AND(H414&lt;5000,cukier11[[#This Row],[czy_nastapiła_zmiana_mies]]=1),ROUNDUP((5000-H414)/1000,0),0)</f>
        <v>0</v>
      </c>
      <c r="G415">
        <f t="shared" si="6"/>
        <v>3772</v>
      </c>
      <c r="H415">
        <f>cukier11[[#This Row],[stan_magazynu]]-cukier11[[#This Row],[sprzedany_cukier]]</f>
        <v>3760</v>
      </c>
      <c r="I415" s="9">
        <f>cukier11[[#This Row],[stan_po_sprzedazy]]+cukier11[[#This Row],[ile_dokupic]]*1000</f>
        <v>3760</v>
      </c>
    </row>
    <row r="416" spans="1:9" x14ac:dyDescent="0.25">
      <c r="A416" s="1">
        <v>39111</v>
      </c>
      <c r="B416" t="s">
        <v>99</v>
      </c>
      <c r="C416">
        <v>12</v>
      </c>
      <c r="D416">
        <f>MONTH(cukier11[[#This Row],[data]])</f>
        <v>1</v>
      </c>
      <c r="E416">
        <f>IF(D417&lt;&gt;cukier11[[#This Row],[miesiac]],1,0)</f>
        <v>1</v>
      </c>
      <c r="F416">
        <f>IF(AND(H415&lt;5000,cukier11[[#This Row],[czy_nastapiła_zmiana_mies]]=1),ROUNDUP((5000-H415)/1000,0),0)</f>
        <v>2</v>
      </c>
      <c r="G416">
        <f t="shared" si="6"/>
        <v>3760</v>
      </c>
      <c r="H416">
        <f>cukier11[[#This Row],[stan_magazynu]]-cukier11[[#This Row],[sprzedany_cukier]]</f>
        <v>3748</v>
      </c>
      <c r="I416" s="9">
        <f>cukier11[[#This Row],[stan_po_sprzedazy]]+cukier11[[#This Row],[ile_dokupic]]*1000</f>
        <v>5748</v>
      </c>
    </row>
    <row r="417" spans="1:9" x14ac:dyDescent="0.25">
      <c r="A417" s="1">
        <v>39117</v>
      </c>
      <c r="B417" t="s">
        <v>12</v>
      </c>
      <c r="C417">
        <v>132</v>
      </c>
      <c r="D417">
        <f>MONTH(cukier11[[#This Row],[data]])</f>
        <v>2</v>
      </c>
      <c r="E417">
        <f>IF(D418&lt;&gt;cukier11[[#This Row],[miesiac]],1,0)</f>
        <v>0</v>
      </c>
      <c r="F417">
        <f>IF(AND(H416&lt;5000,cukier11[[#This Row],[czy_nastapiła_zmiana_mies]]=1),ROUNDUP((5000-H416)/1000,0),0)</f>
        <v>0</v>
      </c>
      <c r="G417">
        <f t="shared" si="6"/>
        <v>5748</v>
      </c>
      <c r="H417">
        <f>cukier11[[#This Row],[stan_magazynu]]-cukier11[[#This Row],[sprzedany_cukier]]</f>
        <v>5616</v>
      </c>
      <c r="I417" s="9">
        <f>cukier11[[#This Row],[stan_po_sprzedazy]]+cukier11[[#This Row],[ile_dokupic]]*1000</f>
        <v>5616</v>
      </c>
    </row>
    <row r="418" spans="1:9" x14ac:dyDescent="0.25">
      <c r="A418" s="1">
        <v>39120</v>
      </c>
      <c r="B418" t="s">
        <v>23</v>
      </c>
      <c r="C418">
        <v>197</v>
      </c>
      <c r="D418">
        <f>MONTH(cukier11[[#This Row],[data]])</f>
        <v>2</v>
      </c>
      <c r="E418">
        <f>IF(D419&lt;&gt;cukier11[[#This Row],[miesiac]],1,0)</f>
        <v>0</v>
      </c>
      <c r="F418">
        <f>IF(AND(H417&lt;5000,cukier11[[#This Row],[czy_nastapiła_zmiana_mies]]=1),ROUNDUP((5000-H417)/1000,0),0)</f>
        <v>0</v>
      </c>
      <c r="G418">
        <f t="shared" si="6"/>
        <v>5616</v>
      </c>
      <c r="H418">
        <f>cukier11[[#This Row],[stan_magazynu]]-cukier11[[#This Row],[sprzedany_cukier]]</f>
        <v>5419</v>
      </c>
      <c r="I418" s="9">
        <f>cukier11[[#This Row],[stan_po_sprzedazy]]+cukier11[[#This Row],[ile_dokupic]]*1000</f>
        <v>5419</v>
      </c>
    </row>
    <row r="419" spans="1:9" x14ac:dyDescent="0.25">
      <c r="A419" s="1">
        <v>39120</v>
      </c>
      <c r="B419" t="s">
        <v>15</v>
      </c>
      <c r="C419">
        <v>5</v>
      </c>
      <c r="D419">
        <f>MONTH(cukier11[[#This Row],[data]])</f>
        <v>2</v>
      </c>
      <c r="E419">
        <f>IF(D420&lt;&gt;cukier11[[#This Row],[miesiac]],1,0)</f>
        <v>0</v>
      </c>
      <c r="F419">
        <f>IF(AND(H418&lt;5000,cukier11[[#This Row],[czy_nastapiła_zmiana_mies]]=1),ROUNDUP((5000-H418)/1000,0),0)</f>
        <v>0</v>
      </c>
      <c r="G419">
        <f t="shared" si="6"/>
        <v>5419</v>
      </c>
      <c r="H419">
        <f>cukier11[[#This Row],[stan_magazynu]]-cukier11[[#This Row],[sprzedany_cukier]]</f>
        <v>5414</v>
      </c>
      <c r="I419" s="9">
        <f>cukier11[[#This Row],[stan_po_sprzedazy]]+cukier11[[#This Row],[ile_dokupic]]*1000</f>
        <v>5414</v>
      </c>
    </row>
    <row r="420" spans="1:9" x14ac:dyDescent="0.25">
      <c r="A420" s="1">
        <v>39120</v>
      </c>
      <c r="B420" t="s">
        <v>50</v>
      </c>
      <c r="C420">
        <v>403</v>
      </c>
      <c r="D420">
        <f>MONTH(cukier11[[#This Row],[data]])</f>
        <v>2</v>
      </c>
      <c r="E420">
        <f>IF(D421&lt;&gt;cukier11[[#This Row],[miesiac]],1,0)</f>
        <v>0</v>
      </c>
      <c r="F420">
        <f>IF(AND(H419&lt;5000,cukier11[[#This Row],[czy_nastapiła_zmiana_mies]]=1),ROUNDUP((5000-H419)/1000,0),0)</f>
        <v>0</v>
      </c>
      <c r="G420">
        <f t="shared" si="6"/>
        <v>5414</v>
      </c>
      <c r="H420">
        <f>cukier11[[#This Row],[stan_magazynu]]-cukier11[[#This Row],[sprzedany_cukier]]</f>
        <v>5011</v>
      </c>
      <c r="I420" s="9">
        <f>cukier11[[#This Row],[stan_po_sprzedazy]]+cukier11[[#This Row],[ile_dokupic]]*1000</f>
        <v>5011</v>
      </c>
    </row>
    <row r="421" spans="1:9" x14ac:dyDescent="0.25">
      <c r="A421" s="1">
        <v>39121</v>
      </c>
      <c r="B421" t="s">
        <v>10</v>
      </c>
      <c r="C421">
        <v>200</v>
      </c>
      <c r="D421">
        <f>MONTH(cukier11[[#This Row],[data]])</f>
        <v>2</v>
      </c>
      <c r="E421">
        <f>IF(D422&lt;&gt;cukier11[[#This Row],[miesiac]],1,0)</f>
        <v>0</v>
      </c>
      <c r="F421">
        <f>IF(AND(H420&lt;5000,cukier11[[#This Row],[czy_nastapiła_zmiana_mies]]=1),ROUNDUP((5000-H420)/1000,0),0)</f>
        <v>0</v>
      </c>
      <c r="G421">
        <f t="shared" si="6"/>
        <v>5011</v>
      </c>
      <c r="H421">
        <f>cukier11[[#This Row],[stan_magazynu]]-cukier11[[#This Row],[sprzedany_cukier]]</f>
        <v>4811</v>
      </c>
      <c r="I421" s="9">
        <f>cukier11[[#This Row],[stan_po_sprzedazy]]+cukier11[[#This Row],[ile_dokupic]]*1000</f>
        <v>4811</v>
      </c>
    </row>
    <row r="422" spans="1:9" x14ac:dyDescent="0.25">
      <c r="A422" s="1">
        <v>39124</v>
      </c>
      <c r="B422" t="s">
        <v>69</v>
      </c>
      <c r="C422">
        <v>23</v>
      </c>
      <c r="D422">
        <f>MONTH(cukier11[[#This Row],[data]])</f>
        <v>2</v>
      </c>
      <c r="E422">
        <f>IF(D423&lt;&gt;cukier11[[#This Row],[miesiac]],1,0)</f>
        <v>0</v>
      </c>
      <c r="F422">
        <f>IF(AND(H421&lt;5000,cukier11[[#This Row],[czy_nastapiła_zmiana_mies]]=1),ROUNDUP((5000-H421)/1000,0),0)</f>
        <v>0</v>
      </c>
      <c r="G422">
        <f t="shared" si="6"/>
        <v>4811</v>
      </c>
      <c r="H422">
        <f>cukier11[[#This Row],[stan_magazynu]]-cukier11[[#This Row],[sprzedany_cukier]]</f>
        <v>4788</v>
      </c>
      <c r="I422" s="9">
        <f>cukier11[[#This Row],[stan_po_sprzedazy]]+cukier11[[#This Row],[ile_dokupic]]*1000</f>
        <v>4788</v>
      </c>
    </row>
    <row r="423" spans="1:9" x14ac:dyDescent="0.25">
      <c r="A423" s="1">
        <v>39131</v>
      </c>
      <c r="B423" t="s">
        <v>45</v>
      </c>
      <c r="C423">
        <v>337</v>
      </c>
      <c r="D423">
        <f>MONTH(cukier11[[#This Row],[data]])</f>
        <v>2</v>
      </c>
      <c r="E423">
        <f>IF(D424&lt;&gt;cukier11[[#This Row],[miesiac]],1,0)</f>
        <v>0</v>
      </c>
      <c r="F423">
        <f>IF(AND(H422&lt;5000,cukier11[[#This Row],[czy_nastapiła_zmiana_mies]]=1),ROUNDUP((5000-H422)/1000,0),0)</f>
        <v>0</v>
      </c>
      <c r="G423">
        <f t="shared" si="6"/>
        <v>4788</v>
      </c>
      <c r="H423">
        <f>cukier11[[#This Row],[stan_magazynu]]-cukier11[[#This Row],[sprzedany_cukier]]</f>
        <v>4451</v>
      </c>
      <c r="I423" s="9">
        <f>cukier11[[#This Row],[stan_po_sprzedazy]]+cukier11[[#This Row],[ile_dokupic]]*1000</f>
        <v>4451</v>
      </c>
    </row>
    <row r="424" spans="1:9" x14ac:dyDescent="0.25">
      <c r="A424" s="1">
        <v>39132</v>
      </c>
      <c r="B424" t="s">
        <v>5</v>
      </c>
      <c r="C424">
        <v>500</v>
      </c>
      <c r="D424">
        <f>MONTH(cukier11[[#This Row],[data]])</f>
        <v>2</v>
      </c>
      <c r="E424">
        <f>IF(D425&lt;&gt;cukier11[[#This Row],[miesiac]],1,0)</f>
        <v>0</v>
      </c>
      <c r="F424">
        <f>IF(AND(H423&lt;5000,cukier11[[#This Row],[czy_nastapiła_zmiana_mies]]=1),ROUNDUP((5000-H423)/1000,0),0)</f>
        <v>0</v>
      </c>
      <c r="G424">
        <f t="shared" si="6"/>
        <v>4451</v>
      </c>
      <c r="H424">
        <f>cukier11[[#This Row],[stan_magazynu]]-cukier11[[#This Row],[sprzedany_cukier]]</f>
        <v>3951</v>
      </c>
      <c r="I424" s="9">
        <f>cukier11[[#This Row],[stan_po_sprzedazy]]+cukier11[[#This Row],[ile_dokupic]]*1000</f>
        <v>3951</v>
      </c>
    </row>
    <row r="425" spans="1:9" x14ac:dyDescent="0.25">
      <c r="A425" s="1">
        <v>39132</v>
      </c>
      <c r="B425" t="s">
        <v>90</v>
      </c>
      <c r="C425">
        <v>9</v>
      </c>
      <c r="D425">
        <f>MONTH(cukier11[[#This Row],[data]])</f>
        <v>2</v>
      </c>
      <c r="E425">
        <f>IF(D426&lt;&gt;cukier11[[#This Row],[miesiac]],1,0)</f>
        <v>0</v>
      </c>
      <c r="F425">
        <f>IF(AND(H424&lt;5000,cukier11[[#This Row],[czy_nastapiła_zmiana_mies]]=1),ROUNDUP((5000-H424)/1000,0),0)</f>
        <v>0</v>
      </c>
      <c r="G425">
        <f t="shared" si="6"/>
        <v>3951</v>
      </c>
      <c r="H425">
        <f>cukier11[[#This Row],[stan_magazynu]]-cukier11[[#This Row],[sprzedany_cukier]]</f>
        <v>3942</v>
      </c>
      <c r="I425" s="9">
        <f>cukier11[[#This Row],[stan_po_sprzedazy]]+cukier11[[#This Row],[ile_dokupic]]*1000</f>
        <v>3942</v>
      </c>
    </row>
    <row r="426" spans="1:9" x14ac:dyDescent="0.25">
      <c r="A426" s="1">
        <v>39134</v>
      </c>
      <c r="B426" t="s">
        <v>131</v>
      </c>
      <c r="C426">
        <v>39</v>
      </c>
      <c r="D426">
        <f>MONTH(cukier11[[#This Row],[data]])</f>
        <v>2</v>
      </c>
      <c r="E426">
        <f>IF(D427&lt;&gt;cukier11[[#This Row],[miesiac]],1,0)</f>
        <v>0</v>
      </c>
      <c r="F426">
        <f>IF(AND(H425&lt;5000,cukier11[[#This Row],[czy_nastapiła_zmiana_mies]]=1),ROUNDUP((5000-H425)/1000,0),0)</f>
        <v>0</v>
      </c>
      <c r="G426">
        <f t="shared" si="6"/>
        <v>3942</v>
      </c>
      <c r="H426">
        <f>cukier11[[#This Row],[stan_magazynu]]-cukier11[[#This Row],[sprzedany_cukier]]</f>
        <v>3903</v>
      </c>
      <c r="I426" s="9">
        <f>cukier11[[#This Row],[stan_po_sprzedazy]]+cukier11[[#This Row],[ile_dokupic]]*1000</f>
        <v>3903</v>
      </c>
    </row>
    <row r="427" spans="1:9" x14ac:dyDescent="0.25">
      <c r="A427" s="1">
        <v>39139</v>
      </c>
      <c r="B427" t="s">
        <v>78</v>
      </c>
      <c r="C427">
        <v>156</v>
      </c>
      <c r="D427">
        <f>MONTH(cukier11[[#This Row],[data]])</f>
        <v>2</v>
      </c>
      <c r="E427">
        <f>IF(D428&lt;&gt;cukier11[[#This Row],[miesiac]],1,0)</f>
        <v>0</v>
      </c>
      <c r="F427">
        <f>IF(AND(H426&lt;5000,cukier11[[#This Row],[czy_nastapiła_zmiana_mies]]=1),ROUNDUP((5000-H426)/1000,0),0)</f>
        <v>0</v>
      </c>
      <c r="G427">
        <f t="shared" si="6"/>
        <v>3903</v>
      </c>
      <c r="H427">
        <f>cukier11[[#This Row],[stan_magazynu]]-cukier11[[#This Row],[sprzedany_cukier]]</f>
        <v>3747</v>
      </c>
      <c r="I427" s="9">
        <f>cukier11[[#This Row],[stan_po_sprzedazy]]+cukier11[[#This Row],[ile_dokupic]]*1000</f>
        <v>3747</v>
      </c>
    </row>
    <row r="428" spans="1:9" x14ac:dyDescent="0.25">
      <c r="A428" s="1">
        <v>39140</v>
      </c>
      <c r="B428" t="s">
        <v>17</v>
      </c>
      <c r="C428">
        <v>258</v>
      </c>
      <c r="D428">
        <f>MONTH(cukier11[[#This Row],[data]])</f>
        <v>2</v>
      </c>
      <c r="E428">
        <f>IF(D429&lt;&gt;cukier11[[#This Row],[miesiac]],1,0)</f>
        <v>0</v>
      </c>
      <c r="F428">
        <f>IF(AND(H427&lt;5000,cukier11[[#This Row],[czy_nastapiła_zmiana_mies]]=1),ROUNDUP((5000-H427)/1000,0),0)</f>
        <v>0</v>
      </c>
      <c r="G428">
        <f t="shared" si="6"/>
        <v>3747</v>
      </c>
      <c r="H428">
        <f>cukier11[[#This Row],[stan_magazynu]]-cukier11[[#This Row],[sprzedany_cukier]]</f>
        <v>3489</v>
      </c>
      <c r="I428" s="9">
        <f>cukier11[[#This Row],[stan_po_sprzedazy]]+cukier11[[#This Row],[ile_dokupic]]*1000</f>
        <v>3489</v>
      </c>
    </row>
    <row r="429" spans="1:9" x14ac:dyDescent="0.25">
      <c r="A429" s="1">
        <v>39140</v>
      </c>
      <c r="B429" t="s">
        <v>94</v>
      </c>
      <c r="C429">
        <v>14</v>
      </c>
      <c r="D429">
        <f>MONTH(cukier11[[#This Row],[data]])</f>
        <v>2</v>
      </c>
      <c r="E429">
        <f>IF(D430&lt;&gt;cukier11[[#This Row],[miesiac]],1,0)</f>
        <v>1</v>
      </c>
      <c r="F429">
        <f>IF(AND(H428&lt;5000,cukier11[[#This Row],[czy_nastapiła_zmiana_mies]]=1),ROUNDUP((5000-H428)/1000,0),0)</f>
        <v>2</v>
      </c>
      <c r="G429">
        <f t="shared" si="6"/>
        <v>3489</v>
      </c>
      <c r="H429">
        <f>cukier11[[#This Row],[stan_magazynu]]-cukier11[[#This Row],[sprzedany_cukier]]</f>
        <v>3475</v>
      </c>
      <c r="I429" s="9">
        <f>cukier11[[#This Row],[stan_po_sprzedazy]]+cukier11[[#This Row],[ile_dokupic]]*1000</f>
        <v>5475</v>
      </c>
    </row>
    <row r="430" spans="1:9" x14ac:dyDescent="0.25">
      <c r="A430" s="1">
        <v>39142</v>
      </c>
      <c r="B430" t="s">
        <v>12</v>
      </c>
      <c r="C430">
        <v>91</v>
      </c>
      <c r="D430">
        <f>MONTH(cukier11[[#This Row],[data]])</f>
        <v>3</v>
      </c>
      <c r="E430">
        <f>IF(D431&lt;&gt;cukier11[[#This Row],[miesiac]],1,0)</f>
        <v>0</v>
      </c>
      <c r="F430">
        <f>IF(AND(H429&lt;5000,cukier11[[#This Row],[czy_nastapiła_zmiana_mies]]=1),ROUNDUP((5000-H429)/1000,0),0)</f>
        <v>0</v>
      </c>
      <c r="G430">
        <f t="shared" si="6"/>
        <v>5475</v>
      </c>
      <c r="H430">
        <f>cukier11[[#This Row],[stan_magazynu]]-cukier11[[#This Row],[sprzedany_cukier]]</f>
        <v>5384</v>
      </c>
      <c r="I430" s="9">
        <f>cukier11[[#This Row],[stan_po_sprzedazy]]+cukier11[[#This Row],[ile_dokupic]]*1000</f>
        <v>5384</v>
      </c>
    </row>
    <row r="431" spans="1:9" x14ac:dyDescent="0.25">
      <c r="A431" s="1">
        <v>39149</v>
      </c>
      <c r="B431" t="s">
        <v>12</v>
      </c>
      <c r="C431">
        <v>68</v>
      </c>
      <c r="D431">
        <f>MONTH(cukier11[[#This Row],[data]])</f>
        <v>3</v>
      </c>
      <c r="E431">
        <f>IF(D432&lt;&gt;cukier11[[#This Row],[miesiac]],1,0)</f>
        <v>0</v>
      </c>
      <c r="F431">
        <f>IF(AND(H430&lt;5000,cukier11[[#This Row],[czy_nastapiła_zmiana_mies]]=1),ROUNDUP((5000-H430)/1000,0),0)</f>
        <v>0</v>
      </c>
      <c r="G431">
        <f t="shared" si="6"/>
        <v>5384</v>
      </c>
      <c r="H431">
        <f>cukier11[[#This Row],[stan_magazynu]]-cukier11[[#This Row],[sprzedany_cukier]]</f>
        <v>5316</v>
      </c>
      <c r="I431" s="9">
        <f>cukier11[[#This Row],[stan_po_sprzedazy]]+cukier11[[#This Row],[ile_dokupic]]*1000</f>
        <v>5316</v>
      </c>
    </row>
    <row r="432" spans="1:9" x14ac:dyDescent="0.25">
      <c r="A432" s="1">
        <v>39150</v>
      </c>
      <c r="B432" t="s">
        <v>137</v>
      </c>
      <c r="C432">
        <v>13</v>
      </c>
      <c r="D432">
        <f>MONTH(cukier11[[#This Row],[data]])</f>
        <v>3</v>
      </c>
      <c r="E432">
        <f>IF(D433&lt;&gt;cukier11[[#This Row],[miesiac]],1,0)</f>
        <v>0</v>
      </c>
      <c r="F432">
        <f>IF(AND(H431&lt;5000,cukier11[[#This Row],[czy_nastapiła_zmiana_mies]]=1),ROUNDUP((5000-H431)/1000,0),0)</f>
        <v>0</v>
      </c>
      <c r="G432">
        <f t="shared" si="6"/>
        <v>5316</v>
      </c>
      <c r="H432">
        <f>cukier11[[#This Row],[stan_magazynu]]-cukier11[[#This Row],[sprzedany_cukier]]</f>
        <v>5303</v>
      </c>
      <c r="I432" s="9">
        <f>cukier11[[#This Row],[stan_po_sprzedazy]]+cukier11[[#This Row],[ile_dokupic]]*1000</f>
        <v>5303</v>
      </c>
    </row>
    <row r="433" spans="1:9" x14ac:dyDescent="0.25">
      <c r="A433" s="1">
        <v>39152</v>
      </c>
      <c r="B433" t="s">
        <v>28</v>
      </c>
      <c r="C433">
        <v>118</v>
      </c>
      <c r="D433">
        <f>MONTH(cukier11[[#This Row],[data]])</f>
        <v>3</v>
      </c>
      <c r="E433">
        <f>IF(D434&lt;&gt;cukier11[[#This Row],[miesiac]],1,0)</f>
        <v>0</v>
      </c>
      <c r="F433">
        <f>IF(AND(H432&lt;5000,cukier11[[#This Row],[czy_nastapiła_zmiana_mies]]=1),ROUNDUP((5000-H432)/1000,0),0)</f>
        <v>0</v>
      </c>
      <c r="G433">
        <f t="shared" si="6"/>
        <v>5303</v>
      </c>
      <c r="H433">
        <f>cukier11[[#This Row],[stan_magazynu]]-cukier11[[#This Row],[sprzedany_cukier]]</f>
        <v>5185</v>
      </c>
      <c r="I433" s="9">
        <f>cukier11[[#This Row],[stan_po_sprzedazy]]+cukier11[[#This Row],[ile_dokupic]]*1000</f>
        <v>5185</v>
      </c>
    </row>
    <row r="434" spans="1:9" x14ac:dyDescent="0.25">
      <c r="A434" s="1">
        <v>39154</v>
      </c>
      <c r="B434" t="s">
        <v>25</v>
      </c>
      <c r="C434">
        <v>54</v>
      </c>
      <c r="D434">
        <f>MONTH(cukier11[[#This Row],[data]])</f>
        <v>3</v>
      </c>
      <c r="E434">
        <f>IF(D435&lt;&gt;cukier11[[#This Row],[miesiac]],1,0)</f>
        <v>0</v>
      </c>
      <c r="F434">
        <f>IF(AND(H433&lt;5000,cukier11[[#This Row],[czy_nastapiła_zmiana_mies]]=1),ROUNDUP((5000-H433)/1000,0),0)</f>
        <v>0</v>
      </c>
      <c r="G434">
        <f t="shared" si="6"/>
        <v>5185</v>
      </c>
      <c r="H434">
        <f>cukier11[[#This Row],[stan_magazynu]]-cukier11[[#This Row],[sprzedany_cukier]]</f>
        <v>5131</v>
      </c>
      <c r="I434" s="9">
        <f>cukier11[[#This Row],[stan_po_sprzedazy]]+cukier11[[#This Row],[ile_dokupic]]*1000</f>
        <v>5131</v>
      </c>
    </row>
    <row r="435" spans="1:9" x14ac:dyDescent="0.25">
      <c r="A435" s="1">
        <v>39158</v>
      </c>
      <c r="B435" t="s">
        <v>138</v>
      </c>
      <c r="C435">
        <v>10</v>
      </c>
      <c r="D435">
        <f>MONTH(cukier11[[#This Row],[data]])</f>
        <v>3</v>
      </c>
      <c r="E435">
        <f>IF(D436&lt;&gt;cukier11[[#This Row],[miesiac]],1,0)</f>
        <v>0</v>
      </c>
      <c r="F435">
        <f>IF(AND(H434&lt;5000,cukier11[[#This Row],[czy_nastapiła_zmiana_mies]]=1),ROUNDUP((5000-H434)/1000,0),0)</f>
        <v>0</v>
      </c>
      <c r="G435">
        <f t="shared" si="6"/>
        <v>5131</v>
      </c>
      <c r="H435">
        <f>cukier11[[#This Row],[stan_magazynu]]-cukier11[[#This Row],[sprzedany_cukier]]</f>
        <v>5121</v>
      </c>
      <c r="I435" s="9">
        <f>cukier11[[#This Row],[stan_po_sprzedazy]]+cukier11[[#This Row],[ile_dokupic]]*1000</f>
        <v>5121</v>
      </c>
    </row>
    <row r="436" spans="1:9" x14ac:dyDescent="0.25">
      <c r="A436" s="1">
        <v>39162</v>
      </c>
      <c r="B436" t="s">
        <v>50</v>
      </c>
      <c r="C436">
        <v>339</v>
      </c>
      <c r="D436">
        <f>MONTH(cukier11[[#This Row],[data]])</f>
        <v>3</v>
      </c>
      <c r="E436">
        <f>IF(D437&lt;&gt;cukier11[[#This Row],[miesiac]],1,0)</f>
        <v>0</v>
      </c>
      <c r="F436">
        <f>IF(AND(H435&lt;5000,cukier11[[#This Row],[czy_nastapiła_zmiana_mies]]=1),ROUNDUP((5000-H435)/1000,0),0)</f>
        <v>0</v>
      </c>
      <c r="G436">
        <f t="shared" si="6"/>
        <v>5121</v>
      </c>
      <c r="H436">
        <f>cukier11[[#This Row],[stan_magazynu]]-cukier11[[#This Row],[sprzedany_cukier]]</f>
        <v>4782</v>
      </c>
      <c r="I436" s="9">
        <f>cukier11[[#This Row],[stan_po_sprzedazy]]+cukier11[[#This Row],[ile_dokupic]]*1000</f>
        <v>4782</v>
      </c>
    </row>
    <row r="437" spans="1:9" x14ac:dyDescent="0.25">
      <c r="A437" s="1">
        <v>39163</v>
      </c>
      <c r="B437" t="s">
        <v>30</v>
      </c>
      <c r="C437">
        <v>80</v>
      </c>
      <c r="D437">
        <f>MONTH(cukier11[[#This Row],[data]])</f>
        <v>3</v>
      </c>
      <c r="E437">
        <f>IF(D438&lt;&gt;cukier11[[#This Row],[miesiac]],1,0)</f>
        <v>0</v>
      </c>
      <c r="F437">
        <f>IF(AND(H436&lt;5000,cukier11[[#This Row],[czy_nastapiła_zmiana_mies]]=1),ROUNDUP((5000-H436)/1000,0),0)</f>
        <v>0</v>
      </c>
      <c r="G437">
        <f t="shared" si="6"/>
        <v>4782</v>
      </c>
      <c r="H437">
        <f>cukier11[[#This Row],[stan_magazynu]]-cukier11[[#This Row],[sprzedany_cukier]]</f>
        <v>4702</v>
      </c>
      <c r="I437" s="9">
        <f>cukier11[[#This Row],[stan_po_sprzedazy]]+cukier11[[#This Row],[ile_dokupic]]*1000</f>
        <v>4702</v>
      </c>
    </row>
    <row r="438" spans="1:9" x14ac:dyDescent="0.25">
      <c r="A438" s="1">
        <v>39165</v>
      </c>
      <c r="B438" t="s">
        <v>22</v>
      </c>
      <c r="C438">
        <v>431</v>
      </c>
      <c r="D438">
        <f>MONTH(cukier11[[#This Row],[data]])</f>
        <v>3</v>
      </c>
      <c r="E438">
        <f>IF(D439&lt;&gt;cukier11[[#This Row],[miesiac]],1,0)</f>
        <v>0</v>
      </c>
      <c r="F438">
        <f>IF(AND(H437&lt;5000,cukier11[[#This Row],[czy_nastapiła_zmiana_mies]]=1),ROUNDUP((5000-H437)/1000,0),0)</f>
        <v>0</v>
      </c>
      <c r="G438">
        <f t="shared" si="6"/>
        <v>4702</v>
      </c>
      <c r="H438">
        <f>cukier11[[#This Row],[stan_magazynu]]-cukier11[[#This Row],[sprzedany_cukier]]</f>
        <v>4271</v>
      </c>
      <c r="I438" s="9">
        <f>cukier11[[#This Row],[stan_po_sprzedazy]]+cukier11[[#This Row],[ile_dokupic]]*1000</f>
        <v>4271</v>
      </c>
    </row>
    <row r="439" spans="1:9" x14ac:dyDescent="0.25">
      <c r="A439" s="1">
        <v>39167</v>
      </c>
      <c r="B439" t="s">
        <v>50</v>
      </c>
      <c r="C439">
        <v>268</v>
      </c>
      <c r="D439">
        <f>MONTH(cukier11[[#This Row],[data]])</f>
        <v>3</v>
      </c>
      <c r="E439">
        <f>IF(D440&lt;&gt;cukier11[[#This Row],[miesiac]],1,0)</f>
        <v>0</v>
      </c>
      <c r="F439">
        <f>IF(AND(H438&lt;5000,cukier11[[#This Row],[czy_nastapiła_zmiana_mies]]=1),ROUNDUP((5000-H438)/1000,0),0)</f>
        <v>0</v>
      </c>
      <c r="G439">
        <f t="shared" si="6"/>
        <v>4271</v>
      </c>
      <c r="H439">
        <f>cukier11[[#This Row],[stan_magazynu]]-cukier11[[#This Row],[sprzedany_cukier]]</f>
        <v>4003</v>
      </c>
      <c r="I439" s="9">
        <f>cukier11[[#This Row],[stan_po_sprzedazy]]+cukier11[[#This Row],[ile_dokupic]]*1000</f>
        <v>4003</v>
      </c>
    </row>
    <row r="440" spans="1:9" x14ac:dyDescent="0.25">
      <c r="A440" s="1">
        <v>39167</v>
      </c>
      <c r="B440" t="s">
        <v>22</v>
      </c>
      <c r="C440">
        <v>440</v>
      </c>
      <c r="D440">
        <f>MONTH(cukier11[[#This Row],[data]])</f>
        <v>3</v>
      </c>
      <c r="E440">
        <f>IF(D441&lt;&gt;cukier11[[#This Row],[miesiac]],1,0)</f>
        <v>0</v>
      </c>
      <c r="F440">
        <f>IF(AND(H439&lt;5000,cukier11[[#This Row],[czy_nastapiła_zmiana_mies]]=1),ROUNDUP((5000-H439)/1000,0),0)</f>
        <v>0</v>
      </c>
      <c r="G440">
        <f t="shared" si="6"/>
        <v>4003</v>
      </c>
      <c r="H440">
        <f>cukier11[[#This Row],[stan_magazynu]]-cukier11[[#This Row],[sprzedany_cukier]]</f>
        <v>3563</v>
      </c>
      <c r="I440" s="9">
        <f>cukier11[[#This Row],[stan_po_sprzedazy]]+cukier11[[#This Row],[ile_dokupic]]*1000</f>
        <v>3563</v>
      </c>
    </row>
    <row r="441" spans="1:9" x14ac:dyDescent="0.25">
      <c r="A441" s="1">
        <v>39167</v>
      </c>
      <c r="B441" t="s">
        <v>5</v>
      </c>
      <c r="C441">
        <v>396</v>
      </c>
      <c r="D441">
        <f>MONTH(cukier11[[#This Row],[data]])</f>
        <v>3</v>
      </c>
      <c r="E441">
        <f>IF(D442&lt;&gt;cukier11[[#This Row],[miesiac]],1,0)</f>
        <v>0</v>
      </c>
      <c r="F441">
        <f>IF(AND(H440&lt;5000,cukier11[[#This Row],[czy_nastapiła_zmiana_mies]]=1),ROUNDUP((5000-H440)/1000,0),0)</f>
        <v>0</v>
      </c>
      <c r="G441">
        <f t="shared" si="6"/>
        <v>3563</v>
      </c>
      <c r="H441">
        <f>cukier11[[#This Row],[stan_magazynu]]-cukier11[[#This Row],[sprzedany_cukier]]</f>
        <v>3167</v>
      </c>
      <c r="I441" s="9">
        <f>cukier11[[#This Row],[stan_po_sprzedazy]]+cukier11[[#This Row],[ile_dokupic]]*1000</f>
        <v>3167</v>
      </c>
    </row>
    <row r="442" spans="1:9" x14ac:dyDescent="0.25">
      <c r="A442" s="1">
        <v>39167</v>
      </c>
      <c r="B442" t="s">
        <v>18</v>
      </c>
      <c r="C442">
        <v>157</v>
      </c>
      <c r="D442">
        <f>MONTH(cukier11[[#This Row],[data]])</f>
        <v>3</v>
      </c>
      <c r="E442">
        <f>IF(D443&lt;&gt;cukier11[[#This Row],[miesiac]],1,0)</f>
        <v>0</v>
      </c>
      <c r="F442">
        <f>IF(AND(H441&lt;5000,cukier11[[#This Row],[czy_nastapiła_zmiana_mies]]=1),ROUNDUP((5000-H441)/1000,0),0)</f>
        <v>0</v>
      </c>
      <c r="G442">
        <f t="shared" si="6"/>
        <v>3167</v>
      </c>
      <c r="H442">
        <f>cukier11[[#This Row],[stan_magazynu]]-cukier11[[#This Row],[sprzedany_cukier]]</f>
        <v>3010</v>
      </c>
      <c r="I442" s="9">
        <f>cukier11[[#This Row],[stan_po_sprzedazy]]+cukier11[[#This Row],[ile_dokupic]]*1000</f>
        <v>3010</v>
      </c>
    </row>
    <row r="443" spans="1:9" x14ac:dyDescent="0.25">
      <c r="A443" s="1">
        <v>39171</v>
      </c>
      <c r="B443" t="s">
        <v>12</v>
      </c>
      <c r="C443">
        <v>194</v>
      </c>
      <c r="D443">
        <f>MONTH(cukier11[[#This Row],[data]])</f>
        <v>3</v>
      </c>
      <c r="E443">
        <f>IF(D444&lt;&gt;cukier11[[#This Row],[miesiac]],1,0)</f>
        <v>0</v>
      </c>
      <c r="F443">
        <f>IF(AND(H442&lt;5000,cukier11[[#This Row],[czy_nastapiła_zmiana_mies]]=1),ROUNDUP((5000-H442)/1000,0),0)</f>
        <v>0</v>
      </c>
      <c r="G443">
        <f t="shared" si="6"/>
        <v>3010</v>
      </c>
      <c r="H443">
        <f>cukier11[[#This Row],[stan_magazynu]]-cukier11[[#This Row],[sprzedany_cukier]]</f>
        <v>2816</v>
      </c>
      <c r="I443" s="9">
        <f>cukier11[[#This Row],[stan_po_sprzedazy]]+cukier11[[#This Row],[ile_dokupic]]*1000</f>
        <v>2816</v>
      </c>
    </row>
    <row r="444" spans="1:9" x14ac:dyDescent="0.25">
      <c r="A444" s="1">
        <v>39172</v>
      </c>
      <c r="B444" t="s">
        <v>39</v>
      </c>
      <c r="C444">
        <v>156</v>
      </c>
      <c r="D444">
        <f>MONTH(cukier11[[#This Row],[data]])</f>
        <v>3</v>
      </c>
      <c r="E444">
        <f>IF(D445&lt;&gt;cukier11[[#This Row],[miesiac]],1,0)</f>
        <v>1</v>
      </c>
      <c r="F444">
        <f>IF(AND(H443&lt;5000,cukier11[[#This Row],[czy_nastapiła_zmiana_mies]]=1),ROUNDUP((5000-H443)/1000,0),0)</f>
        <v>3</v>
      </c>
      <c r="G444">
        <f t="shared" si="6"/>
        <v>2816</v>
      </c>
      <c r="H444">
        <f>cukier11[[#This Row],[stan_magazynu]]-cukier11[[#This Row],[sprzedany_cukier]]</f>
        <v>2660</v>
      </c>
      <c r="I444" s="9">
        <f>cukier11[[#This Row],[stan_po_sprzedazy]]+cukier11[[#This Row],[ile_dokupic]]*1000</f>
        <v>5660</v>
      </c>
    </row>
    <row r="445" spans="1:9" x14ac:dyDescent="0.25">
      <c r="A445" s="1">
        <v>39173</v>
      </c>
      <c r="B445" t="s">
        <v>112</v>
      </c>
      <c r="C445">
        <v>11</v>
      </c>
      <c r="D445">
        <f>MONTH(cukier11[[#This Row],[data]])</f>
        <v>4</v>
      </c>
      <c r="E445">
        <f>IF(D446&lt;&gt;cukier11[[#This Row],[miesiac]],1,0)</f>
        <v>0</v>
      </c>
      <c r="F445">
        <f>IF(AND(H444&lt;5000,cukier11[[#This Row],[czy_nastapiła_zmiana_mies]]=1),ROUNDUP((5000-H444)/1000,0),0)</f>
        <v>0</v>
      </c>
      <c r="G445">
        <f t="shared" si="6"/>
        <v>5660</v>
      </c>
      <c r="H445">
        <f>cukier11[[#This Row],[stan_magazynu]]-cukier11[[#This Row],[sprzedany_cukier]]</f>
        <v>5649</v>
      </c>
      <c r="I445" s="9">
        <f>cukier11[[#This Row],[stan_po_sprzedazy]]+cukier11[[#This Row],[ile_dokupic]]*1000</f>
        <v>5649</v>
      </c>
    </row>
    <row r="446" spans="1:9" x14ac:dyDescent="0.25">
      <c r="A446" s="1">
        <v>39174</v>
      </c>
      <c r="B446" t="s">
        <v>35</v>
      </c>
      <c r="C446">
        <v>110</v>
      </c>
      <c r="D446">
        <f>MONTH(cukier11[[#This Row],[data]])</f>
        <v>4</v>
      </c>
      <c r="E446">
        <f>IF(D447&lt;&gt;cukier11[[#This Row],[miesiac]],1,0)</f>
        <v>0</v>
      </c>
      <c r="F446">
        <f>IF(AND(H445&lt;5000,cukier11[[#This Row],[czy_nastapiła_zmiana_mies]]=1),ROUNDUP((5000-H445)/1000,0),0)</f>
        <v>0</v>
      </c>
      <c r="G446">
        <f t="shared" si="6"/>
        <v>5649</v>
      </c>
      <c r="H446">
        <f>cukier11[[#This Row],[stan_magazynu]]-cukier11[[#This Row],[sprzedany_cukier]]</f>
        <v>5539</v>
      </c>
      <c r="I446" s="9">
        <f>cukier11[[#This Row],[stan_po_sprzedazy]]+cukier11[[#This Row],[ile_dokupic]]*1000</f>
        <v>5539</v>
      </c>
    </row>
    <row r="447" spans="1:9" x14ac:dyDescent="0.25">
      <c r="A447" s="1">
        <v>39176</v>
      </c>
      <c r="B447" t="s">
        <v>139</v>
      </c>
      <c r="C447">
        <v>12</v>
      </c>
      <c r="D447">
        <f>MONTH(cukier11[[#This Row],[data]])</f>
        <v>4</v>
      </c>
      <c r="E447">
        <f>IF(D448&lt;&gt;cukier11[[#This Row],[miesiac]],1,0)</f>
        <v>0</v>
      </c>
      <c r="F447">
        <f>IF(AND(H446&lt;5000,cukier11[[#This Row],[czy_nastapiła_zmiana_mies]]=1),ROUNDUP((5000-H446)/1000,0),0)</f>
        <v>0</v>
      </c>
      <c r="G447">
        <f t="shared" si="6"/>
        <v>5539</v>
      </c>
      <c r="H447">
        <f>cukier11[[#This Row],[stan_magazynu]]-cukier11[[#This Row],[sprzedany_cukier]]</f>
        <v>5527</v>
      </c>
      <c r="I447" s="9">
        <f>cukier11[[#This Row],[stan_po_sprzedazy]]+cukier11[[#This Row],[ile_dokupic]]*1000</f>
        <v>5527</v>
      </c>
    </row>
    <row r="448" spans="1:9" x14ac:dyDescent="0.25">
      <c r="A448" s="1">
        <v>39177</v>
      </c>
      <c r="B448" t="s">
        <v>5</v>
      </c>
      <c r="C448">
        <v>464</v>
      </c>
      <c r="D448">
        <f>MONTH(cukier11[[#This Row],[data]])</f>
        <v>4</v>
      </c>
      <c r="E448">
        <f>IF(D449&lt;&gt;cukier11[[#This Row],[miesiac]],1,0)</f>
        <v>0</v>
      </c>
      <c r="F448">
        <f>IF(AND(H447&lt;5000,cukier11[[#This Row],[czy_nastapiła_zmiana_mies]]=1),ROUNDUP((5000-H447)/1000,0),0)</f>
        <v>0</v>
      </c>
      <c r="G448">
        <f t="shared" si="6"/>
        <v>5527</v>
      </c>
      <c r="H448">
        <f>cukier11[[#This Row],[stan_magazynu]]-cukier11[[#This Row],[sprzedany_cukier]]</f>
        <v>5063</v>
      </c>
      <c r="I448" s="9">
        <f>cukier11[[#This Row],[stan_po_sprzedazy]]+cukier11[[#This Row],[ile_dokupic]]*1000</f>
        <v>5063</v>
      </c>
    </row>
    <row r="449" spans="1:9" x14ac:dyDescent="0.25">
      <c r="A449" s="1">
        <v>39178</v>
      </c>
      <c r="B449" t="s">
        <v>66</v>
      </c>
      <c r="C449">
        <v>40</v>
      </c>
      <c r="D449">
        <f>MONTH(cukier11[[#This Row],[data]])</f>
        <v>4</v>
      </c>
      <c r="E449">
        <f>IF(D450&lt;&gt;cukier11[[#This Row],[miesiac]],1,0)</f>
        <v>0</v>
      </c>
      <c r="F449">
        <f>IF(AND(H448&lt;5000,cukier11[[#This Row],[czy_nastapiła_zmiana_mies]]=1),ROUNDUP((5000-H448)/1000,0),0)</f>
        <v>0</v>
      </c>
      <c r="G449">
        <f t="shared" si="6"/>
        <v>5063</v>
      </c>
      <c r="H449">
        <f>cukier11[[#This Row],[stan_magazynu]]-cukier11[[#This Row],[sprzedany_cukier]]</f>
        <v>5023</v>
      </c>
      <c r="I449" s="9">
        <f>cukier11[[#This Row],[stan_po_sprzedazy]]+cukier11[[#This Row],[ile_dokupic]]*1000</f>
        <v>5023</v>
      </c>
    </row>
    <row r="450" spans="1:9" x14ac:dyDescent="0.25">
      <c r="A450" s="1">
        <v>39179</v>
      </c>
      <c r="B450" t="s">
        <v>39</v>
      </c>
      <c r="C450">
        <v>52</v>
      </c>
      <c r="D450">
        <f>MONTH(cukier11[[#This Row],[data]])</f>
        <v>4</v>
      </c>
      <c r="E450">
        <f>IF(D451&lt;&gt;cukier11[[#This Row],[miesiac]],1,0)</f>
        <v>0</v>
      </c>
      <c r="F450">
        <f>IF(AND(H449&lt;5000,cukier11[[#This Row],[czy_nastapiła_zmiana_mies]]=1),ROUNDUP((5000-H449)/1000,0),0)</f>
        <v>0</v>
      </c>
      <c r="G450">
        <f t="shared" si="6"/>
        <v>5023</v>
      </c>
      <c r="H450">
        <f>cukier11[[#This Row],[stan_magazynu]]-cukier11[[#This Row],[sprzedany_cukier]]</f>
        <v>4971</v>
      </c>
      <c r="I450" s="9">
        <f>cukier11[[#This Row],[stan_po_sprzedazy]]+cukier11[[#This Row],[ile_dokupic]]*1000</f>
        <v>4971</v>
      </c>
    </row>
    <row r="451" spans="1:9" x14ac:dyDescent="0.25">
      <c r="A451" s="1">
        <v>39184</v>
      </c>
      <c r="B451" t="s">
        <v>75</v>
      </c>
      <c r="C451">
        <v>12</v>
      </c>
      <c r="D451">
        <f>MONTH(cukier11[[#This Row],[data]])</f>
        <v>4</v>
      </c>
      <c r="E451">
        <f>IF(D452&lt;&gt;cukier11[[#This Row],[miesiac]],1,0)</f>
        <v>0</v>
      </c>
      <c r="F451">
        <f>IF(AND(H450&lt;5000,cukier11[[#This Row],[czy_nastapiła_zmiana_mies]]=1),ROUNDUP((5000-H450)/1000,0),0)</f>
        <v>0</v>
      </c>
      <c r="G451">
        <f t="shared" si="6"/>
        <v>4971</v>
      </c>
      <c r="H451">
        <f>cukier11[[#This Row],[stan_magazynu]]-cukier11[[#This Row],[sprzedany_cukier]]</f>
        <v>4959</v>
      </c>
      <c r="I451" s="9">
        <f>cukier11[[#This Row],[stan_po_sprzedazy]]+cukier11[[#This Row],[ile_dokupic]]*1000</f>
        <v>4959</v>
      </c>
    </row>
    <row r="452" spans="1:9" x14ac:dyDescent="0.25">
      <c r="A452" s="1">
        <v>39186</v>
      </c>
      <c r="B452" t="s">
        <v>7</v>
      </c>
      <c r="C452">
        <v>412</v>
      </c>
      <c r="D452">
        <f>MONTH(cukier11[[#This Row],[data]])</f>
        <v>4</v>
      </c>
      <c r="E452">
        <f>IF(D453&lt;&gt;cukier11[[#This Row],[miesiac]],1,0)</f>
        <v>0</v>
      </c>
      <c r="F452">
        <f>IF(AND(H451&lt;5000,cukier11[[#This Row],[czy_nastapiła_zmiana_mies]]=1),ROUNDUP((5000-H451)/1000,0),0)</f>
        <v>0</v>
      </c>
      <c r="G452">
        <f t="shared" ref="G452:G515" si="7">I451</f>
        <v>4959</v>
      </c>
      <c r="H452">
        <f>cukier11[[#This Row],[stan_magazynu]]-cukier11[[#This Row],[sprzedany_cukier]]</f>
        <v>4547</v>
      </c>
      <c r="I452" s="9">
        <f>cukier11[[#This Row],[stan_po_sprzedazy]]+cukier11[[#This Row],[ile_dokupic]]*1000</f>
        <v>4547</v>
      </c>
    </row>
    <row r="453" spans="1:9" x14ac:dyDescent="0.25">
      <c r="A453" s="1">
        <v>39188</v>
      </c>
      <c r="B453" t="s">
        <v>17</v>
      </c>
      <c r="C453">
        <v>268</v>
      </c>
      <c r="D453">
        <f>MONTH(cukier11[[#This Row],[data]])</f>
        <v>4</v>
      </c>
      <c r="E453">
        <f>IF(D454&lt;&gt;cukier11[[#This Row],[miesiac]],1,0)</f>
        <v>0</v>
      </c>
      <c r="F453">
        <f>IF(AND(H452&lt;5000,cukier11[[#This Row],[czy_nastapiła_zmiana_mies]]=1),ROUNDUP((5000-H452)/1000,0),0)</f>
        <v>0</v>
      </c>
      <c r="G453">
        <f t="shared" si="7"/>
        <v>4547</v>
      </c>
      <c r="H453">
        <f>cukier11[[#This Row],[stan_magazynu]]-cukier11[[#This Row],[sprzedany_cukier]]</f>
        <v>4279</v>
      </c>
      <c r="I453" s="9">
        <f>cukier11[[#This Row],[stan_po_sprzedazy]]+cukier11[[#This Row],[ile_dokupic]]*1000</f>
        <v>4279</v>
      </c>
    </row>
    <row r="454" spans="1:9" x14ac:dyDescent="0.25">
      <c r="A454" s="1">
        <v>39188</v>
      </c>
      <c r="B454" t="s">
        <v>7</v>
      </c>
      <c r="C454">
        <v>495</v>
      </c>
      <c r="D454">
        <f>MONTH(cukier11[[#This Row],[data]])</f>
        <v>4</v>
      </c>
      <c r="E454">
        <f>IF(D455&lt;&gt;cukier11[[#This Row],[miesiac]],1,0)</f>
        <v>0</v>
      </c>
      <c r="F454">
        <f>IF(AND(H453&lt;5000,cukier11[[#This Row],[czy_nastapiła_zmiana_mies]]=1),ROUNDUP((5000-H453)/1000,0),0)</f>
        <v>0</v>
      </c>
      <c r="G454">
        <f t="shared" si="7"/>
        <v>4279</v>
      </c>
      <c r="H454">
        <f>cukier11[[#This Row],[stan_magazynu]]-cukier11[[#This Row],[sprzedany_cukier]]</f>
        <v>3784</v>
      </c>
      <c r="I454" s="9">
        <f>cukier11[[#This Row],[stan_po_sprzedazy]]+cukier11[[#This Row],[ile_dokupic]]*1000</f>
        <v>3784</v>
      </c>
    </row>
    <row r="455" spans="1:9" x14ac:dyDescent="0.25">
      <c r="A455" s="1">
        <v>39188</v>
      </c>
      <c r="B455" t="s">
        <v>35</v>
      </c>
      <c r="C455">
        <v>30</v>
      </c>
      <c r="D455">
        <f>MONTH(cukier11[[#This Row],[data]])</f>
        <v>4</v>
      </c>
      <c r="E455">
        <f>IF(D456&lt;&gt;cukier11[[#This Row],[miesiac]],1,0)</f>
        <v>0</v>
      </c>
      <c r="F455">
        <f>IF(AND(H454&lt;5000,cukier11[[#This Row],[czy_nastapiła_zmiana_mies]]=1),ROUNDUP((5000-H454)/1000,0),0)</f>
        <v>0</v>
      </c>
      <c r="G455">
        <f t="shared" si="7"/>
        <v>3784</v>
      </c>
      <c r="H455">
        <f>cukier11[[#This Row],[stan_magazynu]]-cukier11[[#This Row],[sprzedany_cukier]]</f>
        <v>3754</v>
      </c>
      <c r="I455" s="9">
        <f>cukier11[[#This Row],[stan_po_sprzedazy]]+cukier11[[#This Row],[ile_dokupic]]*1000</f>
        <v>3754</v>
      </c>
    </row>
    <row r="456" spans="1:9" x14ac:dyDescent="0.25">
      <c r="A456" s="1">
        <v>39191</v>
      </c>
      <c r="B456" t="s">
        <v>6</v>
      </c>
      <c r="C456">
        <v>67</v>
      </c>
      <c r="D456">
        <f>MONTH(cukier11[[#This Row],[data]])</f>
        <v>4</v>
      </c>
      <c r="E456">
        <f>IF(D457&lt;&gt;cukier11[[#This Row],[miesiac]],1,0)</f>
        <v>0</v>
      </c>
      <c r="F456">
        <f>IF(AND(H455&lt;5000,cukier11[[#This Row],[czy_nastapiła_zmiana_mies]]=1),ROUNDUP((5000-H455)/1000,0),0)</f>
        <v>0</v>
      </c>
      <c r="G456">
        <f t="shared" si="7"/>
        <v>3754</v>
      </c>
      <c r="H456">
        <f>cukier11[[#This Row],[stan_magazynu]]-cukier11[[#This Row],[sprzedany_cukier]]</f>
        <v>3687</v>
      </c>
      <c r="I456" s="9">
        <f>cukier11[[#This Row],[stan_po_sprzedazy]]+cukier11[[#This Row],[ile_dokupic]]*1000</f>
        <v>3687</v>
      </c>
    </row>
    <row r="457" spans="1:9" x14ac:dyDescent="0.25">
      <c r="A457" s="1">
        <v>39197</v>
      </c>
      <c r="B457" t="s">
        <v>14</v>
      </c>
      <c r="C457">
        <v>497</v>
      </c>
      <c r="D457">
        <f>MONTH(cukier11[[#This Row],[data]])</f>
        <v>4</v>
      </c>
      <c r="E457">
        <f>IF(D458&lt;&gt;cukier11[[#This Row],[miesiac]],1,0)</f>
        <v>0</v>
      </c>
      <c r="F457">
        <f>IF(AND(H456&lt;5000,cukier11[[#This Row],[czy_nastapiła_zmiana_mies]]=1),ROUNDUP((5000-H456)/1000,0),0)</f>
        <v>0</v>
      </c>
      <c r="G457">
        <f t="shared" si="7"/>
        <v>3687</v>
      </c>
      <c r="H457">
        <f>cukier11[[#This Row],[stan_magazynu]]-cukier11[[#This Row],[sprzedany_cukier]]</f>
        <v>3190</v>
      </c>
      <c r="I457" s="9">
        <f>cukier11[[#This Row],[stan_po_sprzedazy]]+cukier11[[#This Row],[ile_dokupic]]*1000</f>
        <v>3190</v>
      </c>
    </row>
    <row r="458" spans="1:9" x14ac:dyDescent="0.25">
      <c r="A458" s="1">
        <v>39200</v>
      </c>
      <c r="B458" t="s">
        <v>22</v>
      </c>
      <c r="C458">
        <v>102</v>
      </c>
      <c r="D458">
        <f>MONTH(cukier11[[#This Row],[data]])</f>
        <v>4</v>
      </c>
      <c r="E458">
        <f>IF(D459&lt;&gt;cukier11[[#This Row],[miesiac]],1,0)</f>
        <v>1</v>
      </c>
      <c r="F458">
        <f>IF(AND(H457&lt;5000,cukier11[[#This Row],[czy_nastapiła_zmiana_mies]]=1),ROUNDUP((5000-H457)/1000,0),0)</f>
        <v>2</v>
      </c>
      <c r="G458">
        <f t="shared" si="7"/>
        <v>3190</v>
      </c>
      <c r="H458">
        <f>cukier11[[#This Row],[stan_magazynu]]-cukier11[[#This Row],[sprzedany_cukier]]</f>
        <v>3088</v>
      </c>
      <c r="I458" s="9">
        <f>cukier11[[#This Row],[stan_po_sprzedazy]]+cukier11[[#This Row],[ile_dokupic]]*1000</f>
        <v>5088</v>
      </c>
    </row>
    <row r="459" spans="1:9" x14ac:dyDescent="0.25">
      <c r="A459" s="1">
        <v>39203</v>
      </c>
      <c r="B459" t="s">
        <v>7</v>
      </c>
      <c r="C459">
        <v>322</v>
      </c>
      <c r="D459">
        <f>MONTH(cukier11[[#This Row],[data]])</f>
        <v>5</v>
      </c>
      <c r="E459">
        <f>IF(D460&lt;&gt;cukier11[[#This Row],[miesiac]],1,0)</f>
        <v>0</v>
      </c>
      <c r="F459">
        <f>IF(AND(H458&lt;5000,cukier11[[#This Row],[czy_nastapiła_zmiana_mies]]=1),ROUNDUP((5000-H458)/1000,0),0)</f>
        <v>0</v>
      </c>
      <c r="G459">
        <f t="shared" si="7"/>
        <v>5088</v>
      </c>
      <c r="H459">
        <f>cukier11[[#This Row],[stan_magazynu]]-cukier11[[#This Row],[sprzedany_cukier]]</f>
        <v>4766</v>
      </c>
      <c r="I459" s="9">
        <f>cukier11[[#This Row],[stan_po_sprzedazy]]+cukier11[[#This Row],[ile_dokupic]]*1000</f>
        <v>4766</v>
      </c>
    </row>
    <row r="460" spans="1:9" x14ac:dyDescent="0.25">
      <c r="A460" s="1">
        <v>39204</v>
      </c>
      <c r="B460" t="s">
        <v>9</v>
      </c>
      <c r="C460">
        <v>297</v>
      </c>
      <c r="D460">
        <f>MONTH(cukier11[[#This Row],[data]])</f>
        <v>5</v>
      </c>
      <c r="E460">
        <f>IF(D461&lt;&gt;cukier11[[#This Row],[miesiac]],1,0)</f>
        <v>0</v>
      </c>
      <c r="F460">
        <f>IF(AND(H459&lt;5000,cukier11[[#This Row],[czy_nastapiła_zmiana_mies]]=1),ROUNDUP((5000-H459)/1000,0),0)</f>
        <v>0</v>
      </c>
      <c r="G460">
        <f t="shared" si="7"/>
        <v>4766</v>
      </c>
      <c r="H460">
        <f>cukier11[[#This Row],[stan_magazynu]]-cukier11[[#This Row],[sprzedany_cukier]]</f>
        <v>4469</v>
      </c>
      <c r="I460" s="9">
        <f>cukier11[[#This Row],[stan_po_sprzedazy]]+cukier11[[#This Row],[ile_dokupic]]*1000</f>
        <v>4469</v>
      </c>
    </row>
    <row r="461" spans="1:9" x14ac:dyDescent="0.25">
      <c r="A461" s="1">
        <v>39206</v>
      </c>
      <c r="B461" t="s">
        <v>12</v>
      </c>
      <c r="C461">
        <v>179</v>
      </c>
      <c r="D461">
        <f>MONTH(cukier11[[#This Row],[data]])</f>
        <v>5</v>
      </c>
      <c r="E461">
        <f>IF(D462&lt;&gt;cukier11[[#This Row],[miesiac]],1,0)</f>
        <v>0</v>
      </c>
      <c r="F461">
        <f>IF(AND(H460&lt;5000,cukier11[[#This Row],[czy_nastapiła_zmiana_mies]]=1),ROUNDUP((5000-H460)/1000,0),0)</f>
        <v>0</v>
      </c>
      <c r="G461">
        <f t="shared" si="7"/>
        <v>4469</v>
      </c>
      <c r="H461">
        <f>cukier11[[#This Row],[stan_magazynu]]-cukier11[[#This Row],[sprzedany_cukier]]</f>
        <v>4290</v>
      </c>
      <c r="I461" s="9">
        <f>cukier11[[#This Row],[stan_po_sprzedazy]]+cukier11[[#This Row],[ile_dokupic]]*1000</f>
        <v>4290</v>
      </c>
    </row>
    <row r="462" spans="1:9" x14ac:dyDescent="0.25">
      <c r="A462" s="1">
        <v>39208</v>
      </c>
      <c r="B462" t="s">
        <v>140</v>
      </c>
      <c r="C462">
        <v>15</v>
      </c>
      <c r="D462">
        <f>MONTH(cukier11[[#This Row],[data]])</f>
        <v>5</v>
      </c>
      <c r="E462">
        <f>IF(D463&lt;&gt;cukier11[[#This Row],[miesiac]],1,0)</f>
        <v>0</v>
      </c>
      <c r="F462">
        <f>IF(AND(H461&lt;5000,cukier11[[#This Row],[czy_nastapiła_zmiana_mies]]=1),ROUNDUP((5000-H461)/1000,0),0)</f>
        <v>0</v>
      </c>
      <c r="G462">
        <f t="shared" si="7"/>
        <v>4290</v>
      </c>
      <c r="H462">
        <f>cukier11[[#This Row],[stan_magazynu]]-cukier11[[#This Row],[sprzedany_cukier]]</f>
        <v>4275</v>
      </c>
      <c r="I462" s="9">
        <f>cukier11[[#This Row],[stan_po_sprzedazy]]+cukier11[[#This Row],[ile_dokupic]]*1000</f>
        <v>4275</v>
      </c>
    </row>
    <row r="463" spans="1:9" x14ac:dyDescent="0.25">
      <c r="A463" s="1">
        <v>39210</v>
      </c>
      <c r="B463" t="s">
        <v>61</v>
      </c>
      <c r="C463">
        <v>65</v>
      </c>
      <c r="D463">
        <f>MONTH(cukier11[[#This Row],[data]])</f>
        <v>5</v>
      </c>
      <c r="E463">
        <f>IF(D464&lt;&gt;cukier11[[#This Row],[miesiac]],1,0)</f>
        <v>0</v>
      </c>
      <c r="F463">
        <f>IF(AND(H462&lt;5000,cukier11[[#This Row],[czy_nastapiła_zmiana_mies]]=1),ROUNDUP((5000-H462)/1000,0),0)</f>
        <v>0</v>
      </c>
      <c r="G463">
        <f t="shared" si="7"/>
        <v>4275</v>
      </c>
      <c r="H463">
        <f>cukier11[[#This Row],[stan_magazynu]]-cukier11[[#This Row],[sprzedany_cukier]]</f>
        <v>4210</v>
      </c>
      <c r="I463" s="9">
        <f>cukier11[[#This Row],[stan_po_sprzedazy]]+cukier11[[#This Row],[ile_dokupic]]*1000</f>
        <v>4210</v>
      </c>
    </row>
    <row r="464" spans="1:9" x14ac:dyDescent="0.25">
      <c r="A464" s="1">
        <v>39212</v>
      </c>
      <c r="B464" t="s">
        <v>7</v>
      </c>
      <c r="C464">
        <v>297</v>
      </c>
      <c r="D464">
        <f>MONTH(cukier11[[#This Row],[data]])</f>
        <v>5</v>
      </c>
      <c r="E464">
        <f>IF(D465&lt;&gt;cukier11[[#This Row],[miesiac]],1,0)</f>
        <v>0</v>
      </c>
      <c r="F464">
        <f>IF(AND(H463&lt;5000,cukier11[[#This Row],[czy_nastapiła_zmiana_mies]]=1),ROUNDUP((5000-H463)/1000,0),0)</f>
        <v>0</v>
      </c>
      <c r="G464">
        <f t="shared" si="7"/>
        <v>4210</v>
      </c>
      <c r="H464">
        <f>cukier11[[#This Row],[stan_magazynu]]-cukier11[[#This Row],[sprzedany_cukier]]</f>
        <v>3913</v>
      </c>
      <c r="I464" s="9">
        <f>cukier11[[#This Row],[stan_po_sprzedazy]]+cukier11[[#This Row],[ile_dokupic]]*1000</f>
        <v>3913</v>
      </c>
    </row>
    <row r="465" spans="1:9" x14ac:dyDescent="0.25">
      <c r="A465" s="1">
        <v>39214</v>
      </c>
      <c r="B465" t="s">
        <v>8</v>
      </c>
      <c r="C465">
        <v>131</v>
      </c>
      <c r="D465">
        <f>MONTH(cukier11[[#This Row],[data]])</f>
        <v>5</v>
      </c>
      <c r="E465">
        <f>IF(D466&lt;&gt;cukier11[[#This Row],[miesiac]],1,0)</f>
        <v>0</v>
      </c>
      <c r="F465">
        <f>IF(AND(H464&lt;5000,cukier11[[#This Row],[czy_nastapiła_zmiana_mies]]=1),ROUNDUP((5000-H464)/1000,0),0)</f>
        <v>0</v>
      </c>
      <c r="G465">
        <f t="shared" si="7"/>
        <v>3913</v>
      </c>
      <c r="H465">
        <f>cukier11[[#This Row],[stan_magazynu]]-cukier11[[#This Row],[sprzedany_cukier]]</f>
        <v>3782</v>
      </c>
      <c r="I465" s="9">
        <f>cukier11[[#This Row],[stan_po_sprzedazy]]+cukier11[[#This Row],[ile_dokupic]]*1000</f>
        <v>3782</v>
      </c>
    </row>
    <row r="466" spans="1:9" x14ac:dyDescent="0.25">
      <c r="A466" s="1">
        <v>39215</v>
      </c>
      <c r="B466" t="s">
        <v>141</v>
      </c>
      <c r="C466">
        <v>12</v>
      </c>
      <c r="D466">
        <f>MONTH(cukier11[[#This Row],[data]])</f>
        <v>5</v>
      </c>
      <c r="E466">
        <f>IF(D467&lt;&gt;cukier11[[#This Row],[miesiac]],1,0)</f>
        <v>0</v>
      </c>
      <c r="F466">
        <f>IF(AND(H465&lt;5000,cukier11[[#This Row],[czy_nastapiła_zmiana_mies]]=1),ROUNDUP((5000-H465)/1000,0),0)</f>
        <v>0</v>
      </c>
      <c r="G466">
        <f t="shared" si="7"/>
        <v>3782</v>
      </c>
      <c r="H466">
        <f>cukier11[[#This Row],[stan_magazynu]]-cukier11[[#This Row],[sprzedany_cukier]]</f>
        <v>3770</v>
      </c>
      <c r="I466" s="9">
        <f>cukier11[[#This Row],[stan_po_sprzedazy]]+cukier11[[#This Row],[ile_dokupic]]*1000</f>
        <v>3770</v>
      </c>
    </row>
    <row r="467" spans="1:9" x14ac:dyDescent="0.25">
      <c r="A467" s="1">
        <v>39215</v>
      </c>
      <c r="B467" t="s">
        <v>18</v>
      </c>
      <c r="C467">
        <v>114</v>
      </c>
      <c r="D467">
        <f>MONTH(cukier11[[#This Row],[data]])</f>
        <v>5</v>
      </c>
      <c r="E467">
        <f>IF(D468&lt;&gt;cukier11[[#This Row],[miesiac]],1,0)</f>
        <v>0</v>
      </c>
      <c r="F467">
        <f>IF(AND(H466&lt;5000,cukier11[[#This Row],[czy_nastapiła_zmiana_mies]]=1),ROUNDUP((5000-H466)/1000,0),0)</f>
        <v>0</v>
      </c>
      <c r="G467">
        <f t="shared" si="7"/>
        <v>3770</v>
      </c>
      <c r="H467">
        <f>cukier11[[#This Row],[stan_magazynu]]-cukier11[[#This Row],[sprzedany_cukier]]</f>
        <v>3656</v>
      </c>
      <c r="I467" s="9">
        <f>cukier11[[#This Row],[stan_po_sprzedazy]]+cukier11[[#This Row],[ile_dokupic]]*1000</f>
        <v>3656</v>
      </c>
    </row>
    <row r="468" spans="1:9" x14ac:dyDescent="0.25">
      <c r="A468" s="1">
        <v>39218</v>
      </c>
      <c r="B468" t="s">
        <v>14</v>
      </c>
      <c r="C468">
        <v>293</v>
      </c>
      <c r="D468">
        <f>MONTH(cukier11[[#This Row],[data]])</f>
        <v>5</v>
      </c>
      <c r="E468">
        <f>IF(D469&lt;&gt;cukier11[[#This Row],[miesiac]],1,0)</f>
        <v>0</v>
      </c>
      <c r="F468">
        <f>IF(AND(H467&lt;5000,cukier11[[#This Row],[czy_nastapiła_zmiana_mies]]=1),ROUNDUP((5000-H467)/1000,0),0)</f>
        <v>0</v>
      </c>
      <c r="G468">
        <f t="shared" si="7"/>
        <v>3656</v>
      </c>
      <c r="H468">
        <f>cukier11[[#This Row],[stan_magazynu]]-cukier11[[#This Row],[sprzedany_cukier]]</f>
        <v>3363</v>
      </c>
      <c r="I468" s="9">
        <f>cukier11[[#This Row],[stan_po_sprzedazy]]+cukier11[[#This Row],[ile_dokupic]]*1000</f>
        <v>3363</v>
      </c>
    </row>
    <row r="469" spans="1:9" x14ac:dyDescent="0.25">
      <c r="A469" s="1">
        <v>39220</v>
      </c>
      <c r="B469" t="s">
        <v>142</v>
      </c>
      <c r="C469">
        <v>18</v>
      </c>
      <c r="D469">
        <f>MONTH(cukier11[[#This Row],[data]])</f>
        <v>5</v>
      </c>
      <c r="E469">
        <f>IF(D470&lt;&gt;cukier11[[#This Row],[miesiac]],1,0)</f>
        <v>0</v>
      </c>
      <c r="F469">
        <f>IF(AND(H468&lt;5000,cukier11[[#This Row],[czy_nastapiła_zmiana_mies]]=1),ROUNDUP((5000-H468)/1000,0),0)</f>
        <v>0</v>
      </c>
      <c r="G469">
        <f t="shared" si="7"/>
        <v>3363</v>
      </c>
      <c r="H469">
        <f>cukier11[[#This Row],[stan_magazynu]]-cukier11[[#This Row],[sprzedany_cukier]]</f>
        <v>3345</v>
      </c>
      <c r="I469" s="9">
        <f>cukier11[[#This Row],[stan_po_sprzedazy]]+cukier11[[#This Row],[ile_dokupic]]*1000</f>
        <v>3345</v>
      </c>
    </row>
    <row r="470" spans="1:9" x14ac:dyDescent="0.25">
      <c r="A470" s="1">
        <v>39220</v>
      </c>
      <c r="B470" t="s">
        <v>19</v>
      </c>
      <c r="C470">
        <v>186</v>
      </c>
      <c r="D470">
        <f>MONTH(cukier11[[#This Row],[data]])</f>
        <v>5</v>
      </c>
      <c r="E470">
        <f>IF(D471&lt;&gt;cukier11[[#This Row],[miesiac]],1,0)</f>
        <v>0</v>
      </c>
      <c r="F470">
        <f>IF(AND(H469&lt;5000,cukier11[[#This Row],[czy_nastapiła_zmiana_mies]]=1),ROUNDUP((5000-H469)/1000,0),0)</f>
        <v>0</v>
      </c>
      <c r="G470">
        <f t="shared" si="7"/>
        <v>3345</v>
      </c>
      <c r="H470">
        <f>cukier11[[#This Row],[stan_magazynu]]-cukier11[[#This Row],[sprzedany_cukier]]</f>
        <v>3159</v>
      </c>
      <c r="I470" s="9">
        <f>cukier11[[#This Row],[stan_po_sprzedazy]]+cukier11[[#This Row],[ile_dokupic]]*1000</f>
        <v>3159</v>
      </c>
    </row>
    <row r="471" spans="1:9" x14ac:dyDescent="0.25">
      <c r="A471" s="1">
        <v>39223</v>
      </c>
      <c r="B471" t="s">
        <v>28</v>
      </c>
      <c r="C471">
        <v>119</v>
      </c>
      <c r="D471">
        <f>MONTH(cukier11[[#This Row],[data]])</f>
        <v>5</v>
      </c>
      <c r="E471">
        <f>IF(D472&lt;&gt;cukier11[[#This Row],[miesiac]],1,0)</f>
        <v>0</v>
      </c>
      <c r="F471">
        <f>IF(AND(H470&lt;5000,cukier11[[#This Row],[czy_nastapiła_zmiana_mies]]=1),ROUNDUP((5000-H470)/1000,0),0)</f>
        <v>0</v>
      </c>
      <c r="G471">
        <f t="shared" si="7"/>
        <v>3159</v>
      </c>
      <c r="H471">
        <f>cukier11[[#This Row],[stan_magazynu]]-cukier11[[#This Row],[sprzedany_cukier]]</f>
        <v>3040</v>
      </c>
      <c r="I471" s="9">
        <f>cukier11[[#This Row],[stan_po_sprzedazy]]+cukier11[[#This Row],[ile_dokupic]]*1000</f>
        <v>3040</v>
      </c>
    </row>
    <row r="472" spans="1:9" x14ac:dyDescent="0.25">
      <c r="A472" s="1">
        <v>39227</v>
      </c>
      <c r="B472" t="s">
        <v>130</v>
      </c>
      <c r="C472">
        <v>4</v>
      </c>
      <c r="D472">
        <f>MONTH(cukier11[[#This Row],[data]])</f>
        <v>5</v>
      </c>
      <c r="E472">
        <f>IF(D473&lt;&gt;cukier11[[#This Row],[miesiac]],1,0)</f>
        <v>0</v>
      </c>
      <c r="F472">
        <f>IF(AND(H471&lt;5000,cukier11[[#This Row],[czy_nastapiła_zmiana_mies]]=1),ROUNDUP((5000-H471)/1000,0),0)</f>
        <v>0</v>
      </c>
      <c r="G472">
        <f t="shared" si="7"/>
        <v>3040</v>
      </c>
      <c r="H472">
        <f>cukier11[[#This Row],[stan_magazynu]]-cukier11[[#This Row],[sprzedany_cukier]]</f>
        <v>3036</v>
      </c>
      <c r="I472" s="9">
        <f>cukier11[[#This Row],[stan_po_sprzedazy]]+cukier11[[#This Row],[ile_dokupic]]*1000</f>
        <v>3036</v>
      </c>
    </row>
    <row r="473" spans="1:9" x14ac:dyDescent="0.25">
      <c r="A473" s="1">
        <v>39230</v>
      </c>
      <c r="B473" t="s">
        <v>14</v>
      </c>
      <c r="C473">
        <v>415</v>
      </c>
      <c r="D473">
        <f>MONTH(cukier11[[#This Row],[data]])</f>
        <v>5</v>
      </c>
      <c r="E473">
        <f>IF(D474&lt;&gt;cukier11[[#This Row],[miesiac]],1,0)</f>
        <v>0</v>
      </c>
      <c r="F473">
        <f>IF(AND(H472&lt;5000,cukier11[[#This Row],[czy_nastapiła_zmiana_mies]]=1),ROUNDUP((5000-H472)/1000,0),0)</f>
        <v>0</v>
      </c>
      <c r="G473">
        <f t="shared" si="7"/>
        <v>3036</v>
      </c>
      <c r="H473">
        <f>cukier11[[#This Row],[stan_magazynu]]-cukier11[[#This Row],[sprzedany_cukier]]</f>
        <v>2621</v>
      </c>
      <c r="I473" s="9">
        <f>cukier11[[#This Row],[stan_po_sprzedazy]]+cukier11[[#This Row],[ile_dokupic]]*1000</f>
        <v>2621</v>
      </c>
    </row>
    <row r="474" spans="1:9" x14ac:dyDescent="0.25">
      <c r="A474" s="1">
        <v>39230</v>
      </c>
      <c r="B474" t="s">
        <v>13</v>
      </c>
      <c r="C474">
        <v>10</v>
      </c>
      <c r="D474">
        <f>MONTH(cukier11[[#This Row],[data]])</f>
        <v>5</v>
      </c>
      <c r="E474">
        <f>IF(D475&lt;&gt;cukier11[[#This Row],[miesiac]],1,0)</f>
        <v>0</v>
      </c>
      <c r="F474">
        <f>IF(AND(H473&lt;5000,cukier11[[#This Row],[czy_nastapiła_zmiana_mies]]=1),ROUNDUP((5000-H473)/1000,0),0)</f>
        <v>0</v>
      </c>
      <c r="G474">
        <f t="shared" si="7"/>
        <v>2621</v>
      </c>
      <c r="H474">
        <f>cukier11[[#This Row],[stan_magazynu]]-cukier11[[#This Row],[sprzedany_cukier]]</f>
        <v>2611</v>
      </c>
      <c r="I474" s="9">
        <f>cukier11[[#This Row],[stan_po_sprzedazy]]+cukier11[[#This Row],[ile_dokupic]]*1000</f>
        <v>2611</v>
      </c>
    </row>
    <row r="475" spans="1:9" x14ac:dyDescent="0.25">
      <c r="A475" s="1">
        <v>39230</v>
      </c>
      <c r="B475" t="s">
        <v>18</v>
      </c>
      <c r="C475">
        <v>159</v>
      </c>
      <c r="D475">
        <f>MONTH(cukier11[[#This Row],[data]])</f>
        <v>5</v>
      </c>
      <c r="E475">
        <f>IF(D476&lt;&gt;cukier11[[#This Row],[miesiac]],1,0)</f>
        <v>0</v>
      </c>
      <c r="F475">
        <f>IF(AND(H474&lt;5000,cukier11[[#This Row],[czy_nastapiła_zmiana_mies]]=1),ROUNDUP((5000-H474)/1000,0),0)</f>
        <v>0</v>
      </c>
      <c r="G475">
        <f t="shared" si="7"/>
        <v>2611</v>
      </c>
      <c r="H475">
        <f>cukier11[[#This Row],[stan_magazynu]]-cukier11[[#This Row],[sprzedany_cukier]]</f>
        <v>2452</v>
      </c>
      <c r="I475" s="9">
        <f>cukier11[[#This Row],[stan_po_sprzedazy]]+cukier11[[#This Row],[ile_dokupic]]*1000</f>
        <v>2452</v>
      </c>
    </row>
    <row r="476" spans="1:9" x14ac:dyDescent="0.25">
      <c r="A476" s="1">
        <v>39231</v>
      </c>
      <c r="B476" t="s">
        <v>17</v>
      </c>
      <c r="C476">
        <v>140</v>
      </c>
      <c r="D476">
        <f>MONTH(cukier11[[#This Row],[data]])</f>
        <v>5</v>
      </c>
      <c r="E476">
        <f>IF(D477&lt;&gt;cukier11[[#This Row],[miesiac]],1,0)</f>
        <v>1</v>
      </c>
      <c r="F476">
        <f>IF(AND(H475&lt;5000,cukier11[[#This Row],[czy_nastapiła_zmiana_mies]]=1),ROUNDUP((5000-H475)/1000,0),0)</f>
        <v>3</v>
      </c>
      <c r="G476">
        <f t="shared" si="7"/>
        <v>2452</v>
      </c>
      <c r="H476">
        <f>cukier11[[#This Row],[stan_magazynu]]-cukier11[[#This Row],[sprzedany_cukier]]</f>
        <v>2312</v>
      </c>
      <c r="I476" s="9">
        <f>cukier11[[#This Row],[stan_po_sprzedazy]]+cukier11[[#This Row],[ile_dokupic]]*1000</f>
        <v>5312</v>
      </c>
    </row>
    <row r="477" spans="1:9" x14ac:dyDescent="0.25">
      <c r="A477" s="1">
        <v>39239</v>
      </c>
      <c r="B477" t="s">
        <v>19</v>
      </c>
      <c r="C477">
        <v>128</v>
      </c>
      <c r="D477">
        <f>MONTH(cukier11[[#This Row],[data]])</f>
        <v>6</v>
      </c>
      <c r="E477">
        <f>IF(D478&lt;&gt;cukier11[[#This Row],[miesiac]],1,0)</f>
        <v>0</v>
      </c>
      <c r="F477">
        <f>IF(AND(H476&lt;5000,cukier11[[#This Row],[czy_nastapiła_zmiana_mies]]=1),ROUNDUP((5000-H476)/1000,0),0)</f>
        <v>0</v>
      </c>
      <c r="G477">
        <f t="shared" si="7"/>
        <v>5312</v>
      </c>
      <c r="H477">
        <f>cukier11[[#This Row],[stan_magazynu]]-cukier11[[#This Row],[sprzedany_cukier]]</f>
        <v>5184</v>
      </c>
      <c r="I477" s="9">
        <f>cukier11[[#This Row],[stan_po_sprzedazy]]+cukier11[[#This Row],[ile_dokupic]]*1000</f>
        <v>5184</v>
      </c>
    </row>
    <row r="478" spans="1:9" x14ac:dyDescent="0.25">
      <c r="A478" s="1">
        <v>39247</v>
      </c>
      <c r="B478" t="s">
        <v>143</v>
      </c>
      <c r="C478">
        <v>9</v>
      </c>
      <c r="D478">
        <f>MONTH(cukier11[[#This Row],[data]])</f>
        <v>6</v>
      </c>
      <c r="E478">
        <f>IF(D479&lt;&gt;cukier11[[#This Row],[miesiac]],1,0)</f>
        <v>0</v>
      </c>
      <c r="F478">
        <f>IF(AND(H477&lt;5000,cukier11[[#This Row],[czy_nastapiła_zmiana_mies]]=1),ROUNDUP((5000-H477)/1000,0),0)</f>
        <v>0</v>
      </c>
      <c r="G478">
        <f t="shared" si="7"/>
        <v>5184</v>
      </c>
      <c r="H478">
        <f>cukier11[[#This Row],[stan_magazynu]]-cukier11[[#This Row],[sprzedany_cukier]]</f>
        <v>5175</v>
      </c>
      <c r="I478" s="9">
        <f>cukier11[[#This Row],[stan_po_sprzedazy]]+cukier11[[#This Row],[ile_dokupic]]*1000</f>
        <v>5175</v>
      </c>
    </row>
    <row r="479" spans="1:9" x14ac:dyDescent="0.25">
      <c r="A479" s="1">
        <v>39247</v>
      </c>
      <c r="B479" t="s">
        <v>17</v>
      </c>
      <c r="C479">
        <v>121</v>
      </c>
      <c r="D479">
        <f>MONTH(cukier11[[#This Row],[data]])</f>
        <v>6</v>
      </c>
      <c r="E479">
        <f>IF(D480&lt;&gt;cukier11[[#This Row],[miesiac]],1,0)</f>
        <v>0</v>
      </c>
      <c r="F479">
        <f>IF(AND(H478&lt;5000,cukier11[[#This Row],[czy_nastapiła_zmiana_mies]]=1),ROUNDUP((5000-H478)/1000,0),0)</f>
        <v>0</v>
      </c>
      <c r="G479">
        <f t="shared" si="7"/>
        <v>5175</v>
      </c>
      <c r="H479">
        <f>cukier11[[#This Row],[stan_magazynu]]-cukier11[[#This Row],[sprzedany_cukier]]</f>
        <v>5054</v>
      </c>
      <c r="I479" s="9">
        <f>cukier11[[#This Row],[stan_po_sprzedazy]]+cukier11[[#This Row],[ile_dokupic]]*1000</f>
        <v>5054</v>
      </c>
    </row>
    <row r="480" spans="1:9" x14ac:dyDescent="0.25">
      <c r="A480" s="1">
        <v>39248</v>
      </c>
      <c r="B480" t="s">
        <v>14</v>
      </c>
      <c r="C480">
        <v>169</v>
      </c>
      <c r="D480">
        <f>MONTH(cukier11[[#This Row],[data]])</f>
        <v>6</v>
      </c>
      <c r="E480">
        <f>IF(D481&lt;&gt;cukier11[[#This Row],[miesiac]],1,0)</f>
        <v>0</v>
      </c>
      <c r="F480">
        <f>IF(AND(H479&lt;5000,cukier11[[#This Row],[czy_nastapiła_zmiana_mies]]=1),ROUNDUP((5000-H479)/1000,0),0)</f>
        <v>0</v>
      </c>
      <c r="G480">
        <f t="shared" si="7"/>
        <v>5054</v>
      </c>
      <c r="H480">
        <f>cukier11[[#This Row],[stan_magazynu]]-cukier11[[#This Row],[sprzedany_cukier]]</f>
        <v>4885</v>
      </c>
      <c r="I480" s="9">
        <f>cukier11[[#This Row],[stan_po_sprzedazy]]+cukier11[[#This Row],[ile_dokupic]]*1000</f>
        <v>4885</v>
      </c>
    </row>
    <row r="481" spans="1:9" x14ac:dyDescent="0.25">
      <c r="A481" s="1">
        <v>39250</v>
      </c>
      <c r="B481" t="s">
        <v>55</v>
      </c>
      <c r="C481">
        <v>118</v>
      </c>
      <c r="D481">
        <f>MONTH(cukier11[[#This Row],[data]])</f>
        <v>6</v>
      </c>
      <c r="E481">
        <f>IF(D482&lt;&gt;cukier11[[#This Row],[miesiac]],1,0)</f>
        <v>0</v>
      </c>
      <c r="F481">
        <f>IF(AND(H480&lt;5000,cukier11[[#This Row],[czy_nastapiła_zmiana_mies]]=1),ROUNDUP((5000-H480)/1000,0),0)</f>
        <v>0</v>
      </c>
      <c r="G481">
        <f t="shared" si="7"/>
        <v>4885</v>
      </c>
      <c r="H481">
        <f>cukier11[[#This Row],[stan_magazynu]]-cukier11[[#This Row],[sprzedany_cukier]]</f>
        <v>4767</v>
      </c>
      <c r="I481" s="9">
        <f>cukier11[[#This Row],[stan_po_sprzedazy]]+cukier11[[#This Row],[ile_dokupic]]*1000</f>
        <v>4767</v>
      </c>
    </row>
    <row r="482" spans="1:9" x14ac:dyDescent="0.25">
      <c r="A482" s="1">
        <v>39250</v>
      </c>
      <c r="B482" t="s">
        <v>78</v>
      </c>
      <c r="C482">
        <v>37</v>
      </c>
      <c r="D482">
        <f>MONTH(cukier11[[#This Row],[data]])</f>
        <v>6</v>
      </c>
      <c r="E482">
        <f>IF(D483&lt;&gt;cukier11[[#This Row],[miesiac]],1,0)</f>
        <v>0</v>
      </c>
      <c r="F482">
        <f>IF(AND(H481&lt;5000,cukier11[[#This Row],[czy_nastapiła_zmiana_mies]]=1),ROUNDUP((5000-H481)/1000,0),0)</f>
        <v>0</v>
      </c>
      <c r="G482">
        <f t="shared" si="7"/>
        <v>4767</v>
      </c>
      <c r="H482">
        <f>cukier11[[#This Row],[stan_magazynu]]-cukier11[[#This Row],[sprzedany_cukier]]</f>
        <v>4730</v>
      </c>
      <c r="I482" s="9">
        <f>cukier11[[#This Row],[stan_po_sprzedazy]]+cukier11[[#This Row],[ile_dokupic]]*1000</f>
        <v>4730</v>
      </c>
    </row>
    <row r="483" spans="1:9" x14ac:dyDescent="0.25">
      <c r="A483" s="1">
        <v>39253</v>
      </c>
      <c r="B483" t="s">
        <v>35</v>
      </c>
      <c r="C483">
        <v>198</v>
      </c>
      <c r="D483">
        <f>MONTH(cukier11[[#This Row],[data]])</f>
        <v>6</v>
      </c>
      <c r="E483">
        <f>IF(D484&lt;&gt;cukier11[[#This Row],[miesiac]],1,0)</f>
        <v>0</v>
      </c>
      <c r="F483">
        <f>IF(AND(H482&lt;5000,cukier11[[#This Row],[czy_nastapiła_zmiana_mies]]=1),ROUNDUP((5000-H482)/1000,0),0)</f>
        <v>0</v>
      </c>
      <c r="G483">
        <f t="shared" si="7"/>
        <v>4730</v>
      </c>
      <c r="H483">
        <f>cukier11[[#This Row],[stan_magazynu]]-cukier11[[#This Row],[sprzedany_cukier]]</f>
        <v>4532</v>
      </c>
      <c r="I483" s="9">
        <f>cukier11[[#This Row],[stan_po_sprzedazy]]+cukier11[[#This Row],[ile_dokupic]]*1000</f>
        <v>4532</v>
      </c>
    </row>
    <row r="484" spans="1:9" x14ac:dyDescent="0.25">
      <c r="A484" s="1">
        <v>39254</v>
      </c>
      <c r="B484" t="s">
        <v>28</v>
      </c>
      <c r="C484">
        <v>74</v>
      </c>
      <c r="D484">
        <f>MONTH(cukier11[[#This Row],[data]])</f>
        <v>6</v>
      </c>
      <c r="E484">
        <f>IF(D485&lt;&gt;cukier11[[#This Row],[miesiac]],1,0)</f>
        <v>0</v>
      </c>
      <c r="F484">
        <f>IF(AND(H483&lt;5000,cukier11[[#This Row],[czy_nastapiła_zmiana_mies]]=1),ROUNDUP((5000-H483)/1000,0),0)</f>
        <v>0</v>
      </c>
      <c r="G484">
        <f t="shared" si="7"/>
        <v>4532</v>
      </c>
      <c r="H484">
        <f>cukier11[[#This Row],[stan_magazynu]]-cukier11[[#This Row],[sprzedany_cukier]]</f>
        <v>4458</v>
      </c>
      <c r="I484" s="9">
        <f>cukier11[[#This Row],[stan_po_sprzedazy]]+cukier11[[#This Row],[ile_dokupic]]*1000</f>
        <v>4458</v>
      </c>
    </row>
    <row r="485" spans="1:9" x14ac:dyDescent="0.25">
      <c r="A485" s="1">
        <v>39259</v>
      </c>
      <c r="B485" t="s">
        <v>144</v>
      </c>
      <c r="C485">
        <v>18</v>
      </c>
      <c r="D485">
        <f>MONTH(cukier11[[#This Row],[data]])</f>
        <v>6</v>
      </c>
      <c r="E485">
        <f>IF(D486&lt;&gt;cukier11[[#This Row],[miesiac]],1,0)</f>
        <v>0</v>
      </c>
      <c r="F485">
        <f>IF(AND(H484&lt;5000,cukier11[[#This Row],[czy_nastapiła_zmiana_mies]]=1),ROUNDUP((5000-H484)/1000,0),0)</f>
        <v>0</v>
      </c>
      <c r="G485">
        <f t="shared" si="7"/>
        <v>4458</v>
      </c>
      <c r="H485">
        <f>cukier11[[#This Row],[stan_magazynu]]-cukier11[[#This Row],[sprzedany_cukier]]</f>
        <v>4440</v>
      </c>
      <c r="I485" s="9">
        <f>cukier11[[#This Row],[stan_po_sprzedazy]]+cukier11[[#This Row],[ile_dokupic]]*1000</f>
        <v>4440</v>
      </c>
    </row>
    <row r="486" spans="1:9" x14ac:dyDescent="0.25">
      <c r="A486" s="1">
        <v>39263</v>
      </c>
      <c r="B486" t="s">
        <v>24</v>
      </c>
      <c r="C486">
        <v>291</v>
      </c>
      <c r="D486">
        <f>MONTH(cukier11[[#This Row],[data]])</f>
        <v>6</v>
      </c>
      <c r="E486">
        <f>IF(D487&lt;&gt;cukier11[[#This Row],[miesiac]],1,0)</f>
        <v>1</v>
      </c>
      <c r="F486">
        <f>IF(AND(H485&lt;5000,cukier11[[#This Row],[czy_nastapiła_zmiana_mies]]=1),ROUNDUP((5000-H485)/1000,0),0)</f>
        <v>1</v>
      </c>
      <c r="G486">
        <f t="shared" si="7"/>
        <v>4440</v>
      </c>
      <c r="H486">
        <f>cukier11[[#This Row],[stan_magazynu]]-cukier11[[#This Row],[sprzedany_cukier]]</f>
        <v>4149</v>
      </c>
      <c r="I486" s="9">
        <f>cukier11[[#This Row],[stan_po_sprzedazy]]+cukier11[[#This Row],[ile_dokupic]]*1000</f>
        <v>5149</v>
      </c>
    </row>
    <row r="487" spans="1:9" x14ac:dyDescent="0.25">
      <c r="A487" s="1">
        <v>39270</v>
      </c>
      <c r="B487" t="s">
        <v>9</v>
      </c>
      <c r="C487">
        <v>208</v>
      </c>
      <c r="D487">
        <f>MONTH(cukier11[[#This Row],[data]])</f>
        <v>7</v>
      </c>
      <c r="E487">
        <f>IF(D488&lt;&gt;cukier11[[#This Row],[miesiac]],1,0)</f>
        <v>0</v>
      </c>
      <c r="F487">
        <f>IF(AND(H486&lt;5000,cukier11[[#This Row],[czy_nastapiła_zmiana_mies]]=1),ROUNDUP((5000-H486)/1000,0),0)</f>
        <v>0</v>
      </c>
      <c r="G487">
        <f t="shared" si="7"/>
        <v>5149</v>
      </c>
      <c r="H487">
        <f>cukier11[[#This Row],[stan_magazynu]]-cukier11[[#This Row],[sprzedany_cukier]]</f>
        <v>4941</v>
      </c>
      <c r="I487" s="9">
        <f>cukier11[[#This Row],[stan_po_sprzedazy]]+cukier11[[#This Row],[ile_dokupic]]*1000</f>
        <v>4941</v>
      </c>
    </row>
    <row r="488" spans="1:9" x14ac:dyDescent="0.25">
      <c r="A488" s="1">
        <v>39270</v>
      </c>
      <c r="B488" t="s">
        <v>5</v>
      </c>
      <c r="C488">
        <v>354</v>
      </c>
      <c r="D488">
        <f>MONTH(cukier11[[#This Row],[data]])</f>
        <v>7</v>
      </c>
      <c r="E488">
        <f>IF(D489&lt;&gt;cukier11[[#This Row],[miesiac]],1,0)</f>
        <v>0</v>
      </c>
      <c r="F488">
        <f>IF(AND(H487&lt;5000,cukier11[[#This Row],[czy_nastapiła_zmiana_mies]]=1),ROUNDUP((5000-H487)/1000,0),0)</f>
        <v>0</v>
      </c>
      <c r="G488">
        <f t="shared" si="7"/>
        <v>4941</v>
      </c>
      <c r="H488">
        <f>cukier11[[#This Row],[stan_magazynu]]-cukier11[[#This Row],[sprzedany_cukier]]</f>
        <v>4587</v>
      </c>
      <c r="I488" s="9">
        <f>cukier11[[#This Row],[stan_po_sprzedazy]]+cukier11[[#This Row],[ile_dokupic]]*1000</f>
        <v>4587</v>
      </c>
    </row>
    <row r="489" spans="1:9" x14ac:dyDescent="0.25">
      <c r="A489" s="1">
        <v>39277</v>
      </c>
      <c r="B489" t="s">
        <v>25</v>
      </c>
      <c r="C489">
        <v>113</v>
      </c>
      <c r="D489">
        <f>MONTH(cukier11[[#This Row],[data]])</f>
        <v>7</v>
      </c>
      <c r="E489">
        <f>IF(D490&lt;&gt;cukier11[[#This Row],[miesiac]],1,0)</f>
        <v>0</v>
      </c>
      <c r="F489">
        <f>IF(AND(H488&lt;5000,cukier11[[#This Row],[czy_nastapiła_zmiana_mies]]=1),ROUNDUP((5000-H488)/1000,0),0)</f>
        <v>0</v>
      </c>
      <c r="G489">
        <f t="shared" si="7"/>
        <v>4587</v>
      </c>
      <c r="H489">
        <f>cukier11[[#This Row],[stan_magazynu]]-cukier11[[#This Row],[sprzedany_cukier]]</f>
        <v>4474</v>
      </c>
      <c r="I489" s="9">
        <f>cukier11[[#This Row],[stan_po_sprzedazy]]+cukier11[[#This Row],[ile_dokupic]]*1000</f>
        <v>4474</v>
      </c>
    </row>
    <row r="490" spans="1:9" x14ac:dyDescent="0.25">
      <c r="A490" s="1">
        <v>39278</v>
      </c>
      <c r="B490" t="s">
        <v>145</v>
      </c>
      <c r="C490">
        <v>3</v>
      </c>
      <c r="D490">
        <f>MONTH(cukier11[[#This Row],[data]])</f>
        <v>7</v>
      </c>
      <c r="E490">
        <f>IF(D491&lt;&gt;cukier11[[#This Row],[miesiac]],1,0)</f>
        <v>0</v>
      </c>
      <c r="F490">
        <f>IF(AND(H489&lt;5000,cukier11[[#This Row],[czy_nastapiła_zmiana_mies]]=1),ROUNDUP((5000-H489)/1000,0),0)</f>
        <v>0</v>
      </c>
      <c r="G490">
        <f t="shared" si="7"/>
        <v>4474</v>
      </c>
      <c r="H490">
        <f>cukier11[[#This Row],[stan_magazynu]]-cukier11[[#This Row],[sprzedany_cukier]]</f>
        <v>4471</v>
      </c>
      <c r="I490" s="9">
        <f>cukier11[[#This Row],[stan_po_sprzedazy]]+cukier11[[#This Row],[ile_dokupic]]*1000</f>
        <v>4471</v>
      </c>
    </row>
    <row r="491" spans="1:9" x14ac:dyDescent="0.25">
      <c r="A491" s="1">
        <v>39278</v>
      </c>
      <c r="B491" t="s">
        <v>45</v>
      </c>
      <c r="C491">
        <v>446</v>
      </c>
      <c r="D491">
        <f>MONTH(cukier11[[#This Row],[data]])</f>
        <v>7</v>
      </c>
      <c r="E491">
        <f>IF(D492&lt;&gt;cukier11[[#This Row],[miesiac]],1,0)</f>
        <v>0</v>
      </c>
      <c r="F491">
        <f>IF(AND(H490&lt;5000,cukier11[[#This Row],[czy_nastapiła_zmiana_mies]]=1),ROUNDUP((5000-H490)/1000,0),0)</f>
        <v>0</v>
      </c>
      <c r="G491">
        <f t="shared" si="7"/>
        <v>4471</v>
      </c>
      <c r="H491">
        <f>cukier11[[#This Row],[stan_magazynu]]-cukier11[[#This Row],[sprzedany_cukier]]</f>
        <v>4025</v>
      </c>
      <c r="I491" s="9">
        <f>cukier11[[#This Row],[stan_po_sprzedazy]]+cukier11[[#This Row],[ile_dokupic]]*1000</f>
        <v>4025</v>
      </c>
    </row>
    <row r="492" spans="1:9" x14ac:dyDescent="0.25">
      <c r="A492" s="1">
        <v>39278</v>
      </c>
      <c r="B492" t="s">
        <v>121</v>
      </c>
      <c r="C492">
        <v>9</v>
      </c>
      <c r="D492">
        <f>MONTH(cukier11[[#This Row],[data]])</f>
        <v>7</v>
      </c>
      <c r="E492">
        <f>IF(D493&lt;&gt;cukier11[[#This Row],[miesiac]],1,0)</f>
        <v>0</v>
      </c>
      <c r="F492">
        <f>IF(AND(H491&lt;5000,cukier11[[#This Row],[czy_nastapiła_zmiana_mies]]=1),ROUNDUP((5000-H491)/1000,0),0)</f>
        <v>0</v>
      </c>
      <c r="G492">
        <f t="shared" si="7"/>
        <v>4025</v>
      </c>
      <c r="H492">
        <f>cukier11[[#This Row],[stan_magazynu]]-cukier11[[#This Row],[sprzedany_cukier]]</f>
        <v>4016</v>
      </c>
      <c r="I492" s="9">
        <f>cukier11[[#This Row],[stan_po_sprzedazy]]+cukier11[[#This Row],[ile_dokupic]]*1000</f>
        <v>4016</v>
      </c>
    </row>
    <row r="493" spans="1:9" x14ac:dyDescent="0.25">
      <c r="A493" s="1">
        <v>39282</v>
      </c>
      <c r="B493" t="s">
        <v>50</v>
      </c>
      <c r="C493">
        <v>445</v>
      </c>
      <c r="D493">
        <f>MONTH(cukier11[[#This Row],[data]])</f>
        <v>7</v>
      </c>
      <c r="E493">
        <f>IF(D494&lt;&gt;cukier11[[#This Row],[miesiac]],1,0)</f>
        <v>0</v>
      </c>
      <c r="F493">
        <f>IF(AND(H492&lt;5000,cukier11[[#This Row],[czy_nastapiła_zmiana_mies]]=1),ROUNDUP((5000-H492)/1000,0),0)</f>
        <v>0</v>
      </c>
      <c r="G493">
        <f t="shared" si="7"/>
        <v>4016</v>
      </c>
      <c r="H493">
        <f>cukier11[[#This Row],[stan_magazynu]]-cukier11[[#This Row],[sprzedany_cukier]]</f>
        <v>3571</v>
      </c>
      <c r="I493" s="9">
        <f>cukier11[[#This Row],[stan_po_sprzedazy]]+cukier11[[#This Row],[ile_dokupic]]*1000</f>
        <v>3571</v>
      </c>
    </row>
    <row r="494" spans="1:9" x14ac:dyDescent="0.25">
      <c r="A494" s="1">
        <v>39283</v>
      </c>
      <c r="B494" t="s">
        <v>69</v>
      </c>
      <c r="C494">
        <v>47</v>
      </c>
      <c r="D494">
        <f>MONTH(cukier11[[#This Row],[data]])</f>
        <v>7</v>
      </c>
      <c r="E494">
        <f>IF(D495&lt;&gt;cukier11[[#This Row],[miesiac]],1,0)</f>
        <v>0</v>
      </c>
      <c r="F494">
        <f>IF(AND(H493&lt;5000,cukier11[[#This Row],[czy_nastapiła_zmiana_mies]]=1),ROUNDUP((5000-H493)/1000,0),0)</f>
        <v>0</v>
      </c>
      <c r="G494">
        <f t="shared" si="7"/>
        <v>3571</v>
      </c>
      <c r="H494">
        <f>cukier11[[#This Row],[stan_magazynu]]-cukier11[[#This Row],[sprzedany_cukier]]</f>
        <v>3524</v>
      </c>
      <c r="I494" s="9">
        <f>cukier11[[#This Row],[stan_po_sprzedazy]]+cukier11[[#This Row],[ile_dokupic]]*1000</f>
        <v>3524</v>
      </c>
    </row>
    <row r="495" spans="1:9" x14ac:dyDescent="0.25">
      <c r="A495" s="1">
        <v>39284</v>
      </c>
      <c r="B495" t="s">
        <v>146</v>
      </c>
      <c r="C495">
        <v>14</v>
      </c>
      <c r="D495">
        <f>MONTH(cukier11[[#This Row],[data]])</f>
        <v>7</v>
      </c>
      <c r="E495">
        <f>IF(D496&lt;&gt;cukier11[[#This Row],[miesiac]],1,0)</f>
        <v>0</v>
      </c>
      <c r="F495">
        <f>IF(AND(H494&lt;5000,cukier11[[#This Row],[czy_nastapiła_zmiana_mies]]=1),ROUNDUP((5000-H494)/1000,0),0)</f>
        <v>0</v>
      </c>
      <c r="G495">
        <f t="shared" si="7"/>
        <v>3524</v>
      </c>
      <c r="H495">
        <f>cukier11[[#This Row],[stan_magazynu]]-cukier11[[#This Row],[sprzedany_cukier]]</f>
        <v>3510</v>
      </c>
      <c r="I495" s="9">
        <f>cukier11[[#This Row],[stan_po_sprzedazy]]+cukier11[[#This Row],[ile_dokupic]]*1000</f>
        <v>3510</v>
      </c>
    </row>
    <row r="496" spans="1:9" x14ac:dyDescent="0.25">
      <c r="A496" s="1">
        <v>39289</v>
      </c>
      <c r="B496" t="s">
        <v>37</v>
      </c>
      <c r="C496">
        <v>187</v>
      </c>
      <c r="D496">
        <f>MONTH(cukier11[[#This Row],[data]])</f>
        <v>7</v>
      </c>
      <c r="E496">
        <f>IF(D497&lt;&gt;cukier11[[#This Row],[miesiac]],1,0)</f>
        <v>0</v>
      </c>
      <c r="F496">
        <f>IF(AND(H495&lt;5000,cukier11[[#This Row],[czy_nastapiła_zmiana_mies]]=1),ROUNDUP((5000-H495)/1000,0),0)</f>
        <v>0</v>
      </c>
      <c r="G496">
        <f t="shared" si="7"/>
        <v>3510</v>
      </c>
      <c r="H496">
        <f>cukier11[[#This Row],[stan_magazynu]]-cukier11[[#This Row],[sprzedany_cukier]]</f>
        <v>3323</v>
      </c>
      <c r="I496" s="9">
        <f>cukier11[[#This Row],[stan_po_sprzedazy]]+cukier11[[#This Row],[ile_dokupic]]*1000</f>
        <v>3323</v>
      </c>
    </row>
    <row r="497" spans="1:9" x14ac:dyDescent="0.25">
      <c r="A497" s="1">
        <v>39290</v>
      </c>
      <c r="B497" t="s">
        <v>45</v>
      </c>
      <c r="C497">
        <v>355</v>
      </c>
      <c r="D497">
        <f>MONTH(cukier11[[#This Row],[data]])</f>
        <v>7</v>
      </c>
      <c r="E497">
        <f>IF(D498&lt;&gt;cukier11[[#This Row],[miesiac]],1,0)</f>
        <v>0</v>
      </c>
      <c r="F497">
        <f>IF(AND(H496&lt;5000,cukier11[[#This Row],[czy_nastapiła_zmiana_mies]]=1),ROUNDUP((5000-H496)/1000,0),0)</f>
        <v>0</v>
      </c>
      <c r="G497">
        <f t="shared" si="7"/>
        <v>3323</v>
      </c>
      <c r="H497">
        <f>cukier11[[#This Row],[stan_magazynu]]-cukier11[[#This Row],[sprzedany_cukier]]</f>
        <v>2968</v>
      </c>
      <c r="I497" s="9">
        <f>cukier11[[#This Row],[stan_po_sprzedazy]]+cukier11[[#This Row],[ile_dokupic]]*1000</f>
        <v>2968</v>
      </c>
    </row>
    <row r="498" spans="1:9" x14ac:dyDescent="0.25">
      <c r="A498" s="1">
        <v>39291</v>
      </c>
      <c r="B498" t="s">
        <v>115</v>
      </c>
      <c r="C498">
        <v>6</v>
      </c>
      <c r="D498">
        <f>MONTH(cukier11[[#This Row],[data]])</f>
        <v>7</v>
      </c>
      <c r="E498">
        <f>IF(D499&lt;&gt;cukier11[[#This Row],[miesiac]],1,0)</f>
        <v>0</v>
      </c>
      <c r="F498">
        <f>IF(AND(H497&lt;5000,cukier11[[#This Row],[czy_nastapiła_zmiana_mies]]=1),ROUNDUP((5000-H497)/1000,0),0)</f>
        <v>0</v>
      </c>
      <c r="G498">
        <f t="shared" si="7"/>
        <v>2968</v>
      </c>
      <c r="H498">
        <f>cukier11[[#This Row],[stan_magazynu]]-cukier11[[#This Row],[sprzedany_cukier]]</f>
        <v>2962</v>
      </c>
      <c r="I498" s="9">
        <f>cukier11[[#This Row],[stan_po_sprzedazy]]+cukier11[[#This Row],[ile_dokupic]]*1000</f>
        <v>2962</v>
      </c>
    </row>
    <row r="499" spans="1:9" x14ac:dyDescent="0.25">
      <c r="A499" s="1">
        <v>39292</v>
      </c>
      <c r="B499" t="s">
        <v>68</v>
      </c>
      <c r="C499">
        <v>18</v>
      </c>
      <c r="D499">
        <f>MONTH(cukier11[[#This Row],[data]])</f>
        <v>7</v>
      </c>
      <c r="E499">
        <f>IF(D500&lt;&gt;cukier11[[#This Row],[miesiac]],1,0)</f>
        <v>0</v>
      </c>
      <c r="F499">
        <f>IF(AND(H498&lt;5000,cukier11[[#This Row],[czy_nastapiła_zmiana_mies]]=1),ROUNDUP((5000-H498)/1000,0),0)</f>
        <v>0</v>
      </c>
      <c r="G499">
        <f t="shared" si="7"/>
        <v>2962</v>
      </c>
      <c r="H499">
        <f>cukier11[[#This Row],[stan_magazynu]]-cukier11[[#This Row],[sprzedany_cukier]]</f>
        <v>2944</v>
      </c>
      <c r="I499" s="9">
        <f>cukier11[[#This Row],[stan_po_sprzedazy]]+cukier11[[#This Row],[ile_dokupic]]*1000</f>
        <v>2944</v>
      </c>
    </row>
    <row r="500" spans="1:9" x14ac:dyDescent="0.25">
      <c r="A500" s="1">
        <v>39294</v>
      </c>
      <c r="B500" t="s">
        <v>71</v>
      </c>
      <c r="C500">
        <v>111</v>
      </c>
      <c r="D500">
        <f>MONTH(cukier11[[#This Row],[data]])</f>
        <v>7</v>
      </c>
      <c r="E500">
        <f>IF(D501&lt;&gt;cukier11[[#This Row],[miesiac]],1,0)</f>
        <v>0</v>
      </c>
      <c r="F500">
        <f>IF(AND(H499&lt;5000,cukier11[[#This Row],[czy_nastapiła_zmiana_mies]]=1),ROUNDUP((5000-H499)/1000,0),0)</f>
        <v>0</v>
      </c>
      <c r="G500">
        <f t="shared" si="7"/>
        <v>2944</v>
      </c>
      <c r="H500">
        <f>cukier11[[#This Row],[stan_magazynu]]-cukier11[[#This Row],[sprzedany_cukier]]</f>
        <v>2833</v>
      </c>
      <c r="I500" s="9">
        <f>cukier11[[#This Row],[stan_po_sprzedazy]]+cukier11[[#This Row],[ile_dokupic]]*1000</f>
        <v>2833</v>
      </c>
    </row>
    <row r="501" spans="1:9" x14ac:dyDescent="0.25">
      <c r="A501" s="1">
        <v>39294</v>
      </c>
      <c r="B501" t="s">
        <v>8</v>
      </c>
      <c r="C501">
        <v>156</v>
      </c>
      <c r="D501">
        <f>MONTH(cukier11[[#This Row],[data]])</f>
        <v>7</v>
      </c>
      <c r="E501">
        <f>IF(D502&lt;&gt;cukier11[[#This Row],[miesiac]],1,0)</f>
        <v>1</v>
      </c>
      <c r="F501">
        <f>IF(AND(H500&lt;5000,cukier11[[#This Row],[czy_nastapiła_zmiana_mies]]=1),ROUNDUP((5000-H500)/1000,0),0)</f>
        <v>3</v>
      </c>
      <c r="G501">
        <f t="shared" si="7"/>
        <v>2833</v>
      </c>
      <c r="H501">
        <f>cukier11[[#This Row],[stan_magazynu]]-cukier11[[#This Row],[sprzedany_cukier]]</f>
        <v>2677</v>
      </c>
      <c r="I501" s="9">
        <f>cukier11[[#This Row],[stan_po_sprzedazy]]+cukier11[[#This Row],[ile_dokupic]]*1000</f>
        <v>5677</v>
      </c>
    </row>
    <row r="502" spans="1:9" x14ac:dyDescent="0.25">
      <c r="A502" s="1">
        <v>39295</v>
      </c>
      <c r="B502" t="s">
        <v>45</v>
      </c>
      <c r="C502">
        <v>396</v>
      </c>
      <c r="D502">
        <f>MONTH(cukier11[[#This Row],[data]])</f>
        <v>8</v>
      </c>
      <c r="E502">
        <f>IF(D503&lt;&gt;cukier11[[#This Row],[miesiac]],1,0)</f>
        <v>0</v>
      </c>
      <c r="F502">
        <f>IF(AND(H501&lt;5000,cukier11[[#This Row],[czy_nastapiła_zmiana_mies]]=1),ROUNDUP((5000-H501)/1000,0),0)</f>
        <v>0</v>
      </c>
      <c r="G502">
        <f t="shared" si="7"/>
        <v>5677</v>
      </c>
      <c r="H502">
        <f>cukier11[[#This Row],[stan_magazynu]]-cukier11[[#This Row],[sprzedany_cukier]]</f>
        <v>5281</v>
      </c>
      <c r="I502" s="9">
        <f>cukier11[[#This Row],[stan_po_sprzedazy]]+cukier11[[#This Row],[ile_dokupic]]*1000</f>
        <v>5281</v>
      </c>
    </row>
    <row r="503" spans="1:9" x14ac:dyDescent="0.25">
      <c r="A503" s="1">
        <v>39299</v>
      </c>
      <c r="B503" t="s">
        <v>60</v>
      </c>
      <c r="C503">
        <v>7</v>
      </c>
      <c r="D503">
        <f>MONTH(cukier11[[#This Row],[data]])</f>
        <v>8</v>
      </c>
      <c r="E503">
        <f>IF(D504&lt;&gt;cukier11[[#This Row],[miesiac]],1,0)</f>
        <v>0</v>
      </c>
      <c r="F503">
        <f>IF(AND(H502&lt;5000,cukier11[[#This Row],[czy_nastapiła_zmiana_mies]]=1),ROUNDUP((5000-H502)/1000,0),0)</f>
        <v>0</v>
      </c>
      <c r="G503">
        <f t="shared" si="7"/>
        <v>5281</v>
      </c>
      <c r="H503">
        <f>cukier11[[#This Row],[stan_magazynu]]-cukier11[[#This Row],[sprzedany_cukier]]</f>
        <v>5274</v>
      </c>
      <c r="I503" s="9">
        <f>cukier11[[#This Row],[stan_po_sprzedazy]]+cukier11[[#This Row],[ile_dokupic]]*1000</f>
        <v>5274</v>
      </c>
    </row>
    <row r="504" spans="1:9" x14ac:dyDescent="0.25">
      <c r="A504" s="1">
        <v>39301</v>
      </c>
      <c r="B504" t="s">
        <v>55</v>
      </c>
      <c r="C504">
        <v>98</v>
      </c>
      <c r="D504">
        <f>MONTH(cukier11[[#This Row],[data]])</f>
        <v>8</v>
      </c>
      <c r="E504">
        <f>IF(D505&lt;&gt;cukier11[[#This Row],[miesiac]],1,0)</f>
        <v>0</v>
      </c>
      <c r="F504">
        <f>IF(AND(H503&lt;5000,cukier11[[#This Row],[czy_nastapiła_zmiana_mies]]=1),ROUNDUP((5000-H503)/1000,0),0)</f>
        <v>0</v>
      </c>
      <c r="G504">
        <f t="shared" si="7"/>
        <v>5274</v>
      </c>
      <c r="H504">
        <f>cukier11[[#This Row],[stan_magazynu]]-cukier11[[#This Row],[sprzedany_cukier]]</f>
        <v>5176</v>
      </c>
      <c r="I504" s="9">
        <f>cukier11[[#This Row],[stan_po_sprzedazy]]+cukier11[[#This Row],[ile_dokupic]]*1000</f>
        <v>5176</v>
      </c>
    </row>
    <row r="505" spans="1:9" x14ac:dyDescent="0.25">
      <c r="A505" s="1">
        <v>39303</v>
      </c>
      <c r="B505" t="s">
        <v>45</v>
      </c>
      <c r="C505">
        <v>405</v>
      </c>
      <c r="D505">
        <f>MONTH(cukier11[[#This Row],[data]])</f>
        <v>8</v>
      </c>
      <c r="E505">
        <f>IF(D506&lt;&gt;cukier11[[#This Row],[miesiac]],1,0)</f>
        <v>0</v>
      </c>
      <c r="F505">
        <f>IF(AND(H504&lt;5000,cukier11[[#This Row],[czy_nastapiła_zmiana_mies]]=1),ROUNDUP((5000-H504)/1000,0),0)</f>
        <v>0</v>
      </c>
      <c r="G505">
        <f t="shared" si="7"/>
        <v>5176</v>
      </c>
      <c r="H505">
        <f>cukier11[[#This Row],[stan_magazynu]]-cukier11[[#This Row],[sprzedany_cukier]]</f>
        <v>4771</v>
      </c>
      <c r="I505" s="9">
        <f>cukier11[[#This Row],[stan_po_sprzedazy]]+cukier11[[#This Row],[ile_dokupic]]*1000</f>
        <v>4771</v>
      </c>
    </row>
    <row r="506" spans="1:9" x14ac:dyDescent="0.25">
      <c r="A506" s="1">
        <v>39305</v>
      </c>
      <c r="B506" t="s">
        <v>7</v>
      </c>
      <c r="C506">
        <v>220</v>
      </c>
      <c r="D506">
        <f>MONTH(cukier11[[#This Row],[data]])</f>
        <v>8</v>
      </c>
      <c r="E506">
        <f>IF(D507&lt;&gt;cukier11[[#This Row],[miesiac]],1,0)</f>
        <v>0</v>
      </c>
      <c r="F506">
        <f>IF(AND(H505&lt;5000,cukier11[[#This Row],[czy_nastapiła_zmiana_mies]]=1),ROUNDUP((5000-H505)/1000,0),0)</f>
        <v>0</v>
      </c>
      <c r="G506">
        <f t="shared" si="7"/>
        <v>4771</v>
      </c>
      <c r="H506">
        <f>cukier11[[#This Row],[stan_magazynu]]-cukier11[[#This Row],[sprzedany_cukier]]</f>
        <v>4551</v>
      </c>
      <c r="I506" s="9">
        <f>cukier11[[#This Row],[stan_po_sprzedazy]]+cukier11[[#This Row],[ile_dokupic]]*1000</f>
        <v>4551</v>
      </c>
    </row>
    <row r="507" spans="1:9" x14ac:dyDescent="0.25">
      <c r="A507" s="1">
        <v>39306</v>
      </c>
      <c r="B507" t="s">
        <v>30</v>
      </c>
      <c r="C507">
        <v>141</v>
      </c>
      <c r="D507">
        <f>MONTH(cukier11[[#This Row],[data]])</f>
        <v>8</v>
      </c>
      <c r="E507">
        <f>IF(D508&lt;&gt;cukier11[[#This Row],[miesiac]],1,0)</f>
        <v>0</v>
      </c>
      <c r="F507">
        <f>IF(AND(H506&lt;5000,cukier11[[#This Row],[czy_nastapiła_zmiana_mies]]=1),ROUNDUP((5000-H506)/1000,0),0)</f>
        <v>0</v>
      </c>
      <c r="G507">
        <f t="shared" si="7"/>
        <v>4551</v>
      </c>
      <c r="H507">
        <f>cukier11[[#This Row],[stan_magazynu]]-cukier11[[#This Row],[sprzedany_cukier]]</f>
        <v>4410</v>
      </c>
      <c r="I507" s="9">
        <f>cukier11[[#This Row],[stan_po_sprzedazy]]+cukier11[[#This Row],[ile_dokupic]]*1000</f>
        <v>4410</v>
      </c>
    </row>
    <row r="508" spans="1:9" x14ac:dyDescent="0.25">
      <c r="A508" s="1">
        <v>39307</v>
      </c>
      <c r="B508" t="s">
        <v>90</v>
      </c>
      <c r="C508">
        <v>17</v>
      </c>
      <c r="D508">
        <f>MONTH(cukier11[[#This Row],[data]])</f>
        <v>8</v>
      </c>
      <c r="E508">
        <f>IF(D509&lt;&gt;cukier11[[#This Row],[miesiac]],1,0)</f>
        <v>0</v>
      </c>
      <c r="F508">
        <f>IF(AND(H507&lt;5000,cukier11[[#This Row],[czy_nastapiła_zmiana_mies]]=1),ROUNDUP((5000-H507)/1000,0),0)</f>
        <v>0</v>
      </c>
      <c r="G508">
        <f t="shared" si="7"/>
        <v>4410</v>
      </c>
      <c r="H508">
        <f>cukier11[[#This Row],[stan_magazynu]]-cukier11[[#This Row],[sprzedany_cukier]]</f>
        <v>4393</v>
      </c>
      <c r="I508" s="9">
        <f>cukier11[[#This Row],[stan_po_sprzedazy]]+cukier11[[#This Row],[ile_dokupic]]*1000</f>
        <v>4393</v>
      </c>
    </row>
    <row r="509" spans="1:9" x14ac:dyDescent="0.25">
      <c r="A509" s="1">
        <v>39307</v>
      </c>
      <c r="B509" t="s">
        <v>9</v>
      </c>
      <c r="C509">
        <v>260</v>
      </c>
      <c r="D509">
        <f>MONTH(cukier11[[#This Row],[data]])</f>
        <v>8</v>
      </c>
      <c r="E509">
        <f>IF(D510&lt;&gt;cukier11[[#This Row],[miesiac]],1,0)</f>
        <v>0</v>
      </c>
      <c r="F509">
        <f>IF(AND(H508&lt;5000,cukier11[[#This Row],[czy_nastapiła_zmiana_mies]]=1),ROUNDUP((5000-H508)/1000,0),0)</f>
        <v>0</v>
      </c>
      <c r="G509">
        <f t="shared" si="7"/>
        <v>4393</v>
      </c>
      <c r="H509">
        <f>cukier11[[#This Row],[stan_magazynu]]-cukier11[[#This Row],[sprzedany_cukier]]</f>
        <v>4133</v>
      </c>
      <c r="I509" s="9">
        <f>cukier11[[#This Row],[stan_po_sprzedazy]]+cukier11[[#This Row],[ile_dokupic]]*1000</f>
        <v>4133</v>
      </c>
    </row>
    <row r="510" spans="1:9" x14ac:dyDescent="0.25">
      <c r="A510" s="1">
        <v>39308</v>
      </c>
      <c r="B510" t="s">
        <v>119</v>
      </c>
      <c r="C510">
        <v>11</v>
      </c>
      <c r="D510">
        <f>MONTH(cukier11[[#This Row],[data]])</f>
        <v>8</v>
      </c>
      <c r="E510">
        <f>IF(D511&lt;&gt;cukier11[[#This Row],[miesiac]],1,0)</f>
        <v>0</v>
      </c>
      <c r="F510">
        <f>IF(AND(H509&lt;5000,cukier11[[#This Row],[czy_nastapiła_zmiana_mies]]=1),ROUNDUP((5000-H509)/1000,0),0)</f>
        <v>0</v>
      </c>
      <c r="G510">
        <f t="shared" si="7"/>
        <v>4133</v>
      </c>
      <c r="H510">
        <f>cukier11[[#This Row],[stan_magazynu]]-cukier11[[#This Row],[sprzedany_cukier]]</f>
        <v>4122</v>
      </c>
      <c r="I510" s="9">
        <f>cukier11[[#This Row],[stan_po_sprzedazy]]+cukier11[[#This Row],[ile_dokupic]]*1000</f>
        <v>4122</v>
      </c>
    </row>
    <row r="511" spans="1:9" x14ac:dyDescent="0.25">
      <c r="A511" s="1">
        <v>39312</v>
      </c>
      <c r="B511" t="s">
        <v>52</v>
      </c>
      <c r="C511">
        <v>182</v>
      </c>
      <c r="D511">
        <f>MONTH(cukier11[[#This Row],[data]])</f>
        <v>8</v>
      </c>
      <c r="E511">
        <f>IF(D512&lt;&gt;cukier11[[#This Row],[miesiac]],1,0)</f>
        <v>0</v>
      </c>
      <c r="F511">
        <f>IF(AND(H510&lt;5000,cukier11[[#This Row],[czy_nastapiła_zmiana_mies]]=1),ROUNDUP((5000-H510)/1000,0),0)</f>
        <v>0</v>
      </c>
      <c r="G511">
        <f t="shared" si="7"/>
        <v>4122</v>
      </c>
      <c r="H511">
        <f>cukier11[[#This Row],[stan_magazynu]]-cukier11[[#This Row],[sprzedany_cukier]]</f>
        <v>3940</v>
      </c>
      <c r="I511" s="9">
        <f>cukier11[[#This Row],[stan_po_sprzedazy]]+cukier11[[#This Row],[ile_dokupic]]*1000</f>
        <v>3940</v>
      </c>
    </row>
    <row r="512" spans="1:9" x14ac:dyDescent="0.25">
      <c r="A512" s="1">
        <v>39314</v>
      </c>
      <c r="B512" t="s">
        <v>37</v>
      </c>
      <c r="C512">
        <v>59</v>
      </c>
      <c r="D512">
        <f>MONTH(cukier11[[#This Row],[data]])</f>
        <v>8</v>
      </c>
      <c r="E512">
        <f>IF(D513&lt;&gt;cukier11[[#This Row],[miesiac]],1,0)</f>
        <v>0</v>
      </c>
      <c r="F512">
        <f>IF(AND(H511&lt;5000,cukier11[[#This Row],[czy_nastapiła_zmiana_mies]]=1),ROUNDUP((5000-H511)/1000,0),0)</f>
        <v>0</v>
      </c>
      <c r="G512">
        <f t="shared" si="7"/>
        <v>3940</v>
      </c>
      <c r="H512">
        <f>cukier11[[#This Row],[stan_magazynu]]-cukier11[[#This Row],[sprzedany_cukier]]</f>
        <v>3881</v>
      </c>
      <c r="I512" s="9">
        <f>cukier11[[#This Row],[stan_po_sprzedazy]]+cukier11[[#This Row],[ile_dokupic]]*1000</f>
        <v>3881</v>
      </c>
    </row>
    <row r="513" spans="1:9" x14ac:dyDescent="0.25">
      <c r="A513" s="1">
        <v>39315</v>
      </c>
      <c r="B513" t="s">
        <v>66</v>
      </c>
      <c r="C513">
        <v>45</v>
      </c>
      <c r="D513">
        <f>MONTH(cukier11[[#This Row],[data]])</f>
        <v>8</v>
      </c>
      <c r="E513">
        <f>IF(D514&lt;&gt;cukier11[[#This Row],[miesiac]],1,0)</f>
        <v>0</v>
      </c>
      <c r="F513">
        <f>IF(AND(H512&lt;5000,cukier11[[#This Row],[czy_nastapiła_zmiana_mies]]=1),ROUNDUP((5000-H512)/1000,0),0)</f>
        <v>0</v>
      </c>
      <c r="G513">
        <f t="shared" si="7"/>
        <v>3881</v>
      </c>
      <c r="H513">
        <f>cukier11[[#This Row],[stan_magazynu]]-cukier11[[#This Row],[sprzedany_cukier]]</f>
        <v>3836</v>
      </c>
      <c r="I513" s="9">
        <f>cukier11[[#This Row],[stan_po_sprzedazy]]+cukier11[[#This Row],[ile_dokupic]]*1000</f>
        <v>3836</v>
      </c>
    </row>
    <row r="514" spans="1:9" x14ac:dyDescent="0.25">
      <c r="A514" s="1">
        <v>39315</v>
      </c>
      <c r="B514" t="s">
        <v>76</v>
      </c>
      <c r="C514">
        <v>3</v>
      </c>
      <c r="D514">
        <f>MONTH(cukier11[[#This Row],[data]])</f>
        <v>8</v>
      </c>
      <c r="E514">
        <f>IF(D515&lt;&gt;cukier11[[#This Row],[miesiac]],1,0)</f>
        <v>0</v>
      </c>
      <c r="F514">
        <f>IF(AND(H513&lt;5000,cukier11[[#This Row],[czy_nastapiła_zmiana_mies]]=1),ROUNDUP((5000-H513)/1000,0),0)</f>
        <v>0</v>
      </c>
      <c r="G514">
        <f t="shared" si="7"/>
        <v>3836</v>
      </c>
      <c r="H514">
        <f>cukier11[[#This Row],[stan_magazynu]]-cukier11[[#This Row],[sprzedany_cukier]]</f>
        <v>3833</v>
      </c>
      <c r="I514" s="9">
        <f>cukier11[[#This Row],[stan_po_sprzedazy]]+cukier11[[#This Row],[ile_dokupic]]*1000</f>
        <v>3833</v>
      </c>
    </row>
    <row r="515" spans="1:9" x14ac:dyDescent="0.25">
      <c r="A515" s="1">
        <v>39317</v>
      </c>
      <c r="B515" t="s">
        <v>61</v>
      </c>
      <c r="C515">
        <v>52</v>
      </c>
      <c r="D515">
        <f>MONTH(cukier11[[#This Row],[data]])</f>
        <v>8</v>
      </c>
      <c r="E515">
        <f>IF(D516&lt;&gt;cukier11[[#This Row],[miesiac]],1,0)</f>
        <v>0</v>
      </c>
      <c r="F515">
        <f>IF(AND(H514&lt;5000,cukier11[[#This Row],[czy_nastapiła_zmiana_mies]]=1),ROUNDUP((5000-H514)/1000,0),0)</f>
        <v>0</v>
      </c>
      <c r="G515">
        <f t="shared" si="7"/>
        <v>3833</v>
      </c>
      <c r="H515">
        <f>cukier11[[#This Row],[stan_magazynu]]-cukier11[[#This Row],[sprzedany_cukier]]</f>
        <v>3781</v>
      </c>
      <c r="I515" s="9">
        <f>cukier11[[#This Row],[stan_po_sprzedazy]]+cukier11[[#This Row],[ile_dokupic]]*1000</f>
        <v>3781</v>
      </c>
    </row>
    <row r="516" spans="1:9" x14ac:dyDescent="0.25">
      <c r="A516" s="1">
        <v>39317</v>
      </c>
      <c r="B516" t="s">
        <v>22</v>
      </c>
      <c r="C516">
        <v>373</v>
      </c>
      <c r="D516">
        <f>MONTH(cukier11[[#This Row],[data]])</f>
        <v>8</v>
      </c>
      <c r="E516">
        <f>IF(D517&lt;&gt;cukier11[[#This Row],[miesiac]],1,0)</f>
        <v>0</v>
      </c>
      <c r="F516">
        <f>IF(AND(H515&lt;5000,cukier11[[#This Row],[czy_nastapiła_zmiana_mies]]=1),ROUNDUP((5000-H515)/1000,0),0)</f>
        <v>0</v>
      </c>
      <c r="G516">
        <f t="shared" ref="G516:G579" si="8">I515</f>
        <v>3781</v>
      </c>
      <c r="H516">
        <f>cukier11[[#This Row],[stan_magazynu]]-cukier11[[#This Row],[sprzedany_cukier]]</f>
        <v>3408</v>
      </c>
      <c r="I516" s="9">
        <f>cukier11[[#This Row],[stan_po_sprzedazy]]+cukier11[[#This Row],[ile_dokupic]]*1000</f>
        <v>3408</v>
      </c>
    </row>
    <row r="517" spans="1:9" x14ac:dyDescent="0.25">
      <c r="A517" s="1">
        <v>39318</v>
      </c>
      <c r="B517" t="s">
        <v>34</v>
      </c>
      <c r="C517">
        <v>2</v>
      </c>
      <c r="D517">
        <f>MONTH(cukier11[[#This Row],[data]])</f>
        <v>8</v>
      </c>
      <c r="E517">
        <f>IF(D518&lt;&gt;cukier11[[#This Row],[miesiac]],1,0)</f>
        <v>0</v>
      </c>
      <c r="F517">
        <f>IF(AND(H516&lt;5000,cukier11[[#This Row],[czy_nastapiła_zmiana_mies]]=1),ROUNDUP((5000-H516)/1000,0),0)</f>
        <v>0</v>
      </c>
      <c r="G517">
        <f t="shared" si="8"/>
        <v>3408</v>
      </c>
      <c r="H517">
        <f>cukier11[[#This Row],[stan_magazynu]]-cukier11[[#This Row],[sprzedany_cukier]]</f>
        <v>3406</v>
      </c>
      <c r="I517" s="9">
        <f>cukier11[[#This Row],[stan_po_sprzedazy]]+cukier11[[#This Row],[ile_dokupic]]*1000</f>
        <v>3406</v>
      </c>
    </row>
    <row r="518" spans="1:9" x14ac:dyDescent="0.25">
      <c r="A518" s="1">
        <v>39318</v>
      </c>
      <c r="B518" t="s">
        <v>24</v>
      </c>
      <c r="C518">
        <v>445</v>
      </c>
      <c r="D518">
        <f>MONTH(cukier11[[#This Row],[data]])</f>
        <v>8</v>
      </c>
      <c r="E518">
        <f>IF(D519&lt;&gt;cukier11[[#This Row],[miesiac]],1,0)</f>
        <v>0</v>
      </c>
      <c r="F518">
        <f>IF(AND(H517&lt;5000,cukier11[[#This Row],[czy_nastapiła_zmiana_mies]]=1),ROUNDUP((5000-H517)/1000,0),0)</f>
        <v>0</v>
      </c>
      <c r="G518">
        <f t="shared" si="8"/>
        <v>3406</v>
      </c>
      <c r="H518">
        <f>cukier11[[#This Row],[stan_magazynu]]-cukier11[[#This Row],[sprzedany_cukier]]</f>
        <v>2961</v>
      </c>
      <c r="I518" s="9">
        <f>cukier11[[#This Row],[stan_po_sprzedazy]]+cukier11[[#This Row],[ile_dokupic]]*1000</f>
        <v>2961</v>
      </c>
    </row>
    <row r="519" spans="1:9" x14ac:dyDescent="0.25">
      <c r="A519" s="1">
        <v>39319</v>
      </c>
      <c r="B519" t="s">
        <v>52</v>
      </c>
      <c r="C519">
        <v>93</v>
      </c>
      <c r="D519">
        <f>MONTH(cukier11[[#This Row],[data]])</f>
        <v>8</v>
      </c>
      <c r="E519">
        <f>IF(D520&lt;&gt;cukier11[[#This Row],[miesiac]],1,0)</f>
        <v>0</v>
      </c>
      <c r="F519">
        <f>IF(AND(H518&lt;5000,cukier11[[#This Row],[czy_nastapiła_zmiana_mies]]=1),ROUNDUP((5000-H518)/1000,0),0)</f>
        <v>0</v>
      </c>
      <c r="G519">
        <f t="shared" si="8"/>
        <v>2961</v>
      </c>
      <c r="H519">
        <f>cukier11[[#This Row],[stan_magazynu]]-cukier11[[#This Row],[sprzedany_cukier]]</f>
        <v>2868</v>
      </c>
      <c r="I519" s="9">
        <f>cukier11[[#This Row],[stan_po_sprzedazy]]+cukier11[[#This Row],[ile_dokupic]]*1000</f>
        <v>2868</v>
      </c>
    </row>
    <row r="520" spans="1:9" x14ac:dyDescent="0.25">
      <c r="A520" s="1">
        <v>39324</v>
      </c>
      <c r="B520" t="s">
        <v>22</v>
      </c>
      <c r="C520">
        <v>329</v>
      </c>
      <c r="D520">
        <f>MONTH(cukier11[[#This Row],[data]])</f>
        <v>8</v>
      </c>
      <c r="E520">
        <f>IF(D521&lt;&gt;cukier11[[#This Row],[miesiac]],1,0)</f>
        <v>1</v>
      </c>
      <c r="F520">
        <f>IF(AND(H519&lt;5000,cukier11[[#This Row],[czy_nastapiła_zmiana_mies]]=1),ROUNDUP((5000-H519)/1000,0),0)</f>
        <v>3</v>
      </c>
      <c r="G520">
        <f t="shared" si="8"/>
        <v>2868</v>
      </c>
      <c r="H520">
        <f>cukier11[[#This Row],[stan_magazynu]]-cukier11[[#This Row],[sprzedany_cukier]]</f>
        <v>2539</v>
      </c>
      <c r="I520" s="9">
        <f>cukier11[[#This Row],[stan_po_sprzedazy]]+cukier11[[#This Row],[ile_dokupic]]*1000</f>
        <v>5539</v>
      </c>
    </row>
    <row r="521" spans="1:9" x14ac:dyDescent="0.25">
      <c r="A521" s="1">
        <v>39326</v>
      </c>
      <c r="B521" t="s">
        <v>22</v>
      </c>
      <c r="C521">
        <v>217</v>
      </c>
      <c r="D521">
        <f>MONTH(cukier11[[#This Row],[data]])</f>
        <v>9</v>
      </c>
      <c r="E521">
        <f>IF(D522&lt;&gt;cukier11[[#This Row],[miesiac]],1,0)</f>
        <v>0</v>
      </c>
      <c r="F521">
        <f>IF(AND(H520&lt;5000,cukier11[[#This Row],[czy_nastapiła_zmiana_mies]]=1),ROUNDUP((5000-H520)/1000,0),0)</f>
        <v>0</v>
      </c>
      <c r="G521">
        <f t="shared" si="8"/>
        <v>5539</v>
      </c>
      <c r="H521">
        <f>cukier11[[#This Row],[stan_magazynu]]-cukier11[[#This Row],[sprzedany_cukier]]</f>
        <v>5322</v>
      </c>
      <c r="I521" s="9">
        <f>cukier11[[#This Row],[stan_po_sprzedazy]]+cukier11[[#This Row],[ile_dokupic]]*1000</f>
        <v>5322</v>
      </c>
    </row>
    <row r="522" spans="1:9" x14ac:dyDescent="0.25">
      <c r="A522" s="1">
        <v>39326</v>
      </c>
      <c r="B522" t="s">
        <v>18</v>
      </c>
      <c r="C522">
        <v>165</v>
      </c>
      <c r="D522">
        <f>MONTH(cukier11[[#This Row],[data]])</f>
        <v>9</v>
      </c>
      <c r="E522">
        <f>IF(D523&lt;&gt;cukier11[[#This Row],[miesiac]],1,0)</f>
        <v>0</v>
      </c>
      <c r="F522">
        <f>IF(AND(H521&lt;5000,cukier11[[#This Row],[czy_nastapiła_zmiana_mies]]=1),ROUNDUP((5000-H521)/1000,0),0)</f>
        <v>0</v>
      </c>
      <c r="G522">
        <f t="shared" si="8"/>
        <v>5322</v>
      </c>
      <c r="H522">
        <f>cukier11[[#This Row],[stan_magazynu]]-cukier11[[#This Row],[sprzedany_cukier]]</f>
        <v>5157</v>
      </c>
      <c r="I522" s="9">
        <f>cukier11[[#This Row],[stan_po_sprzedazy]]+cukier11[[#This Row],[ile_dokupic]]*1000</f>
        <v>5157</v>
      </c>
    </row>
    <row r="523" spans="1:9" x14ac:dyDescent="0.25">
      <c r="A523" s="1">
        <v>39327</v>
      </c>
      <c r="B523" t="s">
        <v>41</v>
      </c>
      <c r="C523">
        <v>20</v>
      </c>
      <c r="D523">
        <f>MONTH(cukier11[[#This Row],[data]])</f>
        <v>9</v>
      </c>
      <c r="E523">
        <f>IF(D524&lt;&gt;cukier11[[#This Row],[miesiac]],1,0)</f>
        <v>0</v>
      </c>
      <c r="F523">
        <f>IF(AND(H522&lt;5000,cukier11[[#This Row],[czy_nastapiła_zmiana_mies]]=1),ROUNDUP((5000-H522)/1000,0),0)</f>
        <v>0</v>
      </c>
      <c r="G523">
        <f t="shared" si="8"/>
        <v>5157</v>
      </c>
      <c r="H523">
        <f>cukier11[[#This Row],[stan_magazynu]]-cukier11[[#This Row],[sprzedany_cukier]]</f>
        <v>5137</v>
      </c>
      <c r="I523" s="9">
        <f>cukier11[[#This Row],[stan_po_sprzedazy]]+cukier11[[#This Row],[ile_dokupic]]*1000</f>
        <v>5137</v>
      </c>
    </row>
    <row r="524" spans="1:9" x14ac:dyDescent="0.25">
      <c r="A524" s="1">
        <v>39328</v>
      </c>
      <c r="B524" t="s">
        <v>33</v>
      </c>
      <c r="C524">
        <v>11</v>
      </c>
      <c r="D524">
        <f>MONTH(cukier11[[#This Row],[data]])</f>
        <v>9</v>
      </c>
      <c r="E524">
        <f>IF(D525&lt;&gt;cukier11[[#This Row],[miesiac]],1,0)</f>
        <v>0</v>
      </c>
      <c r="F524">
        <f>IF(AND(H523&lt;5000,cukier11[[#This Row],[czy_nastapiła_zmiana_mies]]=1),ROUNDUP((5000-H523)/1000,0),0)</f>
        <v>0</v>
      </c>
      <c r="G524">
        <f t="shared" si="8"/>
        <v>5137</v>
      </c>
      <c r="H524">
        <f>cukier11[[#This Row],[stan_magazynu]]-cukier11[[#This Row],[sprzedany_cukier]]</f>
        <v>5126</v>
      </c>
      <c r="I524" s="9">
        <f>cukier11[[#This Row],[stan_po_sprzedazy]]+cukier11[[#This Row],[ile_dokupic]]*1000</f>
        <v>5126</v>
      </c>
    </row>
    <row r="525" spans="1:9" x14ac:dyDescent="0.25">
      <c r="A525" s="1">
        <v>39329</v>
      </c>
      <c r="B525" t="s">
        <v>14</v>
      </c>
      <c r="C525">
        <v>294</v>
      </c>
      <c r="D525">
        <f>MONTH(cukier11[[#This Row],[data]])</f>
        <v>9</v>
      </c>
      <c r="E525">
        <f>IF(D526&lt;&gt;cukier11[[#This Row],[miesiac]],1,0)</f>
        <v>0</v>
      </c>
      <c r="F525">
        <f>IF(AND(H524&lt;5000,cukier11[[#This Row],[czy_nastapiła_zmiana_mies]]=1),ROUNDUP((5000-H524)/1000,0),0)</f>
        <v>0</v>
      </c>
      <c r="G525">
        <f t="shared" si="8"/>
        <v>5126</v>
      </c>
      <c r="H525">
        <f>cukier11[[#This Row],[stan_magazynu]]-cukier11[[#This Row],[sprzedany_cukier]]</f>
        <v>4832</v>
      </c>
      <c r="I525" s="9">
        <f>cukier11[[#This Row],[stan_po_sprzedazy]]+cukier11[[#This Row],[ile_dokupic]]*1000</f>
        <v>4832</v>
      </c>
    </row>
    <row r="526" spans="1:9" x14ac:dyDescent="0.25">
      <c r="A526" s="1">
        <v>39331</v>
      </c>
      <c r="B526" t="s">
        <v>12</v>
      </c>
      <c r="C526">
        <v>82</v>
      </c>
      <c r="D526">
        <f>MONTH(cukier11[[#This Row],[data]])</f>
        <v>9</v>
      </c>
      <c r="E526">
        <f>IF(D527&lt;&gt;cukier11[[#This Row],[miesiac]],1,0)</f>
        <v>0</v>
      </c>
      <c r="F526">
        <f>IF(AND(H525&lt;5000,cukier11[[#This Row],[czy_nastapiła_zmiana_mies]]=1),ROUNDUP((5000-H525)/1000,0),0)</f>
        <v>0</v>
      </c>
      <c r="G526">
        <f t="shared" si="8"/>
        <v>4832</v>
      </c>
      <c r="H526">
        <f>cukier11[[#This Row],[stan_magazynu]]-cukier11[[#This Row],[sprzedany_cukier]]</f>
        <v>4750</v>
      </c>
      <c r="I526" s="9">
        <f>cukier11[[#This Row],[stan_po_sprzedazy]]+cukier11[[#This Row],[ile_dokupic]]*1000</f>
        <v>4750</v>
      </c>
    </row>
    <row r="527" spans="1:9" x14ac:dyDescent="0.25">
      <c r="A527" s="1">
        <v>39331</v>
      </c>
      <c r="B527" t="s">
        <v>23</v>
      </c>
      <c r="C527">
        <v>186</v>
      </c>
      <c r="D527">
        <f>MONTH(cukier11[[#This Row],[data]])</f>
        <v>9</v>
      </c>
      <c r="E527">
        <f>IF(D528&lt;&gt;cukier11[[#This Row],[miesiac]],1,0)</f>
        <v>0</v>
      </c>
      <c r="F527">
        <f>IF(AND(H526&lt;5000,cukier11[[#This Row],[czy_nastapiła_zmiana_mies]]=1),ROUNDUP((5000-H526)/1000,0),0)</f>
        <v>0</v>
      </c>
      <c r="G527">
        <f t="shared" si="8"/>
        <v>4750</v>
      </c>
      <c r="H527">
        <f>cukier11[[#This Row],[stan_magazynu]]-cukier11[[#This Row],[sprzedany_cukier]]</f>
        <v>4564</v>
      </c>
      <c r="I527" s="9">
        <f>cukier11[[#This Row],[stan_po_sprzedazy]]+cukier11[[#This Row],[ile_dokupic]]*1000</f>
        <v>4564</v>
      </c>
    </row>
    <row r="528" spans="1:9" x14ac:dyDescent="0.25">
      <c r="A528" s="1">
        <v>39333</v>
      </c>
      <c r="B528" t="s">
        <v>10</v>
      </c>
      <c r="C528">
        <v>163</v>
      </c>
      <c r="D528">
        <f>MONTH(cukier11[[#This Row],[data]])</f>
        <v>9</v>
      </c>
      <c r="E528">
        <f>IF(D529&lt;&gt;cukier11[[#This Row],[miesiac]],1,0)</f>
        <v>0</v>
      </c>
      <c r="F528">
        <f>IF(AND(H527&lt;5000,cukier11[[#This Row],[czy_nastapiła_zmiana_mies]]=1),ROUNDUP((5000-H527)/1000,0),0)</f>
        <v>0</v>
      </c>
      <c r="G528">
        <f t="shared" si="8"/>
        <v>4564</v>
      </c>
      <c r="H528">
        <f>cukier11[[#This Row],[stan_magazynu]]-cukier11[[#This Row],[sprzedany_cukier]]</f>
        <v>4401</v>
      </c>
      <c r="I528" s="9">
        <f>cukier11[[#This Row],[stan_po_sprzedazy]]+cukier11[[#This Row],[ile_dokupic]]*1000</f>
        <v>4401</v>
      </c>
    </row>
    <row r="529" spans="1:9" x14ac:dyDescent="0.25">
      <c r="A529" s="1">
        <v>39333</v>
      </c>
      <c r="B529" t="s">
        <v>30</v>
      </c>
      <c r="C529">
        <v>148</v>
      </c>
      <c r="D529">
        <f>MONTH(cukier11[[#This Row],[data]])</f>
        <v>9</v>
      </c>
      <c r="E529">
        <f>IF(D530&lt;&gt;cukier11[[#This Row],[miesiac]],1,0)</f>
        <v>0</v>
      </c>
      <c r="F529">
        <f>IF(AND(H528&lt;5000,cukier11[[#This Row],[czy_nastapiła_zmiana_mies]]=1),ROUNDUP((5000-H528)/1000,0),0)</f>
        <v>0</v>
      </c>
      <c r="G529">
        <f t="shared" si="8"/>
        <v>4401</v>
      </c>
      <c r="H529">
        <f>cukier11[[#This Row],[stan_magazynu]]-cukier11[[#This Row],[sprzedany_cukier]]</f>
        <v>4253</v>
      </c>
      <c r="I529" s="9">
        <f>cukier11[[#This Row],[stan_po_sprzedazy]]+cukier11[[#This Row],[ile_dokupic]]*1000</f>
        <v>4253</v>
      </c>
    </row>
    <row r="530" spans="1:9" x14ac:dyDescent="0.25">
      <c r="A530" s="1">
        <v>39334</v>
      </c>
      <c r="B530" t="s">
        <v>40</v>
      </c>
      <c r="C530">
        <v>2</v>
      </c>
      <c r="D530">
        <f>MONTH(cukier11[[#This Row],[data]])</f>
        <v>9</v>
      </c>
      <c r="E530">
        <f>IF(D531&lt;&gt;cukier11[[#This Row],[miesiac]],1,0)</f>
        <v>0</v>
      </c>
      <c r="F530">
        <f>IF(AND(H529&lt;5000,cukier11[[#This Row],[czy_nastapiła_zmiana_mies]]=1),ROUNDUP((5000-H529)/1000,0),0)</f>
        <v>0</v>
      </c>
      <c r="G530">
        <f t="shared" si="8"/>
        <v>4253</v>
      </c>
      <c r="H530">
        <f>cukier11[[#This Row],[stan_magazynu]]-cukier11[[#This Row],[sprzedany_cukier]]</f>
        <v>4251</v>
      </c>
      <c r="I530" s="9">
        <f>cukier11[[#This Row],[stan_po_sprzedazy]]+cukier11[[#This Row],[ile_dokupic]]*1000</f>
        <v>4251</v>
      </c>
    </row>
    <row r="531" spans="1:9" x14ac:dyDescent="0.25">
      <c r="A531" s="1">
        <v>39336</v>
      </c>
      <c r="B531" t="s">
        <v>22</v>
      </c>
      <c r="C531">
        <v>343</v>
      </c>
      <c r="D531">
        <f>MONTH(cukier11[[#This Row],[data]])</f>
        <v>9</v>
      </c>
      <c r="E531">
        <f>IF(D532&lt;&gt;cukier11[[#This Row],[miesiac]],1,0)</f>
        <v>0</v>
      </c>
      <c r="F531">
        <f>IF(AND(H530&lt;5000,cukier11[[#This Row],[czy_nastapiła_zmiana_mies]]=1),ROUNDUP((5000-H530)/1000,0),0)</f>
        <v>0</v>
      </c>
      <c r="G531">
        <f t="shared" si="8"/>
        <v>4251</v>
      </c>
      <c r="H531">
        <f>cukier11[[#This Row],[stan_magazynu]]-cukier11[[#This Row],[sprzedany_cukier]]</f>
        <v>3908</v>
      </c>
      <c r="I531" s="9">
        <f>cukier11[[#This Row],[stan_po_sprzedazy]]+cukier11[[#This Row],[ile_dokupic]]*1000</f>
        <v>3908</v>
      </c>
    </row>
    <row r="532" spans="1:9" x14ac:dyDescent="0.25">
      <c r="A532" s="1">
        <v>39336</v>
      </c>
      <c r="B532" t="s">
        <v>71</v>
      </c>
      <c r="C532">
        <v>51</v>
      </c>
      <c r="D532">
        <f>MONTH(cukier11[[#This Row],[data]])</f>
        <v>9</v>
      </c>
      <c r="E532">
        <f>IF(D533&lt;&gt;cukier11[[#This Row],[miesiac]],1,0)</f>
        <v>0</v>
      </c>
      <c r="F532">
        <f>IF(AND(H531&lt;5000,cukier11[[#This Row],[czy_nastapiła_zmiana_mies]]=1),ROUNDUP((5000-H531)/1000,0),0)</f>
        <v>0</v>
      </c>
      <c r="G532">
        <f t="shared" si="8"/>
        <v>3908</v>
      </c>
      <c r="H532">
        <f>cukier11[[#This Row],[stan_magazynu]]-cukier11[[#This Row],[sprzedany_cukier]]</f>
        <v>3857</v>
      </c>
      <c r="I532" s="9">
        <f>cukier11[[#This Row],[stan_po_sprzedazy]]+cukier11[[#This Row],[ile_dokupic]]*1000</f>
        <v>3857</v>
      </c>
    </row>
    <row r="533" spans="1:9" x14ac:dyDescent="0.25">
      <c r="A533" s="1">
        <v>39339</v>
      </c>
      <c r="B533" t="s">
        <v>10</v>
      </c>
      <c r="C533">
        <v>164</v>
      </c>
      <c r="D533">
        <f>MONTH(cukier11[[#This Row],[data]])</f>
        <v>9</v>
      </c>
      <c r="E533">
        <f>IF(D534&lt;&gt;cukier11[[#This Row],[miesiac]],1,0)</f>
        <v>0</v>
      </c>
      <c r="F533">
        <f>IF(AND(H532&lt;5000,cukier11[[#This Row],[czy_nastapiła_zmiana_mies]]=1),ROUNDUP((5000-H532)/1000,0),0)</f>
        <v>0</v>
      </c>
      <c r="G533">
        <f t="shared" si="8"/>
        <v>3857</v>
      </c>
      <c r="H533">
        <f>cukier11[[#This Row],[stan_magazynu]]-cukier11[[#This Row],[sprzedany_cukier]]</f>
        <v>3693</v>
      </c>
      <c r="I533" s="9">
        <f>cukier11[[#This Row],[stan_po_sprzedazy]]+cukier11[[#This Row],[ile_dokupic]]*1000</f>
        <v>3693</v>
      </c>
    </row>
    <row r="534" spans="1:9" x14ac:dyDescent="0.25">
      <c r="A534" s="1">
        <v>39339</v>
      </c>
      <c r="B534" t="s">
        <v>4</v>
      </c>
      <c r="C534">
        <v>5</v>
      </c>
      <c r="D534">
        <f>MONTH(cukier11[[#This Row],[data]])</f>
        <v>9</v>
      </c>
      <c r="E534">
        <f>IF(D535&lt;&gt;cukier11[[#This Row],[miesiac]],1,0)</f>
        <v>0</v>
      </c>
      <c r="F534">
        <f>IF(AND(H533&lt;5000,cukier11[[#This Row],[czy_nastapiła_zmiana_mies]]=1),ROUNDUP((5000-H533)/1000,0),0)</f>
        <v>0</v>
      </c>
      <c r="G534">
        <f t="shared" si="8"/>
        <v>3693</v>
      </c>
      <c r="H534">
        <f>cukier11[[#This Row],[stan_magazynu]]-cukier11[[#This Row],[sprzedany_cukier]]</f>
        <v>3688</v>
      </c>
      <c r="I534" s="9">
        <f>cukier11[[#This Row],[stan_po_sprzedazy]]+cukier11[[#This Row],[ile_dokupic]]*1000</f>
        <v>3688</v>
      </c>
    </row>
    <row r="535" spans="1:9" x14ac:dyDescent="0.25">
      <c r="A535" s="1">
        <v>39340</v>
      </c>
      <c r="B535" t="s">
        <v>7</v>
      </c>
      <c r="C535">
        <v>260</v>
      </c>
      <c r="D535">
        <f>MONTH(cukier11[[#This Row],[data]])</f>
        <v>9</v>
      </c>
      <c r="E535">
        <f>IF(D536&lt;&gt;cukier11[[#This Row],[miesiac]],1,0)</f>
        <v>0</v>
      </c>
      <c r="F535">
        <f>IF(AND(H534&lt;5000,cukier11[[#This Row],[czy_nastapiła_zmiana_mies]]=1),ROUNDUP((5000-H534)/1000,0),0)</f>
        <v>0</v>
      </c>
      <c r="G535">
        <f t="shared" si="8"/>
        <v>3688</v>
      </c>
      <c r="H535">
        <f>cukier11[[#This Row],[stan_magazynu]]-cukier11[[#This Row],[sprzedany_cukier]]</f>
        <v>3428</v>
      </c>
      <c r="I535" s="9">
        <f>cukier11[[#This Row],[stan_po_sprzedazy]]+cukier11[[#This Row],[ile_dokupic]]*1000</f>
        <v>3428</v>
      </c>
    </row>
    <row r="536" spans="1:9" x14ac:dyDescent="0.25">
      <c r="A536" s="1">
        <v>39340</v>
      </c>
      <c r="B536" t="s">
        <v>9</v>
      </c>
      <c r="C536">
        <v>415</v>
      </c>
      <c r="D536">
        <f>MONTH(cukier11[[#This Row],[data]])</f>
        <v>9</v>
      </c>
      <c r="E536">
        <f>IF(D537&lt;&gt;cukier11[[#This Row],[miesiac]],1,0)</f>
        <v>0</v>
      </c>
      <c r="F536">
        <f>IF(AND(H535&lt;5000,cukier11[[#This Row],[czy_nastapiła_zmiana_mies]]=1),ROUNDUP((5000-H535)/1000,0),0)</f>
        <v>0</v>
      </c>
      <c r="G536">
        <f t="shared" si="8"/>
        <v>3428</v>
      </c>
      <c r="H536">
        <f>cukier11[[#This Row],[stan_magazynu]]-cukier11[[#This Row],[sprzedany_cukier]]</f>
        <v>3013</v>
      </c>
      <c r="I536" s="9">
        <f>cukier11[[#This Row],[stan_po_sprzedazy]]+cukier11[[#This Row],[ile_dokupic]]*1000</f>
        <v>3013</v>
      </c>
    </row>
    <row r="537" spans="1:9" x14ac:dyDescent="0.25">
      <c r="A537" s="1">
        <v>39341</v>
      </c>
      <c r="B537" t="s">
        <v>9</v>
      </c>
      <c r="C537">
        <v>467</v>
      </c>
      <c r="D537">
        <f>MONTH(cukier11[[#This Row],[data]])</f>
        <v>9</v>
      </c>
      <c r="E537">
        <f>IF(D538&lt;&gt;cukier11[[#This Row],[miesiac]],1,0)</f>
        <v>0</v>
      </c>
      <c r="F537">
        <f>IF(AND(H536&lt;5000,cukier11[[#This Row],[czy_nastapiła_zmiana_mies]]=1),ROUNDUP((5000-H536)/1000,0),0)</f>
        <v>0</v>
      </c>
      <c r="G537">
        <f t="shared" si="8"/>
        <v>3013</v>
      </c>
      <c r="H537">
        <f>cukier11[[#This Row],[stan_magazynu]]-cukier11[[#This Row],[sprzedany_cukier]]</f>
        <v>2546</v>
      </c>
      <c r="I537" s="9">
        <f>cukier11[[#This Row],[stan_po_sprzedazy]]+cukier11[[#This Row],[ile_dokupic]]*1000</f>
        <v>2546</v>
      </c>
    </row>
    <row r="538" spans="1:9" x14ac:dyDescent="0.25">
      <c r="A538" s="1">
        <v>39341</v>
      </c>
      <c r="B538" t="s">
        <v>61</v>
      </c>
      <c r="C538">
        <v>43</v>
      </c>
      <c r="D538">
        <f>MONTH(cukier11[[#This Row],[data]])</f>
        <v>9</v>
      </c>
      <c r="E538">
        <f>IF(D539&lt;&gt;cukier11[[#This Row],[miesiac]],1,0)</f>
        <v>0</v>
      </c>
      <c r="F538">
        <f>IF(AND(H537&lt;5000,cukier11[[#This Row],[czy_nastapiła_zmiana_mies]]=1),ROUNDUP((5000-H537)/1000,0),0)</f>
        <v>0</v>
      </c>
      <c r="G538">
        <f t="shared" si="8"/>
        <v>2546</v>
      </c>
      <c r="H538">
        <f>cukier11[[#This Row],[stan_magazynu]]-cukier11[[#This Row],[sprzedany_cukier]]</f>
        <v>2503</v>
      </c>
      <c r="I538" s="9">
        <f>cukier11[[#This Row],[stan_po_sprzedazy]]+cukier11[[#This Row],[ile_dokupic]]*1000</f>
        <v>2503</v>
      </c>
    </row>
    <row r="539" spans="1:9" x14ac:dyDescent="0.25">
      <c r="A539" s="1">
        <v>39342</v>
      </c>
      <c r="B539" t="s">
        <v>8</v>
      </c>
      <c r="C539">
        <v>40</v>
      </c>
      <c r="D539">
        <f>MONTH(cukier11[[#This Row],[data]])</f>
        <v>9</v>
      </c>
      <c r="E539">
        <f>IF(D540&lt;&gt;cukier11[[#This Row],[miesiac]],1,0)</f>
        <v>0</v>
      </c>
      <c r="F539">
        <f>IF(AND(H538&lt;5000,cukier11[[#This Row],[czy_nastapiła_zmiana_mies]]=1),ROUNDUP((5000-H538)/1000,0),0)</f>
        <v>0</v>
      </c>
      <c r="G539">
        <f t="shared" si="8"/>
        <v>2503</v>
      </c>
      <c r="H539">
        <f>cukier11[[#This Row],[stan_magazynu]]-cukier11[[#This Row],[sprzedany_cukier]]</f>
        <v>2463</v>
      </c>
      <c r="I539" s="9">
        <f>cukier11[[#This Row],[stan_po_sprzedazy]]+cukier11[[#This Row],[ile_dokupic]]*1000</f>
        <v>2463</v>
      </c>
    </row>
    <row r="540" spans="1:9" x14ac:dyDescent="0.25">
      <c r="A540" s="1">
        <v>39344</v>
      </c>
      <c r="B540" t="s">
        <v>147</v>
      </c>
      <c r="C540">
        <v>10</v>
      </c>
      <c r="D540">
        <f>MONTH(cukier11[[#This Row],[data]])</f>
        <v>9</v>
      </c>
      <c r="E540">
        <f>IF(D541&lt;&gt;cukier11[[#This Row],[miesiac]],1,0)</f>
        <v>0</v>
      </c>
      <c r="F540">
        <f>IF(AND(H539&lt;5000,cukier11[[#This Row],[czy_nastapiła_zmiana_mies]]=1),ROUNDUP((5000-H539)/1000,0),0)</f>
        <v>0</v>
      </c>
      <c r="G540">
        <f t="shared" si="8"/>
        <v>2463</v>
      </c>
      <c r="H540">
        <f>cukier11[[#This Row],[stan_magazynu]]-cukier11[[#This Row],[sprzedany_cukier]]</f>
        <v>2453</v>
      </c>
      <c r="I540" s="9">
        <f>cukier11[[#This Row],[stan_po_sprzedazy]]+cukier11[[#This Row],[ile_dokupic]]*1000</f>
        <v>2453</v>
      </c>
    </row>
    <row r="541" spans="1:9" x14ac:dyDescent="0.25">
      <c r="A541" s="1">
        <v>39345</v>
      </c>
      <c r="B541" t="s">
        <v>9</v>
      </c>
      <c r="C541">
        <v>197</v>
      </c>
      <c r="D541">
        <f>MONTH(cukier11[[#This Row],[data]])</f>
        <v>9</v>
      </c>
      <c r="E541">
        <f>IF(D542&lt;&gt;cukier11[[#This Row],[miesiac]],1,0)</f>
        <v>0</v>
      </c>
      <c r="F541">
        <f>IF(AND(H540&lt;5000,cukier11[[#This Row],[czy_nastapiła_zmiana_mies]]=1),ROUNDUP((5000-H540)/1000,0),0)</f>
        <v>0</v>
      </c>
      <c r="G541">
        <f t="shared" si="8"/>
        <v>2453</v>
      </c>
      <c r="H541">
        <f>cukier11[[#This Row],[stan_magazynu]]-cukier11[[#This Row],[sprzedany_cukier]]</f>
        <v>2256</v>
      </c>
      <c r="I541" s="9">
        <f>cukier11[[#This Row],[stan_po_sprzedazy]]+cukier11[[#This Row],[ile_dokupic]]*1000</f>
        <v>2256</v>
      </c>
    </row>
    <row r="542" spans="1:9" x14ac:dyDescent="0.25">
      <c r="A542" s="1">
        <v>39348</v>
      </c>
      <c r="B542" t="s">
        <v>78</v>
      </c>
      <c r="C542">
        <v>145</v>
      </c>
      <c r="D542">
        <f>MONTH(cukier11[[#This Row],[data]])</f>
        <v>9</v>
      </c>
      <c r="E542">
        <f>IF(D543&lt;&gt;cukier11[[#This Row],[miesiac]],1,0)</f>
        <v>0</v>
      </c>
      <c r="F542">
        <f>IF(AND(H541&lt;5000,cukier11[[#This Row],[czy_nastapiła_zmiana_mies]]=1),ROUNDUP((5000-H541)/1000,0),0)</f>
        <v>0</v>
      </c>
      <c r="G542">
        <f t="shared" si="8"/>
        <v>2256</v>
      </c>
      <c r="H542">
        <f>cukier11[[#This Row],[stan_magazynu]]-cukier11[[#This Row],[sprzedany_cukier]]</f>
        <v>2111</v>
      </c>
      <c r="I542" s="9">
        <f>cukier11[[#This Row],[stan_po_sprzedazy]]+cukier11[[#This Row],[ile_dokupic]]*1000</f>
        <v>2111</v>
      </c>
    </row>
    <row r="543" spans="1:9" x14ac:dyDescent="0.25">
      <c r="A543" s="1">
        <v>39349</v>
      </c>
      <c r="B543" t="s">
        <v>55</v>
      </c>
      <c r="C543">
        <v>105</v>
      </c>
      <c r="D543">
        <f>MONTH(cukier11[[#This Row],[data]])</f>
        <v>9</v>
      </c>
      <c r="E543">
        <f>IF(D544&lt;&gt;cukier11[[#This Row],[miesiac]],1,0)</f>
        <v>0</v>
      </c>
      <c r="F543">
        <f>IF(AND(H542&lt;5000,cukier11[[#This Row],[czy_nastapiła_zmiana_mies]]=1),ROUNDUP((5000-H542)/1000,0),0)</f>
        <v>0</v>
      </c>
      <c r="G543">
        <f t="shared" si="8"/>
        <v>2111</v>
      </c>
      <c r="H543">
        <f>cukier11[[#This Row],[stan_magazynu]]-cukier11[[#This Row],[sprzedany_cukier]]</f>
        <v>2006</v>
      </c>
      <c r="I543" s="9">
        <f>cukier11[[#This Row],[stan_po_sprzedazy]]+cukier11[[#This Row],[ile_dokupic]]*1000</f>
        <v>2006</v>
      </c>
    </row>
    <row r="544" spans="1:9" x14ac:dyDescent="0.25">
      <c r="A544" s="1">
        <v>39350</v>
      </c>
      <c r="B544" t="s">
        <v>37</v>
      </c>
      <c r="C544">
        <v>33</v>
      </c>
      <c r="D544">
        <f>MONTH(cukier11[[#This Row],[data]])</f>
        <v>9</v>
      </c>
      <c r="E544">
        <f>IF(D545&lt;&gt;cukier11[[#This Row],[miesiac]],1,0)</f>
        <v>0</v>
      </c>
      <c r="F544">
        <f>IF(AND(H543&lt;5000,cukier11[[#This Row],[czy_nastapiła_zmiana_mies]]=1),ROUNDUP((5000-H543)/1000,0),0)</f>
        <v>0</v>
      </c>
      <c r="G544">
        <f t="shared" si="8"/>
        <v>2006</v>
      </c>
      <c r="H544">
        <f>cukier11[[#This Row],[stan_magazynu]]-cukier11[[#This Row],[sprzedany_cukier]]</f>
        <v>1973</v>
      </c>
      <c r="I544" s="9">
        <f>cukier11[[#This Row],[stan_po_sprzedazy]]+cukier11[[#This Row],[ile_dokupic]]*1000</f>
        <v>1973</v>
      </c>
    </row>
    <row r="545" spans="1:9" x14ac:dyDescent="0.25">
      <c r="A545" s="1">
        <v>39350</v>
      </c>
      <c r="B545" t="s">
        <v>120</v>
      </c>
      <c r="C545">
        <v>78</v>
      </c>
      <c r="D545">
        <f>MONTH(cukier11[[#This Row],[data]])</f>
        <v>9</v>
      </c>
      <c r="E545">
        <f>IF(D546&lt;&gt;cukier11[[#This Row],[miesiac]],1,0)</f>
        <v>0</v>
      </c>
      <c r="F545">
        <f>IF(AND(H544&lt;5000,cukier11[[#This Row],[czy_nastapiła_zmiana_mies]]=1),ROUNDUP((5000-H544)/1000,0),0)</f>
        <v>0</v>
      </c>
      <c r="G545">
        <f t="shared" si="8"/>
        <v>1973</v>
      </c>
      <c r="H545">
        <f>cukier11[[#This Row],[stan_magazynu]]-cukier11[[#This Row],[sprzedany_cukier]]</f>
        <v>1895</v>
      </c>
      <c r="I545" s="9">
        <f>cukier11[[#This Row],[stan_po_sprzedazy]]+cukier11[[#This Row],[ile_dokupic]]*1000</f>
        <v>1895</v>
      </c>
    </row>
    <row r="546" spans="1:9" x14ac:dyDescent="0.25">
      <c r="A546" s="1">
        <v>39351</v>
      </c>
      <c r="B546" t="s">
        <v>9</v>
      </c>
      <c r="C546">
        <v>466</v>
      </c>
      <c r="D546">
        <f>MONTH(cukier11[[#This Row],[data]])</f>
        <v>9</v>
      </c>
      <c r="E546">
        <f>IF(D547&lt;&gt;cukier11[[#This Row],[miesiac]],1,0)</f>
        <v>0</v>
      </c>
      <c r="F546">
        <f>IF(AND(H545&lt;5000,cukier11[[#This Row],[czy_nastapiła_zmiana_mies]]=1),ROUNDUP((5000-H545)/1000,0),0)</f>
        <v>0</v>
      </c>
      <c r="G546">
        <f t="shared" si="8"/>
        <v>1895</v>
      </c>
      <c r="H546">
        <f>cukier11[[#This Row],[stan_magazynu]]-cukier11[[#This Row],[sprzedany_cukier]]</f>
        <v>1429</v>
      </c>
      <c r="I546" s="9">
        <f>cukier11[[#This Row],[stan_po_sprzedazy]]+cukier11[[#This Row],[ile_dokupic]]*1000</f>
        <v>1429</v>
      </c>
    </row>
    <row r="547" spans="1:9" x14ac:dyDescent="0.25">
      <c r="A547" s="1">
        <v>39354</v>
      </c>
      <c r="B547" t="s">
        <v>45</v>
      </c>
      <c r="C547">
        <v>476</v>
      </c>
      <c r="D547">
        <f>MONTH(cukier11[[#This Row],[data]])</f>
        <v>9</v>
      </c>
      <c r="E547">
        <f>IF(D548&lt;&gt;cukier11[[#This Row],[miesiac]],1,0)</f>
        <v>1</v>
      </c>
      <c r="F547">
        <f>IF(AND(H546&lt;5000,cukier11[[#This Row],[czy_nastapiła_zmiana_mies]]=1),ROUNDUP((5000-H546)/1000,0),0)</f>
        <v>4</v>
      </c>
      <c r="G547">
        <f t="shared" si="8"/>
        <v>1429</v>
      </c>
      <c r="H547">
        <f>cukier11[[#This Row],[stan_magazynu]]-cukier11[[#This Row],[sprzedany_cukier]]</f>
        <v>953</v>
      </c>
      <c r="I547" s="9">
        <f>cukier11[[#This Row],[stan_po_sprzedazy]]+cukier11[[#This Row],[ile_dokupic]]*1000</f>
        <v>4953</v>
      </c>
    </row>
    <row r="548" spans="1:9" x14ac:dyDescent="0.25">
      <c r="A548" s="1">
        <v>39357</v>
      </c>
      <c r="B548" t="s">
        <v>19</v>
      </c>
      <c r="C548">
        <v>151</v>
      </c>
      <c r="D548">
        <f>MONTH(cukier11[[#This Row],[data]])</f>
        <v>10</v>
      </c>
      <c r="E548">
        <f>IF(D549&lt;&gt;cukier11[[#This Row],[miesiac]],1,0)</f>
        <v>0</v>
      </c>
      <c r="F548">
        <f>IF(AND(H547&lt;5000,cukier11[[#This Row],[czy_nastapiła_zmiana_mies]]=1),ROUNDUP((5000-H547)/1000,0),0)</f>
        <v>0</v>
      </c>
      <c r="G548">
        <f t="shared" si="8"/>
        <v>4953</v>
      </c>
      <c r="H548">
        <f>cukier11[[#This Row],[stan_magazynu]]-cukier11[[#This Row],[sprzedany_cukier]]</f>
        <v>4802</v>
      </c>
      <c r="I548" s="9">
        <f>cukier11[[#This Row],[stan_po_sprzedazy]]+cukier11[[#This Row],[ile_dokupic]]*1000</f>
        <v>4802</v>
      </c>
    </row>
    <row r="549" spans="1:9" x14ac:dyDescent="0.25">
      <c r="A549" s="1">
        <v>39357</v>
      </c>
      <c r="B549" t="s">
        <v>148</v>
      </c>
      <c r="C549">
        <v>17</v>
      </c>
      <c r="D549">
        <f>MONTH(cukier11[[#This Row],[data]])</f>
        <v>10</v>
      </c>
      <c r="E549">
        <f>IF(D550&lt;&gt;cukier11[[#This Row],[miesiac]],1,0)</f>
        <v>0</v>
      </c>
      <c r="F549">
        <f>IF(AND(H548&lt;5000,cukier11[[#This Row],[czy_nastapiła_zmiana_mies]]=1),ROUNDUP((5000-H548)/1000,0),0)</f>
        <v>0</v>
      </c>
      <c r="G549">
        <f t="shared" si="8"/>
        <v>4802</v>
      </c>
      <c r="H549">
        <f>cukier11[[#This Row],[stan_magazynu]]-cukier11[[#This Row],[sprzedany_cukier]]</f>
        <v>4785</v>
      </c>
      <c r="I549" s="9">
        <f>cukier11[[#This Row],[stan_po_sprzedazy]]+cukier11[[#This Row],[ile_dokupic]]*1000</f>
        <v>4785</v>
      </c>
    </row>
    <row r="550" spans="1:9" x14ac:dyDescent="0.25">
      <c r="A550" s="1">
        <v>39361</v>
      </c>
      <c r="B550" t="s">
        <v>149</v>
      </c>
      <c r="C550">
        <v>4</v>
      </c>
      <c r="D550">
        <f>MONTH(cukier11[[#This Row],[data]])</f>
        <v>10</v>
      </c>
      <c r="E550">
        <f>IF(D551&lt;&gt;cukier11[[#This Row],[miesiac]],1,0)</f>
        <v>0</v>
      </c>
      <c r="F550">
        <f>IF(AND(H549&lt;5000,cukier11[[#This Row],[czy_nastapiła_zmiana_mies]]=1),ROUNDUP((5000-H549)/1000,0),0)</f>
        <v>0</v>
      </c>
      <c r="G550">
        <f t="shared" si="8"/>
        <v>4785</v>
      </c>
      <c r="H550">
        <f>cukier11[[#This Row],[stan_magazynu]]-cukier11[[#This Row],[sprzedany_cukier]]</f>
        <v>4781</v>
      </c>
      <c r="I550" s="9">
        <f>cukier11[[#This Row],[stan_po_sprzedazy]]+cukier11[[#This Row],[ile_dokupic]]*1000</f>
        <v>4781</v>
      </c>
    </row>
    <row r="551" spans="1:9" x14ac:dyDescent="0.25">
      <c r="A551" s="1">
        <v>39371</v>
      </c>
      <c r="B551" t="s">
        <v>5</v>
      </c>
      <c r="C551">
        <v>131</v>
      </c>
      <c r="D551">
        <f>MONTH(cukier11[[#This Row],[data]])</f>
        <v>10</v>
      </c>
      <c r="E551">
        <f>IF(D552&lt;&gt;cukier11[[#This Row],[miesiac]],1,0)</f>
        <v>0</v>
      </c>
      <c r="F551">
        <f>IF(AND(H550&lt;5000,cukier11[[#This Row],[czy_nastapiła_zmiana_mies]]=1),ROUNDUP((5000-H550)/1000,0),0)</f>
        <v>0</v>
      </c>
      <c r="G551">
        <f t="shared" si="8"/>
        <v>4781</v>
      </c>
      <c r="H551">
        <f>cukier11[[#This Row],[stan_magazynu]]-cukier11[[#This Row],[sprzedany_cukier]]</f>
        <v>4650</v>
      </c>
      <c r="I551" s="9">
        <f>cukier11[[#This Row],[stan_po_sprzedazy]]+cukier11[[#This Row],[ile_dokupic]]*1000</f>
        <v>4650</v>
      </c>
    </row>
    <row r="552" spans="1:9" x14ac:dyDescent="0.25">
      <c r="A552" s="1">
        <v>39371</v>
      </c>
      <c r="B552" t="s">
        <v>24</v>
      </c>
      <c r="C552">
        <v>369</v>
      </c>
      <c r="D552">
        <f>MONTH(cukier11[[#This Row],[data]])</f>
        <v>10</v>
      </c>
      <c r="E552">
        <f>IF(D553&lt;&gt;cukier11[[#This Row],[miesiac]],1,0)</f>
        <v>0</v>
      </c>
      <c r="F552">
        <f>IF(AND(H551&lt;5000,cukier11[[#This Row],[czy_nastapiła_zmiana_mies]]=1),ROUNDUP((5000-H551)/1000,0),0)</f>
        <v>0</v>
      </c>
      <c r="G552">
        <f t="shared" si="8"/>
        <v>4650</v>
      </c>
      <c r="H552">
        <f>cukier11[[#This Row],[stan_magazynu]]-cukier11[[#This Row],[sprzedany_cukier]]</f>
        <v>4281</v>
      </c>
      <c r="I552" s="9">
        <f>cukier11[[#This Row],[stan_po_sprzedazy]]+cukier11[[#This Row],[ile_dokupic]]*1000</f>
        <v>4281</v>
      </c>
    </row>
    <row r="553" spans="1:9" x14ac:dyDescent="0.25">
      <c r="A553" s="1">
        <v>39371</v>
      </c>
      <c r="B553" t="s">
        <v>131</v>
      </c>
      <c r="C553">
        <v>60</v>
      </c>
      <c r="D553">
        <f>MONTH(cukier11[[#This Row],[data]])</f>
        <v>10</v>
      </c>
      <c r="E553">
        <f>IF(D554&lt;&gt;cukier11[[#This Row],[miesiac]],1,0)</f>
        <v>0</v>
      </c>
      <c r="F553">
        <f>IF(AND(H552&lt;5000,cukier11[[#This Row],[czy_nastapiła_zmiana_mies]]=1),ROUNDUP((5000-H552)/1000,0),0)</f>
        <v>0</v>
      </c>
      <c r="G553">
        <f t="shared" si="8"/>
        <v>4281</v>
      </c>
      <c r="H553">
        <f>cukier11[[#This Row],[stan_magazynu]]-cukier11[[#This Row],[sprzedany_cukier]]</f>
        <v>4221</v>
      </c>
      <c r="I553" s="9">
        <f>cukier11[[#This Row],[stan_po_sprzedazy]]+cukier11[[#This Row],[ile_dokupic]]*1000</f>
        <v>4221</v>
      </c>
    </row>
    <row r="554" spans="1:9" x14ac:dyDescent="0.25">
      <c r="A554" s="1">
        <v>39375</v>
      </c>
      <c r="B554" t="s">
        <v>17</v>
      </c>
      <c r="C554">
        <v>405</v>
      </c>
      <c r="D554">
        <f>MONTH(cukier11[[#This Row],[data]])</f>
        <v>10</v>
      </c>
      <c r="E554">
        <f>IF(D555&lt;&gt;cukier11[[#This Row],[miesiac]],1,0)</f>
        <v>0</v>
      </c>
      <c r="F554">
        <f>IF(AND(H553&lt;5000,cukier11[[#This Row],[czy_nastapiła_zmiana_mies]]=1),ROUNDUP((5000-H553)/1000,0),0)</f>
        <v>0</v>
      </c>
      <c r="G554">
        <f t="shared" si="8"/>
        <v>4221</v>
      </c>
      <c r="H554">
        <f>cukier11[[#This Row],[stan_magazynu]]-cukier11[[#This Row],[sprzedany_cukier]]</f>
        <v>3816</v>
      </c>
      <c r="I554" s="9">
        <f>cukier11[[#This Row],[stan_po_sprzedazy]]+cukier11[[#This Row],[ile_dokupic]]*1000</f>
        <v>3816</v>
      </c>
    </row>
    <row r="555" spans="1:9" x14ac:dyDescent="0.25">
      <c r="A555" s="1">
        <v>39376</v>
      </c>
      <c r="B555" t="s">
        <v>21</v>
      </c>
      <c r="C555">
        <v>3</v>
      </c>
      <c r="D555">
        <f>MONTH(cukier11[[#This Row],[data]])</f>
        <v>10</v>
      </c>
      <c r="E555">
        <f>IF(D556&lt;&gt;cukier11[[#This Row],[miesiac]],1,0)</f>
        <v>0</v>
      </c>
      <c r="F555">
        <f>IF(AND(H554&lt;5000,cukier11[[#This Row],[czy_nastapiła_zmiana_mies]]=1),ROUNDUP((5000-H554)/1000,0),0)</f>
        <v>0</v>
      </c>
      <c r="G555">
        <f t="shared" si="8"/>
        <v>3816</v>
      </c>
      <c r="H555">
        <f>cukier11[[#This Row],[stan_magazynu]]-cukier11[[#This Row],[sprzedany_cukier]]</f>
        <v>3813</v>
      </c>
      <c r="I555" s="9">
        <f>cukier11[[#This Row],[stan_po_sprzedazy]]+cukier11[[#This Row],[ile_dokupic]]*1000</f>
        <v>3813</v>
      </c>
    </row>
    <row r="556" spans="1:9" x14ac:dyDescent="0.25">
      <c r="A556" s="1">
        <v>39380</v>
      </c>
      <c r="B556" t="s">
        <v>78</v>
      </c>
      <c r="C556">
        <v>35</v>
      </c>
      <c r="D556">
        <f>MONTH(cukier11[[#This Row],[data]])</f>
        <v>10</v>
      </c>
      <c r="E556">
        <f>IF(D557&lt;&gt;cukier11[[#This Row],[miesiac]],1,0)</f>
        <v>0</v>
      </c>
      <c r="F556">
        <f>IF(AND(H555&lt;5000,cukier11[[#This Row],[czy_nastapiła_zmiana_mies]]=1),ROUNDUP((5000-H555)/1000,0),0)</f>
        <v>0</v>
      </c>
      <c r="G556">
        <f t="shared" si="8"/>
        <v>3813</v>
      </c>
      <c r="H556">
        <f>cukier11[[#This Row],[stan_magazynu]]-cukier11[[#This Row],[sprzedany_cukier]]</f>
        <v>3778</v>
      </c>
      <c r="I556" s="9">
        <f>cukier11[[#This Row],[stan_po_sprzedazy]]+cukier11[[#This Row],[ile_dokupic]]*1000</f>
        <v>3778</v>
      </c>
    </row>
    <row r="557" spans="1:9" x14ac:dyDescent="0.25">
      <c r="A557" s="1">
        <v>39382</v>
      </c>
      <c r="B557" t="s">
        <v>50</v>
      </c>
      <c r="C557">
        <v>444</v>
      </c>
      <c r="D557">
        <f>MONTH(cukier11[[#This Row],[data]])</f>
        <v>10</v>
      </c>
      <c r="E557">
        <f>IF(D558&lt;&gt;cukier11[[#This Row],[miesiac]],1,0)</f>
        <v>0</v>
      </c>
      <c r="F557">
        <f>IF(AND(H556&lt;5000,cukier11[[#This Row],[czy_nastapiła_zmiana_mies]]=1),ROUNDUP((5000-H556)/1000,0),0)</f>
        <v>0</v>
      </c>
      <c r="G557">
        <f t="shared" si="8"/>
        <v>3778</v>
      </c>
      <c r="H557">
        <f>cukier11[[#This Row],[stan_magazynu]]-cukier11[[#This Row],[sprzedany_cukier]]</f>
        <v>3334</v>
      </c>
      <c r="I557" s="9">
        <f>cukier11[[#This Row],[stan_po_sprzedazy]]+cukier11[[#This Row],[ile_dokupic]]*1000</f>
        <v>3334</v>
      </c>
    </row>
    <row r="558" spans="1:9" x14ac:dyDescent="0.25">
      <c r="A558" s="1">
        <v>39382</v>
      </c>
      <c r="B558" t="s">
        <v>45</v>
      </c>
      <c r="C558">
        <v>424</v>
      </c>
      <c r="D558">
        <f>MONTH(cukier11[[#This Row],[data]])</f>
        <v>10</v>
      </c>
      <c r="E558">
        <f>IF(D559&lt;&gt;cukier11[[#This Row],[miesiac]],1,0)</f>
        <v>0</v>
      </c>
      <c r="F558">
        <f>IF(AND(H557&lt;5000,cukier11[[#This Row],[czy_nastapiła_zmiana_mies]]=1),ROUNDUP((5000-H557)/1000,0),0)</f>
        <v>0</v>
      </c>
      <c r="G558">
        <f t="shared" si="8"/>
        <v>3334</v>
      </c>
      <c r="H558">
        <f>cukier11[[#This Row],[stan_magazynu]]-cukier11[[#This Row],[sprzedany_cukier]]</f>
        <v>2910</v>
      </c>
      <c r="I558" s="9">
        <f>cukier11[[#This Row],[stan_po_sprzedazy]]+cukier11[[#This Row],[ile_dokupic]]*1000</f>
        <v>2910</v>
      </c>
    </row>
    <row r="559" spans="1:9" x14ac:dyDescent="0.25">
      <c r="A559" s="1">
        <v>39382</v>
      </c>
      <c r="B559" t="s">
        <v>150</v>
      </c>
      <c r="C559">
        <v>2</v>
      </c>
      <c r="D559">
        <f>MONTH(cukier11[[#This Row],[data]])</f>
        <v>10</v>
      </c>
      <c r="E559">
        <f>IF(D560&lt;&gt;cukier11[[#This Row],[miesiac]],1,0)</f>
        <v>0</v>
      </c>
      <c r="F559">
        <f>IF(AND(H558&lt;5000,cukier11[[#This Row],[czy_nastapiła_zmiana_mies]]=1),ROUNDUP((5000-H558)/1000,0),0)</f>
        <v>0</v>
      </c>
      <c r="G559">
        <f t="shared" si="8"/>
        <v>2910</v>
      </c>
      <c r="H559">
        <f>cukier11[[#This Row],[stan_magazynu]]-cukier11[[#This Row],[sprzedany_cukier]]</f>
        <v>2908</v>
      </c>
      <c r="I559" s="9">
        <f>cukier11[[#This Row],[stan_po_sprzedazy]]+cukier11[[#This Row],[ile_dokupic]]*1000</f>
        <v>2908</v>
      </c>
    </row>
    <row r="560" spans="1:9" x14ac:dyDescent="0.25">
      <c r="A560" s="1">
        <v>39385</v>
      </c>
      <c r="B560" t="s">
        <v>17</v>
      </c>
      <c r="C560">
        <v>480</v>
      </c>
      <c r="D560">
        <f>MONTH(cukier11[[#This Row],[data]])</f>
        <v>10</v>
      </c>
      <c r="E560">
        <f>IF(D561&lt;&gt;cukier11[[#This Row],[miesiac]],1,0)</f>
        <v>0</v>
      </c>
      <c r="F560">
        <f>IF(AND(H559&lt;5000,cukier11[[#This Row],[czy_nastapiła_zmiana_mies]]=1),ROUNDUP((5000-H559)/1000,0),0)</f>
        <v>0</v>
      </c>
      <c r="G560">
        <f t="shared" si="8"/>
        <v>2908</v>
      </c>
      <c r="H560">
        <f>cukier11[[#This Row],[stan_magazynu]]-cukier11[[#This Row],[sprzedany_cukier]]</f>
        <v>2428</v>
      </c>
      <c r="I560" s="9">
        <f>cukier11[[#This Row],[stan_po_sprzedazy]]+cukier11[[#This Row],[ile_dokupic]]*1000</f>
        <v>2428</v>
      </c>
    </row>
    <row r="561" spans="1:9" x14ac:dyDescent="0.25">
      <c r="A561" s="1">
        <v>39386</v>
      </c>
      <c r="B561" t="s">
        <v>37</v>
      </c>
      <c r="C561">
        <v>65</v>
      </c>
      <c r="D561">
        <f>MONTH(cukier11[[#This Row],[data]])</f>
        <v>10</v>
      </c>
      <c r="E561">
        <f>IF(D562&lt;&gt;cukier11[[#This Row],[miesiac]],1,0)</f>
        <v>1</v>
      </c>
      <c r="F561">
        <f>IF(AND(H560&lt;5000,cukier11[[#This Row],[czy_nastapiła_zmiana_mies]]=1),ROUNDUP((5000-H560)/1000,0),0)</f>
        <v>3</v>
      </c>
      <c r="G561">
        <f t="shared" si="8"/>
        <v>2428</v>
      </c>
      <c r="H561">
        <f>cukier11[[#This Row],[stan_magazynu]]-cukier11[[#This Row],[sprzedany_cukier]]</f>
        <v>2363</v>
      </c>
      <c r="I561" s="9">
        <f>cukier11[[#This Row],[stan_po_sprzedazy]]+cukier11[[#This Row],[ile_dokupic]]*1000</f>
        <v>5363</v>
      </c>
    </row>
    <row r="562" spans="1:9" x14ac:dyDescent="0.25">
      <c r="A562" s="1">
        <v>39388</v>
      </c>
      <c r="B562" t="s">
        <v>89</v>
      </c>
      <c r="C562">
        <v>8</v>
      </c>
      <c r="D562">
        <f>MONTH(cukier11[[#This Row],[data]])</f>
        <v>11</v>
      </c>
      <c r="E562">
        <f>IF(D563&lt;&gt;cukier11[[#This Row],[miesiac]],1,0)</f>
        <v>0</v>
      </c>
      <c r="F562">
        <f>IF(AND(H561&lt;5000,cukier11[[#This Row],[czy_nastapiła_zmiana_mies]]=1),ROUNDUP((5000-H561)/1000,0),0)</f>
        <v>0</v>
      </c>
      <c r="G562">
        <f t="shared" si="8"/>
        <v>5363</v>
      </c>
      <c r="H562">
        <f>cukier11[[#This Row],[stan_magazynu]]-cukier11[[#This Row],[sprzedany_cukier]]</f>
        <v>5355</v>
      </c>
      <c r="I562" s="9">
        <f>cukier11[[#This Row],[stan_po_sprzedazy]]+cukier11[[#This Row],[ile_dokupic]]*1000</f>
        <v>5355</v>
      </c>
    </row>
    <row r="563" spans="1:9" x14ac:dyDescent="0.25">
      <c r="A563" s="1">
        <v>39389</v>
      </c>
      <c r="B563" t="s">
        <v>52</v>
      </c>
      <c r="C563">
        <v>52</v>
      </c>
      <c r="D563">
        <f>MONTH(cukier11[[#This Row],[data]])</f>
        <v>11</v>
      </c>
      <c r="E563">
        <f>IF(D564&lt;&gt;cukier11[[#This Row],[miesiac]],1,0)</f>
        <v>0</v>
      </c>
      <c r="F563">
        <f>IF(AND(H562&lt;5000,cukier11[[#This Row],[czy_nastapiła_zmiana_mies]]=1),ROUNDUP((5000-H562)/1000,0),0)</f>
        <v>0</v>
      </c>
      <c r="G563">
        <f t="shared" si="8"/>
        <v>5355</v>
      </c>
      <c r="H563">
        <f>cukier11[[#This Row],[stan_magazynu]]-cukier11[[#This Row],[sprzedany_cukier]]</f>
        <v>5303</v>
      </c>
      <c r="I563" s="9">
        <f>cukier11[[#This Row],[stan_po_sprzedazy]]+cukier11[[#This Row],[ile_dokupic]]*1000</f>
        <v>5303</v>
      </c>
    </row>
    <row r="564" spans="1:9" x14ac:dyDescent="0.25">
      <c r="A564" s="1">
        <v>39392</v>
      </c>
      <c r="B564" t="s">
        <v>40</v>
      </c>
      <c r="C564">
        <v>8</v>
      </c>
      <c r="D564">
        <f>MONTH(cukier11[[#This Row],[data]])</f>
        <v>11</v>
      </c>
      <c r="E564">
        <f>IF(D565&lt;&gt;cukier11[[#This Row],[miesiac]],1,0)</f>
        <v>0</v>
      </c>
      <c r="F564">
        <f>IF(AND(H563&lt;5000,cukier11[[#This Row],[czy_nastapiła_zmiana_mies]]=1),ROUNDUP((5000-H563)/1000,0),0)</f>
        <v>0</v>
      </c>
      <c r="G564">
        <f t="shared" si="8"/>
        <v>5303</v>
      </c>
      <c r="H564">
        <f>cukier11[[#This Row],[stan_magazynu]]-cukier11[[#This Row],[sprzedany_cukier]]</f>
        <v>5295</v>
      </c>
      <c r="I564" s="9">
        <f>cukier11[[#This Row],[stan_po_sprzedazy]]+cukier11[[#This Row],[ile_dokupic]]*1000</f>
        <v>5295</v>
      </c>
    </row>
    <row r="565" spans="1:9" x14ac:dyDescent="0.25">
      <c r="A565" s="1">
        <v>39393</v>
      </c>
      <c r="B565" t="s">
        <v>7</v>
      </c>
      <c r="C565">
        <v>143</v>
      </c>
      <c r="D565">
        <f>MONTH(cukier11[[#This Row],[data]])</f>
        <v>11</v>
      </c>
      <c r="E565">
        <f>IF(D566&lt;&gt;cukier11[[#This Row],[miesiac]],1,0)</f>
        <v>0</v>
      </c>
      <c r="F565">
        <f>IF(AND(H564&lt;5000,cukier11[[#This Row],[czy_nastapiła_zmiana_mies]]=1),ROUNDUP((5000-H564)/1000,0),0)</f>
        <v>0</v>
      </c>
      <c r="G565">
        <f t="shared" si="8"/>
        <v>5295</v>
      </c>
      <c r="H565">
        <f>cukier11[[#This Row],[stan_magazynu]]-cukier11[[#This Row],[sprzedany_cukier]]</f>
        <v>5152</v>
      </c>
      <c r="I565" s="9">
        <f>cukier11[[#This Row],[stan_po_sprzedazy]]+cukier11[[#This Row],[ile_dokupic]]*1000</f>
        <v>5152</v>
      </c>
    </row>
    <row r="566" spans="1:9" x14ac:dyDescent="0.25">
      <c r="A566" s="1">
        <v>39394</v>
      </c>
      <c r="B566" t="s">
        <v>18</v>
      </c>
      <c r="C566">
        <v>20</v>
      </c>
      <c r="D566">
        <f>MONTH(cukier11[[#This Row],[data]])</f>
        <v>11</v>
      </c>
      <c r="E566">
        <f>IF(D567&lt;&gt;cukier11[[#This Row],[miesiac]],1,0)</f>
        <v>0</v>
      </c>
      <c r="F566">
        <f>IF(AND(H565&lt;5000,cukier11[[#This Row],[czy_nastapiła_zmiana_mies]]=1),ROUNDUP((5000-H565)/1000,0),0)</f>
        <v>0</v>
      </c>
      <c r="G566">
        <f t="shared" si="8"/>
        <v>5152</v>
      </c>
      <c r="H566">
        <f>cukier11[[#This Row],[stan_magazynu]]-cukier11[[#This Row],[sprzedany_cukier]]</f>
        <v>5132</v>
      </c>
      <c r="I566" s="9">
        <f>cukier11[[#This Row],[stan_po_sprzedazy]]+cukier11[[#This Row],[ile_dokupic]]*1000</f>
        <v>5132</v>
      </c>
    </row>
    <row r="567" spans="1:9" x14ac:dyDescent="0.25">
      <c r="A567" s="1">
        <v>39397</v>
      </c>
      <c r="B567" t="s">
        <v>14</v>
      </c>
      <c r="C567">
        <v>396</v>
      </c>
      <c r="D567">
        <f>MONTH(cukier11[[#This Row],[data]])</f>
        <v>11</v>
      </c>
      <c r="E567">
        <f>IF(D568&lt;&gt;cukier11[[#This Row],[miesiac]],1,0)</f>
        <v>0</v>
      </c>
      <c r="F567">
        <f>IF(AND(H566&lt;5000,cukier11[[#This Row],[czy_nastapiła_zmiana_mies]]=1),ROUNDUP((5000-H566)/1000,0),0)</f>
        <v>0</v>
      </c>
      <c r="G567">
        <f t="shared" si="8"/>
        <v>5132</v>
      </c>
      <c r="H567">
        <f>cukier11[[#This Row],[stan_magazynu]]-cukier11[[#This Row],[sprzedany_cukier]]</f>
        <v>4736</v>
      </c>
      <c r="I567" s="9">
        <f>cukier11[[#This Row],[stan_po_sprzedazy]]+cukier11[[#This Row],[ile_dokupic]]*1000</f>
        <v>4736</v>
      </c>
    </row>
    <row r="568" spans="1:9" x14ac:dyDescent="0.25">
      <c r="A568" s="1">
        <v>39398</v>
      </c>
      <c r="B568" t="s">
        <v>69</v>
      </c>
      <c r="C568">
        <v>168</v>
      </c>
      <c r="D568">
        <f>MONTH(cukier11[[#This Row],[data]])</f>
        <v>11</v>
      </c>
      <c r="E568">
        <f>IF(D569&lt;&gt;cukier11[[#This Row],[miesiac]],1,0)</f>
        <v>0</v>
      </c>
      <c r="F568">
        <f>IF(AND(H567&lt;5000,cukier11[[#This Row],[czy_nastapiła_zmiana_mies]]=1),ROUNDUP((5000-H567)/1000,0),0)</f>
        <v>0</v>
      </c>
      <c r="G568">
        <f t="shared" si="8"/>
        <v>4736</v>
      </c>
      <c r="H568">
        <f>cukier11[[#This Row],[stan_magazynu]]-cukier11[[#This Row],[sprzedany_cukier]]</f>
        <v>4568</v>
      </c>
      <c r="I568" s="9">
        <f>cukier11[[#This Row],[stan_po_sprzedazy]]+cukier11[[#This Row],[ile_dokupic]]*1000</f>
        <v>4568</v>
      </c>
    </row>
    <row r="569" spans="1:9" x14ac:dyDescent="0.25">
      <c r="A569" s="1">
        <v>39399</v>
      </c>
      <c r="B569" t="s">
        <v>69</v>
      </c>
      <c r="C569">
        <v>69</v>
      </c>
      <c r="D569">
        <f>MONTH(cukier11[[#This Row],[data]])</f>
        <v>11</v>
      </c>
      <c r="E569">
        <f>IF(D570&lt;&gt;cukier11[[#This Row],[miesiac]],1,0)</f>
        <v>0</v>
      </c>
      <c r="F569">
        <f>IF(AND(H568&lt;5000,cukier11[[#This Row],[czy_nastapiła_zmiana_mies]]=1),ROUNDUP((5000-H568)/1000,0),0)</f>
        <v>0</v>
      </c>
      <c r="G569">
        <f t="shared" si="8"/>
        <v>4568</v>
      </c>
      <c r="H569">
        <f>cukier11[[#This Row],[stan_magazynu]]-cukier11[[#This Row],[sprzedany_cukier]]</f>
        <v>4499</v>
      </c>
      <c r="I569" s="9">
        <f>cukier11[[#This Row],[stan_po_sprzedazy]]+cukier11[[#This Row],[ile_dokupic]]*1000</f>
        <v>4499</v>
      </c>
    </row>
    <row r="570" spans="1:9" x14ac:dyDescent="0.25">
      <c r="A570" s="1">
        <v>39407</v>
      </c>
      <c r="B570" t="s">
        <v>30</v>
      </c>
      <c r="C570">
        <v>99</v>
      </c>
      <c r="D570">
        <f>MONTH(cukier11[[#This Row],[data]])</f>
        <v>11</v>
      </c>
      <c r="E570">
        <f>IF(D571&lt;&gt;cukier11[[#This Row],[miesiac]],1,0)</f>
        <v>0</v>
      </c>
      <c r="F570">
        <f>IF(AND(H569&lt;5000,cukier11[[#This Row],[czy_nastapiła_zmiana_mies]]=1),ROUNDUP((5000-H569)/1000,0),0)</f>
        <v>0</v>
      </c>
      <c r="G570">
        <f t="shared" si="8"/>
        <v>4499</v>
      </c>
      <c r="H570">
        <f>cukier11[[#This Row],[stan_magazynu]]-cukier11[[#This Row],[sprzedany_cukier]]</f>
        <v>4400</v>
      </c>
      <c r="I570" s="9">
        <f>cukier11[[#This Row],[stan_po_sprzedazy]]+cukier11[[#This Row],[ile_dokupic]]*1000</f>
        <v>4400</v>
      </c>
    </row>
    <row r="571" spans="1:9" x14ac:dyDescent="0.25">
      <c r="A571" s="1">
        <v>39407</v>
      </c>
      <c r="B571" t="s">
        <v>123</v>
      </c>
      <c r="C571">
        <v>57</v>
      </c>
      <c r="D571">
        <f>MONTH(cukier11[[#This Row],[data]])</f>
        <v>11</v>
      </c>
      <c r="E571">
        <f>IF(D572&lt;&gt;cukier11[[#This Row],[miesiac]],1,0)</f>
        <v>0</v>
      </c>
      <c r="F571">
        <f>IF(AND(H570&lt;5000,cukier11[[#This Row],[czy_nastapiła_zmiana_mies]]=1),ROUNDUP((5000-H570)/1000,0),0)</f>
        <v>0</v>
      </c>
      <c r="G571">
        <f t="shared" si="8"/>
        <v>4400</v>
      </c>
      <c r="H571">
        <f>cukier11[[#This Row],[stan_magazynu]]-cukier11[[#This Row],[sprzedany_cukier]]</f>
        <v>4343</v>
      </c>
      <c r="I571" s="9">
        <f>cukier11[[#This Row],[stan_po_sprzedazy]]+cukier11[[#This Row],[ile_dokupic]]*1000</f>
        <v>4343</v>
      </c>
    </row>
    <row r="572" spans="1:9" x14ac:dyDescent="0.25">
      <c r="A572" s="1">
        <v>39408</v>
      </c>
      <c r="B572" t="s">
        <v>6</v>
      </c>
      <c r="C572">
        <v>103</v>
      </c>
      <c r="D572">
        <f>MONTH(cukier11[[#This Row],[data]])</f>
        <v>11</v>
      </c>
      <c r="E572">
        <f>IF(D573&lt;&gt;cukier11[[#This Row],[miesiac]],1,0)</f>
        <v>0</v>
      </c>
      <c r="F572">
        <f>IF(AND(H571&lt;5000,cukier11[[#This Row],[czy_nastapiła_zmiana_mies]]=1),ROUNDUP((5000-H571)/1000,0),0)</f>
        <v>0</v>
      </c>
      <c r="G572">
        <f t="shared" si="8"/>
        <v>4343</v>
      </c>
      <c r="H572">
        <f>cukier11[[#This Row],[stan_magazynu]]-cukier11[[#This Row],[sprzedany_cukier]]</f>
        <v>4240</v>
      </c>
      <c r="I572" s="9">
        <f>cukier11[[#This Row],[stan_po_sprzedazy]]+cukier11[[#This Row],[ile_dokupic]]*1000</f>
        <v>4240</v>
      </c>
    </row>
    <row r="573" spans="1:9" x14ac:dyDescent="0.25">
      <c r="A573" s="1">
        <v>39409</v>
      </c>
      <c r="B573" t="s">
        <v>124</v>
      </c>
      <c r="C573">
        <v>2</v>
      </c>
      <c r="D573">
        <f>MONTH(cukier11[[#This Row],[data]])</f>
        <v>11</v>
      </c>
      <c r="E573">
        <f>IF(D574&lt;&gt;cukier11[[#This Row],[miesiac]],1,0)</f>
        <v>0</v>
      </c>
      <c r="F573">
        <f>IF(AND(H572&lt;5000,cukier11[[#This Row],[czy_nastapiła_zmiana_mies]]=1),ROUNDUP((5000-H572)/1000,0),0)</f>
        <v>0</v>
      </c>
      <c r="G573">
        <f t="shared" si="8"/>
        <v>4240</v>
      </c>
      <c r="H573">
        <f>cukier11[[#This Row],[stan_magazynu]]-cukier11[[#This Row],[sprzedany_cukier]]</f>
        <v>4238</v>
      </c>
      <c r="I573" s="9">
        <f>cukier11[[#This Row],[stan_po_sprzedazy]]+cukier11[[#This Row],[ile_dokupic]]*1000</f>
        <v>4238</v>
      </c>
    </row>
    <row r="574" spans="1:9" x14ac:dyDescent="0.25">
      <c r="A574" s="1">
        <v>39412</v>
      </c>
      <c r="B574" t="s">
        <v>52</v>
      </c>
      <c r="C574">
        <v>88</v>
      </c>
      <c r="D574">
        <f>MONTH(cukier11[[#This Row],[data]])</f>
        <v>11</v>
      </c>
      <c r="E574">
        <f>IF(D575&lt;&gt;cukier11[[#This Row],[miesiac]],1,0)</f>
        <v>0</v>
      </c>
      <c r="F574">
        <f>IF(AND(H573&lt;5000,cukier11[[#This Row],[czy_nastapiła_zmiana_mies]]=1),ROUNDUP((5000-H573)/1000,0),0)</f>
        <v>0</v>
      </c>
      <c r="G574">
        <f t="shared" si="8"/>
        <v>4238</v>
      </c>
      <c r="H574">
        <f>cukier11[[#This Row],[stan_magazynu]]-cukier11[[#This Row],[sprzedany_cukier]]</f>
        <v>4150</v>
      </c>
      <c r="I574" s="9">
        <f>cukier11[[#This Row],[stan_po_sprzedazy]]+cukier11[[#This Row],[ile_dokupic]]*1000</f>
        <v>4150</v>
      </c>
    </row>
    <row r="575" spans="1:9" x14ac:dyDescent="0.25">
      <c r="A575" s="1">
        <v>39414</v>
      </c>
      <c r="B575" t="s">
        <v>37</v>
      </c>
      <c r="C575">
        <v>85</v>
      </c>
      <c r="D575">
        <f>MONTH(cukier11[[#This Row],[data]])</f>
        <v>11</v>
      </c>
      <c r="E575">
        <f>IF(D576&lt;&gt;cukier11[[#This Row],[miesiac]],1,0)</f>
        <v>0</v>
      </c>
      <c r="F575">
        <f>IF(AND(H574&lt;5000,cukier11[[#This Row],[czy_nastapiła_zmiana_mies]]=1),ROUNDUP((5000-H574)/1000,0),0)</f>
        <v>0</v>
      </c>
      <c r="G575">
        <f t="shared" si="8"/>
        <v>4150</v>
      </c>
      <c r="H575">
        <f>cukier11[[#This Row],[stan_magazynu]]-cukier11[[#This Row],[sprzedany_cukier]]</f>
        <v>4065</v>
      </c>
      <c r="I575" s="9">
        <f>cukier11[[#This Row],[stan_po_sprzedazy]]+cukier11[[#This Row],[ile_dokupic]]*1000</f>
        <v>4065</v>
      </c>
    </row>
    <row r="576" spans="1:9" x14ac:dyDescent="0.25">
      <c r="A576" s="1">
        <v>39414</v>
      </c>
      <c r="B576" t="s">
        <v>7</v>
      </c>
      <c r="C576">
        <v>216</v>
      </c>
      <c r="D576">
        <f>MONTH(cukier11[[#This Row],[data]])</f>
        <v>11</v>
      </c>
      <c r="E576">
        <f>IF(D577&lt;&gt;cukier11[[#This Row],[miesiac]],1,0)</f>
        <v>0</v>
      </c>
      <c r="F576">
        <f>IF(AND(H575&lt;5000,cukier11[[#This Row],[czy_nastapiła_zmiana_mies]]=1),ROUNDUP((5000-H575)/1000,0),0)</f>
        <v>0</v>
      </c>
      <c r="G576">
        <f t="shared" si="8"/>
        <v>4065</v>
      </c>
      <c r="H576">
        <f>cukier11[[#This Row],[stan_magazynu]]-cukier11[[#This Row],[sprzedany_cukier]]</f>
        <v>3849</v>
      </c>
      <c r="I576" s="9">
        <f>cukier11[[#This Row],[stan_po_sprzedazy]]+cukier11[[#This Row],[ile_dokupic]]*1000</f>
        <v>3849</v>
      </c>
    </row>
    <row r="577" spans="1:9" x14ac:dyDescent="0.25">
      <c r="A577" s="1">
        <v>39416</v>
      </c>
      <c r="B577" t="s">
        <v>7</v>
      </c>
      <c r="C577">
        <v>140</v>
      </c>
      <c r="D577">
        <f>MONTH(cukier11[[#This Row],[data]])</f>
        <v>11</v>
      </c>
      <c r="E577">
        <f>IF(D578&lt;&gt;cukier11[[#This Row],[miesiac]],1,0)</f>
        <v>1</v>
      </c>
      <c r="F577">
        <f>IF(AND(H576&lt;5000,cukier11[[#This Row],[czy_nastapiła_zmiana_mies]]=1),ROUNDUP((5000-H576)/1000,0),0)</f>
        <v>2</v>
      </c>
      <c r="G577">
        <f t="shared" si="8"/>
        <v>3849</v>
      </c>
      <c r="H577">
        <f>cukier11[[#This Row],[stan_magazynu]]-cukier11[[#This Row],[sprzedany_cukier]]</f>
        <v>3709</v>
      </c>
      <c r="I577" s="9">
        <f>cukier11[[#This Row],[stan_po_sprzedazy]]+cukier11[[#This Row],[ile_dokupic]]*1000</f>
        <v>5709</v>
      </c>
    </row>
    <row r="578" spans="1:9" x14ac:dyDescent="0.25">
      <c r="A578" s="1">
        <v>39421</v>
      </c>
      <c r="B578" t="s">
        <v>50</v>
      </c>
      <c r="C578">
        <v>377</v>
      </c>
      <c r="D578">
        <f>MONTH(cukier11[[#This Row],[data]])</f>
        <v>12</v>
      </c>
      <c r="E578">
        <f>IF(D579&lt;&gt;cukier11[[#This Row],[miesiac]],1,0)</f>
        <v>0</v>
      </c>
      <c r="F578">
        <f>IF(AND(H577&lt;5000,cukier11[[#This Row],[czy_nastapiła_zmiana_mies]]=1),ROUNDUP((5000-H577)/1000,0),0)</f>
        <v>0</v>
      </c>
      <c r="G578">
        <f t="shared" si="8"/>
        <v>5709</v>
      </c>
      <c r="H578">
        <f>cukier11[[#This Row],[stan_magazynu]]-cukier11[[#This Row],[sprzedany_cukier]]</f>
        <v>5332</v>
      </c>
      <c r="I578" s="9">
        <f>cukier11[[#This Row],[stan_po_sprzedazy]]+cukier11[[#This Row],[ile_dokupic]]*1000</f>
        <v>5332</v>
      </c>
    </row>
    <row r="579" spans="1:9" x14ac:dyDescent="0.25">
      <c r="A579" s="1">
        <v>39423</v>
      </c>
      <c r="B579" t="s">
        <v>35</v>
      </c>
      <c r="C579">
        <v>89</v>
      </c>
      <c r="D579">
        <f>MONTH(cukier11[[#This Row],[data]])</f>
        <v>12</v>
      </c>
      <c r="E579">
        <f>IF(D580&lt;&gt;cukier11[[#This Row],[miesiac]],1,0)</f>
        <v>0</v>
      </c>
      <c r="F579">
        <f>IF(AND(H578&lt;5000,cukier11[[#This Row],[czy_nastapiła_zmiana_mies]]=1),ROUNDUP((5000-H578)/1000,0),0)</f>
        <v>0</v>
      </c>
      <c r="G579">
        <f t="shared" si="8"/>
        <v>5332</v>
      </c>
      <c r="H579">
        <f>cukier11[[#This Row],[stan_magazynu]]-cukier11[[#This Row],[sprzedany_cukier]]</f>
        <v>5243</v>
      </c>
      <c r="I579" s="9">
        <f>cukier11[[#This Row],[stan_po_sprzedazy]]+cukier11[[#This Row],[ile_dokupic]]*1000</f>
        <v>5243</v>
      </c>
    </row>
    <row r="580" spans="1:9" x14ac:dyDescent="0.25">
      <c r="A580" s="1">
        <v>39425</v>
      </c>
      <c r="B580" t="s">
        <v>12</v>
      </c>
      <c r="C580">
        <v>181</v>
      </c>
      <c r="D580">
        <f>MONTH(cukier11[[#This Row],[data]])</f>
        <v>12</v>
      </c>
      <c r="E580">
        <f>IF(D581&lt;&gt;cukier11[[#This Row],[miesiac]],1,0)</f>
        <v>0</v>
      </c>
      <c r="F580">
        <f>IF(AND(H579&lt;5000,cukier11[[#This Row],[czy_nastapiła_zmiana_mies]]=1),ROUNDUP((5000-H579)/1000,0),0)</f>
        <v>0</v>
      </c>
      <c r="G580">
        <f t="shared" ref="G580:G643" si="9">I579</f>
        <v>5243</v>
      </c>
      <c r="H580">
        <f>cukier11[[#This Row],[stan_magazynu]]-cukier11[[#This Row],[sprzedany_cukier]]</f>
        <v>5062</v>
      </c>
      <c r="I580" s="9">
        <f>cukier11[[#This Row],[stan_po_sprzedazy]]+cukier11[[#This Row],[ile_dokupic]]*1000</f>
        <v>5062</v>
      </c>
    </row>
    <row r="581" spans="1:9" x14ac:dyDescent="0.25">
      <c r="A581" s="1">
        <v>39427</v>
      </c>
      <c r="B581" t="s">
        <v>69</v>
      </c>
      <c r="C581">
        <v>131</v>
      </c>
      <c r="D581">
        <f>MONTH(cukier11[[#This Row],[data]])</f>
        <v>12</v>
      </c>
      <c r="E581">
        <f>IF(D582&lt;&gt;cukier11[[#This Row],[miesiac]],1,0)</f>
        <v>0</v>
      </c>
      <c r="F581">
        <f>IF(AND(H580&lt;5000,cukier11[[#This Row],[czy_nastapiła_zmiana_mies]]=1),ROUNDUP((5000-H580)/1000,0),0)</f>
        <v>0</v>
      </c>
      <c r="G581">
        <f t="shared" si="9"/>
        <v>5062</v>
      </c>
      <c r="H581">
        <f>cukier11[[#This Row],[stan_magazynu]]-cukier11[[#This Row],[sprzedany_cukier]]</f>
        <v>4931</v>
      </c>
      <c r="I581" s="9">
        <f>cukier11[[#This Row],[stan_po_sprzedazy]]+cukier11[[#This Row],[ile_dokupic]]*1000</f>
        <v>4931</v>
      </c>
    </row>
    <row r="582" spans="1:9" x14ac:dyDescent="0.25">
      <c r="A582" s="1">
        <v>39427</v>
      </c>
      <c r="B582" t="s">
        <v>80</v>
      </c>
      <c r="C582">
        <v>43</v>
      </c>
      <c r="D582">
        <f>MONTH(cukier11[[#This Row],[data]])</f>
        <v>12</v>
      </c>
      <c r="E582">
        <f>IF(D583&lt;&gt;cukier11[[#This Row],[miesiac]],1,0)</f>
        <v>0</v>
      </c>
      <c r="F582">
        <f>IF(AND(H581&lt;5000,cukier11[[#This Row],[czy_nastapiła_zmiana_mies]]=1),ROUNDUP((5000-H581)/1000,0),0)</f>
        <v>0</v>
      </c>
      <c r="G582">
        <f t="shared" si="9"/>
        <v>4931</v>
      </c>
      <c r="H582">
        <f>cukier11[[#This Row],[stan_magazynu]]-cukier11[[#This Row],[sprzedany_cukier]]</f>
        <v>4888</v>
      </c>
      <c r="I582" s="9">
        <f>cukier11[[#This Row],[stan_po_sprzedazy]]+cukier11[[#This Row],[ile_dokupic]]*1000</f>
        <v>4888</v>
      </c>
    </row>
    <row r="583" spans="1:9" x14ac:dyDescent="0.25">
      <c r="A583" s="1">
        <v>39428</v>
      </c>
      <c r="B583" t="s">
        <v>30</v>
      </c>
      <c r="C583">
        <v>166</v>
      </c>
      <c r="D583">
        <f>MONTH(cukier11[[#This Row],[data]])</f>
        <v>12</v>
      </c>
      <c r="E583">
        <f>IF(D584&lt;&gt;cukier11[[#This Row],[miesiac]],1,0)</f>
        <v>0</v>
      </c>
      <c r="F583">
        <f>IF(AND(H582&lt;5000,cukier11[[#This Row],[czy_nastapiła_zmiana_mies]]=1),ROUNDUP((5000-H582)/1000,0),0)</f>
        <v>0</v>
      </c>
      <c r="G583">
        <f t="shared" si="9"/>
        <v>4888</v>
      </c>
      <c r="H583">
        <f>cukier11[[#This Row],[stan_magazynu]]-cukier11[[#This Row],[sprzedany_cukier]]</f>
        <v>4722</v>
      </c>
      <c r="I583" s="9">
        <f>cukier11[[#This Row],[stan_po_sprzedazy]]+cukier11[[#This Row],[ile_dokupic]]*1000</f>
        <v>4722</v>
      </c>
    </row>
    <row r="584" spans="1:9" x14ac:dyDescent="0.25">
      <c r="A584" s="1">
        <v>39428</v>
      </c>
      <c r="B584" t="s">
        <v>78</v>
      </c>
      <c r="C584">
        <v>192</v>
      </c>
      <c r="D584">
        <f>MONTH(cukier11[[#This Row],[data]])</f>
        <v>12</v>
      </c>
      <c r="E584">
        <f>IF(D585&lt;&gt;cukier11[[#This Row],[miesiac]],1,0)</f>
        <v>0</v>
      </c>
      <c r="F584">
        <f>IF(AND(H583&lt;5000,cukier11[[#This Row],[czy_nastapiła_zmiana_mies]]=1),ROUNDUP((5000-H583)/1000,0),0)</f>
        <v>0</v>
      </c>
      <c r="G584">
        <f t="shared" si="9"/>
        <v>4722</v>
      </c>
      <c r="H584">
        <f>cukier11[[#This Row],[stan_magazynu]]-cukier11[[#This Row],[sprzedany_cukier]]</f>
        <v>4530</v>
      </c>
      <c r="I584" s="9">
        <f>cukier11[[#This Row],[stan_po_sprzedazy]]+cukier11[[#This Row],[ile_dokupic]]*1000</f>
        <v>4530</v>
      </c>
    </row>
    <row r="585" spans="1:9" x14ac:dyDescent="0.25">
      <c r="A585" s="1">
        <v>39430</v>
      </c>
      <c r="B585" t="s">
        <v>16</v>
      </c>
      <c r="C585">
        <v>7</v>
      </c>
      <c r="D585">
        <f>MONTH(cukier11[[#This Row],[data]])</f>
        <v>12</v>
      </c>
      <c r="E585">
        <f>IF(D586&lt;&gt;cukier11[[#This Row],[miesiac]],1,0)</f>
        <v>0</v>
      </c>
      <c r="F585">
        <f>IF(AND(H584&lt;5000,cukier11[[#This Row],[czy_nastapiła_zmiana_mies]]=1),ROUNDUP((5000-H584)/1000,0),0)</f>
        <v>0</v>
      </c>
      <c r="G585">
        <f t="shared" si="9"/>
        <v>4530</v>
      </c>
      <c r="H585">
        <f>cukier11[[#This Row],[stan_magazynu]]-cukier11[[#This Row],[sprzedany_cukier]]</f>
        <v>4523</v>
      </c>
      <c r="I585" s="9">
        <f>cukier11[[#This Row],[stan_po_sprzedazy]]+cukier11[[#This Row],[ile_dokupic]]*1000</f>
        <v>4523</v>
      </c>
    </row>
    <row r="586" spans="1:9" x14ac:dyDescent="0.25">
      <c r="A586" s="1">
        <v>39432</v>
      </c>
      <c r="B586" t="s">
        <v>53</v>
      </c>
      <c r="C586">
        <v>11</v>
      </c>
      <c r="D586">
        <f>MONTH(cukier11[[#This Row],[data]])</f>
        <v>12</v>
      </c>
      <c r="E586">
        <f>IF(D587&lt;&gt;cukier11[[#This Row],[miesiac]],1,0)</f>
        <v>0</v>
      </c>
      <c r="F586">
        <f>IF(AND(H585&lt;5000,cukier11[[#This Row],[czy_nastapiła_zmiana_mies]]=1),ROUNDUP((5000-H585)/1000,0),0)</f>
        <v>0</v>
      </c>
      <c r="G586">
        <f t="shared" si="9"/>
        <v>4523</v>
      </c>
      <c r="H586">
        <f>cukier11[[#This Row],[stan_magazynu]]-cukier11[[#This Row],[sprzedany_cukier]]</f>
        <v>4512</v>
      </c>
      <c r="I586" s="9">
        <f>cukier11[[#This Row],[stan_po_sprzedazy]]+cukier11[[#This Row],[ile_dokupic]]*1000</f>
        <v>4512</v>
      </c>
    </row>
    <row r="587" spans="1:9" x14ac:dyDescent="0.25">
      <c r="A587" s="1">
        <v>39432</v>
      </c>
      <c r="B587" t="s">
        <v>19</v>
      </c>
      <c r="C587">
        <v>146</v>
      </c>
      <c r="D587">
        <f>MONTH(cukier11[[#This Row],[data]])</f>
        <v>12</v>
      </c>
      <c r="E587">
        <f>IF(D588&lt;&gt;cukier11[[#This Row],[miesiac]],1,0)</f>
        <v>0</v>
      </c>
      <c r="F587">
        <f>IF(AND(H586&lt;5000,cukier11[[#This Row],[czy_nastapiła_zmiana_mies]]=1),ROUNDUP((5000-H586)/1000,0),0)</f>
        <v>0</v>
      </c>
      <c r="G587">
        <f t="shared" si="9"/>
        <v>4512</v>
      </c>
      <c r="H587">
        <f>cukier11[[#This Row],[stan_magazynu]]-cukier11[[#This Row],[sprzedany_cukier]]</f>
        <v>4366</v>
      </c>
      <c r="I587" s="9">
        <f>cukier11[[#This Row],[stan_po_sprzedazy]]+cukier11[[#This Row],[ile_dokupic]]*1000</f>
        <v>4366</v>
      </c>
    </row>
    <row r="588" spans="1:9" x14ac:dyDescent="0.25">
      <c r="A588" s="1">
        <v>39433</v>
      </c>
      <c r="B588" t="s">
        <v>45</v>
      </c>
      <c r="C588">
        <v>138</v>
      </c>
      <c r="D588">
        <f>MONTH(cukier11[[#This Row],[data]])</f>
        <v>12</v>
      </c>
      <c r="E588">
        <f>IF(D589&lt;&gt;cukier11[[#This Row],[miesiac]],1,0)</f>
        <v>0</v>
      </c>
      <c r="F588">
        <f>IF(AND(H587&lt;5000,cukier11[[#This Row],[czy_nastapiła_zmiana_mies]]=1),ROUNDUP((5000-H587)/1000,0),0)</f>
        <v>0</v>
      </c>
      <c r="G588">
        <f t="shared" si="9"/>
        <v>4366</v>
      </c>
      <c r="H588">
        <f>cukier11[[#This Row],[stan_magazynu]]-cukier11[[#This Row],[sprzedany_cukier]]</f>
        <v>4228</v>
      </c>
      <c r="I588" s="9">
        <f>cukier11[[#This Row],[stan_po_sprzedazy]]+cukier11[[#This Row],[ile_dokupic]]*1000</f>
        <v>4228</v>
      </c>
    </row>
    <row r="589" spans="1:9" x14ac:dyDescent="0.25">
      <c r="A589" s="1">
        <v>39434</v>
      </c>
      <c r="B589" t="s">
        <v>23</v>
      </c>
      <c r="C589">
        <v>138</v>
      </c>
      <c r="D589">
        <f>MONTH(cukier11[[#This Row],[data]])</f>
        <v>12</v>
      </c>
      <c r="E589">
        <f>IF(D590&lt;&gt;cukier11[[#This Row],[miesiac]],1,0)</f>
        <v>0</v>
      </c>
      <c r="F589">
        <f>IF(AND(H588&lt;5000,cukier11[[#This Row],[czy_nastapiła_zmiana_mies]]=1),ROUNDUP((5000-H588)/1000,0),0)</f>
        <v>0</v>
      </c>
      <c r="G589">
        <f t="shared" si="9"/>
        <v>4228</v>
      </c>
      <c r="H589">
        <f>cukier11[[#This Row],[stan_magazynu]]-cukier11[[#This Row],[sprzedany_cukier]]</f>
        <v>4090</v>
      </c>
      <c r="I589" s="9">
        <f>cukier11[[#This Row],[stan_po_sprzedazy]]+cukier11[[#This Row],[ile_dokupic]]*1000</f>
        <v>4090</v>
      </c>
    </row>
    <row r="590" spans="1:9" x14ac:dyDescent="0.25">
      <c r="A590" s="1">
        <v>39434</v>
      </c>
      <c r="B590" t="s">
        <v>50</v>
      </c>
      <c r="C590">
        <v>482</v>
      </c>
      <c r="D590">
        <f>MONTH(cukier11[[#This Row],[data]])</f>
        <v>12</v>
      </c>
      <c r="E590">
        <f>IF(D591&lt;&gt;cukier11[[#This Row],[miesiac]],1,0)</f>
        <v>0</v>
      </c>
      <c r="F590">
        <f>IF(AND(H589&lt;5000,cukier11[[#This Row],[czy_nastapiła_zmiana_mies]]=1),ROUNDUP((5000-H589)/1000,0),0)</f>
        <v>0</v>
      </c>
      <c r="G590">
        <f t="shared" si="9"/>
        <v>4090</v>
      </c>
      <c r="H590">
        <f>cukier11[[#This Row],[stan_magazynu]]-cukier11[[#This Row],[sprzedany_cukier]]</f>
        <v>3608</v>
      </c>
      <c r="I590" s="9">
        <f>cukier11[[#This Row],[stan_po_sprzedazy]]+cukier11[[#This Row],[ile_dokupic]]*1000</f>
        <v>3608</v>
      </c>
    </row>
    <row r="591" spans="1:9" x14ac:dyDescent="0.25">
      <c r="A591" s="1">
        <v>39436</v>
      </c>
      <c r="B591" t="s">
        <v>50</v>
      </c>
      <c r="C591">
        <v>481</v>
      </c>
      <c r="D591">
        <f>MONTH(cukier11[[#This Row],[data]])</f>
        <v>12</v>
      </c>
      <c r="E591">
        <f>IF(D592&lt;&gt;cukier11[[#This Row],[miesiac]],1,0)</f>
        <v>0</v>
      </c>
      <c r="F591">
        <f>IF(AND(H590&lt;5000,cukier11[[#This Row],[czy_nastapiła_zmiana_mies]]=1),ROUNDUP((5000-H590)/1000,0),0)</f>
        <v>0</v>
      </c>
      <c r="G591">
        <f t="shared" si="9"/>
        <v>3608</v>
      </c>
      <c r="H591">
        <f>cukier11[[#This Row],[stan_magazynu]]-cukier11[[#This Row],[sprzedany_cukier]]</f>
        <v>3127</v>
      </c>
      <c r="I591" s="9">
        <f>cukier11[[#This Row],[stan_po_sprzedazy]]+cukier11[[#This Row],[ile_dokupic]]*1000</f>
        <v>3127</v>
      </c>
    </row>
    <row r="592" spans="1:9" x14ac:dyDescent="0.25">
      <c r="A592" s="1">
        <v>39438</v>
      </c>
      <c r="B592" t="s">
        <v>45</v>
      </c>
      <c r="C592">
        <v>258</v>
      </c>
      <c r="D592">
        <f>MONTH(cukier11[[#This Row],[data]])</f>
        <v>12</v>
      </c>
      <c r="E592">
        <f>IF(D593&lt;&gt;cukier11[[#This Row],[miesiac]],1,0)</f>
        <v>0</v>
      </c>
      <c r="F592">
        <f>IF(AND(H591&lt;5000,cukier11[[#This Row],[czy_nastapiła_zmiana_mies]]=1),ROUNDUP((5000-H591)/1000,0),0)</f>
        <v>0</v>
      </c>
      <c r="G592">
        <f t="shared" si="9"/>
        <v>3127</v>
      </c>
      <c r="H592">
        <f>cukier11[[#This Row],[stan_magazynu]]-cukier11[[#This Row],[sprzedany_cukier]]</f>
        <v>2869</v>
      </c>
      <c r="I592" s="9">
        <f>cukier11[[#This Row],[stan_po_sprzedazy]]+cukier11[[#This Row],[ile_dokupic]]*1000</f>
        <v>2869</v>
      </c>
    </row>
    <row r="593" spans="1:9" x14ac:dyDescent="0.25">
      <c r="A593" s="1">
        <v>39440</v>
      </c>
      <c r="B593" t="s">
        <v>19</v>
      </c>
      <c r="C593">
        <v>100</v>
      </c>
      <c r="D593">
        <f>MONTH(cukier11[[#This Row],[data]])</f>
        <v>12</v>
      </c>
      <c r="E593">
        <f>IF(D594&lt;&gt;cukier11[[#This Row],[miesiac]],1,0)</f>
        <v>0</v>
      </c>
      <c r="F593">
        <f>IF(AND(H592&lt;5000,cukier11[[#This Row],[czy_nastapiła_zmiana_mies]]=1),ROUNDUP((5000-H592)/1000,0),0)</f>
        <v>0</v>
      </c>
      <c r="G593">
        <f t="shared" si="9"/>
        <v>2869</v>
      </c>
      <c r="H593">
        <f>cukier11[[#This Row],[stan_magazynu]]-cukier11[[#This Row],[sprzedany_cukier]]</f>
        <v>2769</v>
      </c>
      <c r="I593" s="9">
        <f>cukier11[[#This Row],[stan_po_sprzedazy]]+cukier11[[#This Row],[ile_dokupic]]*1000</f>
        <v>2769</v>
      </c>
    </row>
    <row r="594" spans="1:9" x14ac:dyDescent="0.25">
      <c r="A594" s="1">
        <v>39440</v>
      </c>
      <c r="B594" t="s">
        <v>69</v>
      </c>
      <c r="C594">
        <v>86</v>
      </c>
      <c r="D594">
        <f>MONTH(cukier11[[#This Row],[data]])</f>
        <v>12</v>
      </c>
      <c r="E594">
        <f>IF(D595&lt;&gt;cukier11[[#This Row],[miesiac]],1,0)</f>
        <v>0</v>
      </c>
      <c r="F594">
        <f>IF(AND(H593&lt;5000,cukier11[[#This Row],[czy_nastapiła_zmiana_mies]]=1),ROUNDUP((5000-H593)/1000,0),0)</f>
        <v>0</v>
      </c>
      <c r="G594">
        <f t="shared" si="9"/>
        <v>2769</v>
      </c>
      <c r="H594">
        <f>cukier11[[#This Row],[stan_magazynu]]-cukier11[[#This Row],[sprzedany_cukier]]</f>
        <v>2683</v>
      </c>
      <c r="I594" s="9">
        <f>cukier11[[#This Row],[stan_po_sprzedazy]]+cukier11[[#This Row],[ile_dokupic]]*1000</f>
        <v>2683</v>
      </c>
    </row>
    <row r="595" spans="1:9" x14ac:dyDescent="0.25">
      <c r="A595" s="1">
        <v>39443</v>
      </c>
      <c r="B595" t="s">
        <v>28</v>
      </c>
      <c r="C595">
        <v>165</v>
      </c>
      <c r="D595">
        <f>MONTH(cukier11[[#This Row],[data]])</f>
        <v>12</v>
      </c>
      <c r="E595">
        <f>IF(D596&lt;&gt;cukier11[[#This Row],[miesiac]],1,0)</f>
        <v>0</v>
      </c>
      <c r="F595">
        <f>IF(AND(H594&lt;5000,cukier11[[#This Row],[czy_nastapiła_zmiana_mies]]=1),ROUNDUP((5000-H594)/1000,0),0)</f>
        <v>0</v>
      </c>
      <c r="G595">
        <f t="shared" si="9"/>
        <v>2683</v>
      </c>
      <c r="H595">
        <f>cukier11[[#This Row],[stan_magazynu]]-cukier11[[#This Row],[sprzedany_cukier]]</f>
        <v>2518</v>
      </c>
      <c r="I595" s="9">
        <f>cukier11[[#This Row],[stan_po_sprzedazy]]+cukier11[[#This Row],[ile_dokupic]]*1000</f>
        <v>2518</v>
      </c>
    </row>
    <row r="596" spans="1:9" x14ac:dyDescent="0.25">
      <c r="A596" s="1">
        <v>39444</v>
      </c>
      <c r="B596" t="s">
        <v>100</v>
      </c>
      <c r="C596">
        <v>4</v>
      </c>
      <c r="D596">
        <f>MONTH(cukier11[[#This Row],[data]])</f>
        <v>12</v>
      </c>
      <c r="E596">
        <f>IF(D597&lt;&gt;cukier11[[#This Row],[miesiac]],1,0)</f>
        <v>0</v>
      </c>
      <c r="F596">
        <f>IF(AND(H595&lt;5000,cukier11[[#This Row],[czy_nastapiła_zmiana_mies]]=1),ROUNDUP((5000-H595)/1000,0),0)</f>
        <v>0</v>
      </c>
      <c r="G596">
        <f t="shared" si="9"/>
        <v>2518</v>
      </c>
      <c r="H596">
        <f>cukier11[[#This Row],[stan_magazynu]]-cukier11[[#This Row],[sprzedany_cukier]]</f>
        <v>2514</v>
      </c>
      <c r="I596" s="9">
        <f>cukier11[[#This Row],[stan_po_sprzedazy]]+cukier11[[#This Row],[ile_dokupic]]*1000</f>
        <v>2514</v>
      </c>
    </row>
    <row r="597" spans="1:9" x14ac:dyDescent="0.25">
      <c r="A597" s="1">
        <v>39445</v>
      </c>
      <c r="B597" t="s">
        <v>23</v>
      </c>
      <c r="C597">
        <v>156</v>
      </c>
      <c r="D597">
        <f>MONTH(cukier11[[#This Row],[data]])</f>
        <v>12</v>
      </c>
      <c r="E597">
        <f>IF(D598&lt;&gt;cukier11[[#This Row],[miesiac]],1,0)</f>
        <v>0</v>
      </c>
      <c r="F597">
        <f>IF(AND(H596&lt;5000,cukier11[[#This Row],[czy_nastapiła_zmiana_mies]]=1),ROUNDUP((5000-H596)/1000,0),0)</f>
        <v>0</v>
      </c>
      <c r="G597">
        <f t="shared" si="9"/>
        <v>2514</v>
      </c>
      <c r="H597">
        <f>cukier11[[#This Row],[stan_magazynu]]-cukier11[[#This Row],[sprzedany_cukier]]</f>
        <v>2358</v>
      </c>
      <c r="I597" s="9">
        <f>cukier11[[#This Row],[stan_po_sprzedazy]]+cukier11[[#This Row],[ile_dokupic]]*1000</f>
        <v>2358</v>
      </c>
    </row>
    <row r="598" spans="1:9" x14ac:dyDescent="0.25">
      <c r="A598" s="1">
        <v>39446</v>
      </c>
      <c r="B598" t="s">
        <v>45</v>
      </c>
      <c r="C598">
        <v>320</v>
      </c>
      <c r="D598">
        <f>MONTH(cukier11[[#This Row],[data]])</f>
        <v>12</v>
      </c>
      <c r="E598">
        <f>IF(D599&lt;&gt;cukier11[[#This Row],[miesiac]],1,0)</f>
        <v>1</v>
      </c>
      <c r="F598">
        <f>IF(AND(H597&lt;5000,cukier11[[#This Row],[czy_nastapiła_zmiana_mies]]=1),ROUNDUP((5000-H597)/1000,0),0)</f>
        <v>3</v>
      </c>
      <c r="G598">
        <f t="shared" si="9"/>
        <v>2358</v>
      </c>
      <c r="H598">
        <f>cukier11[[#This Row],[stan_magazynu]]-cukier11[[#This Row],[sprzedany_cukier]]</f>
        <v>2038</v>
      </c>
      <c r="I598" s="9">
        <f>cukier11[[#This Row],[stan_po_sprzedazy]]+cukier11[[#This Row],[ile_dokupic]]*1000</f>
        <v>5038</v>
      </c>
    </row>
    <row r="599" spans="1:9" x14ac:dyDescent="0.25">
      <c r="A599" s="1">
        <v>39448</v>
      </c>
      <c r="B599" t="s">
        <v>15</v>
      </c>
      <c r="C599">
        <v>1</v>
      </c>
      <c r="D599">
        <f>MONTH(cukier11[[#This Row],[data]])</f>
        <v>1</v>
      </c>
      <c r="E599">
        <f>IF(D600&lt;&gt;cukier11[[#This Row],[miesiac]],1,0)</f>
        <v>0</v>
      </c>
      <c r="F599">
        <f>IF(AND(H598&lt;5000,cukier11[[#This Row],[czy_nastapiła_zmiana_mies]]=1),ROUNDUP((5000-H598)/1000,0),0)</f>
        <v>0</v>
      </c>
      <c r="G599">
        <f t="shared" si="9"/>
        <v>5038</v>
      </c>
      <c r="H599">
        <f>cukier11[[#This Row],[stan_magazynu]]-cukier11[[#This Row],[sprzedany_cukier]]</f>
        <v>5037</v>
      </c>
      <c r="I599" s="9">
        <f>cukier11[[#This Row],[stan_po_sprzedazy]]+cukier11[[#This Row],[ile_dokupic]]*1000</f>
        <v>5037</v>
      </c>
    </row>
    <row r="600" spans="1:9" x14ac:dyDescent="0.25">
      <c r="A600" s="1">
        <v>39448</v>
      </c>
      <c r="B600" t="s">
        <v>8</v>
      </c>
      <c r="C600">
        <v>81</v>
      </c>
      <c r="D600">
        <f>MONTH(cukier11[[#This Row],[data]])</f>
        <v>1</v>
      </c>
      <c r="E600">
        <f>IF(D601&lt;&gt;cukier11[[#This Row],[miesiac]],1,0)</f>
        <v>0</v>
      </c>
      <c r="F600">
        <f>IF(AND(H599&lt;5000,cukier11[[#This Row],[czy_nastapiła_zmiana_mies]]=1),ROUNDUP((5000-H599)/1000,0),0)</f>
        <v>0</v>
      </c>
      <c r="G600">
        <f t="shared" si="9"/>
        <v>5037</v>
      </c>
      <c r="H600">
        <f>cukier11[[#This Row],[stan_magazynu]]-cukier11[[#This Row],[sprzedany_cukier]]</f>
        <v>4956</v>
      </c>
      <c r="I600" s="9">
        <f>cukier11[[#This Row],[stan_po_sprzedazy]]+cukier11[[#This Row],[ile_dokupic]]*1000</f>
        <v>4956</v>
      </c>
    </row>
    <row r="601" spans="1:9" x14ac:dyDescent="0.25">
      <c r="A601" s="1">
        <v>39448</v>
      </c>
      <c r="B601" t="s">
        <v>50</v>
      </c>
      <c r="C601">
        <v>438</v>
      </c>
      <c r="D601">
        <f>MONTH(cukier11[[#This Row],[data]])</f>
        <v>1</v>
      </c>
      <c r="E601">
        <f>IF(D602&lt;&gt;cukier11[[#This Row],[miesiac]],1,0)</f>
        <v>0</v>
      </c>
      <c r="F601">
        <f>IF(AND(H600&lt;5000,cukier11[[#This Row],[czy_nastapiła_zmiana_mies]]=1),ROUNDUP((5000-H600)/1000,0),0)</f>
        <v>0</v>
      </c>
      <c r="G601">
        <f t="shared" si="9"/>
        <v>4956</v>
      </c>
      <c r="H601">
        <f>cukier11[[#This Row],[stan_magazynu]]-cukier11[[#This Row],[sprzedany_cukier]]</f>
        <v>4518</v>
      </c>
      <c r="I601" s="9">
        <f>cukier11[[#This Row],[stan_po_sprzedazy]]+cukier11[[#This Row],[ile_dokupic]]*1000</f>
        <v>4518</v>
      </c>
    </row>
    <row r="602" spans="1:9" x14ac:dyDescent="0.25">
      <c r="A602" s="1">
        <v>39449</v>
      </c>
      <c r="B602" t="s">
        <v>38</v>
      </c>
      <c r="C602">
        <v>1</v>
      </c>
      <c r="D602">
        <f>MONTH(cukier11[[#This Row],[data]])</f>
        <v>1</v>
      </c>
      <c r="E602">
        <f>IF(D603&lt;&gt;cukier11[[#This Row],[miesiac]],1,0)</f>
        <v>0</v>
      </c>
      <c r="F602">
        <f>IF(AND(H601&lt;5000,cukier11[[#This Row],[czy_nastapiła_zmiana_mies]]=1),ROUNDUP((5000-H601)/1000,0),0)</f>
        <v>0</v>
      </c>
      <c r="G602">
        <f t="shared" si="9"/>
        <v>4518</v>
      </c>
      <c r="H602">
        <f>cukier11[[#This Row],[stan_magazynu]]-cukier11[[#This Row],[sprzedany_cukier]]</f>
        <v>4517</v>
      </c>
      <c r="I602" s="9">
        <f>cukier11[[#This Row],[stan_po_sprzedazy]]+cukier11[[#This Row],[ile_dokupic]]*1000</f>
        <v>4517</v>
      </c>
    </row>
    <row r="603" spans="1:9" x14ac:dyDescent="0.25">
      <c r="A603" s="1">
        <v>39453</v>
      </c>
      <c r="B603" t="s">
        <v>78</v>
      </c>
      <c r="C603">
        <v>173</v>
      </c>
      <c r="D603">
        <f>MONTH(cukier11[[#This Row],[data]])</f>
        <v>1</v>
      </c>
      <c r="E603">
        <f>IF(D604&lt;&gt;cukier11[[#This Row],[miesiac]],1,0)</f>
        <v>0</v>
      </c>
      <c r="F603">
        <f>IF(AND(H602&lt;5000,cukier11[[#This Row],[czy_nastapiła_zmiana_mies]]=1),ROUNDUP((5000-H602)/1000,0),0)</f>
        <v>0</v>
      </c>
      <c r="G603">
        <f t="shared" si="9"/>
        <v>4517</v>
      </c>
      <c r="H603">
        <f>cukier11[[#This Row],[stan_magazynu]]-cukier11[[#This Row],[sprzedany_cukier]]</f>
        <v>4344</v>
      </c>
      <c r="I603" s="9">
        <f>cukier11[[#This Row],[stan_po_sprzedazy]]+cukier11[[#This Row],[ile_dokupic]]*1000</f>
        <v>4344</v>
      </c>
    </row>
    <row r="604" spans="1:9" x14ac:dyDescent="0.25">
      <c r="A604" s="1">
        <v>39456</v>
      </c>
      <c r="B604" t="s">
        <v>24</v>
      </c>
      <c r="C604">
        <v>412</v>
      </c>
      <c r="D604">
        <f>MONTH(cukier11[[#This Row],[data]])</f>
        <v>1</v>
      </c>
      <c r="E604">
        <f>IF(D605&lt;&gt;cukier11[[#This Row],[miesiac]],1,0)</f>
        <v>0</v>
      </c>
      <c r="F604">
        <f>IF(AND(H603&lt;5000,cukier11[[#This Row],[czy_nastapiła_zmiana_mies]]=1),ROUNDUP((5000-H603)/1000,0),0)</f>
        <v>0</v>
      </c>
      <c r="G604">
        <f t="shared" si="9"/>
        <v>4344</v>
      </c>
      <c r="H604">
        <f>cukier11[[#This Row],[stan_magazynu]]-cukier11[[#This Row],[sprzedany_cukier]]</f>
        <v>3932</v>
      </c>
      <c r="I604" s="9">
        <f>cukier11[[#This Row],[stan_po_sprzedazy]]+cukier11[[#This Row],[ile_dokupic]]*1000</f>
        <v>3932</v>
      </c>
    </row>
    <row r="605" spans="1:9" x14ac:dyDescent="0.25">
      <c r="A605" s="1">
        <v>39456</v>
      </c>
      <c r="B605" t="s">
        <v>151</v>
      </c>
      <c r="C605">
        <v>13</v>
      </c>
      <c r="D605">
        <f>MONTH(cukier11[[#This Row],[data]])</f>
        <v>1</v>
      </c>
      <c r="E605">
        <f>IF(D606&lt;&gt;cukier11[[#This Row],[miesiac]],1,0)</f>
        <v>0</v>
      </c>
      <c r="F605">
        <f>IF(AND(H604&lt;5000,cukier11[[#This Row],[czy_nastapiła_zmiana_mies]]=1),ROUNDUP((5000-H604)/1000,0),0)</f>
        <v>0</v>
      </c>
      <c r="G605">
        <f t="shared" si="9"/>
        <v>3932</v>
      </c>
      <c r="H605">
        <f>cukier11[[#This Row],[stan_magazynu]]-cukier11[[#This Row],[sprzedany_cukier]]</f>
        <v>3919</v>
      </c>
      <c r="I605" s="9">
        <f>cukier11[[#This Row],[stan_po_sprzedazy]]+cukier11[[#This Row],[ile_dokupic]]*1000</f>
        <v>3919</v>
      </c>
    </row>
    <row r="606" spans="1:9" x14ac:dyDescent="0.25">
      <c r="A606" s="1">
        <v>39457</v>
      </c>
      <c r="B606" t="s">
        <v>55</v>
      </c>
      <c r="C606">
        <v>130</v>
      </c>
      <c r="D606">
        <f>MONTH(cukier11[[#This Row],[data]])</f>
        <v>1</v>
      </c>
      <c r="E606">
        <f>IF(D607&lt;&gt;cukier11[[#This Row],[miesiac]],1,0)</f>
        <v>0</v>
      </c>
      <c r="F606">
        <f>IF(AND(H605&lt;5000,cukier11[[#This Row],[czy_nastapiła_zmiana_mies]]=1),ROUNDUP((5000-H605)/1000,0),0)</f>
        <v>0</v>
      </c>
      <c r="G606">
        <f t="shared" si="9"/>
        <v>3919</v>
      </c>
      <c r="H606">
        <f>cukier11[[#This Row],[stan_magazynu]]-cukier11[[#This Row],[sprzedany_cukier]]</f>
        <v>3789</v>
      </c>
      <c r="I606" s="9">
        <f>cukier11[[#This Row],[stan_po_sprzedazy]]+cukier11[[#This Row],[ile_dokupic]]*1000</f>
        <v>3789</v>
      </c>
    </row>
    <row r="607" spans="1:9" x14ac:dyDescent="0.25">
      <c r="A607" s="1">
        <v>39459</v>
      </c>
      <c r="B607" t="s">
        <v>152</v>
      </c>
      <c r="C607">
        <v>4</v>
      </c>
      <c r="D607">
        <f>MONTH(cukier11[[#This Row],[data]])</f>
        <v>1</v>
      </c>
      <c r="E607">
        <f>IF(D608&lt;&gt;cukier11[[#This Row],[miesiac]],1,0)</f>
        <v>0</v>
      </c>
      <c r="F607">
        <f>IF(AND(H606&lt;5000,cukier11[[#This Row],[czy_nastapiła_zmiana_mies]]=1),ROUNDUP((5000-H606)/1000,0),0)</f>
        <v>0</v>
      </c>
      <c r="G607">
        <f t="shared" si="9"/>
        <v>3789</v>
      </c>
      <c r="H607">
        <f>cukier11[[#This Row],[stan_magazynu]]-cukier11[[#This Row],[sprzedany_cukier]]</f>
        <v>3785</v>
      </c>
      <c r="I607" s="9">
        <f>cukier11[[#This Row],[stan_po_sprzedazy]]+cukier11[[#This Row],[ile_dokupic]]*1000</f>
        <v>3785</v>
      </c>
    </row>
    <row r="608" spans="1:9" x14ac:dyDescent="0.25">
      <c r="A608" s="1">
        <v>39462</v>
      </c>
      <c r="B608" t="s">
        <v>55</v>
      </c>
      <c r="C608">
        <v>176</v>
      </c>
      <c r="D608">
        <f>MONTH(cukier11[[#This Row],[data]])</f>
        <v>1</v>
      </c>
      <c r="E608">
        <f>IF(D609&lt;&gt;cukier11[[#This Row],[miesiac]],1,0)</f>
        <v>0</v>
      </c>
      <c r="F608">
        <f>IF(AND(H607&lt;5000,cukier11[[#This Row],[czy_nastapiła_zmiana_mies]]=1),ROUNDUP((5000-H607)/1000,0),0)</f>
        <v>0</v>
      </c>
      <c r="G608">
        <f t="shared" si="9"/>
        <v>3785</v>
      </c>
      <c r="H608">
        <f>cukier11[[#This Row],[stan_magazynu]]-cukier11[[#This Row],[sprzedany_cukier]]</f>
        <v>3609</v>
      </c>
      <c r="I608" s="9">
        <f>cukier11[[#This Row],[stan_po_sprzedazy]]+cukier11[[#This Row],[ile_dokupic]]*1000</f>
        <v>3609</v>
      </c>
    </row>
    <row r="609" spans="1:9" x14ac:dyDescent="0.25">
      <c r="A609" s="1">
        <v>39464</v>
      </c>
      <c r="B609" t="s">
        <v>89</v>
      </c>
      <c r="C609">
        <v>14</v>
      </c>
      <c r="D609">
        <f>MONTH(cukier11[[#This Row],[data]])</f>
        <v>1</v>
      </c>
      <c r="E609">
        <f>IF(D610&lt;&gt;cukier11[[#This Row],[miesiac]],1,0)</f>
        <v>0</v>
      </c>
      <c r="F609">
        <f>IF(AND(H608&lt;5000,cukier11[[#This Row],[czy_nastapiła_zmiana_mies]]=1),ROUNDUP((5000-H608)/1000,0),0)</f>
        <v>0</v>
      </c>
      <c r="G609">
        <f t="shared" si="9"/>
        <v>3609</v>
      </c>
      <c r="H609">
        <f>cukier11[[#This Row],[stan_magazynu]]-cukier11[[#This Row],[sprzedany_cukier]]</f>
        <v>3595</v>
      </c>
      <c r="I609" s="9">
        <f>cukier11[[#This Row],[stan_po_sprzedazy]]+cukier11[[#This Row],[ile_dokupic]]*1000</f>
        <v>3595</v>
      </c>
    </row>
    <row r="610" spans="1:9" x14ac:dyDescent="0.25">
      <c r="A610" s="1">
        <v>39465</v>
      </c>
      <c r="B610" t="s">
        <v>55</v>
      </c>
      <c r="C610">
        <v>97</v>
      </c>
      <c r="D610">
        <f>MONTH(cukier11[[#This Row],[data]])</f>
        <v>1</v>
      </c>
      <c r="E610">
        <f>IF(D611&lt;&gt;cukier11[[#This Row],[miesiac]],1,0)</f>
        <v>0</v>
      </c>
      <c r="F610">
        <f>IF(AND(H609&lt;5000,cukier11[[#This Row],[czy_nastapiła_zmiana_mies]]=1),ROUNDUP((5000-H609)/1000,0),0)</f>
        <v>0</v>
      </c>
      <c r="G610">
        <f t="shared" si="9"/>
        <v>3595</v>
      </c>
      <c r="H610">
        <f>cukier11[[#This Row],[stan_magazynu]]-cukier11[[#This Row],[sprzedany_cukier]]</f>
        <v>3498</v>
      </c>
      <c r="I610" s="9">
        <f>cukier11[[#This Row],[stan_po_sprzedazy]]+cukier11[[#This Row],[ile_dokupic]]*1000</f>
        <v>3498</v>
      </c>
    </row>
    <row r="611" spans="1:9" x14ac:dyDescent="0.25">
      <c r="A611" s="1">
        <v>39468</v>
      </c>
      <c r="B611" t="s">
        <v>61</v>
      </c>
      <c r="C611">
        <v>81</v>
      </c>
      <c r="D611">
        <f>MONTH(cukier11[[#This Row],[data]])</f>
        <v>1</v>
      </c>
      <c r="E611">
        <f>IF(D612&lt;&gt;cukier11[[#This Row],[miesiac]],1,0)</f>
        <v>0</v>
      </c>
      <c r="F611">
        <f>IF(AND(H610&lt;5000,cukier11[[#This Row],[czy_nastapiła_zmiana_mies]]=1),ROUNDUP((5000-H610)/1000,0),0)</f>
        <v>0</v>
      </c>
      <c r="G611">
        <f t="shared" si="9"/>
        <v>3498</v>
      </c>
      <c r="H611">
        <f>cukier11[[#This Row],[stan_magazynu]]-cukier11[[#This Row],[sprzedany_cukier]]</f>
        <v>3417</v>
      </c>
      <c r="I611" s="9">
        <f>cukier11[[#This Row],[stan_po_sprzedazy]]+cukier11[[#This Row],[ile_dokupic]]*1000</f>
        <v>3417</v>
      </c>
    </row>
    <row r="612" spans="1:9" x14ac:dyDescent="0.25">
      <c r="A612" s="1">
        <v>39469</v>
      </c>
      <c r="B612" t="s">
        <v>23</v>
      </c>
      <c r="C612">
        <v>179</v>
      </c>
      <c r="D612">
        <f>MONTH(cukier11[[#This Row],[data]])</f>
        <v>1</v>
      </c>
      <c r="E612">
        <f>IF(D613&lt;&gt;cukier11[[#This Row],[miesiac]],1,0)</f>
        <v>0</v>
      </c>
      <c r="F612">
        <f>IF(AND(H611&lt;5000,cukier11[[#This Row],[czy_nastapiła_zmiana_mies]]=1),ROUNDUP((5000-H611)/1000,0),0)</f>
        <v>0</v>
      </c>
      <c r="G612">
        <f t="shared" si="9"/>
        <v>3417</v>
      </c>
      <c r="H612">
        <f>cukier11[[#This Row],[stan_magazynu]]-cukier11[[#This Row],[sprzedany_cukier]]</f>
        <v>3238</v>
      </c>
      <c r="I612" s="9">
        <f>cukier11[[#This Row],[stan_po_sprzedazy]]+cukier11[[#This Row],[ile_dokupic]]*1000</f>
        <v>3238</v>
      </c>
    </row>
    <row r="613" spans="1:9" x14ac:dyDescent="0.25">
      <c r="A613" s="1">
        <v>39470</v>
      </c>
      <c r="B613" t="s">
        <v>37</v>
      </c>
      <c r="C613">
        <v>132</v>
      </c>
      <c r="D613">
        <f>MONTH(cukier11[[#This Row],[data]])</f>
        <v>1</v>
      </c>
      <c r="E613">
        <f>IF(D614&lt;&gt;cukier11[[#This Row],[miesiac]],1,0)</f>
        <v>0</v>
      </c>
      <c r="F613">
        <f>IF(AND(H612&lt;5000,cukier11[[#This Row],[czy_nastapiła_zmiana_mies]]=1),ROUNDUP((5000-H612)/1000,0),0)</f>
        <v>0</v>
      </c>
      <c r="G613">
        <f t="shared" si="9"/>
        <v>3238</v>
      </c>
      <c r="H613">
        <f>cukier11[[#This Row],[stan_magazynu]]-cukier11[[#This Row],[sprzedany_cukier]]</f>
        <v>3106</v>
      </c>
      <c r="I613" s="9">
        <f>cukier11[[#This Row],[stan_po_sprzedazy]]+cukier11[[#This Row],[ile_dokupic]]*1000</f>
        <v>3106</v>
      </c>
    </row>
    <row r="614" spans="1:9" x14ac:dyDescent="0.25">
      <c r="A614" s="1">
        <v>39470</v>
      </c>
      <c r="B614" t="s">
        <v>153</v>
      </c>
      <c r="C614">
        <v>5</v>
      </c>
      <c r="D614">
        <f>MONTH(cukier11[[#This Row],[data]])</f>
        <v>1</v>
      </c>
      <c r="E614">
        <f>IF(D615&lt;&gt;cukier11[[#This Row],[miesiac]],1,0)</f>
        <v>0</v>
      </c>
      <c r="F614">
        <f>IF(AND(H613&lt;5000,cukier11[[#This Row],[czy_nastapiła_zmiana_mies]]=1),ROUNDUP((5000-H613)/1000,0),0)</f>
        <v>0</v>
      </c>
      <c r="G614">
        <f t="shared" si="9"/>
        <v>3106</v>
      </c>
      <c r="H614">
        <f>cukier11[[#This Row],[stan_magazynu]]-cukier11[[#This Row],[sprzedany_cukier]]</f>
        <v>3101</v>
      </c>
      <c r="I614" s="9">
        <f>cukier11[[#This Row],[stan_po_sprzedazy]]+cukier11[[#This Row],[ile_dokupic]]*1000</f>
        <v>3101</v>
      </c>
    </row>
    <row r="615" spans="1:9" x14ac:dyDescent="0.25">
      <c r="A615" s="1">
        <v>39470</v>
      </c>
      <c r="B615" t="s">
        <v>18</v>
      </c>
      <c r="C615">
        <v>100</v>
      </c>
      <c r="D615">
        <f>MONTH(cukier11[[#This Row],[data]])</f>
        <v>1</v>
      </c>
      <c r="E615">
        <f>IF(D616&lt;&gt;cukier11[[#This Row],[miesiac]],1,0)</f>
        <v>0</v>
      </c>
      <c r="F615">
        <f>IF(AND(H614&lt;5000,cukier11[[#This Row],[czy_nastapiła_zmiana_mies]]=1),ROUNDUP((5000-H614)/1000,0),0)</f>
        <v>0</v>
      </c>
      <c r="G615">
        <f t="shared" si="9"/>
        <v>3101</v>
      </c>
      <c r="H615">
        <f>cukier11[[#This Row],[stan_magazynu]]-cukier11[[#This Row],[sprzedany_cukier]]</f>
        <v>3001</v>
      </c>
      <c r="I615" s="9">
        <f>cukier11[[#This Row],[stan_po_sprzedazy]]+cukier11[[#This Row],[ile_dokupic]]*1000</f>
        <v>3001</v>
      </c>
    </row>
    <row r="616" spans="1:9" x14ac:dyDescent="0.25">
      <c r="A616" s="1">
        <v>39474</v>
      </c>
      <c r="B616" t="s">
        <v>154</v>
      </c>
      <c r="C616">
        <v>6</v>
      </c>
      <c r="D616">
        <f>MONTH(cukier11[[#This Row],[data]])</f>
        <v>1</v>
      </c>
      <c r="E616">
        <f>IF(D617&lt;&gt;cukier11[[#This Row],[miesiac]],1,0)</f>
        <v>1</v>
      </c>
      <c r="F616">
        <f>IF(AND(H615&lt;5000,cukier11[[#This Row],[czy_nastapiła_zmiana_mies]]=1),ROUNDUP((5000-H615)/1000,0),0)</f>
        <v>2</v>
      </c>
      <c r="G616">
        <f t="shared" si="9"/>
        <v>3001</v>
      </c>
      <c r="H616">
        <f>cukier11[[#This Row],[stan_magazynu]]-cukier11[[#This Row],[sprzedany_cukier]]</f>
        <v>2995</v>
      </c>
      <c r="I616" s="9">
        <f>cukier11[[#This Row],[stan_po_sprzedazy]]+cukier11[[#This Row],[ile_dokupic]]*1000</f>
        <v>4995</v>
      </c>
    </row>
    <row r="617" spans="1:9" x14ac:dyDescent="0.25">
      <c r="A617" s="1">
        <v>39481</v>
      </c>
      <c r="B617" t="s">
        <v>24</v>
      </c>
      <c r="C617">
        <v>171</v>
      </c>
      <c r="D617">
        <f>MONTH(cukier11[[#This Row],[data]])</f>
        <v>2</v>
      </c>
      <c r="E617">
        <f>IF(D618&lt;&gt;cukier11[[#This Row],[miesiac]],1,0)</f>
        <v>0</v>
      </c>
      <c r="F617">
        <f>IF(AND(H616&lt;5000,cukier11[[#This Row],[czy_nastapiła_zmiana_mies]]=1),ROUNDUP((5000-H616)/1000,0),0)</f>
        <v>0</v>
      </c>
      <c r="G617">
        <f t="shared" si="9"/>
        <v>4995</v>
      </c>
      <c r="H617">
        <f>cukier11[[#This Row],[stan_magazynu]]-cukier11[[#This Row],[sprzedany_cukier]]</f>
        <v>4824</v>
      </c>
      <c r="I617" s="9">
        <f>cukier11[[#This Row],[stan_po_sprzedazy]]+cukier11[[#This Row],[ile_dokupic]]*1000</f>
        <v>4824</v>
      </c>
    </row>
    <row r="618" spans="1:9" x14ac:dyDescent="0.25">
      <c r="A618" s="1">
        <v>39483</v>
      </c>
      <c r="B618" t="s">
        <v>14</v>
      </c>
      <c r="C618">
        <v>333</v>
      </c>
      <c r="D618">
        <f>MONTH(cukier11[[#This Row],[data]])</f>
        <v>2</v>
      </c>
      <c r="E618">
        <f>IF(D619&lt;&gt;cukier11[[#This Row],[miesiac]],1,0)</f>
        <v>0</v>
      </c>
      <c r="F618">
        <f>IF(AND(H617&lt;5000,cukier11[[#This Row],[czy_nastapiła_zmiana_mies]]=1),ROUNDUP((5000-H617)/1000,0),0)</f>
        <v>0</v>
      </c>
      <c r="G618">
        <f t="shared" si="9"/>
        <v>4824</v>
      </c>
      <c r="H618">
        <f>cukier11[[#This Row],[stan_magazynu]]-cukier11[[#This Row],[sprzedany_cukier]]</f>
        <v>4491</v>
      </c>
      <c r="I618" s="9">
        <f>cukier11[[#This Row],[stan_po_sprzedazy]]+cukier11[[#This Row],[ile_dokupic]]*1000</f>
        <v>4491</v>
      </c>
    </row>
    <row r="619" spans="1:9" x14ac:dyDescent="0.25">
      <c r="A619" s="1">
        <v>39484</v>
      </c>
      <c r="B619" t="s">
        <v>24</v>
      </c>
      <c r="C619">
        <v>365</v>
      </c>
      <c r="D619">
        <f>MONTH(cukier11[[#This Row],[data]])</f>
        <v>2</v>
      </c>
      <c r="E619">
        <f>IF(D620&lt;&gt;cukier11[[#This Row],[miesiac]],1,0)</f>
        <v>0</v>
      </c>
      <c r="F619">
        <f>IF(AND(H618&lt;5000,cukier11[[#This Row],[czy_nastapiła_zmiana_mies]]=1),ROUNDUP((5000-H618)/1000,0),0)</f>
        <v>0</v>
      </c>
      <c r="G619">
        <f t="shared" si="9"/>
        <v>4491</v>
      </c>
      <c r="H619">
        <f>cukier11[[#This Row],[stan_magazynu]]-cukier11[[#This Row],[sprzedany_cukier]]</f>
        <v>4126</v>
      </c>
      <c r="I619" s="9">
        <f>cukier11[[#This Row],[stan_po_sprzedazy]]+cukier11[[#This Row],[ile_dokupic]]*1000</f>
        <v>4126</v>
      </c>
    </row>
    <row r="620" spans="1:9" x14ac:dyDescent="0.25">
      <c r="A620" s="1">
        <v>39484</v>
      </c>
      <c r="B620" t="s">
        <v>112</v>
      </c>
      <c r="C620">
        <v>16</v>
      </c>
      <c r="D620">
        <f>MONTH(cukier11[[#This Row],[data]])</f>
        <v>2</v>
      </c>
      <c r="E620">
        <f>IF(D621&lt;&gt;cukier11[[#This Row],[miesiac]],1,0)</f>
        <v>0</v>
      </c>
      <c r="F620">
        <f>IF(AND(H619&lt;5000,cukier11[[#This Row],[czy_nastapiła_zmiana_mies]]=1),ROUNDUP((5000-H619)/1000,0),0)</f>
        <v>0</v>
      </c>
      <c r="G620">
        <f t="shared" si="9"/>
        <v>4126</v>
      </c>
      <c r="H620">
        <f>cukier11[[#This Row],[stan_magazynu]]-cukier11[[#This Row],[sprzedany_cukier]]</f>
        <v>4110</v>
      </c>
      <c r="I620" s="9">
        <f>cukier11[[#This Row],[stan_po_sprzedazy]]+cukier11[[#This Row],[ile_dokupic]]*1000</f>
        <v>4110</v>
      </c>
    </row>
    <row r="621" spans="1:9" x14ac:dyDescent="0.25">
      <c r="A621" s="1">
        <v>39485</v>
      </c>
      <c r="B621" t="s">
        <v>5</v>
      </c>
      <c r="C621">
        <v>211</v>
      </c>
      <c r="D621">
        <f>MONTH(cukier11[[#This Row],[data]])</f>
        <v>2</v>
      </c>
      <c r="E621">
        <f>IF(D622&lt;&gt;cukier11[[#This Row],[miesiac]],1,0)</f>
        <v>0</v>
      </c>
      <c r="F621">
        <f>IF(AND(H620&lt;5000,cukier11[[#This Row],[czy_nastapiła_zmiana_mies]]=1),ROUNDUP((5000-H620)/1000,0),0)</f>
        <v>0</v>
      </c>
      <c r="G621">
        <f t="shared" si="9"/>
        <v>4110</v>
      </c>
      <c r="H621">
        <f>cukier11[[#This Row],[stan_magazynu]]-cukier11[[#This Row],[sprzedany_cukier]]</f>
        <v>3899</v>
      </c>
      <c r="I621" s="9">
        <f>cukier11[[#This Row],[stan_po_sprzedazy]]+cukier11[[#This Row],[ile_dokupic]]*1000</f>
        <v>3899</v>
      </c>
    </row>
    <row r="622" spans="1:9" x14ac:dyDescent="0.25">
      <c r="A622" s="1">
        <v>39489</v>
      </c>
      <c r="B622" t="s">
        <v>45</v>
      </c>
      <c r="C622">
        <v>196</v>
      </c>
      <c r="D622">
        <f>MONTH(cukier11[[#This Row],[data]])</f>
        <v>2</v>
      </c>
      <c r="E622">
        <f>IF(D623&lt;&gt;cukier11[[#This Row],[miesiac]],1,0)</f>
        <v>0</v>
      </c>
      <c r="F622">
        <f>IF(AND(H621&lt;5000,cukier11[[#This Row],[czy_nastapiła_zmiana_mies]]=1),ROUNDUP((5000-H621)/1000,0),0)</f>
        <v>0</v>
      </c>
      <c r="G622">
        <f t="shared" si="9"/>
        <v>3899</v>
      </c>
      <c r="H622">
        <f>cukier11[[#This Row],[stan_magazynu]]-cukier11[[#This Row],[sprzedany_cukier]]</f>
        <v>3703</v>
      </c>
      <c r="I622" s="9">
        <f>cukier11[[#This Row],[stan_po_sprzedazy]]+cukier11[[#This Row],[ile_dokupic]]*1000</f>
        <v>3703</v>
      </c>
    </row>
    <row r="623" spans="1:9" x14ac:dyDescent="0.25">
      <c r="A623" s="1">
        <v>39490</v>
      </c>
      <c r="B623" t="s">
        <v>155</v>
      </c>
      <c r="C623">
        <v>11</v>
      </c>
      <c r="D623">
        <f>MONTH(cukier11[[#This Row],[data]])</f>
        <v>2</v>
      </c>
      <c r="E623">
        <f>IF(D624&lt;&gt;cukier11[[#This Row],[miesiac]],1,0)</f>
        <v>0</v>
      </c>
      <c r="F623">
        <f>IF(AND(H622&lt;5000,cukier11[[#This Row],[czy_nastapiła_zmiana_mies]]=1),ROUNDUP((5000-H622)/1000,0),0)</f>
        <v>0</v>
      </c>
      <c r="G623">
        <f t="shared" si="9"/>
        <v>3703</v>
      </c>
      <c r="H623">
        <f>cukier11[[#This Row],[stan_magazynu]]-cukier11[[#This Row],[sprzedany_cukier]]</f>
        <v>3692</v>
      </c>
      <c r="I623" s="9">
        <f>cukier11[[#This Row],[stan_po_sprzedazy]]+cukier11[[#This Row],[ile_dokupic]]*1000</f>
        <v>3692</v>
      </c>
    </row>
    <row r="624" spans="1:9" x14ac:dyDescent="0.25">
      <c r="A624" s="1">
        <v>39491</v>
      </c>
      <c r="B624" t="s">
        <v>112</v>
      </c>
      <c r="C624">
        <v>17</v>
      </c>
      <c r="D624">
        <f>MONTH(cukier11[[#This Row],[data]])</f>
        <v>2</v>
      </c>
      <c r="E624">
        <f>IF(D625&lt;&gt;cukier11[[#This Row],[miesiac]],1,0)</f>
        <v>0</v>
      </c>
      <c r="F624">
        <f>IF(AND(H623&lt;5000,cukier11[[#This Row],[czy_nastapiła_zmiana_mies]]=1),ROUNDUP((5000-H623)/1000,0),0)</f>
        <v>0</v>
      </c>
      <c r="G624">
        <f t="shared" si="9"/>
        <v>3692</v>
      </c>
      <c r="H624">
        <f>cukier11[[#This Row],[stan_magazynu]]-cukier11[[#This Row],[sprzedany_cukier]]</f>
        <v>3675</v>
      </c>
      <c r="I624" s="9">
        <f>cukier11[[#This Row],[stan_po_sprzedazy]]+cukier11[[#This Row],[ile_dokupic]]*1000</f>
        <v>3675</v>
      </c>
    </row>
    <row r="625" spans="1:9" x14ac:dyDescent="0.25">
      <c r="A625" s="1">
        <v>39494</v>
      </c>
      <c r="B625" t="s">
        <v>66</v>
      </c>
      <c r="C625">
        <v>62</v>
      </c>
      <c r="D625">
        <f>MONTH(cukier11[[#This Row],[data]])</f>
        <v>2</v>
      </c>
      <c r="E625">
        <f>IF(D626&lt;&gt;cukier11[[#This Row],[miesiac]],1,0)</f>
        <v>0</v>
      </c>
      <c r="F625">
        <f>IF(AND(H624&lt;5000,cukier11[[#This Row],[czy_nastapiła_zmiana_mies]]=1),ROUNDUP((5000-H624)/1000,0),0)</f>
        <v>0</v>
      </c>
      <c r="G625">
        <f t="shared" si="9"/>
        <v>3675</v>
      </c>
      <c r="H625">
        <f>cukier11[[#This Row],[stan_magazynu]]-cukier11[[#This Row],[sprzedany_cukier]]</f>
        <v>3613</v>
      </c>
      <c r="I625" s="9">
        <f>cukier11[[#This Row],[stan_po_sprzedazy]]+cukier11[[#This Row],[ile_dokupic]]*1000</f>
        <v>3613</v>
      </c>
    </row>
    <row r="626" spans="1:9" x14ac:dyDescent="0.25">
      <c r="A626" s="1">
        <v>39494</v>
      </c>
      <c r="B626" t="s">
        <v>9</v>
      </c>
      <c r="C626">
        <v>103</v>
      </c>
      <c r="D626">
        <f>MONTH(cukier11[[#This Row],[data]])</f>
        <v>2</v>
      </c>
      <c r="E626">
        <f>IF(D627&lt;&gt;cukier11[[#This Row],[miesiac]],1,0)</f>
        <v>0</v>
      </c>
      <c r="F626">
        <f>IF(AND(H625&lt;5000,cukier11[[#This Row],[czy_nastapiła_zmiana_mies]]=1),ROUNDUP((5000-H625)/1000,0),0)</f>
        <v>0</v>
      </c>
      <c r="G626">
        <f t="shared" si="9"/>
        <v>3613</v>
      </c>
      <c r="H626">
        <f>cukier11[[#This Row],[stan_magazynu]]-cukier11[[#This Row],[sprzedany_cukier]]</f>
        <v>3510</v>
      </c>
      <c r="I626" s="9">
        <f>cukier11[[#This Row],[stan_po_sprzedazy]]+cukier11[[#This Row],[ile_dokupic]]*1000</f>
        <v>3510</v>
      </c>
    </row>
    <row r="627" spans="1:9" x14ac:dyDescent="0.25">
      <c r="A627" s="1">
        <v>39494</v>
      </c>
      <c r="B627" t="s">
        <v>32</v>
      </c>
      <c r="C627">
        <v>9</v>
      </c>
      <c r="D627">
        <f>MONTH(cukier11[[#This Row],[data]])</f>
        <v>2</v>
      </c>
      <c r="E627">
        <f>IF(D628&lt;&gt;cukier11[[#This Row],[miesiac]],1,0)</f>
        <v>0</v>
      </c>
      <c r="F627">
        <f>IF(AND(H626&lt;5000,cukier11[[#This Row],[czy_nastapiła_zmiana_mies]]=1),ROUNDUP((5000-H626)/1000,0),0)</f>
        <v>0</v>
      </c>
      <c r="G627">
        <f t="shared" si="9"/>
        <v>3510</v>
      </c>
      <c r="H627">
        <f>cukier11[[#This Row],[stan_magazynu]]-cukier11[[#This Row],[sprzedany_cukier]]</f>
        <v>3501</v>
      </c>
      <c r="I627" s="9">
        <f>cukier11[[#This Row],[stan_po_sprzedazy]]+cukier11[[#This Row],[ile_dokupic]]*1000</f>
        <v>3501</v>
      </c>
    </row>
    <row r="628" spans="1:9" x14ac:dyDescent="0.25">
      <c r="A628" s="1">
        <v>39495</v>
      </c>
      <c r="B628" t="s">
        <v>156</v>
      </c>
      <c r="C628">
        <v>5</v>
      </c>
      <c r="D628">
        <f>MONTH(cukier11[[#This Row],[data]])</f>
        <v>2</v>
      </c>
      <c r="E628">
        <f>IF(D629&lt;&gt;cukier11[[#This Row],[miesiac]],1,0)</f>
        <v>0</v>
      </c>
      <c r="F628">
        <f>IF(AND(H627&lt;5000,cukier11[[#This Row],[czy_nastapiła_zmiana_mies]]=1),ROUNDUP((5000-H627)/1000,0),0)</f>
        <v>0</v>
      </c>
      <c r="G628">
        <f t="shared" si="9"/>
        <v>3501</v>
      </c>
      <c r="H628">
        <f>cukier11[[#This Row],[stan_magazynu]]-cukier11[[#This Row],[sprzedany_cukier]]</f>
        <v>3496</v>
      </c>
      <c r="I628" s="9">
        <f>cukier11[[#This Row],[stan_po_sprzedazy]]+cukier11[[#This Row],[ile_dokupic]]*1000</f>
        <v>3496</v>
      </c>
    </row>
    <row r="629" spans="1:9" x14ac:dyDescent="0.25">
      <c r="A629" s="1">
        <v>39495</v>
      </c>
      <c r="B629" t="s">
        <v>45</v>
      </c>
      <c r="C629">
        <v>452</v>
      </c>
      <c r="D629">
        <f>MONTH(cukier11[[#This Row],[data]])</f>
        <v>2</v>
      </c>
      <c r="E629">
        <f>IF(D630&lt;&gt;cukier11[[#This Row],[miesiac]],1,0)</f>
        <v>0</v>
      </c>
      <c r="F629">
        <f>IF(AND(H628&lt;5000,cukier11[[#This Row],[czy_nastapiła_zmiana_mies]]=1),ROUNDUP((5000-H628)/1000,0),0)</f>
        <v>0</v>
      </c>
      <c r="G629">
        <f t="shared" si="9"/>
        <v>3496</v>
      </c>
      <c r="H629">
        <f>cukier11[[#This Row],[stan_magazynu]]-cukier11[[#This Row],[sprzedany_cukier]]</f>
        <v>3044</v>
      </c>
      <c r="I629" s="9">
        <f>cukier11[[#This Row],[stan_po_sprzedazy]]+cukier11[[#This Row],[ile_dokupic]]*1000</f>
        <v>3044</v>
      </c>
    </row>
    <row r="630" spans="1:9" x14ac:dyDescent="0.25">
      <c r="A630" s="1">
        <v>39496</v>
      </c>
      <c r="B630" t="s">
        <v>157</v>
      </c>
      <c r="C630">
        <v>2</v>
      </c>
      <c r="D630">
        <f>MONTH(cukier11[[#This Row],[data]])</f>
        <v>2</v>
      </c>
      <c r="E630">
        <f>IF(D631&lt;&gt;cukier11[[#This Row],[miesiac]],1,0)</f>
        <v>0</v>
      </c>
      <c r="F630">
        <f>IF(AND(H629&lt;5000,cukier11[[#This Row],[czy_nastapiła_zmiana_mies]]=1),ROUNDUP((5000-H629)/1000,0),0)</f>
        <v>0</v>
      </c>
      <c r="G630">
        <f t="shared" si="9"/>
        <v>3044</v>
      </c>
      <c r="H630">
        <f>cukier11[[#This Row],[stan_magazynu]]-cukier11[[#This Row],[sprzedany_cukier]]</f>
        <v>3042</v>
      </c>
      <c r="I630" s="9">
        <f>cukier11[[#This Row],[stan_po_sprzedazy]]+cukier11[[#This Row],[ile_dokupic]]*1000</f>
        <v>3042</v>
      </c>
    </row>
    <row r="631" spans="1:9" x14ac:dyDescent="0.25">
      <c r="A631" s="1">
        <v>39497</v>
      </c>
      <c r="B631" t="s">
        <v>50</v>
      </c>
      <c r="C631">
        <v>335</v>
      </c>
      <c r="D631">
        <f>MONTH(cukier11[[#This Row],[data]])</f>
        <v>2</v>
      </c>
      <c r="E631">
        <f>IF(D632&lt;&gt;cukier11[[#This Row],[miesiac]],1,0)</f>
        <v>0</v>
      </c>
      <c r="F631">
        <f>IF(AND(H630&lt;5000,cukier11[[#This Row],[czy_nastapiła_zmiana_mies]]=1),ROUNDUP((5000-H630)/1000,0),0)</f>
        <v>0</v>
      </c>
      <c r="G631">
        <f t="shared" si="9"/>
        <v>3042</v>
      </c>
      <c r="H631">
        <f>cukier11[[#This Row],[stan_magazynu]]-cukier11[[#This Row],[sprzedany_cukier]]</f>
        <v>2707</v>
      </c>
      <c r="I631" s="9">
        <f>cukier11[[#This Row],[stan_po_sprzedazy]]+cukier11[[#This Row],[ile_dokupic]]*1000</f>
        <v>2707</v>
      </c>
    </row>
    <row r="632" spans="1:9" x14ac:dyDescent="0.25">
      <c r="A632" s="1">
        <v>39498</v>
      </c>
      <c r="B632" t="s">
        <v>158</v>
      </c>
      <c r="C632">
        <v>12</v>
      </c>
      <c r="D632">
        <f>MONTH(cukier11[[#This Row],[data]])</f>
        <v>2</v>
      </c>
      <c r="E632">
        <f>IF(D633&lt;&gt;cukier11[[#This Row],[miesiac]],1,0)</f>
        <v>0</v>
      </c>
      <c r="F632">
        <f>IF(AND(H631&lt;5000,cukier11[[#This Row],[czy_nastapiła_zmiana_mies]]=1),ROUNDUP((5000-H631)/1000,0),0)</f>
        <v>0</v>
      </c>
      <c r="G632">
        <f t="shared" si="9"/>
        <v>2707</v>
      </c>
      <c r="H632">
        <f>cukier11[[#This Row],[stan_magazynu]]-cukier11[[#This Row],[sprzedany_cukier]]</f>
        <v>2695</v>
      </c>
      <c r="I632" s="9">
        <f>cukier11[[#This Row],[stan_po_sprzedazy]]+cukier11[[#This Row],[ile_dokupic]]*1000</f>
        <v>2695</v>
      </c>
    </row>
    <row r="633" spans="1:9" x14ac:dyDescent="0.25">
      <c r="A633" s="1">
        <v>39499</v>
      </c>
      <c r="B633" t="s">
        <v>79</v>
      </c>
      <c r="C633">
        <v>12</v>
      </c>
      <c r="D633">
        <f>MONTH(cukier11[[#This Row],[data]])</f>
        <v>2</v>
      </c>
      <c r="E633">
        <f>IF(D634&lt;&gt;cukier11[[#This Row],[miesiac]],1,0)</f>
        <v>0</v>
      </c>
      <c r="F633">
        <f>IF(AND(H632&lt;5000,cukier11[[#This Row],[czy_nastapiła_zmiana_mies]]=1),ROUNDUP((5000-H632)/1000,0),0)</f>
        <v>0</v>
      </c>
      <c r="G633">
        <f t="shared" si="9"/>
        <v>2695</v>
      </c>
      <c r="H633">
        <f>cukier11[[#This Row],[stan_magazynu]]-cukier11[[#This Row],[sprzedany_cukier]]</f>
        <v>2683</v>
      </c>
      <c r="I633" s="9">
        <f>cukier11[[#This Row],[stan_po_sprzedazy]]+cukier11[[#This Row],[ile_dokupic]]*1000</f>
        <v>2683</v>
      </c>
    </row>
    <row r="634" spans="1:9" x14ac:dyDescent="0.25">
      <c r="A634" s="1">
        <v>39500</v>
      </c>
      <c r="B634" t="s">
        <v>159</v>
      </c>
      <c r="C634">
        <v>5</v>
      </c>
      <c r="D634">
        <f>MONTH(cukier11[[#This Row],[data]])</f>
        <v>2</v>
      </c>
      <c r="E634">
        <f>IF(D635&lt;&gt;cukier11[[#This Row],[miesiac]],1,0)</f>
        <v>0</v>
      </c>
      <c r="F634">
        <f>IF(AND(H633&lt;5000,cukier11[[#This Row],[czy_nastapiła_zmiana_mies]]=1),ROUNDUP((5000-H633)/1000,0),0)</f>
        <v>0</v>
      </c>
      <c r="G634">
        <f t="shared" si="9"/>
        <v>2683</v>
      </c>
      <c r="H634">
        <f>cukier11[[#This Row],[stan_magazynu]]-cukier11[[#This Row],[sprzedany_cukier]]</f>
        <v>2678</v>
      </c>
      <c r="I634" s="9">
        <f>cukier11[[#This Row],[stan_po_sprzedazy]]+cukier11[[#This Row],[ile_dokupic]]*1000</f>
        <v>2678</v>
      </c>
    </row>
    <row r="635" spans="1:9" x14ac:dyDescent="0.25">
      <c r="A635" s="1">
        <v>39500</v>
      </c>
      <c r="B635" t="s">
        <v>160</v>
      </c>
      <c r="C635">
        <v>2</v>
      </c>
      <c r="D635">
        <f>MONTH(cukier11[[#This Row],[data]])</f>
        <v>2</v>
      </c>
      <c r="E635">
        <f>IF(D636&lt;&gt;cukier11[[#This Row],[miesiac]],1,0)</f>
        <v>0</v>
      </c>
      <c r="F635">
        <f>IF(AND(H634&lt;5000,cukier11[[#This Row],[czy_nastapiła_zmiana_mies]]=1),ROUNDUP((5000-H634)/1000,0),0)</f>
        <v>0</v>
      </c>
      <c r="G635">
        <f t="shared" si="9"/>
        <v>2678</v>
      </c>
      <c r="H635">
        <f>cukier11[[#This Row],[stan_magazynu]]-cukier11[[#This Row],[sprzedany_cukier]]</f>
        <v>2676</v>
      </c>
      <c r="I635" s="9">
        <f>cukier11[[#This Row],[stan_po_sprzedazy]]+cukier11[[#This Row],[ile_dokupic]]*1000</f>
        <v>2676</v>
      </c>
    </row>
    <row r="636" spans="1:9" x14ac:dyDescent="0.25">
      <c r="A636" s="1">
        <v>39501</v>
      </c>
      <c r="B636" t="s">
        <v>161</v>
      </c>
      <c r="C636">
        <v>10</v>
      </c>
      <c r="D636">
        <f>MONTH(cukier11[[#This Row],[data]])</f>
        <v>2</v>
      </c>
      <c r="E636">
        <f>IF(D637&lt;&gt;cukier11[[#This Row],[miesiac]],1,0)</f>
        <v>0</v>
      </c>
      <c r="F636">
        <f>IF(AND(H635&lt;5000,cukier11[[#This Row],[czy_nastapiła_zmiana_mies]]=1),ROUNDUP((5000-H635)/1000,0),0)</f>
        <v>0</v>
      </c>
      <c r="G636">
        <f t="shared" si="9"/>
        <v>2676</v>
      </c>
      <c r="H636">
        <f>cukier11[[#This Row],[stan_magazynu]]-cukier11[[#This Row],[sprzedany_cukier]]</f>
        <v>2666</v>
      </c>
      <c r="I636" s="9">
        <f>cukier11[[#This Row],[stan_po_sprzedazy]]+cukier11[[#This Row],[ile_dokupic]]*1000</f>
        <v>2666</v>
      </c>
    </row>
    <row r="637" spans="1:9" x14ac:dyDescent="0.25">
      <c r="A637" s="1">
        <v>39503</v>
      </c>
      <c r="B637" t="s">
        <v>45</v>
      </c>
      <c r="C637">
        <v>308</v>
      </c>
      <c r="D637">
        <f>MONTH(cukier11[[#This Row],[data]])</f>
        <v>2</v>
      </c>
      <c r="E637">
        <f>IF(D638&lt;&gt;cukier11[[#This Row],[miesiac]],1,0)</f>
        <v>0</v>
      </c>
      <c r="F637">
        <f>IF(AND(H636&lt;5000,cukier11[[#This Row],[czy_nastapiła_zmiana_mies]]=1),ROUNDUP((5000-H636)/1000,0),0)</f>
        <v>0</v>
      </c>
      <c r="G637">
        <f t="shared" si="9"/>
        <v>2666</v>
      </c>
      <c r="H637">
        <f>cukier11[[#This Row],[stan_magazynu]]-cukier11[[#This Row],[sprzedany_cukier]]</f>
        <v>2358</v>
      </c>
      <c r="I637" s="9">
        <f>cukier11[[#This Row],[stan_po_sprzedazy]]+cukier11[[#This Row],[ile_dokupic]]*1000</f>
        <v>2358</v>
      </c>
    </row>
    <row r="638" spans="1:9" x14ac:dyDescent="0.25">
      <c r="A638" s="1">
        <v>39505</v>
      </c>
      <c r="B638" t="s">
        <v>119</v>
      </c>
      <c r="C638">
        <v>5</v>
      </c>
      <c r="D638">
        <f>MONTH(cukier11[[#This Row],[data]])</f>
        <v>2</v>
      </c>
      <c r="E638">
        <f>IF(D639&lt;&gt;cukier11[[#This Row],[miesiac]],1,0)</f>
        <v>0</v>
      </c>
      <c r="F638">
        <f>IF(AND(H637&lt;5000,cukier11[[#This Row],[czy_nastapiła_zmiana_mies]]=1),ROUNDUP((5000-H637)/1000,0),0)</f>
        <v>0</v>
      </c>
      <c r="G638">
        <f t="shared" si="9"/>
        <v>2358</v>
      </c>
      <c r="H638">
        <f>cukier11[[#This Row],[stan_magazynu]]-cukier11[[#This Row],[sprzedany_cukier]]</f>
        <v>2353</v>
      </c>
      <c r="I638" s="9">
        <f>cukier11[[#This Row],[stan_po_sprzedazy]]+cukier11[[#This Row],[ile_dokupic]]*1000</f>
        <v>2353</v>
      </c>
    </row>
    <row r="639" spans="1:9" x14ac:dyDescent="0.25">
      <c r="A639" s="1">
        <v>39505</v>
      </c>
      <c r="B639" t="s">
        <v>14</v>
      </c>
      <c r="C639">
        <v>446</v>
      </c>
      <c r="D639">
        <f>MONTH(cukier11[[#This Row],[data]])</f>
        <v>2</v>
      </c>
      <c r="E639">
        <f>IF(D640&lt;&gt;cukier11[[#This Row],[miesiac]],1,0)</f>
        <v>0</v>
      </c>
      <c r="F639">
        <f>IF(AND(H638&lt;5000,cukier11[[#This Row],[czy_nastapiła_zmiana_mies]]=1),ROUNDUP((5000-H638)/1000,0),0)</f>
        <v>0</v>
      </c>
      <c r="G639">
        <f t="shared" si="9"/>
        <v>2353</v>
      </c>
      <c r="H639">
        <f>cukier11[[#This Row],[stan_magazynu]]-cukier11[[#This Row],[sprzedany_cukier]]</f>
        <v>1907</v>
      </c>
      <c r="I639" s="9">
        <f>cukier11[[#This Row],[stan_po_sprzedazy]]+cukier11[[#This Row],[ile_dokupic]]*1000</f>
        <v>1907</v>
      </c>
    </row>
    <row r="640" spans="1:9" x14ac:dyDescent="0.25">
      <c r="A640" s="1">
        <v>39506</v>
      </c>
      <c r="B640" t="s">
        <v>7</v>
      </c>
      <c r="C640">
        <v>281</v>
      </c>
      <c r="D640">
        <f>MONTH(cukier11[[#This Row],[data]])</f>
        <v>2</v>
      </c>
      <c r="E640">
        <f>IF(D641&lt;&gt;cukier11[[#This Row],[miesiac]],1,0)</f>
        <v>1</v>
      </c>
      <c r="F640">
        <f>IF(AND(H639&lt;5000,cukier11[[#This Row],[czy_nastapiła_zmiana_mies]]=1),ROUNDUP((5000-H639)/1000,0),0)</f>
        <v>4</v>
      </c>
      <c r="G640">
        <f t="shared" si="9"/>
        <v>1907</v>
      </c>
      <c r="H640">
        <f>cukier11[[#This Row],[stan_magazynu]]-cukier11[[#This Row],[sprzedany_cukier]]</f>
        <v>1626</v>
      </c>
      <c r="I640" s="9">
        <f>cukier11[[#This Row],[stan_po_sprzedazy]]+cukier11[[#This Row],[ile_dokupic]]*1000</f>
        <v>5626</v>
      </c>
    </row>
    <row r="641" spans="1:9" x14ac:dyDescent="0.25">
      <c r="A641" s="1">
        <v>39510</v>
      </c>
      <c r="B641" t="s">
        <v>11</v>
      </c>
      <c r="C641">
        <v>6</v>
      </c>
      <c r="D641">
        <f>MONTH(cukier11[[#This Row],[data]])</f>
        <v>3</v>
      </c>
      <c r="E641">
        <f>IF(D642&lt;&gt;cukier11[[#This Row],[miesiac]],1,0)</f>
        <v>0</v>
      </c>
      <c r="F641">
        <f>IF(AND(H640&lt;5000,cukier11[[#This Row],[czy_nastapiła_zmiana_mies]]=1),ROUNDUP((5000-H640)/1000,0),0)</f>
        <v>0</v>
      </c>
      <c r="G641">
        <f t="shared" si="9"/>
        <v>5626</v>
      </c>
      <c r="H641">
        <f>cukier11[[#This Row],[stan_magazynu]]-cukier11[[#This Row],[sprzedany_cukier]]</f>
        <v>5620</v>
      </c>
      <c r="I641" s="9">
        <f>cukier11[[#This Row],[stan_po_sprzedazy]]+cukier11[[#This Row],[ile_dokupic]]*1000</f>
        <v>5620</v>
      </c>
    </row>
    <row r="642" spans="1:9" x14ac:dyDescent="0.25">
      <c r="A642" s="1">
        <v>39511</v>
      </c>
      <c r="B642" t="s">
        <v>7</v>
      </c>
      <c r="C642">
        <v>409</v>
      </c>
      <c r="D642">
        <f>MONTH(cukier11[[#This Row],[data]])</f>
        <v>3</v>
      </c>
      <c r="E642">
        <f>IF(D643&lt;&gt;cukier11[[#This Row],[miesiac]],1,0)</f>
        <v>0</v>
      </c>
      <c r="F642">
        <f>IF(AND(H641&lt;5000,cukier11[[#This Row],[czy_nastapiła_zmiana_mies]]=1),ROUNDUP((5000-H641)/1000,0),0)</f>
        <v>0</v>
      </c>
      <c r="G642">
        <f t="shared" si="9"/>
        <v>5620</v>
      </c>
      <c r="H642">
        <f>cukier11[[#This Row],[stan_magazynu]]-cukier11[[#This Row],[sprzedany_cukier]]</f>
        <v>5211</v>
      </c>
      <c r="I642" s="9">
        <f>cukier11[[#This Row],[stan_po_sprzedazy]]+cukier11[[#This Row],[ile_dokupic]]*1000</f>
        <v>5211</v>
      </c>
    </row>
    <row r="643" spans="1:9" x14ac:dyDescent="0.25">
      <c r="A643" s="1">
        <v>39511</v>
      </c>
      <c r="B643" t="s">
        <v>66</v>
      </c>
      <c r="C643">
        <v>191</v>
      </c>
      <c r="D643">
        <f>MONTH(cukier11[[#This Row],[data]])</f>
        <v>3</v>
      </c>
      <c r="E643">
        <f>IF(D644&lt;&gt;cukier11[[#This Row],[miesiac]],1,0)</f>
        <v>0</v>
      </c>
      <c r="F643">
        <f>IF(AND(H642&lt;5000,cukier11[[#This Row],[czy_nastapiła_zmiana_mies]]=1),ROUNDUP((5000-H642)/1000,0),0)</f>
        <v>0</v>
      </c>
      <c r="G643">
        <f t="shared" si="9"/>
        <v>5211</v>
      </c>
      <c r="H643">
        <f>cukier11[[#This Row],[stan_magazynu]]-cukier11[[#This Row],[sprzedany_cukier]]</f>
        <v>5020</v>
      </c>
      <c r="I643" s="9">
        <f>cukier11[[#This Row],[stan_po_sprzedazy]]+cukier11[[#This Row],[ile_dokupic]]*1000</f>
        <v>5020</v>
      </c>
    </row>
    <row r="644" spans="1:9" x14ac:dyDescent="0.25">
      <c r="A644" s="1">
        <v>39512</v>
      </c>
      <c r="B644" t="s">
        <v>50</v>
      </c>
      <c r="C644">
        <v>404</v>
      </c>
      <c r="D644">
        <f>MONTH(cukier11[[#This Row],[data]])</f>
        <v>3</v>
      </c>
      <c r="E644">
        <f>IF(D645&lt;&gt;cukier11[[#This Row],[miesiac]],1,0)</f>
        <v>0</v>
      </c>
      <c r="F644">
        <f>IF(AND(H643&lt;5000,cukier11[[#This Row],[czy_nastapiła_zmiana_mies]]=1),ROUNDUP((5000-H643)/1000,0),0)</f>
        <v>0</v>
      </c>
      <c r="G644">
        <f t="shared" ref="G644:G707" si="10">I643</f>
        <v>5020</v>
      </c>
      <c r="H644">
        <f>cukier11[[#This Row],[stan_magazynu]]-cukier11[[#This Row],[sprzedany_cukier]]</f>
        <v>4616</v>
      </c>
      <c r="I644" s="9">
        <f>cukier11[[#This Row],[stan_po_sprzedazy]]+cukier11[[#This Row],[ile_dokupic]]*1000</f>
        <v>4616</v>
      </c>
    </row>
    <row r="645" spans="1:9" x14ac:dyDescent="0.25">
      <c r="A645" s="1">
        <v>39512</v>
      </c>
      <c r="B645" t="s">
        <v>28</v>
      </c>
      <c r="C645">
        <v>135</v>
      </c>
      <c r="D645">
        <f>MONTH(cukier11[[#This Row],[data]])</f>
        <v>3</v>
      </c>
      <c r="E645">
        <f>IF(D646&lt;&gt;cukier11[[#This Row],[miesiac]],1,0)</f>
        <v>0</v>
      </c>
      <c r="F645">
        <f>IF(AND(H644&lt;5000,cukier11[[#This Row],[czy_nastapiła_zmiana_mies]]=1),ROUNDUP((5000-H644)/1000,0),0)</f>
        <v>0</v>
      </c>
      <c r="G645">
        <f t="shared" si="10"/>
        <v>4616</v>
      </c>
      <c r="H645">
        <f>cukier11[[#This Row],[stan_magazynu]]-cukier11[[#This Row],[sprzedany_cukier]]</f>
        <v>4481</v>
      </c>
      <c r="I645" s="9">
        <f>cukier11[[#This Row],[stan_po_sprzedazy]]+cukier11[[#This Row],[ile_dokupic]]*1000</f>
        <v>4481</v>
      </c>
    </row>
    <row r="646" spans="1:9" x14ac:dyDescent="0.25">
      <c r="A646" s="1">
        <v>39512</v>
      </c>
      <c r="B646" t="s">
        <v>27</v>
      </c>
      <c r="C646">
        <v>20</v>
      </c>
      <c r="D646">
        <f>MONTH(cukier11[[#This Row],[data]])</f>
        <v>3</v>
      </c>
      <c r="E646">
        <f>IF(D647&lt;&gt;cukier11[[#This Row],[miesiac]],1,0)</f>
        <v>0</v>
      </c>
      <c r="F646">
        <f>IF(AND(H645&lt;5000,cukier11[[#This Row],[czy_nastapiła_zmiana_mies]]=1),ROUNDUP((5000-H645)/1000,0),0)</f>
        <v>0</v>
      </c>
      <c r="G646">
        <f t="shared" si="10"/>
        <v>4481</v>
      </c>
      <c r="H646">
        <f>cukier11[[#This Row],[stan_magazynu]]-cukier11[[#This Row],[sprzedany_cukier]]</f>
        <v>4461</v>
      </c>
      <c r="I646" s="9">
        <f>cukier11[[#This Row],[stan_po_sprzedazy]]+cukier11[[#This Row],[ile_dokupic]]*1000</f>
        <v>4461</v>
      </c>
    </row>
    <row r="647" spans="1:9" x14ac:dyDescent="0.25">
      <c r="A647" s="1">
        <v>39514</v>
      </c>
      <c r="B647" t="s">
        <v>58</v>
      </c>
      <c r="C647">
        <v>54</v>
      </c>
      <c r="D647">
        <f>MONTH(cukier11[[#This Row],[data]])</f>
        <v>3</v>
      </c>
      <c r="E647">
        <f>IF(D648&lt;&gt;cukier11[[#This Row],[miesiac]],1,0)</f>
        <v>0</v>
      </c>
      <c r="F647">
        <f>IF(AND(H646&lt;5000,cukier11[[#This Row],[czy_nastapiła_zmiana_mies]]=1),ROUNDUP((5000-H646)/1000,0),0)</f>
        <v>0</v>
      </c>
      <c r="G647">
        <f t="shared" si="10"/>
        <v>4461</v>
      </c>
      <c r="H647">
        <f>cukier11[[#This Row],[stan_magazynu]]-cukier11[[#This Row],[sprzedany_cukier]]</f>
        <v>4407</v>
      </c>
      <c r="I647" s="9">
        <f>cukier11[[#This Row],[stan_po_sprzedazy]]+cukier11[[#This Row],[ile_dokupic]]*1000</f>
        <v>4407</v>
      </c>
    </row>
    <row r="648" spans="1:9" x14ac:dyDescent="0.25">
      <c r="A648" s="1">
        <v>39514</v>
      </c>
      <c r="B648" t="s">
        <v>52</v>
      </c>
      <c r="C648">
        <v>129</v>
      </c>
      <c r="D648">
        <f>MONTH(cukier11[[#This Row],[data]])</f>
        <v>3</v>
      </c>
      <c r="E648">
        <f>IF(D649&lt;&gt;cukier11[[#This Row],[miesiac]],1,0)</f>
        <v>0</v>
      </c>
      <c r="F648">
        <f>IF(AND(H647&lt;5000,cukier11[[#This Row],[czy_nastapiła_zmiana_mies]]=1),ROUNDUP((5000-H647)/1000,0),0)</f>
        <v>0</v>
      </c>
      <c r="G648">
        <f t="shared" si="10"/>
        <v>4407</v>
      </c>
      <c r="H648">
        <f>cukier11[[#This Row],[stan_magazynu]]-cukier11[[#This Row],[sprzedany_cukier]]</f>
        <v>4278</v>
      </c>
      <c r="I648" s="9">
        <f>cukier11[[#This Row],[stan_po_sprzedazy]]+cukier11[[#This Row],[ile_dokupic]]*1000</f>
        <v>4278</v>
      </c>
    </row>
    <row r="649" spans="1:9" x14ac:dyDescent="0.25">
      <c r="A649" s="1">
        <v>39517</v>
      </c>
      <c r="B649" t="s">
        <v>162</v>
      </c>
      <c r="C649">
        <v>11</v>
      </c>
      <c r="D649">
        <f>MONTH(cukier11[[#This Row],[data]])</f>
        <v>3</v>
      </c>
      <c r="E649">
        <f>IF(D650&lt;&gt;cukier11[[#This Row],[miesiac]],1,0)</f>
        <v>0</v>
      </c>
      <c r="F649">
        <f>IF(AND(H648&lt;5000,cukier11[[#This Row],[czy_nastapiła_zmiana_mies]]=1),ROUNDUP((5000-H648)/1000,0),0)</f>
        <v>0</v>
      </c>
      <c r="G649">
        <f t="shared" si="10"/>
        <v>4278</v>
      </c>
      <c r="H649">
        <f>cukier11[[#This Row],[stan_magazynu]]-cukier11[[#This Row],[sprzedany_cukier]]</f>
        <v>4267</v>
      </c>
      <c r="I649" s="9">
        <f>cukier11[[#This Row],[stan_po_sprzedazy]]+cukier11[[#This Row],[ile_dokupic]]*1000</f>
        <v>4267</v>
      </c>
    </row>
    <row r="650" spans="1:9" x14ac:dyDescent="0.25">
      <c r="A650" s="1">
        <v>39518</v>
      </c>
      <c r="B650" t="s">
        <v>22</v>
      </c>
      <c r="C650">
        <v>383</v>
      </c>
      <c r="D650">
        <f>MONTH(cukier11[[#This Row],[data]])</f>
        <v>3</v>
      </c>
      <c r="E650">
        <f>IF(D651&lt;&gt;cukier11[[#This Row],[miesiac]],1,0)</f>
        <v>0</v>
      </c>
      <c r="F650">
        <f>IF(AND(H649&lt;5000,cukier11[[#This Row],[czy_nastapiła_zmiana_mies]]=1),ROUNDUP((5000-H649)/1000,0),0)</f>
        <v>0</v>
      </c>
      <c r="G650">
        <f t="shared" si="10"/>
        <v>4267</v>
      </c>
      <c r="H650">
        <f>cukier11[[#This Row],[stan_magazynu]]-cukier11[[#This Row],[sprzedany_cukier]]</f>
        <v>3884</v>
      </c>
      <c r="I650" s="9">
        <f>cukier11[[#This Row],[stan_po_sprzedazy]]+cukier11[[#This Row],[ile_dokupic]]*1000</f>
        <v>3884</v>
      </c>
    </row>
    <row r="651" spans="1:9" x14ac:dyDescent="0.25">
      <c r="A651" s="1">
        <v>39519</v>
      </c>
      <c r="B651" t="s">
        <v>10</v>
      </c>
      <c r="C651">
        <v>46</v>
      </c>
      <c r="D651">
        <f>MONTH(cukier11[[#This Row],[data]])</f>
        <v>3</v>
      </c>
      <c r="E651">
        <f>IF(D652&lt;&gt;cukier11[[#This Row],[miesiac]],1,0)</f>
        <v>0</v>
      </c>
      <c r="F651">
        <f>IF(AND(H650&lt;5000,cukier11[[#This Row],[czy_nastapiła_zmiana_mies]]=1),ROUNDUP((5000-H650)/1000,0),0)</f>
        <v>0</v>
      </c>
      <c r="G651">
        <f t="shared" si="10"/>
        <v>3884</v>
      </c>
      <c r="H651">
        <f>cukier11[[#This Row],[stan_magazynu]]-cukier11[[#This Row],[sprzedany_cukier]]</f>
        <v>3838</v>
      </c>
      <c r="I651" s="9">
        <f>cukier11[[#This Row],[stan_po_sprzedazy]]+cukier11[[#This Row],[ile_dokupic]]*1000</f>
        <v>3838</v>
      </c>
    </row>
    <row r="652" spans="1:9" x14ac:dyDescent="0.25">
      <c r="A652" s="1">
        <v>39520</v>
      </c>
      <c r="B652" t="s">
        <v>131</v>
      </c>
      <c r="C652">
        <v>61</v>
      </c>
      <c r="D652">
        <f>MONTH(cukier11[[#This Row],[data]])</f>
        <v>3</v>
      </c>
      <c r="E652">
        <f>IF(D653&lt;&gt;cukier11[[#This Row],[miesiac]],1,0)</f>
        <v>0</v>
      </c>
      <c r="F652">
        <f>IF(AND(H651&lt;5000,cukier11[[#This Row],[czy_nastapiła_zmiana_mies]]=1),ROUNDUP((5000-H651)/1000,0),0)</f>
        <v>0</v>
      </c>
      <c r="G652">
        <f t="shared" si="10"/>
        <v>3838</v>
      </c>
      <c r="H652">
        <f>cukier11[[#This Row],[stan_magazynu]]-cukier11[[#This Row],[sprzedany_cukier]]</f>
        <v>3777</v>
      </c>
      <c r="I652" s="9">
        <f>cukier11[[#This Row],[stan_po_sprzedazy]]+cukier11[[#This Row],[ile_dokupic]]*1000</f>
        <v>3777</v>
      </c>
    </row>
    <row r="653" spans="1:9" x14ac:dyDescent="0.25">
      <c r="A653" s="1">
        <v>39522</v>
      </c>
      <c r="B653" t="s">
        <v>28</v>
      </c>
      <c r="C653">
        <v>166</v>
      </c>
      <c r="D653">
        <f>MONTH(cukier11[[#This Row],[data]])</f>
        <v>3</v>
      </c>
      <c r="E653">
        <f>IF(D654&lt;&gt;cukier11[[#This Row],[miesiac]],1,0)</f>
        <v>0</v>
      </c>
      <c r="F653">
        <f>IF(AND(H652&lt;5000,cukier11[[#This Row],[czy_nastapiła_zmiana_mies]]=1),ROUNDUP((5000-H652)/1000,0),0)</f>
        <v>0</v>
      </c>
      <c r="G653">
        <f t="shared" si="10"/>
        <v>3777</v>
      </c>
      <c r="H653">
        <f>cukier11[[#This Row],[stan_magazynu]]-cukier11[[#This Row],[sprzedany_cukier]]</f>
        <v>3611</v>
      </c>
      <c r="I653" s="9">
        <f>cukier11[[#This Row],[stan_po_sprzedazy]]+cukier11[[#This Row],[ile_dokupic]]*1000</f>
        <v>3611</v>
      </c>
    </row>
    <row r="654" spans="1:9" x14ac:dyDescent="0.25">
      <c r="A654" s="1">
        <v>39523</v>
      </c>
      <c r="B654" t="s">
        <v>69</v>
      </c>
      <c r="C654">
        <v>91</v>
      </c>
      <c r="D654">
        <f>MONTH(cukier11[[#This Row],[data]])</f>
        <v>3</v>
      </c>
      <c r="E654">
        <f>IF(D655&lt;&gt;cukier11[[#This Row],[miesiac]],1,0)</f>
        <v>0</v>
      </c>
      <c r="F654">
        <f>IF(AND(H653&lt;5000,cukier11[[#This Row],[czy_nastapiła_zmiana_mies]]=1),ROUNDUP((5000-H653)/1000,0),0)</f>
        <v>0</v>
      </c>
      <c r="G654">
        <f t="shared" si="10"/>
        <v>3611</v>
      </c>
      <c r="H654">
        <f>cukier11[[#This Row],[stan_magazynu]]-cukier11[[#This Row],[sprzedany_cukier]]</f>
        <v>3520</v>
      </c>
      <c r="I654" s="9">
        <f>cukier11[[#This Row],[stan_po_sprzedazy]]+cukier11[[#This Row],[ile_dokupic]]*1000</f>
        <v>3520</v>
      </c>
    </row>
    <row r="655" spans="1:9" x14ac:dyDescent="0.25">
      <c r="A655" s="1">
        <v>39524</v>
      </c>
      <c r="B655" t="s">
        <v>163</v>
      </c>
      <c r="C655">
        <v>10</v>
      </c>
      <c r="D655">
        <f>MONTH(cukier11[[#This Row],[data]])</f>
        <v>3</v>
      </c>
      <c r="E655">
        <f>IF(D656&lt;&gt;cukier11[[#This Row],[miesiac]],1,0)</f>
        <v>0</v>
      </c>
      <c r="F655">
        <f>IF(AND(H654&lt;5000,cukier11[[#This Row],[czy_nastapiła_zmiana_mies]]=1),ROUNDUP((5000-H654)/1000,0),0)</f>
        <v>0</v>
      </c>
      <c r="G655">
        <f t="shared" si="10"/>
        <v>3520</v>
      </c>
      <c r="H655">
        <f>cukier11[[#This Row],[stan_magazynu]]-cukier11[[#This Row],[sprzedany_cukier]]</f>
        <v>3510</v>
      </c>
      <c r="I655" s="9">
        <f>cukier11[[#This Row],[stan_po_sprzedazy]]+cukier11[[#This Row],[ile_dokupic]]*1000</f>
        <v>3510</v>
      </c>
    </row>
    <row r="656" spans="1:9" x14ac:dyDescent="0.25">
      <c r="A656" s="1">
        <v>39526</v>
      </c>
      <c r="B656" t="s">
        <v>164</v>
      </c>
      <c r="C656">
        <v>19</v>
      </c>
      <c r="D656">
        <f>MONTH(cukier11[[#This Row],[data]])</f>
        <v>3</v>
      </c>
      <c r="E656">
        <f>IF(D657&lt;&gt;cukier11[[#This Row],[miesiac]],1,0)</f>
        <v>0</v>
      </c>
      <c r="F656">
        <f>IF(AND(H655&lt;5000,cukier11[[#This Row],[czy_nastapiła_zmiana_mies]]=1),ROUNDUP((5000-H655)/1000,0),0)</f>
        <v>0</v>
      </c>
      <c r="G656">
        <f t="shared" si="10"/>
        <v>3510</v>
      </c>
      <c r="H656">
        <f>cukier11[[#This Row],[stan_magazynu]]-cukier11[[#This Row],[sprzedany_cukier]]</f>
        <v>3491</v>
      </c>
      <c r="I656" s="9">
        <f>cukier11[[#This Row],[stan_po_sprzedazy]]+cukier11[[#This Row],[ile_dokupic]]*1000</f>
        <v>3491</v>
      </c>
    </row>
    <row r="657" spans="1:9" x14ac:dyDescent="0.25">
      <c r="A657" s="1">
        <v>39526</v>
      </c>
      <c r="B657" t="s">
        <v>165</v>
      </c>
      <c r="C657">
        <v>2</v>
      </c>
      <c r="D657">
        <f>MONTH(cukier11[[#This Row],[data]])</f>
        <v>3</v>
      </c>
      <c r="E657">
        <f>IF(D658&lt;&gt;cukier11[[#This Row],[miesiac]],1,0)</f>
        <v>0</v>
      </c>
      <c r="F657">
        <f>IF(AND(H656&lt;5000,cukier11[[#This Row],[czy_nastapiła_zmiana_mies]]=1),ROUNDUP((5000-H656)/1000,0),0)</f>
        <v>0</v>
      </c>
      <c r="G657">
        <f t="shared" si="10"/>
        <v>3491</v>
      </c>
      <c r="H657">
        <f>cukier11[[#This Row],[stan_magazynu]]-cukier11[[#This Row],[sprzedany_cukier]]</f>
        <v>3489</v>
      </c>
      <c r="I657" s="9">
        <f>cukier11[[#This Row],[stan_po_sprzedazy]]+cukier11[[#This Row],[ile_dokupic]]*1000</f>
        <v>3489</v>
      </c>
    </row>
    <row r="658" spans="1:9" x14ac:dyDescent="0.25">
      <c r="A658" s="1">
        <v>39527</v>
      </c>
      <c r="B658" t="s">
        <v>35</v>
      </c>
      <c r="C658">
        <v>125</v>
      </c>
      <c r="D658">
        <f>MONTH(cukier11[[#This Row],[data]])</f>
        <v>3</v>
      </c>
      <c r="E658">
        <f>IF(D659&lt;&gt;cukier11[[#This Row],[miesiac]],1,0)</f>
        <v>0</v>
      </c>
      <c r="F658">
        <f>IF(AND(H657&lt;5000,cukier11[[#This Row],[czy_nastapiła_zmiana_mies]]=1),ROUNDUP((5000-H657)/1000,0),0)</f>
        <v>0</v>
      </c>
      <c r="G658">
        <f t="shared" si="10"/>
        <v>3489</v>
      </c>
      <c r="H658">
        <f>cukier11[[#This Row],[stan_magazynu]]-cukier11[[#This Row],[sprzedany_cukier]]</f>
        <v>3364</v>
      </c>
      <c r="I658" s="9">
        <f>cukier11[[#This Row],[stan_po_sprzedazy]]+cukier11[[#This Row],[ile_dokupic]]*1000</f>
        <v>3364</v>
      </c>
    </row>
    <row r="659" spans="1:9" x14ac:dyDescent="0.25">
      <c r="A659" s="1">
        <v>39527</v>
      </c>
      <c r="B659" t="s">
        <v>22</v>
      </c>
      <c r="C659">
        <v>248</v>
      </c>
      <c r="D659">
        <f>MONTH(cukier11[[#This Row],[data]])</f>
        <v>3</v>
      </c>
      <c r="E659">
        <f>IF(D660&lt;&gt;cukier11[[#This Row],[miesiac]],1,0)</f>
        <v>0</v>
      </c>
      <c r="F659">
        <f>IF(AND(H658&lt;5000,cukier11[[#This Row],[czy_nastapiła_zmiana_mies]]=1),ROUNDUP((5000-H658)/1000,0),0)</f>
        <v>0</v>
      </c>
      <c r="G659">
        <f t="shared" si="10"/>
        <v>3364</v>
      </c>
      <c r="H659">
        <f>cukier11[[#This Row],[stan_magazynu]]-cukier11[[#This Row],[sprzedany_cukier]]</f>
        <v>3116</v>
      </c>
      <c r="I659" s="9">
        <f>cukier11[[#This Row],[stan_po_sprzedazy]]+cukier11[[#This Row],[ile_dokupic]]*1000</f>
        <v>3116</v>
      </c>
    </row>
    <row r="660" spans="1:9" x14ac:dyDescent="0.25">
      <c r="A660" s="1">
        <v>39527</v>
      </c>
      <c r="B660" t="s">
        <v>102</v>
      </c>
      <c r="C660">
        <v>298</v>
      </c>
      <c r="D660">
        <f>MONTH(cukier11[[#This Row],[data]])</f>
        <v>3</v>
      </c>
      <c r="E660">
        <f>IF(D661&lt;&gt;cukier11[[#This Row],[miesiac]],1,0)</f>
        <v>0</v>
      </c>
      <c r="F660">
        <f>IF(AND(H659&lt;5000,cukier11[[#This Row],[czy_nastapiła_zmiana_mies]]=1),ROUNDUP((5000-H659)/1000,0),0)</f>
        <v>0</v>
      </c>
      <c r="G660">
        <f t="shared" si="10"/>
        <v>3116</v>
      </c>
      <c r="H660">
        <f>cukier11[[#This Row],[stan_magazynu]]-cukier11[[#This Row],[sprzedany_cukier]]</f>
        <v>2818</v>
      </c>
      <c r="I660" s="9">
        <f>cukier11[[#This Row],[stan_po_sprzedazy]]+cukier11[[#This Row],[ile_dokupic]]*1000</f>
        <v>2818</v>
      </c>
    </row>
    <row r="661" spans="1:9" x14ac:dyDescent="0.25">
      <c r="A661" s="1">
        <v>39528</v>
      </c>
      <c r="B661" t="s">
        <v>22</v>
      </c>
      <c r="C661">
        <v>406</v>
      </c>
      <c r="D661">
        <f>MONTH(cukier11[[#This Row],[data]])</f>
        <v>3</v>
      </c>
      <c r="E661">
        <f>IF(D662&lt;&gt;cukier11[[#This Row],[miesiac]],1,0)</f>
        <v>0</v>
      </c>
      <c r="F661">
        <f>IF(AND(H660&lt;5000,cukier11[[#This Row],[czy_nastapiła_zmiana_mies]]=1),ROUNDUP((5000-H660)/1000,0),0)</f>
        <v>0</v>
      </c>
      <c r="G661">
        <f t="shared" si="10"/>
        <v>2818</v>
      </c>
      <c r="H661">
        <f>cukier11[[#This Row],[stan_magazynu]]-cukier11[[#This Row],[sprzedany_cukier]]</f>
        <v>2412</v>
      </c>
      <c r="I661" s="9">
        <f>cukier11[[#This Row],[stan_po_sprzedazy]]+cukier11[[#This Row],[ile_dokupic]]*1000</f>
        <v>2412</v>
      </c>
    </row>
    <row r="662" spans="1:9" x14ac:dyDescent="0.25">
      <c r="A662" s="1">
        <v>39529</v>
      </c>
      <c r="B662" t="s">
        <v>19</v>
      </c>
      <c r="C662">
        <v>46</v>
      </c>
      <c r="D662">
        <f>MONTH(cukier11[[#This Row],[data]])</f>
        <v>3</v>
      </c>
      <c r="E662">
        <f>IF(D663&lt;&gt;cukier11[[#This Row],[miesiac]],1,0)</f>
        <v>0</v>
      </c>
      <c r="F662">
        <f>IF(AND(H661&lt;5000,cukier11[[#This Row],[czy_nastapiła_zmiana_mies]]=1),ROUNDUP((5000-H661)/1000,0),0)</f>
        <v>0</v>
      </c>
      <c r="G662">
        <f t="shared" si="10"/>
        <v>2412</v>
      </c>
      <c r="H662">
        <f>cukier11[[#This Row],[stan_magazynu]]-cukier11[[#This Row],[sprzedany_cukier]]</f>
        <v>2366</v>
      </c>
      <c r="I662" s="9">
        <f>cukier11[[#This Row],[stan_po_sprzedazy]]+cukier11[[#This Row],[ile_dokupic]]*1000</f>
        <v>2366</v>
      </c>
    </row>
    <row r="663" spans="1:9" x14ac:dyDescent="0.25">
      <c r="A663" s="1">
        <v>39530</v>
      </c>
      <c r="B663" t="s">
        <v>69</v>
      </c>
      <c r="C663">
        <v>106</v>
      </c>
      <c r="D663">
        <f>MONTH(cukier11[[#This Row],[data]])</f>
        <v>3</v>
      </c>
      <c r="E663">
        <f>IF(D664&lt;&gt;cukier11[[#This Row],[miesiac]],1,0)</f>
        <v>0</v>
      </c>
      <c r="F663">
        <f>IF(AND(H662&lt;5000,cukier11[[#This Row],[czy_nastapiła_zmiana_mies]]=1),ROUNDUP((5000-H662)/1000,0),0)</f>
        <v>0</v>
      </c>
      <c r="G663">
        <f t="shared" si="10"/>
        <v>2366</v>
      </c>
      <c r="H663">
        <f>cukier11[[#This Row],[stan_magazynu]]-cukier11[[#This Row],[sprzedany_cukier]]</f>
        <v>2260</v>
      </c>
      <c r="I663" s="9">
        <f>cukier11[[#This Row],[stan_po_sprzedazy]]+cukier11[[#This Row],[ile_dokupic]]*1000</f>
        <v>2260</v>
      </c>
    </row>
    <row r="664" spans="1:9" x14ac:dyDescent="0.25">
      <c r="A664" s="1">
        <v>39532</v>
      </c>
      <c r="B664" t="s">
        <v>9</v>
      </c>
      <c r="C664">
        <v>121</v>
      </c>
      <c r="D664">
        <f>MONTH(cukier11[[#This Row],[data]])</f>
        <v>3</v>
      </c>
      <c r="E664">
        <f>IF(D665&lt;&gt;cukier11[[#This Row],[miesiac]],1,0)</f>
        <v>0</v>
      </c>
      <c r="F664">
        <f>IF(AND(H663&lt;5000,cukier11[[#This Row],[czy_nastapiła_zmiana_mies]]=1),ROUNDUP((5000-H663)/1000,0),0)</f>
        <v>0</v>
      </c>
      <c r="G664">
        <f t="shared" si="10"/>
        <v>2260</v>
      </c>
      <c r="H664">
        <f>cukier11[[#This Row],[stan_magazynu]]-cukier11[[#This Row],[sprzedany_cukier]]</f>
        <v>2139</v>
      </c>
      <c r="I664" s="9">
        <f>cukier11[[#This Row],[stan_po_sprzedazy]]+cukier11[[#This Row],[ile_dokupic]]*1000</f>
        <v>2139</v>
      </c>
    </row>
    <row r="665" spans="1:9" x14ac:dyDescent="0.25">
      <c r="A665" s="1">
        <v>39536</v>
      </c>
      <c r="B665" t="s">
        <v>45</v>
      </c>
      <c r="C665">
        <v>170</v>
      </c>
      <c r="D665">
        <f>MONTH(cukier11[[#This Row],[data]])</f>
        <v>3</v>
      </c>
      <c r="E665">
        <f>IF(D666&lt;&gt;cukier11[[#This Row],[miesiac]],1,0)</f>
        <v>0</v>
      </c>
      <c r="F665">
        <f>IF(AND(H664&lt;5000,cukier11[[#This Row],[czy_nastapiła_zmiana_mies]]=1),ROUNDUP((5000-H664)/1000,0),0)</f>
        <v>0</v>
      </c>
      <c r="G665">
        <f t="shared" si="10"/>
        <v>2139</v>
      </c>
      <c r="H665">
        <f>cukier11[[#This Row],[stan_magazynu]]-cukier11[[#This Row],[sprzedany_cukier]]</f>
        <v>1969</v>
      </c>
      <c r="I665" s="9">
        <f>cukier11[[#This Row],[stan_po_sprzedazy]]+cukier11[[#This Row],[ile_dokupic]]*1000</f>
        <v>1969</v>
      </c>
    </row>
    <row r="666" spans="1:9" x14ac:dyDescent="0.25">
      <c r="A666" s="1">
        <v>39536</v>
      </c>
      <c r="B666" t="s">
        <v>14</v>
      </c>
      <c r="C666">
        <v>431</v>
      </c>
      <c r="D666">
        <f>MONTH(cukier11[[#This Row],[data]])</f>
        <v>3</v>
      </c>
      <c r="E666">
        <f>IF(D667&lt;&gt;cukier11[[#This Row],[miesiac]],1,0)</f>
        <v>0</v>
      </c>
      <c r="F666">
        <f>IF(AND(H665&lt;5000,cukier11[[#This Row],[czy_nastapiła_zmiana_mies]]=1),ROUNDUP((5000-H665)/1000,0),0)</f>
        <v>0</v>
      </c>
      <c r="G666">
        <f t="shared" si="10"/>
        <v>1969</v>
      </c>
      <c r="H666">
        <f>cukier11[[#This Row],[stan_magazynu]]-cukier11[[#This Row],[sprzedany_cukier]]</f>
        <v>1538</v>
      </c>
      <c r="I666" s="9">
        <f>cukier11[[#This Row],[stan_po_sprzedazy]]+cukier11[[#This Row],[ile_dokupic]]*1000</f>
        <v>1538</v>
      </c>
    </row>
    <row r="667" spans="1:9" x14ac:dyDescent="0.25">
      <c r="A667" s="1">
        <v>39537</v>
      </c>
      <c r="B667" t="s">
        <v>50</v>
      </c>
      <c r="C667">
        <v>483</v>
      </c>
      <c r="D667">
        <f>MONTH(cukier11[[#This Row],[data]])</f>
        <v>3</v>
      </c>
      <c r="E667">
        <f>IF(D668&lt;&gt;cukier11[[#This Row],[miesiac]],1,0)</f>
        <v>1</v>
      </c>
      <c r="F667">
        <f>IF(AND(H666&lt;5000,cukier11[[#This Row],[czy_nastapiła_zmiana_mies]]=1),ROUNDUP((5000-H666)/1000,0),0)</f>
        <v>4</v>
      </c>
      <c r="G667">
        <f t="shared" si="10"/>
        <v>1538</v>
      </c>
      <c r="H667">
        <f>cukier11[[#This Row],[stan_magazynu]]-cukier11[[#This Row],[sprzedany_cukier]]</f>
        <v>1055</v>
      </c>
      <c r="I667" s="9">
        <f>cukier11[[#This Row],[stan_po_sprzedazy]]+cukier11[[#This Row],[ile_dokupic]]*1000</f>
        <v>5055</v>
      </c>
    </row>
    <row r="668" spans="1:9" x14ac:dyDescent="0.25">
      <c r="A668" s="1">
        <v>39539</v>
      </c>
      <c r="B668" t="s">
        <v>7</v>
      </c>
      <c r="C668">
        <v>354</v>
      </c>
      <c r="D668">
        <f>MONTH(cukier11[[#This Row],[data]])</f>
        <v>4</v>
      </c>
      <c r="E668">
        <f>IF(D669&lt;&gt;cukier11[[#This Row],[miesiac]],1,0)</f>
        <v>0</v>
      </c>
      <c r="F668">
        <f>IF(AND(H667&lt;5000,cukier11[[#This Row],[czy_nastapiła_zmiana_mies]]=1),ROUNDUP((5000-H667)/1000,0),0)</f>
        <v>0</v>
      </c>
      <c r="G668">
        <f t="shared" si="10"/>
        <v>5055</v>
      </c>
      <c r="H668">
        <f>cukier11[[#This Row],[stan_magazynu]]-cukier11[[#This Row],[sprzedany_cukier]]</f>
        <v>4701</v>
      </c>
      <c r="I668" s="9">
        <f>cukier11[[#This Row],[stan_po_sprzedazy]]+cukier11[[#This Row],[ile_dokupic]]*1000</f>
        <v>4701</v>
      </c>
    </row>
    <row r="669" spans="1:9" x14ac:dyDescent="0.25">
      <c r="A669" s="1">
        <v>39541</v>
      </c>
      <c r="B669" t="s">
        <v>69</v>
      </c>
      <c r="C669">
        <v>65</v>
      </c>
      <c r="D669">
        <f>MONTH(cukier11[[#This Row],[data]])</f>
        <v>4</v>
      </c>
      <c r="E669">
        <f>IF(D670&lt;&gt;cukier11[[#This Row],[miesiac]],1,0)</f>
        <v>0</v>
      </c>
      <c r="F669">
        <f>IF(AND(H668&lt;5000,cukier11[[#This Row],[czy_nastapiła_zmiana_mies]]=1),ROUNDUP((5000-H668)/1000,0),0)</f>
        <v>0</v>
      </c>
      <c r="G669">
        <f t="shared" si="10"/>
        <v>4701</v>
      </c>
      <c r="H669">
        <f>cukier11[[#This Row],[stan_magazynu]]-cukier11[[#This Row],[sprzedany_cukier]]</f>
        <v>4636</v>
      </c>
      <c r="I669" s="9">
        <f>cukier11[[#This Row],[stan_po_sprzedazy]]+cukier11[[#This Row],[ile_dokupic]]*1000</f>
        <v>4636</v>
      </c>
    </row>
    <row r="670" spans="1:9" x14ac:dyDescent="0.25">
      <c r="A670" s="1">
        <v>39544</v>
      </c>
      <c r="B670" t="s">
        <v>24</v>
      </c>
      <c r="C670">
        <v>176</v>
      </c>
      <c r="D670">
        <f>MONTH(cukier11[[#This Row],[data]])</f>
        <v>4</v>
      </c>
      <c r="E670">
        <f>IF(D671&lt;&gt;cukier11[[#This Row],[miesiac]],1,0)</f>
        <v>0</v>
      </c>
      <c r="F670">
        <f>IF(AND(H669&lt;5000,cukier11[[#This Row],[czy_nastapiła_zmiana_mies]]=1),ROUNDUP((5000-H669)/1000,0),0)</f>
        <v>0</v>
      </c>
      <c r="G670">
        <f t="shared" si="10"/>
        <v>4636</v>
      </c>
      <c r="H670">
        <f>cukier11[[#This Row],[stan_magazynu]]-cukier11[[#This Row],[sprzedany_cukier]]</f>
        <v>4460</v>
      </c>
      <c r="I670" s="9">
        <f>cukier11[[#This Row],[stan_po_sprzedazy]]+cukier11[[#This Row],[ile_dokupic]]*1000</f>
        <v>4460</v>
      </c>
    </row>
    <row r="671" spans="1:9" x14ac:dyDescent="0.25">
      <c r="A671" s="1">
        <v>39545</v>
      </c>
      <c r="B671" t="s">
        <v>51</v>
      </c>
      <c r="C671">
        <v>2</v>
      </c>
      <c r="D671">
        <f>MONTH(cukier11[[#This Row],[data]])</f>
        <v>4</v>
      </c>
      <c r="E671">
        <f>IF(D672&lt;&gt;cukier11[[#This Row],[miesiac]],1,0)</f>
        <v>0</v>
      </c>
      <c r="F671">
        <f>IF(AND(H670&lt;5000,cukier11[[#This Row],[czy_nastapiła_zmiana_mies]]=1),ROUNDUP((5000-H670)/1000,0),0)</f>
        <v>0</v>
      </c>
      <c r="G671">
        <f t="shared" si="10"/>
        <v>4460</v>
      </c>
      <c r="H671">
        <f>cukier11[[#This Row],[stan_magazynu]]-cukier11[[#This Row],[sprzedany_cukier]]</f>
        <v>4458</v>
      </c>
      <c r="I671" s="9">
        <f>cukier11[[#This Row],[stan_po_sprzedazy]]+cukier11[[#This Row],[ile_dokupic]]*1000</f>
        <v>4458</v>
      </c>
    </row>
    <row r="672" spans="1:9" x14ac:dyDescent="0.25">
      <c r="A672" s="1">
        <v>39546</v>
      </c>
      <c r="B672" t="s">
        <v>66</v>
      </c>
      <c r="C672">
        <v>46</v>
      </c>
      <c r="D672">
        <f>MONTH(cukier11[[#This Row],[data]])</f>
        <v>4</v>
      </c>
      <c r="E672">
        <f>IF(D673&lt;&gt;cukier11[[#This Row],[miesiac]],1,0)</f>
        <v>0</v>
      </c>
      <c r="F672">
        <f>IF(AND(H671&lt;5000,cukier11[[#This Row],[czy_nastapiła_zmiana_mies]]=1),ROUNDUP((5000-H671)/1000,0),0)</f>
        <v>0</v>
      </c>
      <c r="G672">
        <f t="shared" si="10"/>
        <v>4458</v>
      </c>
      <c r="H672">
        <f>cukier11[[#This Row],[stan_magazynu]]-cukier11[[#This Row],[sprzedany_cukier]]</f>
        <v>4412</v>
      </c>
      <c r="I672" s="9">
        <f>cukier11[[#This Row],[stan_po_sprzedazy]]+cukier11[[#This Row],[ile_dokupic]]*1000</f>
        <v>4412</v>
      </c>
    </row>
    <row r="673" spans="1:9" x14ac:dyDescent="0.25">
      <c r="A673" s="1">
        <v>39549</v>
      </c>
      <c r="B673" t="s">
        <v>102</v>
      </c>
      <c r="C673">
        <v>477</v>
      </c>
      <c r="D673">
        <f>MONTH(cukier11[[#This Row],[data]])</f>
        <v>4</v>
      </c>
      <c r="E673">
        <f>IF(D674&lt;&gt;cukier11[[#This Row],[miesiac]],1,0)</f>
        <v>0</v>
      </c>
      <c r="F673">
        <f>IF(AND(H672&lt;5000,cukier11[[#This Row],[czy_nastapiła_zmiana_mies]]=1),ROUNDUP((5000-H672)/1000,0),0)</f>
        <v>0</v>
      </c>
      <c r="G673">
        <f t="shared" si="10"/>
        <v>4412</v>
      </c>
      <c r="H673">
        <f>cukier11[[#This Row],[stan_magazynu]]-cukier11[[#This Row],[sprzedany_cukier]]</f>
        <v>3935</v>
      </c>
      <c r="I673" s="9">
        <f>cukier11[[#This Row],[stan_po_sprzedazy]]+cukier11[[#This Row],[ile_dokupic]]*1000</f>
        <v>3935</v>
      </c>
    </row>
    <row r="674" spans="1:9" x14ac:dyDescent="0.25">
      <c r="A674" s="1">
        <v>39550</v>
      </c>
      <c r="B674" t="s">
        <v>57</v>
      </c>
      <c r="C674">
        <v>6</v>
      </c>
      <c r="D674">
        <f>MONTH(cukier11[[#This Row],[data]])</f>
        <v>4</v>
      </c>
      <c r="E674">
        <f>IF(D675&lt;&gt;cukier11[[#This Row],[miesiac]],1,0)</f>
        <v>0</v>
      </c>
      <c r="F674">
        <f>IF(AND(H673&lt;5000,cukier11[[#This Row],[czy_nastapiła_zmiana_mies]]=1),ROUNDUP((5000-H673)/1000,0),0)</f>
        <v>0</v>
      </c>
      <c r="G674">
        <f t="shared" si="10"/>
        <v>3935</v>
      </c>
      <c r="H674">
        <f>cukier11[[#This Row],[stan_magazynu]]-cukier11[[#This Row],[sprzedany_cukier]]</f>
        <v>3929</v>
      </c>
      <c r="I674" s="9">
        <f>cukier11[[#This Row],[stan_po_sprzedazy]]+cukier11[[#This Row],[ile_dokupic]]*1000</f>
        <v>3929</v>
      </c>
    </row>
    <row r="675" spans="1:9" x14ac:dyDescent="0.25">
      <c r="A675" s="1">
        <v>39552</v>
      </c>
      <c r="B675" t="s">
        <v>48</v>
      </c>
      <c r="C675">
        <v>11</v>
      </c>
      <c r="D675">
        <f>MONTH(cukier11[[#This Row],[data]])</f>
        <v>4</v>
      </c>
      <c r="E675">
        <f>IF(D676&lt;&gt;cukier11[[#This Row],[miesiac]],1,0)</f>
        <v>0</v>
      </c>
      <c r="F675">
        <f>IF(AND(H674&lt;5000,cukier11[[#This Row],[czy_nastapiła_zmiana_mies]]=1),ROUNDUP((5000-H674)/1000,0),0)</f>
        <v>0</v>
      </c>
      <c r="G675">
        <f t="shared" si="10"/>
        <v>3929</v>
      </c>
      <c r="H675">
        <f>cukier11[[#This Row],[stan_magazynu]]-cukier11[[#This Row],[sprzedany_cukier]]</f>
        <v>3918</v>
      </c>
      <c r="I675" s="9">
        <f>cukier11[[#This Row],[stan_po_sprzedazy]]+cukier11[[#This Row],[ile_dokupic]]*1000</f>
        <v>3918</v>
      </c>
    </row>
    <row r="676" spans="1:9" x14ac:dyDescent="0.25">
      <c r="A676" s="1">
        <v>39552</v>
      </c>
      <c r="B676" t="s">
        <v>66</v>
      </c>
      <c r="C676">
        <v>126</v>
      </c>
      <c r="D676">
        <f>MONTH(cukier11[[#This Row],[data]])</f>
        <v>4</v>
      </c>
      <c r="E676">
        <f>IF(D677&lt;&gt;cukier11[[#This Row],[miesiac]],1,0)</f>
        <v>0</v>
      </c>
      <c r="F676">
        <f>IF(AND(H675&lt;5000,cukier11[[#This Row],[czy_nastapiła_zmiana_mies]]=1),ROUNDUP((5000-H675)/1000,0),0)</f>
        <v>0</v>
      </c>
      <c r="G676">
        <f t="shared" si="10"/>
        <v>3918</v>
      </c>
      <c r="H676">
        <f>cukier11[[#This Row],[stan_magazynu]]-cukier11[[#This Row],[sprzedany_cukier]]</f>
        <v>3792</v>
      </c>
      <c r="I676" s="9">
        <f>cukier11[[#This Row],[stan_po_sprzedazy]]+cukier11[[#This Row],[ile_dokupic]]*1000</f>
        <v>3792</v>
      </c>
    </row>
    <row r="677" spans="1:9" x14ac:dyDescent="0.25">
      <c r="A677" s="1">
        <v>39552</v>
      </c>
      <c r="B677" t="s">
        <v>18</v>
      </c>
      <c r="C677">
        <v>190</v>
      </c>
      <c r="D677">
        <f>MONTH(cukier11[[#This Row],[data]])</f>
        <v>4</v>
      </c>
      <c r="E677">
        <f>IF(D678&lt;&gt;cukier11[[#This Row],[miesiac]],1,0)</f>
        <v>0</v>
      </c>
      <c r="F677">
        <f>IF(AND(H676&lt;5000,cukier11[[#This Row],[czy_nastapiła_zmiana_mies]]=1),ROUNDUP((5000-H676)/1000,0),0)</f>
        <v>0</v>
      </c>
      <c r="G677">
        <f t="shared" si="10"/>
        <v>3792</v>
      </c>
      <c r="H677">
        <f>cukier11[[#This Row],[stan_magazynu]]-cukier11[[#This Row],[sprzedany_cukier]]</f>
        <v>3602</v>
      </c>
      <c r="I677" s="9">
        <f>cukier11[[#This Row],[stan_po_sprzedazy]]+cukier11[[#This Row],[ile_dokupic]]*1000</f>
        <v>3602</v>
      </c>
    </row>
    <row r="678" spans="1:9" x14ac:dyDescent="0.25">
      <c r="A678" s="1">
        <v>39553</v>
      </c>
      <c r="B678" t="s">
        <v>50</v>
      </c>
      <c r="C678">
        <v>358</v>
      </c>
      <c r="D678">
        <f>MONTH(cukier11[[#This Row],[data]])</f>
        <v>4</v>
      </c>
      <c r="E678">
        <f>IF(D679&lt;&gt;cukier11[[#This Row],[miesiac]],1,0)</f>
        <v>0</v>
      </c>
      <c r="F678">
        <f>IF(AND(H677&lt;5000,cukier11[[#This Row],[czy_nastapiła_zmiana_mies]]=1),ROUNDUP((5000-H677)/1000,0),0)</f>
        <v>0</v>
      </c>
      <c r="G678">
        <f t="shared" si="10"/>
        <v>3602</v>
      </c>
      <c r="H678">
        <f>cukier11[[#This Row],[stan_magazynu]]-cukier11[[#This Row],[sprzedany_cukier]]</f>
        <v>3244</v>
      </c>
      <c r="I678" s="9">
        <f>cukier11[[#This Row],[stan_po_sprzedazy]]+cukier11[[#This Row],[ile_dokupic]]*1000</f>
        <v>3244</v>
      </c>
    </row>
    <row r="679" spans="1:9" x14ac:dyDescent="0.25">
      <c r="A679" s="1">
        <v>39553</v>
      </c>
      <c r="B679" t="s">
        <v>39</v>
      </c>
      <c r="C679">
        <v>78</v>
      </c>
      <c r="D679">
        <f>MONTH(cukier11[[#This Row],[data]])</f>
        <v>4</v>
      </c>
      <c r="E679">
        <f>IF(D680&lt;&gt;cukier11[[#This Row],[miesiac]],1,0)</f>
        <v>0</v>
      </c>
      <c r="F679">
        <f>IF(AND(H678&lt;5000,cukier11[[#This Row],[czy_nastapiła_zmiana_mies]]=1),ROUNDUP((5000-H678)/1000,0),0)</f>
        <v>0</v>
      </c>
      <c r="G679">
        <f t="shared" si="10"/>
        <v>3244</v>
      </c>
      <c r="H679">
        <f>cukier11[[#This Row],[stan_magazynu]]-cukier11[[#This Row],[sprzedany_cukier]]</f>
        <v>3166</v>
      </c>
      <c r="I679" s="9">
        <f>cukier11[[#This Row],[stan_po_sprzedazy]]+cukier11[[#This Row],[ile_dokupic]]*1000</f>
        <v>3166</v>
      </c>
    </row>
    <row r="680" spans="1:9" x14ac:dyDescent="0.25">
      <c r="A680" s="1">
        <v>39553</v>
      </c>
      <c r="B680" t="s">
        <v>71</v>
      </c>
      <c r="C680">
        <v>129</v>
      </c>
      <c r="D680">
        <f>MONTH(cukier11[[#This Row],[data]])</f>
        <v>4</v>
      </c>
      <c r="E680">
        <f>IF(D681&lt;&gt;cukier11[[#This Row],[miesiac]],1,0)</f>
        <v>0</v>
      </c>
      <c r="F680">
        <f>IF(AND(H679&lt;5000,cukier11[[#This Row],[czy_nastapiła_zmiana_mies]]=1),ROUNDUP((5000-H679)/1000,0),0)</f>
        <v>0</v>
      </c>
      <c r="G680">
        <f t="shared" si="10"/>
        <v>3166</v>
      </c>
      <c r="H680">
        <f>cukier11[[#This Row],[stan_magazynu]]-cukier11[[#This Row],[sprzedany_cukier]]</f>
        <v>3037</v>
      </c>
      <c r="I680" s="9">
        <f>cukier11[[#This Row],[stan_po_sprzedazy]]+cukier11[[#This Row],[ile_dokupic]]*1000</f>
        <v>3037</v>
      </c>
    </row>
    <row r="681" spans="1:9" x14ac:dyDescent="0.25">
      <c r="A681" s="1">
        <v>39554</v>
      </c>
      <c r="B681" t="s">
        <v>14</v>
      </c>
      <c r="C681">
        <v>433</v>
      </c>
      <c r="D681">
        <f>MONTH(cukier11[[#This Row],[data]])</f>
        <v>4</v>
      </c>
      <c r="E681">
        <f>IF(D682&lt;&gt;cukier11[[#This Row],[miesiac]],1,0)</f>
        <v>0</v>
      </c>
      <c r="F681">
        <f>IF(AND(H680&lt;5000,cukier11[[#This Row],[czy_nastapiła_zmiana_mies]]=1),ROUNDUP((5000-H680)/1000,0),0)</f>
        <v>0</v>
      </c>
      <c r="G681">
        <f t="shared" si="10"/>
        <v>3037</v>
      </c>
      <c r="H681">
        <f>cukier11[[#This Row],[stan_magazynu]]-cukier11[[#This Row],[sprzedany_cukier]]</f>
        <v>2604</v>
      </c>
      <c r="I681" s="9">
        <f>cukier11[[#This Row],[stan_po_sprzedazy]]+cukier11[[#This Row],[ile_dokupic]]*1000</f>
        <v>2604</v>
      </c>
    </row>
    <row r="682" spans="1:9" x14ac:dyDescent="0.25">
      <c r="A682" s="1">
        <v>39555</v>
      </c>
      <c r="B682" t="s">
        <v>90</v>
      </c>
      <c r="C682">
        <v>18</v>
      </c>
      <c r="D682">
        <f>MONTH(cukier11[[#This Row],[data]])</f>
        <v>4</v>
      </c>
      <c r="E682">
        <f>IF(D683&lt;&gt;cukier11[[#This Row],[miesiac]],1,0)</f>
        <v>0</v>
      </c>
      <c r="F682">
        <f>IF(AND(H681&lt;5000,cukier11[[#This Row],[czy_nastapiła_zmiana_mies]]=1),ROUNDUP((5000-H681)/1000,0),0)</f>
        <v>0</v>
      </c>
      <c r="G682">
        <f t="shared" si="10"/>
        <v>2604</v>
      </c>
      <c r="H682">
        <f>cukier11[[#This Row],[stan_magazynu]]-cukier11[[#This Row],[sprzedany_cukier]]</f>
        <v>2586</v>
      </c>
      <c r="I682" s="9">
        <f>cukier11[[#This Row],[stan_po_sprzedazy]]+cukier11[[#This Row],[ile_dokupic]]*1000</f>
        <v>2586</v>
      </c>
    </row>
    <row r="683" spans="1:9" x14ac:dyDescent="0.25">
      <c r="A683" s="1">
        <v>39556</v>
      </c>
      <c r="B683" t="s">
        <v>80</v>
      </c>
      <c r="C683">
        <v>30</v>
      </c>
      <c r="D683">
        <f>MONTH(cukier11[[#This Row],[data]])</f>
        <v>4</v>
      </c>
      <c r="E683">
        <f>IF(D684&lt;&gt;cukier11[[#This Row],[miesiac]],1,0)</f>
        <v>0</v>
      </c>
      <c r="F683">
        <f>IF(AND(H682&lt;5000,cukier11[[#This Row],[czy_nastapiła_zmiana_mies]]=1),ROUNDUP((5000-H682)/1000,0),0)</f>
        <v>0</v>
      </c>
      <c r="G683">
        <f t="shared" si="10"/>
        <v>2586</v>
      </c>
      <c r="H683">
        <f>cukier11[[#This Row],[stan_magazynu]]-cukier11[[#This Row],[sprzedany_cukier]]</f>
        <v>2556</v>
      </c>
      <c r="I683" s="9">
        <f>cukier11[[#This Row],[stan_po_sprzedazy]]+cukier11[[#This Row],[ile_dokupic]]*1000</f>
        <v>2556</v>
      </c>
    </row>
    <row r="684" spans="1:9" x14ac:dyDescent="0.25">
      <c r="A684" s="1">
        <v>39557</v>
      </c>
      <c r="B684" t="s">
        <v>42</v>
      </c>
      <c r="C684">
        <v>18</v>
      </c>
      <c r="D684">
        <f>MONTH(cukier11[[#This Row],[data]])</f>
        <v>4</v>
      </c>
      <c r="E684">
        <f>IF(D685&lt;&gt;cukier11[[#This Row],[miesiac]],1,0)</f>
        <v>0</v>
      </c>
      <c r="F684">
        <f>IF(AND(H683&lt;5000,cukier11[[#This Row],[czy_nastapiła_zmiana_mies]]=1),ROUNDUP((5000-H683)/1000,0),0)</f>
        <v>0</v>
      </c>
      <c r="G684">
        <f t="shared" si="10"/>
        <v>2556</v>
      </c>
      <c r="H684">
        <f>cukier11[[#This Row],[stan_magazynu]]-cukier11[[#This Row],[sprzedany_cukier]]</f>
        <v>2538</v>
      </c>
      <c r="I684" s="9">
        <f>cukier11[[#This Row],[stan_po_sprzedazy]]+cukier11[[#This Row],[ile_dokupic]]*1000</f>
        <v>2538</v>
      </c>
    </row>
    <row r="685" spans="1:9" x14ac:dyDescent="0.25">
      <c r="A685" s="1">
        <v>39558</v>
      </c>
      <c r="B685" t="s">
        <v>66</v>
      </c>
      <c r="C685">
        <v>146</v>
      </c>
      <c r="D685">
        <f>MONTH(cukier11[[#This Row],[data]])</f>
        <v>4</v>
      </c>
      <c r="E685">
        <f>IF(D686&lt;&gt;cukier11[[#This Row],[miesiac]],1,0)</f>
        <v>0</v>
      </c>
      <c r="F685">
        <f>IF(AND(H684&lt;5000,cukier11[[#This Row],[czy_nastapiła_zmiana_mies]]=1),ROUNDUP((5000-H684)/1000,0),0)</f>
        <v>0</v>
      </c>
      <c r="G685">
        <f t="shared" si="10"/>
        <v>2538</v>
      </c>
      <c r="H685">
        <f>cukier11[[#This Row],[stan_magazynu]]-cukier11[[#This Row],[sprzedany_cukier]]</f>
        <v>2392</v>
      </c>
      <c r="I685" s="9">
        <f>cukier11[[#This Row],[stan_po_sprzedazy]]+cukier11[[#This Row],[ile_dokupic]]*1000</f>
        <v>2392</v>
      </c>
    </row>
    <row r="686" spans="1:9" x14ac:dyDescent="0.25">
      <c r="A686" s="1">
        <v>39558</v>
      </c>
      <c r="B686" t="s">
        <v>162</v>
      </c>
      <c r="C686">
        <v>19</v>
      </c>
      <c r="D686">
        <f>MONTH(cukier11[[#This Row],[data]])</f>
        <v>4</v>
      </c>
      <c r="E686">
        <f>IF(D687&lt;&gt;cukier11[[#This Row],[miesiac]],1,0)</f>
        <v>0</v>
      </c>
      <c r="F686">
        <f>IF(AND(H685&lt;5000,cukier11[[#This Row],[czy_nastapiła_zmiana_mies]]=1),ROUNDUP((5000-H685)/1000,0),0)</f>
        <v>0</v>
      </c>
      <c r="G686">
        <f t="shared" si="10"/>
        <v>2392</v>
      </c>
      <c r="H686">
        <f>cukier11[[#This Row],[stan_magazynu]]-cukier11[[#This Row],[sprzedany_cukier]]</f>
        <v>2373</v>
      </c>
      <c r="I686" s="9">
        <f>cukier11[[#This Row],[stan_po_sprzedazy]]+cukier11[[#This Row],[ile_dokupic]]*1000</f>
        <v>2373</v>
      </c>
    </row>
    <row r="687" spans="1:9" x14ac:dyDescent="0.25">
      <c r="A687" s="1">
        <v>39559</v>
      </c>
      <c r="B687" t="s">
        <v>23</v>
      </c>
      <c r="C687">
        <v>170</v>
      </c>
      <c r="D687">
        <f>MONTH(cukier11[[#This Row],[data]])</f>
        <v>4</v>
      </c>
      <c r="E687">
        <f>IF(D688&lt;&gt;cukier11[[#This Row],[miesiac]],1,0)</f>
        <v>0</v>
      </c>
      <c r="F687">
        <f>IF(AND(H686&lt;5000,cukier11[[#This Row],[czy_nastapiła_zmiana_mies]]=1),ROUNDUP((5000-H686)/1000,0),0)</f>
        <v>0</v>
      </c>
      <c r="G687">
        <f t="shared" si="10"/>
        <v>2373</v>
      </c>
      <c r="H687">
        <f>cukier11[[#This Row],[stan_magazynu]]-cukier11[[#This Row],[sprzedany_cukier]]</f>
        <v>2203</v>
      </c>
      <c r="I687" s="9">
        <f>cukier11[[#This Row],[stan_po_sprzedazy]]+cukier11[[#This Row],[ile_dokupic]]*1000</f>
        <v>2203</v>
      </c>
    </row>
    <row r="688" spans="1:9" x14ac:dyDescent="0.25">
      <c r="A688" s="1">
        <v>39561</v>
      </c>
      <c r="B688" t="s">
        <v>5</v>
      </c>
      <c r="C688">
        <v>428</v>
      </c>
      <c r="D688">
        <f>MONTH(cukier11[[#This Row],[data]])</f>
        <v>4</v>
      </c>
      <c r="E688">
        <f>IF(D689&lt;&gt;cukier11[[#This Row],[miesiac]],1,0)</f>
        <v>0</v>
      </c>
      <c r="F688">
        <f>IF(AND(H687&lt;5000,cukier11[[#This Row],[czy_nastapiła_zmiana_mies]]=1),ROUNDUP((5000-H687)/1000,0),0)</f>
        <v>0</v>
      </c>
      <c r="G688">
        <f t="shared" si="10"/>
        <v>2203</v>
      </c>
      <c r="H688">
        <f>cukier11[[#This Row],[stan_magazynu]]-cukier11[[#This Row],[sprzedany_cukier]]</f>
        <v>1775</v>
      </c>
      <c r="I688" s="9">
        <f>cukier11[[#This Row],[stan_po_sprzedazy]]+cukier11[[#This Row],[ile_dokupic]]*1000</f>
        <v>1775</v>
      </c>
    </row>
    <row r="689" spans="1:9" x14ac:dyDescent="0.25">
      <c r="A689" s="1">
        <v>39563</v>
      </c>
      <c r="B689" t="s">
        <v>50</v>
      </c>
      <c r="C689">
        <v>129</v>
      </c>
      <c r="D689">
        <f>MONTH(cukier11[[#This Row],[data]])</f>
        <v>4</v>
      </c>
      <c r="E689">
        <f>IF(D690&lt;&gt;cukier11[[#This Row],[miesiac]],1,0)</f>
        <v>0</v>
      </c>
      <c r="F689">
        <f>IF(AND(H688&lt;5000,cukier11[[#This Row],[czy_nastapiła_zmiana_mies]]=1),ROUNDUP((5000-H688)/1000,0),0)</f>
        <v>0</v>
      </c>
      <c r="G689">
        <f t="shared" si="10"/>
        <v>1775</v>
      </c>
      <c r="H689">
        <f>cukier11[[#This Row],[stan_magazynu]]-cukier11[[#This Row],[sprzedany_cukier]]</f>
        <v>1646</v>
      </c>
      <c r="I689" s="9">
        <f>cukier11[[#This Row],[stan_po_sprzedazy]]+cukier11[[#This Row],[ile_dokupic]]*1000</f>
        <v>1646</v>
      </c>
    </row>
    <row r="690" spans="1:9" x14ac:dyDescent="0.25">
      <c r="A690" s="1">
        <v>39564</v>
      </c>
      <c r="B690" t="s">
        <v>17</v>
      </c>
      <c r="C690">
        <v>304</v>
      </c>
      <c r="D690">
        <f>MONTH(cukier11[[#This Row],[data]])</f>
        <v>4</v>
      </c>
      <c r="E690">
        <f>IF(D691&lt;&gt;cukier11[[#This Row],[miesiac]],1,0)</f>
        <v>0</v>
      </c>
      <c r="F690">
        <f>IF(AND(H689&lt;5000,cukier11[[#This Row],[czy_nastapiła_zmiana_mies]]=1),ROUNDUP((5000-H689)/1000,0),0)</f>
        <v>0</v>
      </c>
      <c r="G690">
        <f t="shared" si="10"/>
        <v>1646</v>
      </c>
      <c r="H690">
        <f>cukier11[[#This Row],[stan_magazynu]]-cukier11[[#This Row],[sprzedany_cukier]]</f>
        <v>1342</v>
      </c>
      <c r="I690" s="9">
        <f>cukier11[[#This Row],[stan_po_sprzedazy]]+cukier11[[#This Row],[ile_dokupic]]*1000</f>
        <v>1342</v>
      </c>
    </row>
    <row r="691" spans="1:9" x14ac:dyDescent="0.25">
      <c r="A691" s="1">
        <v>39568</v>
      </c>
      <c r="B691" t="s">
        <v>151</v>
      </c>
      <c r="C691">
        <v>15</v>
      </c>
      <c r="D691">
        <f>MONTH(cukier11[[#This Row],[data]])</f>
        <v>4</v>
      </c>
      <c r="E691">
        <f>IF(D692&lt;&gt;cukier11[[#This Row],[miesiac]],1,0)</f>
        <v>1</v>
      </c>
      <c r="F691">
        <f>IF(AND(H690&lt;5000,cukier11[[#This Row],[czy_nastapiła_zmiana_mies]]=1),ROUNDUP((5000-H690)/1000,0),0)</f>
        <v>4</v>
      </c>
      <c r="G691">
        <f t="shared" si="10"/>
        <v>1342</v>
      </c>
      <c r="H691">
        <f>cukier11[[#This Row],[stan_magazynu]]-cukier11[[#This Row],[sprzedany_cukier]]</f>
        <v>1327</v>
      </c>
      <c r="I691" s="9">
        <f>cukier11[[#This Row],[stan_po_sprzedazy]]+cukier11[[#This Row],[ile_dokupic]]*1000</f>
        <v>5327</v>
      </c>
    </row>
    <row r="692" spans="1:9" x14ac:dyDescent="0.25">
      <c r="A692" s="1">
        <v>39569</v>
      </c>
      <c r="B692" t="s">
        <v>166</v>
      </c>
      <c r="C692">
        <v>14</v>
      </c>
      <c r="D692">
        <f>MONTH(cukier11[[#This Row],[data]])</f>
        <v>5</v>
      </c>
      <c r="E692">
        <f>IF(D693&lt;&gt;cukier11[[#This Row],[miesiac]],1,0)</f>
        <v>0</v>
      </c>
      <c r="F692">
        <f>IF(AND(H691&lt;5000,cukier11[[#This Row],[czy_nastapiła_zmiana_mies]]=1),ROUNDUP((5000-H691)/1000,0),0)</f>
        <v>0</v>
      </c>
      <c r="G692">
        <f t="shared" si="10"/>
        <v>5327</v>
      </c>
      <c r="H692">
        <f>cukier11[[#This Row],[stan_magazynu]]-cukier11[[#This Row],[sprzedany_cukier]]</f>
        <v>5313</v>
      </c>
      <c r="I692" s="9">
        <f>cukier11[[#This Row],[stan_po_sprzedazy]]+cukier11[[#This Row],[ile_dokupic]]*1000</f>
        <v>5313</v>
      </c>
    </row>
    <row r="693" spans="1:9" x14ac:dyDescent="0.25">
      <c r="A693" s="1">
        <v>39571</v>
      </c>
      <c r="B693" t="s">
        <v>14</v>
      </c>
      <c r="C693">
        <v>320</v>
      </c>
      <c r="D693">
        <f>MONTH(cukier11[[#This Row],[data]])</f>
        <v>5</v>
      </c>
      <c r="E693">
        <f>IF(D694&lt;&gt;cukier11[[#This Row],[miesiac]],1,0)</f>
        <v>0</v>
      </c>
      <c r="F693">
        <f>IF(AND(H692&lt;5000,cukier11[[#This Row],[czy_nastapiła_zmiana_mies]]=1),ROUNDUP((5000-H692)/1000,0),0)</f>
        <v>0</v>
      </c>
      <c r="G693">
        <f t="shared" si="10"/>
        <v>5313</v>
      </c>
      <c r="H693">
        <f>cukier11[[#This Row],[stan_magazynu]]-cukier11[[#This Row],[sprzedany_cukier]]</f>
        <v>4993</v>
      </c>
      <c r="I693" s="9">
        <f>cukier11[[#This Row],[stan_po_sprzedazy]]+cukier11[[#This Row],[ile_dokupic]]*1000</f>
        <v>4993</v>
      </c>
    </row>
    <row r="694" spans="1:9" x14ac:dyDescent="0.25">
      <c r="A694" s="1">
        <v>39572</v>
      </c>
      <c r="B694" t="s">
        <v>55</v>
      </c>
      <c r="C694">
        <v>44</v>
      </c>
      <c r="D694">
        <f>MONTH(cukier11[[#This Row],[data]])</f>
        <v>5</v>
      </c>
      <c r="E694">
        <f>IF(D695&lt;&gt;cukier11[[#This Row],[miesiac]],1,0)</f>
        <v>0</v>
      </c>
      <c r="F694">
        <f>IF(AND(H693&lt;5000,cukier11[[#This Row],[czy_nastapiła_zmiana_mies]]=1),ROUNDUP((5000-H693)/1000,0),0)</f>
        <v>0</v>
      </c>
      <c r="G694">
        <f t="shared" si="10"/>
        <v>4993</v>
      </c>
      <c r="H694">
        <f>cukier11[[#This Row],[stan_magazynu]]-cukier11[[#This Row],[sprzedany_cukier]]</f>
        <v>4949</v>
      </c>
      <c r="I694" s="9">
        <f>cukier11[[#This Row],[stan_po_sprzedazy]]+cukier11[[#This Row],[ile_dokupic]]*1000</f>
        <v>4949</v>
      </c>
    </row>
    <row r="695" spans="1:9" x14ac:dyDescent="0.25">
      <c r="A695" s="1">
        <v>39573</v>
      </c>
      <c r="B695" t="s">
        <v>10</v>
      </c>
      <c r="C695">
        <v>71</v>
      </c>
      <c r="D695">
        <f>MONTH(cukier11[[#This Row],[data]])</f>
        <v>5</v>
      </c>
      <c r="E695">
        <f>IF(D696&lt;&gt;cukier11[[#This Row],[miesiac]],1,0)</f>
        <v>0</v>
      </c>
      <c r="F695">
        <f>IF(AND(H694&lt;5000,cukier11[[#This Row],[czy_nastapiła_zmiana_mies]]=1),ROUNDUP((5000-H694)/1000,0),0)</f>
        <v>0</v>
      </c>
      <c r="G695">
        <f t="shared" si="10"/>
        <v>4949</v>
      </c>
      <c r="H695">
        <f>cukier11[[#This Row],[stan_magazynu]]-cukier11[[#This Row],[sprzedany_cukier]]</f>
        <v>4878</v>
      </c>
      <c r="I695" s="9">
        <f>cukier11[[#This Row],[stan_po_sprzedazy]]+cukier11[[#This Row],[ile_dokupic]]*1000</f>
        <v>4878</v>
      </c>
    </row>
    <row r="696" spans="1:9" x14ac:dyDescent="0.25">
      <c r="A696" s="1">
        <v>39573</v>
      </c>
      <c r="B696" t="s">
        <v>72</v>
      </c>
      <c r="C696">
        <v>8</v>
      </c>
      <c r="D696">
        <f>MONTH(cukier11[[#This Row],[data]])</f>
        <v>5</v>
      </c>
      <c r="E696">
        <f>IF(D697&lt;&gt;cukier11[[#This Row],[miesiac]],1,0)</f>
        <v>0</v>
      </c>
      <c r="F696">
        <f>IF(AND(H695&lt;5000,cukier11[[#This Row],[czy_nastapiła_zmiana_mies]]=1),ROUNDUP((5000-H695)/1000,0),0)</f>
        <v>0</v>
      </c>
      <c r="G696">
        <f t="shared" si="10"/>
        <v>4878</v>
      </c>
      <c r="H696">
        <f>cukier11[[#This Row],[stan_magazynu]]-cukier11[[#This Row],[sprzedany_cukier]]</f>
        <v>4870</v>
      </c>
      <c r="I696" s="9">
        <f>cukier11[[#This Row],[stan_po_sprzedazy]]+cukier11[[#This Row],[ile_dokupic]]*1000</f>
        <v>4870</v>
      </c>
    </row>
    <row r="697" spans="1:9" x14ac:dyDescent="0.25">
      <c r="A697" s="1">
        <v>39577</v>
      </c>
      <c r="B697" t="s">
        <v>9</v>
      </c>
      <c r="C697">
        <v>444</v>
      </c>
      <c r="D697">
        <f>MONTH(cukier11[[#This Row],[data]])</f>
        <v>5</v>
      </c>
      <c r="E697">
        <f>IF(D698&lt;&gt;cukier11[[#This Row],[miesiac]],1,0)</f>
        <v>0</v>
      </c>
      <c r="F697">
        <f>IF(AND(H696&lt;5000,cukier11[[#This Row],[czy_nastapiła_zmiana_mies]]=1),ROUNDUP((5000-H696)/1000,0),0)</f>
        <v>0</v>
      </c>
      <c r="G697">
        <f t="shared" si="10"/>
        <v>4870</v>
      </c>
      <c r="H697">
        <f>cukier11[[#This Row],[stan_magazynu]]-cukier11[[#This Row],[sprzedany_cukier]]</f>
        <v>4426</v>
      </c>
      <c r="I697" s="9">
        <f>cukier11[[#This Row],[stan_po_sprzedazy]]+cukier11[[#This Row],[ile_dokupic]]*1000</f>
        <v>4426</v>
      </c>
    </row>
    <row r="698" spans="1:9" x14ac:dyDescent="0.25">
      <c r="A698" s="1">
        <v>39577</v>
      </c>
      <c r="B698" t="s">
        <v>83</v>
      </c>
      <c r="C698">
        <v>1</v>
      </c>
      <c r="D698">
        <f>MONTH(cukier11[[#This Row],[data]])</f>
        <v>5</v>
      </c>
      <c r="E698">
        <f>IF(D699&lt;&gt;cukier11[[#This Row],[miesiac]],1,0)</f>
        <v>0</v>
      </c>
      <c r="F698">
        <f>IF(AND(H697&lt;5000,cukier11[[#This Row],[czy_nastapiła_zmiana_mies]]=1),ROUNDUP((5000-H697)/1000,0),0)</f>
        <v>0</v>
      </c>
      <c r="G698">
        <f t="shared" si="10"/>
        <v>4426</v>
      </c>
      <c r="H698">
        <f>cukier11[[#This Row],[stan_magazynu]]-cukier11[[#This Row],[sprzedany_cukier]]</f>
        <v>4425</v>
      </c>
      <c r="I698" s="9">
        <f>cukier11[[#This Row],[stan_po_sprzedazy]]+cukier11[[#This Row],[ile_dokupic]]*1000</f>
        <v>4425</v>
      </c>
    </row>
    <row r="699" spans="1:9" x14ac:dyDescent="0.25">
      <c r="A699" s="1">
        <v>39579</v>
      </c>
      <c r="B699" t="s">
        <v>66</v>
      </c>
      <c r="C699">
        <v>102</v>
      </c>
      <c r="D699">
        <f>MONTH(cukier11[[#This Row],[data]])</f>
        <v>5</v>
      </c>
      <c r="E699">
        <f>IF(D700&lt;&gt;cukier11[[#This Row],[miesiac]],1,0)</f>
        <v>0</v>
      </c>
      <c r="F699">
        <f>IF(AND(H698&lt;5000,cukier11[[#This Row],[czy_nastapiła_zmiana_mies]]=1),ROUNDUP((5000-H698)/1000,0),0)</f>
        <v>0</v>
      </c>
      <c r="G699">
        <f t="shared" si="10"/>
        <v>4425</v>
      </c>
      <c r="H699">
        <f>cukier11[[#This Row],[stan_magazynu]]-cukier11[[#This Row],[sprzedany_cukier]]</f>
        <v>4323</v>
      </c>
      <c r="I699" s="9">
        <f>cukier11[[#This Row],[stan_po_sprzedazy]]+cukier11[[#This Row],[ile_dokupic]]*1000</f>
        <v>4323</v>
      </c>
    </row>
    <row r="700" spans="1:9" x14ac:dyDescent="0.25">
      <c r="A700" s="1">
        <v>39579</v>
      </c>
      <c r="B700" t="s">
        <v>26</v>
      </c>
      <c r="C700">
        <v>181</v>
      </c>
      <c r="D700">
        <f>MONTH(cukier11[[#This Row],[data]])</f>
        <v>5</v>
      </c>
      <c r="E700">
        <f>IF(D701&lt;&gt;cukier11[[#This Row],[miesiac]],1,0)</f>
        <v>0</v>
      </c>
      <c r="F700">
        <f>IF(AND(H699&lt;5000,cukier11[[#This Row],[czy_nastapiła_zmiana_mies]]=1),ROUNDUP((5000-H699)/1000,0),0)</f>
        <v>0</v>
      </c>
      <c r="G700">
        <f t="shared" si="10"/>
        <v>4323</v>
      </c>
      <c r="H700">
        <f>cukier11[[#This Row],[stan_magazynu]]-cukier11[[#This Row],[sprzedany_cukier]]</f>
        <v>4142</v>
      </c>
      <c r="I700" s="9">
        <f>cukier11[[#This Row],[stan_po_sprzedazy]]+cukier11[[#This Row],[ile_dokupic]]*1000</f>
        <v>4142</v>
      </c>
    </row>
    <row r="701" spans="1:9" x14ac:dyDescent="0.25">
      <c r="A701" s="1">
        <v>39579</v>
      </c>
      <c r="B701" t="s">
        <v>52</v>
      </c>
      <c r="C701">
        <v>82</v>
      </c>
      <c r="D701">
        <f>MONTH(cukier11[[#This Row],[data]])</f>
        <v>5</v>
      </c>
      <c r="E701">
        <f>IF(D702&lt;&gt;cukier11[[#This Row],[miesiac]],1,0)</f>
        <v>0</v>
      </c>
      <c r="F701">
        <f>IF(AND(H700&lt;5000,cukier11[[#This Row],[czy_nastapiła_zmiana_mies]]=1),ROUNDUP((5000-H700)/1000,0),0)</f>
        <v>0</v>
      </c>
      <c r="G701">
        <f t="shared" si="10"/>
        <v>4142</v>
      </c>
      <c r="H701">
        <f>cukier11[[#This Row],[stan_magazynu]]-cukier11[[#This Row],[sprzedany_cukier]]</f>
        <v>4060</v>
      </c>
      <c r="I701" s="9">
        <f>cukier11[[#This Row],[stan_po_sprzedazy]]+cukier11[[#This Row],[ile_dokupic]]*1000</f>
        <v>4060</v>
      </c>
    </row>
    <row r="702" spans="1:9" x14ac:dyDescent="0.25">
      <c r="A702" s="1">
        <v>39582</v>
      </c>
      <c r="B702" t="s">
        <v>167</v>
      </c>
      <c r="C702">
        <v>19</v>
      </c>
      <c r="D702">
        <f>MONTH(cukier11[[#This Row],[data]])</f>
        <v>5</v>
      </c>
      <c r="E702">
        <f>IF(D703&lt;&gt;cukier11[[#This Row],[miesiac]],1,0)</f>
        <v>0</v>
      </c>
      <c r="F702">
        <f>IF(AND(H701&lt;5000,cukier11[[#This Row],[czy_nastapiła_zmiana_mies]]=1),ROUNDUP((5000-H701)/1000,0),0)</f>
        <v>0</v>
      </c>
      <c r="G702">
        <f t="shared" si="10"/>
        <v>4060</v>
      </c>
      <c r="H702">
        <f>cukier11[[#This Row],[stan_magazynu]]-cukier11[[#This Row],[sprzedany_cukier]]</f>
        <v>4041</v>
      </c>
      <c r="I702" s="9">
        <f>cukier11[[#This Row],[stan_po_sprzedazy]]+cukier11[[#This Row],[ile_dokupic]]*1000</f>
        <v>4041</v>
      </c>
    </row>
    <row r="703" spans="1:9" x14ac:dyDescent="0.25">
      <c r="A703" s="1">
        <v>39582</v>
      </c>
      <c r="B703" t="s">
        <v>17</v>
      </c>
      <c r="C703">
        <v>245</v>
      </c>
      <c r="D703">
        <f>MONTH(cukier11[[#This Row],[data]])</f>
        <v>5</v>
      </c>
      <c r="E703">
        <f>IF(D704&lt;&gt;cukier11[[#This Row],[miesiac]],1,0)</f>
        <v>0</v>
      </c>
      <c r="F703">
        <f>IF(AND(H702&lt;5000,cukier11[[#This Row],[czy_nastapiła_zmiana_mies]]=1),ROUNDUP((5000-H702)/1000,0),0)</f>
        <v>0</v>
      </c>
      <c r="G703">
        <f t="shared" si="10"/>
        <v>4041</v>
      </c>
      <c r="H703">
        <f>cukier11[[#This Row],[stan_magazynu]]-cukier11[[#This Row],[sprzedany_cukier]]</f>
        <v>3796</v>
      </c>
      <c r="I703" s="9">
        <f>cukier11[[#This Row],[stan_po_sprzedazy]]+cukier11[[#This Row],[ile_dokupic]]*1000</f>
        <v>3796</v>
      </c>
    </row>
    <row r="704" spans="1:9" x14ac:dyDescent="0.25">
      <c r="A704" s="1">
        <v>39584</v>
      </c>
      <c r="B704" t="s">
        <v>102</v>
      </c>
      <c r="C704">
        <v>431</v>
      </c>
      <c r="D704">
        <f>MONTH(cukier11[[#This Row],[data]])</f>
        <v>5</v>
      </c>
      <c r="E704">
        <f>IF(D705&lt;&gt;cukier11[[#This Row],[miesiac]],1,0)</f>
        <v>0</v>
      </c>
      <c r="F704">
        <f>IF(AND(H703&lt;5000,cukier11[[#This Row],[czy_nastapiła_zmiana_mies]]=1),ROUNDUP((5000-H703)/1000,0),0)</f>
        <v>0</v>
      </c>
      <c r="G704">
        <f t="shared" si="10"/>
        <v>3796</v>
      </c>
      <c r="H704">
        <f>cukier11[[#This Row],[stan_magazynu]]-cukier11[[#This Row],[sprzedany_cukier]]</f>
        <v>3365</v>
      </c>
      <c r="I704" s="9">
        <f>cukier11[[#This Row],[stan_po_sprzedazy]]+cukier11[[#This Row],[ile_dokupic]]*1000</f>
        <v>3365</v>
      </c>
    </row>
    <row r="705" spans="1:9" x14ac:dyDescent="0.25">
      <c r="A705" s="1">
        <v>39584</v>
      </c>
      <c r="B705" t="s">
        <v>7</v>
      </c>
      <c r="C705">
        <v>252</v>
      </c>
      <c r="D705">
        <f>MONTH(cukier11[[#This Row],[data]])</f>
        <v>5</v>
      </c>
      <c r="E705">
        <f>IF(D706&lt;&gt;cukier11[[#This Row],[miesiac]],1,0)</f>
        <v>0</v>
      </c>
      <c r="F705">
        <f>IF(AND(H704&lt;5000,cukier11[[#This Row],[czy_nastapiła_zmiana_mies]]=1),ROUNDUP((5000-H704)/1000,0),0)</f>
        <v>0</v>
      </c>
      <c r="G705">
        <f t="shared" si="10"/>
        <v>3365</v>
      </c>
      <c r="H705">
        <f>cukier11[[#This Row],[stan_magazynu]]-cukier11[[#This Row],[sprzedany_cukier]]</f>
        <v>3113</v>
      </c>
      <c r="I705" s="9">
        <f>cukier11[[#This Row],[stan_po_sprzedazy]]+cukier11[[#This Row],[ile_dokupic]]*1000</f>
        <v>3113</v>
      </c>
    </row>
    <row r="706" spans="1:9" x14ac:dyDescent="0.25">
      <c r="A706" s="1">
        <v>39585</v>
      </c>
      <c r="B706" t="s">
        <v>62</v>
      </c>
      <c r="C706">
        <v>2</v>
      </c>
      <c r="D706">
        <f>MONTH(cukier11[[#This Row],[data]])</f>
        <v>5</v>
      </c>
      <c r="E706">
        <f>IF(D707&lt;&gt;cukier11[[#This Row],[miesiac]],1,0)</f>
        <v>0</v>
      </c>
      <c r="F706">
        <f>IF(AND(H705&lt;5000,cukier11[[#This Row],[czy_nastapiła_zmiana_mies]]=1),ROUNDUP((5000-H705)/1000,0),0)</f>
        <v>0</v>
      </c>
      <c r="G706">
        <f t="shared" si="10"/>
        <v>3113</v>
      </c>
      <c r="H706">
        <f>cukier11[[#This Row],[stan_magazynu]]-cukier11[[#This Row],[sprzedany_cukier]]</f>
        <v>3111</v>
      </c>
      <c r="I706" s="9">
        <f>cukier11[[#This Row],[stan_po_sprzedazy]]+cukier11[[#This Row],[ile_dokupic]]*1000</f>
        <v>3111</v>
      </c>
    </row>
    <row r="707" spans="1:9" x14ac:dyDescent="0.25">
      <c r="A707" s="1">
        <v>39586</v>
      </c>
      <c r="B707" t="s">
        <v>6</v>
      </c>
      <c r="C707">
        <v>52</v>
      </c>
      <c r="D707">
        <f>MONTH(cukier11[[#This Row],[data]])</f>
        <v>5</v>
      </c>
      <c r="E707">
        <f>IF(D708&lt;&gt;cukier11[[#This Row],[miesiac]],1,0)</f>
        <v>0</v>
      </c>
      <c r="F707">
        <f>IF(AND(H706&lt;5000,cukier11[[#This Row],[czy_nastapiła_zmiana_mies]]=1),ROUNDUP((5000-H706)/1000,0),0)</f>
        <v>0</v>
      </c>
      <c r="G707">
        <f t="shared" si="10"/>
        <v>3111</v>
      </c>
      <c r="H707">
        <f>cukier11[[#This Row],[stan_magazynu]]-cukier11[[#This Row],[sprzedany_cukier]]</f>
        <v>3059</v>
      </c>
      <c r="I707" s="9">
        <f>cukier11[[#This Row],[stan_po_sprzedazy]]+cukier11[[#This Row],[ile_dokupic]]*1000</f>
        <v>3059</v>
      </c>
    </row>
    <row r="708" spans="1:9" x14ac:dyDescent="0.25">
      <c r="A708" s="1">
        <v>39587</v>
      </c>
      <c r="B708" t="s">
        <v>23</v>
      </c>
      <c r="C708">
        <v>54</v>
      </c>
      <c r="D708">
        <f>MONTH(cukier11[[#This Row],[data]])</f>
        <v>5</v>
      </c>
      <c r="E708">
        <f>IF(D709&lt;&gt;cukier11[[#This Row],[miesiac]],1,0)</f>
        <v>0</v>
      </c>
      <c r="F708">
        <f>IF(AND(H707&lt;5000,cukier11[[#This Row],[czy_nastapiła_zmiana_mies]]=1),ROUNDUP((5000-H707)/1000,0),0)</f>
        <v>0</v>
      </c>
      <c r="G708">
        <f t="shared" ref="G708:G771" si="11">I707</f>
        <v>3059</v>
      </c>
      <c r="H708">
        <f>cukier11[[#This Row],[stan_magazynu]]-cukier11[[#This Row],[sprzedany_cukier]]</f>
        <v>3005</v>
      </c>
      <c r="I708" s="9">
        <f>cukier11[[#This Row],[stan_po_sprzedazy]]+cukier11[[#This Row],[ile_dokupic]]*1000</f>
        <v>3005</v>
      </c>
    </row>
    <row r="709" spans="1:9" x14ac:dyDescent="0.25">
      <c r="A709" s="1">
        <v>39587</v>
      </c>
      <c r="B709" t="s">
        <v>59</v>
      </c>
      <c r="C709">
        <v>4</v>
      </c>
      <c r="D709">
        <f>MONTH(cukier11[[#This Row],[data]])</f>
        <v>5</v>
      </c>
      <c r="E709">
        <f>IF(D710&lt;&gt;cukier11[[#This Row],[miesiac]],1,0)</f>
        <v>0</v>
      </c>
      <c r="F709">
        <f>IF(AND(H708&lt;5000,cukier11[[#This Row],[czy_nastapiła_zmiana_mies]]=1),ROUNDUP((5000-H708)/1000,0),0)</f>
        <v>0</v>
      </c>
      <c r="G709">
        <f t="shared" si="11"/>
        <v>3005</v>
      </c>
      <c r="H709">
        <f>cukier11[[#This Row],[stan_magazynu]]-cukier11[[#This Row],[sprzedany_cukier]]</f>
        <v>3001</v>
      </c>
      <c r="I709" s="9">
        <f>cukier11[[#This Row],[stan_po_sprzedazy]]+cukier11[[#This Row],[ile_dokupic]]*1000</f>
        <v>3001</v>
      </c>
    </row>
    <row r="710" spans="1:9" x14ac:dyDescent="0.25">
      <c r="A710" s="1">
        <v>39587</v>
      </c>
      <c r="B710" t="s">
        <v>61</v>
      </c>
      <c r="C710">
        <v>88</v>
      </c>
      <c r="D710">
        <f>MONTH(cukier11[[#This Row],[data]])</f>
        <v>5</v>
      </c>
      <c r="E710">
        <f>IF(D711&lt;&gt;cukier11[[#This Row],[miesiac]],1,0)</f>
        <v>0</v>
      </c>
      <c r="F710">
        <f>IF(AND(H709&lt;5000,cukier11[[#This Row],[czy_nastapiła_zmiana_mies]]=1),ROUNDUP((5000-H709)/1000,0),0)</f>
        <v>0</v>
      </c>
      <c r="G710">
        <f t="shared" si="11"/>
        <v>3001</v>
      </c>
      <c r="H710">
        <f>cukier11[[#This Row],[stan_magazynu]]-cukier11[[#This Row],[sprzedany_cukier]]</f>
        <v>2913</v>
      </c>
      <c r="I710" s="9">
        <f>cukier11[[#This Row],[stan_po_sprzedazy]]+cukier11[[#This Row],[ile_dokupic]]*1000</f>
        <v>2913</v>
      </c>
    </row>
    <row r="711" spans="1:9" x14ac:dyDescent="0.25">
      <c r="A711" s="1">
        <v>39590</v>
      </c>
      <c r="B711" t="s">
        <v>18</v>
      </c>
      <c r="C711">
        <v>152</v>
      </c>
      <c r="D711">
        <f>MONTH(cukier11[[#This Row],[data]])</f>
        <v>5</v>
      </c>
      <c r="E711">
        <f>IF(D712&lt;&gt;cukier11[[#This Row],[miesiac]],1,0)</f>
        <v>0</v>
      </c>
      <c r="F711">
        <f>IF(AND(H710&lt;5000,cukier11[[#This Row],[czy_nastapiła_zmiana_mies]]=1),ROUNDUP((5000-H710)/1000,0),0)</f>
        <v>0</v>
      </c>
      <c r="G711">
        <f t="shared" si="11"/>
        <v>2913</v>
      </c>
      <c r="H711">
        <f>cukier11[[#This Row],[stan_magazynu]]-cukier11[[#This Row],[sprzedany_cukier]]</f>
        <v>2761</v>
      </c>
      <c r="I711" s="9">
        <f>cukier11[[#This Row],[stan_po_sprzedazy]]+cukier11[[#This Row],[ile_dokupic]]*1000</f>
        <v>2761</v>
      </c>
    </row>
    <row r="712" spans="1:9" x14ac:dyDescent="0.25">
      <c r="A712" s="1">
        <v>39591</v>
      </c>
      <c r="B712" t="s">
        <v>55</v>
      </c>
      <c r="C712">
        <v>121</v>
      </c>
      <c r="D712">
        <f>MONTH(cukier11[[#This Row],[data]])</f>
        <v>5</v>
      </c>
      <c r="E712">
        <f>IF(D713&lt;&gt;cukier11[[#This Row],[miesiac]],1,0)</f>
        <v>0</v>
      </c>
      <c r="F712">
        <f>IF(AND(H711&lt;5000,cukier11[[#This Row],[czy_nastapiła_zmiana_mies]]=1),ROUNDUP((5000-H711)/1000,0),0)</f>
        <v>0</v>
      </c>
      <c r="G712">
        <f t="shared" si="11"/>
        <v>2761</v>
      </c>
      <c r="H712">
        <f>cukier11[[#This Row],[stan_magazynu]]-cukier11[[#This Row],[sprzedany_cukier]]</f>
        <v>2640</v>
      </c>
      <c r="I712" s="9">
        <f>cukier11[[#This Row],[stan_po_sprzedazy]]+cukier11[[#This Row],[ile_dokupic]]*1000</f>
        <v>2640</v>
      </c>
    </row>
    <row r="713" spans="1:9" x14ac:dyDescent="0.25">
      <c r="A713" s="1">
        <v>39592</v>
      </c>
      <c r="B713" t="s">
        <v>18</v>
      </c>
      <c r="C713">
        <v>77</v>
      </c>
      <c r="D713">
        <f>MONTH(cukier11[[#This Row],[data]])</f>
        <v>5</v>
      </c>
      <c r="E713">
        <f>IF(D714&lt;&gt;cukier11[[#This Row],[miesiac]],1,0)</f>
        <v>0</v>
      </c>
      <c r="F713">
        <f>IF(AND(H712&lt;5000,cukier11[[#This Row],[czy_nastapiła_zmiana_mies]]=1),ROUNDUP((5000-H712)/1000,0),0)</f>
        <v>0</v>
      </c>
      <c r="G713">
        <f t="shared" si="11"/>
        <v>2640</v>
      </c>
      <c r="H713">
        <f>cukier11[[#This Row],[stan_magazynu]]-cukier11[[#This Row],[sprzedany_cukier]]</f>
        <v>2563</v>
      </c>
      <c r="I713" s="9">
        <f>cukier11[[#This Row],[stan_po_sprzedazy]]+cukier11[[#This Row],[ile_dokupic]]*1000</f>
        <v>2563</v>
      </c>
    </row>
    <row r="714" spans="1:9" x14ac:dyDescent="0.25">
      <c r="A714" s="1">
        <v>39595</v>
      </c>
      <c r="B714" t="s">
        <v>131</v>
      </c>
      <c r="C714">
        <v>21</v>
      </c>
      <c r="D714">
        <f>MONTH(cukier11[[#This Row],[data]])</f>
        <v>5</v>
      </c>
      <c r="E714">
        <f>IF(D715&lt;&gt;cukier11[[#This Row],[miesiac]],1,0)</f>
        <v>0</v>
      </c>
      <c r="F714">
        <f>IF(AND(H713&lt;5000,cukier11[[#This Row],[czy_nastapiła_zmiana_mies]]=1),ROUNDUP((5000-H713)/1000,0),0)</f>
        <v>0</v>
      </c>
      <c r="G714">
        <f t="shared" si="11"/>
        <v>2563</v>
      </c>
      <c r="H714">
        <f>cukier11[[#This Row],[stan_magazynu]]-cukier11[[#This Row],[sprzedany_cukier]]</f>
        <v>2542</v>
      </c>
      <c r="I714" s="9">
        <f>cukier11[[#This Row],[stan_po_sprzedazy]]+cukier11[[#This Row],[ile_dokupic]]*1000</f>
        <v>2542</v>
      </c>
    </row>
    <row r="715" spans="1:9" x14ac:dyDescent="0.25">
      <c r="A715" s="1">
        <v>39596</v>
      </c>
      <c r="B715" t="s">
        <v>61</v>
      </c>
      <c r="C715">
        <v>48</v>
      </c>
      <c r="D715">
        <f>MONTH(cukier11[[#This Row],[data]])</f>
        <v>5</v>
      </c>
      <c r="E715">
        <f>IF(D716&lt;&gt;cukier11[[#This Row],[miesiac]],1,0)</f>
        <v>0</v>
      </c>
      <c r="F715">
        <f>IF(AND(H714&lt;5000,cukier11[[#This Row],[czy_nastapiła_zmiana_mies]]=1),ROUNDUP((5000-H714)/1000,0),0)</f>
        <v>0</v>
      </c>
      <c r="G715">
        <f t="shared" si="11"/>
        <v>2542</v>
      </c>
      <c r="H715">
        <f>cukier11[[#This Row],[stan_magazynu]]-cukier11[[#This Row],[sprzedany_cukier]]</f>
        <v>2494</v>
      </c>
      <c r="I715" s="9">
        <f>cukier11[[#This Row],[stan_po_sprzedazy]]+cukier11[[#This Row],[ile_dokupic]]*1000</f>
        <v>2494</v>
      </c>
    </row>
    <row r="716" spans="1:9" x14ac:dyDescent="0.25">
      <c r="A716" s="1">
        <v>39597</v>
      </c>
      <c r="B716" t="s">
        <v>45</v>
      </c>
      <c r="C716">
        <v>420</v>
      </c>
      <c r="D716">
        <f>MONTH(cukier11[[#This Row],[data]])</f>
        <v>5</v>
      </c>
      <c r="E716">
        <f>IF(D717&lt;&gt;cukier11[[#This Row],[miesiac]],1,0)</f>
        <v>0</v>
      </c>
      <c r="F716">
        <f>IF(AND(H715&lt;5000,cukier11[[#This Row],[czy_nastapiła_zmiana_mies]]=1),ROUNDUP((5000-H715)/1000,0),0)</f>
        <v>0</v>
      </c>
      <c r="G716">
        <f t="shared" si="11"/>
        <v>2494</v>
      </c>
      <c r="H716">
        <f>cukier11[[#This Row],[stan_magazynu]]-cukier11[[#This Row],[sprzedany_cukier]]</f>
        <v>2074</v>
      </c>
      <c r="I716" s="9">
        <f>cukier11[[#This Row],[stan_po_sprzedazy]]+cukier11[[#This Row],[ile_dokupic]]*1000</f>
        <v>2074</v>
      </c>
    </row>
    <row r="717" spans="1:9" x14ac:dyDescent="0.25">
      <c r="A717" s="1">
        <v>39598</v>
      </c>
      <c r="B717" t="s">
        <v>7</v>
      </c>
      <c r="C717">
        <v>443</v>
      </c>
      <c r="D717">
        <f>MONTH(cukier11[[#This Row],[data]])</f>
        <v>5</v>
      </c>
      <c r="E717">
        <f>IF(D718&lt;&gt;cukier11[[#This Row],[miesiac]],1,0)</f>
        <v>1</v>
      </c>
      <c r="F717">
        <f>IF(AND(H716&lt;5000,cukier11[[#This Row],[czy_nastapiła_zmiana_mies]]=1),ROUNDUP((5000-H716)/1000,0),0)</f>
        <v>3</v>
      </c>
      <c r="G717">
        <f t="shared" si="11"/>
        <v>2074</v>
      </c>
      <c r="H717">
        <f>cukier11[[#This Row],[stan_magazynu]]-cukier11[[#This Row],[sprzedany_cukier]]</f>
        <v>1631</v>
      </c>
      <c r="I717" s="9">
        <f>cukier11[[#This Row],[stan_po_sprzedazy]]+cukier11[[#This Row],[ile_dokupic]]*1000</f>
        <v>4631</v>
      </c>
    </row>
    <row r="718" spans="1:9" x14ac:dyDescent="0.25">
      <c r="A718" s="1">
        <v>39602</v>
      </c>
      <c r="B718" t="s">
        <v>55</v>
      </c>
      <c r="C718">
        <v>46</v>
      </c>
      <c r="D718">
        <f>MONTH(cukier11[[#This Row],[data]])</f>
        <v>6</v>
      </c>
      <c r="E718">
        <f>IF(D719&lt;&gt;cukier11[[#This Row],[miesiac]],1,0)</f>
        <v>0</v>
      </c>
      <c r="F718">
        <f>IF(AND(H717&lt;5000,cukier11[[#This Row],[czy_nastapiła_zmiana_mies]]=1),ROUNDUP((5000-H717)/1000,0),0)</f>
        <v>0</v>
      </c>
      <c r="G718">
        <f t="shared" si="11"/>
        <v>4631</v>
      </c>
      <c r="H718">
        <f>cukier11[[#This Row],[stan_magazynu]]-cukier11[[#This Row],[sprzedany_cukier]]</f>
        <v>4585</v>
      </c>
      <c r="I718" s="9">
        <f>cukier11[[#This Row],[stan_po_sprzedazy]]+cukier11[[#This Row],[ile_dokupic]]*1000</f>
        <v>4585</v>
      </c>
    </row>
    <row r="719" spans="1:9" x14ac:dyDescent="0.25">
      <c r="A719" s="1">
        <v>39603</v>
      </c>
      <c r="B719" t="s">
        <v>134</v>
      </c>
      <c r="C719">
        <v>3</v>
      </c>
      <c r="D719">
        <f>MONTH(cukier11[[#This Row],[data]])</f>
        <v>6</v>
      </c>
      <c r="E719">
        <f>IF(D720&lt;&gt;cukier11[[#This Row],[miesiac]],1,0)</f>
        <v>0</v>
      </c>
      <c r="F719">
        <f>IF(AND(H718&lt;5000,cukier11[[#This Row],[czy_nastapiła_zmiana_mies]]=1),ROUNDUP((5000-H718)/1000,0),0)</f>
        <v>0</v>
      </c>
      <c r="G719">
        <f t="shared" si="11"/>
        <v>4585</v>
      </c>
      <c r="H719">
        <f>cukier11[[#This Row],[stan_magazynu]]-cukier11[[#This Row],[sprzedany_cukier]]</f>
        <v>4582</v>
      </c>
      <c r="I719" s="9">
        <f>cukier11[[#This Row],[stan_po_sprzedazy]]+cukier11[[#This Row],[ile_dokupic]]*1000</f>
        <v>4582</v>
      </c>
    </row>
    <row r="720" spans="1:9" x14ac:dyDescent="0.25">
      <c r="A720" s="1">
        <v>39605</v>
      </c>
      <c r="B720" t="s">
        <v>55</v>
      </c>
      <c r="C720">
        <v>98</v>
      </c>
      <c r="D720">
        <f>MONTH(cukier11[[#This Row],[data]])</f>
        <v>6</v>
      </c>
      <c r="E720">
        <f>IF(D721&lt;&gt;cukier11[[#This Row],[miesiac]],1,0)</f>
        <v>0</v>
      </c>
      <c r="F720">
        <f>IF(AND(H719&lt;5000,cukier11[[#This Row],[czy_nastapiła_zmiana_mies]]=1),ROUNDUP((5000-H719)/1000,0),0)</f>
        <v>0</v>
      </c>
      <c r="G720">
        <f t="shared" si="11"/>
        <v>4582</v>
      </c>
      <c r="H720">
        <f>cukier11[[#This Row],[stan_magazynu]]-cukier11[[#This Row],[sprzedany_cukier]]</f>
        <v>4484</v>
      </c>
      <c r="I720" s="9">
        <f>cukier11[[#This Row],[stan_po_sprzedazy]]+cukier11[[#This Row],[ile_dokupic]]*1000</f>
        <v>4484</v>
      </c>
    </row>
    <row r="721" spans="1:9" x14ac:dyDescent="0.25">
      <c r="A721" s="1">
        <v>39605</v>
      </c>
      <c r="B721" t="s">
        <v>168</v>
      </c>
      <c r="C721">
        <v>18</v>
      </c>
      <c r="D721">
        <f>MONTH(cukier11[[#This Row],[data]])</f>
        <v>6</v>
      </c>
      <c r="E721">
        <f>IF(D722&lt;&gt;cukier11[[#This Row],[miesiac]],1,0)</f>
        <v>0</v>
      </c>
      <c r="F721">
        <f>IF(AND(H720&lt;5000,cukier11[[#This Row],[czy_nastapiła_zmiana_mies]]=1),ROUNDUP((5000-H720)/1000,0),0)</f>
        <v>0</v>
      </c>
      <c r="G721">
        <f t="shared" si="11"/>
        <v>4484</v>
      </c>
      <c r="H721">
        <f>cukier11[[#This Row],[stan_magazynu]]-cukier11[[#This Row],[sprzedany_cukier]]</f>
        <v>4466</v>
      </c>
      <c r="I721" s="9">
        <f>cukier11[[#This Row],[stan_po_sprzedazy]]+cukier11[[#This Row],[ile_dokupic]]*1000</f>
        <v>4466</v>
      </c>
    </row>
    <row r="722" spans="1:9" x14ac:dyDescent="0.25">
      <c r="A722" s="1">
        <v>39605</v>
      </c>
      <c r="B722" t="s">
        <v>50</v>
      </c>
      <c r="C722">
        <v>237</v>
      </c>
      <c r="D722">
        <f>MONTH(cukier11[[#This Row],[data]])</f>
        <v>6</v>
      </c>
      <c r="E722">
        <f>IF(D723&lt;&gt;cukier11[[#This Row],[miesiac]],1,0)</f>
        <v>0</v>
      </c>
      <c r="F722">
        <f>IF(AND(H721&lt;5000,cukier11[[#This Row],[czy_nastapiła_zmiana_mies]]=1),ROUNDUP((5000-H721)/1000,0),0)</f>
        <v>0</v>
      </c>
      <c r="G722">
        <f t="shared" si="11"/>
        <v>4466</v>
      </c>
      <c r="H722">
        <f>cukier11[[#This Row],[stan_magazynu]]-cukier11[[#This Row],[sprzedany_cukier]]</f>
        <v>4229</v>
      </c>
      <c r="I722" s="9">
        <f>cukier11[[#This Row],[stan_po_sprzedazy]]+cukier11[[#This Row],[ile_dokupic]]*1000</f>
        <v>4229</v>
      </c>
    </row>
    <row r="723" spans="1:9" x14ac:dyDescent="0.25">
      <c r="A723" s="1">
        <v>39605</v>
      </c>
      <c r="B723" t="s">
        <v>31</v>
      </c>
      <c r="C723">
        <v>64</v>
      </c>
      <c r="D723">
        <f>MONTH(cukier11[[#This Row],[data]])</f>
        <v>6</v>
      </c>
      <c r="E723">
        <f>IF(D724&lt;&gt;cukier11[[#This Row],[miesiac]],1,0)</f>
        <v>0</v>
      </c>
      <c r="F723">
        <f>IF(AND(H722&lt;5000,cukier11[[#This Row],[czy_nastapiła_zmiana_mies]]=1),ROUNDUP((5000-H722)/1000,0),0)</f>
        <v>0</v>
      </c>
      <c r="G723">
        <f t="shared" si="11"/>
        <v>4229</v>
      </c>
      <c r="H723">
        <f>cukier11[[#This Row],[stan_magazynu]]-cukier11[[#This Row],[sprzedany_cukier]]</f>
        <v>4165</v>
      </c>
      <c r="I723" s="9">
        <f>cukier11[[#This Row],[stan_po_sprzedazy]]+cukier11[[#This Row],[ile_dokupic]]*1000</f>
        <v>4165</v>
      </c>
    </row>
    <row r="724" spans="1:9" x14ac:dyDescent="0.25">
      <c r="A724" s="1">
        <v>39609</v>
      </c>
      <c r="B724" t="s">
        <v>37</v>
      </c>
      <c r="C724">
        <v>32</v>
      </c>
      <c r="D724">
        <f>MONTH(cukier11[[#This Row],[data]])</f>
        <v>6</v>
      </c>
      <c r="E724">
        <f>IF(D725&lt;&gt;cukier11[[#This Row],[miesiac]],1,0)</f>
        <v>0</v>
      </c>
      <c r="F724">
        <f>IF(AND(H723&lt;5000,cukier11[[#This Row],[czy_nastapiła_zmiana_mies]]=1),ROUNDUP((5000-H723)/1000,0),0)</f>
        <v>0</v>
      </c>
      <c r="G724">
        <f t="shared" si="11"/>
        <v>4165</v>
      </c>
      <c r="H724">
        <f>cukier11[[#This Row],[stan_magazynu]]-cukier11[[#This Row],[sprzedany_cukier]]</f>
        <v>4133</v>
      </c>
      <c r="I724" s="9">
        <f>cukier11[[#This Row],[stan_po_sprzedazy]]+cukier11[[#This Row],[ile_dokupic]]*1000</f>
        <v>4133</v>
      </c>
    </row>
    <row r="725" spans="1:9" x14ac:dyDescent="0.25">
      <c r="A725" s="1">
        <v>39614</v>
      </c>
      <c r="B725" t="s">
        <v>10</v>
      </c>
      <c r="C725">
        <v>30</v>
      </c>
      <c r="D725">
        <f>MONTH(cukier11[[#This Row],[data]])</f>
        <v>6</v>
      </c>
      <c r="E725">
        <f>IF(D726&lt;&gt;cukier11[[#This Row],[miesiac]],1,0)</f>
        <v>0</v>
      </c>
      <c r="F725">
        <f>IF(AND(H724&lt;5000,cukier11[[#This Row],[czy_nastapiła_zmiana_mies]]=1),ROUNDUP((5000-H724)/1000,0),0)</f>
        <v>0</v>
      </c>
      <c r="G725">
        <f t="shared" si="11"/>
        <v>4133</v>
      </c>
      <c r="H725">
        <f>cukier11[[#This Row],[stan_magazynu]]-cukier11[[#This Row],[sprzedany_cukier]]</f>
        <v>4103</v>
      </c>
      <c r="I725" s="9">
        <f>cukier11[[#This Row],[stan_po_sprzedazy]]+cukier11[[#This Row],[ile_dokupic]]*1000</f>
        <v>4103</v>
      </c>
    </row>
    <row r="726" spans="1:9" x14ac:dyDescent="0.25">
      <c r="A726" s="1">
        <v>39614</v>
      </c>
      <c r="B726" t="s">
        <v>137</v>
      </c>
      <c r="C726">
        <v>12</v>
      </c>
      <c r="D726">
        <f>MONTH(cukier11[[#This Row],[data]])</f>
        <v>6</v>
      </c>
      <c r="E726">
        <f>IF(D727&lt;&gt;cukier11[[#This Row],[miesiac]],1,0)</f>
        <v>0</v>
      </c>
      <c r="F726">
        <f>IF(AND(H725&lt;5000,cukier11[[#This Row],[czy_nastapiła_zmiana_mies]]=1),ROUNDUP((5000-H725)/1000,0),0)</f>
        <v>0</v>
      </c>
      <c r="G726">
        <f t="shared" si="11"/>
        <v>4103</v>
      </c>
      <c r="H726">
        <f>cukier11[[#This Row],[stan_magazynu]]-cukier11[[#This Row],[sprzedany_cukier]]</f>
        <v>4091</v>
      </c>
      <c r="I726" s="9">
        <f>cukier11[[#This Row],[stan_po_sprzedazy]]+cukier11[[#This Row],[ile_dokupic]]*1000</f>
        <v>4091</v>
      </c>
    </row>
    <row r="727" spans="1:9" x14ac:dyDescent="0.25">
      <c r="A727" s="1">
        <v>39615</v>
      </c>
      <c r="B727" t="s">
        <v>71</v>
      </c>
      <c r="C727">
        <v>138</v>
      </c>
      <c r="D727">
        <f>MONTH(cukier11[[#This Row],[data]])</f>
        <v>6</v>
      </c>
      <c r="E727">
        <f>IF(D728&lt;&gt;cukier11[[#This Row],[miesiac]],1,0)</f>
        <v>0</v>
      </c>
      <c r="F727">
        <f>IF(AND(H726&lt;5000,cukier11[[#This Row],[czy_nastapiła_zmiana_mies]]=1),ROUNDUP((5000-H726)/1000,0),0)</f>
        <v>0</v>
      </c>
      <c r="G727">
        <f t="shared" si="11"/>
        <v>4091</v>
      </c>
      <c r="H727">
        <f>cukier11[[#This Row],[stan_magazynu]]-cukier11[[#This Row],[sprzedany_cukier]]</f>
        <v>3953</v>
      </c>
      <c r="I727" s="9">
        <f>cukier11[[#This Row],[stan_po_sprzedazy]]+cukier11[[#This Row],[ile_dokupic]]*1000</f>
        <v>3953</v>
      </c>
    </row>
    <row r="728" spans="1:9" x14ac:dyDescent="0.25">
      <c r="A728" s="1">
        <v>39619</v>
      </c>
      <c r="B728" t="s">
        <v>22</v>
      </c>
      <c r="C728">
        <v>411</v>
      </c>
      <c r="D728">
        <f>MONTH(cukier11[[#This Row],[data]])</f>
        <v>6</v>
      </c>
      <c r="E728">
        <f>IF(D729&lt;&gt;cukier11[[#This Row],[miesiac]],1,0)</f>
        <v>0</v>
      </c>
      <c r="F728">
        <f>IF(AND(H727&lt;5000,cukier11[[#This Row],[czy_nastapiła_zmiana_mies]]=1),ROUNDUP((5000-H727)/1000,0),0)</f>
        <v>0</v>
      </c>
      <c r="G728">
        <f t="shared" si="11"/>
        <v>3953</v>
      </c>
      <c r="H728">
        <f>cukier11[[#This Row],[stan_magazynu]]-cukier11[[#This Row],[sprzedany_cukier]]</f>
        <v>3542</v>
      </c>
      <c r="I728" s="9">
        <f>cukier11[[#This Row],[stan_po_sprzedazy]]+cukier11[[#This Row],[ile_dokupic]]*1000</f>
        <v>3542</v>
      </c>
    </row>
    <row r="729" spans="1:9" x14ac:dyDescent="0.25">
      <c r="A729" s="1">
        <v>39622</v>
      </c>
      <c r="B729" t="s">
        <v>23</v>
      </c>
      <c r="C729">
        <v>152</v>
      </c>
      <c r="D729">
        <f>MONTH(cukier11[[#This Row],[data]])</f>
        <v>6</v>
      </c>
      <c r="E729">
        <f>IF(D730&lt;&gt;cukier11[[#This Row],[miesiac]],1,0)</f>
        <v>0</v>
      </c>
      <c r="F729">
        <f>IF(AND(H728&lt;5000,cukier11[[#This Row],[czy_nastapiła_zmiana_mies]]=1),ROUNDUP((5000-H728)/1000,0),0)</f>
        <v>0</v>
      </c>
      <c r="G729">
        <f t="shared" si="11"/>
        <v>3542</v>
      </c>
      <c r="H729">
        <f>cukier11[[#This Row],[stan_magazynu]]-cukier11[[#This Row],[sprzedany_cukier]]</f>
        <v>3390</v>
      </c>
      <c r="I729" s="9">
        <f>cukier11[[#This Row],[stan_po_sprzedazy]]+cukier11[[#This Row],[ile_dokupic]]*1000</f>
        <v>3390</v>
      </c>
    </row>
    <row r="730" spans="1:9" x14ac:dyDescent="0.25">
      <c r="A730" s="1">
        <v>39623</v>
      </c>
      <c r="B730" t="s">
        <v>169</v>
      </c>
      <c r="C730">
        <v>10</v>
      </c>
      <c r="D730">
        <f>MONTH(cukier11[[#This Row],[data]])</f>
        <v>6</v>
      </c>
      <c r="E730">
        <f>IF(D731&lt;&gt;cukier11[[#This Row],[miesiac]],1,0)</f>
        <v>0</v>
      </c>
      <c r="F730">
        <f>IF(AND(H729&lt;5000,cukier11[[#This Row],[czy_nastapiła_zmiana_mies]]=1),ROUNDUP((5000-H729)/1000,0),0)</f>
        <v>0</v>
      </c>
      <c r="G730">
        <f t="shared" si="11"/>
        <v>3390</v>
      </c>
      <c r="H730">
        <f>cukier11[[#This Row],[stan_magazynu]]-cukier11[[#This Row],[sprzedany_cukier]]</f>
        <v>3380</v>
      </c>
      <c r="I730" s="9">
        <f>cukier11[[#This Row],[stan_po_sprzedazy]]+cukier11[[#This Row],[ile_dokupic]]*1000</f>
        <v>3380</v>
      </c>
    </row>
    <row r="731" spans="1:9" x14ac:dyDescent="0.25">
      <c r="A731" s="1">
        <v>39624</v>
      </c>
      <c r="B731" t="s">
        <v>18</v>
      </c>
      <c r="C731">
        <v>75</v>
      </c>
      <c r="D731">
        <f>MONTH(cukier11[[#This Row],[data]])</f>
        <v>6</v>
      </c>
      <c r="E731">
        <f>IF(D732&lt;&gt;cukier11[[#This Row],[miesiac]],1,0)</f>
        <v>0</v>
      </c>
      <c r="F731">
        <f>IF(AND(H730&lt;5000,cukier11[[#This Row],[czy_nastapiła_zmiana_mies]]=1),ROUNDUP((5000-H730)/1000,0),0)</f>
        <v>0</v>
      </c>
      <c r="G731">
        <f t="shared" si="11"/>
        <v>3380</v>
      </c>
      <c r="H731">
        <f>cukier11[[#This Row],[stan_magazynu]]-cukier11[[#This Row],[sprzedany_cukier]]</f>
        <v>3305</v>
      </c>
      <c r="I731" s="9">
        <f>cukier11[[#This Row],[stan_po_sprzedazy]]+cukier11[[#This Row],[ile_dokupic]]*1000</f>
        <v>3305</v>
      </c>
    </row>
    <row r="732" spans="1:9" x14ac:dyDescent="0.25">
      <c r="A732" s="1">
        <v>39624</v>
      </c>
      <c r="B732" t="s">
        <v>170</v>
      </c>
      <c r="C732">
        <v>4</v>
      </c>
      <c r="D732">
        <f>MONTH(cukier11[[#This Row],[data]])</f>
        <v>6</v>
      </c>
      <c r="E732">
        <f>IF(D733&lt;&gt;cukier11[[#This Row],[miesiac]],1,0)</f>
        <v>0</v>
      </c>
      <c r="F732">
        <f>IF(AND(H731&lt;5000,cukier11[[#This Row],[czy_nastapiła_zmiana_mies]]=1),ROUNDUP((5000-H731)/1000,0),0)</f>
        <v>0</v>
      </c>
      <c r="G732">
        <f t="shared" si="11"/>
        <v>3305</v>
      </c>
      <c r="H732">
        <f>cukier11[[#This Row],[stan_magazynu]]-cukier11[[#This Row],[sprzedany_cukier]]</f>
        <v>3301</v>
      </c>
      <c r="I732" s="9">
        <f>cukier11[[#This Row],[stan_po_sprzedazy]]+cukier11[[#This Row],[ile_dokupic]]*1000</f>
        <v>3301</v>
      </c>
    </row>
    <row r="733" spans="1:9" x14ac:dyDescent="0.25">
      <c r="A733" s="1">
        <v>39626</v>
      </c>
      <c r="B733" t="s">
        <v>171</v>
      </c>
      <c r="C733">
        <v>2</v>
      </c>
      <c r="D733">
        <f>MONTH(cukier11[[#This Row],[data]])</f>
        <v>6</v>
      </c>
      <c r="E733">
        <f>IF(D734&lt;&gt;cukier11[[#This Row],[miesiac]],1,0)</f>
        <v>0</v>
      </c>
      <c r="F733">
        <f>IF(AND(H732&lt;5000,cukier11[[#This Row],[czy_nastapiła_zmiana_mies]]=1),ROUNDUP((5000-H732)/1000,0),0)</f>
        <v>0</v>
      </c>
      <c r="G733">
        <f t="shared" si="11"/>
        <v>3301</v>
      </c>
      <c r="H733">
        <f>cukier11[[#This Row],[stan_magazynu]]-cukier11[[#This Row],[sprzedany_cukier]]</f>
        <v>3299</v>
      </c>
      <c r="I733" s="9">
        <f>cukier11[[#This Row],[stan_po_sprzedazy]]+cukier11[[#This Row],[ile_dokupic]]*1000</f>
        <v>3299</v>
      </c>
    </row>
    <row r="734" spans="1:9" x14ac:dyDescent="0.25">
      <c r="A734" s="1">
        <v>39627</v>
      </c>
      <c r="B734" t="s">
        <v>61</v>
      </c>
      <c r="C734">
        <v>110</v>
      </c>
      <c r="D734">
        <f>MONTH(cukier11[[#This Row],[data]])</f>
        <v>6</v>
      </c>
      <c r="E734">
        <f>IF(D735&lt;&gt;cukier11[[#This Row],[miesiac]],1,0)</f>
        <v>0</v>
      </c>
      <c r="F734">
        <f>IF(AND(H733&lt;5000,cukier11[[#This Row],[czy_nastapiła_zmiana_mies]]=1),ROUNDUP((5000-H733)/1000,0),0)</f>
        <v>0</v>
      </c>
      <c r="G734">
        <f t="shared" si="11"/>
        <v>3299</v>
      </c>
      <c r="H734">
        <f>cukier11[[#This Row],[stan_magazynu]]-cukier11[[#This Row],[sprzedany_cukier]]</f>
        <v>3189</v>
      </c>
      <c r="I734" s="9">
        <f>cukier11[[#This Row],[stan_po_sprzedazy]]+cukier11[[#This Row],[ile_dokupic]]*1000</f>
        <v>3189</v>
      </c>
    </row>
    <row r="735" spans="1:9" x14ac:dyDescent="0.25">
      <c r="A735" s="1">
        <v>39628</v>
      </c>
      <c r="B735" t="s">
        <v>35</v>
      </c>
      <c r="C735">
        <v>161</v>
      </c>
      <c r="D735">
        <f>MONTH(cukier11[[#This Row],[data]])</f>
        <v>6</v>
      </c>
      <c r="E735">
        <f>IF(D736&lt;&gt;cukier11[[#This Row],[miesiac]],1,0)</f>
        <v>0</v>
      </c>
      <c r="F735">
        <f>IF(AND(H734&lt;5000,cukier11[[#This Row],[czy_nastapiła_zmiana_mies]]=1),ROUNDUP((5000-H734)/1000,0),0)</f>
        <v>0</v>
      </c>
      <c r="G735">
        <f t="shared" si="11"/>
        <v>3189</v>
      </c>
      <c r="H735">
        <f>cukier11[[#This Row],[stan_magazynu]]-cukier11[[#This Row],[sprzedany_cukier]]</f>
        <v>3028</v>
      </c>
      <c r="I735" s="9">
        <f>cukier11[[#This Row],[stan_po_sprzedazy]]+cukier11[[#This Row],[ile_dokupic]]*1000</f>
        <v>3028</v>
      </c>
    </row>
    <row r="736" spans="1:9" x14ac:dyDescent="0.25">
      <c r="A736" s="1">
        <v>39629</v>
      </c>
      <c r="B736" t="s">
        <v>30</v>
      </c>
      <c r="C736">
        <v>68</v>
      </c>
      <c r="D736">
        <f>MONTH(cukier11[[#This Row],[data]])</f>
        <v>6</v>
      </c>
      <c r="E736">
        <f>IF(D737&lt;&gt;cukier11[[#This Row],[miesiac]],1,0)</f>
        <v>1</v>
      </c>
      <c r="F736">
        <f>IF(AND(H735&lt;5000,cukier11[[#This Row],[czy_nastapiła_zmiana_mies]]=1),ROUNDUP((5000-H735)/1000,0),0)</f>
        <v>2</v>
      </c>
      <c r="G736">
        <f t="shared" si="11"/>
        <v>3028</v>
      </c>
      <c r="H736">
        <f>cukier11[[#This Row],[stan_magazynu]]-cukier11[[#This Row],[sprzedany_cukier]]</f>
        <v>2960</v>
      </c>
      <c r="I736" s="9">
        <f>cukier11[[#This Row],[stan_po_sprzedazy]]+cukier11[[#This Row],[ile_dokupic]]*1000</f>
        <v>4960</v>
      </c>
    </row>
    <row r="737" spans="1:9" x14ac:dyDescent="0.25">
      <c r="A737" s="1">
        <v>39631</v>
      </c>
      <c r="B737" t="s">
        <v>55</v>
      </c>
      <c r="C737">
        <v>30</v>
      </c>
      <c r="D737">
        <f>MONTH(cukier11[[#This Row],[data]])</f>
        <v>7</v>
      </c>
      <c r="E737">
        <f>IF(D738&lt;&gt;cukier11[[#This Row],[miesiac]],1,0)</f>
        <v>0</v>
      </c>
      <c r="F737">
        <f>IF(AND(H736&lt;5000,cukier11[[#This Row],[czy_nastapiła_zmiana_mies]]=1),ROUNDUP((5000-H736)/1000,0),0)</f>
        <v>0</v>
      </c>
      <c r="G737">
        <f t="shared" si="11"/>
        <v>4960</v>
      </c>
      <c r="H737">
        <f>cukier11[[#This Row],[stan_magazynu]]-cukier11[[#This Row],[sprzedany_cukier]]</f>
        <v>4930</v>
      </c>
      <c r="I737" s="9">
        <f>cukier11[[#This Row],[stan_po_sprzedazy]]+cukier11[[#This Row],[ile_dokupic]]*1000</f>
        <v>4930</v>
      </c>
    </row>
    <row r="738" spans="1:9" x14ac:dyDescent="0.25">
      <c r="A738" s="1">
        <v>39632</v>
      </c>
      <c r="B738" t="s">
        <v>64</v>
      </c>
      <c r="C738">
        <v>3</v>
      </c>
      <c r="D738">
        <f>MONTH(cukier11[[#This Row],[data]])</f>
        <v>7</v>
      </c>
      <c r="E738">
        <f>IF(D739&lt;&gt;cukier11[[#This Row],[miesiac]],1,0)</f>
        <v>0</v>
      </c>
      <c r="F738">
        <f>IF(AND(H737&lt;5000,cukier11[[#This Row],[czy_nastapiła_zmiana_mies]]=1),ROUNDUP((5000-H737)/1000,0),0)</f>
        <v>0</v>
      </c>
      <c r="G738">
        <f t="shared" si="11"/>
        <v>4930</v>
      </c>
      <c r="H738">
        <f>cukier11[[#This Row],[stan_magazynu]]-cukier11[[#This Row],[sprzedany_cukier]]</f>
        <v>4927</v>
      </c>
      <c r="I738" s="9">
        <f>cukier11[[#This Row],[stan_po_sprzedazy]]+cukier11[[#This Row],[ile_dokupic]]*1000</f>
        <v>4927</v>
      </c>
    </row>
    <row r="739" spans="1:9" x14ac:dyDescent="0.25">
      <c r="A739" s="1">
        <v>39637</v>
      </c>
      <c r="B739" t="s">
        <v>50</v>
      </c>
      <c r="C739">
        <v>117</v>
      </c>
      <c r="D739">
        <f>MONTH(cukier11[[#This Row],[data]])</f>
        <v>7</v>
      </c>
      <c r="E739">
        <f>IF(D740&lt;&gt;cukier11[[#This Row],[miesiac]],1,0)</f>
        <v>0</v>
      </c>
      <c r="F739">
        <f>IF(AND(H738&lt;5000,cukier11[[#This Row],[czy_nastapiła_zmiana_mies]]=1),ROUNDUP((5000-H738)/1000,0),0)</f>
        <v>0</v>
      </c>
      <c r="G739">
        <f t="shared" si="11"/>
        <v>4927</v>
      </c>
      <c r="H739">
        <f>cukier11[[#This Row],[stan_magazynu]]-cukier11[[#This Row],[sprzedany_cukier]]</f>
        <v>4810</v>
      </c>
      <c r="I739" s="9">
        <f>cukier11[[#This Row],[stan_po_sprzedazy]]+cukier11[[#This Row],[ile_dokupic]]*1000</f>
        <v>4810</v>
      </c>
    </row>
    <row r="740" spans="1:9" x14ac:dyDescent="0.25">
      <c r="A740" s="1">
        <v>39639</v>
      </c>
      <c r="B740" t="s">
        <v>8</v>
      </c>
      <c r="C740">
        <v>105</v>
      </c>
      <c r="D740">
        <f>MONTH(cukier11[[#This Row],[data]])</f>
        <v>7</v>
      </c>
      <c r="E740">
        <f>IF(D741&lt;&gt;cukier11[[#This Row],[miesiac]],1,0)</f>
        <v>0</v>
      </c>
      <c r="F740">
        <f>IF(AND(H739&lt;5000,cukier11[[#This Row],[czy_nastapiła_zmiana_mies]]=1),ROUNDUP((5000-H739)/1000,0),0)</f>
        <v>0</v>
      </c>
      <c r="G740">
        <f t="shared" si="11"/>
        <v>4810</v>
      </c>
      <c r="H740">
        <f>cukier11[[#This Row],[stan_magazynu]]-cukier11[[#This Row],[sprzedany_cukier]]</f>
        <v>4705</v>
      </c>
      <c r="I740" s="9">
        <f>cukier11[[#This Row],[stan_po_sprzedazy]]+cukier11[[#This Row],[ile_dokupic]]*1000</f>
        <v>4705</v>
      </c>
    </row>
    <row r="741" spans="1:9" x14ac:dyDescent="0.25">
      <c r="A741" s="1">
        <v>39639</v>
      </c>
      <c r="B741" t="s">
        <v>46</v>
      </c>
      <c r="C741">
        <v>6</v>
      </c>
      <c r="D741">
        <f>MONTH(cukier11[[#This Row],[data]])</f>
        <v>7</v>
      </c>
      <c r="E741">
        <f>IF(D742&lt;&gt;cukier11[[#This Row],[miesiac]],1,0)</f>
        <v>0</v>
      </c>
      <c r="F741">
        <f>IF(AND(H740&lt;5000,cukier11[[#This Row],[czy_nastapiła_zmiana_mies]]=1),ROUNDUP((5000-H740)/1000,0),0)</f>
        <v>0</v>
      </c>
      <c r="G741">
        <f t="shared" si="11"/>
        <v>4705</v>
      </c>
      <c r="H741">
        <f>cukier11[[#This Row],[stan_magazynu]]-cukier11[[#This Row],[sprzedany_cukier]]</f>
        <v>4699</v>
      </c>
      <c r="I741" s="9">
        <f>cukier11[[#This Row],[stan_po_sprzedazy]]+cukier11[[#This Row],[ile_dokupic]]*1000</f>
        <v>4699</v>
      </c>
    </row>
    <row r="742" spans="1:9" x14ac:dyDescent="0.25">
      <c r="A742" s="1">
        <v>39640</v>
      </c>
      <c r="B742" t="s">
        <v>17</v>
      </c>
      <c r="C742">
        <v>378</v>
      </c>
      <c r="D742">
        <f>MONTH(cukier11[[#This Row],[data]])</f>
        <v>7</v>
      </c>
      <c r="E742">
        <f>IF(D743&lt;&gt;cukier11[[#This Row],[miesiac]],1,0)</f>
        <v>0</v>
      </c>
      <c r="F742">
        <f>IF(AND(H741&lt;5000,cukier11[[#This Row],[czy_nastapiła_zmiana_mies]]=1),ROUNDUP((5000-H741)/1000,0),0)</f>
        <v>0</v>
      </c>
      <c r="G742">
        <f t="shared" si="11"/>
        <v>4699</v>
      </c>
      <c r="H742">
        <f>cukier11[[#This Row],[stan_magazynu]]-cukier11[[#This Row],[sprzedany_cukier]]</f>
        <v>4321</v>
      </c>
      <c r="I742" s="9">
        <f>cukier11[[#This Row],[stan_po_sprzedazy]]+cukier11[[#This Row],[ile_dokupic]]*1000</f>
        <v>4321</v>
      </c>
    </row>
    <row r="743" spans="1:9" x14ac:dyDescent="0.25">
      <c r="A743" s="1">
        <v>39643</v>
      </c>
      <c r="B743" t="s">
        <v>69</v>
      </c>
      <c r="C743">
        <v>76</v>
      </c>
      <c r="D743">
        <f>MONTH(cukier11[[#This Row],[data]])</f>
        <v>7</v>
      </c>
      <c r="E743">
        <f>IF(D744&lt;&gt;cukier11[[#This Row],[miesiac]],1,0)</f>
        <v>0</v>
      </c>
      <c r="F743">
        <f>IF(AND(H742&lt;5000,cukier11[[#This Row],[czy_nastapiła_zmiana_mies]]=1),ROUNDUP((5000-H742)/1000,0),0)</f>
        <v>0</v>
      </c>
      <c r="G743">
        <f t="shared" si="11"/>
        <v>4321</v>
      </c>
      <c r="H743">
        <f>cukier11[[#This Row],[stan_magazynu]]-cukier11[[#This Row],[sprzedany_cukier]]</f>
        <v>4245</v>
      </c>
      <c r="I743" s="9">
        <f>cukier11[[#This Row],[stan_po_sprzedazy]]+cukier11[[#This Row],[ile_dokupic]]*1000</f>
        <v>4245</v>
      </c>
    </row>
    <row r="744" spans="1:9" x14ac:dyDescent="0.25">
      <c r="A744" s="1">
        <v>39644</v>
      </c>
      <c r="B744" t="s">
        <v>22</v>
      </c>
      <c r="C744">
        <v>386</v>
      </c>
      <c r="D744">
        <f>MONTH(cukier11[[#This Row],[data]])</f>
        <v>7</v>
      </c>
      <c r="E744">
        <f>IF(D745&lt;&gt;cukier11[[#This Row],[miesiac]],1,0)</f>
        <v>0</v>
      </c>
      <c r="F744">
        <f>IF(AND(H743&lt;5000,cukier11[[#This Row],[czy_nastapiła_zmiana_mies]]=1),ROUNDUP((5000-H743)/1000,0),0)</f>
        <v>0</v>
      </c>
      <c r="G744">
        <f t="shared" si="11"/>
        <v>4245</v>
      </c>
      <c r="H744">
        <f>cukier11[[#This Row],[stan_magazynu]]-cukier11[[#This Row],[sprzedany_cukier]]</f>
        <v>3859</v>
      </c>
      <c r="I744" s="9">
        <f>cukier11[[#This Row],[stan_po_sprzedazy]]+cukier11[[#This Row],[ile_dokupic]]*1000</f>
        <v>3859</v>
      </c>
    </row>
    <row r="745" spans="1:9" x14ac:dyDescent="0.25">
      <c r="A745" s="1">
        <v>39645</v>
      </c>
      <c r="B745" t="s">
        <v>50</v>
      </c>
      <c r="C745">
        <v>132</v>
      </c>
      <c r="D745">
        <f>MONTH(cukier11[[#This Row],[data]])</f>
        <v>7</v>
      </c>
      <c r="E745">
        <f>IF(D746&lt;&gt;cukier11[[#This Row],[miesiac]],1,0)</f>
        <v>0</v>
      </c>
      <c r="F745">
        <f>IF(AND(H744&lt;5000,cukier11[[#This Row],[czy_nastapiła_zmiana_mies]]=1),ROUNDUP((5000-H744)/1000,0),0)</f>
        <v>0</v>
      </c>
      <c r="G745">
        <f t="shared" si="11"/>
        <v>3859</v>
      </c>
      <c r="H745">
        <f>cukier11[[#This Row],[stan_magazynu]]-cukier11[[#This Row],[sprzedany_cukier]]</f>
        <v>3727</v>
      </c>
      <c r="I745" s="9">
        <f>cukier11[[#This Row],[stan_po_sprzedazy]]+cukier11[[#This Row],[ile_dokupic]]*1000</f>
        <v>3727</v>
      </c>
    </row>
    <row r="746" spans="1:9" x14ac:dyDescent="0.25">
      <c r="A746" s="1">
        <v>39645</v>
      </c>
      <c r="B746" t="s">
        <v>22</v>
      </c>
      <c r="C746">
        <v>104</v>
      </c>
      <c r="D746">
        <f>MONTH(cukier11[[#This Row],[data]])</f>
        <v>7</v>
      </c>
      <c r="E746">
        <f>IF(D747&lt;&gt;cukier11[[#This Row],[miesiac]],1,0)</f>
        <v>0</v>
      </c>
      <c r="F746">
        <f>IF(AND(H745&lt;5000,cukier11[[#This Row],[czy_nastapiła_zmiana_mies]]=1),ROUNDUP((5000-H745)/1000,0),0)</f>
        <v>0</v>
      </c>
      <c r="G746">
        <f t="shared" si="11"/>
        <v>3727</v>
      </c>
      <c r="H746">
        <f>cukier11[[#This Row],[stan_magazynu]]-cukier11[[#This Row],[sprzedany_cukier]]</f>
        <v>3623</v>
      </c>
      <c r="I746" s="9">
        <f>cukier11[[#This Row],[stan_po_sprzedazy]]+cukier11[[#This Row],[ile_dokupic]]*1000</f>
        <v>3623</v>
      </c>
    </row>
    <row r="747" spans="1:9" x14ac:dyDescent="0.25">
      <c r="A747" s="1">
        <v>39646</v>
      </c>
      <c r="B747" t="s">
        <v>45</v>
      </c>
      <c r="C747">
        <v>380</v>
      </c>
      <c r="D747">
        <f>MONTH(cukier11[[#This Row],[data]])</f>
        <v>7</v>
      </c>
      <c r="E747">
        <f>IF(D748&lt;&gt;cukier11[[#This Row],[miesiac]],1,0)</f>
        <v>0</v>
      </c>
      <c r="F747">
        <f>IF(AND(H746&lt;5000,cukier11[[#This Row],[czy_nastapiła_zmiana_mies]]=1),ROUNDUP((5000-H746)/1000,0),0)</f>
        <v>0</v>
      </c>
      <c r="G747">
        <f t="shared" si="11"/>
        <v>3623</v>
      </c>
      <c r="H747">
        <f>cukier11[[#This Row],[stan_magazynu]]-cukier11[[#This Row],[sprzedany_cukier]]</f>
        <v>3243</v>
      </c>
      <c r="I747" s="9">
        <f>cukier11[[#This Row],[stan_po_sprzedazy]]+cukier11[[#This Row],[ile_dokupic]]*1000</f>
        <v>3243</v>
      </c>
    </row>
    <row r="748" spans="1:9" x14ac:dyDescent="0.25">
      <c r="A748" s="1">
        <v>39647</v>
      </c>
      <c r="B748" t="s">
        <v>78</v>
      </c>
      <c r="C748">
        <v>76</v>
      </c>
      <c r="D748">
        <f>MONTH(cukier11[[#This Row],[data]])</f>
        <v>7</v>
      </c>
      <c r="E748">
        <f>IF(D749&lt;&gt;cukier11[[#This Row],[miesiac]],1,0)</f>
        <v>0</v>
      </c>
      <c r="F748">
        <f>IF(AND(H747&lt;5000,cukier11[[#This Row],[czy_nastapiła_zmiana_mies]]=1),ROUNDUP((5000-H747)/1000,0),0)</f>
        <v>0</v>
      </c>
      <c r="G748">
        <f t="shared" si="11"/>
        <v>3243</v>
      </c>
      <c r="H748">
        <f>cukier11[[#This Row],[stan_magazynu]]-cukier11[[#This Row],[sprzedany_cukier]]</f>
        <v>3167</v>
      </c>
      <c r="I748" s="9">
        <f>cukier11[[#This Row],[stan_po_sprzedazy]]+cukier11[[#This Row],[ile_dokupic]]*1000</f>
        <v>3167</v>
      </c>
    </row>
    <row r="749" spans="1:9" x14ac:dyDescent="0.25">
      <c r="A749" s="1">
        <v>39647</v>
      </c>
      <c r="B749" t="s">
        <v>25</v>
      </c>
      <c r="C749">
        <v>194</v>
      </c>
      <c r="D749">
        <f>MONTH(cukier11[[#This Row],[data]])</f>
        <v>7</v>
      </c>
      <c r="E749">
        <f>IF(D750&lt;&gt;cukier11[[#This Row],[miesiac]],1,0)</f>
        <v>0</v>
      </c>
      <c r="F749">
        <f>IF(AND(H748&lt;5000,cukier11[[#This Row],[czy_nastapiła_zmiana_mies]]=1),ROUNDUP((5000-H748)/1000,0),0)</f>
        <v>0</v>
      </c>
      <c r="G749">
        <f t="shared" si="11"/>
        <v>3167</v>
      </c>
      <c r="H749">
        <f>cukier11[[#This Row],[stan_magazynu]]-cukier11[[#This Row],[sprzedany_cukier]]</f>
        <v>2973</v>
      </c>
      <c r="I749" s="9">
        <f>cukier11[[#This Row],[stan_po_sprzedazy]]+cukier11[[#This Row],[ile_dokupic]]*1000</f>
        <v>2973</v>
      </c>
    </row>
    <row r="750" spans="1:9" x14ac:dyDescent="0.25">
      <c r="A750" s="1">
        <v>39653</v>
      </c>
      <c r="B750" t="s">
        <v>61</v>
      </c>
      <c r="C750">
        <v>147</v>
      </c>
      <c r="D750">
        <f>MONTH(cukier11[[#This Row],[data]])</f>
        <v>7</v>
      </c>
      <c r="E750">
        <f>IF(D751&lt;&gt;cukier11[[#This Row],[miesiac]],1,0)</f>
        <v>0</v>
      </c>
      <c r="F750">
        <f>IF(AND(H749&lt;5000,cukier11[[#This Row],[czy_nastapiła_zmiana_mies]]=1),ROUNDUP((5000-H749)/1000,0),0)</f>
        <v>0</v>
      </c>
      <c r="G750">
        <f t="shared" si="11"/>
        <v>2973</v>
      </c>
      <c r="H750">
        <f>cukier11[[#This Row],[stan_magazynu]]-cukier11[[#This Row],[sprzedany_cukier]]</f>
        <v>2826</v>
      </c>
      <c r="I750" s="9">
        <f>cukier11[[#This Row],[stan_po_sprzedazy]]+cukier11[[#This Row],[ile_dokupic]]*1000</f>
        <v>2826</v>
      </c>
    </row>
    <row r="751" spans="1:9" x14ac:dyDescent="0.25">
      <c r="A751" s="1">
        <v>39656</v>
      </c>
      <c r="B751" t="s">
        <v>22</v>
      </c>
      <c r="C751">
        <v>319</v>
      </c>
      <c r="D751">
        <f>MONTH(cukier11[[#This Row],[data]])</f>
        <v>7</v>
      </c>
      <c r="E751">
        <f>IF(D752&lt;&gt;cukier11[[#This Row],[miesiac]],1,0)</f>
        <v>0</v>
      </c>
      <c r="F751">
        <f>IF(AND(H750&lt;5000,cukier11[[#This Row],[czy_nastapiła_zmiana_mies]]=1),ROUNDUP((5000-H750)/1000,0),0)</f>
        <v>0</v>
      </c>
      <c r="G751">
        <f t="shared" si="11"/>
        <v>2826</v>
      </c>
      <c r="H751">
        <f>cukier11[[#This Row],[stan_magazynu]]-cukier11[[#This Row],[sprzedany_cukier]]</f>
        <v>2507</v>
      </c>
      <c r="I751" s="9">
        <f>cukier11[[#This Row],[stan_po_sprzedazy]]+cukier11[[#This Row],[ile_dokupic]]*1000</f>
        <v>2507</v>
      </c>
    </row>
    <row r="752" spans="1:9" x14ac:dyDescent="0.25">
      <c r="A752" s="1">
        <v>39657</v>
      </c>
      <c r="B752" t="s">
        <v>39</v>
      </c>
      <c r="C752">
        <v>38</v>
      </c>
      <c r="D752">
        <f>MONTH(cukier11[[#This Row],[data]])</f>
        <v>7</v>
      </c>
      <c r="E752">
        <f>IF(D753&lt;&gt;cukier11[[#This Row],[miesiac]],1,0)</f>
        <v>1</v>
      </c>
      <c r="F752">
        <f>IF(AND(H751&lt;5000,cukier11[[#This Row],[czy_nastapiła_zmiana_mies]]=1),ROUNDUP((5000-H751)/1000,0),0)</f>
        <v>3</v>
      </c>
      <c r="G752">
        <f t="shared" si="11"/>
        <v>2507</v>
      </c>
      <c r="H752">
        <f>cukier11[[#This Row],[stan_magazynu]]-cukier11[[#This Row],[sprzedany_cukier]]</f>
        <v>2469</v>
      </c>
      <c r="I752" s="9">
        <f>cukier11[[#This Row],[stan_po_sprzedazy]]+cukier11[[#This Row],[ile_dokupic]]*1000</f>
        <v>5469</v>
      </c>
    </row>
    <row r="753" spans="1:9" x14ac:dyDescent="0.25">
      <c r="A753" s="1">
        <v>39662</v>
      </c>
      <c r="B753" t="s">
        <v>28</v>
      </c>
      <c r="C753">
        <v>31</v>
      </c>
      <c r="D753">
        <f>MONTH(cukier11[[#This Row],[data]])</f>
        <v>8</v>
      </c>
      <c r="E753">
        <f>IF(D754&lt;&gt;cukier11[[#This Row],[miesiac]],1,0)</f>
        <v>0</v>
      </c>
      <c r="F753">
        <f>IF(AND(H752&lt;5000,cukier11[[#This Row],[czy_nastapiła_zmiana_mies]]=1),ROUNDUP((5000-H752)/1000,0),0)</f>
        <v>0</v>
      </c>
      <c r="G753">
        <f t="shared" si="11"/>
        <v>5469</v>
      </c>
      <c r="H753">
        <f>cukier11[[#This Row],[stan_magazynu]]-cukier11[[#This Row],[sprzedany_cukier]]</f>
        <v>5438</v>
      </c>
      <c r="I753" s="9">
        <f>cukier11[[#This Row],[stan_po_sprzedazy]]+cukier11[[#This Row],[ile_dokupic]]*1000</f>
        <v>5438</v>
      </c>
    </row>
    <row r="754" spans="1:9" x14ac:dyDescent="0.25">
      <c r="A754" s="1">
        <v>39664</v>
      </c>
      <c r="B754" t="s">
        <v>6</v>
      </c>
      <c r="C754">
        <v>28</v>
      </c>
      <c r="D754">
        <f>MONTH(cukier11[[#This Row],[data]])</f>
        <v>8</v>
      </c>
      <c r="E754">
        <f>IF(D755&lt;&gt;cukier11[[#This Row],[miesiac]],1,0)</f>
        <v>0</v>
      </c>
      <c r="F754">
        <f>IF(AND(H753&lt;5000,cukier11[[#This Row],[czy_nastapiła_zmiana_mies]]=1),ROUNDUP((5000-H753)/1000,0),0)</f>
        <v>0</v>
      </c>
      <c r="G754">
        <f t="shared" si="11"/>
        <v>5438</v>
      </c>
      <c r="H754">
        <f>cukier11[[#This Row],[stan_magazynu]]-cukier11[[#This Row],[sprzedany_cukier]]</f>
        <v>5410</v>
      </c>
      <c r="I754" s="9">
        <f>cukier11[[#This Row],[stan_po_sprzedazy]]+cukier11[[#This Row],[ile_dokupic]]*1000</f>
        <v>5410</v>
      </c>
    </row>
    <row r="755" spans="1:9" x14ac:dyDescent="0.25">
      <c r="A755" s="1">
        <v>39664</v>
      </c>
      <c r="B755" t="s">
        <v>105</v>
      </c>
      <c r="C755">
        <v>15</v>
      </c>
      <c r="D755">
        <f>MONTH(cukier11[[#This Row],[data]])</f>
        <v>8</v>
      </c>
      <c r="E755">
        <f>IF(D756&lt;&gt;cukier11[[#This Row],[miesiac]],1,0)</f>
        <v>0</v>
      </c>
      <c r="F755">
        <f>IF(AND(H754&lt;5000,cukier11[[#This Row],[czy_nastapiła_zmiana_mies]]=1),ROUNDUP((5000-H754)/1000,0),0)</f>
        <v>0</v>
      </c>
      <c r="G755">
        <f t="shared" si="11"/>
        <v>5410</v>
      </c>
      <c r="H755">
        <f>cukier11[[#This Row],[stan_magazynu]]-cukier11[[#This Row],[sprzedany_cukier]]</f>
        <v>5395</v>
      </c>
      <c r="I755" s="9">
        <f>cukier11[[#This Row],[stan_po_sprzedazy]]+cukier11[[#This Row],[ile_dokupic]]*1000</f>
        <v>5395</v>
      </c>
    </row>
    <row r="756" spans="1:9" x14ac:dyDescent="0.25">
      <c r="A756" s="1">
        <v>39667</v>
      </c>
      <c r="B756" t="s">
        <v>62</v>
      </c>
      <c r="C756">
        <v>2</v>
      </c>
      <c r="D756">
        <f>MONTH(cukier11[[#This Row],[data]])</f>
        <v>8</v>
      </c>
      <c r="E756">
        <f>IF(D757&lt;&gt;cukier11[[#This Row],[miesiac]],1,0)</f>
        <v>0</v>
      </c>
      <c r="F756">
        <f>IF(AND(H755&lt;5000,cukier11[[#This Row],[czy_nastapiła_zmiana_mies]]=1),ROUNDUP((5000-H755)/1000,0),0)</f>
        <v>0</v>
      </c>
      <c r="G756">
        <f t="shared" si="11"/>
        <v>5395</v>
      </c>
      <c r="H756">
        <f>cukier11[[#This Row],[stan_magazynu]]-cukier11[[#This Row],[sprzedany_cukier]]</f>
        <v>5393</v>
      </c>
      <c r="I756" s="9">
        <f>cukier11[[#This Row],[stan_po_sprzedazy]]+cukier11[[#This Row],[ile_dokupic]]*1000</f>
        <v>5393</v>
      </c>
    </row>
    <row r="757" spans="1:9" x14ac:dyDescent="0.25">
      <c r="A757" s="1">
        <v>39667</v>
      </c>
      <c r="B757" t="s">
        <v>101</v>
      </c>
      <c r="C757">
        <v>16</v>
      </c>
      <c r="D757">
        <f>MONTH(cukier11[[#This Row],[data]])</f>
        <v>8</v>
      </c>
      <c r="E757">
        <f>IF(D758&lt;&gt;cukier11[[#This Row],[miesiac]],1,0)</f>
        <v>0</v>
      </c>
      <c r="F757">
        <f>IF(AND(H756&lt;5000,cukier11[[#This Row],[czy_nastapiła_zmiana_mies]]=1),ROUNDUP((5000-H756)/1000,0),0)</f>
        <v>0</v>
      </c>
      <c r="G757">
        <f t="shared" si="11"/>
        <v>5393</v>
      </c>
      <c r="H757">
        <f>cukier11[[#This Row],[stan_magazynu]]-cukier11[[#This Row],[sprzedany_cukier]]</f>
        <v>5377</v>
      </c>
      <c r="I757" s="9">
        <f>cukier11[[#This Row],[stan_po_sprzedazy]]+cukier11[[#This Row],[ile_dokupic]]*1000</f>
        <v>5377</v>
      </c>
    </row>
    <row r="758" spans="1:9" x14ac:dyDescent="0.25">
      <c r="A758" s="1">
        <v>39669</v>
      </c>
      <c r="B758" t="s">
        <v>78</v>
      </c>
      <c r="C758">
        <v>83</v>
      </c>
      <c r="D758">
        <f>MONTH(cukier11[[#This Row],[data]])</f>
        <v>8</v>
      </c>
      <c r="E758">
        <f>IF(D759&lt;&gt;cukier11[[#This Row],[miesiac]],1,0)</f>
        <v>0</v>
      </c>
      <c r="F758">
        <f>IF(AND(H757&lt;5000,cukier11[[#This Row],[czy_nastapiła_zmiana_mies]]=1),ROUNDUP((5000-H757)/1000,0),0)</f>
        <v>0</v>
      </c>
      <c r="G758">
        <f t="shared" si="11"/>
        <v>5377</v>
      </c>
      <c r="H758">
        <f>cukier11[[#This Row],[stan_magazynu]]-cukier11[[#This Row],[sprzedany_cukier]]</f>
        <v>5294</v>
      </c>
      <c r="I758" s="9">
        <f>cukier11[[#This Row],[stan_po_sprzedazy]]+cukier11[[#This Row],[ile_dokupic]]*1000</f>
        <v>5294</v>
      </c>
    </row>
    <row r="759" spans="1:9" x14ac:dyDescent="0.25">
      <c r="A759" s="1">
        <v>39670</v>
      </c>
      <c r="B759" t="s">
        <v>172</v>
      </c>
      <c r="C759">
        <v>16</v>
      </c>
      <c r="D759">
        <f>MONTH(cukier11[[#This Row],[data]])</f>
        <v>8</v>
      </c>
      <c r="E759">
        <f>IF(D760&lt;&gt;cukier11[[#This Row],[miesiac]],1,0)</f>
        <v>0</v>
      </c>
      <c r="F759">
        <f>IF(AND(H758&lt;5000,cukier11[[#This Row],[czy_nastapiła_zmiana_mies]]=1),ROUNDUP((5000-H758)/1000,0),0)</f>
        <v>0</v>
      </c>
      <c r="G759">
        <f t="shared" si="11"/>
        <v>5294</v>
      </c>
      <c r="H759">
        <f>cukier11[[#This Row],[stan_magazynu]]-cukier11[[#This Row],[sprzedany_cukier]]</f>
        <v>5278</v>
      </c>
      <c r="I759" s="9">
        <f>cukier11[[#This Row],[stan_po_sprzedazy]]+cukier11[[#This Row],[ile_dokupic]]*1000</f>
        <v>5278</v>
      </c>
    </row>
    <row r="760" spans="1:9" x14ac:dyDescent="0.25">
      <c r="A760" s="1">
        <v>39671</v>
      </c>
      <c r="B760" t="s">
        <v>9</v>
      </c>
      <c r="C760">
        <v>397</v>
      </c>
      <c r="D760">
        <f>MONTH(cukier11[[#This Row],[data]])</f>
        <v>8</v>
      </c>
      <c r="E760">
        <f>IF(D761&lt;&gt;cukier11[[#This Row],[miesiac]],1,0)</f>
        <v>0</v>
      </c>
      <c r="F760">
        <f>IF(AND(H759&lt;5000,cukier11[[#This Row],[czy_nastapiła_zmiana_mies]]=1),ROUNDUP((5000-H759)/1000,0),0)</f>
        <v>0</v>
      </c>
      <c r="G760">
        <f t="shared" si="11"/>
        <v>5278</v>
      </c>
      <c r="H760">
        <f>cukier11[[#This Row],[stan_magazynu]]-cukier11[[#This Row],[sprzedany_cukier]]</f>
        <v>4881</v>
      </c>
      <c r="I760" s="9">
        <f>cukier11[[#This Row],[stan_po_sprzedazy]]+cukier11[[#This Row],[ile_dokupic]]*1000</f>
        <v>4881</v>
      </c>
    </row>
    <row r="761" spans="1:9" x14ac:dyDescent="0.25">
      <c r="A761" s="1">
        <v>39671</v>
      </c>
      <c r="B761" t="s">
        <v>78</v>
      </c>
      <c r="C761">
        <v>184</v>
      </c>
      <c r="D761">
        <f>MONTH(cukier11[[#This Row],[data]])</f>
        <v>8</v>
      </c>
      <c r="E761">
        <f>IF(D762&lt;&gt;cukier11[[#This Row],[miesiac]],1,0)</f>
        <v>0</v>
      </c>
      <c r="F761">
        <f>IF(AND(H760&lt;5000,cukier11[[#This Row],[czy_nastapiła_zmiana_mies]]=1),ROUNDUP((5000-H760)/1000,0),0)</f>
        <v>0</v>
      </c>
      <c r="G761">
        <f t="shared" si="11"/>
        <v>4881</v>
      </c>
      <c r="H761">
        <f>cukier11[[#This Row],[stan_magazynu]]-cukier11[[#This Row],[sprzedany_cukier]]</f>
        <v>4697</v>
      </c>
      <c r="I761" s="9">
        <f>cukier11[[#This Row],[stan_po_sprzedazy]]+cukier11[[#This Row],[ile_dokupic]]*1000</f>
        <v>4697</v>
      </c>
    </row>
    <row r="762" spans="1:9" x14ac:dyDescent="0.25">
      <c r="A762" s="1">
        <v>39673</v>
      </c>
      <c r="B762" t="s">
        <v>78</v>
      </c>
      <c r="C762">
        <v>55</v>
      </c>
      <c r="D762">
        <f>MONTH(cukier11[[#This Row],[data]])</f>
        <v>8</v>
      </c>
      <c r="E762">
        <f>IF(D763&lt;&gt;cukier11[[#This Row],[miesiac]],1,0)</f>
        <v>0</v>
      </c>
      <c r="F762">
        <f>IF(AND(H761&lt;5000,cukier11[[#This Row],[czy_nastapiła_zmiana_mies]]=1),ROUNDUP((5000-H761)/1000,0),0)</f>
        <v>0</v>
      </c>
      <c r="G762">
        <f t="shared" si="11"/>
        <v>4697</v>
      </c>
      <c r="H762">
        <f>cukier11[[#This Row],[stan_magazynu]]-cukier11[[#This Row],[sprzedany_cukier]]</f>
        <v>4642</v>
      </c>
      <c r="I762" s="9">
        <f>cukier11[[#This Row],[stan_po_sprzedazy]]+cukier11[[#This Row],[ile_dokupic]]*1000</f>
        <v>4642</v>
      </c>
    </row>
    <row r="763" spans="1:9" x14ac:dyDescent="0.25">
      <c r="A763" s="1">
        <v>39674</v>
      </c>
      <c r="B763" t="s">
        <v>69</v>
      </c>
      <c r="C763">
        <v>107</v>
      </c>
      <c r="D763">
        <f>MONTH(cukier11[[#This Row],[data]])</f>
        <v>8</v>
      </c>
      <c r="E763">
        <f>IF(D764&lt;&gt;cukier11[[#This Row],[miesiac]],1,0)</f>
        <v>0</v>
      </c>
      <c r="F763">
        <f>IF(AND(H762&lt;5000,cukier11[[#This Row],[czy_nastapiła_zmiana_mies]]=1),ROUNDUP((5000-H762)/1000,0),0)</f>
        <v>0</v>
      </c>
      <c r="G763">
        <f t="shared" si="11"/>
        <v>4642</v>
      </c>
      <c r="H763">
        <f>cukier11[[#This Row],[stan_magazynu]]-cukier11[[#This Row],[sprzedany_cukier]]</f>
        <v>4535</v>
      </c>
      <c r="I763" s="9">
        <f>cukier11[[#This Row],[stan_po_sprzedazy]]+cukier11[[#This Row],[ile_dokupic]]*1000</f>
        <v>4535</v>
      </c>
    </row>
    <row r="764" spans="1:9" x14ac:dyDescent="0.25">
      <c r="A764" s="1">
        <v>39676</v>
      </c>
      <c r="B764" t="s">
        <v>69</v>
      </c>
      <c r="C764">
        <v>127</v>
      </c>
      <c r="D764">
        <f>MONTH(cukier11[[#This Row],[data]])</f>
        <v>8</v>
      </c>
      <c r="E764">
        <f>IF(D765&lt;&gt;cukier11[[#This Row],[miesiac]],1,0)</f>
        <v>0</v>
      </c>
      <c r="F764">
        <f>IF(AND(H763&lt;5000,cukier11[[#This Row],[czy_nastapiła_zmiana_mies]]=1),ROUNDUP((5000-H763)/1000,0),0)</f>
        <v>0</v>
      </c>
      <c r="G764">
        <f t="shared" si="11"/>
        <v>4535</v>
      </c>
      <c r="H764">
        <f>cukier11[[#This Row],[stan_magazynu]]-cukier11[[#This Row],[sprzedany_cukier]]</f>
        <v>4408</v>
      </c>
      <c r="I764" s="9">
        <f>cukier11[[#This Row],[stan_po_sprzedazy]]+cukier11[[#This Row],[ile_dokupic]]*1000</f>
        <v>4408</v>
      </c>
    </row>
    <row r="765" spans="1:9" x14ac:dyDescent="0.25">
      <c r="A765" s="1">
        <v>39679</v>
      </c>
      <c r="B765" t="s">
        <v>173</v>
      </c>
      <c r="C765">
        <v>122</v>
      </c>
      <c r="D765">
        <f>MONTH(cukier11[[#This Row],[data]])</f>
        <v>8</v>
      </c>
      <c r="E765">
        <f>IF(D766&lt;&gt;cukier11[[#This Row],[miesiac]],1,0)</f>
        <v>0</v>
      </c>
      <c r="F765">
        <f>IF(AND(H764&lt;5000,cukier11[[#This Row],[czy_nastapiła_zmiana_mies]]=1),ROUNDUP((5000-H764)/1000,0),0)</f>
        <v>0</v>
      </c>
      <c r="G765">
        <f t="shared" si="11"/>
        <v>4408</v>
      </c>
      <c r="H765">
        <f>cukier11[[#This Row],[stan_magazynu]]-cukier11[[#This Row],[sprzedany_cukier]]</f>
        <v>4286</v>
      </c>
      <c r="I765" s="9">
        <f>cukier11[[#This Row],[stan_po_sprzedazy]]+cukier11[[#This Row],[ile_dokupic]]*1000</f>
        <v>4286</v>
      </c>
    </row>
    <row r="766" spans="1:9" x14ac:dyDescent="0.25">
      <c r="A766" s="1">
        <v>39679</v>
      </c>
      <c r="B766" t="s">
        <v>18</v>
      </c>
      <c r="C766">
        <v>107</v>
      </c>
      <c r="D766">
        <f>MONTH(cukier11[[#This Row],[data]])</f>
        <v>8</v>
      </c>
      <c r="E766">
        <f>IF(D767&lt;&gt;cukier11[[#This Row],[miesiac]],1,0)</f>
        <v>0</v>
      </c>
      <c r="F766">
        <f>IF(AND(H765&lt;5000,cukier11[[#This Row],[czy_nastapiła_zmiana_mies]]=1),ROUNDUP((5000-H765)/1000,0),0)</f>
        <v>0</v>
      </c>
      <c r="G766">
        <f t="shared" si="11"/>
        <v>4286</v>
      </c>
      <c r="H766">
        <f>cukier11[[#This Row],[stan_magazynu]]-cukier11[[#This Row],[sprzedany_cukier]]</f>
        <v>4179</v>
      </c>
      <c r="I766" s="9">
        <f>cukier11[[#This Row],[stan_po_sprzedazy]]+cukier11[[#This Row],[ile_dokupic]]*1000</f>
        <v>4179</v>
      </c>
    </row>
    <row r="767" spans="1:9" x14ac:dyDescent="0.25">
      <c r="A767" s="1">
        <v>39681</v>
      </c>
      <c r="B767" t="s">
        <v>22</v>
      </c>
      <c r="C767">
        <v>113</v>
      </c>
      <c r="D767">
        <f>MONTH(cukier11[[#This Row],[data]])</f>
        <v>8</v>
      </c>
      <c r="E767">
        <f>IF(D768&lt;&gt;cukier11[[#This Row],[miesiac]],1,0)</f>
        <v>0</v>
      </c>
      <c r="F767">
        <f>IF(AND(H766&lt;5000,cukier11[[#This Row],[czy_nastapiła_zmiana_mies]]=1),ROUNDUP((5000-H766)/1000,0),0)</f>
        <v>0</v>
      </c>
      <c r="G767">
        <f t="shared" si="11"/>
        <v>4179</v>
      </c>
      <c r="H767">
        <f>cukier11[[#This Row],[stan_magazynu]]-cukier11[[#This Row],[sprzedany_cukier]]</f>
        <v>4066</v>
      </c>
      <c r="I767" s="9">
        <f>cukier11[[#This Row],[stan_po_sprzedazy]]+cukier11[[#This Row],[ile_dokupic]]*1000</f>
        <v>4066</v>
      </c>
    </row>
    <row r="768" spans="1:9" x14ac:dyDescent="0.25">
      <c r="A768" s="1">
        <v>39681</v>
      </c>
      <c r="B768" t="s">
        <v>7</v>
      </c>
      <c r="C768">
        <v>297</v>
      </c>
      <c r="D768">
        <f>MONTH(cukier11[[#This Row],[data]])</f>
        <v>8</v>
      </c>
      <c r="E768">
        <f>IF(D769&lt;&gt;cukier11[[#This Row],[miesiac]],1,0)</f>
        <v>0</v>
      </c>
      <c r="F768">
        <f>IF(AND(H767&lt;5000,cukier11[[#This Row],[czy_nastapiła_zmiana_mies]]=1),ROUNDUP((5000-H767)/1000,0),0)</f>
        <v>0</v>
      </c>
      <c r="G768">
        <f t="shared" si="11"/>
        <v>4066</v>
      </c>
      <c r="H768">
        <f>cukier11[[#This Row],[stan_magazynu]]-cukier11[[#This Row],[sprzedany_cukier]]</f>
        <v>3769</v>
      </c>
      <c r="I768" s="9">
        <f>cukier11[[#This Row],[stan_po_sprzedazy]]+cukier11[[#This Row],[ile_dokupic]]*1000</f>
        <v>3769</v>
      </c>
    </row>
    <row r="769" spans="1:9" x14ac:dyDescent="0.25">
      <c r="A769" s="1">
        <v>39682</v>
      </c>
      <c r="B769" t="s">
        <v>44</v>
      </c>
      <c r="C769">
        <v>14</v>
      </c>
      <c r="D769">
        <f>MONTH(cukier11[[#This Row],[data]])</f>
        <v>8</v>
      </c>
      <c r="E769">
        <f>IF(D770&lt;&gt;cukier11[[#This Row],[miesiac]],1,0)</f>
        <v>0</v>
      </c>
      <c r="F769">
        <f>IF(AND(H768&lt;5000,cukier11[[#This Row],[czy_nastapiła_zmiana_mies]]=1),ROUNDUP((5000-H768)/1000,0),0)</f>
        <v>0</v>
      </c>
      <c r="G769">
        <f t="shared" si="11"/>
        <v>3769</v>
      </c>
      <c r="H769">
        <f>cukier11[[#This Row],[stan_magazynu]]-cukier11[[#This Row],[sprzedany_cukier]]</f>
        <v>3755</v>
      </c>
      <c r="I769" s="9">
        <f>cukier11[[#This Row],[stan_po_sprzedazy]]+cukier11[[#This Row],[ile_dokupic]]*1000</f>
        <v>3755</v>
      </c>
    </row>
    <row r="770" spans="1:9" x14ac:dyDescent="0.25">
      <c r="A770" s="1">
        <v>39684</v>
      </c>
      <c r="B770" t="s">
        <v>52</v>
      </c>
      <c r="C770">
        <v>188</v>
      </c>
      <c r="D770">
        <f>MONTH(cukier11[[#This Row],[data]])</f>
        <v>8</v>
      </c>
      <c r="E770">
        <f>IF(D771&lt;&gt;cukier11[[#This Row],[miesiac]],1,0)</f>
        <v>0</v>
      </c>
      <c r="F770">
        <f>IF(AND(H769&lt;5000,cukier11[[#This Row],[czy_nastapiła_zmiana_mies]]=1),ROUNDUP((5000-H769)/1000,0),0)</f>
        <v>0</v>
      </c>
      <c r="G770">
        <f t="shared" si="11"/>
        <v>3755</v>
      </c>
      <c r="H770">
        <f>cukier11[[#This Row],[stan_magazynu]]-cukier11[[#This Row],[sprzedany_cukier]]</f>
        <v>3567</v>
      </c>
      <c r="I770" s="9">
        <f>cukier11[[#This Row],[stan_po_sprzedazy]]+cukier11[[#This Row],[ile_dokupic]]*1000</f>
        <v>3567</v>
      </c>
    </row>
    <row r="771" spans="1:9" x14ac:dyDescent="0.25">
      <c r="A771" s="1">
        <v>39686</v>
      </c>
      <c r="B771" t="s">
        <v>151</v>
      </c>
      <c r="C771">
        <v>11</v>
      </c>
      <c r="D771">
        <f>MONTH(cukier11[[#This Row],[data]])</f>
        <v>8</v>
      </c>
      <c r="E771">
        <f>IF(D772&lt;&gt;cukier11[[#This Row],[miesiac]],1,0)</f>
        <v>0</v>
      </c>
      <c r="F771">
        <f>IF(AND(H770&lt;5000,cukier11[[#This Row],[czy_nastapiła_zmiana_mies]]=1),ROUNDUP((5000-H770)/1000,0),0)</f>
        <v>0</v>
      </c>
      <c r="G771">
        <f t="shared" si="11"/>
        <v>3567</v>
      </c>
      <c r="H771">
        <f>cukier11[[#This Row],[stan_magazynu]]-cukier11[[#This Row],[sprzedany_cukier]]</f>
        <v>3556</v>
      </c>
      <c r="I771" s="9">
        <f>cukier11[[#This Row],[stan_po_sprzedazy]]+cukier11[[#This Row],[ile_dokupic]]*1000</f>
        <v>3556</v>
      </c>
    </row>
    <row r="772" spans="1:9" x14ac:dyDescent="0.25">
      <c r="A772" s="1">
        <v>39689</v>
      </c>
      <c r="B772" t="s">
        <v>28</v>
      </c>
      <c r="C772">
        <v>105</v>
      </c>
      <c r="D772">
        <f>MONTH(cukier11[[#This Row],[data]])</f>
        <v>8</v>
      </c>
      <c r="E772">
        <f>IF(D773&lt;&gt;cukier11[[#This Row],[miesiac]],1,0)</f>
        <v>0</v>
      </c>
      <c r="F772">
        <f>IF(AND(H771&lt;5000,cukier11[[#This Row],[czy_nastapiła_zmiana_mies]]=1),ROUNDUP((5000-H771)/1000,0),0)</f>
        <v>0</v>
      </c>
      <c r="G772">
        <f t="shared" ref="G772:G835" si="12">I771</f>
        <v>3556</v>
      </c>
      <c r="H772">
        <f>cukier11[[#This Row],[stan_magazynu]]-cukier11[[#This Row],[sprzedany_cukier]]</f>
        <v>3451</v>
      </c>
      <c r="I772" s="9">
        <f>cukier11[[#This Row],[stan_po_sprzedazy]]+cukier11[[#This Row],[ile_dokupic]]*1000</f>
        <v>3451</v>
      </c>
    </row>
    <row r="773" spans="1:9" x14ac:dyDescent="0.25">
      <c r="A773" s="1">
        <v>39690</v>
      </c>
      <c r="B773" t="s">
        <v>160</v>
      </c>
      <c r="C773">
        <v>18</v>
      </c>
      <c r="D773">
        <f>MONTH(cukier11[[#This Row],[data]])</f>
        <v>8</v>
      </c>
      <c r="E773">
        <f>IF(D774&lt;&gt;cukier11[[#This Row],[miesiac]],1,0)</f>
        <v>0</v>
      </c>
      <c r="F773">
        <f>IF(AND(H772&lt;5000,cukier11[[#This Row],[czy_nastapiła_zmiana_mies]]=1),ROUNDUP((5000-H772)/1000,0),0)</f>
        <v>0</v>
      </c>
      <c r="G773">
        <f t="shared" si="12"/>
        <v>3451</v>
      </c>
      <c r="H773">
        <f>cukier11[[#This Row],[stan_magazynu]]-cukier11[[#This Row],[sprzedany_cukier]]</f>
        <v>3433</v>
      </c>
      <c r="I773" s="9">
        <f>cukier11[[#This Row],[stan_po_sprzedazy]]+cukier11[[#This Row],[ile_dokupic]]*1000</f>
        <v>3433</v>
      </c>
    </row>
    <row r="774" spans="1:9" x14ac:dyDescent="0.25">
      <c r="A774" s="1">
        <v>39690</v>
      </c>
      <c r="B774" t="s">
        <v>7</v>
      </c>
      <c r="C774">
        <v>418</v>
      </c>
      <c r="D774">
        <f>MONTH(cukier11[[#This Row],[data]])</f>
        <v>8</v>
      </c>
      <c r="E774">
        <f>IF(D775&lt;&gt;cukier11[[#This Row],[miesiac]],1,0)</f>
        <v>0</v>
      </c>
      <c r="F774">
        <f>IF(AND(H773&lt;5000,cukier11[[#This Row],[czy_nastapiła_zmiana_mies]]=1),ROUNDUP((5000-H773)/1000,0),0)</f>
        <v>0</v>
      </c>
      <c r="G774">
        <f t="shared" si="12"/>
        <v>3433</v>
      </c>
      <c r="H774">
        <f>cukier11[[#This Row],[stan_magazynu]]-cukier11[[#This Row],[sprzedany_cukier]]</f>
        <v>3015</v>
      </c>
      <c r="I774" s="9">
        <f>cukier11[[#This Row],[stan_po_sprzedazy]]+cukier11[[#This Row],[ile_dokupic]]*1000</f>
        <v>3015</v>
      </c>
    </row>
    <row r="775" spans="1:9" x14ac:dyDescent="0.25">
      <c r="A775" s="1">
        <v>39691</v>
      </c>
      <c r="B775" t="s">
        <v>174</v>
      </c>
      <c r="C775">
        <v>4</v>
      </c>
      <c r="D775">
        <f>MONTH(cukier11[[#This Row],[data]])</f>
        <v>8</v>
      </c>
      <c r="E775">
        <f>IF(D776&lt;&gt;cukier11[[#This Row],[miesiac]],1,0)</f>
        <v>0</v>
      </c>
      <c r="F775">
        <f>IF(AND(H774&lt;5000,cukier11[[#This Row],[czy_nastapiła_zmiana_mies]]=1),ROUNDUP((5000-H774)/1000,0),0)</f>
        <v>0</v>
      </c>
      <c r="G775">
        <f t="shared" si="12"/>
        <v>3015</v>
      </c>
      <c r="H775">
        <f>cukier11[[#This Row],[stan_magazynu]]-cukier11[[#This Row],[sprzedany_cukier]]</f>
        <v>3011</v>
      </c>
      <c r="I775" s="9">
        <f>cukier11[[#This Row],[stan_po_sprzedazy]]+cukier11[[#This Row],[ile_dokupic]]*1000</f>
        <v>3011</v>
      </c>
    </row>
    <row r="776" spans="1:9" x14ac:dyDescent="0.25">
      <c r="A776" s="1">
        <v>39691</v>
      </c>
      <c r="B776" t="s">
        <v>124</v>
      </c>
      <c r="C776">
        <v>5</v>
      </c>
      <c r="D776">
        <f>MONTH(cukier11[[#This Row],[data]])</f>
        <v>8</v>
      </c>
      <c r="E776">
        <f>IF(D777&lt;&gt;cukier11[[#This Row],[miesiac]],1,0)</f>
        <v>1</v>
      </c>
      <c r="F776">
        <f>IF(AND(H775&lt;5000,cukier11[[#This Row],[czy_nastapiła_zmiana_mies]]=1),ROUNDUP((5000-H775)/1000,0),0)</f>
        <v>2</v>
      </c>
      <c r="G776">
        <f t="shared" si="12"/>
        <v>3011</v>
      </c>
      <c r="H776">
        <f>cukier11[[#This Row],[stan_magazynu]]-cukier11[[#This Row],[sprzedany_cukier]]</f>
        <v>3006</v>
      </c>
      <c r="I776" s="9">
        <f>cukier11[[#This Row],[stan_po_sprzedazy]]+cukier11[[#This Row],[ile_dokupic]]*1000</f>
        <v>5006</v>
      </c>
    </row>
    <row r="777" spans="1:9" x14ac:dyDescent="0.25">
      <c r="A777" s="1">
        <v>39692</v>
      </c>
      <c r="B777" t="s">
        <v>102</v>
      </c>
      <c r="C777">
        <v>346</v>
      </c>
      <c r="D777">
        <f>MONTH(cukier11[[#This Row],[data]])</f>
        <v>9</v>
      </c>
      <c r="E777">
        <f>IF(D778&lt;&gt;cukier11[[#This Row],[miesiac]],1,0)</f>
        <v>0</v>
      </c>
      <c r="F777">
        <f>IF(AND(H776&lt;5000,cukier11[[#This Row],[czy_nastapiła_zmiana_mies]]=1),ROUNDUP((5000-H776)/1000,0),0)</f>
        <v>0</v>
      </c>
      <c r="G777">
        <f t="shared" si="12"/>
        <v>5006</v>
      </c>
      <c r="H777">
        <f>cukier11[[#This Row],[stan_magazynu]]-cukier11[[#This Row],[sprzedany_cukier]]</f>
        <v>4660</v>
      </c>
      <c r="I777" s="9">
        <f>cukier11[[#This Row],[stan_po_sprzedazy]]+cukier11[[#This Row],[ile_dokupic]]*1000</f>
        <v>4660</v>
      </c>
    </row>
    <row r="778" spans="1:9" x14ac:dyDescent="0.25">
      <c r="A778" s="1">
        <v>39694</v>
      </c>
      <c r="B778" t="s">
        <v>9</v>
      </c>
      <c r="C778">
        <v>417</v>
      </c>
      <c r="D778">
        <f>MONTH(cukier11[[#This Row],[data]])</f>
        <v>9</v>
      </c>
      <c r="E778">
        <f>IF(D779&lt;&gt;cukier11[[#This Row],[miesiac]],1,0)</f>
        <v>0</v>
      </c>
      <c r="F778">
        <f>IF(AND(H777&lt;5000,cukier11[[#This Row],[czy_nastapiła_zmiana_mies]]=1),ROUNDUP((5000-H777)/1000,0),0)</f>
        <v>0</v>
      </c>
      <c r="G778">
        <f t="shared" si="12"/>
        <v>4660</v>
      </c>
      <c r="H778">
        <f>cukier11[[#This Row],[stan_magazynu]]-cukier11[[#This Row],[sprzedany_cukier]]</f>
        <v>4243</v>
      </c>
      <c r="I778" s="9">
        <f>cukier11[[#This Row],[stan_po_sprzedazy]]+cukier11[[#This Row],[ile_dokupic]]*1000</f>
        <v>4243</v>
      </c>
    </row>
    <row r="779" spans="1:9" x14ac:dyDescent="0.25">
      <c r="A779" s="1">
        <v>39696</v>
      </c>
      <c r="B779" t="s">
        <v>123</v>
      </c>
      <c r="C779">
        <v>35</v>
      </c>
      <c r="D779">
        <f>MONTH(cukier11[[#This Row],[data]])</f>
        <v>9</v>
      </c>
      <c r="E779">
        <f>IF(D780&lt;&gt;cukier11[[#This Row],[miesiac]],1,0)</f>
        <v>0</v>
      </c>
      <c r="F779">
        <f>IF(AND(H778&lt;5000,cukier11[[#This Row],[czy_nastapiła_zmiana_mies]]=1),ROUNDUP((5000-H778)/1000,0),0)</f>
        <v>0</v>
      </c>
      <c r="G779">
        <f t="shared" si="12"/>
        <v>4243</v>
      </c>
      <c r="H779">
        <f>cukier11[[#This Row],[stan_magazynu]]-cukier11[[#This Row],[sprzedany_cukier]]</f>
        <v>4208</v>
      </c>
      <c r="I779" s="9">
        <f>cukier11[[#This Row],[stan_po_sprzedazy]]+cukier11[[#This Row],[ile_dokupic]]*1000</f>
        <v>4208</v>
      </c>
    </row>
    <row r="780" spans="1:9" x14ac:dyDescent="0.25">
      <c r="A780" s="1">
        <v>39696</v>
      </c>
      <c r="B780" t="s">
        <v>3</v>
      </c>
      <c r="C780">
        <v>6</v>
      </c>
      <c r="D780">
        <f>MONTH(cukier11[[#This Row],[data]])</f>
        <v>9</v>
      </c>
      <c r="E780">
        <f>IF(D781&lt;&gt;cukier11[[#This Row],[miesiac]],1,0)</f>
        <v>0</v>
      </c>
      <c r="F780">
        <f>IF(AND(H779&lt;5000,cukier11[[#This Row],[czy_nastapiła_zmiana_mies]]=1),ROUNDUP((5000-H779)/1000,0),0)</f>
        <v>0</v>
      </c>
      <c r="G780">
        <f t="shared" si="12"/>
        <v>4208</v>
      </c>
      <c r="H780">
        <f>cukier11[[#This Row],[stan_magazynu]]-cukier11[[#This Row],[sprzedany_cukier]]</f>
        <v>4202</v>
      </c>
      <c r="I780" s="9">
        <f>cukier11[[#This Row],[stan_po_sprzedazy]]+cukier11[[#This Row],[ile_dokupic]]*1000</f>
        <v>4202</v>
      </c>
    </row>
    <row r="781" spans="1:9" x14ac:dyDescent="0.25">
      <c r="A781" s="1">
        <v>39697</v>
      </c>
      <c r="B781" t="s">
        <v>50</v>
      </c>
      <c r="C781">
        <v>322</v>
      </c>
      <c r="D781">
        <f>MONTH(cukier11[[#This Row],[data]])</f>
        <v>9</v>
      </c>
      <c r="E781">
        <f>IF(D782&lt;&gt;cukier11[[#This Row],[miesiac]],1,0)</f>
        <v>0</v>
      </c>
      <c r="F781">
        <f>IF(AND(H780&lt;5000,cukier11[[#This Row],[czy_nastapiła_zmiana_mies]]=1),ROUNDUP((5000-H780)/1000,0),0)</f>
        <v>0</v>
      </c>
      <c r="G781">
        <f t="shared" si="12"/>
        <v>4202</v>
      </c>
      <c r="H781">
        <f>cukier11[[#This Row],[stan_magazynu]]-cukier11[[#This Row],[sprzedany_cukier]]</f>
        <v>3880</v>
      </c>
      <c r="I781" s="9">
        <f>cukier11[[#This Row],[stan_po_sprzedazy]]+cukier11[[#This Row],[ile_dokupic]]*1000</f>
        <v>3880</v>
      </c>
    </row>
    <row r="782" spans="1:9" x14ac:dyDescent="0.25">
      <c r="A782" s="1">
        <v>39697</v>
      </c>
      <c r="B782" t="s">
        <v>37</v>
      </c>
      <c r="C782">
        <v>150</v>
      </c>
      <c r="D782">
        <f>MONTH(cukier11[[#This Row],[data]])</f>
        <v>9</v>
      </c>
      <c r="E782">
        <f>IF(D783&lt;&gt;cukier11[[#This Row],[miesiac]],1,0)</f>
        <v>0</v>
      </c>
      <c r="F782">
        <f>IF(AND(H781&lt;5000,cukier11[[#This Row],[czy_nastapiła_zmiana_mies]]=1),ROUNDUP((5000-H781)/1000,0),0)</f>
        <v>0</v>
      </c>
      <c r="G782">
        <f t="shared" si="12"/>
        <v>3880</v>
      </c>
      <c r="H782">
        <f>cukier11[[#This Row],[stan_magazynu]]-cukier11[[#This Row],[sprzedany_cukier]]</f>
        <v>3730</v>
      </c>
      <c r="I782" s="9">
        <f>cukier11[[#This Row],[stan_po_sprzedazy]]+cukier11[[#This Row],[ile_dokupic]]*1000</f>
        <v>3730</v>
      </c>
    </row>
    <row r="783" spans="1:9" x14ac:dyDescent="0.25">
      <c r="A783" s="1">
        <v>39698</v>
      </c>
      <c r="B783" t="s">
        <v>14</v>
      </c>
      <c r="C783">
        <v>492</v>
      </c>
      <c r="D783">
        <f>MONTH(cukier11[[#This Row],[data]])</f>
        <v>9</v>
      </c>
      <c r="E783">
        <f>IF(D784&lt;&gt;cukier11[[#This Row],[miesiac]],1,0)</f>
        <v>0</v>
      </c>
      <c r="F783">
        <f>IF(AND(H782&lt;5000,cukier11[[#This Row],[czy_nastapiła_zmiana_mies]]=1),ROUNDUP((5000-H782)/1000,0),0)</f>
        <v>0</v>
      </c>
      <c r="G783">
        <f t="shared" si="12"/>
        <v>3730</v>
      </c>
      <c r="H783">
        <f>cukier11[[#This Row],[stan_magazynu]]-cukier11[[#This Row],[sprzedany_cukier]]</f>
        <v>3238</v>
      </c>
      <c r="I783" s="9">
        <f>cukier11[[#This Row],[stan_po_sprzedazy]]+cukier11[[#This Row],[ile_dokupic]]*1000</f>
        <v>3238</v>
      </c>
    </row>
    <row r="784" spans="1:9" x14ac:dyDescent="0.25">
      <c r="A784" s="1">
        <v>39702</v>
      </c>
      <c r="B784" t="s">
        <v>18</v>
      </c>
      <c r="C784">
        <v>93</v>
      </c>
      <c r="D784">
        <f>MONTH(cukier11[[#This Row],[data]])</f>
        <v>9</v>
      </c>
      <c r="E784">
        <f>IF(D785&lt;&gt;cukier11[[#This Row],[miesiac]],1,0)</f>
        <v>0</v>
      </c>
      <c r="F784">
        <f>IF(AND(H783&lt;5000,cukier11[[#This Row],[czy_nastapiła_zmiana_mies]]=1),ROUNDUP((5000-H783)/1000,0),0)</f>
        <v>0</v>
      </c>
      <c r="G784">
        <f t="shared" si="12"/>
        <v>3238</v>
      </c>
      <c r="H784">
        <f>cukier11[[#This Row],[stan_magazynu]]-cukier11[[#This Row],[sprzedany_cukier]]</f>
        <v>3145</v>
      </c>
      <c r="I784" s="9">
        <f>cukier11[[#This Row],[stan_po_sprzedazy]]+cukier11[[#This Row],[ile_dokupic]]*1000</f>
        <v>3145</v>
      </c>
    </row>
    <row r="785" spans="1:9" x14ac:dyDescent="0.25">
      <c r="A785" s="1">
        <v>39705</v>
      </c>
      <c r="B785" t="s">
        <v>61</v>
      </c>
      <c r="C785">
        <v>64</v>
      </c>
      <c r="D785">
        <f>MONTH(cukier11[[#This Row],[data]])</f>
        <v>9</v>
      </c>
      <c r="E785">
        <f>IF(D786&lt;&gt;cukier11[[#This Row],[miesiac]],1,0)</f>
        <v>0</v>
      </c>
      <c r="F785">
        <f>IF(AND(H784&lt;5000,cukier11[[#This Row],[czy_nastapiła_zmiana_mies]]=1),ROUNDUP((5000-H784)/1000,0),0)</f>
        <v>0</v>
      </c>
      <c r="G785">
        <f t="shared" si="12"/>
        <v>3145</v>
      </c>
      <c r="H785">
        <f>cukier11[[#This Row],[stan_magazynu]]-cukier11[[#This Row],[sprzedany_cukier]]</f>
        <v>3081</v>
      </c>
      <c r="I785" s="9">
        <f>cukier11[[#This Row],[stan_po_sprzedazy]]+cukier11[[#This Row],[ile_dokupic]]*1000</f>
        <v>3081</v>
      </c>
    </row>
    <row r="786" spans="1:9" x14ac:dyDescent="0.25">
      <c r="A786" s="1">
        <v>39705</v>
      </c>
      <c r="B786" t="s">
        <v>89</v>
      </c>
      <c r="C786">
        <v>7</v>
      </c>
      <c r="D786">
        <f>MONTH(cukier11[[#This Row],[data]])</f>
        <v>9</v>
      </c>
      <c r="E786">
        <f>IF(D787&lt;&gt;cukier11[[#This Row],[miesiac]],1,0)</f>
        <v>0</v>
      </c>
      <c r="F786">
        <f>IF(AND(H785&lt;5000,cukier11[[#This Row],[czy_nastapiła_zmiana_mies]]=1),ROUNDUP((5000-H785)/1000,0),0)</f>
        <v>0</v>
      </c>
      <c r="G786">
        <f t="shared" si="12"/>
        <v>3081</v>
      </c>
      <c r="H786">
        <f>cukier11[[#This Row],[stan_magazynu]]-cukier11[[#This Row],[sprzedany_cukier]]</f>
        <v>3074</v>
      </c>
      <c r="I786" s="9">
        <f>cukier11[[#This Row],[stan_po_sprzedazy]]+cukier11[[#This Row],[ile_dokupic]]*1000</f>
        <v>3074</v>
      </c>
    </row>
    <row r="787" spans="1:9" x14ac:dyDescent="0.25">
      <c r="A787" s="1">
        <v>39705</v>
      </c>
      <c r="B787" t="s">
        <v>18</v>
      </c>
      <c r="C787">
        <v>90</v>
      </c>
      <c r="D787">
        <f>MONTH(cukier11[[#This Row],[data]])</f>
        <v>9</v>
      </c>
      <c r="E787">
        <f>IF(D788&lt;&gt;cukier11[[#This Row],[miesiac]],1,0)</f>
        <v>0</v>
      </c>
      <c r="F787">
        <f>IF(AND(H786&lt;5000,cukier11[[#This Row],[czy_nastapiła_zmiana_mies]]=1),ROUNDUP((5000-H786)/1000,0),0)</f>
        <v>0</v>
      </c>
      <c r="G787">
        <f t="shared" si="12"/>
        <v>3074</v>
      </c>
      <c r="H787">
        <f>cukier11[[#This Row],[stan_magazynu]]-cukier11[[#This Row],[sprzedany_cukier]]</f>
        <v>2984</v>
      </c>
      <c r="I787" s="9">
        <f>cukier11[[#This Row],[stan_po_sprzedazy]]+cukier11[[#This Row],[ile_dokupic]]*1000</f>
        <v>2984</v>
      </c>
    </row>
    <row r="788" spans="1:9" x14ac:dyDescent="0.25">
      <c r="A788" s="1">
        <v>39712</v>
      </c>
      <c r="B788" t="s">
        <v>50</v>
      </c>
      <c r="C788">
        <v>136</v>
      </c>
      <c r="D788">
        <f>MONTH(cukier11[[#This Row],[data]])</f>
        <v>9</v>
      </c>
      <c r="E788">
        <f>IF(D789&lt;&gt;cukier11[[#This Row],[miesiac]],1,0)</f>
        <v>0</v>
      </c>
      <c r="F788">
        <f>IF(AND(H787&lt;5000,cukier11[[#This Row],[czy_nastapiła_zmiana_mies]]=1),ROUNDUP((5000-H787)/1000,0),0)</f>
        <v>0</v>
      </c>
      <c r="G788">
        <f t="shared" si="12"/>
        <v>2984</v>
      </c>
      <c r="H788">
        <f>cukier11[[#This Row],[stan_magazynu]]-cukier11[[#This Row],[sprzedany_cukier]]</f>
        <v>2848</v>
      </c>
      <c r="I788" s="9">
        <f>cukier11[[#This Row],[stan_po_sprzedazy]]+cukier11[[#This Row],[ile_dokupic]]*1000</f>
        <v>2848</v>
      </c>
    </row>
    <row r="789" spans="1:9" x14ac:dyDescent="0.25">
      <c r="A789" s="1">
        <v>39713</v>
      </c>
      <c r="B789" t="s">
        <v>19</v>
      </c>
      <c r="C789">
        <v>104</v>
      </c>
      <c r="D789">
        <f>MONTH(cukier11[[#This Row],[data]])</f>
        <v>9</v>
      </c>
      <c r="E789">
        <f>IF(D790&lt;&gt;cukier11[[#This Row],[miesiac]],1,0)</f>
        <v>0</v>
      </c>
      <c r="F789">
        <f>IF(AND(H788&lt;5000,cukier11[[#This Row],[czy_nastapiła_zmiana_mies]]=1),ROUNDUP((5000-H788)/1000,0),0)</f>
        <v>0</v>
      </c>
      <c r="G789">
        <f t="shared" si="12"/>
        <v>2848</v>
      </c>
      <c r="H789">
        <f>cukier11[[#This Row],[stan_magazynu]]-cukier11[[#This Row],[sprzedany_cukier]]</f>
        <v>2744</v>
      </c>
      <c r="I789" s="9">
        <f>cukier11[[#This Row],[stan_po_sprzedazy]]+cukier11[[#This Row],[ile_dokupic]]*1000</f>
        <v>2744</v>
      </c>
    </row>
    <row r="790" spans="1:9" x14ac:dyDescent="0.25">
      <c r="A790" s="1">
        <v>39713</v>
      </c>
      <c r="B790" t="s">
        <v>150</v>
      </c>
      <c r="C790">
        <v>1</v>
      </c>
      <c r="D790">
        <f>MONTH(cukier11[[#This Row],[data]])</f>
        <v>9</v>
      </c>
      <c r="E790">
        <f>IF(D791&lt;&gt;cukier11[[#This Row],[miesiac]],1,0)</f>
        <v>0</v>
      </c>
      <c r="F790">
        <f>IF(AND(H789&lt;5000,cukier11[[#This Row],[czy_nastapiła_zmiana_mies]]=1),ROUNDUP((5000-H789)/1000,0),0)</f>
        <v>0</v>
      </c>
      <c r="G790">
        <f t="shared" si="12"/>
        <v>2744</v>
      </c>
      <c r="H790">
        <f>cukier11[[#This Row],[stan_magazynu]]-cukier11[[#This Row],[sprzedany_cukier]]</f>
        <v>2743</v>
      </c>
      <c r="I790" s="9">
        <f>cukier11[[#This Row],[stan_po_sprzedazy]]+cukier11[[#This Row],[ile_dokupic]]*1000</f>
        <v>2743</v>
      </c>
    </row>
    <row r="791" spans="1:9" x14ac:dyDescent="0.25">
      <c r="A791" s="1">
        <v>39714</v>
      </c>
      <c r="B791" t="s">
        <v>31</v>
      </c>
      <c r="C791">
        <v>52</v>
      </c>
      <c r="D791">
        <f>MONTH(cukier11[[#This Row],[data]])</f>
        <v>9</v>
      </c>
      <c r="E791">
        <f>IF(D792&lt;&gt;cukier11[[#This Row],[miesiac]],1,0)</f>
        <v>0</v>
      </c>
      <c r="F791">
        <f>IF(AND(H790&lt;5000,cukier11[[#This Row],[czy_nastapiła_zmiana_mies]]=1),ROUNDUP((5000-H790)/1000,0),0)</f>
        <v>0</v>
      </c>
      <c r="G791">
        <f t="shared" si="12"/>
        <v>2743</v>
      </c>
      <c r="H791">
        <f>cukier11[[#This Row],[stan_magazynu]]-cukier11[[#This Row],[sprzedany_cukier]]</f>
        <v>2691</v>
      </c>
      <c r="I791" s="9">
        <f>cukier11[[#This Row],[stan_po_sprzedazy]]+cukier11[[#This Row],[ile_dokupic]]*1000</f>
        <v>2691</v>
      </c>
    </row>
    <row r="792" spans="1:9" x14ac:dyDescent="0.25">
      <c r="A792" s="1">
        <v>39714</v>
      </c>
      <c r="B792" t="s">
        <v>45</v>
      </c>
      <c r="C792">
        <v>203</v>
      </c>
      <c r="D792">
        <f>MONTH(cukier11[[#This Row],[data]])</f>
        <v>9</v>
      </c>
      <c r="E792">
        <f>IF(D793&lt;&gt;cukier11[[#This Row],[miesiac]],1,0)</f>
        <v>0</v>
      </c>
      <c r="F792">
        <f>IF(AND(H791&lt;5000,cukier11[[#This Row],[czy_nastapiła_zmiana_mies]]=1),ROUNDUP((5000-H791)/1000,0),0)</f>
        <v>0</v>
      </c>
      <c r="G792">
        <f t="shared" si="12"/>
        <v>2691</v>
      </c>
      <c r="H792">
        <f>cukier11[[#This Row],[stan_magazynu]]-cukier11[[#This Row],[sprzedany_cukier]]</f>
        <v>2488</v>
      </c>
      <c r="I792" s="9">
        <f>cukier11[[#This Row],[stan_po_sprzedazy]]+cukier11[[#This Row],[ile_dokupic]]*1000</f>
        <v>2488</v>
      </c>
    </row>
    <row r="793" spans="1:9" x14ac:dyDescent="0.25">
      <c r="A793" s="1">
        <v>39716</v>
      </c>
      <c r="B793" t="s">
        <v>30</v>
      </c>
      <c r="C793">
        <v>183</v>
      </c>
      <c r="D793">
        <f>MONTH(cukier11[[#This Row],[data]])</f>
        <v>9</v>
      </c>
      <c r="E793">
        <f>IF(D794&lt;&gt;cukier11[[#This Row],[miesiac]],1,0)</f>
        <v>0</v>
      </c>
      <c r="F793">
        <f>IF(AND(H792&lt;5000,cukier11[[#This Row],[czy_nastapiła_zmiana_mies]]=1),ROUNDUP((5000-H792)/1000,0),0)</f>
        <v>0</v>
      </c>
      <c r="G793">
        <f t="shared" si="12"/>
        <v>2488</v>
      </c>
      <c r="H793">
        <f>cukier11[[#This Row],[stan_magazynu]]-cukier11[[#This Row],[sprzedany_cukier]]</f>
        <v>2305</v>
      </c>
      <c r="I793" s="9">
        <f>cukier11[[#This Row],[stan_po_sprzedazy]]+cukier11[[#This Row],[ile_dokupic]]*1000</f>
        <v>2305</v>
      </c>
    </row>
    <row r="794" spans="1:9" x14ac:dyDescent="0.25">
      <c r="A794" s="1">
        <v>39717</v>
      </c>
      <c r="B794" t="s">
        <v>61</v>
      </c>
      <c r="C794">
        <v>182</v>
      </c>
      <c r="D794">
        <f>MONTH(cukier11[[#This Row],[data]])</f>
        <v>9</v>
      </c>
      <c r="E794">
        <f>IF(D795&lt;&gt;cukier11[[#This Row],[miesiac]],1,0)</f>
        <v>0</v>
      </c>
      <c r="F794">
        <f>IF(AND(H793&lt;5000,cukier11[[#This Row],[czy_nastapiła_zmiana_mies]]=1),ROUNDUP((5000-H793)/1000,0),0)</f>
        <v>0</v>
      </c>
      <c r="G794">
        <f t="shared" si="12"/>
        <v>2305</v>
      </c>
      <c r="H794">
        <f>cukier11[[#This Row],[stan_magazynu]]-cukier11[[#This Row],[sprzedany_cukier]]</f>
        <v>2123</v>
      </c>
      <c r="I794" s="9">
        <f>cukier11[[#This Row],[stan_po_sprzedazy]]+cukier11[[#This Row],[ile_dokupic]]*1000</f>
        <v>2123</v>
      </c>
    </row>
    <row r="795" spans="1:9" x14ac:dyDescent="0.25">
      <c r="A795" s="1">
        <v>39719</v>
      </c>
      <c r="B795" t="s">
        <v>45</v>
      </c>
      <c r="C795">
        <v>383</v>
      </c>
      <c r="D795">
        <f>MONTH(cukier11[[#This Row],[data]])</f>
        <v>9</v>
      </c>
      <c r="E795">
        <f>IF(D796&lt;&gt;cukier11[[#This Row],[miesiac]],1,0)</f>
        <v>1</v>
      </c>
      <c r="F795">
        <f>IF(AND(H794&lt;5000,cukier11[[#This Row],[czy_nastapiła_zmiana_mies]]=1),ROUNDUP((5000-H794)/1000,0),0)</f>
        <v>3</v>
      </c>
      <c r="G795">
        <f t="shared" si="12"/>
        <v>2123</v>
      </c>
      <c r="H795">
        <f>cukier11[[#This Row],[stan_magazynu]]-cukier11[[#This Row],[sprzedany_cukier]]</f>
        <v>1740</v>
      </c>
      <c r="I795" s="9">
        <f>cukier11[[#This Row],[stan_po_sprzedazy]]+cukier11[[#This Row],[ile_dokupic]]*1000</f>
        <v>4740</v>
      </c>
    </row>
    <row r="796" spans="1:9" x14ac:dyDescent="0.25">
      <c r="A796" s="1">
        <v>39722</v>
      </c>
      <c r="B796" t="s">
        <v>22</v>
      </c>
      <c r="C796">
        <v>113</v>
      </c>
      <c r="D796">
        <f>MONTH(cukier11[[#This Row],[data]])</f>
        <v>10</v>
      </c>
      <c r="E796">
        <f>IF(D797&lt;&gt;cukier11[[#This Row],[miesiac]],1,0)</f>
        <v>0</v>
      </c>
      <c r="F796">
        <f>IF(AND(H795&lt;5000,cukier11[[#This Row],[czy_nastapiła_zmiana_mies]]=1),ROUNDUP((5000-H795)/1000,0),0)</f>
        <v>0</v>
      </c>
      <c r="G796">
        <f t="shared" si="12"/>
        <v>4740</v>
      </c>
      <c r="H796">
        <f>cukier11[[#This Row],[stan_magazynu]]-cukier11[[#This Row],[sprzedany_cukier]]</f>
        <v>4627</v>
      </c>
      <c r="I796" s="9">
        <f>cukier11[[#This Row],[stan_po_sprzedazy]]+cukier11[[#This Row],[ile_dokupic]]*1000</f>
        <v>4627</v>
      </c>
    </row>
    <row r="797" spans="1:9" x14ac:dyDescent="0.25">
      <c r="A797" s="1">
        <v>39722</v>
      </c>
      <c r="B797" t="s">
        <v>63</v>
      </c>
      <c r="C797">
        <v>154</v>
      </c>
      <c r="D797">
        <f>MONTH(cukier11[[#This Row],[data]])</f>
        <v>10</v>
      </c>
      <c r="E797">
        <f>IF(D798&lt;&gt;cukier11[[#This Row],[miesiac]],1,0)</f>
        <v>0</v>
      </c>
      <c r="F797">
        <f>IF(AND(H796&lt;5000,cukier11[[#This Row],[czy_nastapiła_zmiana_mies]]=1),ROUNDUP((5000-H796)/1000,0),0)</f>
        <v>0</v>
      </c>
      <c r="G797">
        <f t="shared" si="12"/>
        <v>4627</v>
      </c>
      <c r="H797">
        <f>cukier11[[#This Row],[stan_magazynu]]-cukier11[[#This Row],[sprzedany_cukier]]</f>
        <v>4473</v>
      </c>
      <c r="I797" s="9">
        <f>cukier11[[#This Row],[stan_po_sprzedazy]]+cukier11[[#This Row],[ile_dokupic]]*1000</f>
        <v>4473</v>
      </c>
    </row>
    <row r="798" spans="1:9" x14ac:dyDescent="0.25">
      <c r="A798" s="1">
        <v>39722</v>
      </c>
      <c r="B798" t="s">
        <v>36</v>
      </c>
      <c r="C798">
        <v>8</v>
      </c>
      <c r="D798">
        <f>MONTH(cukier11[[#This Row],[data]])</f>
        <v>10</v>
      </c>
      <c r="E798">
        <f>IF(D799&lt;&gt;cukier11[[#This Row],[miesiac]],1,0)</f>
        <v>0</v>
      </c>
      <c r="F798">
        <f>IF(AND(H797&lt;5000,cukier11[[#This Row],[czy_nastapiła_zmiana_mies]]=1),ROUNDUP((5000-H797)/1000,0),0)</f>
        <v>0</v>
      </c>
      <c r="G798">
        <f t="shared" si="12"/>
        <v>4473</v>
      </c>
      <c r="H798">
        <f>cukier11[[#This Row],[stan_magazynu]]-cukier11[[#This Row],[sprzedany_cukier]]</f>
        <v>4465</v>
      </c>
      <c r="I798" s="9">
        <f>cukier11[[#This Row],[stan_po_sprzedazy]]+cukier11[[#This Row],[ile_dokupic]]*1000</f>
        <v>4465</v>
      </c>
    </row>
    <row r="799" spans="1:9" x14ac:dyDescent="0.25">
      <c r="A799" s="1">
        <v>39725</v>
      </c>
      <c r="B799" t="s">
        <v>116</v>
      </c>
      <c r="C799">
        <v>5</v>
      </c>
      <c r="D799">
        <f>MONTH(cukier11[[#This Row],[data]])</f>
        <v>10</v>
      </c>
      <c r="E799">
        <f>IF(D800&lt;&gt;cukier11[[#This Row],[miesiac]],1,0)</f>
        <v>0</v>
      </c>
      <c r="F799">
        <f>IF(AND(H798&lt;5000,cukier11[[#This Row],[czy_nastapiła_zmiana_mies]]=1),ROUNDUP((5000-H798)/1000,0),0)</f>
        <v>0</v>
      </c>
      <c r="G799">
        <f t="shared" si="12"/>
        <v>4465</v>
      </c>
      <c r="H799">
        <f>cukier11[[#This Row],[stan_magazynu]]-cukier11[[#This Row],[sprzedany_cukier]]</f>
        <v>4460</v>
      </c>
      <c r="I799" s="9">
        <f>cukier11[[#This Row],[stan_po_sprzedazy]]+cukier11[[#This Row],[ile_dokupic]]*1000</f>
        <v>4460</v>
      </c>
    </row>
    <row r="800" spans="1:9" x14ac:dyDescent="0.25">
      <c r="A800" s="1">
        <v>39725</v>
      </c>
      <c r="B800" t="s">
        <v>42</v>
      </c>
      <c r="C800">
        <v>14</v>
      </c>
      <c r="D800">
        <f>MONTH(cukier11[[#This Row],[data]])</f>
        <v>10</v>
      </c>
      <c r="E800">
        <f>IF(D801&lt;&gt;cukier11[[#This Row],[miesiac]],1,0)</f>
        <v>0</v>
      </c>
      <c r="F800">
        <f>IF(AND(H799&lt;5000,cukier11[[#This Row],[czy_nastapiła_zmiana_mies]]=1),ROUNDUP((5000-H799)/1000,0),0)</f>
        <v>0</v>
      </c>
      <c r="G800">
        <f t="shared" si="12"/>
        <v>4460</v>
      </c>
      <c r="H800">
        <f>cukier11[[#This Row],[stan_magazynu]]-cukier11[[#This Row],[sprzedany_cukier]]</f>
        <v>4446</v>
      </c>
      <c r="I800" s="9">
        <f>cukier11[[#This Row],[stan_po_sprzedazy]]+cukier11[[#This Row],[ile_dokupic]]*1000</f>
        <v>4446</v>
      </c>
    </row>
    <row r="801" spans="1:9" x14ac:dyDescent="0.25">
      <c r="A801" s="1">
        <v>39727</v>
      </c>
      <c r="B801" t="s">
        <v>71</v>
      </c>
      <c r="C801">
        <v>27</v>
      </c>
      <c r="D801">
        <f>MONTH(cukier11[[#This Row],[data]])</f>
        <v>10</v>
      </c>
      <c r="E801">
        <f>IF(D802&lt;&gt;cukier11[[#This Row],[miesiac]],1,0)</f>
        <v>0</v>
      </c>
      <c r="F801">
        <f>IF(AND(H800&lt;5000,cukier11[[#This Row],[czy_nastapiła_zmiana_mies]]=1),ROUNDUP((5000-H800)/1000,0),0)</f>
        <v>0</v>
      </c>
      <c r="G801">
        <f t="shared" si="12"/>
        <v>4446</v>
      </c>
      <c r="H801">
        <f>cukier11[[#This Row],[stan_magazynu]]-cukier11[[#This Row],[sprzedany_cukier]]</f>
        <v>4419</v>
      </c>
      <c r="I801" s="9">
        <f>cukier11[[#This Row],[stan_po_sprzedazy]]+cukier11[[#This Row],[ile_dokupic]]*1000</f>
        <v>4419</v>
      </c>
    </row>
    <row r="802" spans="1:9" x14ac:dyDescent="0.25">
      <c r="A802" s="1">
        <v>39727</v>
      </c>
      <c r="B802" t="s">
        <v>8</v>
      </c>
      <c r="C802">
        <v>141</v>
      </c>
      <c r="D802">
        <f>MONTH(cukier11[[#This Row],[data]])</f>
        <v>10</v>
      </c>
      <c r="E802">
        <f>IF(D803&lt;&gt;cukier11[[#This Row],[miesiac]],1,0)</f>
        <v>0</v>
      </c>
      <c r="F802">
        <f>IF(AND(H801&lt;5000,cukier11[[#This Row],[czy_nastapiła_zmiana_mies]]=1),ROUNDUP((5000-H801)/1000,0),0)</f>
        <v>0</v>
      </c>
      <c r="G802">
        <f t="shared" si="12"/>
        <v>4419</v>
      </c>
      <c r="H802">
        <f>cukier11[[#This Row],[stan_magazynu]]-cukier11[[#This Row],[sprzedany_cukier]]</f>
        <v>4278</v>
      </c>
      <c r="I802" s="9">
        <f>cukier11[[#This Row],[stan_po_sprzedazy]]+cukier11[[#This Row],[ile_dokupic]]*1000</f>
        <v>4278</v>
      </c>
    </row>
    <row r="803" spans="1:9" x14ac:dyDescent="0.25">
      <c r="A803" s="1">
        <v>39729</v>
      </c>
      <c r="B803" t="s">
        <v>175</v>
      </c>
      <c r="C803">
        <v>14</v>
      </c>
      <c r="D803">
        <f>MONTH(cukier11[[#This Row],[data]])</f>
        <v>10</v>
      </c>
      <c r="E803">
        <f>IF(D804&lt;&gt;cukier11[[#This Row],[miesiac]],1,0)</f>
        <v>0</v>
      </c>
      <c r="F803">
        <f>IF(AND(H802&lt;5000,cukier11[[#This Row],[czy_nastapiła_zmiana_mies]]=1),ROUNDUP((5000-H802)/1000,0),0)</f>
        <v>0</v>
      </c>
      <c r="G803">
        <f t="shared" si="12"/>
        <v>4278</v>
      </c>
      <c r="H803">
        <f>cukier11[[#This Row],[stan_magazynu]]-cukier11[[#This Row],[sprzedany_cukier]]</f>
        <v>4264</v>
      </c>
      <c r="I803" s="9">
        <f>cukier11[[#This Row],[stan_po_sprzedazy]]+cukier11[[#This Row],[ile_dokupic]]*1000</f>
        <v>4264</v>
      </c>
    </row>
    <row r="804" spans="1:9" x14ac:dyDescent="0.25">
      <c r="A804" s="1">
        <v>39729</v>
      </c>
      <c r="B804" t="s">
        <v>31</v>
      </c>
      <c r="C804">
        <v>136</v>
      </c>
      <c r="D804">
        <f>MONTH(cukier11[[#This Row],[data]])</f>
        <v>10</v>
      </c>
      <c r="E804">
        <f>IF(D805&lt;&gt;cukier11[[#This Row],[miesiac]],1,0)</f>
        <v>0</v>
      </c>
      <c r="F804">
        <f>IF(AND(H803&lt;5000,cukier11[[#This Row],[czy_nastapiła_zmiana_mies]]=1),ROUNDUP((5000-H803)/1000,0),0)</f>
        <v>0</v>
      </c>
      <c r="G804">
        <f t="shared" si="12"/>
        <v>4264</v>
      </c>
      <c r="H804">
        <f>cukier11[[#This Row],[stan_magazynu]]-cukier11[[#This Row],[sprzedany_cukier]]</f>
        <v>4128</v>
      </c>
      <c r="I804" s="9">
        <f>cukier11[[#This Row],[stan_po_sprzedazy]]+cukier11[[#This Row],[ile_dokupic]]*1000</f>
        <v>4128</v>
      </c>
    </row>
    <row r="805" spans="1:9" x14ac:dyDescent="0.25">
      <c r="A805" s="1">
        <v>39729</v>
      </c>
      <c r="B805" t="s">
        <v>5</v>
      </c>
      <c r="C805">
        <v>378</v>
      </c>
      <c r="D805">
        <f>MONTH(cukier11[[#This Row],[data]])</f>
        <v>10</v>
      </c>
      <c r="E805">
        <f>IF(D806&lt;&gt;cukier11[[#This Row],[miesiac]],1,0)</f>
        <v>0</v>
      </c>
      <c r="F805">
        <f>IF(AND(H804&lt;5000,cukier11[[#This Row],[czy_nastapiła_zmiana_mies]]=1),ROUNDUP((5000-H804)/1000,0),0)</f>
        <v>0</v>
      </c>
      <c r="G805">
        <f t="shared" si="12"/>
        <v>4128</v>
      </c>
      <c r="H805">
        <f>cukier11[[#This Row],[stan_magazynu]]-cukier11[[#This Row],[sprzedany_cukier]]</f>
        <v>3750</v>
      </c>
      <c r="I805" s="9">
        <f>cukier11[[#This Row],[stan_po_sprzedazy]]+cukier11[[#This Row],[ile_dokupic]]*1000</f>
        <v>3750</v>
      </c>
    </row>
    <row r="806" spans="1:9" x14ac:dyDescent="0.25">
      <c r="A806" s="1">
        <v>39729</v>
      </c>
      <c r="B806" t="s">
        <v>159</v>
      </c>
      <c r="C806">
        <v>12</v>
      </c>
      <c r="D806">
        <f>MONTH(cukier11[[#This Row],[data]])</f>
        <v>10</v>
      </c>
      <c r="E806">
        <f>IF(D807&lt;&gt;cukier11[[#This Row],[miesiac]],1,0)</f>
        <v>0</v>
      </c>
      <c r="F806">
        <f>IF(AND(H805&lt;5000,cukier11[[#This Row],[czy_nastapiła_zmiana_mies]]=1),ROUNDUP((5000-H805)/1000,0),0)</f>
        <v>0</v>
      </c>
      <c r="G806">
        <f t="shared" si="12"/>
        <v>3750</v>
      </c>
      <c r="H806">
        <f>cukier11[[#This Row],[stan_magazynu]]-cukier11[[#This Row],[sprzedany_cukier]]</f>
        <v>3738</v>
      </c>
      <c r="I806" s="9">
        <f>cukier11[[#This Row],[stan_po_sprzedazy]]+cukier11[[#This Row],[ile_dokupic]]*1000</f>
        <v>3738</v>
      </c>
    </row>
    <row r="807" spans="1:9" x14ac:dyDescent="0.25">
      <c r="A807" s="1">
        <v>39732</v>
      </c>
      <c r="B807" t="s">
        <v>45</v>
      </c>
      <c r="C807">
        <v>284</v>
      </c>
      <c r="D807">
        <f>MONTH(cukier11[[#This Row],[data]])</f>
        <v>10</v>
      </c>
      <c r="E807">
        <f>IF(D808&lt;&gt;cukier11[[#This Row],[miesiac]],1,0)</f>
        <v>0</v>
      </c>
      <c r="F807">
        <f>IF(AND(H806&lt;5000,cukier11[[#This Row],[czy_nastapiła_zmiana_mies]]=1),ROUNDUP((5000-H806)/1000,0),0)</f>
        <v>0</v>
      </c>
      <c r="G807">
        <f t="shared" si="12"/>
        <v>3738</v>
      </c>
      <c r="H807">
        <f>cukier11[[#This Row],[stan_magazynu]]-cukier11[[#This Row],[sprzedany_cukier]]</f>
        <v>3454</v>
      </c>
      <c r="I807" s="9">
        <f>cukier11[[#This Row],[stan_po_sprzedazy]]+cukier11[[#This Row],[ile_dokupic]]*1000</f>
        <v>3454</v>
      </c>
    </row>
    <row r="808" spans="1:9" x14ac:dyDescent="0.25">
      <c r="A808" s="1">
        <v>39733</v>
      </c>
      <c r="B808" t="s">
        <v>19</v>
      </c>
      <c r="C808">
        <v>54</v>
      </c>
      <c r="D808">
        <f>MONTH(cukier11[[#This Row],[data]])</f>
        <v>10</v>
      </c>
      <c r="E808">
        <f>IF(D809&lt;&gt;cukier11[[#This Row],[miesiac]],1,0)</f>
        <v>0</v>
      </c>
      <c r="F808">
        <f>IF(AND(H807&lt;5000,cukier11[[#This Row],[czy_nastapiła_zmiana_mies]]=1),ROUNDUP((5000-H807)/1000,0),0)</f>
        <v>0</v>
      </c>
      <c r="G808">
        <f t="shared" si="12"/>
        <v>3454</v>
      </c>
      <c r="H808">
        <f>cukier11[[#This Row],[stan_magazynu]]-cukier11[[#This Row],[sprzedany_cukier]]</f>
        <v>3400</v>
      </c>
      <c r="I808" s="9">
        <f>cukier11[[#This Row],[stan_po_sprzedazy]]+cukier11[[#This Row],[ile_dokupic]]*1000</f>
        <v>3400</v>
      </c>
    </row>
    <row r="809" spans="1:9" x14ac:dyDescent="0.25">
      <c r="A809" s="1">
        <v>39733</v>
      </c>
      <c r="B809" t="s">
        <v>31</v>
      </c>
      <c r="C809">
        <v>51</v>
      </c>
      <c r="D809">
        <f>MONTH(cukier11[[#This Row],[data]])</f>
        <v>10</v>
      </c>
      <c r="E809">
        <f>IF(D810&lt;&gt;cukier11[[#This Row],[miesiac]],1,0)</f>
        <v>0</v>
      </c>
      <c r="F809">
        <f>IF(AND(H808&lt;5000,cukier11[[#This Row],[czy_nastapiła_zmiana_mies]]=1),ROUNDUP((5000-H808)/1000,0),0)</f>
        <v>0</v>
      </c>
      <c r="G809">
        <f t="shared" si="12"/>
        <v>3400</v>
      </c>
      <c r="H809">
        <f>cukier11[[#This Row],[stan_magazynu]]-cukier11[[#This Row],[sprzedany_cukier]]</f>
        <v>3349</v>
      </c>
      <c r="I809" s="9">
        <f>cukier11[[#This Row],[stan_po_sprzedazy]]+cukier11[[#This Row],[ile_dokupic]]*1000</f>
        <v>3349</v>
      </c>
    </row>
    <row r="810" spans="1:9" x14ac:dyDescent="0.25">
      <c r="A810" s="1">
        <v>39733</v>
      </c>
      <c r="B810" t="s">
        <v>55</v>
      </c>
      <c r="C810">
        <v>159</v>
      </c>
      <c r="D810">
        <f>MONTH(cukier11[[#This Row],[data]])</f>
        <v>10</v>
      </c>
      <c r="E810">
        <f>IF(D811&lt;&gt;cukier11[[#This Row],[miesiac]],1,0)</f>
        <v>0</v>
      </c>
      <c r="F810">
        <f>IF(AND(H809&lt;5000,cukier11[[#This Row],[czy_nastapiła_zmiana_mies]]=1),ROUNDUP((5000-H809)/1000,0),0)</f>
        <v>0</v>
      </c>
      <c r="G810">
        <f t="shared" si="12"/>
        <v>3349</v>
      </c>
      <c r="H810">
        <f>cukier11[[#This Row],[stan_magazynu]]-cukier11[[#This Row],[sprzedany_cukier]]</f>
        <v>3190</v>
      </c>
      <c r="I810" s="9">
        <f>cukier11[[#This Row],[stan_po_sprzedazy]]+cukier11[[#This Row],[ile_dokupic]]*1000</f>
        <v>3190</v>
      </c>
    </row>
    <row r="811" spans="1:9" x14ac:dyDescent="0.25">
      <c r="A811" s="1">
        <v>39738</v>
      </c>
      <c r="B811" t="s">
        <v>9</v>
      </c>
      <c r="C811">
        <v>351</v>
      </c>
      <c r="D811">
        <f>MONTH(cukier11[[#This Row],[data]])</f>
        <v>10</v>
      </c>
      <c r="E811">
        <f>IF(D812&lt;&gt;cukier11[[#This Row],[miesiac]],1,0)</f>
        <v>0</v>
      </c>
      <c r="F811">
        <f>IF(AND(H810&lt;5000,cukier11[[#This Row],[czy_nastapiła_zmiana_mies]]=1),ROUNDUP((5000-H810)/1000,0),0)</f>
        <v>0</v>
      </c>
      <c r="G811">
        <f t="shared" si="12"/>
        <v>3190</v>
      </c>
      <c r="H811">
        <f>cukier11[[#This Row],[stan_magazynu]]-cukier11[[#This Row],[sprzedany_cukier]]</f>
        <v>2839</v>
      </c>
      <c r="I811" s="9">
        <f>cukier11[[#This Row],[stan_po_sprzedazy]]+cukier11[[#This Row],[ile_dokupic]]*1000</f>
        <v>2839</v>
      </c>
    </row>
    <row r="812" spans="1:9" x14ac:dyDescent="0.25">
      <c r="A812" s="1">
        <v>39738</v>
      </c>
      <c r="B812" t="s">
        <v>22</v>
      </c>
      <c r="C812">
        <v>390</v>
      </c>
      <c r="D812">
        <f>MONTH(cukier11[[#This Row],[data]])</f>
        <v>10</v>
      </c>
      <c r="E812">
        <f>IF(D813&lt;&gt;cukier11[[#This Row],[miesiac]],1,0)</f>
        <v>0</v>
      </c>
      <c r="F812">
        <f>IF(AND(H811&lt;5000,cukier11[[#This Row],[czy_nastapiła_zmiana_mies]]=1),ROUNDUP((5000-H811)/1000,0),0)</f>
        <v>0</v>
      </c>
      <c r="G812">
        <f t="shared" si="12"/>
        <v>2839</v>
      </c>
      <c r="H812">
        <f>cukier11[[#This Row],[stan_magazynu]]-cukier11[[#This Row],[sprzedany_cukier]]</f>
        <v>2449</v>
      </c>
      <c r="I812" s="9">
        <f>cukier11[[#This Row],[stan_po_sprzedazy]]+cukier11[[#This Row],[ile_dokupic]]*1000</f>
        <v>2449</v>
      </c>
    </row>
    <row r="813" spans="1:9" x14ac:dyDescent="0.25">
      <c r="A813" s="1">
        <v>39738</v>
      </c>
      <c r="B813" t="s">
        <v>33</v>
      </c>
      <c r="C813">
        <v>4</v>
      </c>
      <c r="D813">
        <f>MONTH(cukier11[[#This Row],[data]])</f>
        <v>10</v>
      </c>
      <c r="E813">
        <f>IF(D814&lt;&gt;cukier11[[#This Row],[miesiac]],1,0)</f>
        <v>0</v>
      </c>
      <c r="F813">
        <f>IF(AND(H812&lt;5000,cukier11[[#This Row],[czy_nastapiła_zmiana_mies]]=1),ROUNDUP((5000-H812)/1000,0),0)</f>
        <v>0</v>
      </c>
      <c r="G813">
        <f t="shared" si="12"/>
        <v>2449</v>
      </c>
      <c r="H813">
        <f>cukier11[[#This Row],[stan_magazynu]]-cukier11[[#This Row],[sprzedany_cukier]]</f>
        <v>2445</v>
      </c>
      <c r="I813" s="9">
        <f>cukier11[[#This Row],[stan_po_sprzedazy]]+cukier11[[#This Row],[ile_dokupic]]*1000</f>
        <v>2445</v>
      </c>
    </row>
    <row r="814" spans="1:9" x14ac:dyDescent="0.25">
      <c r="A814" s="1">
        <v>39739</v>
      </c>
      <c r="B814" t="s">
        <v>35</v>
      </c>
      <c r="C814">
        <v>140</v>
      </c>
      <c r="D814">
        <f>MONTH(cukier11[[#This Row],[data]])</f>
        <v>10</v>
      </c>
      <c r="E814">
        <f>IF(D815&lt;&gt;cukier11[[#This Row],[miesiac]],1,0)</f>
        <v>0</v>
      </c>
      <c r="F814">
        <f>IF(AND(H813&lt;5000,cukier11[[#This Row],[czy_nastapiła_zmiana_mies]]=1),ROUNDUP((5000-H813)/1000,0),0)</f>
        <v>0</v>
      </c>
      <c r="G814">
        <f t="shared" si="12"/>
        <v>2445</v>
      </c>
      <c r="H814">
        <f>cukier11[[#This Row],[stan_magazynu]]-cukier11[[#This Row],[sprzedany_cukier]]</f>
        <v>2305</v>
      </c>
      <c r="I814" s="9">
        <f>cukier11[[#This Row],[stan_po_sprzedazy]]+cukier11[[#This Row],[ile_dokupic]]*1000</f>
        <v>2305</v>
      </c>
    </row>
    <row r="815" spans="1:9" x14ac:dyDescent="0.25">
      <c r="A815" s="1">
        <v>39740</v>
      </c>
      <c r="B815" t="s">
        <v>50</v>
      </c>
      <c r="C815">
        <v>125</v>
      </c>
      <c r="D815">
        <f>MONTH(cukier11[[#This Row],[data]])</f>
        <v>10</v>
      </c>
      <c r="E815">
        <f>IF(D816&lt;&gt;cukier11[[#This Row],[miesiac]],1,0)</f>
        <v>0</v>
      </c>
      <c r="F815">
        <f>IF(AND(H814&lt;5000,cukier11[[#This Row],[czy_nastapiła_zmiana_mies]]=1),ROUNDUP((5000-H814)/1000,0),0)</f>
        <v>0</v>
      </c>
      <c r="G815">
        <f t="shared" si="12"/>
        <v>2305</v>
      </c>
      <c r="H815">
        <f>cukier11[[#This Row],[stan_magazynu]]-cukier11[[#This Row],[sprzedany_cukier]]</f>
        <v>2180</v>
      </c>
      <c r="I815" s="9">
        <f>cukier11[[#This Row],[stan_po_sprzedazy]]+cukier11[[#This Row],[ile_dokupic]]*1000</f>
        <v>2180</v>
      </c>
    </row>
    <row r="816" spans="1:9" x14ac:dyDescent="0.25">
      <c r="A816" s="1">
        <v>39740</v>
      </c>
      <c r="B816" t="s">
        <v>66</v>
      </c>
      <c r="C816">
        <v>97</v>
      </c>
      <c r="D816">
        <f>MONTH(cukier11[[#This Row],[data]])</f>
        <v>10</v>
      </c>
      <c r="E816">
        <f>IF(D817&lt;&gt;cukier11[[#This Row],[miesiac]],1,0)</f>
        <v>0</v>
      </c>
      <c r="F816">
        <f>IF(AND(H815&lt;5000,cukier11[[#This Row],[czy_nastapiła_zmiana_mies]]=1),ROUNDUP((5000-H815)/1000,0),0)</f>
        <v>0</v>
      </c>
      <c r="G816">
        <f t="shared" si="12"/>
        <v>2180</v>
      </c>
      <c r="H816">
        <f>cukier11[[#This Row],[stan_magazynu]]-cukier11[[#This Row],[sprzedany_cukier]]</f>
        <v>2083</v>
      </c>
      <c r="I816" s="9">
        <f>cukier11[[#This Row],[stan_po_sprzedazy]]+cukier11[[#This Row],[ile_dokupic]]*1000</f>
        <v>2083</v>
      </c>
    </row>
    <row r="817" spans="1:9" x14ac:dyDescent="0.25">
      <c r="A817" s="1">
        <v>39743</v>
      </c>
      <c r="B817" t="s">
        <v>66</v>
      </c>
      <c r="C817">
        <v>190</v>
      </c>
      <c r="D817">
        <f>MONTH(cukier11[[#This Row],[data]])</f>
        <v>10</v>
      </c>
      <c r="E817">
        <f>IF(D818&lt;&gt;cukier11[[#This Row],[miesiac]],1,0)</f>
        <v>0</v>
      </c>
      <c r="F817">
        <f>IF(AND(H816&lt;5000,cukier11[[#This Row],[czy_nastapiła_zmiana_mies]]=1),ROUNDUP((5000-H816)/1000,0),0)</f>
        <v>0</v>
      </c>
      <c r="G817">
        <f t="shared" si="12"/>
        <v>2083</v>
      </c>
      <c r="H817">
        <f>cukier11[[#This Row],[stan_magazynu]]-cukier11[[#This Row],[sprzedany_cukier]]</f>
        <v>1893</v>
      </c>
      <c r="I817" s="9">
        <f>cukier11[[#This Row],[stan_po_sprzedazy]]+cukier11[[#This Row],[ile_dokupic]]*1000</f>
        <v>1893</v>
      </c>
    </row>
    <row r="818" spans="1:9" x14ac:dyDescent="0.25">
      <c r="A818" s="1">
        <v>39745</v>
      </c>
      <c r="B818" t="s">
        <v>14</v>
      </c>
      <c r="C818">
        <v>415</v>
      </c>
      <c r="D818">
        <f>MONTH(cukier11[[#This Row],[data]])</f>
        <v>10</v>
      </c>
      <c r="E818">
        <f>IF(D819&lt;&gt;cukier11[[#This Row],[miesiac]],1,0)</f>
        <v>0</v>
      </c>
      <c r="F818">
        <f>IF(AND(H817&lt;5000,cukier11[[#This Row],[czy_nastapiła_zmiana_mies]]=1),ROUNDUP((5000-H817)/1000,0),0)</f>
        <v>0</v>
      </c>
      <c r="G818">
        <f t="shared" si="12"/>
        <v>1893</v>
      </c>
      <c r="H818">
        <f>cukier11[[#This Row],[stan_magazynu]]-cukier11[[#This Row],[sprzedany_cukier]]</f>
        <v>1478</v>
      </c>
      <c r="I818" s="9">
        <f>cukier11[[#This Row],[stan_po_sprzedazy]]+cukier11[[#This Row],[ile_dokupic]]*1000</f>
        <v>1478</v>
      </c>
    </row>
    <row r="819" spans="1:9" x14ac:dyDescent="0.25">
      <c r="A819" s="1">
        <v>39747</v>
      </c>
      <c r="B819" t="s">
        <v>9</v>
      </c>
      <c r="C819">
        <v>269</v>
      </c>
      <c r="D819">
        <f>MONTH(cukier11[[#This Row],[data]])</f>
        <v>10</v>
      </c>
      <c r="E819">
        <f>IF(D820&lt;&gt;cukier11[[#This Row],[miesiac]],1,0)</f>
        <v>0</v>
      </c>
      <c r="F819">
        <f>IF(AND(H818&lt;5000,cukier11[[#This Row],[czy_nastapiła_zmiana_mies]]=1),ROUNDUP((5000-H818)/1000,0),0)</f>
        <v>0</v>
      </c>
      <c r="G819">
        <f t="shared" si="12"/>
        <v>1478</v>
      </c>
      <c r="H819">
        <f>cukier11[[#This Row],[stan_magazynu]]-cukier11[[#This Row],[sprzedany_cukier]]</f>
        <v>1209</v>
      </c>
      <c r="I819" s="9">
        <f>cukier11[[#This Row],[stan_po_sprzedazy]]+cukier11[[#This Row],[ile_dokupic]]*1000</f>
        <v>1209</v>
      </c>
    </row>
    <row r="820" spans="1:9" x14ac:dyDescent="0.25">
      <c r="A820" s="1">
        <v>39747</v>
      </c>
      <c r="B820" t="s">
        <v>140</v>
      </c>
      <c r="C820">
        <v>11</v>
      </c>
      <c r="D820">
        <f>MONTH(cukier11[[#This Row],[data]])</f>
        <v>10</v>
      </c>
      <c r="E820">
        <f>IF(D821&lt;&gt;cukier11[[#This Row],[miesiac]],1,0)</f>
        <v>0</v>
      </c>
      <c r="F820">
        <f>IF(AND(H819&lt;5000,cukier11[[#This Row],[czy_nastapiła_zmiana_mies]]=1),ROUNDUP((5000-H819)/1000,0),0)</f>
        <v>0</v>
      </c>
      <c r="G820">
        <f t="shared" si="12"/>
        <v>1209</v>
      </c>
      <c r="H820">
        <f>cukier11[[#This Row],[stan_magazynu]]-cukier11[[#This Row],[sprzedany_cukier]]</f>
        <v>1198</v>
      </c>
      <c r="I820" s="9">
        <f>cukier11[[#This Row],[stan_po_sprzedazy]]+cukier11[[#This Row],[ile_dokupic]]*1000</f>
        <v>1198</v>
      </c>
    </row>
    <row r="821" spans="1:9" x14ac:dyDescent="0.25">
      <c r="A821" s="1">
        <v>39747</v>
      </c>
      <c r="B821" t="s">
        <v>45</v>
      </c>
      <c r="C821">
        <v>162</v>
      </c>
      <c r="D821">
        <f>MONTH(cukier11[[#This Row],[data]])</f>
        <v>10</v>
      </c>
      <c r="E821">
        <f>IF(D822&lt;&gt;cukier11[[#This Row],[miesiac]],1,0)</f>
        <v>1</v>
      </c>
      <c r="F821">
        <f>IF(AND(H820&lt;5000,cukier11[[#This Row],[czy_nastapiła_zmiana_mies]]=1),ROUNDUP((5000-H820)/1000,0),0)</f>
        <v>4</v>
      </c>
      <c r="G821">
        <f t="shared" si="12"/>
        <v>1198</v>
      </c>
      <c r="H821">
        <f>cukier11[[#This Row],[stan_magazynu]]-cukier11[[#This Row],[sprzedany_cukier]]</f>
        <v>1036</v>
      </c>
      <c r="I821" s="9">
        <f>cukier11[[#This Row],[stan_po_sprzedazy]]+cukier11[[#This Row],[ile_dokupic]]*1000</f>
        <v>5036</v>
      </c>
    </row>
    <row r="822" spans="1:9" x14ac:dyDescent="0.25">
      <c r="A822" s="1">
        <v>39757</v>
      </c>
      <c r="B822" t="s">
        <v>18</v>
      </c>
      <c r="C822">
        <v>75</v>
      </c>
      <c r="D822">
        <f>MONTH(cukier11[[#This Row],[data]])</f>
        <v>11</v>
      </c>
      <c r="E822">
        <f>IF(D823&lt;&gt;cukier11[[#This Row],[miesiac]],1,0)</f>
        <v>0</v>
      </c>
      <c r="F822">
        <f>IF(AND(H821&lt;5000,cukier11[[#This Row],[czy_nastapiła_zmiana_mies]]=1),ROUNDUP((5000-H821)/1000,0),0)</f>
        <v>0</v>
      </c>
      <c r="G822">
        <f t="shared" si="12"/>
        <v>5036</v>
      </c>
      <c r="H822">
        <f>cukier11[[#This Row],[stan_magazynu]]-cukier11[[#This Row],[sprzedany_cukier]]</f>
        <v>4961</v>
      </c>
      <c r="I822" s="9">
        <f>cukier11[[#This Row],[stan_po_sprzedazy]]+cukier11[[#This Row],[ile_dokupic]]*1000</f>
        <v>4961</v>
      </c>
    </row>
    <row r="823" spans="1:9" x14ac:dyDescent="0.25">
      <c r="A823" s="1">
        <v>39759</v>
      </c>
      <c r="B823" t="s">
        <v>22</v>
      </c>
      <c r="C823">
        <v>358</v>
      </c>
      <c r="D823">
        <f>MONTH(cukier11[[#This Row],[data]])</f>
        <v>11</v>
      </c>
      <c r="E823">
        <f>IF(D824&lt;&gt;cukier11[[#This Row],[miesiac]],1,0)</f>
        <v>0</v>
      </c>
      <c r="F823">
        <f>IF(AND(H822&lt;5000,cukier11[[#This Row],[czy_nastapiła_zmiana_mies]]=1),ROUNDUP((5000-H822)/1000,0),0)</f>
        <v>0</v>
      </c>
      <c r="G823">
        <f t="shared" si="12"/>
        <v>4961</v>
      </c>
      <c r="H823">
        <f>cukier11[[#This Row],[stan_magazynu]]-cukier11[[#This Row],[sprzedany_cukier]]</f>
        <v>4603</v>
      </c>
      <c r="I823" s="9">
        <f>cukier11[[#This Row],[stan_po_sprzedazy]]+cukier11[[#This Row],[ile_dokupic]]*1000</f>
        <v>4603</v>
      </c>
    </row>
    <row r="824" spans="1:9" x14ac:dyDescent="0.25">
      <c r="A824" s="1">
        <v>39760</v>
      </c>
      <c r="B824" t="s">
        <v>8</v>
      </c>
      <c r="C824">
        <v>198</v>
      </c>
      <c r="D824">
        <f>MONTH(cukier11[[#This Row],[data]])</f>
        <v>11</v>
      </c>
      <c r="E824">
        <f>IF(D825&lt;&gt;cukier11[[#This Row],[miesiac]],1,0)</f>
        <v>0</v>
      </c>
      <c r="F824">
        <f>IF(AND(H823&lt;5000,cukier11[[#This Row],[czy_nastapiła_zmiana_mies]]=1),ROUNDUP((5000-H823)/1000,0),0)</f>
        <v>0</v>
      </c>
      <c r="G824">
        <f t="shared" si="12"/>
        <v>4603</v>
      </c>
      <c r="H824">
        <f>cukier11[[#This Row],[stan_magazynu]]-cukier11[[#This Row],[sprzedany_cukier]]</f>
        <v>4405</v>
      </c>
      <c r="I824" s="9">
        <f>cukier11[[#This Row],[stan_po_sprzedazy]]+cukier11[[#This Row],[ile_dokupic]]*1000</f>
        <v>4405</v>
      </c>
    </row>
    <row r="825" spans="1:9" x14ac:dyDescent="0.25">
      <c r="A825" s="1">
        <v>39763</v>
      </c>
      <c r="B825" t="s">
        <v>22</v>
      </c>
      <c r="C825">
        <v>189</v>
      </c>
      <c r="D825">
        <f>MONTH(cukier11[[#This Row],[data]])</f>
        <v>11</v>
      </c>
      <c r="E825">
        <f>IF(D826&lt;&gt;cukier11[[#This Row],[miesiac]],1,0)</f>
        <v>0</v>
      </c>
      <c r="F825">
        <f>IF(AND(H824&lt;5000,cukier11[[#This Row],[czy_nastapiła_zmiana_mies]]=1),ROUNDUP((5000-H824)/1000,0),0)</f>
        <v>0</v>
      </c>
      <c r="G825">
        <f t="shared" si="12"/>
        <v>4405</v>
      </c>
      <c r="H825">
        <f>cukier11[[#This Row],[stan_magazynu]]-cukier11[[#This Row],[sprzedany_cukier]]</f>
        <v>4216</v>
      </c>
      <c r="I825" s="9">
        <f>cukier11[[#This Row],[stan_po_sprzedazy]]+cukier11[[#This Row],[ile_dokupic]]*1000</f>
        <v>4216</v>
      </c>
    </row>
    <row r="826" spans="1:9" x14ac:dyDescent="0.25">
      <c r="A826" s="1">
        <v>39764</v>
      </c>
      <c r="B826" t="s">
        <v>24</v>
      </c>
      <c r="C826">
        <v>226</v>
      </c>
      <c r="D826">
        <f>MONTH(cukier11[[#This Row],[data]])</f>
        <v>11</v>
      </c>
      <c r="E826">
        <f>IF(D827&lt;&gt;cukier11[[#This Row],[miesiac]],1,0)</f>
        <v>0</v>
      </c>
      <c r="F826">
        <f>IF(AND(H825&lt;5000,cukier11[[#This Row],[czy_nastapiła_zmiana_mies]]=1),ROUNDUP((5000-H825)/1000,0),0)</f>
        <v>0</v>
      </c>
      <c r="G826">
        <f t="shared" si="12"/>
        <v>4216</v>
      </c>
      <c r="H826">
        <f>cukier11[[#This Row],[stan_magazynu]]-cukier11[[#This Row],[sprzedany_cukier]]</f>
        <v>3990</v>
      </c>
      <c r="I826" s="9">
        <f>cukier11[[#This Row],[stan_po_sprzedazy]]+cukier11[[#This Row],[ile_dokupic]]*1000</f>
        <v>3990</v>
      </c>
    </row>
    <row r="827" spans="1:9" x14ac:dyDescent="0.25">
      <c r="A827" s="1">
        <v>39765</v>
      </c>
      <c r="B827" t="s">
        <v>55</v>
      </c>
      <c r="C827">
        <v>94</v>
      </c>
      <c r="D827">
        <f>MONTH(cukier11[[#This Row],[data]])</f>
        <v>11</v>
      </c>
      <c r="E827">
        <f>IF(D828&lt;&gt;cukier11[[#This Row],[miesiac]],1,0)</f>
        <v>0</v>
      </c>
      <c r="F827">
        <f>IF(AND(H826&lt;5000,cukier11[[#This Row],[czy_nastapiła_zmiana_mies]]=1),ROUNDUP((5000-H826)/1000,0),0)</f>
        <v>0</v>
      </c>
      <c r="G827">
        <f t="shared" si="12"/>
        <v>3990</v>
      </c>
      <c r="H827">
        <f>cukier11[[#This Row],[stan_magazynu]]-cukier11[[#This Row],[sprzedany_cukier]]</f>
        <v>3896</v>
      </c>
      <c r="I827" s="9">
        <f>cukier11[[#This Row],[stan_po_sprzedazy]]+cukier11[[#This Row],[ile_dokupic]]*1000</f>
        <v>3896</v>
      </c>
    </row>
    <row r="828" spans="1:9" x14ac:dyDescent="0.25">
      <c r="A828" s="1">
        <v>39770</v>
      </c>
      <c r="B828" t="s">
        <v>50</v>
      </c>
      <c r="C828">
        <v>401</v>
      </c>
      <c r="D828">
        <f>MONTH(cukier11[[#This Row],[data]])</f>
        <v>11</v>
      </c>
      <c r="E828">
        <f>IF(D829&lt;&gt;cukier11[[#This Row],[miesiac]],1,0)</f>
        <v>0</v>
      </c>
      <c r="F828">
        <f>IF(AND(H827&lt;5000,cukier11[[#This Row],[czy_nastapiła_zmiana_mies]]=1),ROUNDUP((5000-H827)/1000,0),0)</f>
        <v>0</v>
      </c>
      <c r="G828">
        <f t="shared" si="12"/>
        <v>3896</v>
      </c>
      <c r="H828">
        <f>cukier11[[#This Row],[stan_magazynu]]-cukier11[[#This Row],[sprzedany_cukier]]</f>
        <v>3495</v>
      </c>
      <c r="I828" s="9">
        <f>cukier11[[#This Row],[stan_po_sprzedazy]]+cukier11[[#This Row],[ile_dokupic]]*1000</f>
        <v>3495</v>
      </c>
    </row>
    <row r="829" spans="1:9" x14ac:dyDescent="0.25">
      <c r="A829" s="1">
        <v>39771</v>
      </c>
      <c r="B829" t="s">
        <v>69</v>
      </c>
      <c r="C829">
        <v>52</v>
      </c>
      <c r="D829">
        <f>MONTH(cukier11[[#This Row],[data]])</f>
        <v>11</v>
      </c>
      <c r="E829">
        <f>IF(D830&lt;&gt;cukier11[[#This Row],[miesiac]],1,0)</f>
        <v>0</v>
      </c>
      <c r="F829">
        <f>IF(AND(H828&lt;5000,cukier11[[#This Row],[czy_nastapiła_zmiana_mies]]=1),ROUNDUP((5000-H828)/1000,0),0)</f>
        <v>0</v>
      </c>
      <c r="G829">
        <f t="shared" si="12"/>
        <v>3495</v>
      </c>
      <c r="H829">
        <f>cukier11[[#This Row],[stan_magazynu]]-cukier11[[#This Row],[sprzedany_cukier]]</f>
        <v>3443</v>
      </c>
      <c r="I829" s="9">
        <f>cukier11[[#This Row],[stan_po_sprzedazy]]+cukier11[[#This Row],[ile_dokupic]]*1000</f>
        <v>3443</v>
      </c>
    </row>
    <row r="830" spans="1:9" x14ac:dyDescent="0.25">
      <c r="A830" s="1">
        <v>39772</v>
      </c>
      <c r="B830" t="s">
        <v>12</v>
      </c>
      <c r="C830">
        <v>189</v>
      </c>
      <c r="D830">
        <f>MONTH(cukier11[[#This Row],[data]])</f>
        <v>11</v>
      </c>
      <c r="E830">
        <f>IF(D831&lt;&gt;cukier11[[#This Row],[miesiac]],1,0)</f>
        <v>0</v>
      </c>
      <c r="F830">
        <f>IF(AND(H829&lt;5000,cukier11[[#This Row],[czy_nastapiła_zmiana_mies]]=1),ROUNDUP((5000-H829)/1000,0),0)</f>
        <v>0</v>
      </c>
      <c r="G830">
        <f t="shared" si="12"/>
        <v>3443</v>
      </c>
      <c r="H830">
        <f>cukier11[[#This Row],[stan_magazynu]]-cukier11[[#This Row],[sprzedany_cukier]]</f>
        <v>3254</v>
      </c>
      <c r="I830" s="9">
        <f>cukier11[[#This Row],[stan_po_sprzedazy]]+cukier11[[#This Row],[ile_dokupic]]*1000</f>
        <v>3254</v>
      </c>
    </row>
    <row r="831" spans="1:9" x14ac:dyDescent="0.25">
      <c r="A831" s="1">
        <v>39774</v>
      </c>
      <c r="B831" t="s">
        <v>17</v>
      </c>
      <c r="C831">
        <v>201</v>
      </c>
      <c r="D831">
        <f>MONTH(cukier11[[#This Row],[data]])</f>
        <v>11</v>
      </c>
      <c r="E831">
        <f>IF(D832&lt;&gt;cukier11[[#This Row],[miesiac]],1,0)</f>
        <v>0</v>
      </c>
      <c r="F831">
        <f>IF(AND(H830&lt;5000,cukier11[[#This Row],[czy_nastapiła_zmiana_mies]]=1),ROUNDUP((5000-H830)/1000,0),0)</f>
        <v>0</v>
      </c>
      <c r="G831">
        <f t="shared" si="12"/>
        <v>3254</v>
      </c>
      <c r="H831">
        <f>cukier11[[#This Row],[stan_magazynu]]-cukier11[[#This Row],[sprzedany_cukier]]</f>
        <v>3053</v>
      </c>
      <c r="I831" s="9">
        <f>cukier11[[#This Row],[stan_po_sprzedazy]]+cukier11[[#This Row],[ile_dokupic]]*1000</f>
        <v>3053</v>
      </c>
    </row>
    <row r="832" spans="1:9" x14ac:dyDescent="0.25">
      <c r="A832" s="1">
        <v>39775</v>
      </c>
      <c r="B832" t="s">
        <v>22</v>
      </c>
      <c r="C832">
        <v>235</v>
      </c>
      <c r="D832">
        <f>MONTH(cukier11[[#This Row],[data]])</f>
        <v>11</v>
      </c>
      <c r="E832">
        <f>IF(D833&lt;&gt;cukier11[[#This Row],[miesiac]],1,0)</f>
        <v>0</v>
      </c>
      <c r="F832">
        <f>IF(AND(H831&lt;5000,cukier11[[#This Row],[czy_nastapiła_zmiana_mies]]=1),ROUNDUP((5000-H831)/1000,0),0)</f>
        <v>0</v>
      </c>
      <c r="G832">
        <f t="shared" si="12"/>
        <v>3053</v>
      </c>
      <c r="H832">
        <f>cukier11[[#This Row],[stan_magazynu]]-cukier11[[#This Row],[sprzedany_cukier]]</f>
        <v>2818</v>
      </c>
      <c r="I832" s="9">
        <f>cukier11[[#This Row],[stan_po_sprzedazy]]+cukier11[[#This Row],[ile_dokupic]]*1000</f>
        <v>2818</v>
      </c>
    </row>
    <row r="833" spans="1:9" x14ac:dyDescent="0.25">
      <c r="A833" s="1">
        <v>39776</v>
      </c>
      <c r="B833" t="s">
        <v>55</v>
      </c>
      <c r="C833">
        <v>78</v>
      </c>
      <c r="D833">
        <f>MONTH(cukier11[[#This Row],[data]])</f>
        <v>11</v>
      </c>
      <c r="E833">
        <f>IF(D834&lt;&gt;cukier11[[#This Row],[miesiac]],1,0)</f>
        <v>0</v>
      </c>
      <c r="F833">
        <f>IF(AND(H832&lt;5000,cukier11[[#This Row],[czy_nastapiła_zmiana_mies]]=1),ROUNDUP((5000-H832)/1000,0),0)</f>
        <v>0</v>
      </c>
      <c r="G833">
        <f t="shared" si="12"/>
        <v>2818</v>
      </c>
      <c r="H833">
        <f>cukier11[[#This Row],[stan_magazynu]]-cukier11[[#This Row],[sprzedany_cukier]]</f>
        <v>2740</v>
      </c>
      <c r="I833" s="9">
        <f>cukier11[[#This Row],[stan_po_sprzedazy]]+cukier11[[#This Row],[ile_dokupic]]*1000</f>
        <v>2740</v>
      </c>
    </row>
    <row r="834" spans="1:9" x14ac:dyDescent="0.25">
      <c r="A834" s="1">
        <v>39776</v>
      </c>
      <c r="B834" t="s">
        <v>126</v>
      </c>
      <c r="C834">
        <v>13</v>
      </c>
      <c r="D834">
        <f>MONTH(cukier11[[#This Row],[data]])</f>
        <v>11</v>
      </c>
      <c r="E834">
        <f>IF(D835&lt;&gt;cukier11[[#This Row],[miesiac]],1,0)</f>
        <v>0</v>
      </c>
      <c r="F834">
        <f>IF(AND(H833&lt;5000,cukier11[[#This Row],[czy_nastapiła_zmiana_mies]]=1),ROUNDUP((5000-H833)/1000,0),0)</f>
        <v>0</v>
      </c>
      <c r="G834">
        <f t="shared" si="12"/>
        <v>2740</v>
      </c>
      <c r="H834">
        <f>cukier11[[#This Row],[stan_magazynu]]-cukier11[[#This Row],[sprzedany_cukier]]</f>
        <v>2727</v>
      </c>
      <c r="I834" s="9">
        <f>cukier11[[#This Row],[stan_po_sprzedazy]]+cukier11[[#This Row],[ile_dokupic]]*1000</f>
        <v>2727</v>
      </c>
    </row>
    <row r="835" spans="1:9" x14ac:dyDescent="0.25">
      <c r="A835" s="1">
        <v>39776</v>
      </c>
      <c r="B835" t="s">
        <v>20</v>
      </c>
      <c r="C835">
        <v>196</v>
      </c>
      <c r="D835">
        <f>MONTH(cukier11[[#This Row],[data]])</f>
        <v>11</v>
      </c>
      <c r="E835">
        <f>IF(D836&lt;&gt;cukier11[[#This Row],[miesiac]],1,0)</f>
        <v>0</v>
      </c>
      <c r="F835">
        <f>IF(AND(H834&lt;5000,cukier11[[#This Row],[czy_nastapiła_zmiana_mies]]=1),ROUNDUP((5000-H834)/1000,0),0)</f>
        <v>0</v>
      </c>
      <c r="G835">
        <f t="shared" si="12"/>
        <v>2727</v>
      </c>
      <c r="H835">
        <f>cukier11[[#This Row],[stan_magazynu]]-cukier11[[#This Row],[sprzedany_cukier]]</f>
        <v>2531</v>
      </c>
      <c r="I835" s="9">
        <f>cukier11[[#This Row],[stan_po_sprzedazy]]+cukier11[[#This Row],[ile_dokupic]]*1000</f>
        <v>2531</v>
      </c>
    </row>
    <row r="836" spans="1:9" x14ac:dyDescent="0.25">
      <c r="A836" s="1">
        <v>39780</v>
      </c>
      <c r="B836" t="s">
        <v>70</v>
      </c>
      <c r="C836">
        <v>11</v>
      </c>
      <c r="D836">
        <f>MONTH(cukier11[[#This Row],[data]])</f>
        <v>11</v>
      </c>
      <c r="E836">
        <f>IF(D837&lt;&gt;cukier11[[#This Row],[miesiac]],1,0)</f>
        <v>0</v>
      </c>
      <c r="F836">
        <f>IF(AND(H835&lt;5000,cukier11[[#This Row],[czy_nastapiła_zmiana_mies]]=1),ROUNDUP((5000-H835)/1000,0),0)</f>
        <v>0</v>
      </c>
      <c r="G836">
        <f t="shared" ref="G836:G899" si="13">I835</f>
        <v>2531</v>
      </c>
      <c r="H836">
        <f>cukier11[[#This Row],[stan_magazynu]]-cukier11[[#This Row],[sprzedany_cukier]]</f>
        <v>2520</v>
      </c>
      <c r="I836" s="9">
        <f>cukier11[[#This Row],[stan_po_sprzedazy]]+cukier11[[#This Row],[ile_dokupic]]*1000</f>
        <v>2520</v>
      </c>
    </row>
    <row r="837" spans="1:9" x14ac:dyDescent="0.25">
      <c r="A837" s="1">
        <v>39780</v>
      </c>
      <c r="B837" t="s">
        <v>176</v>
      </c>
      <c r="C837">
        <v>17</v>
      </c>
      <c r="D837">
        <f>MONTH(cukier11[[#This Row],[data]])</f>
        <v>11</v>
      </c>
      <c r="E837">
        <f>IF(D838&lt;&gt;cukier11[[#This Row],[miesiac]],1,0)</f>
        <v>0</v>
      </c>
      <c r="F837">
        <f>IF(AND(H836&lt;5000,cukier11[[#This Row],[czy_nastapiła_zmiana_mies]]=1),ROUNDUP((5000-H836)/1000,0),0)</f>
        <v>0</v>
      </c>
      <c r="G837">
        <f t="shared" si="13"/>
        <v>2520</v>
      </c>
      <c r="H837">
        <f>cukier11[[#This Row],[stan_magazynu]]-cukier11[[#This Row],[sprzedany_cukier]]</f>
        <v>2503</v>
      </c>
      <c r="I837" s="9">
        <f>cukier11[[#This Row],[stan_po_sprzedazy]]+cukier11[[#This Row],[ile_dokupic]]*1000</f>
        <v>2503</v>
      </c>
    </row>
    <row r="838" spans="1:9" x14ac:dyDescent="0.25">
      <c r="A838" s="1">
        <v>39781</v>
      </c>
      <c r="B838" t="s">
        <v>47</v>
      </c>
      <c r="C838">
        <v>4</v>
      </c>
      <c r="D838">
        <f>MONTH(cukier11[[#This Row],[data]])</f>
        <v>11</v>
      </c>
      <c r="E838">
        <f>IF(D839&lt;&gt;cukier11[[#This Row],[miesiac]],1,0)</f>
        <v>1</v>
      </c>
      <c r="F838">
        <f>IF(AND(H837&lt;5000,cukier11[[#This Row],[czy_nastapiła_zmiana_mies]]=1),ROUNDUP((5000-H837)/1000,0),0)</f>
        <v>3</v>
      </c>
      <c r="G838">
        <f t="shared" si="13"/>
        <v>2503</v>
      </c>
      <c r="H838">
        <f>cukier11[[#This Row],[stan_magazynu]]-cukier11[[#This Row],[sprzedany_cukier]]</f>
        <v>2499</v>
      </c>
      <c r="I838" s="9">
        <f>cukier11[[#This Row],[stan_po_sprzedazy]]+cukier11[[#This Row],[ile_dokupic]]*1000</f>
        <v>5499</v>
      </c>
    </row>
    <row r="839" spans="1:9" x14ac:dyDescent="0.25">
      <c r="A839" s="1">
        <v>39785</v>
      </c>
      <c r="B839" t="s">
        <v>54</v>
      </c>
      <c r="C839">
        <v>17</v>
      </c>
      <c r="D839">
        <f>MONTH(cukier11[[#This Row],[data]])</f>
        <v>12</v>
      </c>
      <c r="E839">
        <f>IF(D840&lt;&gt;cukier11[[#This Row],[miesiac]],1,0)</f>
        <v>0</v>
      </c>
      <c r="F839">
        <f>IF(AND(H838&lt;5000,cukier11[[#This Row],[czy_nastapiła_zmiana_mies]]=1),ROUNDUP((5000-H838)/1000,0),0)</f>
        <v>0</v>
      </c>
      <c r="G839">
        <f t="shared" si="13"/>
        <v>5499</v>
      </c>
      <c r="H839">
        <f>cukier11[[#This Row],[stan_magazynu]]-cukier11[[#This Row],[sprzedany_cukier]]</f>
        <v>5482</v>
      </c>
      <c r="I839" s="9">
        <f>cukier11[[#This Row],[stan_po_sprzedazy]]+cukier11[[#This Row],[ile_dokupic]]*1000</f>
        <v>5482</v>
      </c>
    </row>
    <row r="840" spans="1:9" x14ac:dyDescent="0.25">
      <c r="A840" s="1">
        <v>39785</v>
      </c>
      <c r="B840" t="s">
        <v>177</v>
      </c>
      <c r="C840">
        <v>1</v>
      </c>
      <c r="D840">
        <f>MONTH(cukier11[[#This Row],[data]])</f>
        <v>12</v>
      </c>
      <c r="E840">
        <f>IF(D841&lt;&gt;cukier11[[#This Row],[miesiac]],1,0)</f>
        <v>0</v>
      </c>
      <c r="F840">
        <f>IF(AND(H839&lt;5000,cukier11[[#This Row],[czy_nastapiła_zmiana_mies]]=1),ROUNDUP((5000-H839)/1000,0),0)</f>
        <v>0</v>
      </c>
      <c r="G840">
        <f t="shared" si="13"/>
        <v>5482</v>
      </c>
      <c r="H840">
        <f>cukier11[[#This Row],[stan_magazynu]]-cukier11[[#This Row],[sprzedany_cukier]]</f>
        <v>5481</v>
      </c>
      <c r="I840" s="9">
        <f>cukier11[[#This Row],[stan_po_sprzedazy]]+cukier11[[#This Row],[ile_dokupic]]*1000</f>
        <v>5481</v>
      </c>
    </row>
    <row r="841" spans="1:9" x14ac:dyDescent="0.25">
      <c r="A841" s="1">
        <v>39790</v>
      </c>
      <c r="B841" t="s">
        <v>13</v>
      </c>
      <c r="C841">
        <v>6</v>
      </c>
      <c r="D841">
        <f>MONTH(cukier11[[#This Row],[data]])</f>
        <v>12</v>
      </c>
      <c r="E841">
        <f>IF(D842&lt;&gt;cukier11[[#This Row],[miesiac]],1,0)</f>
        <v>0</v>
      </c>
      <c r="F841">
        <f>IF(AND(H840&lt;5000,cukier11[[#This Row],[czy_nastapiła_zmiana_mies]]=1),ROUNDUP((5000-H840)/1000,0),0)</f>
        <v>0</v>
      </c>
      <c r="G841">
        <f t="shared" si="13"/>
        <v>5481</v>
      </c>
      <c r="H841">
        <f>cukier11[[#This Row],[stan_magazynu]]-cukier11[[#This Row],[sprzedany_cukier]]</f>
        <v>5475</v>
      </c>
      <c r="I841" s="9">
        <f>cukier11[[#This Row],[stan_po_sprzedazy]]+cukier11[[#This Row],[ile_dokupic]]*1000</f>
        <v>5475</v>
      </c>
    </row>
    <row r="842" spans="1:9" x14ac:dyDescent="0.25">
      <c r="A842" s="1">
        <v>39790</v>
      </c>
      <c r="B842" t="s">
        <v>7</v>
      </c>
      <c r="C842">
        <v>496</v>
      </c>
      <c r="D842">
        <f>MONTH(cukier11[[#This Row],[data]])</f>
        <v>12</v>
      </c>
      <c r="E842">
        <f>IF(D843&lt;&gt;cukier11[[#This Row],[miesiac]],1,0)</f>
        <v>0</v>
      </c>
      <c r="F842">
        <f>IF(AND(H841&lt;5000,cukier11[[#This Row],[czy_nastapiła_zmiana_mies]]=1),ROUNDUP((5000-H841)/1000,0),0)</f>
        <v>0</v>
      </c>
      <c r="G842">
        <f t="shared" si="13"/>
        <v>5475</v>
      </c>
      <c r="H842">
        <f>cukier11[[#This Row],[stan_magazynu]]-cukier11[[#This Row],[sprzedany_cukier]]</f>
        <v>4979</v>
      </c>
      <c r="I842" s="9">
        <f>cukier11[[#This Row],[stan_po_sprzedazy]]+cukier11[[#This Row],[ile_dokupic]]*1000</f>
        <v>4979</v>
      </c>
    </row>
    <row r="843" spans="1:9" x14ac:dyDescent="0.25">
      <c r="A843" s="1">
        <v>39794</v>
      </c>
      <c r="B843" t="s">
        <v>5</v>
      </c>
      <c r="C843">
        <v>363</v>
      </c>
      <c r="D843">
        <f>MONTH(cukier11[[#This Row],[data]])</f>
        <v>12</v>
      </c>
      <c r="E843">
        <f>IF(D844&lt;&gt;cukier11[[#This Row],[miesiac]],1,0)</f>
        <v>0</v>
      </c>
      <c r="F843">
        <f>IF(AND(H842&lt;5000,cukier11[[#This Row],[czy_nastapiła_zmiana_mies]]=1),ROUNDUP((5000-H842)/1000,0),0)</f>
        <v>0</v>
      </c>
      <c r="G843">
        <f t="shared" si="13"/>
        <v>4979</v>
      </c>
      <c r="H843">
        <f>cukier11[[#This Row],[stan_magazynu]]-cukier11[[#This Row],[sprzedany_cukier]]</f>
        <v>4616</v>
      </c>
      <c r="I843" s="9">
        <f>cukier11[[#This Row],[stan_po_sprzedazy]]+cukier11[[#This Row],[ile_dokupic]]*1000</f>
        <v>4616</v>
      </c>
    </row>
    <row r="844" spans="1:9" x14ac:dyDescent="0.25">
      <c r="A844" s="1">
        <v>39797</v>
      </c>
      <c r="B844" t="s">
        <v>5</v>
      </c>
      <c r="C844">
        <v>491</v>
      </c>
      <c r="D844">
        <f>MONTH(cukier11[[#This Row],[data]])</f>
        <v>12</v>
      </c>
      <c r="E844">
        <f>IF(D845&lt;&gt;cukier11[[#This Row],[miesiac]],1,0)</f>
        <v>0</v>
      </c>
      <c r="F844">
        <f>IF(AND(H843&lt;5000,cukier11[[#This Row],[czy_nastapiła_zmiana_mies]]=1),ROUNDUP((5000-H843)/1000,0),0)</f>
        <v>0</v>
      </c>
      <c r="G844">
        <f t="shared" si="13"/>
        <v>4616</v>
      </c>
      <c r="H844">
        <f>cukier11[[#This Row],[stan_magazynu]]-cukier11[[#This Row],[sprzedany_cukier]]</f>
        <v>4125</v>
      </c>
      <c r="I844" s="9">
        <f>cukier11[[#This Row],[stan_po_sprzedazy]]+cukier11[[#This Row],[ile_dokupic]]*1000</f>
        <v>4125</v>
      </c>
    </row>
    <row r="845" spans="1:9" x14ac:dyDescent="0.25">
      <c r="A845" s="1">
        <v>39797</v>
      </c>
      <c r="B845" t="s">
        <v>17</v>
      </c>
      <c r="C845">
        <v>369</v>
      </c>
      <c r="D845">
        <f>MONTH(cukier11[[#This Row],[data]])</f>
        <v>12</v>
      </c>
      <c r="E845">
        <f>IF(D846&lt;&gt;cukier11[[#This Row],[miesiac]],1,0)</f>
        <v>0</v>
      </c>
      <c r="F845">
        <f>IF(AND(H844&lt;5000,cukier11[[#This Row],[czy_nastapiła_zmiana_mies]]=1),ROUNDUP((5000-H844)/1000,0),0)</f>
        <v>0</v>
      </c>
      <c r="G845">
        <f t="shared" si="13"/>
        <v>4125</v>
      </c>
      <c r="H845">
        <f>cukier11[[#This Row],[stan_magazynu]]-cukier11[[#This Row],[sprzedany_cukier]]</f>
        <v>3756</v>
      </c>
      <c r="I845" s="9">
        <f>cukier11[[#This Row],[stan_po_sprzedazy]]+cukier11[[#This Row],[ile_dokupic]]*1000</f>
        <v>3756</v>
      </c>
    </row>
    <row r="846" spans="1:9" x14ac:dyDescent="0.25">
      <c r="A846" s="1">
        <v>39799</v>
      </c>
      <c r="B846" t="s">
        <v>66</v>
      </c>
      <c r="C846">
        <v>60</v>
      </c>
      <c r="D846">
        <f>MONTH(cukier11[[#This Row],[data]])</f>
        <v>12</v>
      </c>
      <c r="E846">
        <f>IF(D847&lt;&gt;cukier11[[#This Row],[miesiac]],1,0)</f>
        <v>0</v>
      </c>
      <c r="F846">
        <f>IF(AND(H845&lt;5000,cukier11[[#This Row],[czy_nastapiła_zmiana_mies]]=1),ROUNDUP((5000-H845)/1000,0),0)</f>
        <v>0</v>
      </c>
      <c r="G846">
        <f t="shared" si="13"/>
        <v>3756</v>
      </c>
      <c r="H846">
        <f>cukier11[[#This Row],[stan_magazynu]]-cukier11[[#This Row],[sprzedany_cukier]]</f>
        <v>3696</v>
      </c>
      <c r="I846" s="9">
        <f>cukier11[[#This Row],[stan_po_sprzedazy]]+cukier11[[#This Row],[ile_dokupic]]*1000</f>
        <v>3696</v>
      </c>
    </row>
    <row r="847" spans="1:9" x14ac:dyDescent="0.25">
      <c r="A847" s="1">
        <v>39800</v>
      </c>
      <c r="B847" t="s">
        <v>20</v>
      </c>
      <c r="C847">
        <v>35</v>
      </c>
      <c r="D847">
        <f>MONTH(cukier11[[#This Row],[data]])</f>
        <v>12</v>
      </c>
      <c r="E847">
        <f>IF(D848&lt;&gt;cukier11[[#This Row],[miesiac]],1,0)</f>
        <v>0</v>
      </c>
      <c r="F847">
        <f>IF(AND(H846&lt;5000,cukier11[[#This Row],[czy_nastapiła_zmiana_mies]]=1),ROUNDUP((5000-H846)/1000,0),0)</f>
        <v>0</v>
      </c>
      <c r="G847">
        <f t="shared" si="13"/>
        <v>3696</v>
      </c>
      <c r="H847">
        <f>cukier11[[#This Row],[stan_magazynu]]-cukier11[[#This Row],[sprzedany_cukier]]</f>
        <v>3661</v>
      </c>
      <c r="I847" s="9">
        <f>cukier11[[#This Row],[stan_po_sprzedazy]]+cukier11[[#This Row],[ile_dokupic]]*1000</f>
        <v>3661</v>
      </c>
    </row>
    <row r="848" spans="1:9" x14ac:dyDescent="0.25">
      <c r="A848" s="1">
        <v>39803</v>
      </c>
      <c r="B848" t="s">
        <v>7</v>
      </c>
      <c r="C848">
        <v>121</v>
      </c>
      <c r="D848">
        <f>MONTH(cukier11[[#This Row],[data]])</f>
        <v>12</v>
      </c>
      <c r="E848">
        <f>IF(D849&lt;&gt;cukier11[[#This Row],[miesiac]],1,0)</f>
        <v>0</v>
      </c>
      <c r="F848">
        <f>IF(AND(H847&lt;5000,cukier11[[#This Row],[czy_nastapiła_zmiana_mies]]=1),ROUNDUP((5000-H847)/1000,0),0)</f>
        <v>0</v>
      </c>
      <c r="G848">
        <f t="shared" si="13"/>
        <v>3661</v>
      </c>
      <c r="H848">
        <f>cukier11[[#This Row],[stan_magazynu]]-cukier11[[#This Row],[sprzedany_cukier]]</f>
        <v>3540</v>
      </c>
      <c r="I848" s="9">
        <f>cukier11[[#This Row],[stan_po_sprzedazy]]+cukier11[[#This Row],[ile_dokupic]]*1000</f>
        <v>3540</v>
      </c>
    </row>
    <row r="849" spans="1:9" x14ac:dyDescent="0.25">
      <c r="A849" s="1">
        <v>39803</v>
      </c>
      <c r="B849" t="s">
        <v>50</v>
      </c>
      <c r="C849">
        <v>442</v>
      </c>
      <c r="D849">
        <f>MONTH(cukier11[[#This Row],[data]])</f>
        <v>12</v>
      </c>
      <c r="E849">
        <f>IF(D850&lt;&gt;cukier11[[#This Row],[miesiac]],1,0)</f>
        <v>0</v>
      </c>
      <c r="F849">
        <f>IF(AND(H848&lt;5000,cukier11[[#This Row],[czy_nastapiła_zmiana_mies]]=1),ROUNDUP((5000-H848)/1000,0),0)</f>
        <v>0</v>
      </c>
      <c r="G849">
        <f t="shared" si="13"/>
        <v>3540</v>
      </c>
      <c r="H849">
        <f>cukier11[[#This Row],[stan_magazynu]]-cukier11[[#This Row],[sprzedany_cukier]]</f>
        <v>3098</v>
      </c>
      <c r="I849" s="9">
        <f>cukier11[[#This Row],[stan_po_sprzedazy]]+cukier11[[#This Row],[ile_dokupic]]*1000</f>
        <v>3098</v>
      </c>
    </row>
    <row r="850" spans="1:9" x14ac:dyDescent="0.25">
      <c r="A850" s="1">
        <v>39804</v>
      </c>
      <c r="B850" t="s">
        <v>7</v>
      </c>
      <c r="C850">
        <v>338</v>
      </c>
      <c r="D850">
        <f>MONTH(cukier11[[#This Row],[data]])</f>
        <v>12</v>
      </c>
      <c r="E850">
        <f>IF(D851&lt;&gt;cukier11[[#This Row],[miesiac]],1,0)</f>
        <v>0</v>
      </c>
      <c r="F850">
        <f>IF(AND(H849&lt;5000,cukier11[[#This Row],[czy_nastapiła_zmiana_mies]]=1),ROUNDUP((5000-H849)/1000,0),0)</f>
        <v>0</v>
      </c>
      <c r="G850">
        <f t="shared" si="13"/>
        <v>3098</v>
      </c>
      <c r="H850">
        <f>cukier11[[#This Row],[stan_magazynu]]-cukier11[[#This Row],[sprzedany_cukier]]</f>
        <v>2760</v>
      </c>
      <c r="I850" s="9">
        <f>cukier11[[#This Row],[stan_po_sprzedazy]]+cukier11[[#This Row],[ile_dokupic]]*1000</f>
        <v>2760</v>
      </c>
    </row>
    <row r="851" spans="1:9" x14ac:dyDescent="0.25">
      <c r="A851" s="1">
        <v>39805</v>
      </c>
      <c r="B851" t="s">
        <v>31</v>
      </c>
      <c r="C851">
        <v>94</v>
      </c>
      <c r="D851">
        <f>MONTH(cukier11[[#This Row],[data]])</f>
        <v>12</v>
      </c>
      <c r="E851">
        <f>IF(D852&lt;&gt;cukier11[[#This Row],[miesiac]],1,0)</f>
        <v>0</v>
      </c>
      <c r="F851">
        <f>IF(AND(H850&lt;5000,cukier11[[#This Row],[czy_nastapiła_zmiana_mies]]=1),ROUNDUP((5000-H850)/1000,0),0)</f>
        <v>0</v>
      </c>
      <c r="G851">
        <f t="shared" si="13"/>
        <v>2760</v>
      </c>
      <c r="H851">
        <f>cukier11[[#This Row],[stan_magazynu]]-cukier11[[#This Row],[sprzedany_cukier]]</f>
        <v>2666</v>
      </c>
      <c r="I851" s="9">
        <f>cukier11[[#This Row],[stan_po_sprzedazy]]+cukier11[[#This Row],[ile_dokupic]]*1000</f>
        <v>2666</v>
      </c>
    </row>
    <row r="852" spans="1:9" x14ac:dyDescent="0.25">
      <c r="A852" s="1">
        <v>39808</v>
      </c>
      <c r="B852" t="s">
        <v>1</v>
      </c>
      <c r="C852">
        <v>14</v>
      </c>
      <c r="D852">
        <f>MONTH(cukier11[[#This Row],[data]])</f>
        <v>12</v>
      </c>
      <c r="E852">
        <f>IF(D853&lt;&gt;cukier11[[#This Row],[miesiac]],1,0)</f>
        <v>0</v>
      </c>
      <c r="F852">
        <f>IF(AND(H851&lt;5000,cukier11[[#This Row],[czy_nastapiła_zmiana_mies]]=1),ROUNDUP((5000-H851)/1000,0),0)</f>
        <v>0</v>
      </c>
      <c r="G852">
        <f t="shared" si="13"/>
        <v>2666</v>
      </c>
      <c r="H852">
        <f>cukier11[[#This Row],[stan_magazynu]]-cukier11[[#This Row],[sprzedany_cukier]]</f>
        <v>2652</v>
      </c>
      <c r="I852" s="9">
        <f>cukier11[[#This Row],[stan_po_sprzedazy]]+cukier11[[#This Row],[ile_dokupic]]*1000</f>
        <v>2652</v>
      </c>
    </row>
    <row r="853" spans="1:9" x14ac:dyDescent="0.25">
      <c r="A853" s="1">
        <v>39809</v>
      </c>
      <c r="B853" t="s">
        <v>94</v>
      </c>
      <c r="C853">
        <v>2</v>
      </c>
      <c r="D853">
        <f>MONTH(cukier11[[#This Row],[data]])</f>
        <v>12</v>
      </c>
      <c r="E853">
        <f>IF(D854&lt;&gt;cukier11[[#This Row],[miesiac]],1,0)</f>
        <v>0</v>
      </c>
      <c r="F853">
        <f>IF(AND(H852&lt;5000,cukier11[[#This Row],[czy_nastapiła_zmiana_mies]]=1),ROUNDUP((5000-H852)/1000,0),0)</f>
        <v>0</v>
      </c>
      <c r="G853">
        <f t="shared" si="13"/>
        <v>2652</v>
      </c>
      <c r="H853">
        <f>cukier11[[#This Row],[stan_magazynu]]-cukier11[[#This Row],[sprzedany_cukier]]</f>
        <v>2650</v>
      </c>
      <c r="I853" s="9">
        <f>cukier11[[#This Row],[stan_po_sprzedazy]]+cukier11[[#This Row],[ile_dokupic]]*1000</f>
        <v>2650</v>
      </c>
    </row>
    <row r="854" spans="1:9" x14ac:dyDescent="0.25">
      <c r="A854" s="1">
        <v>39811</v>
      </c>
      <c r="B854" t="s">
        <v>14</v>
      </c>
      <c r="C854">
        <v>110</v>
      </c>
      <c r="D854">
        <f>MONTH(cukier11[[#This Row],[data]])</f>
        <v>12</v>
      </c>
      <c r="E854">
        <f>IF(D855&lt;&gt;cukier11[[#This Row],[miesiac]],1,0)</f>
        <v>0</v>
      </c>
      <c r="F854">
        <f>IF(AND(H853&lt;5000,cukier11[[#This Row],[czy_nastapiła_zmiana_mies]]=1),ROUNDUP((5000-H853)/1000,0),0)</f>
        <v>0</v>
      </c>
      <c r="G854">
        <f t="shared" si="13"/>
        <v>2650</v>
      </c>
      <c r="H854">
        <f>cukier11[[#This Row],[stan_magazynu]]-cukier11[[#This Row],[sprzedany_cukier]]</f>
        <v>2540</v>
      </c>
      <c r="I854" s="9">
        <f>cukier11[[#This Row],[stan_po_sprzedazy]]+cukier11[[#This Row],[ile_dokupic]]*1000</f>
        <v>2540</v>
      </c>
    </row>
    <row r="855" spans="1:9" x14ac:dyDescent="0.25">
      <c r="A855" s="1">
        <v>39812</v>
      </c>
      <c r="B855" t="s">
        <v>87</v>
      </c>
      <c r="C855">
        <v>18</v>
      </c>
      <c r="D855">
        <f>MONTH(cukier11[[#This Row],[data]])</f>
        <v>12</v>
      </c>
      <c r="E855">
        <f>IF(D856&lt;&gt;cukier11[[#This Row],[miesiac]],1,0)</f>
        <v>0</v>
      </c>
      <c r="F855">
        <f>IF(AND(H854&lt;5000,cukier11[[#This Row],[czy_nastapiła_zmiana_mies]]=1),ROUNDUP((5000-H854)/1000,0),0)</f>
        <v>0</v>
      </c>
      <c r="G855">
        <f t="shared" si="13"/>
        <v>2540</v>
      </c>
      <c r="H855">
        <f>cukier11[[#This Row],[stan_magazynu]]-cukier11[[#This Row],[sprzedany_cukier]]</f>
        <v>2522</v>
      </c>
      <c r="I855" s="9">
        <f>cukier11[[#This Row],[stan_po_sprzedazy]]+cukier11[[#This Row],[ile_dokupic]]*1000</f>
        <v>2522</v>
      </c>
    </row>
    <row r="856" spans="1:9" x14ac:dyDescent="0.25">
      <c r="A856" s="1">
        <v>39812</v>
      </c>
      <c r="B856" t="s">
        <v>147</v>
      </c>
      <c r="C856">
        <v>7</v>
      </c>
      <c r="D856">
        <f>MONTH(cukier11[[#This Row],[data]])</f>
        <v>12</v>
      </c>
      <c r="E856">
        <f>IF(D857&lt;&gt;cukier11[[#This Row],[miesiac]],1,0)</f>
        <v>1</v>
      </c>
      <c r="F856">
        <f>IF(AND(H855&lt;5000,cukier11[[#This Row],[czy_nastapiła_zmiana_mies]]=1),ROUNDUP((5000-H855)/1000,0),0)</f>
        <v>3</v>
      </c>
      <c r="G856">
        <f t="shared" si="13"/>
        <v>2522</v>
      </c>
      <c r="H856">
        <f>cukier11[[#This Row],[stan_magazynu]]-cukier11[[#This Row],[sprzedany_cukier]]</f>
        <v>2515</v>
      </c>
      <c r="I856" s="9">
        <f>cukier11[[#This Row],[stan_po_sprzedazy]]+cukier11[[#This Row],[ile_dokupic]]*1000</f>
        <v>5515</v>
      </c>
    </row>
    <row r="857" spans="1:9" x14ac:dyDescent="0.25">
      <c r="A857" s="1">
        <v>39814</v>
      </c>
      <c r="B857" t="s">
        <v>178</v>
      </c>
      <c r="C857">
        <v>2</v>
      </c>
      <c r="D857">
        <f>MONTH(cukier11[[#This Row],[data]])</f>
        <v>1</v>
      </c>
      <c r="E857">
        <f>IF(D858&lt;&gt;cukier11[[#This Row],[miesiac]],1,0)</f>
        <v>0</v>
      </c>
      <c r="F857">
        <f>IF(AND(H856&lt;5000,cukier11[[#This Row],[czy_nastapiła_zmiana_mies]]=1),ROUNDUP((5000-H856)/1000,0),0)</f>
        <v>0</v>
      </c>
      <c r="G857">
        <f t="shared" si="13"/>
        <v>5515</v>
      </c>
      <c r="H857">
        <f>cukier11[[#This Row],[stan_magazynu]]-cukier11[[#This Row],[sprzedany_cukier]]</f>
        <v>5513</v>
      </c>
      <c r="I857" s="9">
        <f>cukier11[[#This Row],[stan_po_sprzedazy]]+cukier11[[#This Row],[ile_dokupic]]*1000</f>
        <v>5513</v>
      </c>
    </row>
    <row r="858" spans="1:9" x14ac:dyDescent="0.25">
      <c r="A858" s="1">
        <v>39815</v>
      </c>
      <c r="B858" t="s">
        <v>37</v>
      </c>
      <c r="C858">
        <v>188</v>
      </c>
      <c r="D858">
        <f>MONTH(cukier11[[#This Row],[data]])</f>
        <v>1</v>
      </c>
      <c r="E858">
        <f>IF(D859&lt;&gt;cukier11[[#This Row],[miesiac]],1,0)</f>
        <v>0</v>
      </c>
      <c r="F858">
        <f>IF(AND(H857&lt;5000,cukier11[[#This Row],[czy_nastapiła_zmiana_mies]]=1),ROUNDUP((5000-H857)/1000,0),0)</f>
        <v>0</v>
      </c>
      <c r="G858">
        <f t="shared" si="13"/>
        <v>5513</v>
      </c>
      <c r="H858">
        <f>cukier11[[#This Row],[stan_magazynu]]-cukier11[[#This Row],[sprzedany_cukier]]</f>
        <v>5325</v>
      </c>
      <c r="I858" s="9">
        <f>cukier11[[#This Row],[stan_po_sprzedazy]]+cukier11[[#This Row],[ile_dokupic]]*1000</f>
        <v>5325</v>
      </c>
    </row>
    <row r="859" spans="1:9" x14ac:dyDescent="0.25">
      <c r="A859" s="1">
        <v>39819</v>
      </c>
      <c r="B859" t="s">
        <v>92</v>
      </c>
      <c r="C859">
        <v>11</v>
      </c>
      <c r="D859">
        <f>MONTH(cukier11[[#This Row],[data]])</f>
        <v>1</v>
      </c>
      <c r="E859">
        <f>IF(D860&lt;&gt;cukier11[[#This Row],[miesiac]],1,0)</f>
        <v>0</v>
      </c>
      <c r="F859">
        <f>IF(AND(H858&lt;5000,cukier11[[#This Row],[czy_nastapiła_zmiana_mies]]=1),ROUNDUP((5000-H858)/1000,0),0)</f>
        <v>0</v>
      </c>
      <c r="G859">
        <f t="shared" si="13"/>
        <v>5325</v>
      </c>
      <c r="H859">
        <f>cukier11[[#This Row],[stan_magazynu]]-cukier11[[#This Row],[sprzedany_cukier]]</f>
        <v>5314</v>
      </c>
      <c r="I859" s="9">
        <f>cukier11[[#This Row],[stan_po_sprzedazy]]+cukier11[[#This Row],[ile_dokupic]]*1000</f>
        <v>5314</v>
      </c>
    </row>
    <row r="860" spans="1:9" x14ac:dyDescent="0.25">
      <c r="A860" s="1">
        <v>39819</v>
      </c>
      <c r="B860" t="s">
        <v>14</v>
      </c>
      <c r="C860">
        <v>129</v>
      </c>
      <c r="D860">
        <f>MONTH(cukier11[[#This Row],[data]])</f>
        <v>1</v>
      </c>
      <c r="E860">
        <f>IF(D861&lt;&gt;cukier11[[#This Row],[miesiac]],1,0)</f>
        <v>0</v>
      </c>
      <c r="F860">
        <f>IF(AND(H859&lt;5000,cukier11[[#This Row],[czy_nastapiła_zmiana_mies]]=1),ROUNDUP((5000-H859)/1000,0),0)</f>
        <v>0</v>
      </c>
      <c r="G860">
        <f t="shared" si="13"/>
        <v>5314</v>
      </c>
      <c r="H860">
        <f>cukier11[[#This Row],[stan_magazynu]]-cukier11[[#This Row],[sprzedany_cukier]]</f>
        <v>5185</v>
      </c>
      <c r="I860" s="9">
        <f>cukier11[[#This Row],[stan_po_sprzedazy]]+cukier11[[#This Row],[ile_dokupic]]*1000</f>
        <v>5185</v>
      </c>
    </row>
    <row r="861" spans="1:9" x14ac:dyDescent="0.25">
      <c r="A861" s="1">
        <v>39819</v>
      </c>
      <c r="B861" t="s">
        <v>61</v>
      </c>
      <c r="C861">
        <v>117</v>
      </c>
      <c r="D861">
        <f>MONTH(cukier11[[#This Row],[data]])</f>
        <v>1</v>
      </c>
      <c r="E861">
        <f>IF(D862&lt;&gt;cukier11[[#This Row],[miesiac]],1,0)</f>
        <v>0</v>
      </c>
      <c r="F861">
        <f>IF(AND(H860&lt;5000,cukier11[[#This Row],[czy_nastapiła_zmiana_mies]]=1),ROUNDUP((5000-H860)/1000,0),0)</f>
        <v>0</v>
      </c>
      <c r="G861">
        <f t="shared" si="13"/>
        <v>5185</v>
      </c>
      <c r="H861">
        <f>cukier11[[#This Row],[stan_magazynu]]-cukier11[[#This Row],[sprzedany_cukier]]</f>
        <v>5068</v>
      </c>
      <c r="I861" s="9">
        <f>cukier11[[#This Row],[stan_po_sprzedazy]]+cukier11[[#This Row],[ile_dokupic]]*1000</f>
        <v>5068</v>
      </c>
    </row>
    <row r="862" spans="1:9" x14ac:dyDescent="0.25">
      <c r="A862" s="1">
        <v>39821</v>
      </c>
      <c r="B862" t="s">
        <v>82</v>
      </c>
      <c r="C862">
        <v>11</v>
      </c>
      <c r="D862">
        <f>MONTH(cukier11[[#This Row],[data]])</f>
        <v>1</v>
      </c>
      <c r="E862">
        <f>IF(D863&lt;&gt;cukier11[[#This Row],[miesiac]],1,0)</f>
        <v>0</v>
      </c>
      <c r="F862">
        <f>IF(AND(H861&lt;5000,cukier11[[#This Row],[czy_nastapiła_zmiana_mies]]=1),ROUNDUP((5000-H861)/1000,0),0)</f>
        <v>0</v>
      </c>
      <c r="G862">
        <f t="shared" si="13"/>
        <v>5068</v>
      </c>
      <c r="H862">
        <f>cukier11[[#This Row],[stan_magazynu]]-cukier11[[#This Row],[sprzedany_cukier]]</f>
        <v>5057</v>
      </c>
      <c r="I862" s="9">
        <f>cukier11[[#This Row],[stan_po_sprzedazy]]+cukier11[[#This Row],[ile_dokupic]]*1000</f>
        <v>5057</v>
      </c>
    </row>
    <row r="863" spans="1:9" x14ac:dyDescent="0.25">
      <c r="A863" s="1">
        <v>39823</v>
      </c>
      <c r="B863" t="s">
        <v>61</v>
      </c>
      <c r="C863">
        <v>186</v>
      </c>
      <c r="D863">
        <f>MONTH(cukier11[[#This Row],[data]])</f>
        <v>1</v>
      </c>
      <c r="E863">
        <f>IF(D864&lt;&gt;cukier11[[#This Row],[miesiac]],1,0)</f>
        <v>0</v>
      </c>
      <c r="F863">
        <f>IF(AND(H862&lt;5000,cukier11[[#This Row],[czy_nastapiła_zmiana_mies]]=1),ROUNDUP((5000-H862)/1000,0),0)</f>
        <v>0</v>
      </c>
      <c r="G863">
        <f t="shared" si="13"/>
        <v>5057</v>
      </c>
      <c r="H863">
        <f>cukier11[[#This Row],[stan_magazynu]]-cukier11[[#This Row],[sprzedany_cukier]]</f>
        <v>4871</v>
      </c>
      <c r="I863" s="9">
        <f>cukier11[[#This Row],[stan_po_sprzedazy]]+cukier11[[#This Row],[ile_dokupic]]*1000</f>
        <v>4871</v>
      </c>
    </row>
    <row r="864" spans="1:9" x14ac:dyDescent="0.25">
      <c r="A864" s="1">
        <v>39824</v>
      </c>
      <c r="B864" t="s">
        <v>18</v>
      </c>
      <c r="C864">
        <v>40</v>
      </c>
      <c r="D864">
        <f>MONTH(cukier11[[#This Row],[data]])</f>
        <v>1</v>
      </c>
      <c r="E864">
        <f>IF(D865&lt;&gt;cukier11[[#This Row],[miesiac]],1,0)</f>
        <v>0</v>
      </c>
      <c r="F864">
        <f>IF(AND(H863&lt;5000,cukier11[[#This Row],[czy_nastapiła_zmiana_mies]]=1),ROUNDUP((5000-H863)/1000,0),0)</f>
        <v>0</v>
      </c>
      <c r="G864">
        <f t="shared" si="13"/>
        <v>4871</v>
      </c>
      <c r="H864">
        <f>cukier11[[#This Row],[stan_magazynu]]-cukier11[[#This Row],[sprzedany_cukier]]</f>
        <v>4831</v>
      </c>
      <c r="I864" s="9">
        <f>cukier11[[#This Row],[stan_po_sprzedazy]]+cukier11[[#This Row],[ile_dokupic]]*1000</f>
        <v>4831</v>
      </c>
    </row>
    <row r="865" spans="1:9" x14ac:dyDescent="0.25">
      <c r="A865" s="1">
        <v>39829</v>
      </c>
      <c r="B865" t="s">
        <v>47</v>
      </c>
      <c r="C865">
        <v>6</v>
      </c>
      <c r="D865">
        <f>MONTH(cukier11[[#This Row],[data]])</f>
        <v>1</v>
      </c>
      <c r="E865">
        <f>IF(D866&lt;&gt;cukier11[[#This Row],[miesiac]],1,0)</f>
        <v>0</v>
      </c>
      <c r="F865">
        <f>IF(AND(H864&lt;5000,cukier11[[#This Row],[czy_nastapiła_zmiana_mies]]=1),ROUNDUP((5000-H864)/1000,0),0)</f>
        <v>0</v>
      </c>
      <c r="G865">
        <f t="shared" si="13"/>
        <v>4831</v>
      </c>
      <c r="H865">
        <f>cukier11[[#This Row],[stan_magazynu]]-cukier11[[#This Row],[sprzedany_cukier]]</f>
        <v>4825</v>
      </c>
      <c r="I865" s="9">
        <f>cukier11[[#This Row],[stan_po_sprzedazy]]+cukier11[[#This Row],[ile_dokupic]]*1000</f>
        <v>4825</v>
      </c>
    </row>
    <row r="866" spans="1:9" x14ac:dyDescent="0.25">
      <c r="A866" s="1">
        <v>39831</v>
      </c>
      <c r="B866" t="s">
        <v>55</v>
      </c>
      <c r="C866">
        <v>153</v>
      </c>
      <c r="D866">
        <f>MONTH(cukier11[[#This Row],[data]])</f>
        <v>1</v>
      </c>
      <c r="E866">
        <f>IF(D867&lt;&gt;cukier11[[#This Row],[miesiac]],1,0)</f>
        <v>0</v>
      </c>
      <c r="F866">
        <f>IF(AND(H865&lt;5000,cukier11[[#This Row],[czy_nastapiła_zmiana_mies]]=1),ROUNDUP((5000-H865)/1000,0),0)</f>
        <v>0</v>
      </c>
      <c r="G866">
        <f t="shared" si="13"/>
        <v>4825</v>
      </c>
      <c r="H866">
        <f>cukier11[[#This Row],[stan_magazynu]]-cukier11[[#This Row],[sprzedany_cukier]]</f>
        <v>4672</v>
      </c>
      <c r="I866" s="9">
        <f>cukier11[[#This Row],[stan_po_sprzedazy]]+cukier11[[#This Row],[ile_dokupic]]*1000</f>
        <v>4672</v>
      </c>
    </row>
    <row r="867" spans="1:9" x14ac:dyDescent="0.25">
      <c r="A867" s="1">
        <v>39832</v>
      </c>
      <c r="B867" t="s">
        <v>45</v>
      </c>
      <c r="C867">
        <v>163</v>
      </c>
      <c r="D867">
        <f>MONTH(cukier11[[#This Row],[data]])</f>
        <v>1</v>
      </c>
      <c r="E867">
        <f>IF(D868&lt;&gt;cukier11[[#This Row],[miesiac]],1,0)</f>
        <v>0</v>
      </c>
      <c r="F867">
        <f>IF(AND(H866&lt;5000,cukier11[[#This Row],[czy_nastapiła_zmiana_mies]]=1),ROUNDUP((5000-H866)/1000,0),0)</f>
        <v>0</v>
      </c>
      <c r="G867">
        <f t="shared" si="13"/>
        <v>4672</v>
      </c>
      <c r="H867">
        <f>cukier11[[#This Row],[stan_magazynu]]-cukier11[[#This Row],[sprzedany_cukier]]</f>
        <v>4509</v>
      </c>
      <c r="I867" s="9">
        <f>cukier11[[#This Row],[stan_po_sprzedazy]]+cukier11[[#This Row],[ile_dokupic]]*1000</f>
        <v>4509</v>
      </c>
    </row>
    <row r="868" spans="1:9" x14ac:dyDescent="0.25">
      <c r="A868" s="1">
        <v>39834</v>
      </c>
      <c r="B868" t="s">
        <v>179</v>
      </c>
      <c r="C868">
        <v>16</v>
      </c>
      <c r="D868">
        <f>MONTH(cukier11[[#This Row],[data]])</f>
        <v>1</v>
      </c>
      <c r="E868">
        <f>IF(D869&lt;&gt;cukier11[[#This Row],[miesiac]],1,0)</f>
        <v>0</v>
      </c>
      <c r="F868">
        <f>IF(AND(H867&lt;5000,cukier11[[#This Row],[czy_nastapiła_zmiana_mies]]=1),ROUNDUP((5000-H867)/1000,0),0)</f>
        <v>0</v>
      </c>
      <c r="G868">
        <f t="shared" si="13"/>
        <v>4509</v>
      </c>
      <c r="H868">
        <f>cukier11[[#This Row],[stan_magazynu]]-cukier11[[#This Row],[sprzedany_cukier]]</f>
        <v>4493</v>
      </c>
      <c r="I868" s="9">
        <f>cukier11[[#This Row],[stan_po_sprzedazy]]+cukier11[[#This Row],[ile_dokupic]]*1000</f>
        <v>4493</v>
      </c>
    </row>
    <row r="869" spans="1:9" x14ac:dyDescent="0.25">
      <c r="A869" s="1">
        <v>39835</v>
      </c>
      <c r="B869" t="s">
        <v>25</v>
      </c>
      <c r="C869">
        <v>161</v>
      </c>
      <c r="D869">
        <f>MONTH(cukier11[[#This Row],[data]])</f>
        <v>1</v>
      </c>
      <c r="E869">
        <f>IF(D870&lt;&gt;cukier11[[#This Row],[miesiac]],1,0)</f>
        <v>0</v>
      </c>
      <c r="F869">
        <f>IF(AND(H868&lt;5000,cukier11[[#This Row],[czy_nastapiła_zmiana_mies]]=1),ROUNDUP((5000-H868)/1000,0),0)</f>
        <v>0</v>
      </c>
      <c r="G869">
        <f t="shared" si="13"/>
        <v>4493</v>
      </c>
      <c r="H869">
        <f>cukier11[[#This Row],[stan_magazynu]]-cukier11[[#This Row],[sprzedany_cukier]]</f>
        <v>4332</v>
      </c>
      <c r="I869" s="9">
        <f>cukier11[[#This Row],[stan_po_sprzedazy]]+cukier11[[#This Row],[ile_dokupic]]*1000</f>
        <v>4332</v>
      </c>
    </row>
    <row r="870" spans="1:9" x14ac:dyDescent="0.25">
      <c r="A870" s="1">
        <v>39836</v>
      </c>
      <c r="B870" t="s">
        <v>180</v>
      </c>
      <c r="C870">
        <v>5</v>
      </c>
      <c r="D870">
        <f>MONTH(cukier11[[#This Row],[data]])</f>
        <v>1</v>
      </c>
      <c r="E870">
        <f>IF(D871&lt;&gt;cukier11[[#This Row],[miesiac]],1,0)</f>
        <v>0</v>
      </c>
      <c r="F870">
        <f>IF(AND(H869&lt;5000,cukier11[[#This Row],[czy_nastapiła_zmiana_mies]]=1),ROUNDUP((5000-H869)/1000,0),0)</f>
        <v>0</v>
      </c>
      <c r="G870">
        <f t="shared" si="13"/>
        <v>4332</v>
      </c>
      <c r="H870">
        <f>cukier11[[#This Row],[stan_magazynu]]-cukier11[[#This Row],[sprzedany_cukier]]</f>
        <v>4327</v>
      </c>
      <c r="I870" s="9">
        <f>cukier11[[#This Row],[stan_po_sprzedazy]]+cukier11[[#This Row],[ile_dokupic]]*1000</f>
        <v>4327</v>
      </c>
    </row>
    <row r="871" spans="1:9" x14ac:dyDescent="0.25">
      <c r="A871" s="1">
        <v>39839</v>
      </c>
      <c r="B871" t="s">
        <v>30</v>
      </c>
      <c r="C871">
        <v>200</v>
      </c>
      <c r="D871">
        <f>MONTH(cukier11[[#This Row],[data]])</f>
        <v>1</v>
      </c>
      <c r="E871">
        <f>IF(D872&lt;&gt;cukier11[[#This Row],[miesiac]],1,0)</f>
        <v>0</v>
      </c>
      <c r="F871">
        <f>IF(AND(H870&lt;5000,cukier11[[#This Row],[czy_nastapiła_zmiana_mies]]=1),ROUNDUP((5000-H870)/1000,0),0)</f>
        <v>0</v>
      </c>
      <c r="G871">
        <f t="shared" si="13"/>
        <v>4327</v>
      </c>
      <c r="H871">
        <f>cukier11[[#This Row],[stan_magazynu]]-cukier11[[#This Row],[sprzedany_cukier]]</f>
        <v>4127</v>
      </c>
      <c r="I871" s="9">
        <f>cukier11[[#This Row],[stan_po_sprzedazy]]+cukier11[[#This Row],[ile_dokupic]]*1000</f>
        <v>4127</v>
      </c>
    </row>
    <row r="872" spans="1:9" x14ac:dyDescent="0.25">
      <c r="A872" s="1">
        <v>39843</v>
      </c>
      <c r="B872" t="s">
        <v>181</v>
      </c>
      <c r="C872">
        <v>11</v>
      </c>
      <c r="D872">
        <f>MONTH(cukier11[[#This Row],[data]])</f>
        <v>1</v>
      </c>
      <c r="E872">
        <f>IF(D873&lt;&gt;cukier11[[#This Row],[miesiac]],1,0)</f>
        <v>1</v>
      </c>
      <c r="F872">
        <f>IF(AND(H871&lt;5000,cukier11[[#This Row],[czy_nastapiła_zmiana_mies]]=1),ROUNDUP((5000-H871)/1000,0),0)</f>
        <v>1</v>
      </c>
      <c r="G872">
        <f t="shared" si="13"/>
        <v>4127</v>
      </c>
      <c r="H872">
        <f>cukier11[[#This Row],[stan_magazynu]]-cukier11[[#This Row],[sprzedany_cukier]]</f>
        <v>4116</v>
      </c>
      <c r="I872" s="9">
        <f>cukier11[[#This Row],[stan_po_sprzedazy]]+cukier11[[#This Row],[ile_dokupic]]*1000</f>
        <v>5116</v>
      </c>
    </row>
    <row r="873" spans="1:9" x14ac:dyDescent="0.25">
      <c r="A873" s="1">
        <v>39847</v>
      </c>
      <c r="B873" t="s">
        <v>96</v>
      </c>
      <c r="C873">
        <v>14</v>
      </c>
      <c r="D873">
        <f>MONTH(cukier11[[#This Row],[data]])</f>
        <v>2</v>
      </c>
      <c r="E873">
        <f>IF(D874&lt;&gt;cukier11[[#This Row],[miesiac]],1,0)</f>
        <v>0</v>
      </c>
      <c r="F873">
        <f>IF(AND(H872&lt;5000,cukier11[[#This Row],[czy_nastapiła_zmiana_mies]]=1),ROUNDUP((5000-H872)/1000,0),0)</f>
        <v>0</v>
      </c>
      <c r="G873">
        <f t="shared" si="13"/>
        <v>5116</v>
      </c>
      <c r="H873">
        <f>cukier11[[#This Row],[stan_magazynu]]-cukier11[[#This Row],[sprzedany_cukier]]</f>
        <v>5102</v>
      </c>
      <c r="I873" s="9">
        <f>cukier11[[#This Row],[stan_po_sprzedazy]]+cukier11[[#This Row],[ile_dokupic]]*1000</f>
        <v>5102</v>
      </c>
    </row>
    <row r="874" spans="1:9" x14ac:dyDescent="0.25">
      <c r="A874" s="1">
        <v>39849</v>
      </c>
      <c r="B874" t="s">
        <v>7</v>
      </c>
      <c r="C874">
        <v>469</v>
      </c>
      <c r="D874">
        <f>MONTH(cukier11[[#This Row],[data]])</f>
        <v>2</v>
      </c>
      <c r="E874">
        <f>IF(D875&lt;&gt;cukier11[[#This Row],[miesiac]],1,0)</f>
        <v>0</v>
      </c>
      <c r="F874">
        <f>IF(AND(H873&lt;5000,cukier11[[#This Row],[czy_nastapiła_zmiana_mies]]=1),ROUNDUP((5000-H873)/1000,0),0)</f>
        <v>0</v>
      </c>
      <c r="G874">
        <f t="shared" si="13"/>
        <v>5102</v>
      </c>
      <c r="H874">
        <f>cukier11[[#This Row],[stan_magazynu]]-cukier11[[#This Row],[sprzedany_cukier]]</f>
        <v>4633</v>
      </c>
      <c r="I874" s="9">
        <f>cukier11[[#This Row],[stan_po_sprzedazy]]+cukier11[[#This Row],[ile_dokupic]]*1000</f>
        <v>4633</v>
      </c>
    </row>
    <row r="875" spans="1:9" x14ac:dyDescent="0.25">
      <c r="A875" s="1">
        <v>39853</v>
      </c>
      <c r="B875" t="s">
        <v>166</v>
      </c>
      <c r="C875">
        <v>11</v>
      </c>
      <c r="D875">
        <f>MONTH(cukier11[[#This Row],[data]])</f>
        <v>2</v>
      </c>
      <c r="E875">
        <f>IF(D876&lt;&gt;cukier11[[#This Row],[miesiac]],1,0)</f>
        <v>0</v>
      </c>
      <c r="F875">
        <f>IF(AND(H874&lt;5000,cukier11[[#This Row],[czy_nastapiła_zmiana_mies]]=1),ROUNDUP((5000-H874)/1000,0),0)</f>
        <v>0</v>
      </c>
      <c r="G875">
        <f t="shared" si="13"/>
        <v>4633</v>
      </c>
      <c r="H875">
        <f>cukier11[[#This Row],[stan_magazynu]]-cukier11[[#This Row],[sprzedany_cukier]]</f>
        <v>4622</v>
      </c>
      <c r="I875" s="9">
        <f>cukier11[[#This Row],[stan_po_sprzedazy]]+cukier11[[#This Row],[ile_dokupic]]*1000</f>
        <v>4622</v>
      </c>
    </row>
    <row r="876" spans="1:9" x14ac:dyDescent="0.25">
      <c r="A876" s="1">
        <v>39853</v>
      </c>
      <c r="B876" t="s">
        <v>14</v>
      </c>
      <c r="C876">
        <v>423</v>
      </c>
      <c r="D876">
        <f>MONTH(cukier11[[#This Row],[data]])</f>
        <v>2</v>
      </c>
      <c r="E876">
        <f>IF(D877&lt;&gt;cukier11[[#This Row],[miesiac]],1,0)</f>
        <v>0</v>
      </c>
      <c r="F876">
        <f>IF(AND(H875&lt;5000,cukier11[[#This Row],[czy_nastapiła_zmiana_mies]]=1),ROUNDUP((5000-H875)/1000,0),0)</f>
        <v>0</v>
      </c>
      <c r="G876">
        <f t="shared" si="13"/>
        <v>4622</v>
      </c>
      <c r="H876">
        <f>cukier11[[#This Row],[stan_magazynu]]-cukier11[[#This Row],[sprzedany_cukier]]</f>
        <v>4199</v>
      </c>
      <c r="I876" s="9">
        <f>cukier11[[#This Row],[stan_po_sprzedazy]]+cukier11[[#This Row],[ile_dokupic]]*1000</f>
        <v>4199</v>
      </c>
    </row>
    <row r="877" spans="1:9" x14ac:dyDescent="0.25">
      <c r="A877" s="1">
        <v>39853</v>
      </c>
      <c r="B877" t="s">
        <v>172</v>
      </c>
      <c r="C877">
        <v>9</v>
      </c>
      <c r="D877">
        <f>MONTH(cukier11[[#This Row],[data]])</f>
        <v>2</v>
      </c>
      <c r="E877">
        <f>IF(D878&lt;&gt;cukier11[[#This Row],[miesiac]],1,0)</f>
        <v>0</v>
      </c>
      <c r="F877">
        <f>IF(AND(H876&lt;5000,cukier11[[#This Row],[czy_nastapiła_zmiana_mies]]=1),ROUNDUP((5000-H876)/1000,0),0)</f>
        <v>0</v>
      </c>
      <c r="G877">
        <f t="shared" si="13"/>
        <v>4199</v>
      </c>
      <c r="H877">
        <f>cukier11[[#This Row],[stan_magazynu]]-cukier11[[#This Row],[sprzedany_cukier]]</f>
        <v>4190</v>
      </c>
      <c r="I877" s="9">
        <f>cukier11[[#This Row],[stan_po_sprzedazy]]+cukier11[[#This Row],[ile_dokupic]]*1000</f>
        <v>4190</v>
      </c>
    </row>
    <row r="878" spans="1:9" x14ac:dyDescent="0.25">
      <c r="A878" s="1">
        <v>39853</v>
      </c>
      <c r="B878" t="s">
        <v>68</v>
      </c>
      <c r="C878">
        <v>3</v>
      </c>
      <c r="D878">
        <f>MONTH(cukier11[[#This Row],[data]])</f>
        <v>2</v>
      </c>
      <c r="E878">
        <f>IF(D879&lt;&gt;cukier11[[#This Row],[miesiac]],1,0)</f>
        <v>0</v>
      </c>
      <c r="F878">
        <f>IF(AND(H877&lt;5000,cukier11[[#This Row],[czy_nastapiła_zmiana_mies]]=1),ROUNDUP((5000-H877)/1000,0),0)</f>
        <v>0</v>
      </c>
      <c r="G878">
        <f t="shared" si="13"/>
        <v>4190</v>
      </c>
      <c r="H878">
        <f>cukier11[[#This Row],[stan_magazynu]]-cukier11[[#This Row],[sprzedany_cukier]]</f>
        <v>4187</v>
      </c>
      <c r="I878" s="9">
        <f>cukier11[[#This Row],[stan_po_sprzedazy]]+cukier11[[#This Row],[ile_dokupic]]*1000</f>
        <v>4187</v>
      </c>
    </row>
    <row r="879" spans="1:9" x14ac:dyDescent="0.25">
      <c r="A879" s="1">
        <v>39854</v>
      </c>
      <c r="B879" t="s">
        <v>22</v>
      </c>
      <c r="C879">
        <v>186</v>
      </c>
      <c r="D879">
        <f>MONTH(cukier11[[#This Row],[data]])</f>
        <v>2</v>
      </c>
      <c r="E879">
        <f>IF(D880&lt;&gt;cukier11[[#This Row],[miesiac]],1,0)</f>
        <v>0</v>
      </c>
      <c r="F879">
        <f>IF(AND(H878&lt;5000,cukier11[[#This Row],[czy_nastapiła_zmiana_mies]]=1),ROUNDUP((5000-H878)/1000,0),0)</f>
        <v>0</v>
      </c>
      <c r="G879">
        <f t="shared" si="13"/>
        <v>4187</v>
      </c>
      <c r="H879">
        <f>cukier11[[#This Row],[stan_magazynu]]-cukier11[[#This Row],[sprzedany_cukier]]</f>
        <v>4001</v>
      </c>
      <c r="I879" s="9">
        <f>cukier11[[#This Row],[stan_po_sprzedazy]]+cukier11[[#This Row],[ile_dokupic]]*1000</f>
        <v>4001</v>
      </c>
    </row>
    <row r="880" spans="1:9" x14ac:dyDescent="0.25">
      <c r="A880" s="1">
        <v>39854</v>
      </c>
      <c r="B880" t="s">
        <v>7</v>
      </c>
      <c r="C880">
        <v>390</v>
      </c>
      <c r="D880">
        <f>MONTH(cukier11[[#This Row],[data]])</f>
        <v>2</v>
      </c>
      <c r="E880">
        <f>IF(D881&lt;&gt;cukier11[[#This Row],[miesiac]],1,0)</f>
        <v>0</v>
      </c>
      <c r="F880">
        <f>IF(AND(H879&lt;5000,cukier11[[#This Row],[czy_nastapiła_zmiana_mies]]=1),ROUNDUP((5000-H879)/1000,0),0)</f>
        <v>0</v>
      </c>
      <c r="G880">
        <f t="shared" si="13"/>
        <v>4001</v>
      </c>
      <c r="H880">
        <f>cukier11[[#This Row],[stan_magazynu]]-cukier11[[#This Row],[sprzedany_cukier]]</f>
        <v>3611</v>
      </c>
      <c r="I880" s="9">
        <f>cukier11[[#This Row],[stan_po_sprzedazy]]+cukier11[[#This Row],[ile_dokupic]]*1000</f>
        <v>3611</v>
      </c>
    </row>
    <row r="881" spans="1:9" x14ac:dyDescent="0.25">
      <c r="A881" s="1">
        <v>39855</v>
      </c>
      <c r="B881" t="s">
        <v>5</v>
      </c>
      <c r="C881">
        <v>445</v>
      </c>
      <c r="D881">
        <f>MONTH(cukier11[[#This Row],[data]])</f>
        <v>2</v>
      </c>
      <c r="E881">
        <f>IF(D882&lt;&gt;cukier11[[#This Row],[miesiac]],1,0)</f>
        <v>0</v>
      </c>
      <c r="F881">
        <f>IF(AND(H880&lt;5000,cukier11[[#This Row],[czy_nastapiła_zmiana_mies]]=1),ROUNDUP((5000-H880)/1000,0),0)</f>
        <v>0</v>
      </c>
      <c r="G881">
        <f t="shared" si="13"/>
        <v>3611</v>
      </c>
      <c r="H881">
        <f>cukier11[[#This Row],[stan_magazynu]]-cukier11[[#This Row],[sprzedany_cukier]]</f>
        <v>3166</v>
      </c>
      <c r="I881" s="9">
        <f>cukier11[[#This Row],[stan_po_sprzedazy]]+cukier11[[#This Row],[ile_dokupic]]*1000</f>
        <v>3166</v>
      </c>
    </row>
    <row r="882" spans="1:9" x14ac:dyDescent="0.25">
      <c r="A882" s="1">
        <v>39856</v>
      </c>
      <c r="B882" t="s">
        <v>50</v>
      </c>
      <c r="C882">
        <v>241</v>
      </c>
      <c r="D882">
        <f>MONTH(cukier11[[#This Row],[data]])</f>
        <v>2</v>
      </c>
      <c r="E882">
        <f>IF(D883&lt;&gt;cukier11[[#This Row],[miesiac]],1,0)</f>
        <v>0</v>
      </c>
      <c r="F882">
        <f>IF(AND(H881&lt;5000,cukier11[[#This Row],[czy_nastapiła_zmiana_mies]]=1),ROUNDUP((5000-H881)/1000,0),0)</f>
        <v>0</v>
      </c>
      <c r="G882">
        <f t="shared" si="13"/>
        <v>3166</v>
      </c>
      <c r="H882">
        <f>cukier11[[#This Row],[stan_magazynu]]-cukier11[[#This Row],[sprzedany_cukier]]</f>
        <v>2925</v>
      </c>
      <c r="I882" s="9">
        <f>cukier11[[#This Row],[stan_po_sprzedazy]]+cukier11[[#This Row],[ile_dokupic]]*1000</f>
        <v>2925</v>
      </c>
    </row>
    <row r="883" spans="1:9" x14ac:dyDescent="0.25">
      <c r="A883" s="1">
        <v>39856</v>
      </c>
      <c r="B883" t="s">
        <v>29</v>
      </c>
      <c r="C883">
        <v>3</v>
      </c>
      <c r="D883">
        <f>MONTH(cukier11[[#This Row],[data]])</f>
        <v>2</v>
      </c>
      <c r="E883">
        <f>IF(D884&lt;&gt;cukier11[[#This Row],[miesiac]],1,0)</f>
        <v>0</v>
      </c>
      <c r="F883">
        <f>IF(AND(H882&lt;5000,cukier11[[#This Row],[czy_nastapiła_zmiana_mies]]=1),ROUNDUP((5000-H882)/1000,0),0)</f>
        <v>0</v>
      </c>
      <c r="G883">
        <f t="shared" si="13"/>
        <v>2925</v>
      </c>
      <c r="H883">
        <f>cukier11[[#This Row],[stan_magazynu]]-cukier11[[#This Row],[sprzedany_cukier]]</f>
        <v>2922</v>
      </c>
      <c r="I883" s="9">
        <f>cukier11[[#This Row],[stan_po_sprzedazy]]+cukier11[[#This Row],[ile_dokupic]]*1000</f>
        <v>2922</v>
      </c>
    </row>
    <row r="884" spans="1:9" x14ac:dyDescent="0.25">
      <c r="A884" s="1">
        <v>39858</v>
      </c>
      <c r="B884" t="s">
        <v>23</v>
      </c>
      <c r="C884">
        <v>50</v>
      </c>
      <c r="D884">
        <f>MONTH(cukier11[[#This Row],[data]])</f>
        <v>2</v>
      </c>
      <c r="E884">
        <f>IF(D885&lt;&gt;cukier11[[#This Row],[miesiac]],1,0)</f>
        <v>0</v>
      </c>
      <c r="F884">
        <f>IF(AND(H883&lt;5000,cukier11[[#This Row],[czy_nastapiła_zmiana_mies]]=1),ROUNDUP((5000-H883)/1000,0),0)</f>
        <v>0</v>
      </c>
      <c r="G884">
        <f t="shared" si="13"/>
        <v>2922</v>
      </c>
      <c r="H884">
        <f>cukier11[[#This Row],[stan_magazynu]]-cukier11[[#This Row],[sprzedany_cukier]]</f>
        <v>2872</v>
      </c>
      <c r="I884" s="9">
        <f>cukier11[[#This Row],[stan_po_sprzedazy]]+cukier11[[#This Row],[ile_dokupic]]*1000</f>
        <v>2872</v>
      </c>
    </row>
    <row r="885" spans="1:9" x14ac:dyDescent="0.25">
      <c r="A885" s="1">
        <v>39859</v>
      </c>
      <c r="B885" t="s">
        <v>24</v>
      </c>
      <c r="C885">
        <v>284</v>
      </c>
      <c r="D885">
        <f>MONTH(cukier11[[#This Row],[data]])</f>
        <v>2</v>
      </c>
      <c r="E885">
        <f>IF(D886&lt;&gt;cukier11[[#This Row],[miesiac]],1,0)</f>
        <v>0</v>
      </c>
      <c r="F885">
        <f>IF(AND(H884&lt;5000,cukier11[[#This Row],[czy_nastapiła_zmiana_mies]]=1),ROUNDUP((5000-H884)/1000,0),0)</f>
        <v>0</v>
      </c>
      <c r="G885">
        <f t="shared" si="13"/>
        <v>2872</v>
      </c>
      <c r="H885">
        <f>cukier11[[#This Row],[stan_magazynu]]-cukier11[[#This Row],[sprzedany_cukier]]</f>
        <v>2588</v>
      </c>
      <c r="I885" s="9">
        <f>cukier11[[#This Row],[stan_po_sprzedazy]]+cukier11[[#This Row],[ile_dokupic]]*1000</f>
        <v>2588</v>
      </c>
    </row>
    <row r="886" spans="1:9" x14ac:dyDescent="0.25">
      <c r="A886" s="1">
        <v>39860</v>
      </c>
      <c r="B886" t="s">
        <v>9</v>
      </c>
      <c r="C886">
        <v>395</v>
      </c>
      <c r="D886">
        <f>MONTH(cukier11[[#This Row],[data]])</f>
        <v>2</v>
      </c>
      <c r="E886">
        <f>IF(D887&lt;&gt;cukier11[[#This Row],[miesiac]],1,0)</f>
        <v>0</v>
      </c>
      <c r="F886">
        <f>IF(AND(H885&lt;5000,cukier11[[#This Row],[czy_nastapiła_zmiana_mies]]=1),ROUNDUP((5000-H885)/1000,0),0)</f>
        <v>0</v>
      </c>
      <c r="G886">
        <f t="shared" si="13"/>
        <v>2588</v>
      </c>
      <c r="H886">
        <f>cukier11[[#This Row],[stan_magazynu]]-cukier11[[#This Row],[sprzedany_cukier]]</f>
        <v>2193</v>
      </c>
      <c r="I886" s="9">
        <f>cukier11[[#This Row],[stan_po_sprzedazy]]+cukier11[[#This Row],[ile_dokupic]]*1000</f>
        <v>2193</v>
      </c>
    </row>
    <row r="887" spans="1:9" x14ac:dyDescent="0.25">
      <c r="A887" s="1">
        <v>39862</v>
      </c>
      <c r="B887" t="s">
        <v>5</v>
      </c>
      <c r="C887">
        <v>290</v>
      </c>
      <c r="D887">
        <f>MONTH(cukier11[[#This Row],[data]])</f>
        <v>2</v>
      </c>
      <c r="E887">
        <f>IF(D888&lt;&gt;cukier11[[#This Row],[miesiac]],1,0)</f>
        <v>0</v>
      </c>
      <c r="F887">
        <f>IF(AND(H886&lt;5000,cukier11[[#This Row],[czy_nastapiła_zmiana_mies]]=1),ROUNDUP((5000-H886)/1000,0),0)</f>
        <v>0</v>
      </c>
      <c r="G887">
        <f t="shared" si="13"/>
        <v>2193</v>
      </c>
      <c r="H887">
        <f>cukier11[[#This Row],[stan_magazynu]]-cukier11[[#This Row],[sprzedany_cukier]]</f>
        <v>1903</v>
      </c>
      <c r="I887" s="9">
        <f>cukier11[[#This Row],[stan_po_sprzedazy]]+cukier11[[#This Row],[ile_dokupic]]*1000</f>
        <v>1903</v>
      </c>
    </row>
    <row r="888" spans="1:9" x14ac:dyDescent="0.25">
      <c r="A888" s="1">
        <v>39863</v>
      </c>
      <c r="B888" t="s">
        <v>22</v>
      </c>
      <c r="C888">
        <v>361</v>
      </c>
      <c r="D888">
        <f>MONTH(cukier11[[#This Row],[data]])</f>
        <v>2</v>
      </c>
      <c r="E888">
        <f>IF(D889&lt;&gt;cukier11[[#This Row],[miesiac]],1,0)</f>
        <v>0</v>
      </c>
      <c r="F888">
        <f>IF(AND(H887&lt;5000,cukier11[[#This Row],[czy_nastapiła_zmiana_mies]]=1),ROUNDUP((5000-H887)/1000,0),0)</f>
        <v>0</v>
      </c>
      <c r="G888">
        <f t="shared" si="13"/>
        <v>1903</v>
      </c>
      <c r="H888">
        <f>cukier11[[#This Row],[stan_magazynu]]-cukier11[[#This Row],[sprzedany_cukier]]</f>
        <v>1542</v>
      </c>
      <c r="I888" s="9">
        <f>cukier11[[#This Row],[stan_po_sprzedazy]]+cukier11[[#This Row],[ile_dokupic]]*1000</f>
        <v>1542</v>
      </c>
    </row>
    <row r="889" spans="1:9" x14ac:dyDescent="0.25">
      <c r="A889" s="1">
        <v>39865</v>
      </c>
      <c r="B889" t="s">
        <v>17</v>
      </c>
      <c r="C889">
        <v>355</v>
      </c>
      <c r="D889">
        <f>MONTH(cukier11[[#This Row],[data]])</f>
        <v>2</v>
      </c>
      <c r="E889">
        <f>IF(D890&lt;&gt;cukier11[[#This Row],[miesiac]],1,0)</f>
        <v>0</v>
      </c>
      <c r="F889">
        <f>IF(AND(H888&lt;5000,cukier11[[#This Row],[czy_nastapiła_zmiana_mies]]=1),ROUNDUP((5000-H888)/1000,0),0)</f>
        <v>0</v>
      </c>
      <c r="G889">
        <f t="shared" si="13"/>
        <v>1542</v>
      </c>
      <c r="H889">
        <f>cukier11[[#This Row],[stan_magazynu]]-cukier11[[#This Row],[sprzedany_cukier]]</f>
        <v>1187</v>
      </c>
      <c r="I889" s="9">
        <f>cukier11[[#This Row],[stan_po_sprzedazy]]+cukier11[[#This Row],[ile_dokupic]]*1000</f>
        <v>1187</v>
      </c>
    </row>
    <row r="890" spans="1:9" x14ac:dyDescent="0.25">
      <c r="A890" s="1">
        <v>39866</v>
      </c>
      <c r="B890" t="s">
        <v>182</v>
      </c>
      <c r="C890">
        <v>19</v>
      </c>
      <c r="D890">
        <f>MONTH(cukier11[[#This Row],[data]])</f>
        <v>2</v>
      </c>
      <c r="E890">
        <f>IF(D891&lt;&gt;cukier11[[#This Row],[miesiac]],1,0)</f>
        <v>0</v>
      </c>
      <c r="F890">
        <f>IF(AND(H889&lt;5000,cukier11[[#This Row],[czy_nastapiła_zmiana_mies]]=1),ROUNDUP((5000-H889)/1000,0),0)</f>
        <v>0</v>
      </c>
      <c r="G890">
        <f t="shared" si="13"/>
        <v>1187</v>
      </c>
      <c r="H890">
        <f>cukier11[[#This Row],[stan_magazynu]]-cukier11[[#This Row],[sprzedany_cukier]]</f>
        <v>1168</v>
      </c>
      <c r="I890" s="9">
        <f>cukier11[[#This Row],[stan_po_sprzedazy]]+cukier11[[#This Row],[ile_dokupic]]*1000</f>
        <v>1168</v>
      </c>
    </row>
    <row r="891" spans="1:9" x14ac:dyDescent="0.25">
      <c r="A891" s="1">
        <v>39868</v>
      </c>
      <c r="B891" t="s">
        <v>52</v>
      </c>
      <c r="C891">
        <v>32</v>
      </c>
      <c r="D891">
        <f>MONTH(cukier11[[#This Row],[data]])</f>
        <v>2</v>
      </c>
      <c r="E891">
        <f>IF(D892&lt;&gt;cukier11[[#This Row],[miesiac]],1,0)</f>
        <v>0</v>
      </c>
      <c r="F891">
        <f>IF(AND(H890&lt;5000,cukier11[[#This Row],[czy_nastapiła_zmiana_mies]]=1),ROUNDUP((5000-H890)/1000,0),0)</f>
        <v>0</v>
      </c>
      <c r="G891">
        <f t="shared" si="13"/>
        <v>1168</v>
      </c>
      <c r="H891">
        <f>cukier11[[#This Row],[stan_magazynu]]-cukier11[[#This Row],[sprzedany_cukier]]</f>
        <v>1136</v>
      </c>
      <c r="I891" s="9">
        <f>cukier11[[#This Row],[stan_po_sprzedazy]]+cukier11[[#This Row],[ile_dokupic]]*1000</f>
        <v>1136</v>
      </c>
    </row>
    <row r="892" spans="1:9" x14ac:dyDescent="0.25">
      <c r="A892" s="1">
        <v>39871</v>
      </c>
      <c r="B892" t="s">
        <v>146</v>
      </c>
      <c r="C892">
        <v>13</v>
      </c>
      <c r="D892">
        <f>MONTH(cukier11[[#This Row],[data]])</f>
        <v>2</v>
      </c>
      <c r="E892">
        <f>IF(D893&lt;&gt;cukier11[[#This Row],[miesiac]],1,0)</f>
        <v>0</v>
      </c>
      <c r="F892">
        <f>IF(AND(H891&lt;5000,cukier11[[#This Row],[czy_nastapiła_zmiana_mies]]=1),ROUNDUP((5000-H891)/1000,0),0)</f>
        <v>0</v>
      </c>
      <c r="G892">
        <f t="shared" si="13"/>
        <v>1136</v>
      </c>
      <c r="H892">
        <f>cukier11[[#This Row],[stan_magazynu]]-cukier11[[#This Row],[sprzedany_cukier]]</f>
        <v>1123</v>
      </c>
      <c r="I892" s="9">
        <f>cukier11[[#This Row],[stan_po_sprzedazy]]+cukier11[[#This Row],[ile_dokupic]]*1000</f>
        <v>1123</v>
      </c>
    </row>
    <row r="893" spans="1:9" x14ac:dyDescent="0.25">
      <c r="A893" s="1">
        <v>39871</v>
      </c>
      <c r="B893" t="s">
        <v>45</v>
      </c>
      <c r="C893">
        <v>156</v>
      </c>
      <c r="D893">
        <f>MONTH(cukier11[[#This Row],[data]])</f>
        <v>2</v>
      </c>
      <c r="E893">
        <f>IF(D894&lt;&gt;cukier11[[#This Row],[miesiac]],1,0)</f>
        <v>1</v>
      </c>
      <c r="F893">
        <f>IF(AND(H892&lt;5000,cukier11[[#This Row],[czy_nastapiła_zmiana_mies]]=1),ROUNDUP((5000-H892)/1000,0),0)</f>
        <v>4</v>
      </c>
      <c r="G893">
        <f t="shared" si="13"/>
        <v>1123</v>
      </c>
      <c r="H893">
        <f>cukier11[[#This Row],[stan_magazynu]]-cukier11[[#This Row],[sprzedany_cukier]]</f>
        <v>967</v>
      </c>
      <c r="I893" s="9">
        <f>cukier11[[#This Row],[stan_po_sprzedazy]]+cukier11[[#This Row],[ile_dokupic]]*1000</f>
        <v>4967</v>
      </c>
    </row>
    <row r="894" spans="1:9" x14ac:dyDescent="0.25">
      <c r="A894" s="1">
        <v>39873</v>
      </c>
      <c r="B894" t="s">
        <v>183</v>
      </c>
      <c r="C894">
        <v>20</v>
      </c>
      <c r="D894">
        <f>MONTH(cukier11[[#This Row],[data]])</f>
        <v>3</v>
      </c>
      <c r="E894">
        <f>IF(D895&lt;&gt;cukier11[[#This Row],[miesiac]],1,0)</f>
        <v>0</v>
      </c>
      <c r="F894">
        <f>IF(AND(H893&lt;5000,cukier11[[#This Row],[czy_nastapiła_zmiana_mies]]=1),ROUNDUP((5000-H893)/1000,0),0)</f>
        <v>0</v>
      </c>
      <c r="G894">
        <f t="shared" si="13"/>
        <v>4967</v>
      </c>
      <c r="H894">
        <f>cukier11[[#This Row],[stan_magazynu]]-cukier11[[#This Row],[sprzedany_cukier]]</f>
        <v>4947</v>
      </c>
      <c r="I894" s="9">
        <f>cukier11[[#This Row],[stan_po_sprzedazy]]+cukier11[[#This Row],[ile_dokupic]]*1000</f>
        <v>4947</v>
      </c>
    </row>
    <row r="895" spans="1:9" x14ac:dyDescent="0.25">
      <c r="A895" s="1">
        <v>39874</v>
      </c>
      <c r="B895" t="s">
        <v>12</v>
      </c>
      <c r="C895">
        <v>112</v>
      </c>
      <c r="D895">
        <f>MONTH(cukier11[[#This Row],[data]])</f>
        <v>3</v>
      </c>
      <c r="E895">
        <f>IF(D896&lt;&gt;cukier11[[#This Row],[miesiac]],1,0)</f>
        <v>0</v>
      </c>
      <c r="F895">
        <f>IF(AND(H894&lt;5000,cukier11[[#This Row],[czy_nastapiła_zmiana_mies]]=1),ROUNDUP((5000-H894)/1000,0),0)</f>
        <v>0</v>
      </c>
      <c r="G895">
        <f t="shared" si="13"/>
        <v>4947</v>
      </c>
      <c r="H895">
        <f>cukier11[[#This Row],[stan_magazynu]]-cukier11[[#This Row],[sprzedany_cukier]]</f>
        <v>4835</v>
      </c>
      <c r="I895" s="9">
        <f>cukier11[[#This Row],[stan_po_sprzedazy]]+cukier11[[#This Row],[ile_dokupic]]*1000</f>
        <v>4835</v>
      </c>
    </row>
    <row r="896" spans="1:9" x14ac:dyDescent="0.25">
      <c r="A896" s="1">
        <v>39877</v>
      </c>
      <c r="B896" t="s">
        <v>7</v>
      </c>
      <c r="C896">
        <v>110</v>
      </c>
      <c r="D896">
        <f>MONTH(cukier11[[#This Row],[data]])</f>
        <v>3</v>
      </c>
      <c r="E896">
        <f>IF(D897&lt;&gt;cukier11[[#This Row],[miesiac]],1,0)</f>
        <v>0</v>
      </c>
      <c r="F896">
        <f>IF(AND(H895&lt;5000,cukier11[[#This Row],[czy_nastapiła_zmiana_mies]]=1),ROUNDUP((5000-H895)/1000,0),0)</f>
        <v>0</v>
      </c>
      <c r="G896">
        <f t="shared" si="13"/>
        <v>4835</v>
      </c>
      <c r="H896">
        <f>cukier11[[#This Row],[stan_magazynu]]-cukier11[[#This Row],[sprzedany_cukier]]</f>
        <v>4725</v>
      </c>
      <c r="I896" s="9">
        <f>cukier11[[#This Row],[stan_po_sprzedazy]]+cukier11[[#This Row],[ile_dokupic]]*1000</f>
        <v>4725</v>
      </c>
    </row>
    <row r="897" spans="1:9" x14ac:dyDescent="0.25">
      <c r="A897" s="1">
        <v>39878</v>
      </c>
      <c r="B897" t="s">
        <v>184</v>
      </c>
      <c r="C897">
        <v>4</v>
      </c>
      <c r="D897">
        <f>MONTH(cukier11[[#This Row],[data]])</f>
        <v>3</v>
      </c>
      <c r="E897">
        <f>IF(D898&lt;&gt;cukier11[[#This Row],[miesiac]],1,0)</f>
        <v>0</v>
      </c>
      <c r="F897">
        <f>IF(AND(H896&lt;5000,cukier11[[#This Row],[czy_nastapiła_zmiana_mies]]=1),ROUNDUP((5000-H896)/1000,0),0)</f>
        <v>0</v>
      </c>
      <c r="G897">
        <f t="shared" si="13"/>
        <v>4725</v>
      </c>
      <c r="H897">
        <f>cukier11[[#This Row],[stan_magazynu]]-cukier11[[#This Row],[sprzedany_cukier]]</f>
        <v>4721</v>
      </c>
      <c r="I897" s="9">
        <f>cukier11[[#This Row],[stan_po_sprzedazy]]+cukier11[[#This Row],[ile_dokupic]]*1000</f>
        <v>4721</v>
      </c>
    </row>
    <row r="898" spans="1:9" x14ac:dyDescent="0.25">
      <c r="A898" s="1">
        <v>39885</v>
      </c>
      <c r="B898" t="s">
        <v>133</v>
      </c>
      <c r="C898">
        <v>18</v>
      </c>
      <c r="D898">
        <f>MONTH(cukier11[[#This Row],[data]])</f>
        <v>3</v>
      </c>
      <c r="E898">
        <f>IF(D899&lt;&gt;cukier11[[#This Row],[miesiac]],1,0)</f>
        <v>0</v>
      </c>
      <c r="F898">
        <f>IF(AND(H897&lt;5000,cukier11[[#This Row],[czy_nastapiła_zmiana_mies]]=1),ROUNDUP((5000-H897)/1000,0),0)</f>
        <v>0</v>
      </c>
      <c r="G898">
        <f t="shared" si="13"/>
        <v>4721</v>
      </c>
      <c r="H898">
        <f>cukier11[[#This Row],[stan_magazynu]]-cukier11[[#This Row],[sprzedany_cukier]]</f>
        <v>4703</v>
      </c>
      <c r="I898" s="9">
        <f>cukier11[[#This Row],[stan_po_sprzedazy]]+cukier11[[#This Row],[ile_dokupic]]*1000</f>
        <v>4703</v>
      </c>
    </row>
    <row r="899" spans="1:9" x14ac:dyDescent="0.25">
      <c r="A899" s="1">
        <v>39889</v>
      </c>
      <c r="B899" t="s">
        <v>20</v>
      </c>
      <c r="C899">
        <v>60</v>
      </c>
      <c r="D899">
        <f>MONTH(cukier11[[#This Row],[data]])</f>
        <v>3</v>
      </c>
      <c r="E899">
        <f>IF(D900&lt;&gt;cukier11[[#This Row],[miesiac]],1,0)</f>
        <v>0</v>
      </c>
      <c r="F899">
        <f>IF(AND(H898&lt;5000,cukier11[[#This Row],[czy_nastapiła_zmiana_mies]]=1),ROUNDUP((5000-H898)/1000,0),0)</f>
        <v>0</v>
      </c>
      <c r="G899">
        <f t="shared" si="13"/>
        <v>4703</v>
      </c>
      <c r="H899">
        <f>cukier11[[#This Row],[stan_magazynu]]-cukier11[[#This Row],[sprzedany_cukier]]</f>
        <v>4643</v>
      </c>
      <c r="I899" s="9">
        <f>cukier11[[#This Row],[stan_po_sprzedazy]]+cukier11[[#This Row],[ile_dokupic]]*1000</f>
        <v>4643</v>
      </c>
    </row>
    <row r="900" spans="1:9" x14ac:dyDescent="0.25">
      <c r="A900" s="1">
        <v>39889</v>
      </c>
      <c r="B900" t="s">
        <v>88</v>
      </c>
      <c r="C900">
        <v>14</v>
      </c>
      <c r="D900">
        <f>MONTH(cukier11[[#This Row],[data]])</f>
        <v>3</v>
      </c>
      <c r="E900">
        <f>IF(D901&lt;&gt;cukier11[[#This Row],[miesiac]],1,0)</f>
        <v>0</v>
      </c>
      <c r="F900">
        <f>IF(AND(H899&lt;5000,cukier11[[#This Row],[czy_nastapiła_zmiana_mies]]=1),ROUNDUP((5000-H899)/1000,0),0)</f>
        <v>0</v>
      </c>
      <c r="G900">
        <f t="shared" ref="G900:G963" si="14">I899</f>
        <v>4643</v>
      </c>
      <c r="H900">
        <f>cukier11[[#This Row],[stan_magazynu]]-cukier11[[#This Row],[sprzedany_cukier]]</f>
        <v>4629</v>
      </c>
      <c r="I900" s="9">
        <f>cukier11[[#This Row],[stan_po_sprzedazy]]+cukier11[[#This Row],[ile_dokupic]]*1000</f>
        <v>4629</v>
      </c>
    </row>
    <row r="901" spans="1:9" x14ac:dyDescent="0.25">
      <c r="A901" s="1">
        <v>39889</v>
      </c>
      <c r="B901" t="s">
        <v>28</v>
      </c>
      <c r="C901">
        <v>24</v>
      </c>
      <c r="D901">
        <f>MONTH(cukier11[[#This Row],[data]])</f>
        <v>3</v>
      </c>
      <c r="E901">
        <f>IF(D902&lt;&gt;cukier11[[#This Row],[miesiac]],1,0)</f>
        <v>0</v>
      </c>
      <c r="F901">
        <f>IF(AND(H900&lt;5000,cukier11[[#This Row],[czy_nastapiła_zmiana_mies]]=1),ROUNDUP((5000-H900)/1000,0),0)</f>
        <v>0</v>
      </c>
      <c r="G901">
        <f t="shared" si="14"/>
        <v>4629</v>
      </c>
      <c r="H901">
        <f>cukier11[[#This Row],[stan_magazynu]]-cukier11[[#This Row],[sprzedany_cukier]]</f>
        <v>4605</v>
      </c>
      <c r="I901" s="9">
        <f>cukier11[[#This Row],[stan_po_sprzedazy]]+cukier11[[#This Row],[ile_dokupic]]*1000</f>
        <v>4605</v>
      </c>
    </row>
    <row r="902" spans="1:9" x14ac:dyDescent="0.25">
      <c r="A902" s="1">
        <v>39891</v>
      </c>
      <c r="B902" t="s">
        <v>22</v>
      </c>
      <c r="C902">
        <v>145</v>
      </c>
      <c r="D902">
        <f>MONTH(cukier11[[#This Row],[data]])</f>
        <v>3</v>
      </c>
      <c r="E902">
        <f>IF(D903&lt;&gt;cukier11[[#This Row],[miesiac]],1,0)</f>
        <v>0</v>
      </c>
      <c r="F902">
        <f>IF(AND(H901&lt;5000,cukier11[[#This Row],[czy_nastapiła_zmiana_mies]]=1),ROUNDUP((5000-H901)/1000,0),0)</f>
        <v>0</v>
      </c>
      <c r="G902">
        <f t="shared" si="14"/>
        <v>4605</v>
      </c>
      <c r="H902">
        <f>cukier11[[#This Row],[stan_magazynu]]-cukier11[[#This Row],[sprzedany_cukier]]</f>
        <v>4460</v>
      </c>
      <c r="I902" s="9">
        <f>cukier11[[#This Row],[stan_po_sprzedazy]]+cukier11[[#This Row],[ile_dokupic]]*1000</f>
        <v>4460</v>
      </c>
    </row>
    <row r="903" spans="1:9" x14ac:dyDescent="0.25">
      <c r="A903" s="1">
        <v>39891</v>
      </c>
      <c r="B903" t="s">
        <v>50</v>
      </c>
      <c r="C903">
        <v>393</v>
      </c>
      <c r="D903">
        <f>MONTH(cukier11[[#This Row],[data]])</f>
        <v>3</v>
      </c>
      <c r="E903">
        <f>IF(D904&lt;&gt;cukier11[[#This Row],[miesiac]],1,0)</f>
        <v>0</v>
      </c>
      <c r="F903">
        <f>IF(AND(H902&lt;5000,cukier11[[#This Row],[czy_nastapiła_zmiana_mies]]=1),ROUNDUP((5000-H902)/1000,0),0)</f>
        <v>0</v>
      </c>
      <c r="G903">
        <f t="shared" si="14"/>
        <v>4460</v>
      </c>
      <c r="H903">
        <f>cukier11[[#This Row],[stan_magazynu]]-cukier11[[#This Row],[sprzedany_cukier]]</f>
        <v>4067</v>
      </c>
      <c r="I903" s="9">
        <f>cukier11[[#This Row],[stan_po_sprzedazy]]+cukier11[[#This Row],[ile_dokupic]]*1000</f>
        <v>4067</v>
      </c>
    </row>
    <row r="904" spans="1:9" x14ac:dyDescent="0.25">
      <c r="A904" s="1">
        <v>39893</v>
      </c>
      <c r="B904" t="s">
        <v>28</v>
      </c>
      <c r="C904">
        <v>73</v>
      </c>
      <c r="D904">
        <f>MONTH(cukier11[[#This Row],[data]])</f>
        <v>3</v>
      </c>
      <c r="E904">
        <f>IF(D905&lt;&gt;cukier11[[#This Row],[miesiac]],1,0)</f>
        <v>0</v>
      </c>
      <c r="F904">
        <f>IF(AND(H903&lt;5000,cukier11[[#This Row],[czy_nastapiła_zmiana_mies]]=1),ROUNDUP((5000-H903)/1000,0),0)</f>
        <v>0</v>
      </c>
      <c r="G904">
        <f t="shared" si="14"/>
        <v>4067</v>
      </c>
      <c r="H904">
        <f>cukier11[[#This Row],[stan_magazynu]]-cukier11[[#This Row],[sprzedany_cukier]]</f>
        <v>3994</v>
      </c>
      <c r="I904" s="9">
        <f>cukier11[[#This Row],[stan_po_sprzedazy]]+cukier11[[#This Row],[ile_dokupic]]*1000</f>
        <v>3994</v>
      </c>
    </row>
    <row r="905" spans="1:9" x14ac:dyDescent="0.25">
      <c r="A905" s="1">
        <v>39893</v>
      </c>
      <c r="B905" t="s">
        <v>8</v>
      </c>
      <c r="C905">
        <v>136</v>
      </c>
      <c r="D905">
        <f>MONTH(cukier11[[#This Row],[data]])</f>
        <v>3</v>
      </c>
      <c r="E905">
        <f>IF(D906&lt;&gt;cukier11[[#This Row],[miesiac]],1,0)</f>
        <v>0</v>
      </c>
      <c r="F905">
        <f>IF(AND(H904&lt;5000,cukier11[[#This Row],[czy_nastapiła_zmiana_mies]]=1),ROUNDUP((5000-H904)/1000,0),0)</f>
        <v>0</v>
      </c>
      <c r="G905">
        <f t="shared" si="14"/>
        <v>3994</v>
      </c>
      <c r="H905">
        <f>cukier11[[#This Row],[stan_magazynu]]-cukier11[[#This Row],[sprzedany_cukier]]</f>
        <v>3858</v>
      </c>
      <c r="I905" s="9">
        <f>cukier11[[#This Row],[stan_po_sprzedazy]]+cukier11[[#This Row],[ile_dokupic]]*1000</f>
        <v>3858</v>
      </c>
    </row>
    <row r="906" spans="1:9" x14ac:dyDescent="0.25">
      <c r="A906" s="1">
        <v>39894</v>
      </c>
      <c r="B906" t="s">
        <v>45</v>
      </c>
      <c r="C906">
        <v>422</v>
      </c>
      <c r="D906">
        <f>MONTH(cukier11[[#This Row],[data]])</f>
        <v>3</v>
      </c>
      <c r="E906">
        <f>IF(D907&lt;&gt;cukier11[[#This Row],[miesiac]],1,0)</f>
        <v>0</v>
      </c>
      <c r="F906">
        <f>IF(AND(H905&lt;5000,cukier11[[#This Row],[czy_nastapiła_zmiana_mies]]=1),ROUNDUP((5000-H905)/1000,0),0)</f>
        <v>0</v>
      </c>
      <c r="G906">
        <f t="shared" si="14"/>
        <v>3858</v>
      </c>
      <c r="H906">
        <f>cukier11[[#This Row],[stan_magazynu]]-cukier11[[#This Row],[sprzedany_cukier]]</f>
        <v>3436</v>
      </c>
      <c r="I906" s="9">
        <f>cukier11[[#This Row],[stan_po_sprzedazy]]+cukier11[[#This Row],[ile_dokupic]]*1000</f>
        <v>3436</v>
      </c>
    </row>
    <row r="907" spans="1:9" x14ac:dyDescent="0.25">
      <c r="A907" s="1">
        <v>39895</v>
      </c>
      <c r="B907" t="s">
        <v>9</v>
      </c>
      <c r="C907">
        <v>187</v>
      </c>
      <c r="D907">
        <f>MONTH(cukier11[[#This Row],[data]])</f>
        <v>3</v>
      </c>
      <c r="E907">
        <f>IF(D908&lt;&gt;cukier11[[#This Row],[miesiac]],1,0)</f>
        <v>0</v>
      </c>
      <c r="F907">
        <f>IF(AND(H906&lt;5000,cukier11[[#This Row],[czy_nastapiła_zmiana_mies]]=1),ROUNDUP((5000-H906)/1000,0),0)</f>
        <v>0</v>
      </c>
      <c r="G907">
        <f t="shared" si="14"/>
        <v>3436</v>
      </c>
      <c r="H907">
        <f>cukier11[[#This Row],[stan_magazynu]]-cukier11[[#This Row],[sprzedany_cukier]]</f>
        <v>3249</v>
      </c>
      <c r="I907" s="9">
        <f>cukier11[[#This Row],[stan_po_sprzedazy]]+cukier11[[#This Row],[ile_dokupic]]*1000</f>
        <v>3249</v>
      </c>
    </row>
    <row r="908" spans="1:9" x14ac:dyDescent="0.25">
      <c r="A908" s="1">
        <v>39897</v>
      </c>
      <c r="B908" t="s">
        <v>18</v>
      </c>
      <c r="C908">
        <v>58</v>
      </c>
      <c r="D908">
        <f>MONTH(cukier11[[#This Row],[data]])</f>
        <v>3</v>
      </c>
      <c r="E908">
        <f>IF(D909&lt;&gt;cukier11[[#This Row],[miesiac]],1,0)</f>
        <v>0</v>
      </c>
      <c r="F908">
        <f>IF(AND(H907&lt;5000,cukier11[[#This Row],[czy_nastapiła_zmiana_mies]]=1),ROUNDUP((5000-H907)/1000,0),0)</f>
        <v>0</v>
      </c>
      <c r="G908">
        <f t="shared" si="14"/>
        <v>3249</v>
      </c>
      <c r="H908">
        <f>cukier11[[#This Row],[stan_magazynu]]-cukier11[[#This Row],[sprzedany_cukier]]</f>
        <v>3191</v>
      </c>
      <c r="I908" s="9">
        <f>cukier11[[#This Row],[stan_po_sprzedazy]]+cukier11[[#This Row],[ile_dokupic]]*1000</f>
        <v>3191</v>
      </c>
    </row>
    <row r="909" spans="1:9" x14ac:dyDescent="0.25">
      <c r="A909" s="1">
        <v>39898</v>
      </c>
      <c r="B909" t="s">
        <v>45</v>
      </c>
      <c r="C909">
        <v>436</v>
      </c>
      <c r="D909">
        <f>MONTH(cukier11[[#This Row],[data]])</f>
        <v>3</v>
      </c>
      <c r="E909">
        <f>IF(D910&lt;&gt;cukier11[[#This Row],[miesiac]],1,0)</f>
        <v>0</v>
      </c>
      <c r="F909">
        <f>IF(AND(H908&lt;5000,cukier11[[#This Row],[czy_nastapiła_zmiana_mies]]=1),ROUNDUP((5000-H908)/1000,0),0)</f>
        <v>0</v>
      </c>
      <c r="G909">
        <f t="shared" si="14"/>
        <v>3191</v>
      </c>
      <c r="H909">
        <f>cukier11[[#This Row],[stan_magazynu]]-cukier11[[#This Row],[sprzedany_cukier]]</f>
        <v>2755</v>
      </c>
      <c r="I909" s="9">
        <f>cukier11[[#This Row],[stan_po_sprzedazy]]+cukier11[[#This Row],[ile_dokupic]]*1000</f>
        <v>2755</v>
      </c>
    </row>
    <row r="910" spans="1:9" x14ac:dyDescent="0.25">
      <c r="A910" s="1">
        <v>39902</v>
      </c>
      <c r="B910" t="s">
        <v>14</v>
      </c>
      <c r="C910">
        <v>406</v>
      </c>
      <c r="D910">
        <f>MONTH(cukier11[[#This Row],[data]])</f>
        <v>3</v>
      </c>
      <c r="E910">
        <f>IF(D911&lt;&gt;cukier11[[#This Row],[miesiac]],1,0)</f>
        <v>1</v>
      </c>
      <c r="F910">
        <f>IF(AND(H909&lt;5000,cukier11[[#This Row],[czy_nastapiła_zmiana_mies]]=1),ROUNDUP((5000-H909)/1000,0),0)</f>
        <v>3</v>
      </c>
      <c r="G910">
        <f t="shared" si="14"/>
        <v>2755</v>
      </c>
      <c r="H910">
        <f>cukier11[[#This Row],[stan_magazynu]]-cukier11[[#This Row],[sprzedany_cukier]]</f>
        <v>2349</v>
      </c>
      <c r="I910" s="9">
        <f>cukier11[[#This Row],[stan_po_sprzedazy]]+cukier11[[#This Row],[ile_dokupic]]*1000</f>
        <v>5349</v>
      </c>
    </row>
    <row r="911" spans="1:9" x14ac:dyDescent="0.25">
      <c r="A911" s="1">
        <v>39904</v>
      </c>
      <c r="B911" t="s">
        <v>14</v>
      </c>
      <c r="C911">
        <v>108</v>
      </c>
      <c r="D911">
        <f>MONTH(cukier11[[#This Row],[data]])</f>
        <v>4</v>
      </c>
      <c r="E911">
        <f>IF(D912&lt;&gt;cukier11[[#This Row],[miesiac]],1,0)</f>
        <v>0</v>
      </c>
      <c r="F911">
        <f>IF(AND(H910&lt;5000,cukier11[[#This Row],[czy_nastapiła_zmiana_mies]]=1),ROUNDUP((5000-H910)/1000,0),0)</f>
        <v>0</v>
      </c>
      <c r="G911">
        <f t="shared" si="14"/>
        <v>5349</v>
      </c>
      <c r="H911">
        <f>cukier11[[#This Row],[stan_magazynu]]-cukier11[[#This Row],[sprzedany_cukier]]</f>
        <v>5241</v>
      </c>
      <c r="I911" s="9">
        <f>cukier11[[#This Row],[stan_po_sprzedazy]]+cukier11[[#This Row],[ile_dokupic]]*1000</f>
        <v>5241</v>
      </c>
    </row>
    <row r="912" spans="1:9" x14ac:dyDescent="0.25">
      <c r="A912" s="1">
        <v>39905</v>
      </c>
      <c r="B912" t="s">
        <v>142</v>
      </c>
      <c r="C912">
        <v>10</v>
      </c>
      <c r="D912">
        <f>MONTH(cukier11[[#This Row],[data]])</f>
        <v>4</v>
      </c>
      <c r="E912">
        <f>IF(D913&lt;&gt;cukier11[[#This Row],[miesiac]],1,0)</f>
        <v>0</v>
      </c>
      <c r="F912">
        <f>IF(AND(H911&lt;5000,cukier11[[#This Row],[czy_nastapiła_zmiana_mies]]=1),ROUNDUP((5000-H911)/1000,0),0)</f>
        <v>0</v>
      </c>
      <c r="G912">
        <f t="shared" si="14"/>
        <v>5241</v>
      </c>
      <c r="H912">
        <f>cukier11[[#This Row],[stan_magazynu]]-cukier11[[#This Row],[sprzedany_cukier]]</f>
        <v>5231</v>
      </c>
      <c r="I912" s="9">
        <f>cukier11[[#This Row],[stan_po_sprzedazy]]+cukier11[[#This Row],[ile_dokupic]]*1000</f>
        <v>5231</v>
      </c>
    </row>
    <row r="913" spans="1:9" x14ac:dyDescent="0.25">
      <c r="A913" s="1">
        <v>39906</v>
      </c>
      <c r="B913" t="s">
        <v>37</v>
      </c>
      <c r="C913">
        <v>153</v>
      </c>
      <c r="D913">
        <f>MONTH(cukier11[[#This Row],[data]])</f>
        <v>4</v>
      </c>
      <c r="E913">
        <f>IF(D914&lt;&gt;cukier11[[#This Row],[miesiac]],1,0)</f>
        <v>0</v>
      </c>
      <c r="F913">
        <f>IF(AND(H912&lt;5000,cukier11[[#This Row],[czy_nastapiła_zmiana_mies]]=1),ROUNDUP((5000-H912)/1000,0),0)</f>
        <v>0</v>
      </c>
      <c r="G913">
        <f t="shared" si="14"/>
        <v>5231</v>
      </c>
      <c r="H913">
        <f>cukier11[[#This Row],[stan_magazynu]]-cukier11[[#This Row],[sprzedany_cukier]]</f>
        <v>5078</v>
      </c>
      <c r="I913" s="9">
        <f>cukier11[[#This Row],[stan_po_sprzedazy]]+cukier11[[#This Row],[ile_dokupic]]*1000</f>
        <v>5078</v>
      </c>
    </row>
    <row r="914" spans="1:9" x14ac:dyDescent="0.25">
      <c r="A914" s="1">
        <v>39908</v>
      </c>
      <c r="B914" t="s">
        <v>185</v>
      </c>
      <c r="C914">
        <v>3</v>
      </c>
      <c r="D914">
        <f>MONTH(cukier11[[#This Row],[data]])</f>
        <v>4</v>
      </c>
      <c r="E914">
        <f>IF(D915&lt;&gt;cukier11[[#This Row],[miesiac]],1,0)</f>
        <v>0</v>
      </c>
      <c r="F914">
        <f>IF(AND(H913&lt;5000,cukier11[[#This Row],[czy_nastapiła_zmiana_mies]]=1),ROUNDUP((5000-H913)/1000,0),0)</f>
        <v>0</v>
      </c>
      <c r="G914">
        <f t="shared" si="14"/>
        <v>5078</v>
      </c>
      <c r="H914">
        <f>cukier11[[#This Row],[stan_magazynu]]-cukier11[[#This Row],[sprzedany_cukier]]</f>
        <v>5075</v>
      </c>
      <c r="I914" s="9">
        <f>cukier11[[#This Row],[stan_po_sprzedazy]]+cukier11[[#This Row],[ile_dokupic]]*1000</f>
        <v>5075</v>
      </c>
    </row>
    <row r="915" spans="1:9" x14ac:dyDescent="0.25">
      <c r="A915" s="1">
        <v>39909</v>
      </c>
      <c r="B915" t="s">
        <v>31</v>
      </c>
      <c r="C915">
        <v>109</v>
      </c>
      <c r="D915">
        <f>MONTH(cukier11[[#This Row],[data]])</f>
        <v>4</v>
      </c>
      <c r="E915">
        <f>IF(D916&lt;&gt;cukier11[[#This Row],[miesiac]],1,0)</f>
        <v>0</v>
      </c>
      <c r="F915">
        <f>IF(AND(H914&lt;5000,cukier11[[#This Row],[czy_nastapiła_zmiana_mies]]=1),ROUNDUP((5000-H914)/1000,0),0)</f>
        <v>0</v>
      </c>
      <c r="G915">
        <f t="shared" si="14"/>
        <v>5075</v>
      </c>
      <c r="H915">
        <f>cukier11[[#This Row],[stan_magazynu]]-cukier11[[#This Row],[sprzedany_cukier]]</f>
        <v>4966</v>
      </c>
      <c r="I915" s="9">
        <f>cukier11[[#This Row],[stan_po_sprzedazy]]+cukier11[[#This Row],[ile_dokupic]]*1000</f>
        <v>4966</v>
      </c>
    </row>
    <row r="916" spans="1:9" x14ac:dyDescent="0.25">
      <c r="A916" s="1">
        <v>39911</v>
      </c>
      <c r="B916" t="s">
        <v>86</v>
      </c>
      <c r="C916">
        <v>9</v>
      </c>
      <c r="D916">
        <f>MONTH(cukier11[[#This Row],[data]])</f>
        <v>4</v>
      </c>
      <c r="E916">
        <f>IF(D917&lt;&gt;cukier11[[#This Row],[miesiac]],1,0)</f>
        <v>0</v>
      </c>
      <c r="F916">
        <f>IF(AND(H915&lt;5000,cukier11[[#This Row],[czy_nastapiła_zmiana_mies]]=1),ROUNDUP((5000-H915)/1000,0),0)</f>
        <v>0</v>
      </c>
      <c r="G916">
        <f t="shared" si="14"/>
        <v>4966</v>
      </c>
      <c r="H916">
        <f>cukier11[[#This Row],[stan_magazynu]]-cukier11[[#This Row],[sprzedany_cukier]]</f>
        <v>4957</v>
      </c>
      <c r="I916" s="9">
        <f>cukier11[[#This Row],[stan_po_sprzedazy]]+cukier11[[#This Row],[ile_dokupic]]*1000</f>
        <v>4957</v>
      </c>
    </row>
    <row r="917" spans="1:9" x14ac:dyDescent="0.25">
      <c r="A917" s="1">
        <v>39911</v>
      </c>
      <c r="B917" t="s">
        <v>52</v>
      </c>
      <c r="C917">
        <v>112</v>
      </c>
      <c r="D917">
        <f>MONTH(cukier11[[#This Row],[data]])</f>
        <v>4</v>
      </c>
      <c r="E917">
        <f>IF(D918&lt;&gt;cukier11[[#This Row],[miesiac]],1,0)</f>
        <v>0</v>
      </c>
      <c r="F917">
        <f>IF(AND(H916&lt;5000,cukier11[[#This Row],[czy_nastapiła_zmiana_mies]]=1),ROUNDUP((5000-H916)/1000,0),0)</f>
        <v>0</v>
      </c>
      <c r="G917">
        <f t="shared" si="14"/>
        <v>4957</v>
      </c>
      <c r="H917">
        <f>cukier11[[#This Row],[stan_magazynu]]-cukier11[[#This Row],[sprzedany_cukier]]</f>
        <v>4845</v>
      </c>
      <c r="I917" s="9">
        <f>cukier11[[#This Row],[stan_po_sprzedazy]]+cukier11[[#This Row],[ile_dokupic]]*1000</f>
        <v>4845</v>
      </c>
    </row>
    <row r="918" spans="1:9" x14ac:dyDescent="0.25">
      <c r="A918" s="1">
        <v>39916</v>
      </c>
      <c r="B918" t="s">
        <v>19</v>
      </c>
      <c r="C918">
        <v>29</v>
      </c>
      <c r="D918">
        <f>MONTH(cukier11[[#This Row],[data]])</f>
        <v>4</v>
      </c>
      <c r="E918">
        <f>IF(D919&lt;&gt;cukier11[[#This Row],[miesiac]],1,0)</f>
        <v>0</v>
      </c>
      <c r="F918">
        <f>IF(AND(H917&lt;5000,cukier11[[#This Row],[czy_nastapiła_zmiana_mies]]=1),ROUNDUP((5000-H917)/1000,0),0)</f>
        <v>0</v>
      </c>
      <c r="G918">
        <f t="shared" si="14"/>
        <v>4845</v>
      </c>
      <c r="H918">
        <f>cukier11[[#This Row],[stan_magazynu]]-cukier11[[#This Row],[sprzedany_cukier]]</f>
        <v>4816</v>
      </c>
      <c r="I918" s="9">
        <f>cukier11[[#This Row],[stan_po_sprzedazy]]+cukier11[[#This Row],[ile_dokupic]]*1000</f>
        <v>4816</v>
      </c>
    </row>
    <row r="919" spans="1:9" x14ac:dyDescent="0.25">
      <c r="A919" s="1">
        <v>39916</v>
      </c>
      <c r="B919" t="s">
        <v>50</v>
      </c>
      <c r="C919">
        <v>310</v>
      </c>
      <c r="D919">
        <f>MONTH(cukier11[[#This Row],[data]])</f>
        <v>4</v>
      </c>
      <c r="E919">
        <f>IF(D920&lt;&gt;cukier11[[#This Row],[miesiac]],1,0)</f>
        <v>0</v>
      </c>
      <c r="F919">
        <f>IF(AND(H918&lt;5000,cukier11[[#This Row],[czy_nastapiła_zmiana_mies]]=1),ROUNDUP((5000-H918)/1000,0),0)</f>
        <v>0</v>
      </c>
      <c r="G919">
        <f t="shared" si="14"/>
        <v>4816</v>
      </c>
      <c r="H919">
        <f>cukier11[[#This Row],[stan_magazynu]]-cukier11[[#This Row],[sprzedany_cukier]]</f>
        <v>4506</v>
      </c>
      <c r="I919" s="9">
        <f>cukier11[[#This Row],[stan_po_sprzedazy]]+cukier11[[#This Row],[ile_dokupic]]*1000</f>
        <v>4506</v>
      </c>
    </row>
    <row r="920" spans="1:9" x14ac:dyDescent="0.25">
      <c r="A920" s="1">
        <v>39918</v>
      </c>
      <c r="B920" t="s">
        <v>55</v>
      </c>
      <c r="C920">
        <v>107</v>
      </c>
      <c r="D920">
        <f>MONTH(cukier11[[#This Row],[data]])</f>
        <v>4</v>
      </c>
      <c r="E920">
        <f>IF(D921&lt;&gt;cukier11[[#This Row],[miesiac]],1,0)</f>
        <v>0</v>
      </c>
      <c r="F920">
        <f>IF(AND(H919&lt;5000,cukier11[[#This Row],[czy_nastapiła_zmiana_mies]]=1),ROUNDUP((5000-H919)/1000,0),0)</f>
        <v>0</v>
      </c>
      <c r="G920">
        <f t="shared" si="14"/>
        <v>4506</v>
      </c>
      <c r="H920">
        <f>cukier11[[#This Row],[stan_magazynu]]-cukier11[[#This Row],[sprzedany_cukier]]</f>
        <v>4399</v>
      </c>
      <c r="I920" s="9">
        <f>cukier11[[#This Row],[stan_po_sprzedazy]]+cukier11[[#This Row],[ile_dokupic]]*1000</f>
        <v>4399</v>
      </c>
    </row>
    <row r="921" spans="1:9" x14ac:dyDescent="0.25">
      <c r="A921" s="1">
        <v>39921</v>
      </c>
      <c r="B921" t="s">
        <v>8</v>
      </c>
      <c r="C921">
        <v>26</v>
      </c>
      <c r="D921">
        <f>MONTH(cukier11[[#This Row],[data]])</f>
        <v>4</v>
      </c>
      <c r="E921">
        <f>IF(D922&lt;&gt;cukier11[[#This Row],[miesiac]],1,0)</f>
        <v>0</v>
      </c>
      <c r="F921">
        <f>IF(AND(H920&lt;5000,cukier11[[#This Row],[czy_nastapiła_zmiana_mies]]=1),ROUNDUP((5000-H920)/1000,0),0)</f>
        <v>0</v>
      </c>
      <c r="G921">
        <f t="shared" si="14"/>
        <v>4399</v>
      </c>
      <c r="H921">
        <f>cukier11[[#This Row],[stan_magazynu]]-cukier11[[#This Row],[sprzedany_cukier]]</f>
        <v>4373</v>
      </c>
      <c r="I921" s="9">
        <f>cukier11[[#This Row],[stan_po_sprzedazy]]+cukier11[[#This Row],[ile_dokupic]]*1000</f>
        <v>4373</v>
      </c>
    </row>
    <row r="922" spans="1:9" x14ac:dyDescent="0.25">
      <c r="A922" s="1">
        <v>39923</v>
      </c>
      <c r="B922" t="s">
        <v>31</v>
      </c>
      <c r="C922">
        <v>114</v>
      </c>
      <c r="D922">
        <f>MONTH(cukier11[[#This Row],[data]])</f>
        <v>4</v>
      </c>
      <c r="E922">
        <f>IF(D923&lt;&gt;cukier11[[#This Row],[miesiac]],1,0)</f>
        <v>0</v>
      </c>
      <c r="F922">
        <f>IF(AND(H921&lt;5000,cukier11[[#This Row],[czy_nastapiła_zmiana_mies]]=1),ROUNDUP((5000-H921)/1000,0),0)</f>
        <v>0</v>
      </c>
      <c r="G922">
        <f t="shared" si="14"/>
        <v>4373</v>
      </c>
      <c r="H922">
        <f>cukier11[[#This Row],[stan_magazynu]]-cukier11[[#This Row],[sprzedany_cukier]]</f>
        <v>4259</v>
      </c>
      <c r="I922" s="9">
        <f>cukier11[[#This Row],[stan_po_sprzedazy]]+cukier11[[#This Row],[ile_dokupic]]*1000</f>
        <v>4259</v>
      </c>
    </row>
    <row r="923" spans="1:9" x14ac:dyDescent="0.25">
      <c r="A923" s="1">
        <v>39924</v>
      </c>
      <c r="B923" t="s">
        <v>169</v>
      </c>
      <c r="C923">
        <v>4</v>
      </c>
      <c r="D923">
        <f>MONTH(cukier11[[#This Row],[data]])</f>
        <v>4</v>
      </c>
      <c r="E923">
        <f>IF(D924&lt;&gt;cukier11[[#This Row],[miesiac]],1,0)</f>
        <v>0</v>
      </c>
      <c r="F923">
        <f>IF(AND(H922&lt;5000,cukier11[[#This Row],[czy_nastapiła_zmiana_mies]]=1),ROUNDUP((5000-H922)/1000,0),0)</f>
        <v>0</v>
      </c>
      <c r="G923">
        <f t="shared" si="14"/>
        <v>4259</v>
      </c>
      <c r="H923">
        <f>cukier11[[#This Row],[stan_magazynu]]-cukier11[[#This Row],[sprzedany_cukier]]</f>
        <v>4255</v>
      </c>
      <c r="I923" s="9">
        <f>cukier11[[#This Row],[stan_po_sprzedazy]]+cukier11[[#This Row],[ile_dokupic]]*1000</f>
        <v>4255</v>
      </c>
    </row>
    <row r="924" spans="1:9" x14ac:dyDescent="0.25">
      <c r="A924" s="1">
        <v>39925</v>
      </c>
      <c r="B924" t="s">
        <v>186</v>
      </c>
      <c r="C924">
        <v>15</v>
      </c>
      <c r="D924">
        <f>MONTH(cukier11[[#This Row],[data]])</f>
        <v>4</v>
      </c>
      <c r="E924">
        <f>IF(D925&lt;&gt;cukier11[[#This Row],[miesiac]],1,0)</f>
        <v>0</v>
      </c>
      <c r="F924">
        <f>IF(AND(H923&lt;5000,cukier11[[#This Row],[czy_nastapiła_zmiana_mies]]=1),ROUNDUP((5000-H923)/1000,0),0)</f>
        <v>0</v>
      </c>
      <c r="G924">
        <f t="shared" si="14"/>
        <v>4255</v>
      </c>
      <c r="H924">
        <f>cukier11[[#This Row],[stan_magazynu]]-cukier11[[#This Row],[sprzedany_cukier]]</f>
        <v>4240</v>
      </c>
      <c r="I924" s="9">
        <f>cukier11[[#This Row],[stan_po_sprzedazy]]+cukier11[[#This Row],[ile_dokupic]]*1000</f>
        <v>4240</v>
      </c>
    </row>
    <row r="925" spans="1:9" x14ac:dyDescent="0.25">
      <c r="A925" s="1">
        <v>39929</v>
      </c>
      <c r="B925" t="s">
        <v>66</v>
      </c>
      <c r="C925">
        <v>144</v>
      </c>
      <c r="D925">
        <f>MONTH(cukier11[[#This Row],[data]])</f>
        <v>4</v>
      </c>
      <c r="E925">
        <f>IF(D926&lt;&gt;cukier11[[#This Row],[miesiac]],1,0)</f>
        <v>0</v>
      </c>
      <c r="F925">
        <f>IF(AND(H924&lt;5000,cukier11[[#This Row],[czy_nastapiła_zmiana_mies]]=1),ROUNDUP((5000-H924)/1000,0),0)</f>
        <v>0</v>
      </c>
      <c r="G925">
        <f t="shared" si="14"/>
        <v>4240</v>
      </c>
      <c r="H925">
        <f>cukier11[[#This Row],[stan_magazynu]]-cukier11[[#This Row],[sprzedany_cukier]]</f>
        <v>4096</v>
      </c>
      <c r="I925" s="9">
        <f>cukier11[[#This Row],[stan_po_sprzedazy]]+cukier11[[#This Row],[ile_dokupic]]*1000</f>
        <v>4096</v>
      </c>
    </row>
    <row r="926" spans="1:9" x14ac:dyDescent="0.25">
      <c r="A926" s="1">
        <v>39933</v>
      </c>
      <c r="B926" t="s">
        <v>5</v>
      </c>
      <c r="C926">
        <v>110</v>
      </c>
      <c r="D926">
        <f>MONTH(cukier11[[#This Row],[data]])</f>
        <v>4</v>
      </c>
      <c r="E926">
        <f>IF(D927&lt;&gt;cukier11[[#This Row],[miesiac]],1,0)</f>
        <v>0</v>
      </c>
      <c r="F926">
        <f>IF(AND(H925&lt;5000,cukier11[[#This Row],[czy_nastapiła_zmiana_mies]]=1),ROUNDUP((5000-H925)/1000,0),0)</f>
        <v>0</v>
      </c>
      <c r="G926">
        <f t="shared" si="14"/>
        <v>4096</v>
      </c>
      <c r="H926">
        <f>cukier11[[#This Row],[stan_magazynu]]-cukier11[[#This Row],[sprzedany_cukier]]</f>
        <v>3986</v>
      </c>
      <c r="I926" s="9">
        <f>cukier11[[#This Row],[stan_po_sprzedazy]]+cukier11[[#This Row],[ile_dokupic]]*1000</f>
        <v>3986</v>
      </c>
    </row>
    <row r="927" spans="1:9" x14ac:dyDescent="0.25">
      <c r="A927" s="1">
        <v>39933</v>
      </c>
      <c r="B927" t="s">
        <v>37</v>
      </c>
      <c r="C927">
        <v>105</v>
      </c>
      <c r="D927">
        <f>MONTH(cukier11[[#This Row],[data]])</f>
        <v>4</v>
      </c>
      <c r="E927">
        <f>IF(D928&lt;&gt;cukier11[[#This Row],[miesiac]],1,0)</f>
        <v>1</v>
      </c>
      <c r="F927">
        <f>IF(AND(H926&lt;5000,cukier11[[#This Row],[czy_nastapiła_zmiana_mies]]=1),ROUNDUP((5000-H926)/1000,0),0)</f>
        <v>2</v>
      </c>
      <c r="G927">
        <f t="shared" si="14"/>
        <v>3986</v>
      </c>
      <c r="H927">
        <f>cukier11[[#This Row],[stan_magazynu]]-cukier11[[#This Row],[sprzedany_cukier]]</f>
        <v>3881</v>
      </c>
      <c r="I927" s="9">
        <f>cukier11[[#This Row],[stan_po_sprzedazy]]+cukier11[[#This Row],[ile_dokupic]]*1000</f>
        <v>5881</v>
      </c>
    </row>
    <row r="928" spans="1:9" x14ac:dyDescent="0.25">
      <c r="A928" s="1">
        <v>39935</v>
      </c>
      <c r="B928" t="s">
        <v>52</v>
      </c>
      <c r="C928">
        <v>51</v>
      </c>
      <c r="D928">
        <f>MONTH(cukier11[[#This Row],[data]])</f>
        <v>5</v>
      </c>
      <c r="E928">
        <f>IF(D929&lt;&gt;cukier11[[#This Row],[miesiac]],1,0)</f>
        <v>0</v>
      </c>
      <c r="F928">
        <f>IF(AND(H927&lt;5000,cukier11[[#This Row],[czy_nastapiła_zmiana_mies]]=1),ROUNDUP((5000-H927)/1000,0),0)</f>
        <v>0</v>
      </c>
      <c r="G928">
        <f t="shared" si="14"/>
        <v>5881</v>
      </c>
      <c r="H928">
        <f>cukier11[[#This Row],[stan_magazynu]]-cukier11[[#This Row],[sprzedany_cukier]]</f>
        <v>5830</v>
      </c>
      <c r="I928" s="9">
        <f>cukier11[[#This Row],[stan_po_sprzedazy]]+cukier11[[#This Row],[ile_dokupic]]*1000</f>
        <v>5830</v>
      </c>
    </row>
    <row r="929" spans="1:9" x14ac:dyDescent="0.25">
      <c r="A929" s="1">
        <v>39937</v>
      </c>
      <c r="B929" t="s">
        <v>145</v>
      </c>
      <c r="C929">
        <v>1</v>
      </c>
      <c r="D929">
        <f>MONTH(cukier11[[#This Row],[data]])</f>
        <v>5</v>
      </c>
      <c r="E929">
        <f>IF(D930&lt;&gt;cukier11[[#This Row],[miesiac]],1,0)</f>
        <v>0</v>
      </c>
      <c r="F929">
        <f>IF(AND(H928&lt;5000,cukier11[[#This Row],[czy_nastapiła_zmiana_mies]]=1),ROUNDUP((5000-H928)/1000,0),0)</f>
        <v>0</v>
      </c>
      <c r="G929">
        <f t="shared" si="14"/>
        <v>5830</v>
      </c>
      <c r="H929">
        <f>cukier11[[#This Row],[stan_magazynu]]-cukier11[[#This Row],[sprzedany_cukier]]</f>
        <v>5829</v>
      </c>
      <c r="I929" s="9">
        <f>cukier11[[#This Row],[stan_po_sprzedazy]]+cukier11[[#This Row],[ile_dokupic]]*1000</f>
        <v>5829</v>
      </c>
    </row>
    <row r="930" spans="1:9" x14ac:dyDescent="0.25">
      <c r="A930" s="1">
        <v>39937</v>
      </c>
      <c r="B930" t="s">
        <v>152</v>
      </c>
      <c r="C930">
        <v>8</v>
      </c>
      <c r="D930">
        <f>MONTH(cukier11[[#This Row],[data]])</f>
        <v>5</v>
      </c>
      <c r="E930">
        <f>IF(D931&lt;&gt;cukier11[[#This Row],[miesiac]],1,0)</f>
        <v>0</v>
      </c>
      <c r="F930">
        <f>IF(AND(H929&lt;5000,cukier11[[#This Row],[czy_nastapiła_zmiana_mies]]=1),ROUNDUP((5000-H929)/1000,0),0)</f>
        <v>0</v>
      </c>
      <c r="G930">
        <f t="shared" si="14"/>
        <v>5829</v>
      </c>
      <c r="H930">
        <f>cukier11[[#This Row],[stan_magazynu]]-cukier11[[#This Row],[sprzedany_cukier]]</f>
        <v>5821</v>
      </c>
      <c r="I930" s="9">
        <f>cukier11[[#This Row],[stan_po_sprzedazy]]+cukier11[[#This Row],[ile_dokupic]]*1000</f>
        <v>5821</v>
      </c>
    </row>
    <row r="931" spans="1:9" x14ac:dyDescent="0.25">
      <c r="A931" s="1">
        <v>39939</v>
      </c>
      <c r="B931" t="s">
        <v>9</v>
      </c>
      <c r="C931">
        <v>128</v>
      </c>
      <c r="D931">
        <f>MONTH(cukier11[[#This Row],[data]])</f>
        <v>5</v>
      </c>
      <c r="E931">
        <f>IF(D932&lt;&gt;cukier11[[#This Row],[miesiac]],1,0)</f>
        <v>0</v>
      </c>
      <c r="F931">
        <f>IF(AND(H930&lt;5000,cukier11[[#This Row],[czy_nastapiła_zmiana_mies]]=1),ROUNDUP((5000-H930)/1000,0),0)</f>
        <v>0</v>
      </c>
      <c r="G931">
        <f t="shared" si="14"/>
        <v>5821</v>
      </c>
      <c r="H931">
        <f>cukier11[[#This Row],[stan_magazynu]]-cukier11[[#This Row],[sprzedany_cukier]]</f>
        <v>5693</v>
      </c>
      <c r="I931" s="9">
        <f>cukier11[[#This Row],[stan_po_sprzedazy]]+cukier11[[#This Row],[ile_dokupic]]*1000</f>
        <v>5693</v>
      </c>
    </row>
    <row r="932" spans="1:9" x14ac:dyDescent="0.25">
      <c r="A932" s="1">
        <v>39942</v>
      </c>
      <c r="B932" t="s">
        <v>87</v>
      </c>
      <c r="C932">
        <v>9</v>
      </c>
      <c r="D932">
        <f>MONTH(cukier11[[#This Row],[data]])</f>
        <v>5</v>
      </c>
      <c r="E932">
        <f>IF(D933&lt;&gt;cukier11[[#This Row],[miesiac]],1,0)</f>
        <v>0</v>
      </c>
      <c r="F932">
        <f>IF(AND(H931&lt;5000,cukier11[[#This Row],[czy_nastapiła_zmiana_mies]]=1),ROUNDUP((5000-H931)/1000,0),0)</f>
        <v>0</v>
      </c>
      <c r="G932">
        <f t="shared" si="14"/>
        <v>5693</v>
      </c>
      <c r="H932">
        <f>cukier11[[#This Row],[stan_magazynu]]-cukier11[[#This Row],[sprzedany_cukier]]</f>
        <v>5684</v>
      </c>
      <c r="I932" s="9">
        <f>cukier11[[#This Row],[stan_po_sprzedazy]]+cukier11[[#This Row],[ile_dokupic]]*1000</f>
        <v>5684</v>
      </c>
    </row>
    <row r="933" spans="1:9" x14ac:dyDescent="0.25">
      <c r="A933" s="1">
        <v>39948</v>
      </c>
      <c r="B933" t="s">
        <v>9</v>
      </c>
      <c r="C933">
        <v>291</v>
      </c>
      <c r="D933">
        <f>MONTH(cukier11[[#This Row],[data]])</f>
        <v>5</v>
      </c>
      <c r="E933">
        <f>IF(D934&lt;&gt;cukier11[[#This Row],[miesiac]],1,0)</f>
        <v>0</v>
      </c>
      <c r="F933">
        <f>IF(AND(H932&lt;5000,cukier11[[#This Row],[czy_nastapiła_zmiana_mies]]=1),ROUNDUP((5000-H932)/1000,0),0)</f>
        <v>0</v>
      </c>
      <c r="G933">
        <f t="shared" si="14"/>
        <v>5684</v>
      </c>
      <c r="H933">
        <f>cukier11[[#This Row],[stan_magazynu]]-cukier11[[#This Row],[sprzedany_cukier]]</f>
        <v>5393</v>
      </c>
      <c r="I933" s="9">
        <f>cukier11[[#This Row],[stan_po_sprzedazy]]+cukier11[[#This Row],[ile_dokupic]]*1000</f>
        <v>5393</v>
      </c>
    </row>
    <row r="934" spans="1:9" x14ac:dyDescent="0.25">
      <c r="A934" s="1">
        <v>39949</v>
      </c>
      <c r="B934" t="s">
        <v>14</v>
      </c>
      <c r="C934">
        <v>261</v>
      </c>
      <c r="D934">
        <f>MONTH(cukier11[[#This Row],[data]])</f>
        <v>5</v>
      </c>
      <c r="E934">
        <f>IF(D935&lt;&gt;cukier11[[#This Row],[miesiac]],1,0)</f>
        <v>0</v>
      </c>
      <c r="F934">
        <f>IF(AND(H933&lt;5000,cukier11[[#This Row],[czy_nastapiła_zmiana_mies]]=1),ROUNDUP((5000-H933)/1000,0),0)</f>
        <v>0</v>
      </c>
      <c r="G934">
        <f t="shared" si="14"/>
        <v>5393</v>
      </c>
      <c r="H934">
        <f>cukier11[[#This Row],[stan_magazynu]]-cukier11[[#This Row],[sprzedany_cukier]]</f>
        <v>5132</v>
      </c>
      <c r="I934" s="9">
        <f>cukier11[[#This Row],[stan_po_sprzedazy]]+cukier11[[#This Row],[ile_dokupic]]*1000</f>
        <v>5132</v>
      </c>
    </row>
    <row r="935" spans="1:9" x14ac:dyDescent="0.25">
      <c r="A935" s="1">
        <v>39951</v>
      </c>
      <c r="B935" t="s">
        <v>52</v>
      </c>
      <c r="C935">
        <v>192</v>
      </c>
      <c r="D935">
        <f>MONTH(cukier11[[#This Row],[data]])</f>
        <v>5</v>
      </c>
      <c r="E935">
        <f>IF(D936&lt;&gt;cukier11[[#This Row],[miesiac]],1,0)</f>
        <v>0</v>
      </c>
      <c r="F935">
        <f>IF(AND(H934&lt;5000,cukier11[[#This Row],[czy_nastapiła_zmiana_mies]]=1),ROUNDUP((5000-H934)/1000,0),0)</f>
        <v>0</v>
      </c>
      <c r="G935">
        <f t="shared" si="14"/>
        <v>5132</v>
      </c>
      <c r="H935">
        <f>cukier11[[#This Row],[stan_magazynu]]-cukier11[[#This Row],[sprzedany_cukier]]</f>
        <v>4940</v>
      </c>
      <c r="I935" s="9">
        <f>cukier11[[#This Row],[stan_po_sprzedazy]]+cukier11[[#This Row],[ile_dokupic]]*1000</f>
        <v>4940</v>
      </c>
    </row>
    <row r="936" spans="1:9" x14ac:dyDescent="0.25">
      <c r="A936" s="1">
        <v>39951</v>
      </c>
      <c r="B936" t="s">
        <v>7</v>
      </c>
      <c r="C936">
        <v>319</v>
      </c>
      <c r="D936">
        <f>MONTH(cukier11[[#This Row],[data]])</f>
        <v>5</v>
      </c>
      <c r="E936">
        <f>IF(D937&lt;&gt;cukier11[[#This Row],[miesiac]],1,0)</f>
        <v>0</v>
      </c>
      <c r="F936">
        <f>IF(AND(H935&lt;5000,cukier11[[#This Row],[czy_nastapiła_zmiana_mies]]=1),ROUNDUP((5000-H935)/1000,0),0)</f>
        <v>0</v>
      </c>
      <c r="G936">
        <f t="shared" si="14"/>
        <v>4940</v>
      </c>
      <c r="H936">
        <f>cukier11[[#This Row],[stan_magazynu]]-cukier11[[#This Row],[sprzedany_cukier]]</f>
        <v>4621</v>
      </c>
      <c r="I936" s="9">
        <f>cukier11[[#This Row],[stan_po_sprzedazy]]+cukier11[[#This Row],[ile_dokupic]]*1000</f>
        <v>4621</v>
      </c>
    </row>
    <row r="937" spans="1:9" x14ac:dyDescent="0.25">
      <c r="A937" s="1">
        <v>39953</v>
      </c>
      <c r="B937" t="s">
        <v>45</v>
      </c>
      <c r="C937">
        <v>393</v>
      </c>
      <c r="D937">
        <f>MONTH(cukier11[[#This Row],[data]])</f>
        <v>5</v>
      </c>
      <c r="E937">
        <f>IF(D938&lt;&gt;cukier11[[#This Row],[miesiac]],1,0)</f>
        <v>0</v>
      </c>
      <c r="F937">
        <f>IF(AND(H936&lt;5000,cukier11[[#This Row],[czy_nastapiła_zmiana_mies]]=1),ROUNDUP((5000-H936)/1000,0),0)</f>
        <v>0</v>
      </c>
      <c r="G937">
        <f t="shared" si="14"/>
        <v>4621</v>
      </c>
      <c r="H937">
        <f>cukier11[[#This Row],[stan_magazynu]]-cukier11[[#This Row],[sprzedany_cukier]]</f>
        <v>4228</v>
      </c>
      <c r="I937" s="9">
        <f>cukier11[[#This Row],[stan_po_sprzedazy]]+cukier11[[#This Row],[ile_dokupic]]*1000</f>
        <v>4228</v>
      </c>
    </row>
    <row r="938" spans="1:9" x14ac:dyDescent="0.25">
      <c r="A938" s="1">
        <v>39957</v>
      </c>
      <c r="B938" t="s">
        <v>187</v>
      </c>
      <c r="C938">
        <v>13</v>
      </c>
      <c r="D938">
        <f>MONTH(cukier11[[#This Row],[data]])</f>
        <v>5</v>
      </c>
      <c r="E938">
        <f>IF(D939&lt;&gt;cukier11[[#This Row],[miesiac]],1,0)</f>
        <v>0</v>
      </c>
      <c r="F938">
        <f>IF(AND(H937&lt;5000,cukier11[[#This Row],[czy_nastapiła_zmiana_mies]]=1),ROUNDUP((5000-H937)/1000,0),0)</f>
        <v>0</v>
      </c>
      <c r="G938">
        <f t="shared" si="14"/>
        <v>4228</v>
      </c>
      <c r="H938">
        <f>cukier11[[#This Row],[stan_magazynu]]-cukier11[[#This Row],[sprzedany_cukier]]</f>
        <v>4215</v>
      </c>
      <c r="I938" s="9">
        <f>cukier11[[#This Row],[stan_po_sprzedazy]]+cukier11[[#This Row],[ile_dokupic]]*1000</f>
        <v>4215</v>
      </c>
    </row>
    <row r="939" spans="1:9" x14ac:dyDescent="0.25">
      <c r="A939" s="1">
        <v>39958</v>
      </c>
      <c r="B939" t="s">
        <v>50</v>
      </c>
      <c r="C939">
        <v>380</v>
      </c>
      <c r="D939">
        <f>MONTH(cukier11[[#This Row],[data]])</f>
        <v>5</v>
      </c>
      <c r="E939">
        <f>IF(D940&lt;&gt;cukier11[[#This Row],[miesiac]],1,0)</f>
        <v>0</v>
      </c>
      <c r="F939">
        <f>IF(AND(H938&lt;5000,cukier11[[#This Row],[czy_nastapiła_zmiana_mies]]=1),ROUNDUP((5000-H938)/1000,0),0)</f>
        <v>0</v>
      </c>
      <c r="G939">
        <f t="shared" si="14"/>
        <v>4215</v>
      </c>
      <c r="H939">
        <f>cukier11[[#This Row],[stan_magazynu]]-cukier11[[#This Row],[sprzedany_cukier]]</f>
        <v>3835</v>
      </c>
      <c r="I939" s="9">
        <f>cukier11[[#This Row],[stan_po_sprzedazy]]+cukier11[[#This Row],[ile_dokupic]]*1000</f>
        <v>3835</v>
      </c>
    </row>
    <row r="940" spans="1:9" x14ac:dyDescent="0.25">
      <c r="A940" s="1">
        <v>39959</v>
      </c>
      <c r="B940" t="s">
        <v>37</v>
      </c>
      <c r="C940">
        <v>36</v>
      </c>
      <c r="D940">
        <f>MONTH(cukier11[[#This Row],[data]])</f>
        <v>5</v>
      </c>
      <c r="E940">
        <f>IF(D941&lt;&gt;cukier11[[#This Row],[miesiac]],1,0)</f>
        <v>0</v>
      </c>
      <c r="F940">
        <f>IF(AND(H939&lt;5000,cukier11[[#This Row],[czy_nastapiła_zmiana_mies]]=1),ROUNDUP((5000-H939)/1000,0),0)</f>
        <v>0</v>
      </c>
      <c r="G940">
        <f t="shared" si="14"/>
        <v>3835</v>
      </c>
      <c r="H940">
        <f>cukier11[[#This Row],[stan_magazynu]]-cukier11[[#This Row],[sprzedany_cukier]]</f>
        <v>3799</v>
      </c>
      <c r="I940" s="9">
        <f>cukier11[[#This Row],[stan_po_sprzedazy]]+cukier11[[#This Row],[ile_dokupic]]*1000</f>
        <v>3799</v>
      </c>
    </row>
    <row r="941" spans="1:9" x14ac:dyDescent="0.25">
      <c r="A941" s="1">
        <v>39962</v>
      </c>
      <c r="B941" t="s">
        <v>173</v>
      </c>
      <c r="C941">
        <v>179</v>
      </c>
      <c r="D941">
        <f>MONTH(cukier11[[#This Row],[data]])</f>
        <v>5</v>
      </c>
      <c r="E941">
        <f>IF(D942&lt;&gt;cukier11[[#This Row],[miesiac]],1,0)</f>
        <v>0</v>
      </c>
      <c r="F941">
        <f>IF(AND(H940&lt;5000,cukier11[[#This Row],[czy_nastapiła_zmiana_mies]]=1),ROUNDUP((5000-H940)/1000,0),0)</f>
        <v>0</v>
      </c>
      <c r="G941">
        <f t="shared" si="14"/>
        <v>3799</v>
      </c>
      <c r="H941">
        <f>cukier11[[#This Row],[stan_magazynu]]-cukier11[[#This Row],[sprzedany_cukier]]</f>
        <v>3620</v>
      </c>
      <c r="I941" s="9">
        <f>cukier11[[#This Row],[stan_po_sprzedazy]]+cukier11[[#This Row],[ile_dokupic]]*1000</f>
        <v>3620</v>
      </c>
    </row>
    <row r="942" spans="1:9" x14ac:dyDescent="0.25">
      <c r="A942" s="1">
        <v>39964</v>
      </c>
      <c r="B942" t="s">
        <v>28</v>
      </c>
      <c r="C942">
        <v>111</v>
      </c>
      <c r="D942">
        <f>MONTH(cukier11[[#This Row],[data]])</f>
        <v>5</v>
      </c>
      <c r="E942">
        <f>IF(D943&lt;&gt;cukier11[[#This Row],[miesiac]],1,0)</f>
        <v>1</v>
      </c>
      <c r="F942">
        <f>IF(AND(H941&lt;5000,cukier11[[#This Row],[czy_nastapiła_zmiana_mies]]=1),ROUNDUP((5000-H941)/1000,0),0)</f>
        <v>2</v>
      </c>
      <c r="G942">
        <f t="shared" si="14"/>
        <v>3620</v>
      </c>
      <c r="H942">
        <f>cukier11[[#This Row],[stan_magazynu]]-cukier11[[#This Row],[sprzedany_cukier]]</f>
        <v>3509</v>
      </c>
      <c r="I942" s="9">
        <f>cukier11[[#This Row],[stan_po_sprzedazy]]+cukier11[[#This Row],[ile_dokupic]]*1000</f>
        <v>5509</v>
      </c>
    </row>
    <row r="943" spans="1:9" x14ac:dyDescent="0.25">
      <c r="A943" s="1">
        <v>39965</v>
      </c>
      <c r="B943" t="s">
        <v>8</v>
      </c>
      <c r="C943">
        <v>36</v>
      </c>
      <c r="D943">
        <f>MONTH(cukier11[[#This Row],[data]])</f>
        <v>6</v>
      </c>
      <c r="E943">
        <f>IF(D944&lt;&gt;cukier11[[#This Row],[miesiac]],1,0)</f>
        <v>0</v>
      </c>
      <c r="F943">
        <f>IF(AND(H942&lt;5000,cukier11[[#This Row],[czy_nastapiła_zmiana_mies]]=1),ROUNDUP((5000-H942)/1000,0),0)</f>
        <v>0</v>
      </c>
      <c r="G943">
        <f t="shared" si="14"/>
        <v>5509</v>
      </c>
      <c r="H943">
        <f>cukier11[[#This Row],[stan_magazynu]]-cukier11[[#This Row],[sprzedany_cukier]]</f>
        <v>5473</v>
      </c>
      <c r="I943" s="9">
        <f>cukier11[[#This Row],[stan_po_sprzedazy]]+cukier11[[#This Row],[ile_dokupic]]*1000</f>
        <v>5473</v>
      </c>
    </row>
    <row r="944" spans="1:9" x14ac:dyDescent="0.25">
      <c r="A944" s="1">
        <v>39965</v>
      </c>
      <c r="B944" t="s">
        <v>10</v>
      </c>
      <c r="C944">
        <v>120</v>
      </c>
      <c r="D944">
        <f>MONTH(cukier11[[#This Row],[data]])</f>
        <v>6</v>
      </c>
      <c r="E944">
        <f>IF(D945&lt;&gt;cukier11[[#This Row],[miesiac]],1,0)</f>
        <v>0</v>
      </c>
      <c r="F944">
        <f>IF(AND(H943&lt;5000,cukier11[[#This Row],[czy_nastapiła_zmiana_mies]]=1),ROUNDUP((5000-H943)/1000,0),0)</f>
        <v>0</v>
      </c>
      <c r="G944">
        <f t="shared" si="14"/>
        <v>5473</v>
      </c>
      <c r="H944">
        <f>cukier11[[#This Row],[stan_magazynu]]-cukier11[[#This Row],[sprzedany_cukier]]</f>
        <v>5353</v>
      </c>
      <c r="I944" s="9">
        <f>cukier11[[#This Row],[stan_po_sprzedazy]]+cukier11[[#This Row],[ile_dokupic]]*1000</f>
        <v>5353</v>
      </c>
    </row>
    <row r="945" spans="1:9" x14ac:dyDescent="0.25">
      <c r="A945" s="1">
        <v>39969</v>
      </c>
      <c r="B945" t="s">
        <v>188</v>
      </c>
      <c r="C945">
        <v>11</v>
      </c>
      <c r="D945">
        <f>MONTH(cukier11[[#This Row],[data]])</f>
        <v>6</v>
      </c>
      <c r="E945">
        <f>IF(D946&lt;&gt;cukier11[[#This Row],[miesiac]],1,0)</f>
        <v>0</v>
      </c>
      <c r="F945">
        <f>IF(AND(H944&lt;5000,cukier11[[#This Row],[czy_nastapiła_zmiana_mies]]=1),ROUNDUP((5000-H944)/1000,0),0)</f>
        <v>0</v>
      </c>
      <c r="G945">
        <f t="shared" si="14"/>
        <v>5353</v>
      </c>
      <c r="H945">
        <f>cukier11[[#This Row],[stan_magazynu]]-cukier11[[#This Row],[sprzedany_cukier]]</f>
        <v>5342</v>
      </c>
      <c r="I945" s="9">
        <f>cukier11[[#This Row],[stan_po_sprzedazy]]+cukier11[[#This Row],[ile_dokupic]]*1000</f>
        <v>5342</v>
      </c>
    </row>
    <row r="946" spans="1:9" x14ac:dyDescent="0.25">
      <c r="A946" s="1">
        <v>39971</v>
      </c>
      <c r="B946" t="s">
        <v>126</v>
      </c>
      <c r="C946">
        <v>15</v>
      </c>
      <c r="D946">
        <f>MONTH(cukier11[[#This Row],[data]])</f>
        <v>6</v>
      </c>
      <c r="E946">
        <f>IF(D947&lt;&gt;cukier11[[#This Row],[miesiac]],1,0)</f>
        <v>0</v>
      </c>
      <c r="F946">
        <f>IF(AND(H945&lt;5000,cukier11[[#This Row],[czy_nastapiła_zmiana_mies]]=1),ROUNDUP((5000-H945)/1000,0),0)</f>
        <v>0</v>
      </c>
      <c r="G946">
        <f t="shared" si="14"/>
        <v>5342</v>
      </c>
      <c r="H946">
        <f>cukier11[[#This Row],[stan_magazynu]]-cukier11[[#This Row],[sprzedany_cukier]]</f>
        <v>5327</v>
      </c>
      <c r="I946" s="9">
        <f>cukier11[[#This Row],[stan_po_sprzedazy]]+cukier11[[#This Row],[ile_dokupic]]*1000</f>
        <v>5327</v>
      </c>
    </row>
    <row r="947" spans="1:9" x14ac:dyDescent="0.25">
      <c r="A947" s="1">
        <v>39971</v>
      </c>
      <c r="B947" t="s">
        <v>43</v>
      </c>
      <c r="C947">
        <v>4</v>
      </c>
      <c r="D947">
        <f>MONTH(cukier11[[#This Row],[data]])</f>
        <v>6</v>
      </c>
      <c r="E947">
        <f>IF(D948&lt;&gt;cukier11[[#This Row],[miesiac]],1,0)</f>
        <v>0</v>
      </c>
      <c r="F947">
        <f>IF(AND(H946&lt;5000,cukier11[[#This Row],[czy_nastapiła_zmiana_mies]]=1),ROUNDUP((5000-H946)/1000,0),0)</f>
        <v>0</v>
      </c>
      <c r="G947">
        <f t="shared" si="14"/>
        <v>5327</v>
      </c>
      <c r="H947">
        <f>cukier11[[#This Row],[stan_magazynu]]-cukier11[[#This Row],[sprzedany_cukier]]</f>
        <v>5323</v>
      </c>
      <c r="I947" s="9">
        <f>cukier11[[#This Row],[stan_po_sprzedazy]]+cukier11[[#This Row],[ile_dokupic]]*1000</f>
        <v>5323</v>
      </c>
    </row>
    <row r="948" spans="1:9" x14ac:dyDescent="0.25">
      <c r="A948" s="1">
        <v>39974</v>
      </c>
      <c r="B948" t="s">
        <v>115</v>
      </c>
      <c r="C948">
        <v>11</v>
      </c>
      <c r="D948">
        <f>MONTH(cukier11[[#This Row],[data]])</f>
        <v>6</v>
      </c>
      <c r="E948">
        <f>IF(D949&lt;&gt;cukier11[[#This Row],[miesiac]],1,0)</f>
        <v>0</v>
      </c>
      <c r="F948">
        <f>IF(AND(H947&lt;5000,cukier11[[#This Row],[czy_nastapiła_zmiana_mies]]=1),ROUNDUP((5000-H947)/1000,0),0)</f>
        <v>0</v>
      </c>
      <c r="G948">
        <f t="shared" si="14"/>
        <v>5323</v>
      </c>
      <c r="H948">
        <f>cukier11[[#This Row],[stan_magazynu]]-cukier11[[#This Row],[sprzedany_cukier]]</f>
        <v>5312</v>
      </c>
      <c r="I948" s="9">
        <f>cukier11[[#This Row],[stan_po_sprzedazy]]+cukier11[[#This Row],[ile_dokupic]]*1000</f>
        <v>5312</v>
      </c>
    </row>
    <row r="949" spans="1:9" x14ac:dyDescent="0.25">
      <c r="A949" s="1">
        <v>39977</v>
      </c>
      <c r="B949" t="s">
        <v>189</v>
      </c>
      <c r="C949">
        <v>9</v>
      </c>
      <c r="D949">
        <f>MONTH(cukier11[[#This Row],[data]])</f>
        <v>6</v>
      </c>
      <c r="E949">
        <f>IF(D950&lt;&gt;cukier11[[#This Row],[miesiac]],1,0)</f>
        <v>0</v>
      </c>
      <c r="F949">
        <f>IF(AND(H948&lt;5000,cukier11[[#This Row],[czy_nastapiła_zmiana_mies]]=1),ROUNDUP((5000-H948)/1000,0),0)</f>
        <v>0</v>
      </c>
      <c r="G949">
        <f t="shared" si="14"/>
        <v>5312</v>
      </c>
      <c r="H949">
        <f>cukier11[[#This Row],[stan_magazynu]]-cukier11[[#This Row],[sprzedany_cukier]]</f>
        <v>5303</v>
      </c>
      <c r="I949" s="9">
        <f>cukier11[[#This Row],[stan_po_sprzedazy]]+cukier11[[#This Row],[ile_dokupic]]*1000</f>
        <v>5303</v>
      </c>
    </row>
    <row r="950" spans="1:9" x14ac:dyDescent="0.25">
      <c r="A950" s="1">
        <v>39978</v>
      </c>
      <c r="B950" t="s">
        <v>50</v>
      </c>
      <c r="C950">
        <v>498</v>
      </c>
      <c r="D950">
        <f>MONTH(cukier11[[#This Row],[data]])</f>
        <v>6</v>
      </c>
      <c r="E950">
        <f>IF(D951&lt;&gt;cukier11[[#This Row],[miesiac]],1,0)</f>
        <v>0</v>
      </c>
      <c r="F950">
        <f>IF(AND(H949&lt;5000,cukier11[[#This Row],[czy_nastapiła_zmiana_mies]]=1),ROUNDUP((5000-H949)/1000,0),0)</f>
        <v>0</v>
      </c>
      <c r="G950">
        <f t="shared" si="14"/>
        <v>5303</v>
      </c>
      <c r="H950">
        <f>cukier11[[#This Row],[stan_magazynu]]-cukier11[[#This Row],[sprzedany_cukier]]</f>
        <v>4805</v>
      </c>
      <c r="I950" s="9">
        <f>cukier11[[#This Row],[stan_po_sprzedazy]]+cukier11[[#This Row],[ile_dokupic]]*1000</f>
        <v>4805</v>
      </c>
    </row>
    <row r="951" spans="1:9" x14ac:dyDescent="0.25">
      <c r="A951" s="1">
        <v>39980</v>
      </c>
      <c r="B951" t="s">
        <v>45</v>
      </c>
      <c r="C951">
        <v>350</v>
      </c>
      <c r="D951">
        <f>MONTH(cukier11[[#This Row],[data]])</f>
        <v>6</v>
      </c>
      <c r="E951">
        <f>IF(D952&lt;&gt;cukier11[[#This Row],[miesiac]],1,0)</f>
        <v>0</v>
      </c>
      <c r="F951">
        <f>IF(AND(H950&lt;5000,cukier11[[#This Row],[czy_nastapiła_zmiana_mies]]=1),ROUNDUP((5000-H950)/1000,0),0)</f>
        <v>0</v>
      </c>
      <c r="G951">
        <f t="shared" si="14"/>
        <v>4805</v>
      </c>
      <c r="H951">
        <f>cukier11[[#This Row],[stan_magazynu]]-cukier11[[#This Row],[sprzedany_cukier]]</f>
        <v>4455</v>
      </c>
      <c r="I951" s="9">
        <f>cukier11[[#This Row],[stan_po_sprzedazy]]+cukier11[[#This Row],[ile_dokupic]]*1000</f>
        <v>4455</v>
      </c>
    </row>
    <row r="952" spans="1:9" x14ac:dyDescent="0.25">
      <c r="A952" s="1">
        <v>39980</v>
      </c>
      <c r="B952" t="s">
        <v>8</v>
      </c>
      <c r="C952">
        <v>191</v>
      </c>
      <c r="D952">
        <f>MONTH(cukier11[[#This Row],[data]])</f>
        <v>6</v>
      </c>
      <c r="E952">
        <f>IF(D953&lt;&gt;cukier11[[#This Row],[miesiac]],1,0)</f>
        <v>0</v>
      </c>
      <c r="F952">
        <f>IF(AND(H951&lt;5000,cukier11[[#This Row],[czy_nastapiła_zmiana_mies]]=1),ROUNDUP((5000-H951)/1000,0),0)</f>
        <v>0</v>
      </c>
      <c r="G952">
        <f t="shared" si="14"/>
        <v>4455</v>
      </c>
      <c r="H952">
        <f>cukier11[[#This Row],[stan_magazynu]]-cukier11[[#This Row],[sprzedany_cukier]]</f>
        <v>4264</v>
      </c>
      <c r="I952" s="9">
        <f>cukier11[[#This Row],[stan_po_sprzedazy]]+cukier11[[#This Row],[ile_dokupic]]*1000</f>
        <v>4264</v>
      </c>
    </row>
    <row r="953" spans="1:9" x14ac:dyDescent="0.25">
      <c r="A953" s="1">
        <v>39980</v>
      </c>
      <c r="B953" t="s">
        <v>9</v>
      </c>
      <c r="C953">
        <v>402</v>
      </c>
      <c r="D953">
        <f>MONTH(cukier11[[#This Row],[data]])</f>
        <v>6</v>
      </c>
      <c r="E953">
        <f>IF(D954&lt;&gt;cukier11[[#This Row],[miesiac]],1,0)</f>
        <v>0</v>
      </c>
      <c r="F953">
        <f>IF(AND(H952&lt;5000,cukier11[[#This Row],[czy_nastapiła_zmiana_mies]]=1),ROUNDUP((5000-H952)/1000,0),0)</f>
        <v>0</v>
      </c>
      <c r="G953">
        <f t="shared" si="14"/>
        <v>4264</v>
      </c>
      <c r="H953">
        <f>cukier11[[#This Row],[stan_magazynu]]-cukier11[[#This Row],[sprzedany_cukier]]</f>
        <v>3862</v>
      </c>
      <c r="I953" s="9">
        <f>cukier11[[#This Row],[stan_po_sprzedazy]]+cukier11[[#This Row],[ile_dokupic]]*1000</f>
        <v>3862</v>
      </c>
    </row>
    <row r="954" spans="1:9" x14ac:dyDescent="0.25">
      <c r="A954" s="1">
        <v>39984</v>
      </c>
      <c r="B954" t="s">
        <v>69</v>
      </c>
      <c r="C954">
        <v>140</v>
      </c>
      <c r="D954">
        <f>MONTH(cukier11[[#This Row],[data]])</f>
        <v>6</v>
      </c>
      <c r="E954">
        <f>IF(D955&lt;&gt;cukier11[[#This Row],[miesiac]],1,0)</f>
        <v>0</v>
      </c>
      <c r="F954">
        <f>IF(AND(H953&lt;5000,cukier11[[#This Row],[czy_nastapiła_zmiana_mies]]=1),ROUNDUP((5000-H953)/1000,0),0)</f>
        <v>0</v>
      </c>
      <c r="G954">
        <f t="shared" si="14"/>
        <v>3862</v>
      </c>
      <c r="H954">
        <f>cukier11[[#This Row],[stan_magazynu]]-cukier11[[#This Row],[sprzedany_cukier]]</f>
        <v>3722</v>
      </c>
      <c r="I954" s="9">
        <f>cukier11[[#This Row],[stan_po_sprzedazy]]+cukier11[[#This Row],[ile_dokupic]]*1000</f>
        <v>3722</v>
      </c>
    </row>
    <row r="955" spans="1:9" x14ac:dyDescent="0.25">
      <c r="A955" s="1">
        <v>39985</v>
      </c>
      <c r="B955" t="s">
        <v>190</v>
      </c>
      <c r="C955">
        <v>3</v>
      </c>
      <c r="D955">
        <f>MONTH(cukier11[[#This Row],[data]])</f>
        <v>6</v>
      </c>
      <c r="E955">
        <f>IF(D956&lt;&gt;cukier11[[#This Row],[miesiac]],1,0)</f>
        <v>0</v>
      </c>
      <c r="F955">
        <f>IF(AND(H954&lt;5000,cukier11[[#This Row],[czy_nastapiła_zmiana_mies]]=1),ROUNDUP((5000-H954)/1000,0),0)</f>
        <v>0</v>
      </c>
      <c r="G955">
        <f t="shared" si="14"/>
        <v>3722</v>
      </c>
      <c r="H955">
        <f>cukier11[[#This Row],[stan_magazynu]]-cukier11[[#This Row],[sprzedany_cukier]]</f>
        <v>3719</v>
      </c>
      <c r="I955" s="9">
        <f>cukier11[[#This Row],[stan_po_sprzedazy]]+cukier11[[#This Row],[ile_dokupic]]*1000</f>
        <v>3719</v>
      </c>
    </row>
    <row r="956" spans="1:9" x14ac:dyDescent="0.25">
      <c r="A956" s="1">
        <v>39987</v>
      </c>
      <c r="B956" t="s">
        <v>52</v>
      </c>
      <c r="C956">
        <v>25</v>
      </c>
      <c r="D956">
        <f>MONTH(cukier11[[#This Row],[data]])</f>
        <v>6</v>
      </c>
      <c r="E956">
        <f>IF(D957&lt;&gt;cukier11[[#This Row],[miesiac]],1,0)</f>
        <v>0</v>
      </c>
      <c r="F956">
        <f>IF(AND(H955&lt;5000,cukier11[[#This Row],[czy_nastapiła_zmiana_mies]]=1),ROUNDUP((5000-H955)/1000,0),0)</f>
        <v>0</v>
      </c>
      <c r="G956">
        <f t="shared" si="14"/>
        <v>3719</v>
      </c>
      <c r="H956">
        <f>cukier11[[#This Row],[stan_magazynu]]-cukier11[[#This Row],[sprzedany_cukier]]</f>
        <v>3694</v>
      </c>
      <c r="I956" s="9">
        <f>cukier11[[#This Row],[stan_po_sprzedazy]]+cukier11[[#This Row],[ile_dokupic]]*1000</f>
        <v>3694</v>
      </c>
    </row>
    <row r="957" spans="1:9" x14ac:dyDescent="0.25">
      <c r="A957" s="1">
        <v>39992</v>
      </c>
      <c r="B957" t="s">
        <v>191</v>
      </c>
      <c r="C957">
        <v>7</v>
      </c>
      <c r="D957">
        <f>MONTH(cukier11[[#This Row],[data]])</f>
        <v>6</v>
      </c>
      <c r="E957">
        <f>IF(D958&lt;&gt;cukier11[[#This Row],[miesiac]],1,0)</f>
        <v>0</v>
      </c>
      <c r="F957">
        <f>IF(AND(H956&lt;5000,cukier11[[#This Row],[czy_nastapiła_zmiana_mies]]=1),ROUNDUP((5000-H956)/1000,0),0)</f>
        <v>0</v>
      </c>
      <c r="G957">
        <f t="shared" si="14"/>
        <v>3694</v>
      </c>
      <c r="H957">
        <f>cukier11[[#This Row],[stan_magazynu]]-cukier11[[#This Row],[sprzedany_cukier]]</f>
        <v>3687</v>
      </c>
      <c r="I957" s="9">
        <f>cukier11[[#This Row],[stan_po_sprzedazy]]+cukier11[[#This Row],[ile_dokupic]]*1000</f>
        <v>3687</v>
      </c>
    </row>
    <row r="958" spans="1:9" x14ac:dyDescent="0.25">
      <c r="A958" s="1">
        <v>39994</v>
      </c>
      <c r="B958" t="s">
        <v>192</v>
      </c>
      <c r="C958">
        <v>17</v>
      </c>
      <c r="D958">
        <f>MONTH(cukier11[[#This Row],[data]])</f>
        <v>6</v>
      </c>
      <c r="E958">
        <f>IF(D959&lt;&gt;cukier11[[#This Row],[miesiac]],1,0)</f>
        <v>0</v>
      </c>
      <c r="F958">
        <f>IF(AND(H957&lt;5000,cukier11[[#This Row],[czy_nastapiła_zmiana_mies]]=1),ROUNDUP((5000-H957)/1000,0),0)</f>
        <v>0</v>
      </c>
      <c r="G958">
        <f t="shared" si="14"/>
        <v>3687</v>
      </c>
      <c r="H958">
        <f>cukier11[[#This Row],[stan_magazynu]]-cukier11[[#This Row],[sprzedany_cukier]]</f>
        <v>3670</v>
      </c>
      <c r="I958" s="9">
        <f>cukier11[[#This Row],[stan_po_sprzedazy]]+cukier11[[#This Row],[ile_dokupic]]*1000</f>
        <v>3670</v>
      </c>
    </row>
    <row r="959" spans="1:9" x14ac:dyDescent="0.25">
      <c r="A959" s="1">
        <v>39994</v>
      </c>
      <c r="B959" t="s">
        <v>9</v>
      </c>
      <c r="C959">
        <v>479</v>
      </c>
      <c r="D959">
        <f>MONTH(cukier11[[#This Row],[data]])</f>
        <v>6</v>
      </c>
      <c r="E959">
        <f>IF(D960&lt;&gt;cukier11[[#This Row],[miesiac]],1,0)</f>
        <v>0</v>
      </c>
      <c r="F959">
        <f>IF(AND(H958&lt;5000,cukier11[[#This Row],[czy_nastapiła_zmiana_mies]]=1),ROUNDUP((5000-H958)/1000,0),0)</f>
        <v>0</v>
      </c>
      <c r="G959">
        <f t="shared" si="14"/>
        <v>3670</v>
      </c>
      <c r="H959">
        <f>cukier11[[#This Row],[stan_magazynu]]-cukier11[[#This Row],[sprzedany_cukier]]</f>
        <v>3191</v>
      </c>
      <c r="I959" s="9">
        <f>cukier11[[#This Row],[stan_po_sprzedazy]]+cukier11[[#This Row],[ile_dokupic]]*1000</f>
        <v>3191</v>
      </c>
    </row>
    <row r="960" spans="1:9" x14ac:dyDescent="0.25">
      <c r="A960" s="1">
        <v>39994</v>
      </c>
      <c r="B960" t="s">
        <v>193</v>
      </c>
      <c r="C960">
        <v>6</v>
      </c>
      <c r="D960">
        <f>MONTH(cukier11[[#This Row],[data]])</f>
        <v>6</v>
      </c>
      <c r="E960">
        <f>IF(D961&lt;&gt;cukier11[[#This Row],[miesiac]],1,0)</f>
        <v>0</v>
      </c>
      <c r="F960">
        <f>IF(AND(H959&lt;5000,cukier11[[#This Row],[czy_nastapiła_zmiana_mies]]=1),ROUNDUP((5000-H959)/1000,0),0)</f>
        <v>0</v>
      </c>
      <c r="G960">
        <f t="shared" si="14"/>
        <v>3191</v>
      </c>
      <c r="H960">
        <f>cukier11[[#This Row],[stan_magazynu]]-cukier11[[#This Row],[sprzedany_cukier]]</f>
        <v>3185</v>
      </c>
      <c r="I960" s="9">
        <f>cukier11[[#This Row],[stan_po_sprzedazy]]+cukier11[[#This Row],[ile_dokupic]]*1000</f>
        <v>3185</v>
      </c>
    </row>
    <row r="961" spans="1:9" x14ac:dyDescent="0.25">
      <c r="A961" s="1">
        <v>39994</v>
      </c>
      <c r="B961" t="s">
        <v>16</v>
      </c>
      <c r="C961">
        <v>10</v>
      </c>
      <c r="D961">
        <f>MONTH(cukier11[[#This Row],[data]])</f>
        <v>6</v>
      </c>
      <c r="E961">
        <f>IF(D962&lt;&gt;cukier11[[#This Row],[miesiac]],1,0)</f>
        <v>1</v>
      </c>
      <c r="F961">
        <f>IF(AND(H960&lt;5000,cukier11[[#This Row],[czy_nastapiła_zmiana_mies]]=1),ROUNDUP((5000-H960)/1000,0),0)</f>
        <v>2</v>
      </c>
      <c r="G961">
        <f t="shared" si="14"/>
        <v>3185</v>
      </c>
      <c r="H961">
        <f>cukier11[[#This Row],[stan_magazynu]]-cukier11[[#This Row],[sprzedany_cukier]]</f>
        <v>3175</v>
      </c>
      <c r="I961" s="9">
        <f>cukier11[[#This Row],[stan_po_sprzedazy]]+cukier11[[#This Row],[ile_dokupic]]*1000</f>
        <v>5175</v>
      </c>
    </row>
    <row r="962" spans="1:9" x14ac:dyDescent="0.25">
      <c r="A962" s="1">
        <v>39995</v>
      </c>
      <c r="B962" t="s">
        <v>29</v>
      </c>
      <c r="C962">
        <v>2</v>
      </c>
      <c r="D962">
        <f>MONTH(cukier11[[#This Row],[data]])</f>
        <v>7</v>
      </c>
      <c r="E962">
        <f>IF(D963&lt;&gt;cukier11[[#This Row],[miesiac]],1,0)</f>
        <v>0</v>
      </c>
      <c r="F962">
        <f>IF(AND(H961&lt;5000,cukier11[[#This Row],[czy_nastapiła_zmiana_mies]]=1),ROUNDUP((5000-H961)/1000,0),0)</f>
        <v>0</v>
      </c>
      <c r="G962">
        <f t="shared" si="14"/>
        <v>5175</v>
      </c>
      <c r="H962">
        <f>cukier11[[#This Row],[stan_magazynu]]-cukier11[[#This Row],[sprzedany_cukier]]</f>
        <v>5173</v>
      </c>
      <c r="I962" s="9">
        <f>cukier11[[#This Row],[stan_po_sprzedazy]]+cukier11[[#This Row],[ile_dokupic]]*1000</f>
        <v>5173</v>
      </c>
    </row>
    <row r="963" spans="1:9" x14ac:dyDescent="0.25">
      <c r="A963" s="1">
        <v>39997</v>
      </c>
      <c r="B963" t="s">
        <v>194</v>
      </c>
      <c r="C963">
        <v>13</v>
      </c>
      <c r="D963">
        <f>MONTH(cukier11[[#This Row],[data]])</f>
        <v>7</v>
      </c>
      <c r="E963">
        <f>IF(D964&lt;&gt;cukier11[[#This Row],[miesiac]],1,0)</f>
        <v>0</v>
      </c>
      <c r="F963">
        <f>IF(AND(H962&lt;5000,cukier11[[#This Row],[czy_nastapiła_zmiana_mies]]=1),ROUNDUP((5000-H962)/1000,0),0)</f>
        <v>0</v>
      </c>
      <c r="G963">
        <f t="shared" si="14"/>
        <v>5173</v>
      </c>
      <c r="H963">
        <f>cukier11[[#This Row],[stan_magazynu]]-cukier11[[#This Row],[sprzedany_cukier]]</f>
        <v>5160</v>
      </c>
      <c r="I963" s="9">
        <f>cukier11[[#This Row],[stan_po_sprzedazy]]+cukier11[[#This Row],[ile_dokupic]]*1000</f>
        <v>5160</v>
      </c>
    </row>
    <row r="964" spans="1:9" x14ac:dyDescent="0.25">
      <c r="A964" s="1">
        <v>40000</v>
      </c>
      <c r="B964" t="s">
        <v>183</v>
      </c>
      <c r="C964">
        <v>12</v>
      </c>
      <c r="D964">
        <f>MONTH(cukier11[[#This Row],[data]])</f>
        <v>7</v>
      </c>
      <c r="E964">
        <f>IF(D965&lt;&gt;cukier11[[#This Row],[miesiac]],1,0)</f>
        <v>0</v>
      </c>
      <c r="F964">
        <f>IF(AND(H963&lt;5000,cukier11[[#This Row],[czy_nastapiła_zmiana_mies]]=1),ROUNDUP((5000-H963)/1000,0),0)</f>
        <v>0</v>
      </c>
      <c r="G964">
        <f t="shared" ref="G964:G1027" si="15">I963</f>
        <v>5160</v>
      </c>
      <c r="H964">
        <f>cukier11[[#This Row],[stan_magazynu]]-cukier11[[#This Row],[sprzedany_cukier]]</f>
        <v>5148</v>
      </c>
      <c r="I964" s="9">
        <f>cukier11[[#This Row],[stan_po_sprzedazy]]+cukier11[[#This Row],[ile_dokupic]]*1000</f>
        <v>5148</v>
      </c>
    </row>
    <row r="965" spans="1:9" x14ac:dyDescent="0.25">
      <c r="A965" s="1">
        <v>40000</v>
      </c>
      <c r="B965" t="s">
        <v>5</v>
      </c>
      <c r="C965">
        <v>191</v>
      </c>
      <c r="D965">
        <f>MONTH(cukier11[[#This Row],[data]])</f>
        <v>7</v>
      </c>
      <c r="E965">
        <f>IF(D966&lt;&gt;cukier11[[#This Row],[miesiac]],1,0)</f>
        <v>0</v>
      </c>
      <c r="F965">
        <f>IF(AND(H964&lt;5000,cukier11[[#This Row],[czy_nastapiła_zmiana_mies]]=1),ROUNDUP((5000-H964)/1000,0),0)</f>
        <v>0</v>
      </c>
      <c r="G965">
        <f t="shared" si="15"/>
        <v>5148</v>
      </c>
      <c r="H965">
        <f>cukier11[[#This Row],[stan_magazynu]]-cukier11[[#This Row],[sprzedany_cukier]]</f>
        <v>4957</v>
      </c>
      <c r="I965" s="9">
        <f>cukier11[[#This Row],[stan_po_sprzedazy]]+cukier11[[#This Row],[ile_dokupic]]*1000</f>
        <v>4957</v>
      </c>
    </row>
    <row r="966" spans="1:9" x14ac:dyDescent="0.25">
      <c r="A966" s="1">
        <v>40000</v>
      </c>
      <c r="B966" t="s">
        <v>10</v>
      </c>
      <c r="C966">
        <v>123</v>
      </c>
      <c r="D966">
        <f>MONTH(cukier11[[#This Row],[data]])</f>
        <v>7</v>
      </c>
      <c r="E966">
        <f>IF(D967&lt;&gt;cukier11[[#This Row],[miesiac]],1,0)</f>
        <v>0</v>
      </c>
      <c r="F966">
        <f>IF(AND(H965&lt;5000,cukier11[[#This Row],[czy_nastapiła_zmiana_mies]]=1),ROUNDUP((5000-H965)/1000,0),0)</f>
        <v>0</v>
      </c>
      <c r="G966">
        <f t="shared" si="15"/>
        <v>4957</v>
      </c>
      <c r="H966">
        <f>cukier11[[#This Row],[stan_magazynu]]-cukier11[[#This Row],[sprzedany_cukier]]</f>
        <v>4834</v>
      </c>
      <c r="I966" s="9">
        <f>cukier11[[#This Row],[stan_po_sprzedazy]]+cukier11[[#This Row],[ile_dokupic]]*1000</f>
        <v>4834</v>
      </c>
    </row>
    <row r="967" spans="1:9" x14ac:dyDescent="0.25">
      <c r="A967" s="1">
        <v>40001</v>
      </c>
      <c r="B967" t="s">
        <v>18</v>
      </c>
      <c r="C967">
        <v>66</v>
      </c>
      <c r="D967">
        <f>MONTH(cukier11[[#This Row],[data]])</f>
        <v>7</v>
      </c>
      <c r="E967">
        <f>IF(D968&lt;&gt;cukier11[[#This Row],[miesiac]],1,0)</f>
        <v>0</v>
      </c>
      <c r="F967">
        <f>IF(AND(H966&lt;5000,cukier11[[#This Row],[czy_nastapiła_zmiana_mies]]=1),ROUNDUP((5000-H966)/1000,0),0)</f>
        <v>0</v>
      </c>
      <c r="G967">
        <f t="shared" si="15"/>
        <v>4834</v>
      </c>
      <c r="H967">
        <f>cukier11[[#This Row],[stan_magazynu]]-cukier11[[#This Row],[sprzedany_cukier]]</f>
        <v>4768</v>
      </c>
      <c r="I967" s="9">
        <f>cukier11[[#This Row],[stan_po_sprzedazy]]+cukier11[[#This Row],[ile_dokupic]]*1000</f>
        <v>4768</v>
      </c>
    </row>
    <row r="968" spans="1:9" x14ac:dyDescent="0.25">
      <c r="A968" s="1">
        <v>40002</v>
      </c>
      <c r="B968" t="s">
        <v>61</v>
      </c>
      <c r="C968">
        <v>132</v>
      </c>
      <c r="D968">
        <f>MONTH(cukier11[[#This Row],[data]])</f>
        <v>7</v>
      </c>
      <c r="E968">
        <f>IF(D969&lt;&gt;cukier11[[#This Row],[miesiac]],1,0)</f>
        <v>0</v>
      </c>
      <c r="F968">
        <f>IF(AND(H967&lt;5000,cukier11[[#This Row],[czy_nastapiła_zmiana_mies]]=1),ROUNDUP((5000-H967)/1000,0),0)</f>
        <v>0</v>
      </c>
      <c r="G968">
        <f t="shared" si="15"/>
        <v>4768</v>
      </c>
      <c r="H968">
        <f>cukier11[[#This Row],[stan_magazynu]]-cukier11[[#This Row],[sprzedany_cukier]]</f>
        <v>4636</v>
      </c>
      <c r="I968" s="9">
        <f>cukier11[[#This Row],[stan_po_sprzedazy]]+cukier11[[#This Row],[ile_dokupic]]*1000</f>
        <v>4636</v>
      </c>
    </row>
    <row r="969" spans="1:9" x14ac:dyDescent="0.25">
      <c r="A969" s="1">
        <v>40006</v>
      </c>
      <c r="B969" t="s">
        <v>195</v>
      </c>
      <c r="C969">
        <v>9</v>
      </c>
      <c r="D969">
        <f>MONTH(cukier11[[#This Row],[data]])</f>
        <v>7</v>
      </c>
      <c r="E969">
        <f>IF(D970&lt;&gt;cukier11[[#This Row],[miesiac]],1,0)</f>
        <v>0</v>
      </c>
      <c r="F969">
        <f>IF(AND(H968&lt;5000,cukier11[[#This Row],[czy_nastapiła_zmiana_mies]]=1),ROUNDUP((5000-H968)/1000,0),0)</f>
        <v>0</v>
      </c>
      <c r="G969">
        <f t="shared" si="15"/>
        <v>4636</v>
      </c>
      <c r="H969">
        <f>cukier11[[#This Row],[stan_magazynu]]-cukier11[[#This Row],[sprzedany_cukier]]</f>
        <v>4627</v>
      </c>
      <c r="I969" s="9">
        <f>cukier11[[#This Row],[stan_po_sprzedazy]]+cukier11[[#This Row],[ile_dokupic]]*1000</f>
        <v>4627</v>
      </c>
    </row>
    <row r="970" spans="1:9" x14ac:dyDescent="0.25">
      <c r="A970" s="1">
        <v>40006</v>
      </c>
      <c r="B970" t="s">
        <v>78</v>
      </c>
      <c r="C970">
        <v>111</v>
      </c>
      <c r="D970">
        <f>MONTH(cukier11[[#This Row],[data]])</f>
        <v>7</v>
      </c>
      <c r="E970">
        <f>IF(D971&lt;&gt;cukier11[[#This Row],[miesiac]],1,0)</f>
        <v>0</v>
      </c>
      <c r="F970">
        <f>IF(AND(H969&lt;5000,cukier11[[#This Row],[czy_nastapiła_zmiana_mies]]=1),ROUNDUP((5000-H969)/1000,0),0)</f>
        <v>0</v>
      </c>
      <c r="G970">
        <f t="shared" si="15"/>
        <v>4627</v>
      </c>
      <c r="H970">
        <f>cukier11[[#This Row],[stan_magazynu]]-cukier11[[#This Row],[sprzedany_cukier]]</f>
        <v>4516</v>
      </c>
      <c r="I970" s="9">
        <f>cukier11[[#This Row],[stan_po_sprzedazy]]+cukier11[[#This Row],[ile_dokupic]]*1000</f>
        <v>4516</v>
      </c>
    </row>
    <row r="971" spans="1:9" x14ac:dyDescent="0.25">
      <c r="A971" s="1">
        <v>40007</v>
      </c>
      <c r="B971" t="s">
        <v>19</v>
      </c>
      <c r="C971">
        <v>163</v>
      </c>
      <c r="D971">
        <f>MONTH(cukier11[[#This Row],[data]])</f>
        <v>7</v>
      </c>
      <c r="E971">
        <f>IF(D972&lt;&gt;cukier11[[#This Row],[miesiac]],1,0)</f>
        <v>0</v>
      </c>
      <c r="F971">
        <f>IF(AND(H970&lt;5000,cukier11[[#This Row],[czy_nastapiła_zmiana_mies]]=1),ROUNDUP((5000-H970)/1000,0),0)</f>
        <v>0</v>
      </c>
      <c r="G971">
        <f t="shared" si="15"/>
        <v>4516</v>
      </c>
      <c r="H971">
        <f>cukier11[[#This Row],[stan_magazynu]]-cukier11[[#This Row],[sprzedany_cukier]]</f>
        <v>4353</v>
      </c>
      <c r="I971" s="9">
        <f>cukier11[[#This Row],[stan_po_sprzedazy]]+cukier11[[#This Row],[ile_dokupic]]*1000</f>
        <v>4353</v>
      </c>
    </row>
    <row r="972" spans="1:9" x14ac:dyDescent="0.25">
      <c r="A972" s="1">
        <v>40007</v>
      </c>
      <c r="B972" t="s">
        <v>155</v>
      </c>
      <c r="C972">
        <v>4</v>
      </c>
      <c r="D972">
        <f>MONTH(cukier11[[#This Row],[data]])</f>
        <v>7</v>
      </c>
      <c r="E972">
        <f>IF(D973&lt;&gt;cukier11[[#This Row],[miesiac]],1,0)</f>
        <v>0</v>
      </c>
      <c r="F972">
        <f>IF(AND(H971&lt;5000,cukier11[[#This Row],[czy_nastapiła_zmiana_mies]]=1),ROUNDUP((5000-H971)/1000,0),0)</f>
        <v>0</v>
      </c>
      <c r="G972">
        <f t="shared" si="15"/>
        <v>4353</v>
      </c>
      <c r="H972">
        <f>cukier11[[#This Row],[stan_magazynu]]-cukier11[[#This Row],[sprzedany_cukier]]</f>
        <v>4349</v>
      </c>
      <c r="I972" s="9">
        <f>cukier11[[#This Row],[stan_po_sprzedazy]]+cukier11[[#This Row],[ile_dokupic]]*1000</f>
        <v>4349</v>
      </c>
    </row>
    <row r="973" spans="1:9" x14ac:dyDescent="0.25">
      <c r="A973" s="1">
        <v>40009</v>
      </c>
      <c r="B973" t="s">
        <v>145</v>
      </c>
      <c r="C973">
        <v>10</v>
      </c>
      <c r="D973">
        <f>MONTH(cukier11[[#This Row],[data]])</f>
        <v>7</v>
      </c>
      <c r="E973">
        <f>IF(D974&lt;&gt;cukier11[[#This Row],[miesiac]],1,0)</f>
        <v>0</v>
      </c>
      <c r="F973">
        <f>IF(AND(H972&lt;5000,cukier11[[#This Row],[czy_nastapiła_zmiana_mies]]=1),ROUNDUP((5000-H972)/1000,0),0)</f>
        <v>0</v>
      </c>
      <c r="G973">
        <f t="shared" si="15"/>
        <v>4349</v>
      </c>
      <c r="H973">
        <f>cukier11[[#This Row],[stan_magazynu]]-cukier11[[#This Row],[sprzedany_cukier]]</f>
        <v>4339</v>
      </c>
      <c r="I973" s="9">
        <f>cukier11[[#This Row],[stan_po_sprzedazy]]+cukier11[[#This Row],[ile_dokupic]]*1000</f>
        <v>4339</v>
      </c>
    </row>
    <row r="974" spans="1:9" x14ac:dyDescent="0.25">
      <c r="A974" s="1">
        <v>40010</v>
      </c>
      <c r="B974" t="s">
        <v>9</v>
      </c>
      <c r="C974">
        <v>457</v>
      </c>
      <c r="D974">
        <f>MONTH(cukier11[[#This Row],[data]])</f>
        <v>7</v>
      </c>
      <c r="E974">
        <f>IF(D975&lt;&gt;cukier11[[#This Row],[miesiac]],1,0)</f>
        <v>0</v>
      </c>
      <c r="F974">
        <f>IF(AND(H973&lt;5000,cukier11[[#This Row],[czy_nastapiła_zmiana_mies]]=1),ROUNDUP((5000-H973)/1000,0),0)</f>
        <v>0</v>
      </c>
      <c r="G974">
        <f t="shared" si="15"/>
        <v>4339</v>
      </c>
      <c r="H974">
        <f>cukier11[[#This Row],[stan_magazynu]]-cukier11[[#This Row],[sprzedany_cukier]]</f>
        <v>3882</v>
      </c>
      <c r="I974" s="9">
        <f>cukier11[[#This Row],[stan_po_sprzedazy]]+cukier11[[#This Row],[ile_dokupic]]*1000</f>
        <v>3882</v>
      </c>
    </row>
    <row r="975" spans="1:9" x14ac:dyDescent="0.25">
      <c r="A975" s="1">
        <v>40012</v>
      </c>
      <c r="B975" t="s">
        <v>50</v>
      </c>
      <c r="C975">
        <v>260</v>
      </c>
      <c r="D975">
        <f>MONTH(cukier11[[#This Row],[data]])</f>
        <v>7</v>
      </c>
      <c r="E975">
        <f>IF(D976&lt;&gt;cukier11[[#This Row],[miesiac]],1,0)</f>
        <v>0</v>
      </c>
      <c r="F975">
        <f>IF(AND(H974&lt;5000,cukier11[[#This Row],[czy_nastapiła_zmiana_mies]]=1),ROUNDUP((5000-H974)/1000,0),0)</f>
        <v>0</v>
      </c>
      <c r="G975">
        <f t="shared" si="15"/>
        <v>3882</v>
      </c>
      <c r="H975">
        <f>cukier11[[#This Row],[stan_magazynu]]-cukier11[[#This Row],[sprzedany_cukier]]</f>
        <v>3622</v>
      </c>
      <c r="I975" s="9">
        <f>cukier11[[#This Row],[stan_po_sprzedazy]]+cukier11[[#This Row],[ile_dokupic]]*1000</f>
        <v>3622</v>
      </c>
    </row>
    <row r="976" spans="1:9" x14ac:dyDescent="0.25">
      <c r="A976" s="1">
        <v>40013</v>
      </c>
      <c r="B976" t="s">
        <v>120</v>
      </c>
      <c r="C976">
        <v>181</v>
      </c>
      <c r="D976">
        <f>MONTH(cukier11[[#This Row],[data]])</f>
        <v>7</v>
      </c>
      <c r="E976">
        <f>IF(D977&lt;&gt;cukier11[[#This Row],[miesiac]],1,0)</f>
        <v>0</v>
      </c>
      <c r="F976">
        <f>IF(AND(H975&lt;5000,cukier11[[#This Row],[czy_nastapiła_zmiana_mies]]=1),ROUNDUP((5000-H975)/1000,0),0)</f>
        <v>0</v>
      </c>
      <c r="G976">
        <f t="shared" si="15"/>
        <v>3622</v>
      </c>
      <c r="H976">
        <f>cukier11[[#This Row],[stan_magazynu]]-cukier11[[#This Row],[sprzedany_cukier]]</f>
        <v>3441</v>
      </c>
      <c r="I976" s="9">
        <f>cukier11[[#This Row],[stan_po_sprzedazy]]+cukier11[[#This Row],[ile_dokupic]]*1000</f>
        <v>3441</v>
      </c>
    </row>
    <row r="977" spans="1:9" x14ac:dyDescent="0.25">
      <c r="A977" s="1">
        <v>40014</v>
      </c>
      <c r="B977" t="s">
        <v>50</v>
      </c>
      <c r="C977">
        <v>144</v>
      </c>
      <c r="D977">
        <f>MONTH(cukier11[[#This Row],[data]])</f>
        <v>7</v>
      </c>
      <c r="E977">
        <f>IF(D978&lt;&gt;cukier11[[#This Row],[miesiac]],1,0)</f>
        <v>0</v>
      </c>
      <c r="F977">
        <f>IF(AND(H976&lt;5000,cukier11[[#This Row],[czy_nastapiła_zmiana_mies]]=1),ROUNDUP((5000-H976)/1000,0),0)</f>
        <v>0</v>
      </c>
      <c r="G977">
        <f t="shared" si="15"/>
        <v>3441</v>
      </c>
      <c r="H977">
        <f>cukier11[[#This Row],[stan_magazynu]]-cukier11[[#This Row],[sprzedany_cukier]]</f>
        <v>3297</v>
      </c>
      <c r="I977" s="9">
        <f>cukier11[[#This Row],[stan_po_sprzedazy]]+cukier11[[#This Row],[ile_dokupic]]*1000</f>
        <v>3297</v>
      </c>
    </row>
    <row r="978" spans="1:9" x14ac:dyDescent="0.25">
      <c r="A978" s="1">
        <v>40015</v>
      </c>
      <c r="B978" t="s">
        <v>22</v>
      </c>
      <c r="C978">
        <v>246</v>
      </c>
      <c r="D978">
        <f>MONTH(cukier11[[#This Row],[data]])</f>
        <v>7</v>
      </c>
      <c r="E978">
        <f>IF(D979&lt;&gt;cukier11[[#This Row],[miesiac]],1,0)</f>
        <v>0</v>
      </c>
      <c r="F978">
        <f>IF(AND(H977&lt;5000,cukier11[[#This Row],[czy_nastapiła_zmiana_mies]]=1),ROUNDUP((5000-H977)/1000,0),0)</f>
        <v>0</v>
      </c>
      <c r="G978">
        <f t="shared" si="15"/>
        <v>3297</v>
      </c>
      <c r="H978">
        <f>cukier11[[#This Row],[stan_magazynu]]-cukier11[[#This Row],[sprzedany_cukier]]</f>
        <v>3051</v>
      </c>
      <c r="I978" s="9">
        <f>cukier11[[#This Row],[stan_po_sprzedazy]]+cukier11[[#This Row],[ile_dokupic]]*1000</f>
        <v>3051</v>
      </c>
    </row>
    <row r="979" spans="1:9" x14ac:dyDescent="0.25">
      <c r="A979" s="1">
        <v>40017</v>
      </c>
      <c r="B979" t="s">
        <v>196</v>
      </c>
      <c r="C979">
        <v>10</v>
      </c>
      <c r="D979">
        <f>MONTH(cukier11[[#This Row],[data]])</f>
        <v>7</v>
      </c>
      <c r="E979">
        <f>IF(D980&lt;&gt;cukier11[[#This Row],[miesiac]],1,0)</f>
        <v>0</v>
      </c>
      <c r="F979">
        <f>IF(AND(H978&lt;5000,cukier11[[#This Row],[czy_nastapiła_zmiana_mies]]=1),ROUNDUP((5000-H978)/1000,0),0)</f>
        <v>0</v>
      </c>
      <c r="G979">
        <f t="shared" si="15"/>
        <v>3051</v>
      </c>
      <c r="H979">
        <f>cukier11[[#This Row],[stan_magazynu]]-cukier11[[#This Row],[sprzedany_cukier]]</f>
        <v>3041</v>
      </c>
      <c r="I979" s="9">
        <f>cukier11[[#This Row],[stan_po_sprzedazy]]+cukier11[[#This Row],[ile_dokupic]]*1000</f>
        <v>3041</v>
      </c>
    </row>
    <row r="980" spans="1:9" x14ac:dyDescent="0.25">
      <c r="A980" s="1">
        <v>40019</v>
      </c>
      <c r="B980" t="s">
        <v>26</v>
      </c>
      <c r="C980">
        <v>148</v>
      </c>
      <c r="D980">
        <f>MONTH(cukier11[[#This Row],[data]])</f>
        <v>7</v>
      </c>
      <c r="E980">
        <f>IF(D981&lt;&gt;cukier11[[#This Row],[miesiac]],1,0)</f>
        <v>0</v>
      </c>
      <c r="F980">
        <f>IF(AND(H979&lt;5000,cukier11[[#This Row],[czy_nastapiła_zmiana_mies]]=1),ROUNDUP((5000-H979)/1000,0),0)</f>
        <v>0</v>
      </c>
      <c r="G980">
        <f t="shared" si="15"/>
        <v>3041</v>
      </c>
      <c r="H980">
        <f>cukier11[[#This Row],[stan_magazynu]]-cukier11[[#This Row],[sprzedany_cukier]]</f>
        <v>2893</v>
      </c>
      <c r="I980" s="9">
        <f>cukier11[[#This Row],[stan_po_sprzedazy]]+cukier11[[#This Row],[ile_dokupic]]*1000</f>
        <v>2893</v>
      </c>
    </row>
    <row r="981" spans="1:9" x14ac:dyDescent="0.25">
      <c r="A981" s="1">
        <v>40021</v>
      </c>
      <c r="B981" t="s">
        <v>35</v>
      </c>
      <c r="C981">
        <v>24</v>
      </c>
      <c r="D981">
        <f>MONTH(cukier11[[#This Row],[data]])</f>
        <v>7</v>
      </c>
      <c r="E981">
        <f>IF(D982&lt;&gt;cukier11[[#This Row],[miesiac]],1,0)</f>
        <v>0</v>
      </c>
      <c r="F981">
        <f>IF(AND(H980&lt;5000,cukier11[[#This Row],[czy_nastapiła_zmiana_mies]]=1),ROUNDUP((5000-H980)/1000,0),0)</f>
        <v>0</v>
      </c>
      <c r="G981">
        <f t="shared" si="15"/>
        <v>2893</v>
      </c>
      <c r="H981">
        <f>cukier11[[#This Row],[stan_magazynu]]-cukier11[[#This Row],[sprzedany_cukier]]</f>
        <v>2869</v>
      </c>
      <c r="I981" s="9">
        <f>cukier11[[#This Row],[stan_po_sprzedazy]]+cukier11[[#This Row],[ile_dokupic]]*1000</f>
        <v>2869</v>
      </c>
    </row>
    <row r="982" spans="1:9" x14ac:dyDescent="0.25">
      <c r="A982" s="1">
        <v>40024</v>
      </c>
      <c r="B982" t="s">
        <v>25</v>
      </c>
      <c r="C982">
        <v>66</v>
      </c>
      <c r="D982">
        <f>MONTH(cukier11[[#This Row],[data]])</f>
        <v>7</v>
      </c>
      <c r="E982">
        <f>IF(D983&lt;&gt;cukier11[[#This Row],[miesiac]],1,0)</f>
        <v>1</v>
      </c>
      <c r="F982">
        <f>IF(AND(H981&lt;5000,cukier11[[#This Row],[czy_nastapiła_zmiana_mies]]=1),ROUNDUP((5000-H981)/1000,0),0)</f>
        <v>3</v>
      </c>
      <c r="G982">
        <f t="shared" si="15"/>
        <v>2869</v>
      </c>
      <c r="H982">
        <f>cukier11[[#This Row],[stan_magazynu]]-cukier11[[#This Row],[sprzedany_cukier]]</f>
        <v>2803</v>
      </c>
      <c r="I982" s="9">
        <f>cukier11[[#This Row],[stan_po_sprzedazy]]+cukier11[[#This Row],[ile_dokupic]]*1000</f>
        <v>5803</v>
      </c>
    </row>
    <row r="983" spans="1:9" x14ac:dyDescent="0.25">
      <c r="A983" s="1">
        <v>40027</v>
      </c>
      <c r="B983" t="s">
        <v>45</v>
      </c>
      <c r="C983">
        <v>333</v>
      </c>
      <c r="D983">
        <f>MONTH(cukier11[[#This Row],[data]])</f>
        <v>8</v>
      </c>
      <c r="E983">
        <f>IF(D984&lt;&gt;cukier11[[#This Row],[miesiac]],1,0)</f>
        <v>0</v>
      </c>
      <c r="F983">
        <f>IF(AND(H982&lt;5000,cukier11[[#This Row],[czy_nastapiła_zmiana_mies]]=1),ROUNDUP((5000-H982)/1000,0),0)</f>
        <v>0</v>
      </c>
      <c r="G983">
        <f t="shared" si="15"/>
        <v>5803</v>
      </c>
      <c r="H983">
        <f>cukier11[[#This Row],[stan_magazynu]]-cukier11[[#This Row],[sprzedany_cukier]]</f>
        <v>5470</v>
      </c>
      <c r="I983" s="9">
        <f>cukier11[[#This Row],[stan_po_sprzedazy]]+cukier11[[#This Row],[ile_dokupic]]*1000</f>
        <v>5470</v>
      </c>
    </row>
    <row r="984" spans="1:9" x14ac:dyDescent="0.25">
      <c r="A984" s="1">
        <v>40027</v>
      </c>
      <c r="B984" t="s">
        <v>37</v>
      </c>
      <c r="C984">
        <v>194</v>
      </c>
      <c r="D984">
        <f>MONTH(cukier11[[#This Row],[data]])</f>
        <v>8</v>
      </c>
      <c r="E984">
        <f>IF(D985&lt;&gt;cukier11[[#This Row],[miesiac]],1,0)</f>
        <v>0</v>
      </c>
      <c r="F984">
        <f>IF(AND(H983&lt;5000,cukier11[[#This Row],[czy_nastapiła_zmiana_mies]]=1),ROUNDUP((5000-H983)/1000,0),0)</f>
        <v>0</v>
      </c>
      <c r="G984">
        <f t="shared" si="15"/>
        <v>5470</v>
      </c>
      <c r="H984">
        <f>cukier11[[#This Row],[stan_magazynu]]-cukier11[[#This Row],[sprzedany_cukier]]</f>
        <v>5276</v>
      </c>
      <c r="I984" s="9">
        <f>cukier11[[#This Row],[stan_po_sprzedazy]]+cukier11[[#This Row],[ile_dokupic]]*1000</f>
        <v>5276</v>
      </c>
    </row>
    <row r="985" spans="1:9" x14ac:dyDescent="0.25">
      <c r="A985" s="1">
        <v>40031</v>
      </c>
      <c r="B985" t="s">
        <v>18</v>
      </c>
      <c r="C985">
        <v>154</v>
      </c>
      <c r="D985">
        <f>MONTH(cukier11[[#This Row],[data]])</f>
        <v>8</v>
      </c>
      <c r="E985">
        <f>IF(D986&lt;&gt;cukier11[[#This Row],[miesiac]],1,0)</f>
        <v>0</v>
      </c>
      <c r="F985">
        <f>IF(AND(H984&lt;5000,cukier11[[#This Row],[czy_nastapiła_zmiana_mies]]=1),ROUNDUP((5000-H984)/1000,0),0)</f>
        <v>0</v>
      </c>
      <c r="G985">
        <f t="shared" si="15"/>
        <v>5276</v>
      </c>
      <c r="H985">
        <f>cukier11[[#This Row],[stan_magazynu]]-cukier11[[#This Row],[sprzedany_cukier]]</f>
        <v>5122</v>
      </c>
      <c r="I985" s="9">
        <f>cukier11[[#This Row],[stan_po_sprzedazy]]+cukier11[[#This Row],[ile_dokupic]]*1000</f>
        <v>5122</v>
      </c>
    </row>
    <row r="986" spans="1:9" x14ac:dyDescent="0.25">
      <c r="A986" s="1">
        <v>40031</v>
      </c>
      <c r="B986" t="s">
        <v>55</v>
      </c>
      <c r="C986">
        <v>100</v>
      </c>
      <c r="D986">
        <f>MONTH(cukier11[[#This Row],[data]])</f>
        <v>8</v>
      </c>
      <c r="E986">
        <f>IF(D987&lt;&gt;cukier11[[#This Row],[miesiac]],1,0)</f>
        <v>0</v>
      </c>
      <c r="F986">
        <f>IF(AND(H985&lt;5000,cukier11[[#This Row],[czy_nastapiła_zmiana_mies]]=1),ROUNDUP((5000-H985)/1000,0),0)</f>
        <v>0</v>
      </c>
      <c r="G986">
        <f t="shared" si="15"/>
        <v>5122</v>
      </c>
      <c r="H986">
        <f>cukier11[[#This Row],[stan_magazynu]]-cukier11[[#This Row],[sprzedany_cukier]]</f>
        <v>5022</v>
      </c>
      <c r="I986" s="9">
        <f>cukier11[[#This Row],[stan_po_sprzedazy]]+cukier11[[#This Row],[ile_dokupic]]*1000</f>
        <v>5022</v>
      </c>
    </row>
    <row r="987" spans="1:9" x14ac:dyDescent="0.25">
      <c r="A987" s="1">
        <v>40031</v>
      </c>
      <c r="B987" t="s">
        <v>1</v>
      </c>
      <c r="C987">
        <v>18</v>
      </c>
      <c r="D987">
        <f>MONTH(cukier11[[#This Row],[data]])</f>
        <v>8</v>
      </c>
      <c r="E987">
        <f>IF(D988&lt;&gt;cukier11[[#This Row],[miesiac]],1,0)</f>
        <v>0</v>
      </c>
      <c r="F987">
        <f>IF(AND(H986&lt;5000,cukier11[[#This Row],[czy_nastapiła_zmiana_mies]]=1),ROUNDUP((5000-H986)/1000,0),0)</f>
        <v>0</v>
      </c>
      <c r="G987">
        <f t="shared" si="15"/>
        <v>5022</v>
      </c>
      <c r="H987">
        <f>cukier11[[#This Row],[stan_magazynu]]-cukier11[[#This Row],[sprzedany_cukier]]</f>
        <v>5004</v>
      </c>
      <c r="I987" s="9">
        <f>cukier11[[#This Row],[stan_po_sprzedazy]]+cukier11[[#This Row],[ile_dokupic]]*1000</f>
        <v>5004</v>
      </c>
    </row>
    <row r="988" spans="1:9" x14ac:dyDescent="0.25">
      <c r="A988" s="1">
        <v>40031</v>
      </c>
      <c r="B988" t="s">
        <v>170</v>
      </c>
      <c r="C988">
        <v>20</v>
      </c>
      <c r="D988">
        <f>MONTH(cukier11[[#This Row],[data]])</f>
        <v>8</v>
      </c>
      <c r="E988">
        <f>IF(D989&lt;&gt;cukier11[[#This Row],[miesiac]],1,0)</f>
        <v>0</v>
      </c>
      <c r="F988">
        <f>IF(AND(H987&lt;5000,cukier11[[#This Row],[czy_nastapiła_zmiana_mies]]=1),ROUNDUP((5000-H987)/1000,0),0)</f>
        <v>0</v>
      </c>
      <c r="G988">
        <f t="shared" si="15"/>
        <v>5004</v>
      </c>
      <c r="H988">
        <f>cukier11[[#This Row],[stan_magazynu]]-cukier11[[#This Row],[sprzedany_cukier]]</f>
        <v>4984</v>
      </c>
      <c r="I988" s="9">
        <f>cukier11[[#This Row],[stan_po_sprzedazy]]+cukier11[[#This Row],[ile_dokupic]]*1000</f>
        <v>4984</v>
      </c>
    </row>
    <row r="989" spans="1:9" x14ac:dyDescent="0.25">
      <c r="A989" s="1">
        <v>40033</v>
      </c>
      <c r="B989" t="s">
        <v>55</v>
      </c>
      <c r="C989">
        <v>200</v>
      </c>
      <c r="D989">
        <f>MONTH(cukier11[[#This Row],[data]])</f>
        <v>8</v>
      </c>
      <c r="E989">
        <f>IF(D990&lt;&gt;cukier11[[#This Row],[miesiac]],1,0)</f>
        <v>0</v>
      </c>
      <c r="F989">
        <f>IF(AND(H988&lt;5000,cukier11[[#This Row],[czy_nastapiła_zmiana_mies]]=1),ROUNDUP((5000-H988)/1000,0),0)</f>
        <v>0</v>
      </c>
      <c r="G989">
        <f t="shared" si="15"/>
        <v>4984</v>
      </c>
      <c r="H989">
        <f>cukier11[[#This Row],[stan_magazynu]]-cukier11[[#This Row],[sprzedany_cukier]]</f>
        <v>4784</v>
      </c>
      <c r="I989" s="9">
        <f>cukier11[[#This Row],[stan_po_sprzedazy]]+cukier11[[#This Row],[ile_dokupic]]*1000</f>
        <v>4784</v>
      </c>
    </row>
    <row r="990" spans="1:9" x14ac:dyDescent="0.25">
      <c r="A990" s="1">
        <v>40034</v>
      </c>
      <c r="B990" t="s">
        <v>18</v>
      </c>
      <c r="C990">
        <v>48</v>
      </c>
      <c r="D990">
        <f>MONTH(cukier11[[#This Row],[data]])</f>
        <v>8</v>
      </c>
      <c r="E990">
        <f>IF(D991&lt;&gt;cukier11[[#This Row],[miesiac]],1,0)</f>
        <v>0</v>
      </c>
      <c r="F990">
        <f>IF(AND(H989&lt;5000,cukier11[[#This Row],[czy_nastapiła_zmiana_mies]]=1),ROUNDUP((5000-H989)/1000,0),0)</f>
        <v>0</v>
      </c>
      <c r="G990">
        <f t="shared" si="15"/>
        <v>4784</v>
      </c>
      <c r="H990">
        <f>cukier11[[#This Row],[stan_magazynu]]-cukier11[[#This Row],[sprzedany_cukier]]</f>
        <v>4736</v>
      </c>
      <c r="I990" s="9">
        <f>cukier11[[#This Row],[stan_po_sprzedazy]]+cukier11[[#This Row],[ile_dokupic]]*1000</f>
        <v>4736</v>
      </c>
    </row>
    <row r="991" spans="1:9" x14ac:dyDescent="0.25">
      <c r="A991" s="1">
        <v>40034</v>
      </c>
      <c r="B991" t="s">
        <v>61</v>
      </c>
      <c r="C991">
        <v>68</v>
      </c>
      <c r="D991">
        <f>MONTH(cukier11[[#This Row],[data]])</f>
        <v>8</v>
      </c>
      <c r="E991">
        <f>IF(D992&lt;&gt;cukier11[[#This Row],[miesiac]],1,0)</f>
        <v>0</v>
      </c>
      <c r="F991">
        <f>IF(AND(H990&lt;5000,cukier11[[#This Row],[czy_nastapiła_zmiana_mies]]=1),ROUNDUP((5000-H990)/1000,0),0)</f>
        <v>0</v>
      </c>
      <c r="G991">
        <f t="shared" si="15"/>
        <v>4736</v>
      </c>
      <c r="H991">
        <f>cukier11[[#This Row],[stan_magazynu]]-cukier11[[#This Row],[sprzedany_cukier]]</f>
        <v>4668</v>
      </c>
      <c r="I991" s="9">
        <f>cukier11[[#This Row],[stan_po_sprzedazy]]+cukier11[[#This Row],[ile_dokupic]]*1000</f>
        <v>4668</v>
      </c>
    </row>
    <row r="992" spans="1:9" x14ac:dyDescent="0.25">
      <c r="A992" s="1">
        <v>40035</v>
      </c>
      <c r="B992" t="s">
        <v>174</v>
      </c>
      <c r="C992">
        <v>9</v>
      </c>
      <c r="D992">
        <f>MONTH(cukier11[[#This Row],[data]])</f>
        <v>8</v>
      </c>
      <c r="E992">
        <f>IF(D993&lt;&gt;cukier11[[#This Row],[miesiac]],1,0)</f>
        <v>0</v>
      </c>
      <c r="F992">
        <f>IF(AND(H991&lt;5000,cukier11[[#This Row],[czy_nastapiła_zmiana_mies]]=1),ROUNDUP((5000-H991)/1000,0),0)</f>
        <v>0</v>
      </c>
      <c r="G992">
        <f t="shared" si="15"/>
        <v>4668</v>
      </c>
      <c r="H992">
        <f>cukier11[[#This Row],[stan_magazynu]]-cukier11[[#This Row],[sprzedany_cukier]]</f>
        <v>4659</v>
      </c>
      <c r="I992" s="9">
        <f>cukier11[[#This Row],[stan_po_sprzedazy]]+cukier11[[#This Row],[ile_dokupic]]*1000</f>
        <v>4659</v>
      </c>
    </row>
    <row r="993" spans="1:9" x14ac:dyDescent="0.25">
      <c r="A993" s="1">
        <v>40039</v>
      </c>
      <c r="B993" t="s">
        <v>50</v>
      </c>
      <c r="C993">
        <v>493</v>
      </c>
      <c r="D993">
        <f>MONTH(cukier11[[#This Row],[data]])</f>
        <v>8</v>
      </c>
      <c r="E993">
        <f>IF(D994&lt;&gt;cukier11[[#This Row],[miesiac]],1,0)</f>
        <v>0</v>
      </c>
      <c r="F993">
        <f>IF(AND(H992&lt;5000,cukier11[[#This Row],[czy_nastapiła_zmiana_mies]]=1),ROUNDUP((5000-H992)/1000,0),0)</f>
        <v>0</v>
      </c>
      <c r="G993">
        <f t="shared" si="15"/>
        <v>4659</v>
      </c>
      <c r="H993">
        <f>cukier11[[#This Row],[stan_magazynu]]-cukier11[[#This Row],[sprzedany_cukier]]</f>
        <v>4166</v>
      </c>
      <c r="I993" s="9">
        <f>cukier11[[#This Row],[stan_po_sprzedazy]]+cukier11[[#This Row],[ile_dokupic]]*1000</f>
        <v>4166</v>
      </c>
    </row>
    <row r="994" spans="1:9" x14ac:dyDescent="0.25">
      <c r="A994" s="1">
        <v>40039</v>
      </c>
      <c r="B994" t="s">
        <v>14</v>
      </c>
      <c r="C994">
        <v>340</v>
      </c>
      <c r="D994">
        <f>MONTH(cukier11[[#This Row],[data]])</f>
        <v>8</v>
      </c>
      <c r="E994">
        <f>IF(D995&lt;&gt;cukier11[[#This Row],[miesiac]],1,0)</f>
        <v>0</v>
      </c>
      <c r="F994">
        <f>IF(AND(H993&lt;5000,cukier11[[#This Row],[czy_nastapiła_zmiana_mies]]=1),ROUNDUP((5000-H993)/1000,0),0)</f>
        <v>0</v>
      </c>
      <c r="G994">
        <f t="shared" si="15"/>
        <v>4166</v>
      </c>
      <c r="H994">
        <f>cukier11[[#This Row],[stan_magazynu]]-cukier11[[#This Row],[sprzedany_cukier]]</f>
        <v>3826</v>
      </c>
      <c r="I994" s="9">
        <f>cukier11[[#This Row],[stan_po_sprzedazy]]+cukier11[[#This Row],[ile_dokupic]]*1000</f>
        <v>3826</v>
      </c>
    </row>
    <row r="995" spans="1:9" x14ac:dyDescent="0.25">
      <c r="A995" s="1">
        <v>40041</v>
      </c>
      <c r="B995" t="s">
        <v>174</v>
      </c>
      <c r="C995">
        <v>2</v>
      </c>
      <c r="D995">
        <f>MONTH(cukier11[[#This Row],[data]])</f>
        <v>8</v>
      </c>
      <c r="E995">
        <f>IF(D996&lt;&gt;cukier11[[#This Row],[miesiac]],1,0)</f>
        <v>0</v>
      </c>
      <c r="F995">
        <f>IF(AND(H994&lt;5000,cukier11[[#This Row],[czy_nastapiła_zmiana_mies]]=1),ROUNDUP((5000-H994)/1000,0),0)</f>
        <v>0</v>
      </c>
      <c r="G995">
        <f t="shared" si="15"/>
        <v>3826</v>
      </c>
      <c r="H995">
        <f>cukier11[[#This Row],[stan_magazynu]]-cukier11[[#This Row],[sprzedany_cukier]]</f>
        <v>3824</v>
      </c>
      <c r="I995" s="9">
        <f>cukier11[[#This Row],[stan_po_sprzedazy]]+cukier11[[#This Row],[ile_dokupic]]*1000</f>
        <v>3824</v>
      </c>
    </row>
    <row r="996" spans="1:9" x14ac:dyDescent="0.25">
      <c r="A996" s="1">
        <v>40044</v>
      </c>
      <c r="B996" t="s">
        <v>28</v>
      </c>
      <c r="C996">
        <v>62</v>
      </c>
      <c r="D996">
        <f>MONTH(cukier11[[#This Row],[data]])</f>
        <v>8</v>
      </c>
      <c r="E996">
        <f>IF(D997&lt;&gt;cukier11[[#This Row],[miesiac]],1,0)</f>
        <v>0</v>
      </c>
      <c r="F996">
        <f>IF(AND(H995&lt;5000,cukier11[[#This Row],[czy_nastapiła_zmiana_mies]]=1),ROUNDUP((5000-H995)/1000,0),0)</f>
        <v>0</v>
      </c>
      <c r="G996">
        <f t="shared" si="15"/>
        <v>3824</v>
      </c>
      <c r="H996">
        <f>cukier11[[#This Row],[stan_magazynu]]-cukier11[[#This Row],[sprzedany_cukier]]</f>
        <v>3762</v>
      </c>
      <c r="I996" s="9">
        <f>cukier11[[#This Row],[stan_po_sprzedazy]]+cukier11[[#This Row],[ile_dokupic]]*1000</f>
        <v>3762</v>
      </c>
    </row>
    <row r="997" spans="1:9" x14ac:dyDescent="0.25">
      <c r="A997" s="1">
        <v>40044</v>
      </c>
      <c r="B997" t="s">
        <v>22</v>
      </c>
      <c r="C997">
        <v>164</v>
      </c>
      <c r="D997">
        <f>MONTH(cukier11[[#This Row],[data]])</f>
        <v>8</v>
      </c>
      <c r="E997">
        <f>IF(D998&lt;&gt;cukier11[[#This Row],[miesiac]],1,0)</f>
        <v>0</v>
      </c>
      <c r="F997">
        <f>IF(AND(H996&lt;5000,cukier11[[#This Row],[czy_nastapiła_zmiana_mies]]=1),ROUNDUP((5000-H996)/1000,0),0)</f>
        <v>0</v>
      </c>
      <c r="G997">
        <f t="shared" si="15"/>
        <v>3762</v>
      </c>
      <c r="H997">
        <f>cukier11[[#This Row],[stan_magazynu]]-cukier11[[#This Row],[sprzedany_cukier]]</f>
        <v>3598</v>
      </c>
      <c r="I997" s="9">
        <f>cukier11[[#This Row],[stan_po_sprzedazy]]+cukier11[[#This Row],[ile_dokupic]]*1000</f>
        <v>3598</v>
      </c>
    </row>
    <row r="998" spans="1:9" x14ac:dyDescent="0.25">
      <c r="A998" s="1">
        <v>40045</v>
      </c>
      <c r="B998" t="s">
        <v>28</v>
      </c>
      <c r="C998">
        <v>170</v>
      </c>
      <c r="D998">
        <f>MONTH(cukier11[[#This Row],[data]])</f>
        <v>8</v>
      </c>
      <c r="E998">
        <f>IF(D999&lt;&gt;cukier11[[#This Row],[miesiac]],1,0)</f>
        <v>0</v>
      </c>
      <c r="F998">
        <f>IF(AND(H997&lt;5000,cukier11[[#This Row],[czy_nastapiła_zmiana_mies]]=1),ROUNDUP((5000-H997)/1000,0),0)</f>
        <v>0</v>
      </c>
      <c r="G998">
        <f t="shared" si="15"/>
        <v>3598</v>
      </c>
      <c r="H998">
        <f>cukier11[[#This Row],[stan_magazynu]]-cukier11[[#This Row],[sprzedany_cukier]]</f>
        <v>3428</v>
      </c>
      <c r="I998" s="9">
        <f>cukier11[[#This Row],[stan_po_sprzedazy]]+cukier11[[#This Row],[ile_dokupic]]*1000</f>
        <v>3428</v>
      </c>
    </row>
    <row r="999" spans="1:9" x14ac:dyDescent="0.25">
      <c r="A999" s="1">
        <v>40047</v>
      </c>
      <c r="B999" t="s">
        <v>71</v>
      </c>
      <c r="C999">
        <v>164</v>
      </c>
      <c r="D999">
        <f>MONTH(cukier11[[#This Row],[data]])</f>
        <v>8</v>
      </c>
      <c r="E999">
        <f>IF(D1000&lt;&gt;cukier11[[#This Row],[miesiac]],1,0)</f>
        <v>0</v>
      </c>
      <c r="F999">
        <f>IF(AND(H998&lt;5000,cukier11[[#This Row],[czy_nastapiła_zmiana_mies]]=1),ROUNDUP((5000-H998)/1000,0),0)</f>
        <v>0</v>
      </c>
      <c r="G999">
        <f t="shared" si="15"/>
        <v>3428</v>
      </c>
      <c r="H999">
        <f>cukier11[[#This Row],[stan_magazynu]]-cukier11[[#This Row],[sprzedany_cukier]]</f>
        <v>3264</v>
      </c>
      <c r="I999" s="9">
        <f>cukier11[[#This Row],[stan_po_sprzedazy]]+cukier11[[#This Row],[ile_dokupic]]*1000</f>
        <v>3264</v>
      </c>
    </row>
    <row r="1000" spans="1:9" x14ac:dyDescent="0.25">
      <c r="A1000" s="1">
        <v>40049</v>
      </c>
      <c r="B1000" t="s">
        <v>6</v>
      </c>
      <c r="C1000">
        <v>70</v>
      </c>
      <c r="D1000">
        <f>MONTH(cukier11[[#This Row],[data]])</f>
        <v>8</v>
      </c>
      <c r="E1000">
        <f>IF(D1001&lt;&gt;cukier11[[#This Row],[miesiac]],1,0)</f>
        <v>0</v>
      </c>
      <c r="F1000">
        <f>IF(AND(H999&lt;5000,cukier11[[#This Row],[czy_nastapiła_zmiana_mies]]=1),ROUNDUP((5000-H999)/1000,0),0)</f>
        <v>0</v>
      </c>
      <c r="G1000">
        <f t="shared" si="15"/>
        <v>3264</v>
      </c>
      <c r="H1000">
        <f>cukier11[[#This Row],[stan_magazynu]]-cukier11[[#This Row],[sprzedany_cukier]]</f>
        <v>3194</v>
      </c>
      <c r="I1000" s="9">
        <f>cukier11[[#This Row],[stan_po_sprzedazy]]+cukier11[[#This Row],[ile_dokupic]]*1000</f>
        <v>3194</v>
      </c>
    </row>
    <row r="1001" spans="1:9" x14ac:dyDescent="0.25">
      <c r="A1001" s="1">
        <v>40056</v>
      </c>
      <c r="B1001" t="s">
        <v>50</v>
      </c>
      <c r="C1001">
        <v>133</v>
      </c>
      <c r="D1001">
        <f>MONTH(cukier11[[#This Row],[data]])</f>
        <v>8</v>
      </c>
      <c r="E1001">
        <f>IF(D1002&lt;&gt;cukier11[[#This Row],[miesiac]],1,0)</f>
        <v>1</v>
      </c>
      <c r="F1001">
        <f>IF(AND(H1000&lt;5000,cukier11[[#This Row],[czy_nastapiła_zmiana_mies]]=1),ROUNDUP((5000-H1000)/1000,0),0)</f>
        <v>2</v>
      </c>
      <c r="G1001">
        <f t="shared" si="15"/>
        <v>3194</v>
      </c>
      <c r="H1001">
        <f>cukier11[[#This Row],[stan_magazynu]]-cukier11[[#This Row],[sprzedany_cukier]]</f>
        <v>3061</v>
      </c>
      <c r="I1001" s="9">
        <f>cukier11[[#This Row],[stan_po_sprzedazy]]+cukier11[[#This Row],[ile_dokupic]]*1000</f>
        <v>5061</v>
      </c>
    </row>
    <row r="1002" spans="1:9" x14ac:dyDescent="0.25">
      <c r="A1002" s="1">
        <v>40057</v>
      </c>
      <c r="B1002" t="s">
        <v>197</v>
      </c>
      <c r="C1002">
        <v>20</v>
      </c>
      <c r="D1002">
        <f>MONTH(cukier11[[#This Row],[data]])</f>
        <v>9</v>
      </c>
      <c r="E1002">
        <f>IF(D1003&lt;&gt;cukier11[[#This Row],[miesiac]],1,0)</f>
        <v>0</v>
      </c>
      <c r="F1002">
        <f>IF(AND(H1001&lt;5000,cukier11[[#This Row],[czy_nastapiła_zmiana_mies]]=1),ROUNDUP((5000-H1001)/1000,0),0)</f>
        <v>0</v>
      </c>
      <c r="G1002">
        <f t="shared" si="15"/>
        <v>5061</v>
      </c>
      <c r="H1002">
        <f>cukier11[[#This Row],[stan_magazynu]]-cukier11[[#This Row],[sprzedany_cukier]]</f>
        <v>5041</v>
      </c>
      <c r="I1002" s="9">
        <f>cukier11[[#This Row],[stan_po_sprzedazy]]+cukier11[[#This Row],[ile_dokupic]]*1000</f>
        <v>5041</v>
      </c>
    </row>
    <row r="1003" spans="1:9" x14ac:dyDescent="0.25">
      <c r="A1003" s="1">
        <v>40059</v>
      </c>
      <c r="B1003" t="s">
        <v>198</v>
      </c>
      <c r="C1003">
        <v>15</v>
      </c>
      <c r="D1003">
        <f>MONTH(cukier11[[#This Row],[data]])</f>
        <v>9</v>
      </c>
      <c r="E1003">
        <f>IF(D1004&lt;&gt;cukier11[[#This Row],[miesiac]],1,0)</f>
        <v>0</v>
      </c>
      <c r="F1003">
        <f>IF(AND(H1002&lt;5000,cukier11[[#This Row],[czy_nastapiła_zmiana_mies]]=1),ROUNDUP((5000-H1002)/1000,0),0)</f>
        <v>0</v>
      </c>
      <c r="G1003">
        <f t="shared" si="15"/>
        <v>5041</v>
      </c>
      <c r="H1003">
        <f>cukier11[[#This Row],[stan_magazynu]]-cukier11[[#This Row],[sprzedany_cukier]]</f>
        <v>5026</v>
      </c>
      <c r="I1003" s="9">
        <f>cukier11[[#This Row],[stan_po_sprzedazy]]+cukier11[[#This Row],[ile_dokupic]]*1000</f>
        <v>5026</v>
      </c>
    </row>
    <row r="1004" spans="1:9" x14ac:dyDescent="0.25">
      <c r="A1004" s="1">
        <v>40060</v>
      </c>
      <c r="B1004" t="s">
        <v>199</v>
      </c>
      <c r="C1004">
        <v>15</v>
      </c>
      <c r="D1004">
        <f>MONTH(cukier11[[#This Row],[data]])</f>
        <v>9</v>
      </c>
      <c r="E1004">
        <f>IF(D1005&lt;&gt;cukier11[[#This Row],[miesiac]],1,0)</f>
        <v>0</v>
      </c>
      <c r="F1004">
        <f>IF(AND(H1003&lt;5000,cukier11[[#This Row],[czy_nastapiła_zmiana_mies]]=1),ROUNDUP((5000-H1003)/1000,0),0)</f>
        <v>0</v>
      </c>
      <c r="G1004">
        <f t="shared" si="15"/>
        <v>5026</v>
      </c>
      <c r="H1004">
        <f>cukier11[[#This Row],[stan_magazynu]]-cukier11[[#This Row],[sprzedany_cukier]]</f>
        <v>5011</v>
      </c>
      <c r="I1004" s="9">
        <f>cukier11[[#This Row],[stan_po_sprzedazy]]+cukier11[[#This Row],[ile_dokupic]]*1000</f>
        <v>5011</v>
      </c>
    </row>
    <row r="1005" spans="1:9" x14ac:dyDescent="0.25">
      <c r="A1005" s="1">
        <v>40061</v>
      </c>
      <c r="B1005" t="s">
        <v>58</v>
      </c>
      <c r="C1005">
        <v>105</v>
      </c>
      <c r="D1005">
        <f>MONTH(cukier11[[#This Row],[data]])</f>
        <v>9</v>
      </c>
      <c r="E1005">
        <f>IF(D1006&lt;&gt;cukier11[[#This Row],[miesiac]],1,0)</f>
        <v>0</v>
      </c>
      <c r="F1005">
        <f>IF(AND(H1004&lt;5000,cukier11[[#This Row],[czy_nastapiła_zmiana_mies]]=1),ROUNDUP((5000-H1004)/1000,0),0)</f>
        <v>0</v>
      </c>
      <c r="G1005">
        <f t="shared" si="15"/>
        <v>5011</v>
      </c>
      <c r="H1005">
        <f>cukier11[[#This Row],[stan_magazynu]]-cukier11[[#This Row],[sprzedany_cukier]]</f>
        <v>4906</v>
      </c>
      <c r="I1005" s="9">
        <f>cukier11[[#This Row],[stan_po_sprzedazy]]+cukier11[[#This Row],[ile_dokupic]]*1000</f>
        <v>4906</v>
      </c>
    </row>
    <row r="1006" spans="1:9" x14ac:dyDescent="0.25">
      <c r="A1006" s="1">
        <v>40065</v>
      </c>
      <c r="B1006" t="s">
        <v>31</v>
      </c>
      <c r="C1006">
        <v>192</v>
      </c>
      <c r="D1006">
        <f>MONTH(cukier11[[#This Row],[data]])</f>
        <v>9</v>
      </c>
      <c r="E1006">
        <f>IF(D1007&lt;&gt;cukier11[[#This Row],[miesiac]],1,0)</f>
        <v>0</v>
      </c>
      <c r="F1006">
        <f>IF(AND(H1005&lt;5000,cukier11[[#This Row],[czy_nastapiła_zmiana_mies]]=1),ROUNDUP((5000-H1005)/1000,0),0)</f>
        <v>0</v>
      </c>
      <c r="G1006">
        <f t="shared" si="15"/>
        <v>4906</v>
      </c>
      <c r="H1006">
        <f>cukier11[[#This Row],[stan_magazynu]]-cukier11[[#This Row],[sprzedany_cukier]]</f>
        <v>4714</v>
      </c>
      <c r="I1006" s="9">
        <f>cukier11[[#This Row],[stan_po_sprzedazy]]+cukier11[[#This Row],[ile_dokupic]]*1000</f>
        <v>4714</v>
      </c>
    </row>
    <row r="1007" spans="1:9" x14ac:dyDescent="0.25">
      <c r="A1007" s="1">
        <v>40065</v>
      </c>
      <c r="B1007" t="s">
        <v>80</v>
      </c>
      <c r="C1007">
        <v>142</v>
      </c>
      <c r="D1007">
        <f>MONTH(cukier11[[#This Row],[data]])</f>
        <v>9</v>
      </c>
      <c r="E1007">
        <f>IF(D1008&lt;&gt;cukier11[[#This Row],[miesiac]],1,0)</f>
        <v>0</v>
      </c>
      <c r="F1007">
        <f>IF(AND(H1006&lt;5000,cukier11[[#This Row],[czy_nastapiła_zmiana_mies]]=1),ROUNDUP((5000-H1006)/1000,0),0)</f>
        <v>0</v>
      </c>
      <c r="G1007">
        <f t="shared" si="15"/>
        <v>4714</v>
      </c>
      <c r="H1007">
        <f>cukier11[[#This Row],[stan_magazynu]]-cukier11[[#This Row],[sprzedany_cukier]]</f>
        <v>4572</v>
      </c>
      <c r="I1007" s="9">
        <f>cukier11[[#This Row],[stan_po_sprzedazy]]+cukier11[[#This Row],[ile_dokupic]]*1000</f>
        <v>4572</v>
      </c>
    </row>
    <row r="1008" spans="1:9" x14ac:dyDescent="0.25">
      <c r="A1008" s="1">
        <v>40066</v>
      </c>
      <c r="B1008" t="s">
        <v>106</v>
      </c>
      <c r="C1008">
        <v>3</v>
      </c>
      <c r="D1008">
        <f>MONTH(cukier11[[#This Row],[data]])</f>
        <v>9</v>
      </c>
      <c r="E1008">
        <f>IF(D1009&lt;&gt;cukier11[[#This Row],[miesiac]],1,0)</f>
        <v>0</v>
      </c>
      <c r="F1008">
        <f>IF(AND(H1007&lt;5000,cukier11[[#This Row],[czy_nastapiła_zmiana_mies]]=1),ROUNDUP((5000-H1007)/1000,0),0)</f>
        <v>0</v>
      </c>
      <c r="G1008">
        <f t="shared" si="15"/>
        <v>4572</v>
      </c>
      <c r="H1008">
        <f>cukier11[[#This Row],[stan_magazynu]]-cukier11[[#This Row],[sprzedany_cukier]]</f>
        <v>4569</v>
      </c>
      <c r="I1008" s="9">
        <f>cukier11[[#This Row],[stan_po_sprzedazy]]+cukier11[[#This Row],[ile_dokupic]]*1000</f>
        <v>4569</v>
      </c>
    </row>
    <row r="1009" spans="1:9" x14ac:dyDescent="0.25">
      <c r="A1009" s="1">
        <v>40066</v>
      </c>
      <c r="B1009" t="s">
        <v>17</v>
      </c>
      <c r="C1009">
        <v>219</v>
      </c>
      <c r="D1009">
        <f>MONTH(cukier11[[#This Row],[data]])</f>
        <v>9</v>
      </c>
      <c r="E1009">
        <f>IF(D1010&lt;&gt;cukier11[[#This Row],[miesiac]],1,0)</f>
        <v>0</v>
      </c>
      <c r="F1009">
        <f>IF(AND(H1008&lt;5000,cukier11[[#This Row],[czy_nastapiła_zmiana_mies]]=1),ROUNDUP((5000-H1008)/1000,0),0)</f>
        <v>0</v>
      </c>
      <c r="G1009">
        <f t="shared" si="15"/>
        <v>4569</v>
      </c>
      <c r="H1009">
        <f>cukier11[[#This Row],[stan_magazynu]]-cukier11[[#This Row],[sprzedany_cukier]]</f>
        <v>4350</v>
      </c>
      <c r="I1009" s="9">
        <f>cukier11[[#This Row],[stan_po_sprzedazy]]+cukier11[[#This Row],[ile_dokupic]]*1000</f>
        <v>4350</v>
      </c>
    </row>
    <row r="1010" spans="1:9" x14ac:dyDescent="0.25">
      <c r="A1010" s="1">
        <v>40070</v>
      </c>
      <c r="B1010" t="s">
        <v>30</v>
      </c>
      <c r="C1010">
        <v>137</v>
      </c>
      <c r="D1010">
        <f>MONTH(cukier11[[#This Row],[data]])</f>
        <v>9</v>
      </c>
      <c r="E1010">
        <f>IF(D1011&lt;&gt;cukier11[[#This Row],[miesiac]],1,0)</f>
        <v>0</v>
      </c>
      <c r="F1010">
        <f>IF(AND(H1009&lt;5000,cukier11[[#This Row],[czy_nastapiła_zmiana_mies]]=1),ROUNDUP((5000-H1009)/1000,0),0)</f>
        <v>0</v>
      </c>
      <c r="G1010">
        <f t="shared" si="15"/>
        <v>4350</v>
      </c>
      <c r="H1010">
        <f>cukier11[[#This Row],[stan_magazynu]]-cukier11[[#This Row],[sprzedany_cukier]]</f>
        <v>4213</v>
      </c>
      <c r="I1010" s="9">
        <f>cukier11[[#This Row],[stan_po_sprzedazy]]+cukier11[[#This Row],[ile_dokupic]]*1000</f>
        <v>4213</v>
      </c>
    </row>
    <row r="1011" spans="1:9" x14ac:dyDescent="0.25">
      <c r="A1011" s="1">
        <v>40071</v>
      </c>
      <c r="B1011" t="s">
        <v>20</v>
      </c>
      <c r="C1011">
        <v>108</v>
      </c>
      <c r="D1011">
        <f>MONTH(cukier11[[#This Row],[data]])</f>
        <v>9</v>
      </c>
      <c r="E1011">
        <f>IF(D1012&lt;&gt;cukier11[[#This Row],[miesiac]],1,0)</f>
        <v>0</v>
      </c>
      <c r="F1011">
        <f>IF(AND(H1010&lt;5000,cukier11[[#This Row],[czy_nastapiła_zmiana_mies]]=1),ROUNDUP((5000-H1010)/1000,0),0)</f>
        <v>0</v>
      </c>
      <c r="G1011">
        <f t="shared" si="15"/>
        <v>4213</v>
      </c>
      <c r="H1011">
        <f>cukier11[[#This Row],[stan_magazynu]]-cukier11[[#This Row],[sprzedany_cukier]]</f>
        <v>4105</v>
      </c>
      <c r="I1011" s="9">
        <f>cukier11[[#This Row],[stan_po_sprzedazy]]+cukier11[[#This Row],[ile_dokupic]]*1000</f>
        <v>4105</v>
      </c>
    </row>
    <row r="1012" spans="1:9" x14ac:dyDescent="0.25">
      <c r="A1012" s="1">
        <v>40072</v>
      </c>
      <c r="B1012" t="s">
        <v>102</v>
      </c>
      <c r="C1012">
        <v>395</v>
      </c>
      <c r="D1012">
        <f>MONTH(cukier11[[#This Row],[data]])</f>
        <v>9</v>
      </c>
      <c r="E1012">
        <f>IF(D1013&lt;&gt;cukier11[[#This Row],[miesiac]],1,0)</f>
        <v>0</v>
      </c>
      <c r="F1012">
        <f>IF(AND(H1011&lt;5000,cukier11[[#This Row],[czy_nastapiła_zmiana_mies]]=1),ROUNDUP((5000-H1011)/1000,0),0)</f>
        <v>0</v>
      </c>
      <c r="G1012">
        <f t="shared" si="15"/>
        <v>4105</v>
      </c>
      <c r="H1012">
        <f>cukier11[[#This Row],[stan_magazynu]]-cukier11[[#This Row],[sprzedany_cukier]]</f>
        <v>3710</v>
      </c>
      <c r="I1012" s="9">
        <f>cukier11[[#This Row],[stan_po_sprzedazy]]+cukier11[[#This Row],[ile_dokupic]]*1000</f>
        <v>3710</v>
      </c>
    </row>
    <row r="1013" spans="1:9" x14ac:dyDescent="0.25">
      <c r="A1013" s="1">
        <v>40073</v>
      </c>
      <c r="B1013" t="s">
        <v>200</v>
      </c>
      <c r="C1013">
        <v>3</v>
      </c>
      <c r="D1013">
        <f>MONTH(cukier11[[#This Row],[data]])</f>
        <v>9</v>
      </c>
      <c r="E1013">
        <f>IF(D1014&lt;&gt;cukier11[[#This Row],[miesiac]],1,0)</f>
        <v>0</v>
      </c>
      <c r="F1013">
        <f>IF(AND(H1012&lt;5000,cukier11[[#This Row],[czy_nastapiła_zmiana_mies]]=1),ROUNDUP((5000-H1012)/1000,0),0)</f>
        <v>0</v>
      </c>
      <c r="G1013">
        <f t="shared" si="15"/>
        <v>3710</v>
      </c>
      <c r="H1013">
        <f>cukier11[[#This Row],[stan_magazynu]]-cukier11[[#This Row],[sprzedany_cukier]]</f>
        <v>3707</v>
      </c>
      <c r="I1013" s="9">
        <f>cukier11[[#This Row],[stan_po_sprzedazy]]+cukier11[[#This Row],[ile_dokupic]]*1000</f>
        <v>3707</v>
      </c>
    </row>
    <row r="1014" spans="1:9" x14ac:dyDescent="0.25">
      <c r="A1014" s="1">
        <v>40075</v>
      </c>
      <c r="B1014" t="s">
        <v>6</v>
      </c>
      <c r="C1014">
        <v>73</v>
      </c>
      <c r="D1014">
        <f>MONTH(cukier11[[#This Row],[data]])</f>
        <v>9</v>
      </c>
      <c r="E1014">
        <f>IF(D1015&lt;&gt;cukier11[[#This Row],[miesiac]],1,0)</f>
        <v>0</v>
      </c>
      <c r="F1014">
        <f>IF(AND(H1013&lt;5000,cukier11[[#This Row],[czy_nastapiła_zmiana_mies]]=1),ROUNDUP((5000-H1013)/1000,0),0)</f>
        <v>0</v>
      </c>
      <c r="G1014">
        <f t="shared" si="15"/>
        <v>3707</v>
      </c>
      <c r="H1014">
        <f>cukier11[[#This Row],[stan_magazynu]]-cukier11[[#This Row],[sprzedany_cukier]]</f>
        <v>3634</v>
      </c>
      <c r="I1014" s="9">
        <f>cukier11[[#This Row],[stan_po_sprzedazy]]+cukier11[[#This Row],[ile_dokupic]]*1000</f>
        <v>3634</v>
      </c>
    </row>
    <row r="1015" spans="1:9" x14ac:dyDescent="0.25">
      <c r="A1015" s="1">
        <v>40075</v>
      </c>
      <c r="B1015" t="s">
        <v>45</v>
      </c>
      <c r="C1015">
        <v>209</v>
      </c>
      <c r="D1015">
        <f>MONTH(cukier11[[#This Row],[data]])</f>
        <v>9</v>
      </c>
      <c r="E1015">
        <f>IF(D1016&lt;&gt;cukier11[[#This Row],[miesiac]],1,0)</f>
        <v>0</v>
      </c>
      <c r="F1015">
        <f>IF(AND(H1014&lt;5000,cukier11[[#This Row],[czy_nastapiła_zmiana_mies]]=1),ROUNDUP((5000-H1014)/1000,0),0)</f>
        <v>0</v>
      </c>
      <c r="G1015">
        <f t="shared" si="15"/>
        <v>3634</v>
      </c>
      <c r="H1015">
        <f>cukier11[[#This Row],[stan_magazynu]]-cukier11[[#This Row],[sprzedany_cukier]]</f>
        <v>3425</v>
      </c>
      <c r="I1015" s="9">
        <f>cukier11[[#This Row],[stan_po_sprzedazy]]+cukier11[[#This Row],[ile_dokupic]]*1000</f>
        <v>3425</v>
      </c>
    </row>
    <row r="1016" spans="1:9" x14ac:dyDescent="0.25">
      <c r="A1016" s="1">
        <v>40077</v>
      </c>
      <c r="B1016" t="s">
        <v>37</v>
      </c>
      <c r="C1016">
        <v>41</v>
      </c>
      <c r="D1016">
        <f>MONTH(cukier11[[#This Row],[data]])</f>
        <v>9</v>
      </c>
      <c r="E1016">
        <f>IF(D1017&lt;&gt;cukier11[[#This Row],[miesiac]],1,0)</f>
        <v>0</v>
      </c>
      <c r="F1016">
        <f>IF(AND(H1015&lt;5000,cukier11[[#This Row],[czy_nastapiła_zmiana_mies]]=1),ROUNDUP((5000-H1015)/1000,0),0)</f>
        <v>0</v>
      </c>
      <c r="G1016">
        <f t="shared" si="15"/>
        <v>3425</v>
      </c>
      <c r="H1016">
        <f>cukier11[[#This Row],[stan_magazynu]]-cukier11[[#This Row],[sprzedany_cukier]]</f>
        <v>3384</v>
      </c>
      <c r="I1016" s="9">
        <f>cukier11[[#This Row],[stan_po_sprzedazy]]+cukier11[[#This Row],[ile_dokupic]]*1000</f>
        <v>3384</v>
      </c>
    </row>
    <row r="1017" spans="1:9" x14ac:dyDescent="0.25">
      <c r="A1017" s="1">
        <v>40083</v>
      </c>
      <c r="B1017" t="s">
        <v>17</v>
      </c>
      <c r="C1017">
        <v>488</v>
      </c>
      <c r="D1017">
        <f>MONTH(cukier11[[#This Row],[data]])</f>
        <v>9</v>
      </c>
      <c r="E1017">
        <f>IF(D1018&lt;&gt;cukier11[[#This Row],[miesiac]],1,0)</f>
        <v>0</v>
      </c>
      <c r="F1017">
        <f>IF(AND(H1016&lt;5000,cukier11[[#This Row],[czy_nastapiła_zmiana_mies]]=1),ROUNDUP((5000-H1016)/1000,0),0)</f>
        <v>0</v>
      </c>
      <c r="G1017">
        <f t="shared" si="15"/>
        <v>3384</v>
      </c>
      <c r="H1017">
        <f>cukier11[[#This Row],[stan_magazynu]]-cukier11[[#This Row],[sprzedany_cukier]]</f>
        <v>2896</v>
      </c>
      <c r="I1017" s="9">
        <f>cukier11[[#This Row],[stan_po_sprzedazy]]+cukier11[[#This Row],[ile_dokupic]]*1000</f>
        <v>2896</v>
      </c>
    </row>
    <row r="1018" spans="1:9" x14ac:dyDescent="0.25">
      <c r="A1018" s="1">
        <v>40084</v>
      </c>
      <c r="B1018" t="s">
        <v>97</v>
      </c>
      <c r="C1018">
        <v>5</v>
      </c>
      <c r="D1018">
        <f>MONTH(cukier11[[#This Row],[data]])</f>
        <v>9</v>
      </c>
      <c r="E1018">
        <f>IF(D1019&lt;&gt;cukier11[[#This Row],[miesiac]],1,0)</f>
        <v>0</v>
      </c>
      <c r="F1018">
        <f>IF(AND(H1017&lt;5000,cukier11[[#This Row],[czy_nastapiła_zmiana_mies]]=1),ROUNDUP((5000-H1017)/1000,0),0)</f>
        <v>0</v>
      </c>
      <c r="G1018">
        <f t="shared" si="15"/>
        <v>2896</v>
      </c>
      <c r="H1018">
        <f>cukier11[[#This Row],[stan_magazynu]]-cukier11[[#This Row],[sprzedany_cukier]]</f>
        <v>2891</v>
      </c>
      <c r="I1018" s="9">
        <f>cukier11[[#This Row],[stan_po_sprzedazy]]+cukier11[[#This Row],[ile_dokupic]]*1000</f>
        <v>2891</v>
      </c>
    </row>
    <row r="1019" spans="1:9" x14ac:dyDescent="0.25">
      <c r="A1019" s="1">
        <v>40084</v>
      </c>
      <c r="B1019" t="s">
        <v>69</v>
      </c>
      <c r="C1019">
        <v>97</v>
      </c>
      <c r="D1019">
        <f>MONTH(cukier11[[#This Row],[data]])</f>
        <v>9</v>
      </c>
      <c r="E1019">
        <f>IF(D1020&lt;&gt;cukier11[[#This Row],[miesiac]],1,0)</f>
        <v>0</v>
      </c>
      <c r="F1019">
        <f>IF(AND(H1018&lt;5000,cukier11[[#This Row],[czy_nastapiła_zmiana_mies]]=1),ROUNDUP((5000-H1018)/1000,0),0)</f>
        <v>0</v>
      </c>
      <c r="G1019">
        <f t="shared" si="15"/>
        <v>2891</v>
      </c>
      <c r="H1019">
        <f>cukier11[[#This Row],[stan_magazynu]]-cukier11[[#This Row],[sprzedany_cukier]]</f>
        <v>2794</v>
      </c>
      <c r="I1019" s="9">
        <f>cukier11[[#This Row],[stan_po_sprzedazy]]+cukier11[[#This Row],[ile_dokupic]]*1000</f>
        <v>2794</v>
      </c>
    </row>
    <row r="1020" spans="1:9" x14ac:dyDescent="0.25">
      <c r="A1020" s="1">
        <v>40085</v>
      </c>
      <c r="B1020" t="s">
        <v>8</v>
      </c>
      <c r="C1020">
        <v>58</v>
      </c>
      <c r="D1020">
        <f>MONTH(cukier11[[#This Row],[data]])</f>
        <v>9</v>
      </c>
      <c r="E1020">
        <f>IF(D1021&lt;&gt;cukier11[[#This Row],[miesiac]],1,0)</f>
        <v>0</v>
      </c>
      <c r="F1020">
        <f>IF(AND(H1019&lt;5000,cukier11[[#This Row],[czy_nastapiła_zmiana_mies]]=1),ROUNDUP((5000-H1019)/1000,0),0)</f>
        <v>0</v>
      </c>
      <c r="G1020">
        <f t="shared" si="15"/>
        <v>2794</v>
      </c>
      <c r="H1020">
        <f>cukier11[[#This Row],[stan_magazynu]]-cukier11[[#This Row],[sprzedany_cukier]]</f>
        <v>2736</v>
      </c>
      <c r="I1020" s="9">
        <f>cukier11[[#This Row],[stan_po_sprzedazy]]+cukier11[[#This Row],[ile_dokupic]]*1000</f>
        <v>2736</v>
      </c>
    </row>
    <row r="1021" spans="1:9" x14ac:dyDescent="0.25">
      <c r="A1021" s="1">
        <v>40085</v>
      </c>
      <c r="B1021" t="s">
        <v>55</v>
      </c>
      <c r="C1021">
        <v>179</v>
      </c>
      <c r="D1021">
        <f>MONTH(cukier11[[#This Row],[data]])</f>
        <v>9</v>
      </c>
      <c r="E1021">
        <f>IF(D1022&lt;&gt;cukier11[[#This Row],[miesiac]],1,0)</f>
        <v>1</v>
      </c>
      <c r="F1021">
        <f>IF(AND(H1020&lt;5000,cukier11[[#This Row],[czy_nastapiła_zmiana_mies]]=1),ROUNDUP((5000-H1020)/1000,0),0)</f>
        <v>3</v>
      </c>
      <c r="G1021">
        <f t="shared" si="15"/>
        <v>2736</v>
      </c>
      <c r="H1021">
        <f>cukier11[[#This Row],[stan_magazynu]]-cukier11[[#This Row],[sprzedany_cukier]]</f>
        <v>2557</v>
      </c>
      <c r="I1021" s="9">
        <f>cukier11[[#This Row],[stan_po_sprzedazy]]+cukier11[[#This Row],[ile_dokupic]]*1000</f>
        <v>5557</v>
      </c>
    </row>
    <row r="1022" spans="1:9" x14ac:dyDescent="0.25">
      <c r="A1022" s="1">
        <v>40087</v>
      </c>
      <c r="B1022" t="s">
        <v>38</v>
      </c>
      <c r="C1022">
        <v>18</v>
      </c>
      <c r="D1022">
        <f>MONTH(cukier11[[#This Row],[data]])</f>
        <v>10</v>
      </c>
      <c r="E1022">
        <f>IF(D1023&lt;&gt;cukier11[[#This Row],[miesiac]],1,0)</f>
        <v>0</v>
      </c>
      <c r="F1022">
        <f>IF(AND(H1021&lt;5000,cukier11[[#This Row],[czy_nastapiła_zmiana_mies]]=1),ROUNDUP((5000-H1021)/1000,0),0)</f>
        <v>0</v>
      </c>
      <c r="G1022">
        <f t="shared" si="15"/>
        <v>5557</v>
      </c>
      <c r="H1022">
        <f>cukier11[[#This Row],[stan_magazynu]]-cukier11[[#This Row],[sprzedany_cukier]]</f>
        <v>5539</v>
      </c>
      <c r="I1022" s="9">
        <f>cukier11[[#This Row],[stan_po_sprzedazy]]+cukier11[[#This Row],[ile_dokupic]]*1000</f>
        <v>5539</v>
      </c>
    </row>
    <row r="1023" spans="1:9" x14ac:dyDescent="0.25">
      <c r="A1023" s="1">
        <v>40088</v>
      </c>
      <c r="B1023" t="s">
        <v>51</v>
      </c>
      <c r="C1023">
        <v>4</v>
      </c>
      <c r="D1023">
        <f>MONTH(cukier11[[#This Row],[data]])</f>
        <v>10</v>
      </c>
      <c r="E1023">
        <f>IF(D1024&lt;&gt;cukier11[[#This Row],[miesiac]],1,0)</f>
        <v>0</v>
      </c>
      <c r="F1023">
        <f>IF(AND(H1022&lt;5000,cukier11[[#This Row],[czy_nastapiła_zmiana_mies]]=1),ROUNDUP((5000-H1022)/1000,0),0)</f>
        <v>0</v>
      </c>
      <c r="G1023">
        <f t="shared" si="15"/>
        <v>5539</v>
      </c>
      <c r="H1023">
        <f>cukier11[[#This Row],[stan_magazynu]]-cukier11[[#This Row],[sprzedany_cukier]]</f>
        <v>5535</v>
      </c>
      <c r="I1023" s="9">
        <f>cukier11[[#This Row],[stan_po_sprzedazy]]+cukier11[[#This Row],[ile_dokupic]]*1000</f>
        <v>5535</v>
      </c>
    </row>
    <row r="1024" spans="1:9" x14ac:dyDescent="0.25">
      <c r="A1024" s="1">
        <v>40088</v>
      </c>
      <c r="B1024" t="s">
        <v>33</v>
      </c>
      <c r="C1024">
        <v>1</v>
      </c>
      <c r="D1024">
        <f>MONTH(cukier11[[#This Row],[data]])</f>
        <v>10</v>
      </c>
      <c r="E1024">
        <f>IF(D1025&lt;&gt;cukier11[[#This Row],[miesiac]],1,0)</f>
        <v>0</v>
      </c>
      <c r="F1024">
        <f>IF(AND(H1023&lt;5000,cukier11[[#This Row],[czy_nastapiła_zmiana_mies]]=1),ROUNDUP((5000-H1023)/1000,0),0)</f>
        <v>0</v>
      </c>
      <c r="G1024">
        <f t="shared" si="15"/>
        <v>5535</v>
      </c>
      <c r="H1024">
        <f>cukier11[[#This Row],[stan_magazynu]]-cukier11[[#This Row],[sprzedany_cukier]]</f>
        <v>5534</v>
      </c>
      <c r="I1024" s="9">
        <f>cukier11[[#This Row],[stan_po_sprzedazy]]+cukier11[[#This Row],[ile_dokupic]]*1000</f>
        <v>5534</v>
      </c>
    </row>
    <row r="1025" spans="1:9" x14ac:dyDescent="0.25">
      <c r="A1025" s="1">
        <v>40089</v>
      </c>
      <c r="B1025" t="s">
        <v>31</v>
      </c>
      <c r="C1025">
        <v>86</v>
      </c>
      <c r="D1025">
        <f>MONTH(cukier11[[#This Row],[data]])</f>
        <v>10</v>
      </c>
      <c r="E1025">
        <f>IF(D1026&lt;&gt;cukier11[[#This Row],[miesiac]],1,0)</f>
        <v>0</v>
      </c>
      <c r="F1025">
        <f>IF(AND(H1024&lt;5000,cukier11[[#This Row],[czy_nastapiła_zmiana_mies]]=1),ROUNDUP((5000-H1024)/1000,0),0)</f>
        <v>0</v>
      </c>
      <c r="G1025">
        <f t="shared" si="15"/>
        <v>5534</v>
      </c>
      <c r="H1025">
        <f>cukier11[[#This Row],[stan_magazynu]]-cukier11[[#This Row],[sprzedany_cukier]]</f>
        <v>5448</v>
      </c>
      <c r="I1025" s="9">
        <f>cukier11[[#This Row],[stan_po_sprzedazy]]+cukier11[[#This Row],[ile_dokupic]]*1000</f>
        <v>5448</v>
      </c>
    </row>
    <row r="1026" spans="1:9" x14ac:dyDescent="0.25">
      <c r="A1026" s="1">
        <v>40090</v>
      </c>
      <c r="B1026" t="s">
        <v>14</v>
      </c>
      <c r="C1026">
        <v>290</v>
      </c>
      <c r="D1026">
        <f>MONTH(cukier11[[#This Row],[data]])</f>
        <v>10</v>
      </c>
      <c r="E1026">
        <f>IF(D1027&lt;&gt;cukier11[[#This Row],[miesiac]],1,0)</f>
        <v>0</v>
      </c>
      <c r="F1026">
        <f>IF(AND(H1025&lt;5000,cukier11[[#This Row],[czy_nastapiła_zmiana_mies]]=1),ROUNDUP((5000-H1025)/1000,0),0)</f>
        <v>0</v>
      </c>
      <c r="G1026">
        <f t="shared" si="15"/>
        <v>5448</v>
      </c>
      <c r="H1026">
        <f>cukier11[[#This Row],[stan_magazynu]]-cukier11[[#This Row],[sprzedany_cukier]]</f>
        <v>5158</v>
      </c>
      <c r="I1026" s="9">
        <f>cukier11[[#This Row],[stan_po_sprzedazy]]+cukier11[[#This Row],[ile_dokupic]]*1000</f>
        <v>5158</v>
      </c>
    </row>
    <row r="1027" spans="1:9" x14ac:dyDescent="0.25">
      <c r="A1027" s="1">
        <v>40092</v>
      </c>
      <c r="B1027" t="s">
        <v>184</v>
      </c>
      <c r="C1027">
        <v>14</v>
      </c>
      <c r="D1027">
        <f>MONTH(cukier11[[#This Row],[data]])</f>
        <v>10</v>
      </c>
      <c r="E1027">
        <f>IF(D1028&lt;&gt;cukier11[[#This Row],[miesiac]],1,0)</f>
        <v>0</v>
      </c>
      <c r="F1027">
        <f>IF(AND(H1026&lt;5000,cukier11[[#This Row],[czy_nastapiła_zmiana_mies]]=1),ROUNDUP((5000-H1026)/1000,0),0)</f>
        <v>0</v>
      </c>
      <c r="G1027">
        <f t="shared" si="15"/>
        <v>5158</v>
      </c>
      <c r="H1027">
        <f>cukier11[[#This Row],[stan_magazynu]]-cukier11[[#This Row],[sprzedany_cukier]]</f>
        <v>5144</v>
      </c>
      <c r="I1027" s="9">
        <f>cukier11[[#This Row],[stan_po_sprzedazy]]+cukier11[[#This Row],[ile_dokupic]]*1000</f>
        <v>5144</v>
      </c>
    </row>
    <row r="1028" spans="1:9" x14ac:dyDescent="0.25">
      <c r="A1028" s="1">
        <v>40094</v>
      </c>
      <c r="B1028" t="s">
        <v>39</v>
      </c>
      <c r="C1028">
        <v>120</v>
      </c>
      <c r="D1028">
        <f>MONTH(cukier11[[#This Row],[data]])</f>
        <v>10</v>
      </c>
      <c r="E1028">
        <f>IF(D1029&lt;&gt;cukier11[[#This Row],[miesiac]],1,0)</f>
        <v>0</v>
      </c>
      <c r="F1028">
        <f>IF(AND(H1027&lt;5000,cukier11[[#This Row],[czy_nastapiła_zmiana_mies]]=1),ROUNDUP((5000-H1027)/1000,0),0)</f>
        <v>0</v>
      </c>
      <c r="G1028">
        <f t="shared" ref="G1028:G1091" si="16">I1027</f>
        <v>5144</v>
      </c>
      <c r="H1028">
        <f>cukier11[[#This Row],[stan_magazynu]]-cukier11[[#This Row],[sprzedany_cukier]]</f>
        <v>5024</v>
      </c>
      <c r="I1028" s="9">
        <f>cukier11[[#This Row],[stan_po_sprzedazy]]+cukier11[[#This Row],[ile_dokupic]]*1000</f>
        <v>5024</v>
      </c>
    </row>
    <row r="1029" spans="1:9" x14ac:dyDescent="0.25">
      <c r="A1029" s="1">
        <v>40094</v>
      </c>
      <c r="B1029" t="s">
        <v>123</v>
      </c>
      <c r="C1029">
        <v>28</v>
      </c>
      <c r="D1029">
        <f>MONTH(cukier11[[#This Row],[data]])</f>
        <v>10</v>
      </c>
      <c r="E1029">
        <f>IF(D1030&lt;&gt;cukier11[[#This Row],[miesiac]],1,0)</f>
        <v>0</v>
      </c>
      <c r="F1029">
        <f>IF(AND(H1028&lt;5000,cukier11[[#This Row],[czy_nastapiła_zmiana_mies]]=1),ROUNDUP((5000-H1028)/1000,0),0)</f>
        <v>0</v>
      </c>
      <c r="G1029">
        <f t="shared" si="16"/>
        <v>5024</v>
      </c>
      <c r="H1029">
        <f>cukier11[[#This Row],[stan_magazynu]]-cukier11[[#This Row],[sprzedany_cukier]]</f>
        <v>4996</v>
      </c>
      <c r="I1029" s="9">
        <f>cukier11[[#This Row],[stan_po_sprzedazy]]+cukier11[[#This Row],[ile_dokupic]]*1000</f>
        <v>4996</v>
      </c>
    </row>
    <row r="1030" spans="1:9" x14ac:dyDescent="0.25">
      <c r="A1030" s="1">
        <v>40095</v>
      </c>
      <c r="B1030" t="s">
        <v>9</v>
      </c>
      <c r="C1030">
        <v>213</v>
      </c>
      <c r="D1030">
        <f>MONTH(cukier11[[#This Row],[data]])</f>
        <v>10</v>
      </c>
      <c r="E1030">
        <f>IF(D1031&lt;&gt;cukier11[[#This Row],[miesiac]],1,0)</f>
        <v>0</v>
      </c>
      <c r="F1030">
        <f>IF(AND(H1029&lt;5000,cukier11[[#This Row],[czy_nastapiła_zmiana_mies]]=1),ROUNDUP((5000-H1029)/1000,0),0)</f>
        <v>0</v>
      </c>
      <c r="G1030">
        <f t="shared" si="16"/>
        <v>4996</v>
      </c>
      <c r="H1030">
        <f>cukier11[[#This Row],[stan_magazynu]]-cukier11[[#This Row],[sprzedany_cukier]]</f>
        <v>4783</v>
      </c>
      <c r="I1030" s="9">
        <f>cukier11[[#This Row],[stan_po_sprzedazy]]+cukier11[[#This Row],[ile_dokupic]]*1000</f>
        <v>4783</v>
      </c>
    </row>
    <row r="1031" spans="1:9" x14ac:dyDescent="0.25">
      <c r="A1031" s="1">
        <v>40101</v>
      </c>
      <c r="B1031" t="s">
        <v>108</v>
      </c>
      <c r="C1031">
        <v>10</v>
      </c>
      <c r="D1031">
        <f>MONTH(cukier11[[#This Row],[data]])</f>
        <v>10</v>
      </c>
      <c r="E1031">
        <f>IF(D1032&lt;&gt;cukier11[[#This Row],[miesiac]],1,0)</f>
        <v>0</v>
      </c>
      <c r="F1031">
        <f>IF(AND(H1030&lt;5000,cukier11[[#This Row],[czy_nastapiła_zmiana_mies]]=1),ROUNDUP((5000-H1030)/1000,0),0)</f>
        <v>0</v>
      </c>
      <c r="G1031">
        <f t="shared" si="16"/>
        <v>4783</v>
      </c>
      <c r="H1031">
        <f>cukier11[[#This Row],[stan_magazynu]]-cukier11[[#This Row],[sprzedany_cukier]]</f>
        <v>4773</v>
      </c>
      <c r="I1031" s="9">
        <f>cukier11[[#This Row],[stan_po_sprzedazy]]+cukier11[[#This Row],[ile_dokupic]]*1000</f>
        <v>4773</v>
      </c>
    </row>
    <row r="1032" spans="1:9" x14ac:dyDescent="0.25">
      <c r="A1032" s="1">
        <v>40102</v>
      </c>
      <c r="B1032" t="s">
        <v>69</v>
      </c>
      <c r="C1032">
        <v>53</v>
      </c>
      <c r="D1032">
        <f>MONTH(cukier11[[#This Row],[data]])</f>
        <v>10</v>
      </c>
      <c r="E1032">
        <f>IF(D1033&lt;&gt;cukier11[[#This Row],[miesiac]],1,0)</f>
        <v>0</v>
      </c>
      <c r="F1032">
        <f>IF(AND(H1031&lt;5000,cukier11[[#This Row],[czy_nastapiła_zmiana_mies]]=1),ROUNDUP((5000-H1031)/1000,0),0)</f>
        <v>0</v>
      </c>
      <c r="G1032">
        <f t="shared" si="16"/>
        <v>4773</v>
      </c>
      <c r="H1032">
        <f>cukier11[[#This Row],[stan_magazynu]]-cukier11[[#This Row],[sprzedany_cukier]]</f>
        <v>4720</v>
      </c>
      <c r="I1032" s="9">
        <f>cukier11[[#This Row],[stan_po_sprzedazy]]+cukier11[[#This Row],[ile_dokupic]]*1000</f>
        <v>4720</v>
      </c>
    </row>
    <row r="1033" spans="1:9" x14ac:dyDescent="0.25">
      <c r="A1033" s="1">
        <v>40103</v>
      </c>
      <c r="B1033" t="s">
        <v>30</v>
      </c>
      <c r="C1033">
        <v>178</v>
      </c>
      <c r="D1033">
        <f>MONTH(cukier11[[#This Row],[data]])</f>
        <v>10</v>
      </c>
      <c r="E1033">
        <f>IF(D1034&lt;&gt;cukier11[[#This Row],[miesiac]],1,0)</f>
        <v>0</v>
      </c>
      <c r="F1033">
        <f>IF(AND(H1032&lt;5000,cukier11[[#This Row],[czy_nastapiła_zmiana_mies]]=1),ROUNDUP((5000-H1032)/1000,0),0)</f>
        <v>0</v>
      </c>
      <c r="G1033">
        <f t="shared" si="16"/>
        <v>4720</v>
      </c>
      <c r="H1033">
        <f>cukier11[[#This Row],[stan_magazynu]]-cukier11[[#This Row],[sprzedany_cukier]]</f>
        <v>4542</v>
      </c>
      <c r="I1033" s="9">
        <f>cukier11[[#This Row],[stan_po_sprzedazy]]+cukier11[[#This Row],[ile_dokupic]]*1000</f>
        <v>4542</v>
      </c>
    </row>
    <row r="1034" spans="1:9" x14ac:dyDescent="0.25">
      <c r="A1034" s="1">
        <v>40103</v>
      </c>
      <c r="B1034" t="s">
        <v>74</v>
      </c>
      <c r="C1034">
        <v>6</v>
      </c>
      <c r="D1034">
        <f>MONTH(cukier11[[#This Row],[data]])</f>
        <v>10</v>
      </c>
      <c r="E1034">
        <f>IF(D1035&lt;&gt;cukier11[[#This Row],[miesiac]],1,0)</f>
        <v>0</v>
      </c>
      <c r="F1034">
        <f>IF(AND(H1033&lt;5000,cukier11[[#This Row],[czy_nastapiła_zmiana_mies]]=1),ROUNDUP((5000-H1033)/1000,0),0)</f>
        <v>0</v>
      </c>
      <c r="G1034">
        <f t="shared" si="16"/>
        <v>4542</v>
      </c>
      <c r="H1034">
        <f>cukier11[[#This Row],[stan_magazynu]]-cukier11[[#This Row],[sprzedany_cukier]]</f>
        <v>4536</v>
      </c>
      <c r="I1034" s="9">
        <f>cukier11[[#This Row],[stan_po_sprzedazy]]+cukier11[[#This Row],[ile_dokupic]]*1000</f>
        <v>4536</v>
      </c>
    </row>
    <row r="1035" spans="1:9" x14ac:dyDescent="0.25">
      <c r="A1035" s="1">
        <v>40107</v>
      </c>
      <c r="B1035" t="s">
        <v>9</v>
      </c>
      <c r="C1035">
        <v>118</v>
      </c>
      <c r="D1035">
        <f>MONTH(cukier11[[#This Row],[data]])</f>
        <v>10</v>
      </c>
      <c r="E1035">
        <f>IF(D1036&lt;&gt;cukier11[[#This Row],[miesiac]],1,0)</f>
        <v>0</v>
      </c>
      <c r="F1035">
        <f>IF(AND(H1034&lt;5000,cukier11[[#This Row],[czy_nastapiła_zmiana_mies]]=1),ROUNDUP((5000-H1034)/1000,0),0)</f>
        <v>0</v>
      </c>
      <c r="G1035">
        <f t="shared" si="16"/>
        <v>4536</v>
      </c>
      <c r="H1035">
        <f>cukier11[[#This Row],[stan_magazynu]]-cukier11[[#This Row],[sprzedany_cukier]]</f>
        <v>4418</v>
      </c>
      <c r="I1035" s="9">
        <f>cukier11[[#This Row],[stan_po_sprzedazy]]+cukier11[[#This Row],[ile_dokupic]]*1000</f>
        <v>4418</v>
      </c>
    </row>
    <row r="1036" spans="1:9" x14ac:dyDescent="0.25">
      <c r="A1036" s="1">
        <v>40107</v>
      </c>
      <c r="B1036" t="s">
        <v>70</v>
      </c>
      <c r="C1036">
        <v>5</v>
      </c>
      <c r="D1036">
        <f>MONTH(cukier11[[#This Row],[data]])</f>
        <v>10</v>
      </c>
      <c r="E1036">
        <f>IF(D1037&lt;&gt;cukier11[[#This Row],[miesiac]],1,0)</f>
        <v>0</v>
      </c>
      <c r="F1036">
        <f>IF(AND(H1035&lt;5000,cukier11[[#This Row],[czy_nastapiła_zmiana_mies]]=1),ROUNDUP((5000-H1035)/1000,0),0)</f>
        <v>0</v>
      </c>
      <c r="G1036">
        <f t="shared" si="16"/>
        <v>4418</v>
      </c>
      <c r="H1036">
        <f>cukier11[[#This Row],[stan_magazynu]]-cukier11[[#This Row],[sprzedany_cukier]]</f>
        <v>4413</v>
      </c>
      <c r="I1036" s="9">
        <f>cukier11[[#This Row],[stan_po_sprzedazy]]+cukier11[[#This Row],[ile_dokupic]]*1000</f>
        <v>4413</v>
      </c>
    </row>
    <row r="1037" spans="1:9" x14ac:dyDescent="0.25">
      <c r="A1037" s="1">
        <v>40108</v>
      </c>
      <c r="B1037" t="s">
        <v>18</v>
      </c>
      <c r="C1037">
        <v>89</v>
      </c>
      <c r="D1037">
        <f>MONTH(cukier11[[#This Row],[data]])</f>
        <v>10</v>
      </c>
      <c r="E1037">
        <f>IF(D1038&lt;&gt;cukier11[[#This Row],[miesiac]],1,0)</f>
        <v>0</v>
      </c>
      <c r="F1037">
        <f>IF(AND(H1036&lt;5000,cukier11[[#This Row],[czy_nastapiła_zmiana_mies]]=1),ROUNDUP((5000-H1036)/1000,0),0)</f>
        <v>0</v>
      </c>
      <c r="G1037">
        <f t="shared" si="16"/>
        <v>4413</v>
      </c>
      <c r="H1037">
        <f>cukier11[[#This Row],[stan_magazynu]]-cukier11[[#This Row],[sprzedany_cukier]]</f>
        <v>4324</v>
      </c>
      <c r="I1037" s="9">
        <f>cukier11[[#This Row],[stan_po_sprzedazy]]+cukier11[[#This Row],[ile_dokupic]]*1000</f>
        <v>4324</v>
      </c>
    </row>
    <row r="1038" spans="1:9" x14ac:dyDescent="0.25">
      <c r="A1038" s="1">
        <v>40113</v>
      </c>
      <c r="B1038" t="s">
        <v>35</v>
      </c>
      <c r="C1038">
        <v>22</v>
      </c>
      <c r="D1038">
        <f>MONTH(cukier11[[#This Row],[data]])</f>
        <v>10</v>
      </c>
      <c r="E1038">
        <f>IF(D1039&lt;&gt;cukier11[[#This Row],[miesiac]],1,0)</f>
        <v>0</v>
      </c>
      <c r="F1038">
        <f>IF(AND(H1037&lt;5000,cukier11[[#This Row],[czy_nastapiła_zmiana_mies]]=1),ROUNDUP((5000-H1037)/1000,0),0)</f>
        <v>0</v>
      </c>
      <c r="G1038">
        <f t="shared" si="16"/>
        <v>4324</v>
      </c>
      <c r="H1038">
        <f>cukier11[[#This Row],[stan_magazynu]]-cukier11[[#This Row],[sprzedany_cukier]]</f>
        <v>4302</v>
      </c>
      <c r="I1038" s="9">
        <f>cukier11[[#This Row],[stan_po_sprzedazy]]+cukier11[[#This Row],[ile_dokupic]]*1000</f>
        <v>4302</v>
      </c>
    </row>
    <row r="1039" spans="1:9" x14ac:dyDescent="0.25">
      <c r="A1039" s="1">
        <v>40114</v>
      </c>
      <c r="B1039" t="s">
        <v>18</v>
      </c>
      <c r="C1039">
        <v>199</v>
      </c>
      <c r="D1039">
        <f>MONTH(cukier11[[#This Row],[data]])</f>
        <v>10</v>
      </c>
      <c r="E1039">
        <f>IF(D1040&lt;&gt;cukier11[[#This Row],[miesiac]],1,0)</f>
        <v>1</v>
      </c>
      <c r="F1039">
        <f>IF(AND(H1038&lt;5000,cukier11[[#This Row],[czy_nastapiła_zmiana_mies]]=1),ROUNDUP((5000-H1038)/1000,0),0)</f>
        <v>1</v>
      </c>
      <c r="G1039">
        <f t="shared" si="16"/>
        <v>4302</v>
      </c>
      <c r="H1039">
        <f>cukier11[[#This Row],[stan_magazynu]]-cukier11[[#This Row],[sprzedany_cukier]]</f>
        <v>4103</v>
      </c>
      <c r="I1039" s="9">
        <f>cukier11[[#This Row],[stan_po_sprzedazy]]+cukier11[[#This Row],[ile_dokupic]]*1000</f>
        <v>5103</v>
      </c>
    </row>
    <row r="1040" spans="1:9" x14ac:dyDescent="0.25">
      <c r="A1040" s="1">
        <v>40120</v>
      </c>
      <c r="B1040" t="s">
        <v>109</v>
      </c>
      <c r="C1040">
        <v>8</v>
      </c>
      <c r="D1040">
        <f>MONTH(cukier11[[#This Row],[data]])</f>
        <v>11</v>
      </c>
      <c r="E1040">
        <f>IF(D1041&lt;&gt;cukier11[[#This Row],[miesiac]],1,0)</f>
        <v>0</v>
      </c>
      <c r="F1040">
        <f>IF(AND(H1039&lt;5000,cukier11[[#This Row],[czy_nastapiła_zmiana_mies]]=1),ROUNDUP((5000-H1039)/1000,0),0)</f>
        <v>0</v>
      </c>
      <c r="G1040">
        <f t="shared" si="16"/>
        <v>5103</v>
      </c>
      <c r="H1040">
        <f>cukier11[[#This Row],[stan_magazynu]]-cukier11[[#This Row],[sprzedany_cukier]]</f>
        <v>5095</v>
      </c>
      <c r="I1040" s="9">
        <f>cukier11[[#This Row],[stan_po_sprzedazy]]+cukier11[[#This Row],[ile_dokupic]]*1000</f>
        <v>5095</v>
      </c>
    </row>
    <row r="1041" spans="1:9" x14ac:dyDescent="0.25">
      <c r="A1041" s="1">
        <v>40120</v>
      </c>
      <c r="B1041" t="s">
        <v>18</v>
      </c>
      <c r="C1041">
        <v>198</v>
      </c>
      <c r="D1041">
        <f>MONTH(cukier11[[#This Row],[data]])</f>
        <v>11</v>
      </c>
      <c r="E1041">
        <f>IF(D1042&lt;&gt;cukier11[[#This Row],[miesiac]],1,0)</f>
        <v>0</v>
      </c>
      <c r="F1041">
        <f>IF(AND(H1040&lt;5000,cukier11[[#This Row],[czy_nastapiła_zmiana_mies]]=1),ROUNDUP((5000-H1040)/1000,0),0)</f>
        <v>0</v>
      </c>
      <c r="G1041">
        <f t="shared" si="16"/>
        <v>5095</v>
      </c>
      <c r="H1041">
        <f>cukier11[[#This Row],[stan_magazynu]]-cukier11[[#This Row],[sprzedany_cukier]]</f>
        <v>4897</v>
      </c>
      <c r="I1041" s="9">
        <f>cukier11[[#This Row],[stan_po_sprzedazy]]+cukier11[[#This Row],[ile_dokupic]]*1000</f>
        <v>4897</v>
      </c>
    </row>
    <row r="1042" spans="1:9" x14ac:dyDescent="0.25">
      <c r="A1042" s="1">
        <v>40121</v>
      </c>
      <c r="B1042" t="s">
        <v>95</v>
      </c>
      <c r="C1042">
        <v>6</v>
      </c>
      <c r="D1042">
        <f>MONTH(cukier11[[#This Row],[data]])</f>
        <v>11</v>
      </c>
      <c r="E1042">
        <f>IF(D1043&lt;&gt;cukier11[[#This Row],[miesiac]],1,0)</f>
        <v>0</v>
      </c>
      <c r="F1042">
        <f>IF(AND(H1041&lt;5000,cukier11[[#This Row],[czy_nastapiła_zmiana_mies]]=1),ROUNDUP((5000-H1041)/1000,0),0)</f>
        <v>0</v>
      </c>
      <c r="G1042">
        <f t="shared" si="16"/>
        <v>4897</v>
      </c>
      <c r="H1042">
        <f>cukier11[[#This Row],[stan_magazynu]]-cukier11[[#This Row],[sprzedany_cukier]]</f>
        <v>4891</v>
      </c>
      <c r="I1042" s="9">
        <f>cukier11[[#This Row],[stan_po_sprzedazy]]+cukier11[[#This Row],[ile_dokupic]]*1000</f>
        <v>4891</v>
      </c>
    </row>
    <row r="1043" spans="1:9" x14ac:dyDescent="0.25">
      <c r="A1043" s="1">
        <v>40121</v>
      </c>
      <c r="B1043" t="s">
        <v>23</v>
      </c>
      <c r="C1043">
        <v>68</v>
      </c>
      <c r="D1043">
        <f>MONTH(cukier11[[#This Row],[data]])</f>
        <v>11</v>
      </c>
      <c r="E1043">
        <f>IF(D1044&lt;&gt;cukier11[[#This Row],[miesiac]],1,0)</f>
        <v>0</v>
      </c>
      <c r="F1043">
        <f>IF(AND(H1042&lt;5000,cukier11[[#This Row],[czy_nastapiła_zmiana_mies]]=1),ROUNDUP((5000-H1042)/1000,0),0)</f>
        <v>0</v>
      </c>
      <c r="G1043">
        <f t="shared" si="16"/>
        <v>4891</v>
      </c>
      <c r="H1043">
        <f>cukier11[[#This Row],[stan_magazynu]]-cukier11[[#This Row],[sprzedany_cukier]]</f>
        <v>4823</v>
      </c>
      <c r="I1043" s="9">
        <f>cukier11[[#This Row],[stan_po_sprzedazy]]+cukier11[[#This Row],[ile_dokupic]]*1000</f>
        <v>4823</v>
      </c>
    </row>
    <row r="1044" spans="1:9" x14ac:dyDescent="0.25">
      <c r="A1044" s="1">
        <v>40121</v>
      </c>
      <c r="B1044" t="s">
        <v>102</v>
      </c>
      <c r="C1044">
        <v>200</v>
      </c>
      <c r="D1044">
        <f>MONTH(cukier11[[#This Row],[data]])</f>
        <v>11</v>
      </c>
      <c r="E1044">
        <f>IF(D1045&lt;&gt;cukier11[[#This Row],[miesiac]],1,0)</f>
        <v>0</v>
      </c>
      <c r="F1044">
        <f>IF(AND(H1043&lt;5000,cukier11[[#This Row],[czy_nastapiła_zmiana_mies]]=1),ROUNDUP((5000-H1043)/1000,0),0)</f>
        <v>0</v>
      </c>
      <c r="G1044">
        <f t="shared" si="16"/>
        <v>4823</v>
      </c>
      <c r="H1044">
        <f>cukier11[[#This Row],[stan_magazynu]]-cukier11[[#This Row],[sprzedany_cukier]]</f>
        <v>4623</v>
      </c>
      <c r="I1044" s="9">
        <f>cukier11[[#This Row],[stan_po_sprzedazy]]+cukier11[[#This Row],[ile_dokupic]]*1000</f>
        <v>4623</v>
      </c>
    </row>
    <row r="1045" spans="1:9" x14ac:dyDescent="0.25">
      <c r="A1045" s="1">
        <v>40122</v>
      </c>
      <c r="B1045" t="s">
        <v>5</v>
      </c>
      <c r="C1045">
        <v>426</v>
      </c>
      <c r="D1045">
        <f>MONTH(cukier11[[#This Row],[data]])</f>
        <v>11</v>
      </c>
      <c r="E1045">
        <f>IF(D1046&lt;&gt;cukier11[[#This Row],[miesiac]],1,0)</f>
        <v>0</v>
      </c>
      <c r="F1045">
        <f>IF(AND(H1044&lt;5000,cukier11[[#This Row],[czy_nastapiła_zmiana_mies]]=1),ROUNDUP((5000-H1044)/1000,0),0)</f>
        <v>0</v>
      </c>
      <c r="G1045">
        <f t="shared" si="16"/>
        <v>4623</v>
      </c>
      <c r="H1045">
        <f>cukier11[[#This Row],[stan_magazynu]]-cukier11[[#This Row],[sprzedany_cukier]]</f>
        <v>4197</v>
      </c>
      <c r="I1045" s="9">
        <f>cukier11[[#This Row],[stan_po_sprzedazy]]+cukier11[[#This Row],[ile_dokupic]]*1000</f>
        <v>4197</v>
      </c>
    </row>
    <row r="1046" spans="1:9" x14ac:dyDescent="0.25">
      <c r="A1046" s="1">
        <v>40122</v>
      </c>
      <c r="B1046" t="s">
        <v>78</v>
      </c>
      <c r="C1046">
        <v>142</v>
      </c>
      <c r="D1046">
        <f>MONTH(cukier11[[#This Row],[data]])</f>
        <v>11</v>
      </c>
      <c r="E1046">
        <f>IF(D1047&lt;&gt;cukier11[[#This Row],[miesiac]],1,0)</f>
        <v>0</v>
      </c>
      <c r="F1046">
        <f>IF(AND(H1045&lt;5000,cukier11[[#This Row],[czy_nastapiła_zmiana_mies]]=1),ROUNDUP((5000-H1045)/1000,0),0)</f>
        <v>0</v>
      </c>
      <c r="G1046">
        <f t="shared" si="16"/>
        <v>4197</v>
      </c>
      <c r="H1046">
        <f>cukier11[[#This Row],[stan_magazynu]]-cukier11[[#This Row],[sprzedany_cukier]]</f>
        <v>4055</v>
      </c>
      <c r="I1046" s="9">
        <f>cukier11[[#This Row],[stan_po_sprzedazy]]+cukier11[[#This Row],[ile_dokupic]]*1000</f>
        <v>4055</v>
      </c>
    </row>
    <row r="1047" spans="1:9" x14ac:dyDescent="0.25">
      <c r="A1047" s="1">
        <v>40122</v>
      </c>
      <c r="B1047" t="s">
        <v>7</v>
      </c>
      <c r="C1047">
        <v>298</v>
      </c>
      <c r="D1047">
        <f>MONTH(cukier11[[#This Row],[data]])</f>
        <v>11</v>
      </c>
      <c r="E1047">
        <f>IF(D1048&lt;&gt;cukier11[[#This Row],[miesiac]],1,0)</f>
        <v>0</v>
      </c>
      <c r="F1047">
        <f>IF(AND(H1046&lt;5000,cukier11[[#This Row],[czy_nastapiła_zmiana_mies]]=1),ROUNDUP((5000-H1046)/1000,0),0)</f>
        <v>0</v>
      </c>
      <c r="G1047">
        <f t="shared" si="16"/>
        <v>4055</v>
      </c>
      <c r="H1047">
        <f>cukier11[[#This Row],[stan_magazynu]]-cukier11[[#This Row],[sprzedany_cukier]]</f>
        <v>3757</v>
      </c>
      <c r="I1047" s="9">
        <f>cukier11[[#This Row],[stan_po_sprzedazy]]+cukier11[[#This Row],[ile_dokupic]]*1000</f>
        <v>3757</v>
      </c>
    </row>
    <row r="1048" spans="1:9" x14ac:dyDescent="0.25">
      <c r="A1048" s="1">
        <v>40124</v>
      </c>
      <c r="B1048" t="s">
        <v>17</v>
      </c>
      <c r="C1048">
        <v>224</v>
      </c>
      <c r="D1048">
        <f>MONTH(cukier11[[#This Row],[data]])</f>
        <v>11</v>
      </c>
      <c r="E1048">
        <f>IF(D1049&lt;&gt;cukier11[[#This Row],[miesiac]],1,0)</f>
        <v>0</v>
      </c>
      <c r="F1048">
        <f>IF(AND(H1047&lt;5000,cukier11[[#This Row],[czy_nastapiła_zmiana_mies]]=1),ROUNDUP((5000-H1047)/1000,0),0)</f>
        <v>0</v>
      </c>
      <c r="G1048">
        <f t="shared" si="16"/>
        <v>3757</v>
      </c>
      <c r="H1048">
        <f>cukier11[[#This Row],[stan_magazynu]]-cukier11[[#This Row],[sprzedany_cukier]]</f>
        <v>3533</v>
      </c>
      <c r="I1048" s="9">
        <f>cukier11[[#This Row],[stan_po_sprzedazy]]+cukier11[[#This Row],[ile_dokupic]]*1000</f>
        <v>3533</v>
      </c>
    </row>
    <row r="1049" spans="1:9" x14ac:dyDescent="0.25">
      <c r="A1049" s="1">
        <v>40126</v>
      </c>
      <c r="B1049" t="s">
        <v>5</v>
      </c>
      <c r="C1049">
        <v>133</v>
      </c>
      <c r="D1049">
        <f>MONTH(cukier11[[#This Row],[data]])</f>
        <v>11</v>
      </c>
      <c r="E1049">
        <f>IF(D1050&lt;&gt;cukier11[[#This Row],[miesiac]],1,0)</f>
        <v>0</v>
      </c>
      <c r="F1049">
        <f>IF(AND(H1048&lt;5000,cukier11[[#This Row],[czy_nastapiła_zmiana_mies]]=1),ROUNDUP((5000-H1048)/1000,0),0)</f>
        <v>0</v>
      </c>
      <c r="G1049">
        <f t="shared" si="16"/>
        <v>3533</v>
      </c>
      <c r="H1049">
        <f>cukier11[[#This Row],[stan_magazynu]]-cukier11[[#This Row],[sprzedany_cukier]]</f>
        <v>3400</v>
      </c>
      <c r="I1049" s="9">
        <f>cukier11[[#This Row],[stan_po_sprzedazy]]+cukier11[[#This Row],[ile_dokupic]]*1000</f>
        <v>3400</v>
      </c>
    </row>
    <row r="1050" spans="1:9" x14ac:dyDescent="0.25">
      <c r="A1050" s="1">
        <v>40128</v>
      </c>
      <c r="B1050" t="s">
        <v>45</v>
      </c>
      <c r="C1050">
        <v>326</v>
      </c>
      <c r="D1050">
        <f>MONTH(cukier11[[#This Row],[data]])</f>
        <v>11</v>
      </c>
      <c r="E1050">
        <f>IF(D1051&lt;&gt;cukier11[[#This Row],[miesiac]],1,0)</f>
        <v>0</v>
      </c>
      <c r="F1050">
        <f>IF(AND(H1049&lt;5000,cukier11[[#This Row],[czy_nastapiła_zmiana_mies]]=1),ROUNDUP((5000-H1049)/1000,0),0)</f>
        <v>0</v>
      </c>
      <c r="G1050">
        <f t="shared" si="16"/>
        <v>3400</v>
      </c>
      <c r="H1050">
        <f>cukier11[[#This Row],[stan_magazynu]]-cukier11[[#This Row],[sprzedany_cukier]]</f>
        <v>3074</v>
      </c>
      <c r="I1050" s="9">
        <f>cukier11[[#This Row],[stan_po_sprzedazy]]+cukier11[[#This Row],[ile_dokupic]]*1000</f>
        <v>3074</v>
      </c>
    </row>
    <row r="1051" spans="1:9" x14ac:dyDescent="0.25">
      <c r="A1051" s="1">
        <v>40128</v>
      </c>
      <c r="B1051" t="s">
        <v>120</v>
      </c>
      <c r="C1051">
        <v>102</v>
      </c>
      <c r="D1051">
        <f>MONTH(cukier11[[#This Row],[data]])</f>
        <v>11</v>
      </c>
      <c r="E1051">
        <f>IF(D1052&lt;&gt;cukier11[[#This Row],[miesiac]],1,0)</f>
        <v>0</v>
      </c>
      <c r="F1051">
        <f>IF(AND(H1050&lt;5000,cukier11[[#This Row],[czy_nastapiła_zmiana_mies]]=1),ROUNDUP((5000-H1050)/1000,0),0)</f>
        <v>0</v>
      </c>
      <c r="G1051">
        <f t="shared" si="16"/>
        <v>3074</v>
      </c>
      <c r="H1051">
        <f>cukier11[[#This Row],[stan_magazynu]]-cukier11[[#This Row],[sprzedany_cukier]]</f>
        <v>2972</v>
      </c>
      <c r="I1051" s="9">
        <f>cukier11[[#This Row],[stan_po_sprzedazy]]+cukier11[[#This Row],[ile_dokupic]]*1000</f>
        <v>2972</v>
      </c>
    </row>
    <row r="1052" spans="1:9" x14ac:dyDescent="0.25">
      <c r="A1052" s="1">
        <v>40129</v>
      </c>
      <c r="B1052" t="s">
        <v>7</v>
      </c>
      <c r="C1052">
        <v>332</v>
      </c>
      <c r="D1052">
        <f>MONTH(cukier11[[#This Row],[data]])</f>
        <v>11</v>
      </c>
      <c r="E1052">
        <f>IF(D1053&lt;&gt;cukier11[[#This Row],[miesiac]],1,0)</f>
        <v>0</v>
      </c>
      <c r="F1052">
        <f>IF(AND(H1051&lt;5000,cukier11[[#This Row],[czy_nastapiła_zmiana_mies]]=1),ROUNDUP((5000-H1051)/1000,0),0)</f>
        <v>0</v>
      </c>
      <c r="G1052">
        <f t="shared" si="16"/>
        <v>2972</v>
      </c>
      <c r="H1052">
        <f>cukier11[[#This Row],[stan_magazynu]]-cukier11[[#This Row],[sprzedany_cukier]]</f>
        <v>2640</v>
      </c>
      <c r="I1052" s="9">
        <f>cukier11[[#This Row],[stan_po_sprzedazy]]+cukier11[[#This Row],[ile_dokupic]]*1000</f>
        <v>2640</v>
      </c>
    </row>
    <row r="1053" spans="1:9" x14ac:dyDescent="0.25">
      <c r="A1053" s="1">
        <v>40130</v>
      </c>
      <c r="B1053" t="s">
        <v>19</v>
      </c>
      <c r="C1053">
        <v>95</v>
      </c>
      <c r="D1053">
        <f>MONTH(cukier11[[#This Row],[data]])</f>
        <v>11</v>
      </c>
      <c r="E1053">
        <f>IF(D1054&lt;&gt;cukier11[[#This Row],[miesiac]],1,0)</f>
        <v>0</v>
      </c>
      <c r="F1053">
        <f>IF(AND(H1052&lt;5000,cukier11[[#This Row],[czy_nastapiła_zmiana_mies]]=1),ROUNDUP((5000-H1052)/1000,0),0)</f>
        <v>0</v>
      </c>
      <c r="G1053">
        <f t="shared" si="16"/>
        <v>2640</v>
      </c>
      <c r="H1053">
        <f>cukier11[[#This Row],[stan_magazynu]]-cukier11[[#This Row],[sprzedany_cukier]]</f>
        <v>2545</v>
      </c>
      <c r="I1053" s="9">
        <f>cukier11[[#This Row],[stan_po_sprzedazy]]+cukier11[[#This Row],[ile_dokupic]]*1000</f>
        <v>2545</v>
      </c>
    </row>
    <row r="1054" spans="1:9" x14ac:dyDescent="0.25">
      <c r="A1054" s="1">
        <v>40134</v>
      </c>
      <c r="B1054" t="s">
        <v>136</v>
      </c>
      <c r="C1054">
        <v>7</v>
      </c>
      <c r="D1054">
        <f>MONTH(cukier11[[#This Row],[data]])</f>
        <v>11</v>
      </c>
      <c r="E1054">
        <f>IF(D1055&lt;&gt;cukier11[[#This Row],[miesiac]],1,0)</f>
        <v>0</v>
      </c>
      <c r="F1054">
        <f>IF(AND(H1053&lt;5000,cukier11[[#This Row],[czy_nastapiła_zmiana_mies]]=1),ROUNDUP((5000-H1053)/1000,0),0)</f>
        <v>0</v>
      </c>
      <c r="G1054">
        <f t="shared" si="16"/>
        <v>2545</v>
      </c>
      <c r="H1054">
        <f>cukier11[[#This Row],[stan_magazynu]]-cukier11[[#This Row],[sprzedany_cukier]]</f>
        <v>2538</v>
      </c>
      <c r="I1054" s="9">
        <f>cukier11[[#This Row],[stan_po_sprzedazy]]+cukier11[[#This Row],[ile_dokupic]]*1000</f>
        <v>2538</v>
      </c>
    </row>
    <row r="1055" spans="1:9" x14ac:dyDescent="0.25">
      <c r="A1055" s="1">
        <v>40134</v>
      </c>
      <c r="B1055" t="s">
        <v>14</v>
      </c>
      <c r="C1055">
        <v>276</v>
      </c>
      <c r="D1055">
        <f>MONTH(cukier11[[#This Row],[data]])</f>
        <v>11</v>
      </c>
      <c r="E1055">
        <f>IF(D1056&lt;&gt;cukier11[[#This Row],[miesiac]],1,0)</f>
        <v>0</v>
      </c>
      <c r="F1055">
        <f>IF(AND(H1054&lt;5000,cukier11[[#This Row],[czy_nastapiła_zmiana_mies]]=1),ROUNDUP((5000-H1054)/1000,0),0)</f>
        <v>0</v>
      </c>
      <c r="G1055">
        <f t="shared" si="16"/>
        <v>2538</v>
      </c>
      <c r="H1055">
        <f>cukier11[[#This Row],[stan_magazynu]]-cukier11[[#This Row],[sprzedany_cukier]]</f>
        <v>2262</v>
      </c>
      <c r="I1055" s="9">
        <f>cukier11[[#This Row],[stan_po_sprzedazy]]+cukier11[[#This Row],[ile_dokupic]]*1000</f>
        <v>2262</v>
      </c>
    </row>
    <row r="1056" spans="1:9" x14ac:dyDescent="0.25">
      <c r="A1056" s="1">
        <v>40134</v>
      </c>
      <c r="B1056" t="s">
        <v>139</v>
      </c>
      <c r="C1056">
        <v>6</v>
      </c>
      <c r="D1056">
        <f>MONTH(cukier11[[#This Row],[data]])</f>
        <v>11</v>
      </c>
      <c r="E1056">
        <f>IF(D1057&lt;&gt;cukier11[[#This Row],[miesiac]],1,0)</f>
        <v>0</v>
      </c>
      <c r="F1056">
        <f>IF(AND(H1055&lt;5000,cukier11[[#This Row],[czy_nastapiła_zmiana_mies]]=1),ROUNDUP((5000-H1055)/1000,0),0)</f>
        <v>0</v>
      </c>
      <c r="G1056">
        <f t="shared" si="16"/>
        <v>2262</v>
      </c>
      <c r="H1056">
        <f>cukier11[[#This Row],[stan_magazynu]]-cukier11[[#This Row],[sprzedany_cukier]]</f>
        <v>2256</v>
      </c>
      <c r="I1056" s="9">
        <f>cukier11[[#This Row],[stan_po_sprzedazy]]+cukier11[[#This Row],[ile_dokupic]]*1000</f>
        <v>2256</v>
      </c>
    </row>
    <row r="1057" spans="1:9" x14ac:dyDescent="0.25">
      <c r="A1057" s="1">
        <v>40136</v>
      </c>
      <c r="B1057" t="s">
        <v>45</v>
      </c>
      <c r="C1057">
        <v>232</v>
      </c>
      <c r="D1057">
        <f>MONTH(cukier11[[#This Row],[data]])</f>
        <v>11</v>
      </c>
      <c r="E1057">
        <f>IF(D1058&lt;&gt;cukier11[[#This Row],[miesiac]],1,0)</f>
        <v>0</v>
      </c>
      <c r="F1057">
        <f>IF(AND(H1056&lt;5000,cukier11[[#This Row],[czy_nastapiła_zmiana_mies]]=1),ROUNDUP((5000-H1056)/1000,0),0)</f>
        <v>0</v>
      </c>
      <c r="G1057">
        <f t="shared" si="16"/>
        <v>2256</v>
      </c>
      <c r="H1057">
        <f>cukier11[[#This Row],[stan_magazynu]]-cukier11[[#This Row],[sprzedany_cukier]]</f>
        <v>2024</v>
      </c>
      <c r="I1057" s="9">
        <f>cukier11[[#This Row],[stan_po_sprzedazy]]+cukier11[[#This Row],[ile_dokupic]]*1000</f>
        <v>2024</v>
      </c>
    </row>
    <row r="1058" spans="1:9" x14ac:dyDescent="0.25">
      <c r="A1058" s="1">
        <v>40136</v>
      </c>
      <c r="B1058" t="s">
        <v>66</v>
      </c>
      <c r="C1058">
        <v>162</v>
      </c>
      <c r="D1058">
        <f>MONTH(cukier11[[#This Row],[data]])</f>
        <v>11</v>
      </c>
      <c r="E1058">
        <f>IF(D1059&lt;&gt;cukier11[[#This Row],[miesiac]],1,0)</f>
        <v>0</v>
      </c>
      <c r="F1058">
        <f>IF(AND(H1057&lt;5000,cukier11[[#This Row],[czy_nastapiła_zmiana_mies]]=1),ROUNDUP((5000-H1057)/1000,0),0)</f>
        <v>0</v>
      </c>
      <c r="G1058">
        <f t="shared" si="16"/>
        <v>2024</v>
      </c>
      <c r="H1058">
        <f>cukier11[[#This Row],[stan_magazynu]]-cukier11[[#This Row],[sprzedany_cukier]]</f>
        <v>1862</v>
      </c>
      <c r="I1058" s="9">
        <f>cukier11[[#This Row],[stan_po_sprzedazy]]+cukier11[[#This Row],[ile_dokupic]]*1000</f>
        <v>1862</v>
      </c>
    </row>
    <row r="1059" spans="1:9" x14ac:dyDescent="0.25">
      <c r="A1059" s="1">
        <v>40139</v>
      </c>
      <c r="B1059" t="s">
        <v>10</v>
      </c>
      <c r="C1059">
        <v>66</v>
      </c>
      <c r="D1059">
        <f>MONTH(cukier11[[#This Row],[data]])</f>
        <v>11</v>
      </c>
      <c r="E1059">
        <f>IF(D1060&lt;&gt;cukier11[[#This Row],[miesiac]],1,0)</f>
        <v>0</v>
      </c>
      <c r="F1059">
        <f>IF(AND(H1058&lt;5000,cukier11[[#This Row],[czy_nastapiła_zmiana_mies]]=1),ROUNDUP((5000-H1058)/1000,0),0)</f>
        <v>0</v>
      </c>
      <c r="G1059">
        <f t="shared" si="16"/>
        <v>1862</v>
      </c>
      <c r="H1059">
        <f>cukier11[[#This Row],[stan_magazynu]]-cukier11[[#This Row],[sprzedany_cukier]]</f>
        <v>1796</v>
      </c>
      <c r="I1059" s="9">
        <f>cukier11[[#This Row],[stan_po_sprzedazy]]+cukier11[[#This Row],[ile_dokupic]]*1000</f>
        <v>1796</v>
      </c>
    </row>
    <row r="1060" spans="1:9" x14ac:dyDescent="0.25">
      <c r="A1060" s="1">
        <v>40139</v>
      </c>
      <c r="B1060" t="s">
        <v>157</v>
      </c>
      <c r="C1060">
        <v>2</v>
      </c>
      <c r="D1060">
        <f>MONTH(cukier11[[#This Row],[data]])</f>
        <v>11</v>
      </c>
      <c r="E1060">
        <f>IF(D1061&lt;&gt;cukier11[[#This Row],[miesiac]],1,0)</f>
        <v>0</v>
      </c>
      <c r="F1060">
        <f>IF(AND(H1059&lt;5000,cukier11[[#This Row],[czy_nastapiła_zmiana_mies]]=1),ROUNDUP((5000-H1059)/1000,0),0)</f>
        <v>0</v>
      </c>
      <c r="G1060">
        <f t="shared" si="16"/>
        <v>1796</v>
      </c>
      <c r="H1060">
        <f>cukier11[[#This Row],[stan_magazynu]]-cukier11[[#This Row],[sprzedany_cukier]]</f>
        <v>1794</v>
      </c>
      <c r="I1060" s="9">
        <f>cukier11[[#This Row],[stan_po_sprzedazy]]+cukier11[[#This Row],[ile_dokupic]]*1000</f>
        <v>1794</v>
      </c>
    </row>
    <row r="1061" spans="1:9" x14ac:dyDescent="0.25">
      <c r="A1061" s="1">
        <v>40139</v>
      </c>
      <c r="B1061" t="s">
        <v>12</v>
      </c>
      <c r="C1061">
        <v>152</v>
      </c>
      <c r="D1061">
        <f>MONTH(cukier11[[#This Row],[data]])</f>
        <v>11</v>
      </c>
      <c r="E1061">
        <f>IF(D1062&lt;&gt;cukier11[[#This Row],[miesiac]],1,0)</f>
        <v>0</v>
      </c>
      <c r="F1061">
        <f>IF(AND(H1060&lt;5000,cukier11[[#This Row],[czy_nastapiła_zmiana_mies]]=1),ROUNDUP((5000-H1060)/1000,0),0)</f>
        <v>0</v>
      </c>
      <c r="G1061">
        <f t="shared" si="16"/>
        <v>1794</v>
      </c>
      <c r="H1061">
        <f>cukier11[[#This Row],[stan_magazynu]]-cukier11[[#This Row],[sprzedany_cukier]]</f>
        <v>1642</v>
      </c>
      <c r="I1061" s="9">
        <f>cukier11[[#This Row],[stan_po_sprzedazy]]+cukier11[[#This Row],[ile_dokupic]]*1000</f>
        <v>1642</v>
      </c>
    </row>
    <row r="1062" spans="1:9" x14ac:dyDescent="0.25">
      <c r="A1062" s="1">
        <v>40139</v>
      </c>
      <c r="B1062" t="s">
        <v>201</v>
      </c>
      <c r="C1062">
        <v>2</v>
      </c>
      <c r="D1062">
        <f>MONTH(cukier11[[#This Row],[data]])</f>
        <v>11</v>
      </c>
      <c r="E1062">
        <f>IF(D1063&lt;&gt;cukier11[[#This Row],[miesiac]],1,0)</f>
        <v>0</v>
      </c>
      <c r="F1062">
        <f>IF(AND(H1061&lt;5000,cukier11[[#This Row],[czy_nastapiła_zmiana_mies]]=1),ROUNDUP((5000-H1061)/1000,0),0)</f>
        <v>0</v>
      </c>
      <c r="G1062">
        <f t="shared" si="16"/>
        <v>1642</v>
      </c>
      <c r="H1062">
        <f>cukier11[[#This Row],[stan_magazynu]]-cukier11[[#This Row],[sprzedany_cukier]]</f>
        <v>1640</v>
      </c>
      <c r="I1062" s="9">
        <f>cukier11[[#This Row],[stan_po_sprzedazy]]+cukier11[[#This Row],[ile_dokupic]]*1000</f>
        <v>1640</v>
      </c>
    </row>
    <row r="1063" spans="1:9" x14ac:dyDescent="0.25">
      <c r="A1063" s="1">
        <v>40142</v>
      </c>
      <c r="B1063" t="s">
        <v>20</v>
      </c>
      <c r="C1063">
        <v>115</v>
      </c>
      <c r="D1063">
        <f>MONTH(cukier11[[#This Row],[data]])</f>
        <v>11</v>
      </c>
      <c r="E1063">
        <f>IF(D1064&lt;&gt;cukier11[[#This Row],[miesiac]],1,0)</f>
        <v>0</v>
      </c>
      <c r="F1063">
        <f>IF(AND(H1062&lt;5000,cukier11[[#This Row],[czy_nastapiła_zmiana_mies]]=1),ROUNDUP((5000-H1062)/1000,0),0)</f>
        <v>0</v>
      </c>
      <c r="G1063">
        <f t="shared" si="16"/>
        <v>1640</v>
      </c>
      <c r="H1063">
        <f>cukier11[[#This Row],[stan_magazynu]]-cukier11[[#This Row],[sprzedany_cukier]]</f>
        <v>1525</v>
      </c>
      <c r="I1063" s="9">
        <f>cukier11[[#This Row],[stan_po_sprzedazy]]+cukier11[[#This Row],[ile_dokupic]]*1000</f>
        <v>1525</v>
      </c>
    </row>
    <row r="1064" spans="1:9" x14ac:dyDescent="0.25">
      <c r="A1064" s="1">
        <v>40142</v>
      </c>
      <c r="B1064" t="s">
        <v>37</v>
      </c>
      <c r="C1064">
        <v>29</v>
      </c>
      <c r="D1064">
        <f>MONTH(cukier11[[#This Row],[data]])</f>
        <v>11</v>
      </c>
      <c r="E1064">
        <f>IF(D1065&lt;&gt;cukier11[[#This Row],[miesiac]],1,0)</f>
        <v>0</v>
      </c>
      <c r="F1064">
        <f>IF(AND(H1063&lt;5000,cukier11[[#This Row],[czy_nastapiła_zmiana_mies]]=1),ROUNDUP((5000-H1063)/1000,0),0)</f>
        <v>0</v>
      </c>
      <c r="G1064">
        <f t="shared" si="16"/>
        <v>1525</v>
      </c>
      <c r="H1064">
        <f>cukier11[[#This Row],[stan_magazynu]]-cukier11[[#This Row],[sprzedany_cukier]]</f>
        <v>1496</v>
      </c>
      <c r="I1064" s="9">
        <f>cukier11[[#This Row],[stan_po_sprzedazy]]+cukier11[[#This Row],[ile_dokupic]]*1000</f>
        <v>1496</v>
      </c>
    </row>
    <row r="1065" spans="1:9" x14ac:dyDescent="0.25">
      <c r="A1065" s="1">
        <v>40142</v>
      </c>
      <c r="B1065" t="s">
        <v>35</v>
      </c>
      <c r="C1065">
        <v>91</v>
      </c>
      <c r="D1065">
        <f>MONTH(cukier11[[#This Row],[data]])</f>
        <v>11</v>
      </c>
      <c r="E1065">
        <f>IF(D1066&lt;&gt;cukier11[[#This Row],[miesiac]],1,0)</f>
        <v>0</v>
      </c>
      <c r="F1065">
        <f>IF(AND(H1064&lt;5000,cukier11[[#This Row],[czy_nastapiła_zmiana_mies]]=1),ROUNDUP((5000-H1064)/1000,0),0)</f>
        <v>0</v>
      </c>
      <c r="G1065">
        <f t="shared" si="16"/>
        <v>1496</v>
      </c>
      <c r="H1065">
        <f>cukier11[[#This Row],[stan_magazynu]]-cukier11[[#This Row],[sprzedany_cukier]]</f>
        <v>1405</v>
      </c>
      <c r="I1065" s="9">
        <f>cukier11[[#This Row],[stan_po_sprzedazy]]+cukier11[[#This Row],[ile_dokupic]]*1000</f>
        <v>1405</v>
      </c>
    </row>
    <row r="1066" spans="1:9" x14ac:dyDescent="0.25">
      <c r="A1066" s="1">
        <v>40144</v>
      </c>
      <c r="B1066" t="s">
        <v>19</v>
      </c>
      <c r="C1066">
        <v>125</v>
      </c>
      <c r="D1066">
        <f>MONTH(cukier11[[#This Row],[data]])</f>
        <v>11</v>
      </c>
      <c r="E1066">
        <f>IF(D1067&lt;&gt;cukier11[[#This Row],[miesiac]],1,0)</f>
        <v>0</v>
      </c>
      <c r="F1066">
        <f>IF(AND(H1065&lt;5000,cukier11[[#This Row],[czy_nastapiła_zmiana_mies]]=1),ROUNDUP((5000-H1065)/1000,0),0)</f>
        <v>0</v>
      </c>
      <c r="G1066">
        <f t="shared" si="16"/>
        <v>1405</v>
      </c>
      <c r="H1066">
        <f>cukier11[[#This Row],[stan_magazynu]]-cukier11[[#This Row],[sprzedany_cukier]]</f>
        <v>1280</v>
      </c>
      <c r="I1066" s="9">
        <f>cukier11[[#This Row],[stan_po_sprzedazy]]+cukier11[[#This Row],[ile_dokupic]]*1000</f>
        <v>1280</v>
      </c>
    </row>
    <row r="1067" spans="1:9" x14ac:dyDescent="0.25">
      <c r="A1067" s="1">
        <v>40146</v>
      </c>
      <c r="B1067" t="s">
        <v>61</v>
      </c>
      <c r="C1067">
        <v>40</v>
      </c>
      <c r="D1067">
        <f>MONTH(cukier11[[#This Row],[data]])</f>
        <v>11</v>
      </c>
      <c r="E1067">
        <f>IF(D1068&lt;&gt;cukier11[[#This Row],[miesiac]],1,0)</f>
        <v>0</v>
      </c>
      <c r="F1067">
        <f>IF(AND(H1066&lt;5000,cukier11[[#This Row],[czy_nastapiła_zmiana_mies]]=1),ROUNDUP((5000-H1066)/1000,0),0)</f>
        <v>0</v>
      </c>
      <c r="G1067">
        <f t="shared" si="16"/>
        <v>1280</v>
      </c>
      <c r="H1067">
        <f>cukier11[[#This Row],[stan_magazynu]]-cukier11[[#This Row],[sprzedany_cukier]]</f>
        <v>1240</v>
      </c>
      <c r="I1067" s="9">
        <f>cukier11[[#This Row],[stan_po_sprzedazy]]+cukier11[[#This Row],[ile_dokupic]]*1000</f>
        <v>1240</v>
      </c>
    </row>
    <row r="1068" spans="1:9" x14ac:dyDescent="0.25">
      <c r="A1068" s="1">
        <v>40146</v>
      </c>
      <c r="B1068" t="s">
        <v>9</v>
      </c>
      <c r="C1068">
        <v>279</v>
      </c>
      <c r="D1068">
        <f>MONTH(cukier11[[#This Row],[data]])</f>
        <v>11</v>
      </c>
      <c r="E1068">
        <f>IF(D1069&lt;&gt;cukier11[[#This Row],[miesiac]],1,0)</f>
        <v>0</v>
      </c>
      <c r="F1068">
        <f>IF(AND(H1067&lt;5000,cukier11[[#This Row],[czy_nastapiła_zmiana_mies]]=1),ROUNDUP((5000-H1067)/1000,0),0)</f>
        <v>0</v>
      </c>
      <c r="G1068">
        <f t="shared" si="16"/>
        <v>1240</v>
      </c>
      <c r="H1068">
        <f>cukier11[[#This Row],[stan_magazynu]]-cukier11[[#This Row],[sprzedany_cukier]]</f>
        <v>961</v>
      </c>
      <c r="I1068" s="9">
        <f>cukier11[[#This Row],[stan_po_sprzedazy]]+cukier11[[#This Row],[ile_dokupic]]*1000</f>
        <v>961</v>
      </c>
    </row>
    <row r="1069" spans="1:9" x14ac:dyDescent="0.25">
      <c r="A1069" s="1">
        <v>40147</v>
      </c>
      <c r="B1069" t="s">
        <v>11</v>
      </c>
      <c r="C1069">
        <v>8</v>
      </c>
      <c r="D1069">
        <f>MONTH(cukier11[[#This Row],[data]])</f>
        <v>11</v>
      </c>
      <c r="E1069">
        <f>IF(D1070&lt;&gt;cukier11[[#This Row],[miesiac]],1,0)</f>
        <v>1</v>
      </c>
      <c r="F1069">
        <f>IF(AND(H1068&lt;5000,cukier11[[#This Row],[czy_nastapiła_zmiana_mies]]=1),ROUNDUP((5000-H1068)/1000,0),0)</f>
        <v>5</v>
      </c>
      <c r="G1069">
        <f t="shared" si="16"/>
        <v>961</v>
      </c>
      <c r="H1069">
        <f>cukier11[[#This Row],[stan_magazynu]]-cukier11[[#This Row],[sprzedany_cukier]]</f>
        <v>953</v>
      </c>
      <c r="I1069" s="9">
        <f>cukier11[[#This Row],[stan_po_sprzedazy]]+cukier11[[#This Row],[ile_dokupic]]*1000</f>
        <v>5953</v>
      </c>
    </row>
    <row r="1070" spans="1:9" x14ac:dyDescent="0.25">
      <c r="A1070" s="1">
        <v>40151</v>
      </c>
      <c r="B1070" t="s">
        <v>71</v>
      </c>
      <c r="C1070">
        <v>194</v>
      </c>
      <c r="D1070">
        <f>MONTH(cukier11[[#This Row],[data]])</f>
        <v>12</v>
      </c>
      <c r="E1070">
        <f>IF(D1071&lt;&gt;cukier11[[#This Row],[miesiac]],1,0)</f>
        <v>0</v>
      </c>
      <c r="F1070">
        <f>IF(AND(H1069&lt;5000,cukier11[[#This Row],[czy_nastapiła_zmiana_mies]]=1),ROUNDUP((5000-H1069)/1000,0),0)</f>
        <v>0</v>
      </c>
      <c r="G1070">
        <f t="shared" si="16"/>
        <v>5953</v>
      </c>
      <c r="H1070">
        <f>cukier11[[#This Row],[stan_magazynu]]-cukier11[[#This Row],[sprzedany_cukier]]</f>
        <v>5759</v>
      </c>
      <c r="I1070" s="9">
        <f>cukier11[[#This Row],[stan_po_sprzedazy]]+cukier11[[#This Row],[ile_dokupic]]*1000</f>
        <v>5759</v>
      </c>
    </row>
    <row r="1071" spans="1:9" x14ac:dyDescent="0.25">
      <c r="A1071" s="1">
        <v>40152</v>
      </c>
      <c r="B1071" t="s">
        <v>6</v>
      </c>
      <c r="C1071">
        <v>168</v>
      </c>
      <c r="D1071">
        <f>MONTH(cukier11[[#This Row],[data]])</f>
        <v>12</v>
      </c>
      <c r="E1071">
        <f>IF(D1072&lt;&gt;cukier11[[#This Row],[miesiac]],1,0)</f>
        <v>0</v>
      </c>
      <c r="F1071">
        <f>IF(AND(H1070&lt;5000,cukier11[[#This Row],[czy_nastapiła_zmiana_mies]]=1),ROUNDUP((5000-H1070)/1000,0),0)</f>
        <v>0</v>
      </c>
      <c r="G1071">
        <f t="shared" si="16"/>
        <v>5759</v>
      </c>
      <c r="H1071">
        <f>cukier11[[#This Row],[stan_magazynu]]-cukier11[[#This Row],[sprzedany_cukier]]</f>
        <v>5591</v>
      </c>
      <c r="I1071" s="9">
        <f>cukier11[[#This Row],[stan_po_sprzedazy]]+cukier11[[#This Row],[ile_dokupic]]*1000</f>
        <v>5591</v>
      </c>
    </row>
    <row r="1072" spans="1:9" x14ac:dyDescent="0.25">
      <c r="A1072" s="1">
        <v>40153</v>
      </c>
      <c r="B1072" t="s">
        <v>14</v>
      </c>
      <c r="C1072">
        <v>211</v>
      </c>
      <c r="D1072">
        <f>MONTH(cukier11[[#This Row],[data]])</f>
        <v>12</v>
      </c>
      <c r="E1072">
        <f>IF(D1073&lt;&gt;cukier11[[#This Row],[miesiac]],1,0)</f>
        <v>0</v>
      </c>
      <c r="F1072">
        <f>IF(AND(H1071&lt;5000,cukier11[[#This Row],[czy_nastapiła_zmiana_mies]]=1),ROUNDUP((5000-H1071)/1000,0),0)</f>
        <v>0</v>
      </c>
      <c r="G1072">
        <f t="shared" si="16"/>
        <v>5591</v>
      </c>
      <c r="H1072">
        <f>cukier11[[#This Row],[stan_magazynu]]-cukier11[[#This Row],[sprzedany_cukier]]</f>
        <v>5380</v>
      </c>
      <c r="I1072" s="9">
        <f>cukier11[[#This Row],[stan_po_sprzedazy]]+cukier11[[#This Row],[ile_dokupic]]*1000</f>
        <v>5380</v>
      </c>
    </row>
    <row r="1073" spans="1:9" x14ac:dyDescent="0.25">
      <c r="A1073" s="1">
        <v>40153</v>
      </c>
      <c r="B1073" t="s">
        <v>155</v>
      </c>
      <c r="C1073">
        <v>19</v>
      </c>
      <c r="D1073">
        <f>MONTH(cukier11[[#This Row],[data]])</f>
        <v>12</v>
      </c>
      <c r="E1073">
        <f>IF(D1074&lt;&gt;cukier11[[#This Row],[miesiac]],1,0)</f>
        <v>0</v>
      </c>
      <c r="F1073">
        <f>IF(AND(H1072&lt;5000,cukier11[[#This Row],[czy_nastapiła_zmiana_mies]]=1),ROUNDUP((5000-H1072)/1000,0),0)</f>
        <v>0</v>
      </c>
      <c r="G1073">
        <f t="shared" si="16"/>
        <v>5380</v>
      </c>
      <c r="H1073">
        <f>cukier11[[#This Row],[stan_magazynu]]-cukier11[[#This Row],[sprzedany_cukier]]</f>
        <v>5361</v>
      </c>
      <c r="I1073" s="9">
        <f>cukier11[[#This Row],[stan_po_sprzedazy]]+cukier11[[#This Row],[ile_dokupic]]*1000</f>
        <v>5361</v>
      </c>
    </row>
    <row r="1074" spans="1:9" x14ac:dyDescent="0.25">
      <c r="A1074" s="1">
        <v>40155</v>
      </c>
      <c r="B1074" t="s">
        <v>153</v>
      </c>
      <c r="C1074">
        <v>16</v>
      </c>
      <c r="D1074">
        <f>MONTH(cukier11[[#This Row],[data]])</f>
        <v>12</v>
      </c>
      <c r="E1074">
        <f>IF(D1075&lt;&gt;cukier11[[#This Row],[miesiac]],1,0)</f>
        <v>0</v>
      </c>
      <c r="F1074">
        <f>IF(AND(H1073&lt;5000,cukier11[[#This Row],[czy_nastapiła_zmiana_mies]]=1),ROUNDUP((5000-H1073)/1000,0),0)</f>
        <v>0</v>
      </c>
      <c r="G1074">
        <f t="shared" si="16"/>
        <v>5361</v>
      </c>
      <c r="H1074">
        <f>cukier11[[#This Row],[stan_magazynu]]-cukier11[[#This Row],[sprzedany_cukier]]</f>
        <v>5345</v>
      </c>
      <c r="I1074" s="9">
        <f>cukier11[[#This Row],[stan_po_sprzedazy]]+cukier11[[#This Row],[ile_dokupic]]*1000</f>
        <v>5345</v>
      </c>
    </row>
    <row r="1075" spans="1:9" x14ac:dyDescent="0.25">
      <c r="A1075" s="1">
        <v>40158</v>
      </c>
      <c r="B1075" t="s">
        <v>27</v>
      </c>
      <c r="C1075">
        <v>18</v>
      </c>
      <c r="D1075">
        <f>MONTH(cukier11[[#This Row],[data]])</f>
        <v>12</v>
      </c>
      <c r="E1075">
        <f>IF(D1076&lt;&gt;cukier11[[#This Row],[miesiac]],1,0)</f>
        <v>0</v>
      </c>
      <c r="F1075">
        <f>IF(AND(H1074&lt;5000,cukier11[[#This Row],[czy_nastapiła_zmiana_mies]]=1),ROUNDUP((5000-H1074)/1000,0),0)</f>
        <v>0</v>
      </c>
      <c r="G1075">
        <f t="shared" si="16"/>
        <v>5345</v>
      </c>
      <c r="H1075">
        <f>cukier11[[#This Row],[stan_magazynu]]-cukier11[[#This Row],[sprzedany_cukier]]</f>
        <v>5327</v>
      </c>
      <c r="I1075" s="9">
        <f>cukier11[[#This Row],[stan_po_sprzedazy]]+cukier11[[#This Row],[ile_dokupic]]*1000</f>
        <v>5327</v>
      </c>
    </row>
    <row r="1076" spans="1:9" x14ac:dyDescent="0.25">
      <c r="A1076" s="1">
        <v>40158</v>
      </c>
      <c r="B1076" t="s">
        <v>7</v>
      </c>
      <c r="C1076">
        <v>399</v>
      </c>
      <c r="D1076">
        <f>MONTH(cukier11[[#This Row],[data]])</f>
        <v>12</v>
      </c>
      <c r="E1076">
        <f>IF(D1077&lt;&gt;cukier11[[#This Row],[miesiac]],1,0)</f>
        <v>0</v>
      </c>
      <c r="F1076">
        <f>IF(AND(H1075&lt;5000,cukier11[[#This Row],[czy_nastapiła_zmiana_mies]]=1),ROUNDUP((5000-H1075)/1000,0),0)</f>
        <v>0</v>
      </c>
      <c r="G1076">
        <f t="shared" si="16"/>
        <v>5327</v>
      </c>
      <c r="H1076">
        <f>cukier11[[#This Row],[stan_magazynu]]-cukier11[[#This Row],[sprzedany_cukier]]</f>
        <v>4928</v>
      </c>
      <c r="I1076" s="9">
        <f>cukier11[[#This Row],[stan_po_sprzedazy]]+cukier11[[#This Row],[ile_dokupic]]*1000</f>
        <v>4928</v>
      </c>
    </row>
    <row r="1077" spans="1:9" x14ac:dyDescent="0.25">
      <c r="A1077" s="1">
        <v>40160</v>
      </c>
      <c r="B1077" t="s">
        <v>202</v>
      </c>
      <c r="C1077">
        <v>11</v>
      </c>
      <c r="D1077">
        <f>MONTH(cukier11[[#This Row],[data]])</f>
        <v>12</v>
      </c>
      <c r="E1077">
        <f>IF(D1078&lt;&gt;cukier11[[#This Row],[miesiac]],1,0)</f>
        <v>0</v>
      </c>
      <c r="F1077">
        <f>IF(AND(H1076&lt;5000,cukier11[[#This Row],[czy_nastapiła_zmiana_mies]]=1),ROUNDUP((5000-H1076)/1000,0),0)</f>
        <v>0</v>
      </c>
      <c r="G1077">
        <f t="shared" si="16"/>
        <v>4928</v>
      </c>
      <c r="H1077">
        <f>cukier11[[#This Row],[stan_magazynu]]-cukier11[[#This Row],[sprzedany_cukier]]</f>
        <v>4917</v>
      </c>
      <c r="I1077" s="9">
        <f>cukier11[[#This Row],[stan_po_sprzedazy]]+cukier11[[#This Row],[ile_dokupic]]*1000</f>
        <v>4917</v>
      </c>
    </row>
    <row r="1078" spans="1:9" x14ac:dyDescent="0.25">
      <c r="A1078" s="1">
        <v>40164</v>
      </c>
      <c r="B1078" t="s">
        <v>23</v>
      </c>
      <c r="C1078">
        <v>131</v>
      </c>
      <c r="D1078">
        <f>MONTH(cukier11[[#This Row],[data]])</f>
        <v>12</v>
      </c>
      <c r="E1078">
        <f>IF(D1079&lt;&gt;cukier11[[#This Row],[miesiac]],1,0)</f>
        <v>0</v>
      </c>
      <c r="F1078">
        <f>IF(AND(H1077&lt;5000,cukier11[[#This Row],[czy_nastapiła_zmiana_mies]]=1),ROUNDUP((5000-H1077)/1000,0),0)</f>
        <v>0</v>
      </c>
      <c r="G1078">
        <f t="shared" si="16"/>
        <v>4917</v>
      </c>
      <c r="H1078">
        <f>cukier11[[#This Row],[stan_magazynu]]-cukier11[[#This Row],[sprzedany_cukier]]</f>
        <v>4786</v>
      </c>
      <c r="I1078" s="9">
        <f>cukier11[[#This Row],[stan_po_sprzedazy]]+cukier11[[#This Row],[ile_dokupic]]*1000</f>
        <v>4786</v>
      </c>
    </row>
    <row r="1079" spans="1:9" x14ac:dyDescent="0.25">
      <c r="A1079" s="1">
        <v>40165</v>
      </c>
      <c r="B1079" t="s">
        <v>39</v>
      </c>
      <c r="C1079">
        <v>67</v>
      </c>
      <c r="D1079">
        <f>MONTH(cukier11[[#This Row],[data]])</f>
        <v>12</v>
      </c>
      <c r="E1079">
        <f>IF(D1080&lt;&gt;cukier11[[#This Row],[miesiac]],1,0)</f>
        <v>0</v>
      </c>
      <c r="F1079">
        <f>IF(AND(H1078&lt;5000,cukier11[[#This Row],[czy_nastapiła_zmiana_mies]]=1),ROUNDUP((5000-H1078)/1000,0),0)</f>
        <v>0</v>
      </c>
      <c r="G1079">
        <f t="shared" si="16"/>
        <v>4786</v>
      </c>
      <c r="H1079">
        <f>cukier11[[#This Row],[stan_magazynu]]-cukier11[[#This Row],[sprzedany_cukier]]</f>
        <v>4719</v>
      </c>
      <c r="I1079" s="9">
        <f>cukier11[[#This Row],[stan_po_sprzedazy]]+cukier11[[#This Row],[ile_dokupic]]*1000</f>
        <v>4719</v>
      </c>
    </row>
    <row r="1080" spans="1:9" x14ac:dyDescent="0.25">
      <c r="A1080" s="1">
        <v>40166</v>
      </c>
      <c r="B1080" t="s">
        <v>10</v>
      </c>
      <c r="C1080">
        <v>151</v>
      </c>
      <c r="D1080">
        <f>MONTH(cukier11[[#This Row],[data]])</f>
        <v>12</v>
      </c>
      <c r="E1080">
        <f>IF(D1081&lt;&gt;cukier11[[#This Row],[miesiac]],1,0)</f>
        <v>0</v>
      </c>
      <c r="F1080">
        <f>IF(AND(H1079&lt;5000,cukier11[[#This Row],[czy_nastapiła_zmiana_mies]]=1),ROUNDUP((5000-H1079)/1000,0),0)</f>
        <v>0</v>
      </c>
      <c r="G1080">
        <f t="shared" si="16"/>
        <v>4719</v>
      </c>
      <c r="H1080">
        <f>cukier11[[#This Row],[stan_magazynu]]-cukier11[[#This Row],[sprzedany_cukier]]</f>
        <v>4568</v>
      </c>
      <c r="I1080" s="9">
        <f>cukier11[[#This Row],[stan_po_sprzedazy]]+cukier11[[#This Row],[ile_dokupic]]*1000</f>
        <v>4568</v>
      </c>
    </row>
    <row r="1081" spans="1:9" x14ac:dyDescent="0.25">
      <c r="A1081" s="1">
        <v>40171</v>
      </c>
      <c r="B1081" t="s">
        <v>23</v>
      </c>
      <c r="C1081">
        <v>105</v>
      </c>
      <c r="D1081">
        <f>MONTH(cukier11[[#This Row],[data]])</f>
        <v>12</v>
      </c>
      <c r="E1081">
        <f>IF(D1082&lt;&gt;cukier11[[#This Row],[miesiac]],1,0)</f>
        <v>0</v>
      </c>
      <c r="F1081">
        <f>IF(AND(H1080&lt;5000,cukier11[[#This Row],[czy_nastapiła_zmiana_mies]]=1),ROUNDUP((5000-H1080)/1000,0),0)</f>
        <v>0</v>
      </c>
      <c r="G1081">
        <f t="shared" si="16"/>
        <v>4568</v>
      </c>
      <c r="H1081">
        <f>cukier11[[#This Row],[stan_magazynu]]-cukier11[[#This Row],[sprzedany_cukier]]</f>
        <v>4463</v>
      </c>
      <c r="I1081" s="9">
        <f>cukier11[[#This Row],[stan_po_sprzedazy]]+cukier11[[#This Row],[ile_dokupic]]*1000</f>
        <v>4463</v>
      </c>
    </row>
    <row r="1082" spans="1:9" x14ac:dyDescent="0.25">
      <c r="A1082" s="1">
        <v>40172</v>
      </c>
      <c r="B1082" t="s">
        <v>71</v>
      </c>
      <c r="C1082">
        <v>132</v>
      </c>
      <c r="D1082">
        <f>MONTH(cukier11[[#This Row],[data]])</f>
        <v>12</v>
      </c>
      <c r="E1082">
        <f>IF(D1083&lt;&gt;cukier11[[#This Row],[miesiac]],1,0)</f>
        <v>0</v>
      </c>
      <c r="F1082">
        <f>IF(AND(H1081&lt;5000,cukier11[[#This Row],[czy_nastapiła_zmiana_mies]]=1),ROUNDUP((5000-H1081)/1000,0),0)</f>
        <v>0</v>
      </c>
      <c r="G1082">
        <f t="shared" si="16"/>
        <v>4463</v>
      </c>
      <c r="H1082">
        <f>cukier11[[#This Row],[stan_magazynu]]-cukier11[[#This Row],[sprzedany_cukier]]</f>
        <v>4331</v>
      </c>
      <c r="I1082" s="9">
        <f>cukier11[[#This Row],[stan_po_sprzedazy]]+cukier11[[#This Row],[ile_dokupic]]*1000</f>
        <v>4331</v>
      </c>
    </row>
    <row r="1083" spans="1:9" x14ac:dyDescent="0.25">
      <c r="A1083" s="1">
        <v>40172</v>
      </c>
      <c r="B1083" t="s">
        <v>17</v>
      </c>
      <c r="C1083">
        <v>142</v>
      </c>
      <c r="D1083">
        <f>MONTH(cukier11[[#This Row],[data]])</f>
        <v>12</v>
      </c>
      <c r="E1083">
        <f>IF(D1084&lt;&gt;cukier11[[#This Row],[miesiac]],1,0)</f>
        <v>0</v>
      </c>
      <c r="F1083">
        <f>IF(AND(H1082&lt;5000,cukier11[[#This Row],[czy_nastapiła_zmiana_mies]]=1),ROUNDUP((5000-H1082)/1000,0),0)</f>
        <v>0</v>
      </c>
      <c r="G1083">
        <f t="shared" si="16"/>
        <v>4331</v>
      </c>
      <c r="H1083">
        <f>cukier11[[#This Row],[stan_magazynu]]-cukier11[[#This Row],[sprzedany_cukier]]</f>
        <v>4189</v>
      </c>
      <c r="I1083" s="9">
        <f>cukier11[[#This Row],[stan_po_sprzedazy]]+cukier11[[#This Row],[ile_dokupic]]*1000</f>
        <v>4189</v>
      </c>
    </row>
    <row r="1084" spans="1:9" x14ac:dyDescent="0.25">
      <c r="A1084" s="1">
        <v>40172</v>
      </c>
      <c r="B1084" t="s">
        <v>203</v>
      </c>
      <c r="C1084">
        <v>17</v>
      </c>
      <c r="D1084">
        <f>MONTH(cukier11[[#This Row],[data]])</f>
        <v>12</v>
      </c>
      <c r="E1084">
        <f>IF(D1085&lt;&gt;cukier11[[#This Row],[miesiac]],1,0)</f>
        <v>0</v>
      </c>
      <c r="F1084">
        <f>IF(AND(H1083&lt;5000,cukier11[[#This Row],[czy_nastapiła_zmiana_mies]]=1),ROUNDUP((5000-H1083)/1000,0),0)</f>
        <v>0</v>
      </c>
      <c r="G1084">
        <f t="shared" si="16"/>
        <v>4189</v>
      </c>
      <c r="H1084">
        <f>cukier11[[#This Row],[stan_magazynu]]-cukier11[[#This Row],[sprzedany_cukier]]</f>
        <v>4172</v>
      </c>
      <c r="I1084" s="9">
        <f>cukier11[[#This Row],[stan_po_sprzedazy]]+cukier11[[#This Row],[ile_dokupic]]*1000</f>
        <v>4172</v>
      </c>
    </row>
    <row r="1085" spans="1:9" x14ac:dyDescent="0.25">
      <c r="A1085" s="1">
        <v>40173</v>
      </c>
      <c r="B1085" t="s">
        <v>7</v>
      </c>
      <c r="C1085">
        <v>444</v>
      </c>
      <c r="D1085">
        <f>MONTH(cukier11[[#This Row],[data]])</f>
        <v>12</v>
      </c>
      <c r="E1085">
        <f>IF(D1086&lt;&gt;cukier11[[#This Row],[miesiac]],1,0)</f>
        <v>0</v>
      </c>
      <c r="F1085">
        <f>IF(AND(H1084&lt;5000,cukier11[[#This Row],[czy_nastapiła_zmiana_mies]]=1),ROUNDUP((5000-H1084)/1000,0),0)</f>
        <v>0</v>
      </c>
      <c r="G1085">
        <f t="shared" si="16"/>
        <v>4172</v>
      </c>
      <c r="H1085">
        <f>cukier11[[#This Row],[stan_magazynu]]-cukier11[[#This Row],[sprzedany_cukier]]</f>
        <v>3728</v>
      </c>
      <c r="I1085" s="9">
        <f>cukier11[[#This Row],[stan_po_sprzedazy]]+cukier11[[#This Row],[ile_dokupic]]*1000</f>
        <v>3728</v>
      </c>
    </row>
    <row r="1086" spans="1:9" x14ac:dyDescent="0.25">
      <c r="A1086" s="1">
        <v>40173</v>
      </c>
      <c r="B1086" t="s">
        <v>50</v>
      </c>
      <c r="C1086">
        <v>294</v>
      </c>
      <c r="D1086">
        <f>MONTH(cukier11[[#This Row],[data]])</f>
        <v>12</v>
      </c>
      <c r="E1086">
        <f>IF(D1087&lt;&gt;cukier11[[#This Row],[miesiac]],1,0)</f>
        <v>0</v>
      </c>
      <c r="F1086">
        <f>IF(AND(H1085&lt;5000,cukier11[[#This Row],[czy_nastapiła_zmiana_mies]]=1),ROUNDUP((5000-H1085)/1000,0),0)</f>
        <v>0</v>
      </c>
      <c r="G1086">
        <f t="shared" si="16"/>
        <v>3728</v>
      </c>
      <c r="H1086">
        <f>cukier11[[#This Row],[stan_magazynu]]-cukier11[[#This Row],[sprzedany_cukier]]</f>
        <v>3434</v>
      </c>
      <c r="I1086" s="9">
        <f>cukier11[[#This Row],[stan_po_sprzedazy]]+cukier11[[#This Row],[ile_dokupic]]*1000</f>
        <v>3434</v>
      </c>
    </row>
    <row r="1087" spans="1:9" x14ac:dyDescent="0.25">
      <c r="A1087" s="1">
        <v>40174</v>
      </c>
      <c r="B1087" t="s">
        <v>7</v>
      </c>
      <c r="C1087">
        <v>274</v>
      </c>
      <c r="D1087">
        <f>MONTH(cukier11[[#This Row],[data]])</f>
        <v>12</v>
      </c>
      <c r="E1087">
        <f>IF(D1088&lt;&gt;cukier11[[#This Row],[miesiac]],1,0)</f>
        <v>0</v>
      </c>
      <c r="F1087">
        <f>IF(AND(H1086&lt;5000,cukier11[[#This Row],[czy_nastapiła_zmiana_mies]]=1),ROUNDUP((5000-H1086)/1000,0),0)</f>
        <v>0</v>
      </c>
      <c r="G1087">
        <f t="shared" si="16"/>
        <v>3434</v>
      </c>
      <c r="H1087">
        <f>cukier11[[#This Row],[stan_magazynu]]-cukier11[[#This Row],[sprzedany_cukier]]</f>
        <v>3160</v>
      </c>
      <c r="I1087" s="9">
        <f>cukier11[[#This Row],[stan_po_sprzedazy]]+cukier11[[#This Row],[ile_dokupic]]*1000</f>
        <v>3160</v>
      </c>
    </row>
    <row r="1088" spans="1:9" x14ac:dyDescent="0.25">
      <c r="A1088" s="1">
        <v>40176</v>
      </c>
      <c r="B1088" t="s">
        <v>35</v>
      </c>
      <c r="C1088">
        <v>168</v>
      </c>
      <c r="D1088">
        <f>MONTH(cukier11[[#This Row],[data]])</f>
        <v>12</v>
      </c>
      <c r="E1088">
        <f>IF(D1089&lt;&gt;cukier11[[#This Row],[miesiac]],1,0)</f>
        <v>0</v>
      </c>
      <c r="F1088">
        <f>IF(AND(H1087&lt;5000,cukier11[[#This Row],[czy_nastapiła_zmiana_mies]]=1),ROUNDUP((5000-H1087)/1000,0),0)</f>
        <v>0</v>
      </c>
      <c r="G1088">
        <f t="shared" si="16"/>
        <v>3160</v>
      </c>
      <c r="H1088">
        <f>cukier11[[#This Row],[stan_magazynu]]-cukier11[[#This Row],[sprzedany_cukier]]</f>
        <v>2992</v>
      </c>
      <c r="I1088" s="9">
        <f>cukier11[[#This Row],[stan_po_sprzedazy]]+cukier11[[#This Row],[ile_dokupic]]*1000</f>
        <v>2992</v>
      </c>
    </row>
    <row r="1089" spans="1:9" x14ac:dyDescent="0.25">
      <c r="A1089" s="1">
        <v>40177</v>
      </c>
      <c r="B1089" t="s">
        <v>8</v>
      </c>
      <c r="C1089">
        <v>115</v>
      </c>
      <c r="D1089">
        <f>MONTH(cukier11[[#This Row],[data]])</f>
        <v>12</v>
      </c>
      <c r="E1089">
        <f>IF(D1090&lt;&gt;cukier11[[#This Row],[miesiac]],1,0)</f>
        <v>0</v>
      </c>
      <c r="F1089">
        <f>IF(AND(H1088&lt;5000,cukier11[[#This Row],[czy_nastapiła_zmiana_mies]]=1),ROUNDUP((5000-H1088)/1000,0),0)</f>
        <v>0</v>
      </c>
      <c r="G1089">
        <f t="shared" si="16"/>
        <v>2992</v>
      </c>
      <c r="H1089">
        <f>cukier11[[#This Row],[stan_magazynu]]-cukier11[[#This Row],[sprzedany_cukier]]</f>
        <v>2877</v>
      </c>
      <c r="I1089" s="9">
        <f>cukier11[[#This Row],[stan_po_sprzedazy]]+cukier11[[#This Row],[ile_dokupic]]*1000</f>
        <v>2877</v>
      </c>
    </row>
    <row r="1090" spans="1:9" x14ac:dyDescent="0.25">
      <c r="A1090" s="1">
        <v>40177</v>
      </c>
      <c r="B1090" t="s">
        <v>30</v>
      </c>
      <c r="C1090">
        <v>126</v>
      </c>
      <c r="D1090">
        <f>MONTH(cukier11[[#This Row],[data]])</f>
        <v>12</v>
      </c>
      <c r="E1090">
        <f>IF(D1091&lt;&gt;cukier11[[#This Row],[miesiac]],1,0)</f>
        <v>1</v>
      </c>
      <c r="F1090">
        <f>IF(AND(H1089&lt;5000,cukier11[[#This Row],[czy_nastapiła_zmiana_mies]]=1),ROUNDUP((5000-H1089)/1000,0),0)</f>
        <v>3</v>
      </c>
      <c r="G1090">
        <f t="shared" si="16"/>
        <v>2877</v>
      </c>
      <c r="H1090">
        <f>cukier11[[#This Row],[stan_magazynu]]-cukier11[[#This Row],[sprzedany_cukier]]</f>
        <v>2751</v>
      </c>
      <c r="I1090" s="9">
        <f>cukier11[[#This Row],[stan_po_sprzedazy]]+cukier11[[#This Row],[ile_dokupic]]*1000</f>
        <v>5751</v>
      </c>
    </row>
    <row r="1091" spans="1:9" x14ac:dyDescent="0.25">
      <c r="A1091" s="1">
        <v>40180</v>
      </c>
      <c r="B1091" t="s">
        <v>28</v>
      </c>
      <c r="C1091">
        <v>73</v>
      </c>
      <c r="D1091">
        <f>MONTH(cukier11[[#This Row],[data]])</f>
        <v>1</v>
      </c>
      <c r="E1091">
        <f>IF(D1092&lt;&gt;cukier11[[#This Row],[miesiac]],1,0)</f>
        <v>0</v>
      </c>
      <c r="F1091">
        <f>IF(AND(H1090&lt;5000,cukier11[[#This Row],[czy_nastapiła_zmiana_mies]]=1),ROUNDUP((5000-H1090)/1000,0),0)</f>
        <v>0</v>
      </c>
      <c r="G1091">
        <f t="shared" si="16"/>
        <v>5751</v>
      </c>
      <c r="H1091">
        <f>cukier11[[#This Row],[stan_magazynu]]-cukier11[[#This Row],[sprzedany_cukier]]</f>
        <v>5678</v>
      </c>
      <c r="I1091" s="9">
        <f>cukier11[[#This Row],[stan_po_sprzedazy]]+cukier11[[#This Row],[ile_dokupic]]*1000</f>
        <v>5678</v>
      </c>
    </row>
    <row r="1092" spans="1:9" x14ac:dyDescent="0.25">
      <c r="A1092" s="1">
        <v>40180</v>
      </c>
      <c r="B1092" t="s">
        <v>22</v>
      </c>
      <c r="C1092">
        <v>413</v>
      </c>
      <c r="D1092">
        <f>MONTH(cukier11[[#This Row],[data]])</f>
        <v>1</v>
      </c>
      <c r="E1092">
        <f>IF(D1093&lt;&gt;cukier11[[#This Row],[miesiac]],1,0)</f>
        <v>0</v>
      </c>
      <c r="F1092">
        <f>IF(AND(H1091&lt;5000,cukier11[[#This Row],[czy_nastapiła_zmiana_mies]]=1),ROUNDUP((5000-H1091)/1000,0),0)</f>
        <v>0</v>
      </c>
      <c r="G1092">
        <f t="shared" ref="G1092:G1155" si="17">I1091</f>
        <v>5678</v>
      </c>
      <c r="H1092">
        <f>cukier11[[#This Row],[stan_magazynu]]-cukier11[[#This Row],[sprzedany_cukier]]</f>
        <v>5265</v>
      </c>
      <c r="I1092" s="9">
        <f>cukier11[[#This Row],[stan_po_sprzedazy]]+cukier11[[#This Row],[ile_dokupic]]*1000</f>
        <v>5265</v>
      </c>
    </row>
    <row r="1093" spans="1:9" x14ac:dyDescent="0.25">
      <c r="A1093" s="1">
        <v>40181</v>
      </c>
      <c r="B1093" t="s">
        <v>7</v>
      </c>
      <c r="C1093">
        <v>393</v>
      </c>
      <c r="D1093">
        <f>MONTH(cukier11[[#This Row],[data]])</f>
        <v>1</v>
      </c>
      <c r="E1093">
        <f>IF(D1094&lt;&gt;cukier11[[#This Row],[miesiac]],1,0)</f>
        <v>0</v>
      </c>
      <c r="F1093">
        <f>IF(AND(H1092&lt;5000,cukier11[[#This Row],[czy_nastapiła_zmiana_mies]]=1),ROUNDUP((5000-H1092)/1000,0),0)</f>
        <v>0</v>
      </c>
      <c r="G1093">
        <f t="shared" si="17"/>
        <v>5265</v>
      </c>
      <c r="H1093">
        <f>cukier11[[#This Row],[stan_magazynu]]-cukier11[[#This Row],[sprzedany_cukier]]</f>
        <v>4872</v>
      </c>
      <c r="I1093" s="9">
        <f>cukier11[[#This Row],[stan_po_sprzedazy]]+cukier11[[#This Row],[ile_dokupic]]*1000</f>
        <v>4872</v>
      </c>
    </row>
    <row r="1094" spans="1:9" x14ac:dyDescent="0.25">
      <c r="A1094" s="1">
        <v>40184</v>
      </c>
      <c r="B1094" t="s">
        <v>143</v>
      </c>
      <c r="C1094">
        <v>13</v>
      </c>
      <c r="D1094">
        <f>MONTH(cukier11[[#This Row],[data]])</f>
        <v>1</v>
      </c>
      <c r="E1094">
        <f>IF(D1095&lt;&gt;cukier11[[#This Row],[miesiac]],1,0)</f>
        <v>0</v>
      </c>
      <c r="F1094">
        <f>IF(AND(H1093&lt;5000,cukier11[[#This Row],[czy_nastapiła_zmiana_mies]]=1),ROUNDUP((5000-H1093)/1000,0),0)</f>
        <v>0</v>
      </c>
      <c r="G1094">
        <f t="shared" si="17"/>
        <v>4872</v>
      </c>
      <c r="H1094">
        <f>cukier11[[#This Row],[stan_magazynu]]-cukier11[[#This Row],[sprzedany_cukier]]</f>
        <v>4859</v>
      </c>
      <c r="I1094" s="9">
        <f>cukier11[[#This Row],[stan_po_sprzedazy]]+cukier11[[#This Row],[ile_dokupic]]*1000</f>
        <v>4859</v>
      </c>
    </row>
    <row r="1095" spans="1:9" x14ac:dyDescent="0.25">
      <c r="A1095" s="1">
        <v>40185</v>
      </c>
      <c r="B1095" t="s">
        <v>22</v>
      </c>
      <c r="C1095">
        <v>211</v>
      </c>
      <c r="D1095">
        <f>MONTH(cukier11[[#This Row],[data]])</f>
        <v>1</v>
      </c>
      <c r="E1095">
        <f>IF(D1096&lt;&gt;cukier11[[#This Row],[miesiac]],1,0)</f>
        <v>0</v>
      </c>
      <c r="F1095">
        <f>IF(AND(H1094&lt;5000,cukier11[[#This Row],[czy_nastapiła_zmiana_mies]]=1),ROUNDUP((5000-H1094)/1000,0),0)</f>
        <v>0</v>
      </c>
      <c r="G1095">
        <f t="shared" si="17"/>
        <v>4859</v>
      </c>
      <c r="H1095">
        <f>cukier11[[#This Row],[stan_magazynu]]-cukier11[[#This Row],[sprzedany_cukier]]</f>
        <v>4648</v>
      </c>
      <c r="I1095" s="9">
        <f>cukier11[[#This Row],[stan_po_sprzedazy]]+cukier11[[#This Row],[ile_dokupic]]*1000</f>
        <v>4648</v>
      </c>
    </row>
    <row r="1096" spans="1:9" x14ac:dyDescent="0.25">
      <c r="A1096" s="1">
        <v>40189</v>
      </c>
      <c r="B1096" t="s">
        <v>61</v>
      </c>
      <c r="C1096">
        <v>116</v>
      </c>
      <c r="D1096">
        <f>MONTH(cukier11[[#This Row],[data]])</f>
        <v>1</v>
      </c>
      <c r="E1096">
        <f>IF(D1097&lt;&gt;cukier11[[#This Row],[miesiac]],1,0)</f>
        <v>0</v>
      </c>
      <c r="F1096">
        <f>IF(AND(H1095&lt;5000,cukier11[[#This Row],[czy_nastapiła_zmiana_mies]]=1),ROUNDUP((5000-H1095)/1000,0),0)</f>
        <v>0</v>
      </c>
      <c r="G1096">
        <f t="shared" si="17"/>
        <v>4648</v>
      </c>
      <c r="H1096">
        <f>cukier11[[#This Row],[stan_magazynu]]-cukier11[[#This Row],[sprzedany_cukier]]</f>
        <v>4532</v>
      </c>
      <c r="I1096" s="9">
        <f>cukier11[[#This Row],[stan_po_sprzedazy]]+cukier11[[#This Row],[ile_dokupic]]*1000</f>
        <v>4532</v>
      </c>
    </row>
    <row r="1097" spans="1:9" x14ac:dyDescent="0.25">
      <c r="A1097" s="1">
        <v>40189</v>
      </c>
      <c r="B1097" t="s">
        <v>0</v>
      </c>
      <c r="C1097">
        <v>9</v>
      </c>
      <c r="D1097">
        <f>MONTH(cukier11[[#This Row],[data]])</f>
        <v>1</v>
      </c>
      <c r="E1097">
        <f>IF(D1098&lt;&gt;cukier11[[#This Row],[miesiac]],1,0)</f>
        <v>0</v>
      </c>
      <c r="F1097">
        <f>IF(AND(H1096&lt;5000,cukier11[[#This Row],[czy_nastapiła_zmiana_mies]]=1),ROUNDUP((5000-H1096)/1000,0),0)</f>
        <v>0</v>
      </c>
      <c r="G1097">
        <f t="shared" si="17"/>
        <v>4532</v>
      </c>
      <c r="H1097">
        <f>cukier11[[#This Row],[stan_magazynu]]-cukier11[[#This Row],[sprzedany_cukier]]</f>
        <v>4523</v>
      </c>
      <c r="I1097" s="9">
        <f>cukier11[[#This Row],[stan_po_sprzedazy]]+cukier11[[#This Row],[ile_dokupic]]*1000</f>
        <v>4523</v>
      </c>
    </row>
    <row r="1098" spans="1:9" x14ac:dyDescent="0.25">
      <c r="A1098" s="1">
        <v>40193</v>
      </c>
      <c r="B1098" t="s">
        <v>45</v>
      </c>
      <c r="C1098">
        <v>117</v>
      </c>
      <c r="D1098">
        <f>MONTH(cukier11[[#This Row],[data]])</f>
        <v>1</v>
      </c>
      <c r="E1098">
        <f>IF(D1099&lt;&gt;cukier11[[#This Row],[miesiac]],1,0)</f>
        <v>0</v>
      </c>
      <c r="F1098">
        <f>IF(AND(H1097&lt;5000,cukier11[[#This Row],[czy_nastapiła_zmiana_mies]]=1),ROUNDUP((5000-H1097)/1000,0),0)</f>
        <v>0</v>
      </c>
      <c r="G1098">
        <f t="shared" si="17"/>
        <v>4523</v>
      </c>
      <c r="H1098">
        <f>cukier11[[#This Row],[stan_magazynu]]-cukier11[[#This Row],[sprzedany_cukier]]</f>
        <v>4406</v>
      </c>
      <c r="I1098" s="9">
        <f>cukier11[[#This Row],[stan_po_sprzedazy]]+cukier11[[#This Row],[ile_dokupic]]*1000</f>
        <v>4406</v>
      </c>
    </row>
    <row r="1099" spans="1:9" x14ac:dyDescent="0.25">
      <c r="A1099" s="1">
        <v>40194</v>
      </c>
      <c r="B1099" t="s">
        <v>50</v>
      </c>
      <c r="C1099">
        <v>221</v>
      </c>
      <c r="D1099">
        <f>MONTH(cukier11[[#This Row],[data]])</f>
        <v>1</v>
      </c>
      <c r="E1099">
        <f>IF(D1100&lt;&gt;cukier11[[#This Row],[miesiac]],1,0)</f>
        <v>0</v>
      </c>
      <c r="F1099">
        <f>IF(AND(H1098&lt;5000,cukier11[[#This Row],[czy_nastapiła_zmiana_mies]]=1),ROUNDUP((5000-H1098)/1000,0),0)</f>
        <v>0</v>
      </c>
      <c r="G1099">
        <f t="shared" si="17"/>
        <v>4406</v>
      </c>
      <c r="H1099">
        <f>cukier11[[#This Row],[stan_magazynu]]-cukier11[[#This Row],[sprzedany_cukier]]</f>
        <v>4185</v>
      </c>
      <c r="I1099" s="9">
        <f>cukier11[[#This Row],[stan_po_sprzedazy]]+cukier11[[#This Row],[ile_dokupic]]*1000</f>
        <v>4185</v>
      </c>
    </row>
    <row r="1100" spans="1:9" x14ac:dyDescent="0.25">
      <c r="A1100" s="1">
        <v>40198</v>
      </c>
      <c r="B1100" t="s">
        <v>152</v>
      </c>
      <c r="C1100">
        <v>9</v>
      </c>
      <c r="D1100">
        <f>MONTH(cukier11[[#This Row],[data]])</f>
        <v>1</v>
      </c>
      <c r="E1100">
        <f>IF(D1101&lt;&gt;cukier11[[#This Row],[miesiac]],1,0)</f>
        <v>0</v>
      </c>
      <c r="F1100">
        <f>IF(AND(H1099&lt;5000,cukier11[[#This Row],[czy_nastapiła_zmiana_mies]]=1),ROUNDUP((5000-H1099)/1000,0),0)</f>
        <v>0</v>
      </c>
      <c r="G1100">
        <f t="shared" si="17"/>
        <v>4185</v>
      </c>
      <c r="H1100">
        <f>cukier11[[#This Row],[stan_magazynu]]-cukier11[[#This Row],[sprzedany_cukier]]</f>
        <v>4176</v>
      </c>
      <c r="I1100" s="9">
        <f>cukier11[[#This Row],[stan_po_sprzedazy]]+cukier11[[#This Row],[ile_dokupic]]*1000</f>
        <v>4176</v>
      </c>
    </row>
    <row r="1101" spans="1:9" x14ac:dyDescent="0.25">
      <c r="A1101" s="1">
        <v>40199</v>
      </c>
      <c r="B1101" t="s">
        <v>17</v>
      </c>
      <c r="C1101">
        <v>214</v>
      </c>
      <c r="D1101">
        <f>MONTH(cukier11[[#This Row],[data]])</f>
        <v>1</v>
      </c>
      <c r="E1101">
        <f>IF(D1102&lt;&gt;cukier11[[#This Row],[miesiac]],1,0)</f>
        <v>0</v>
      </c>
      <c r="F1101">
        <f>IF(AND(H1100&lt;5000,cukier11[[#This Row],[czy_nastapiła_zmiana_mies]]=1),ROUNDUP((5000-H1100)/1000,0),0)</f>
        <v>0</v>
      </c>
      <c r="G1101">
        <f t="shared" si="17"/>
        <v>4176</v>
      </c>
      <c r="H1101">
        <f>cukier11[[#This Row],[stan_magazynu]]-cukier11[[#This Row],[sprzedany_cukier]]</f>
        <v>3962</v>
      </c>
      <c r="I1101" s="9">
        <f>cukier11[[#This Row],[stan_po_sprzedazy]]+cukier11[[#This Row],[ile_dokupic]]*1000</f>
        <v>3962</v>
      </c>
    </row>
    <row r="1102" spans="1:9" x14ac:dyDescent="0.25">
      <c r="A1102" s="1">
        <v>40200</v>
      </c>
      <c r="B1102" t="s">
        <v>37</v>
      </c>
      <c r="C1102">
        <v>138</v>
      </c>
      <c r="D1102">
        <f>MONTH(cukier11[[#This Row],[data]])</f>
        <v>1</v>
      </c>
      <c r="E1102">
        <f>IF(D1103&lt;&gt;cukier11[[#This Row],[miesiac]],1,0)</f>
        <v>0</v>
      </c>
      <c r="F1102">
        <f>IF(AND(H1101&lt;5000,cukier11[[#This Row],[czy_nastapiła_zmiana_mies]]=1),ROUNDUP((5000-H1101)/1000,0),0)</f>
        <v>0</v>
      </c>
      <c r="G1102">
        <f t="shared" si="17"/>
        <v>3962</v>
      </c>
      <c r="H1102">
        <f>cukier11[[#This Row],[stan_magazynu]]-cukier11[[#This Row],[sprzedany_cukier]]</f>
        <v>3824</v>
      </c>
      <c r="I1102" s="9">
        <f>cukier11[[#This Row],[stan_po_sprzedazy]]+cukier11[[#This Row],[ile_dokupic]]*1000</f>
        <v>3824</v>
      </c>
    </row>
    <row r="1103" spans="1:9" x14ac:dyDescent="0.25">
      <c r="A1103" s="1">
        <v>40201</v>
      </c>
      <c r="B1103" t="s">
        <v>81</v>
      </c>
      <c r="C1103">
        <v>11</v>
      </c>
      <c r="D1103">
        <f>MONTH(cukier11[[#This Row],[data]])</f>
        <v>1</v>
      </c>
      <c r="E1103">
        <f>IF(D1104&lt;&gt;cukier11[[#This Row],[miesiac]],1,0)</f>
        <v>0</v>
      </c>
      <c r="F1103">
        <f>IF(AND(H1102&lt;5000,cukier11[[#This Row],[czy_nastapiła_zmiana_mies]]=1),ROUNDUP((5000-H1102)/1000,0),0)</f>
        <v>0</v>
      </c>
      <c r="G1103">
        <f t="shared" si="17"/>
        <v>3824</v>
      </c>
      <c r="H1103">
        <f>cukier11[[#This Row],[stan_magazynu]]-cukier11[[#This Row],[sprzedany_cukier]]</f>
        <v>3813</v>
      </c>
      <c r="I1103" s="9">
        <f>cukier11[[#This Row],[stan_po_sprzedazy]]+cukier11[[#This Row],[ile_dokupic]]*1000</f>
        <v>3813</v>
      </c>
    </row>
    <row r="1104" spans="1:9" x14ac:dyDescent="0.25">
      <c r="A1104" s="1">
        <v>40201</v>
      </c>
      <c r="B1104" t="s">
        <v>52</v>
      </c>
      <c r="C1104">
        <v>128</v>
      </c>
      <c r="D1104">
        <f>MONTH(cukier11[[#This Row],[data]])</f>
        <v>1</v>
      </c>
      <c r="E1104">
        <f>IF(D1105&lt;&gt;cukier11[[#This Row],[miesiac]],1,0)</f>
        <v>0</v>
      </c>
      <c r="F1104">
        <f>IF(AND(H1103&lt;5000,cukier11[[#This Row],[czy_nastapiła_zmiana_mies]]=1),ROUNDUP((5000-H1103)/1000,0),0)</f>
        <v>0</v>
      </c>
      <c r="G1104">
        <f t="shared" si="17"/>
        <v>3813</v>
      </c>
      <c r="H1104">
        <f>cukier11[[#This Row],[stan_magazynu]]-cukier11[[#This Row],[sprzedany_cukier]]</f>
        <v>3685</v>
      </c>
      <c r="I1104" s="9">
        <f>cukier11[[#This Row],[stan_po_sprzedazy]]+cukier11[[#This Row],[ile_dokupic]]*1000</f>
        <v>3685</v>
      </c>
    </row>
    <row r="1105" spans="1:9" x14ac:dyDescent="0.25">
      <c r="A1105" s="1">
        <v>40202</v>
      </c>
      <c r="B1105" t="s">
        <v>17</v>
      </c>
      <c r="C1105">
        <v>376</v>
      </c>
      <c r="D1105">
        <f>MONTH(cukier11[[#This Row],[data]])</f>
        <v>1</v>
      </c>
      <c r="E1105">
        <f>IF(D1106&lt;&gt;cukier11[[#This Row],[miesiac]],1,0)</f>
        <v>0</v>
      </c>
      <c r="F1105">
        <f>IF(AND(H1104&lt;5000,cukier11[[#This Row],[czy_nastapiła_zmiana_mies]]=1),ROUNDUP((5000-H1104)/1000,0),0)</f>
        <v>0</v>
      </c>
      <c r="G1105">
        <f t="shared" si="17"/>
        <v>3685</v>
      </c>
      <c r="H1105">
        <f>cukier11[[#This Row],[stan_magazynu]]-cukier11[[#This Row],[sprzedany_cukier]]</f>
        <v>3309</v>
      </c>
      <c r="I1105" s="9">
        <f>cukier11[[#This Row],[stan_po_sprzedazy]]+cukier11[[#This Row],[ile_dokupic]]*1000</f>
        <v>3309</v>
      </c>
    </row>
    <row r="1106" spans="1:9" x14ac:dyDescent="0.25">
      <c r="A1106" s="1">
        <v>40203</v>
      </c>
      <c r="B1106" t="s">
        <v>17</v>
      </c>
      <c r="C1106">
        <v>121</v>
      </c>
      <c r="D1106">
        <f>MONTH(cukier11[[#This Row],[data]])</f>
        <v>1</v>
      </c>
      <c r="E1106">
        <f>IF(D1107&lt;&gt;cukier11[[#This Row],[miesiac]],1,0)</f>
        <v>0</v>
      </c>
      <c r="F1106">
        <f>IF(AND(H1105&lt;5000,cukier11[[#This Row],[czy_nastapiła_zmiana_mies]]=1),ROUNDUP((5000-H1105)/1000,0),0)</f>
        <v>0</v>
      </c>
      <c r="G1106">
        <f t="shared" si="17"/>
        <v>3309</v>
      </c>
      <c r="H1106">
        <f>cukier11[[#This Row],[stan_magazynu]]-cukier11[[#This Row],[sprzedany_cukier]]</f>
        <v>3188</v>
      </c>
      <c r="I1106" s="9">
        <f>cukier11[[#This Row],[stan_po_sprzedazy]]+cukier11[[#This Row],[ile_dokupic]]*1000</f>
        <v>3188</v>
      </c>
    </row>
    <row r="1107" spans="1:9" x14ac:dyDescent="0.25">
      <c r="A1107" s="1">
        <v>40203</v>
      </c>
      <c r="B1107" t="s">
        <v>14</v>
      </c>
      <c r="C1107">
        <v>200</v>
      </c>
      <c r="D1107">
        <f>MONTH(cukier11[[#This Row],[data]])</f>
        <v>1</v>
      </c>
      <c r="E1107">
        <f>IF(D1108&lt;&gt;cukier11[[#This Row],[miesiac]],1,0)</f>
        <v>0</v>
      </c>
      <c r="F1107">
        <f>IF(AND(H1106&lt;5000,cukier11[[#This Row],[czy_nastapiła_zmiana_mies]]=1),ROUNDUP((5000-H1106)/1000,0),0)</f>
        <v>0</v>
      </c>
      <c r="G1107">
        <f t="shared" si="17"/>
        <v>3188</v>
      </c>
      <c r="H1107">
        <f>cukier11[[#This Row],[stan_magazynu]]-cukier11[[#This Row],[sprzedany_cukier]]</f>
        <v>2988</v>
      </c>
      <c r="I1107" s="9">
        <f>cukier11[[#This Row],[stan_po_sprzedazy]]+cukier11[[#This Row],[ile_dokupic]]*1000</f>
        <v>2988</v>
      </c>
    </row>
    <row r="1108" spans="1:9" x14ac:dyDescent="0.25">
      <c r="A1108" s="1">
        <v>40204</v>
      </c>
      <c r="B1108" t="s">
        <v>17</v>
      </c>
      <c r="C1108">
        <v>500</v>
      </c>
      <c r="D1108">
        <f>MONTH(cukier11[[#This Row],[data]])</f>
        <v>1</v>
      </c>
      <c r="E1108">
        <f>IF(D1109&lt;&gt;cukier11[[#This Row],[miesiac]],1,0)</f>
        <v>0</v>
      </c>
      <c r="F1108">
        <f>IF(AND(H1107&lt;5000,cukier11[[#This Row],[czy_nastapiła_zmiana_mies]]=1),ROUNDUP((5000-H1107)/1000,0),0)</f>
        <v>0</v>
      </c>
      <c r="G1108">
        <f t="shared" si="17"/>
        <v>2988</v>
      </c>
      <c r="H1108">
        <f>cukier11[[#This Row],[stan_magazynu]]-cukier11[[#This Row],[sprzedany_cukier]]</f>
        <v>2488</v>
      </c>
      <c r="I1108" s="9">
        <f>cukier11[[#This Row],[stan_po_sprzedazy]]+cukier11[[#This Row],[ile_dokupic]]*1000</f>
        <v>2488</v>
      </c>
    </row>
    <row r="1109" spans="1:9" x14ac:dyDescent="0.25">
      <c r="A1109" s="1">
        <v>40206</v>
      </c>
      <c r="B1109" t="s">
        <v>71</v>
      </c>
      <c r="C1109">
        <v>108</v>
      </c>
      <c r="D1109">
        <f>MONTH(cukier11[[#This Row],[data]])</f>
        <v>1</v>
      </c>
      <c r="E1109">
        <f>IF(D1110&lt;&gt;cukier11[[#This Row],[miesiac]],1,0)</f>
        <v>0</v>
      </c>
      <c r="F1109">
        <f>IF(AND(H1108&lt;5000,cukier11[[#This Row],[czy_nastapiła_zmiana_mies]]=1),ROUNDUP((5000-H1108)/1000,0),0)</f>
        <v>0</v>
      </c>
      <c r="G1109">
        <f t="shared" si="17"/>
        <v>2488</v>
      </c>
      <c r="H1109">
        <f>cukier11[[#This Row],[stan_magazynu]]-cukier11[[#This Row],[sprzedany_cukier]]</f>
        <v>2380</v>
      </c>
      <c r="I1109" s="9">
        <f>cukier11[[#This Row],[stan_po_sprzedazy]]+cukier11[[#This Row],[ile_dokupic]]*1000</f>
        <v>2380</v>
      </c>
    </row>
    <row r="1110" spans="1:9" x14ac:dyDescent="0.25">
      <c r="A1110" s="1">
        <v>40207</v>
      </c>
      <c r="B1110" t="s">
        <v>25</v>
      </c>
      <c r="C1110">
        <v>59</v>
      </c>
      <c r="D1110">
        <f>MONTH(cukier11[[#This Row],[data]])</f>
        <v>1</v>
      </c>
      <c r="E1110">
        <f>IF(D1111&lt;&gt;cukier11[[#This Row],[miesiac]],1,0)</f>
        <v>0</v>
      </c>
      <c r="F1110">
        <f>IF(AND(H1109&lt;5000,cukier11[[#This Row],[czy_nastapiła_zmiana_mies]]=1),ROUNDUP((5000-H1109)/1000,0),0)</f>
        <v>0</v>
      </c>
      <c r="G1110">
        <f t="shared" si="17"/>
        <v>2380</v>
      </c>
      <c r="H1110">
        <f>cukier11[[#This Row],[stan_magazynu]]-cukier11[[#This Row],[sprzedany_cukier]]</f>
        <v>2321</v>
      </c>
      <c r="I1110" s="9">
        <f>cukier11[[#This Row],[stan_po_sprzedazy]]+cukier11[[#This Row],[ile_dokupic]]*1000</f>
        <v>2321</v>
      </c>
    </row>
    <row r="1111" spans="1:9" x14ac:dyDescent="0.25">
      <c r="A1111" s="1">
        <v>40208</v>
      </c>
      <c r="B1111" t="s">
        <v>10</v>
      </c>
      <c r="C1111">
        <v>191</v>
      </c>
      <c r="D1111">
        <f>MONTH(cukier11[[#This Row],[data]])</f>
        <v>1</v>
      </c>
      <c r="E1111">
        <f>IF(D1112&lt;&gt;cukier11[[#This Row],[miesiac]],1,0)</f>
        <v>0</v>
      </c>
      <c r="F1111">
        <f>IF(AND(H1110&lt;5000,cukier11[[#This Row],[czy_nastapiła_zmiana_mies]]=1),ROUNDUP((5000-H1110)/1000,0),0)</f>
        <v>0</v>
      </c>
      <c r="G1111">
        <f t="shared" si="17"/>
        <v>2321</v>
      </c>
      <c r="H1111">
        <f>cukier11[[#This Row],[stan_magazynu]]-cukier11[[#This Row],[sprzedany_cukier]]</f>
        <v>2130</v>
      </c>
      <c r="I1111" s="9">
        <f>cukier11[[#This Row],[stan_po_sprzedazy]]+cukier11[[#This Row],[ile_dokupic]]*1000</f>
        <v>2130</v>
      </c>
    </row>
    <row r="1112" spans="1:9" x14ac:dyDescent="0.25">
      <c r="A1112" s="1">
        <v>40209</v>
      </c>
      <c r="B1112" t="s">
        <v>19</v>
      </c>
      <c r="C1112">
        <v>189</v>
      </c>
      <c r="D1112">
        <f>MONTH(cukier11[[#This Row],[data]])</f>
        <v>1</v>
      </c>
      <c r="E1112">
        <f>IF(D1113&lt;&gt;cukier11[[#This Row],[miesiac]],1,0)</f>
        <v>1</v>
      </c>
      <c r="F1112">
        <f>IF(AND(H1111&lt;5000,cukier11[[#This Row],[czy_nastapiła_zmiana_mies]]=1),ROUNDUP((5000-H1111)/1000,0),0)</f>
        <v>3</v>
      </c>
      <c r="G1112">
        <f t="shared" si="17"/>
        <v>2130</v>
      </c>
      <c r="H1112">
        <f>cukier11[[#This Row],[stan_magazynu]]-cukier11[[#This Row],[sprzedany_cukier]]</f>
        <v>1941</v>
      </c>
      <c r="I1112" s="9">
        <f>cukier11[[#This Row],[stan_po_sprzedazy]]+cukier11[[#This Row],[ile_dokupic]]*1000</f>
        <v>4941</v>
      </c>
    </row>
    <row r="1113" spans="1:9" x14ac:dyDescent="0.25">
      <c r="A1113" s="1">
        <v>40211</v>
      </c>
      <c r="B1113" t="s">
        <v>45</v>
      </c>
      <c r="C1113">
        <v>247</v>
      </c>
      <c r="D1113">
        <f>MONTH(cukier11[[#This Row],[data]])</f>
        <v>2</v>
      </c>
      <c r="E1113">
        <f>IF(D1114&lt;&gt;cukier11[[#This Row],[miesiac]],1,0)</f>
        <v>0</v>
      </c>
      <c r="F1113">
        <f>IF(AND(H1112&lt;5000,cukier11[[#This Row],[czy_nastapiła_zmiana_mies]]=1),ROUNDUP((5000-H1112)/1000,0),0)</f>
        <v>0</v>
      </c>
      <c r="G1113">
        <f t="shared" si="17"/>
        <v>4941</v>
      </c>
      <c r="H1113">
        <f>cukier11[[#This Row],[stan_magazynu]]-cukier11[[#This Row],[sprzedany_cukier]]</f>
        <v>4694</v>
      </c>
      <c r="I1113" s="9">
        <f>cukier11[[#This Row],[stan_po_sprzedazy]]+cukier11[[#This Row],[ile_dokupic]]*1000</f>
        <v>4694</v>
      </c>
    </row>
    <row r="1114" spans="1:9" x14ac:dyDescent="0.25">
      <c r="A1114" s="1">
        <v>40211</v>
      </c>
      <c r="B1114" t="s">
        <v>35</v>
      </c>
      <c r="C1114">
        <v>195</v>
      </c>
      <c r="D1114">
        <f>MONTH(cukier11[[#This Row],[data]])</f>
        <v>2</v>
      </c>
      <c r="E1114">
        <f>IF(D1115&lt;&gt;cukier11[[#This Row],[miesiac]],1,0)</f>
        <v>0</v>
      </c>
      <c r="F1114">
        <f>IF(AND(H1113&lt;5000,cukier11[[#This Row],[czy_nastapiła_zmiana_mies]]=1),ROUNDUP((5000-H1113)/1000,0),0)</f>
        <v>0</v>
      </c>
      <c r="G1114">
        <f t="shared" si="17"/>
        <v>4694</v>
      </c>
      <c r="H1114">
        <f>cukier11[[#This Row],[stan_magazynu]]-cukier11[[#This Row],[sprzedany_cukier]]</f>
        <v>4499</v>
      </c>
      <c r="I1114" s="9">
        <f>cukier11[[#This Row],[stan_po_sprzedazy]]+cukier11[[#This Row],[ile_dokupic]]*1000</f>
        <v>4499</v>
      </c>
    </row>
    <row r="1115" spans="1:9" x14ac:dyDescent="0.25">
      <c r="A1115" s="1">
        <v>40212</v>
      </c>
      <c r="B1115" t="s">
        <v>204</v>
      </c>
      <c r="C1115">
        <v>6</v>
      </c>
      <c r="D1115">
        <f>MONTH(cukier11[[#This Row],[data]])</f>
        <v>2</v>
      </c>
      <c r="E1115">
        <f>IF(D1116&lt;&gt;cukier11[[#This Row],[miesiac]],1,0)</f>
        <v>0</v>
      </c>
      <c r="F1115">
        <f>IF(AND(H1114&lt;5000,cukier11[[#This Row],[czy_nastapiła_zmiana_mies]]=1),ROUNDUP((5000-H1114)/1000,0),0)</f>
        <v>0</v>
      </c>
      <c r="G1115">
        <f t="shared" si="17"/>
        <v>4499</v>
      </c>
      <c r="H1115">
        <f>cukier11[[#This Row],[stan_magazynu]]-cukier11[[#This Row],[sprzedany_cukier]]</f>
        <v>4493</v>
      </c>
      <c r="I1115" s="9">
        <f>cukier11[[#This Row],[stan_po_sprzedazy]]+cukier11[[#This Row],[ile_dokupic]]*1000</f>
        <v>4493</v>
      </c>
    </row>
    <row r="1116" spans="1:9" x14ac:dyDescent="0.25">
      <c r="A1116" s="1">
        <v>40213</v>
      </c>
      <c r="B1116" t="s">
        <v>205</v>
      </c>
      <c r="C1116">
        <v>1</v>
      </c>
      <c r="D1116">
        <f>MONTH(cukier11[[#This Row],[data]])</f>
        <v>2</v>
      </c>
      <c r="E1116">
        <f>IF(D1117&lt;&gt;cukier11[[#This Row],[miesiac]],1,0)</f>
        <v>0</v>
      </c>
      <c r="F1116">
        <f>IF(AND(H1115&lt;5000,cukier11[[#This Row],[czy_nastapiła_zmiana_mies]]=1),ROUNDUP((5000-H1115)/1000,0),0)</f>
        <v>0</v>
      </c>
      <c r="G1116">
        <f t="shared" si="17"/>
        <v>4493</v>
      </c>
      <c r="H1116">
        <f>cukier11[[#This Row],[stan_magazynu]]-cukier11[[#This Row],[sprzedany_cukier]]</f>
        <v>4492</v>
      </c>
      <c r="I1116" s="9">
        <f>cukier11[[#This Row],[stan_po_sprzedazy]]+cukier11[[#This Row],[ile_dokupic]]*1000</f>
        <v>4492</v>
      </c>
    </row>
    <row r="1117" spans="1:9" x14ac:dyDescent="0.25">
      <c r="A1117" s="1">
        <v>40214</v>
      </c>
      <c r="B1117" t="s">
        <v>50</v>
      </c>
      <c r="C1117">
        <v>347</v>
      </c>
      <c r="D1117">
        <f>MONTH(cukier11[[#This Row],[data]])</f>
        <v>2</v>
      </c>
      <c r="E1117">
        <f>IF(D1118&lt;&gt;cukier11[[#This Row],[miesiac]],1,0)</f>
        <v>0</v>
      </c>
      <c r="F1117">
        <f>IF(AND(H1116&lt;5000,cukier11[[#This Row],[czy_nastapiła_zmiana_mies]]=1),ROUNDUP((5000-H1116)/1000,0),0)</f>
        <v>0</v>
      </c>
      <c r="G1117">
        <f t="shared" si="17"/>
        <v>4492</v>
      </c>
      <c r="H1117">
        <f>cukier11[[#This Row],[stan_magazynu]]-cukier11[[#This Row],[sprzedany_cukier]]</f>
        <v>4145</v>
      </c>
      <c r="I1117" s="9">
        <f>cukier11[[#This Row],[stan_po_sprzedazy]]+cukier11[[#This Row],[ile_dokupic]]*1000</f>
        <v>4145</v>
      </c>
    </row>
    <row r="1118" spans="1:9" x14ac:dyDescent="0.25">
      <c r="A1118" s="1">
        <v>40217</v>
      </c>
      <c r="B1118" t="s">
        <v>14</v>
      </c>
      <c r="C1118">
        <v>317</v>
      </c>
      <c r="D1118">
        <f>MONTH(cukier11[[#This Row],[data]])</f>
        <v>2</v>
      </c>
      <c r="E1118">
        <f>IF(D1119&lt;&gt;cukier11[[#This Row],[miesiac]],1,0)</f>
        <v>0</v>
      </c>
      <c r="F1118">
        <f>IF(AND(H1117&lt;5000,cukier11[[#This Row],[czy_nastapiła_zmiana_mies]]=1),ROUNDUP((5000-H1117)/1000,0),0)</f>
        <v>0</v>
      </c>
      <c r="G1118">
        <f t="shared" si="17"/>
        <v>4145</v>
      </c>
      <c r="H1118">
        <f>cukier11[[#This Row],[stan_magazynu]]-cukier11[[#This Row],[sprzedany_cukier]]</f>
        <v>3828</v>
      </c>
      <c r="I1118" s="9">
        <f>cukier11[[#This Row],[stan_po_sprzedazy]]+cukier11[[#This Row],[ile_dokupic]]*1000</f>
        <v>3828</v>
      </c>
    </row>
    <row r="1119" spans="1:9" x14ac:dyDescent="0.25">
      <c r="A1119" s="1">
        <v>40218</v>
      </c>
      <c r="B1119" t="s">
        <v>45</v>
      </c>
      <c r="C1119">
        <v>271</v>
      </c>
      <c r="D1119">
        <f>MONTH(cukier11[[#This Row],[data]])</f>
        <v>2</v>
      </c>
      <c r="E1119">
        <f>IF(D1120&lt;&gt;cukier11[[#This Row],[miesiac]],1,0)</f>
        <v>0</v>
      </c>
      <c r="F1119">
        <f>IF(AND(H1118&lt;5000,cukier11[[#This Row],[czy_nastapiła_zmiana_mies]]=1),ROUNDUP((5000-H1118)/1000,0),0)</f>
        <v>0</v>
      </c>
      <c r="G1119">
        <f t="shared" si="17"/>
        <v>3828</v>
      </c>
      <c r="H1119">
        <f>cukier11[[#This Row],[stan_magazynu]]-cukier11[[#This Row],[sprzedany_cukier]]</f>
        <v>3557</v>
      </c>
      <c r="I1119" s="9">
        <f>cukier11[[#This Row],[stan_po_sprzedazy]]+cukier11[[#This Row],[ile_dokupic]]*1000</f>
        <v>3557</v>
      </c>
    </row>
    <row r="1120" spans="1:9" x14ac:dyDescent="0.25">
      <c r="A1120" s="1">
        <v>40218</v>
      </c>
      <c r="B1120" t="s">
        <v>85</v>
      </c>
      <c r="C1120">
        <v>4</v>
      </c>
      <c r="D1120">
        <f>MONTH(cukier11[[#This Row],[data]])</f>
        <v>2</v>
      </c>
      <c r="E1120">
        <f>IF(D1121&lt;&gt;cukier11[[#This Row],[miesiac]],1,0)</f>
        <v>0</v>
      </c>
      <c r="F1120">
        <f>IF(AND(H1119&lt;5000,cukier11[[#This Row],[czy_nastapiła_zmiana_mies]]=1),ROUNDUP((5000-H1119)/1000,0),0)</f>
        <v>0</v>
      </c>
      <c r="G1120">
        <f t="shared" si="17"/>
        <v>3557</v>
      </c>
      <c r="H1120">
        <f>cukier11[[#This Row],[stan_magazynu]]-cukier11[[#This Row],[sprzedany_cukier]]</f>
        <v>3553</v>
      </c>
      <c r="I1120" s="9">
        <f>cukier11[[#This Row],[stan_po_sprzedazy]]+cukier11[[#This Row],[ile_dokupic]]*1000</f>
        <v>3553</v>
      </c>
    </row>
    <row r="1121" spans="1:9" x14ac:dyDescent="0.25">
      <c r="A1121" s="1">
        <v>40220</v>
      </c>
      <c r="B1121" t="s">
        <v>28</v>
      </c>
      <c r="C1121">
        <v>121</v>
      </c>
      <c r="D1121">
        <f>MONTH(cukier11[[#This Row],[data]])</f>
        <v>2</v>
      </c>
      <c r="E1121">
        <f>IF(D1122&lt;&gt;cukier11[[#This Row],[miesiac]],1,0)</f>
        <v>0</v>
      </c>
      <c r="F1121">
        <f>IF(AND(H1120&lt;5000,cukier11[[#This Row],[czy_nastapiła_zmiana_mies]]=1),ROUNDUP((5000-H1120)/1000,0),0)</f>
        <v>0</v>
      </c>
      <c r="G1121">
        <f t="shared" si="17"/>
        <v>3553</v>
      </c>
      <c r="H1121">
        <f>cukier11[[#This Row],[stan_magazynu]]-cukier11[[#This Row],[sprzedany_cukier]]</f>
        <v>3432</v>
      </c>
      <c r="I1121" s="9">
        <f>cukier11[[#This Row],[stan_po_sprzedazy]]+cukier11[[#This Row],[ile_dokupic]]*1000</f>
        <v>3432</v>
      </c>
    </row>
    <row r="1122" spans="1:9" x14ac:dyDescent="0.25">
      <c r="A1122" s="1">
        <v>40221</v>
      </c>
      <c r="B1122" t="s">
        <v>6</v>
      </c>
      <c r="C1122">
        <v>81</v>
      </c>
      <c r="D1122">
        <f>MONTH(cukier11[[#This Row],[data]])</f>
        <v>2</v>
      </c>
      <c r="E1122">
        <f>IF(D1123&lt;&gt;cukier11[[#This Row],[miesiac]],1,0)</f>
        <v>0</v>
      </c>
      <c r="F1122">
        <f>IF(AND(H1121&lt;5000,cukier11[[#This Row],[czy_nastapiła_zmiana_mies]]=1),ROUNDUP((5000-H1121)/1000,0),0)</f>
        <v>0</v>
      </c>
      <c r="G1122">
        <f t="shared" si="17"/>
        <v>3432</v>
      </c>
      <c r="H1122">
        <f>cukier11[[#This Row],[stan_magazynu]]-cukier11[[#This Row],[sprzedany_cukier]]</f>
        <v>3351</v>
      </c>
      <c r="I1122" s="9">
        <f>cukier11[[#This Row],[stan_po_sprzedazy]]+cukier11[[#This Row],[ile_dokupic]]*1000</f>
        <v>3351</v>
      </c>
    </row>
    <row r="1123" spans="1:9" x14ac:dyDescent="0.25">
      <c r="A1123" s="1">
        <v>40221</v>
      </c>
      <c r="B1123" t="s">
        <v>84</v>
      </c>
      <c r="C1123">
        <v>1</v>
      </c>
      <c r="D1123">
        <f>MONTH(cukier11[[#This Row],[data]])</f>
        <v>2</v>
      </c>
      <c r="E1123">
        <f>IF(D1124&lt;&gt;cukier11[[#This Row],[miesiac]],1,0)</f>
        <v>0</v>
      </c>
      <c r="F1123">
        <f>IF(AND(H1122&lt;5000,cukier11[[#This Row],[czy_nastapiła_zmiana_mies]]=1),ROUNDUP((5000-H1122)/1000,0),0)</f>
        <v>0</v>
      </c>
      <c r="G1123">
        <f t="shared" si="17"/>
        <v>3351</v>
      </c>
      <c r="H1123">
        <f>cukier11[[#This Row],[stan_magazynu]]-cukier11[[#This Row],[sprzedany_cukier]]</f>
        <v>3350</v>
      </c>
      <c r="I1123" s="9">
        <f>cukier11[[#This Row],[stan_po_sprzedazy]]+cukier11[[#This Row],[ile_dokupic]]*1000</f>
        <v>3350</v>
      </c>
    </row>
    <row r="1124" spans="1:9" x14ac:dyDescent="0.25">
      <c r="A1124" s="1">
        <v>40223</v>
      </c>
      <c r="B1124" t="s">
        <v>30</v>
      </c>
      <c r="C1124">
        <v>142</v>
      </c>
      <c r="D1124">
        <f>MONTH(cukier11[[#This Row],[data]])</f>
        <v>2</v>
      </c>
      <c r="E1124">
        <f>IF(D1125&lt;&gt;cukier11[[#This Row],[miesiac]],1,0)</f>
        <v>0</v>
      </c>
      <c r="F1124">
        <f>IF(AND(H1123&lt;5000,cukier11[[#This Row],[czy_nastapiła_zmiana_mies]]=1),ROUNDUP((5000-H1123)/1000,0),0)</f>
        <v>0</v>
      </c>
      <c r="G1124">
        <f t="shared" si="17"/>
        <v>3350</v>
      </c>
      <c r="H1124">
        <f>cukier11[[#This Row],[stan_magazynu]]-cukier11[[#This Row],[sprzedany_cukier]]</f>
        <v>3208</v>
      </c>
      <c r="I1124" s="9">
        <f>cukier11[[#This Row],[stan_po_sprzedazy]]+cukier11[[#This Row],[ile_dokupic]]*1000</f>
        <v>3208</v>
      </c>
    </row>
    <row r="1125" spans="1:9" x14ac:dyDescent="0.25">
      <c r="A1125" s="1">
        <v>40224</v>
      </c>
      <c r="B1125" t="s">
        <v>22</v>
      </c>
      <c r="C1125">
        <v>265</v>
      </c>
      <c r="D1125">
        <f>MONTH(cukier11[[#This Row],[data]])</f>
        <v>2</v>
      </c>
      <c r="E1125">
        <f>IF(D1126&lt;&gt;cukier11[[#This Row],[miesiac]],1,0)</f>
        <v>0</v>
      </c>
      <c r="F1125">
        <f>IF(AND(H1124&lt;5000,cukier11[[#This Row],[czy_nastapiła_zmiana_mies]]=1),ROUNDUP((5000-H1124)/1000,0),0)</f>
        <v>0</v>
      </c>
      <c r="G1125">
        <f t="shared" si="17"/>
        <v>3208</v>
      </c>
      <c r="H1125">
        <f>cukier11[[#This Row],[stan_magazynu]]-cukier11[[#This Row],[sprzedany_cukier]]</f>
        <v>2943</v>
      </c>
      <c r="I1125" s="9">
        <f>cukier11[[#This Row],[stan_po_sprzedazy]]+cukier11[[#This Row],[ile_dokupic]]*1000</f>
        <v>2943</v>
      </c>
    </row>
    <row r="1126" spans="1:9" x14ac:dyDescent="0.25">
      <c r="A1126" s="1">
        <v>40225</v>
      </c>
      <c r="B1126" t="s">
        <v>6</v>
      </c>
      <c r="C1126">
        <v>194</v>
      </c>
      <c r="D1126">
        <f>MONTH(cukier11[[#This Row],[data]])</f>
        <v>2</v>
      </c>
      <c r="E1126">
        <f>IF(D1127&lt;&gt;cukier11[[#This Row],[miesiac]],1,0)</f>
        <v>0</v>
      </c>
      <c r="F1126">
        <f>IF(AND(H1125&lt;5000,cukier11[[#This Row],[czy_nastapiła_zmiana_mies]]=1),ROUNDUP((5000-H1125)/1000,0),0)</f>
        <v>0</v>
      </c>
      <c r="G1126">
        <f t="shared" si="17"/>
        <v>2943</v>
      </c>
      <c r="H1126">
        <f>cukier11[[#This Row],[stan_magazynu]]-cukier11[[#This Row],[sprzedany_cukier]]</f>
        <v>2749</v>
      </c>
      <c r="I1126" s="9">
        <f>cukier11[[#This Row],[stan_po_sprzedazy]]+cukier11[[#This Row],[ile_dokupic]]*1000</f>
        <v>2749</v>
      </c>
    </row>
    <row r="1127" spans="1:9" x14ac:dyDescent="0.25">
      <c r="A1127" s="1">
        <v>40225</v>
      </c>
      <c r="B1127" t="s">
        <v>161</v>
      </c>
      <c r="C1127">
        <v>15</v>
      </c>
      <c r="D1127">
        <f>MONTH(cukier11[[#This Row],[data]])</f>
        <v>2</v>
      </c>
      <c r="E1127">
        <f>IF(D1128&lt;&gt;cukier11[[#This Row],[miesiac]],1,0)</f>
        <v>0</v>
      </c>
      <c r="F1127">
        <f>IF(AND(H1126&lt;5000,cukier11[[#This Row],[czy_nastapiła_zmiana_mies]]=1),ROUNDUP((5000-H1126)/1000,0),0)</f>
        <v>0</v>
      </c>
      <c r="G1127">
        <f t="shared" si="17"/>
        <v>2749</v>
      </c>
      <c r="H1127">
        <f>cukier11[[#This Row],[stan_magazynu]]-cukier11[[#This Row],[sprzedany_cukier]]</f>
        <v>2734</v>
      </c>
      <c r="I1127" s="9">
        <f>cukier11[[#This Row],[stan_po_sprzedazy]]+cukier11[[#This Row],[ile_dokupic]]*1000</f>
        <v>2734</v>
      </c>
    </row>
    <row r="1128" spans="1:9" x14ac:dyDescent="0.25">
      <c r="A1128" s="1">
        <v>40227</v>
      </c>
      <c r="B1128" t="s">
        <v>10</v>
      </c>
      <c r="C1128">
        <v>23</v>
      </c>
      <c r="D1128">
        <f>MONTH(cukier11[[#This Row],[data]])</f>
        <v>2</v>
      </c>
      <c r="E1128">
        <f>IF(D1129&lt;&gt;cukier11[[#This Row],[miesiac]],1,0)</f>
        <v>0</v>
      </c>
      <c r="F1128">
        <f>IF(AND(H1127&lt;5000,cukier11[[#This Row],[czy_nastapiła_zmiana_mies]]=1),ROUNDUP((5000-H1127)/1000,0),0)</f>
        <v>0</v>
      </c>
      <c r="G1128">
        <f t="shared" si="17"/>
        <v>2734</v>
      </c>
      <c r="H1128">
        <f>cukier11[[#This Row],[stan_magazynu]]-cukier11[[#This Row],[sprzedany_cukier]]</f>
        <v>2711</v>
      </c>
      <c r="I1128" s="9">
        <f>cukier11[[#This Row],[stan_po_sprzedazy]]+cukier11[[#This Row],[ile_dokupic]]*1000</f>
        <v>2711</v>
      </c>
    </row>
    <row r="1129" spans="1:9" x14ac:dyDescent="0.25">
      <c r="A1129" s="1">
        <v>40227</v>
      </c>
      <c r="B1129" t="s">
        <v>22</v>
      </c>
      <c r="C1129">
        <v>279</v>
      </c>
      <c r="D1129">
        <f>MONTH(cukier11[[#This Row],[data]])</f>
        <v>2</v>
      </c>
      <c r="E1129">
        <f>IF(D1130&lt;&gt;cukier11[[#This Row],[miesiac]],1,0)</f>
        <v>0</v>
      </c>
      <c r="F1129">
        <f>IF(AND(H1128&lt;5000,cukier11[[#This Row],[czy_nastapiła_zmiana_mies]]=1),ROUNDUP((5000-H1128)/1000,0),0)</f>
        <v>0</v>
      </c>
      <c r="G1129">
        <f t="shared" si="17"/>
        <v>2711</v>
      </c>
      <c r="H1129">
        <f>cukier11[[#This Row],[stan_magazynu]]-cukier11[[#This Row],[sprzedany_cukier]]</f>
        <v>2432</v>
      </c>
      <c r="I1129" s="9">
        <f>cukier11[[#This Row],[stan_po_sprzedazy]]+cukier11[[#This Row],[ile_dokupic]]*1000</f>
        <v>2432</v>
      </c>
    </row>
    <row r="1130" spans="1:9" x14ac:dyDescent="0.25">
      <c r="A1130" s="1">
        <v>40229</v>
      </c>
      <c r="B1130" t="s">
        <v>206</v>
      </c>
      <c r="C1130">
        <v>1</v>
      </c>
      <c r="D1130">
        <f>MONTH(cukier11[[#This Row],[data]])</f>
        <v>2</v>
      </c>
      <c r="E1130">
        <f>IF(D1131&lt;&gt;cukier11[[#This Row],[miesiac]],1,0)</f>
        <v>0</v>
      </c>
      <c r="F1130">
        <f>IF(AND(H1129&lt;5000,cukier11[[#This Row],[czy_nastapiła_zmiana_mies]]=1),ROUNDUP((5000-H1129)/1000,0),0)</f>
        <v>0</v>
      </c>
      <c r="G1130">
        <f t="shared" si="17"/>
        <v>2432</v>
      </c>
      <c r="H1130">
        <f>cukier11[[#This Row],[stan_magazynu]]-cukier11[[#This Row],[sprzedany_cukier]]</f>
        <v>2431</v>
      </c>
      <c r="I1130" s="9">
        <f>cukier11[[#This Row],[stan_po_sprzedazy]]+cukier11[[#This Row],[ile_dokupic]]*1000</f>
        <v>2431</v>
      </c>
    </row>
    <row r="1131" spans="1:9" x14ac:dyDescent="0.25">
      <c r="A1131" s="1">
        <v>40234</v>
      </c>
      <c r="B1131" t="s">
        <v>22</v>
      </c>
      <c r="C1131">
        <v>487</v>
      </c>
      <c r="D1131">
        <f>MONTH(cukier11[[#This Row],[data]])</f>
        <v>2</v>
      </c>
      <c r="E1131">
        <f>IF(D1132&lt;&gt;cukier11[[#This Row],[miesiac]],1,0)</f>
        <v>0</v>
      </c>
      <c r="F1131">
        <f>IF(AND(H1130&lt;5000,cukier11[[#This Row],[czy_nastapiła_zmiana_mies]]=1),ROUNDUP((5000-H1130)/1000,0),0)</f>
        <v>0</v>
      </c>
      <c r="G1131">
        <f t="shared" si="17"/>
        <v>2431</v>
      </c>
      <c r="H1131">
        <f>cukier11[[#This Row],[stan_magazynu]]-cukier11[[#This Row],[sprzedany_cukier]]</f>
        <v>1944</v>
      </c>
      <c r="I1131" s="9">
        <f>cukier11[[#This Row],[stan_po_sprzedazy]]+cukier11[[#This Row],[ile_dokupic]]*1000</f>
        <v>1944</v>
      </c>
    </row>
    <row r="1132" spans="1:9" x14ac:dyDescent="0.25">
      <c r="A1132" s="1">
        <v>40234</v>
      </c>
      <c r="B1132" t="s">
        <v>7</v>
      </c>
      <c r="C1132">
        <v>395</v>
      </c>
      <c r="D1132">
        <f>MONTH(cukier11[[#This Row],[data]])</f>
        <v>2</v>
      </c>
      <c r="E1132">
        <f>IF(D1133&lt;&gt;cukier11[[#This Row],[miesiac]],1,0)</f>
        <v>0</v>
      </c>
      <c r="F1132">
        <f>IF(AND(H1131&lt;5000,cukier11[[#This Row],[czy_nastapiła_zmiana_mies]]=1),ROUNDUP((5000-H1131)/1000,0),0)</f>
        <v>0</v>
      </c>
      <c r="G1132">
        <f t="shared" si="17"/>
        <v>1944</v>
      </c>
      <c r="H1132">
        <f>cukier11[[#This Row],[stan_magazynu]]-cukier11[[#This Row],[sprzedany_cukier]]</f>
        <v>1549</v>
      </c>
      <c r="I1132" s="9">
        <f>cukier11[[#This Row],[stan_po_sprzedazy]]+cukier11[[#This Row],[ile_dokupic]]*1000</f>
        <v>1549</v>
      </c>
    </row>
    <row r="1133" spans="1:9" x14ac:dyDescent="0.25">
      <c r="A1133" s="1">
        <v>40236</v>
      </c>
      <c r="B1133" t="s">
        <v>71</v>
      </c>
      <c r="C1133">
        <v>91</v>
      </c>
      <c r="D1133">
        <f>MONTH(cukier11[[#This Row],[data]])</f>
        <v>2</v>
      </c>
      <c r="E1133">
        <f>IF(D1134&lt;&gt;cukier11[[#This Row],[miesiac]],1,0)</f>
        <v>0</v>
      </c>
      <c r="F1133">
        <f>IF(AND(H1132&lt;5000,cukier11[[#This Row],[czy_nastapiła_zmiana_mies]]=1),ROUNDUP((5000-H1132)/1000,0),0)</f>
        <v>0</v>
      </c>
      <c r="G1133">
        <f t="shared" si="17"/>
        <v>1549</v>
      </c>
      <c r="H1133">
        <f>cukier11[[#This Row],[stan_magazynu]]-cukier11[[#This Row],[sprzedany_cukier]]</f>
        <v>1458</v>
      </c>
      <c r="I1133" s="9">
        <f>cukier11[[#This Row],[stan_po_sprzedazy]]+cukier11[[#This Row],[ile_dokupic]]*1000</f>
        <v>1458</v>
      </c>
    </row>
    <row r="1134" spans="1:9" x14ac:dyDescent="0.25">
      <c r="A1134" s="1">
        <v>40236</v>
      </c>
      <c r="B1134" t="s">
        <v>25</v>
      </c>
      <c r="C1134">
        <v>39</v>
      </c>
      <c r="D1134">
        <f>MONTH(cukier11[[#This Row],[data]])</f>
        <v>2</v>
      </c>
      <c r="E1134">
        <f>IF(D1135&lt;&gt;cukier11[[#This Row],[miesiac]],1,0)</f>
        <v>0</v>
      </c>
      <c r="F1134">
        <f>IF(AND(H1133&lt;5000,cukier11[[#This Row],[czy_nastapiła_zmiana_mies]]=1),ROUNDUP((5000-H1133)/1000,0),0)</f>
        <v>0</v>
      </c>
      <c r="G1134">
        <f t="shared" si="17"/>
        <v>1458</v>
      </c>
      <c r="H1134">
        <f>cukier11[[#This Row],[stan_magazynu]]-cukier11[[#This Row],[sprzedany_cukier]]</f>
        <v>1419</v>
      </c>
      <c r="I1134" s="9">
        <f>cukier11[[#This Row],[stan_po_sprzedazy]]+cukier11[[#This Row],[ile_dokupic]]*1000</f>
        <v>1419</v>
      </c>
    </row>
    <row r="1135" spans="1:9" x14ac:dyDescent="0.25">
      <c r="A1135" s="1">
        <v>40236</v>
      </c>
      <c r="B1135" t="s">
        <v>22</v>
      </c>
      <c r="C1135">
        <v>312</v>
      </c>
      <c r="D1135">
        <f>MONTH(cukier11[[#This Row],[data]])</f>
        <v>2</v>
      </c>
      <c r="E1135">
        <f>IF(D1136&lt;&gt;cukier11[[#This Row],[miesiac]],1,0)</f>
        <v>0</v>
      </c>
      <c r="F1135">
        <f>IF(AND(H1134&lt;5000,cukier11[[#This Row],[czy_nastapiła_zmiana_mies]]=1),ROUNDUP((5000-H1134)/1000,0),0)</f>
        <v>0</v>
      </c>
      <c r="G1135">
        <f t="shared" si="17"/>
        <v>1419</v>
      </c>
      <c r="H1135">
        <f>cukier11[[#This Row],[stan_magazynu]]-cukier11[[#This Row],[sprzedany_cukier]]</f>
        <v>1107</v>
      </c>
      <c r="I1135" s="9">
        <f>cukier11[[#This Row],[stan_po_sprzedazy]]+cukier11[[#This Row],[ile_dokupic]]*1000</f>
        <v>1107</v>
      </c>
    </row>
    <row r="1136" spans="1:9" x14ac:dyDescent="0.25">
      <c r="A1136" s="1">
        <v>40237</v>
      </c>
      <c r="B1136" t="s">
        <v>207</v>
      </c>
      <c r="C1136">
        <v>20</v>
      </c>
      <c r="D1136">
        <f>MONTH(cukier11[[#This Row],[data]])</f>
        <v>2</v>
      </c>
      <c r="E1136">
        <f>IF(D1137&lt;&gt;cukier11[[#This Row],[miesiac]],1,0)</f>
        <v>1</v>
      </c>
      <c r="F1136">
        <f>IF(AND(H1135&lt;5000,cukier11[[#This Row],[czy_nastapiła_zmiana_mies]]=1),ROUNDUP((5000-H1135)/1000,0),0)</f>
        <v>4</v>
      </c>
      <c r="G1136">
        <f t="shared" si="17"/>
        <v>1107</v>
      </c>
      <c r="H1136">
        <f>cukier11[[#This Row],[stan_magazynu]]-cukier11[[#This Row],[sprzedany_cukier]]</f>
        <v>1087</v>
      </c>
      <c r="I1136" s="9">
        <f>cukier11[[#This Row],[stan_po_sprzedazy]]+cukier11[[#This Row],[ile_dokupic]]*1000</f>
        <v>5087</v>
      </c>
    </row>
    <row r="1137" spans="1:9" x14ac:dyDescent="0.25">
      <c r="A1137" s="1">
        <v>40240</v>
      </c>
      <c r="B1137" t="s">
        <v>28</v>
      </c>
      <c r="C1137">
        <v>35</v>
      </c>
      <c r="D1137">
        <f>MONTH(cukier11[[#This Row],[data]])</f>
        <v>3</v>
      </c>
      <c r="E1137">
        <f>IF(D1138&lt;&gt;cukier11[[#This Row],[miesiac]],1,0)</f>
        <v>0</v>
      </c>
      <c r="F1137">
        <f>IF(AND(H1136&lt;5000,cukier11[[#This Row],[czy_nastapiła_zmiana_mies]]=1),ROUNDUP((5000-H1136)/1000,0),0)</f>
        <v>0</v>
      </c>
      <c r="G1137">
        <f t="shared" si="17"/>
        <v>5087</v>
      </c>
      <c r="H1137">
        <f>cukier11[[#This Row],[stan_magazynu]]-cukier11[[#This Row],[sprzedany_cukier]]</f>
        <v>5052</v>
      </c>
      <c r="I1137" s="9">
        <f>cukier11[[#This Row],[stan_po_sprzedazy]]+cukier11[[#This Row],[ile_dokupic]]*1000</f>
        <v>5052</v>
      </c>
    </row>
    <row r="1138" spans="1:9" x14ac:dyDescent="0.25">
      <c r="A1138" s="1">
        <v>40242</v>
      </c>
      <c r="B1138" t="s">
        <v>203</v>
      </c>
      <c r="C1138">
        <v>20</v>
      </c>
      <c r="D1138">
        <f>MONTH(cukier11[[#This Row],[data]])</f>
        <v>3</v>
      </c>
      <c r="E1138">
        <f>IF(D1139&lt;&gt;cukier11[[#This Row],[miesiac]],1,0)</f>
        <v>0</v>
      </c>
      <c r="F1138">
        <f>IF(AND(H1137&lt;5000,cukier11[[#This Row],[czy_nastapiła_zmiana_mies]]=1),ROUNDUP((5000-H1137)/1000,0),0)</f>
        <v>0</v>
      </c>
      <c r="G1138">
        <f t="shared" si="17"/>
        <v>5052</v>
      </c>
      <c r="H1138">
        <f>cukier11[[#This Row],[stan_magazynu]]-cukier11[[#This Row],[sprzedany_cukier]]</f>
        <v>5032</v>
      </c>
      <c r="I1138" s="9">
        <f>cukier11[[#This Row],[stan_po_sprzedazy]]+cukier11[[#This Row],[ile_dokupic]]*1000</f>
        <v>5032</v>
      </c>
    </row>
    <row r="1139" spans="1:9" x14ac:dyDescent="0.25">
      <c r="A1139" s="1">
        <v>40245</v>
      </c>
      <c r="B1139" t="s">
        <v>30</v>
      </c>
      <c r="C1139">
        <v>125</v>
      </c>
      <c r="D1139">
        <f>MONTH(cukier11[[#This Row],[data]])</f>
        <v>3</v>
      </c>
      <c r="E1139">
        <f>IF(D1140&lt;&gt;cukier11[[#This Row],[miesiac]],1,0)</f>
        <v>0</v>
      </c>
      <c r="F1139">
        <f>IF(AND(H1138&lt;5000,cukier11[[#This Row],[czy_nastapiła_zmiana_mies]]=1),ROUNDUP((5000-H1138)/1000,0),0)</f>
        <v>0</v>
      </c>
      <c r="G1139">
        <f t="shared" si="17"/>
        <v>5032</v>
      </c>
      <c r="H1139">
        <f>cukier11[[#This Row],[stan_magazynu]]-cukier11[[#This Row],[sprzedany_cukier]]</f>
        <v>4907</v>
      </c>
      <c r="I1139" s="9">
        <f>cukier11[[#This Row],[stan_po_sprzedazy]]+cukier11[[#This Row],[ile_dokupic]]*1000</f>
        <v>4907</v>
      </c>
    </row>
    <row r="1140" spans="1:9" x14ac:dyDescent="0.25">
      <c r="A1140" s="1">
        <v>40245</v>
      </c>
      <c r="B1140" t="s">
        <v>45</v>
      </c>
      <c r="C1140">
        <v>396</v>
      </c>
      <c r="D1140">
        <f>MONTH(cukier11[[#This Row],[data]])</f>
        <v>3</v>
      </c>
      <c r="E1140">
        <f>IF(D1141&lt;&gt;cukier11[[#This Row],[miesiac]],1,0)</f>
        <v>0</v>
      </c>
      <c r="F1140">
        <f>IF(AND(H1139&lt;5000,cukier11[[#This Row],[czy_nastapiła_zmiana_mies]]=1),ROUNDUP((5000-H1139)/1000,0),0)</f>
        <v>0</v>
      </c>
      <c r="G1140">
        <f t="shared" si="17"/>
        <v>4907</v>
      </c>
      <c r="H1140">
        <f>cukier11[[#This Row],[stan_magazynu]]-cukier11[[#This Row],[sprzedany_cukier]]</f>
        <v>4511</v>
      </c>
      <c r="I1140" s="9">
        <f>cukier11[[#This Row],[stan_po_sprzedazy]]+cukier11[[#This Row],[ile_dokupic]]*1000</f>
        <v>4511</v>
      </c>
    </row>
    <row r="1141" spans="1:9" x14ac:dyDescent="0.25">
      <c r="A1141" s="1">
        <v>40246</v>
      </c>
      <c r="B1141" t="s">
        <v>208</v>
      </c>
      <c r="C1141">
        <v>7</v>
      </c>
      <c r="D1141">
        <f>MONTH(cukier11[[#This Row],[data]])</f>
        <v>3</v>
      </c>
      <c r="E1141">
        <f>IF(D1142&lt;&gt;cukier11[[#This Row],[miesiac]],1,0)</f>
        <v>0</v>
      </c>
      <c r="F1141">
        <f>IF(AND(H1140&lt;5000,cukier11[[#This Row],[czy_nastapiła_zmiana_mies]]=1),ROUNDUP((5000-H1140)/1000,0),0)</f>
        <v>0</v>
      </c>
      <c r="G1141">
        <f t="shared" si="17"/>
        <v>4511</v>
      </c>
      <c r="H1141">
        <f>cukier11[[#This Row],[stan_magazynu]]-cukier11[[#This Row],[sprzedany_cukier]]</f>
        <v>4504</v>
      </c>
      <c r="I1141" s="9">
        <f>cukier11[[#This Row],[stan_po_sprzedazy]]+cukier11[[#This Row],[ile_dokupic]]*1000</f>
        <v>4504</v>
      </c>
    </row>
    <row r="1142" spans="1:9" x14ac:dyDescent="0.25">
      <c r="A1142" s="1">
        <v>40247</v>
      </c>
      <c r="B1142" t="s">
        <v>78</v>
      </c>
      <c r="C1142">
        <v>59</v>
      </c>
      <c r="D1142">
        <f>MONTH(cukier11[[#This Row],[data]])</f>
        <v>3</v>
      </c>
      <c r="E1142">
        <f>IF(D1143&lt;&gt;cukier11[[#This Row],[miesiac]],1,0)</f>
        <v>0</v>
      </c>
      <c r="F1142">
        <f>IF(AND(H1141&lt;5000,cukier11[[#This Row],[czy_nastapiła_zmiana_mies]]=1),ROUNDUP((5000-H1141)/1000,0),0)</f>
        <v>0</v>
      </c>
      <c r="G1142">
        <f t="shared" si="17"/>
        <v>4504</v>
      </c>
      <c r="H1142">
        <f>cukier11[[#This Row],[stan_magazynu]]-cukier11[[#This Row],[sprzedany_cukier]]</f>
        <v>4445</v>
      </c>
      <c r="I1142" s="9">
        <f>cukier11[[#This Row],[stan_po_sprzedazy]]+cukier11[[#This Row],[ile_dokupic]]*1000</f>
        <v>4445</v>
      </c>
    </row>
    <row r="1143" spans="1:9" x14ac:dyDescent="0.25">
      <c r="A1143" s="1">
        <v>40250</v>
      </c>
      <c r="B1143" t="s">
        <v>14</v>
      </c>
      <c r="C1143">
        <v>417</v>
      </c>
      <c r="D1143">
        <f>MONTH(cukier11[[#This Row],[data]])</f>
        <v>3</v>
      </c>
      <c r="E1143">
        <f>IF(D1144&lt;&gt;cukier11[[#This Row],[miesiac]],1,0)</f>
        <v>0</v>
      </c>
      <c r="F1143">
        <f>IF(AND(H1142&lt;5000,cukier11[[#This Row],[czy_nastapiła_zmiana_mies]]=1),ROUNDUP((5000-H1142)/1000,0),0)</f>
        <v>0</v>
      </c>
      <c r="G1143">
        <f t="shared" si="17"/>
        <v>4445</v>
      </c>
      <c r="H1143">
        <f>cukier11[[#This Row],[stan_magazynu]]-cukier11[[#This Row],[sprzedany_cukier]]</f>
        <v>4028</v>
      </c>
      <c r="I1143" s="9">
        <f>cukier11[[#This Row],[stan_po_sprzedazy]]+cukier11[[#This Row],[ile_dokupic]]*1000</f>
        <v>4028</v>
      </c>
    </row>
    <row r="1144" spans="1:9" x14ac:dyDescent="0.25">
      <c r="A1144" s="1">
        <v>40250</v>
      </c>
      <c r="B1144" t="s">
        <v>45</v>
      </c>
      <c r="C1144">
        <v>115</v>
      </c>
      <c r="D1144">
        <f>MONTH(cukier11[[#This Row],[data]])</f>
        <v>3</v>
      </c>
      <c r="E1144">
        <f>IF(D1145&lt;&gt;cukier11[[#This Row],[miesiac]],1,0)</f>
        <v>0</v>
      </c>
      <c r="F1144">
        <f>IF(AND(H1143&lt;5000,cukier11[[#This Row],[czy_nastapiła_zmiana_mies]]=1),ROUNDUP((5000-H1143)/1000,0),0)</f>
        <v>0</v>
      </c>
      <c r="G1144">
        <f t="shared" si="17"/>
        <v>4028</v>
      </c>
      <c r="H1144">
        <f>cukier11[[#This Row],[stan_magazynu]]-cukier11[[#This Row],[sprzedany_cukier]]</f>
        <v>3913</v>
      </c>
      <c r="I1144" s="9">
        <f>cukier11[[#This Row],[stan_po_sprzedazy]]+cukier11[[#This Row],[ile_dokupic]]*1000</f>
        <v>3913</v>
      </c>
    </row>
    <row r="1145" spans="1:9" x14ac:dyDescent="0.25">
      <c r="A1145" s="1">
        <v>40253</v>
      </c>
      <c r="B1145" t="s">
        <v>54</v>
      </c>
      <c r="C1145">
        <v>6</v>
      </c>
      <c r="D1145">
        <f>MONTH(cukier11[[#This Row],[data]])</f>
        <v>3</v>
      </c>
      <c r="E1145">
        <f>IF(D1146&lt;&gt;cukier11[[#This Row],[miesiac]],1,0)</f>
        <v>0</v>
      </c>
      <c r="F1145">
        <f>IF(AND(H1144&lt;5000,cukier11[[#This Row],[czy_nastapiła_zmiana_mies]]=1),ROUNDUP((5000-H1144)/1000,0),0)</f>
        <v>0</v>
      </c>
      <c r="G1145">
        <f t="shared" si="17"/>
        <v>3913</v>
      </c>
      <c r="H1145">
        <f>cukier11[[#This Row],[stan_magazynu]]-cukier11[[#This Row],[sprzedany_cukier]]</f>
        <v>3907</v>
      </c>
      <c r="I1145" s="9">
        <f>cukier11[[#This Row],[stan_po_sprzedazy]]+cukier11[[#This Row],[ile_dokupic]]*1000</f>
        <v>3907</v>
      </c>
    </row>
    <row r="1146" spans="1:9" x14ac:dyDescent="0.25">
      <c r="A1146" s="1">
        <v>40254</v>
      </c>
      <c r="B1146" t="s">
        <v>19</v>
      </c>
      <c r="C1146">
        <v>69</v>
      </c>
      <c r="D1146">
        <f>MONTH(cukier11[[#This Row],[data]])</f>
        <v>3</v>
      </c>
      <c r="E1146">
        <f>IF(D1147&lt;&gt;cukier11[[#This Row],[miesiac]],1,0)</f>
        <v>0</v>
      </c>
      <c r="F1146">
        <f>IF(AND(H1145&lt;5000,cukier11[[#This Row],[czy_nastapiła_zmiana_mies]]=1),ROUNDUP((5000-H1145)/1000,0),0)</f>
        <v>0</v>
      </c>
      <c r="G1146">
        <f t="shared" si="17"/>
        <v>3907</v>
      </c>
      <c r="H1146">
        <f>cukier11[[#This Row],[stan_magazynu]]-cukier11[[#This Row],[sprzedany_cukier]]</f>
        <v>3838</v>
      </c>
      <c r="I1146" s="9">
        <f>cukier11[[#This Row],[stan_po_sprzedazy]]+cukier11[[#This Row],[ile_dokupic]]*1000</f>
        <v>3838</v>
      </c>
    </row>
    <row r="1147" spans="1:9" x14ac:dyDescent="0.25">
      <c r="A1147" s="1">
        <v>40256</v>
      </c>
      <c r="B1147" t="s">
        <v>12</v>
      </c>
      <c r="C1147">
        <v>58</v>
      </c>
      <c r="D1147">
        <f>MONTH(cukier11[[#This Row],[data]])</f>
        <v>3</v>
      </c>
      <c r="E1147">
        <f>IF(D1148&lt;&gt;cukier11[[#This Row],[miesiac]],1,0)</f>
        <v>0</v>
      </c>
      <c r="F1147">
        <f>IF(AND(H1146&lt;5000,cukier11[[#This Row],[czy_nastapiła_zmiana_mies]]=1),ROUNDUP((5000-H1146)/1000,0),0)</f>
        <v>0</v>
      </c>
      <c r="G1147">
        <f t="shared" si="17"/>
        <v>3838</v>
      </c>
      <c r="H1147">
        <f>cukier11[[#This Row],[stan_magazynu]]-cukier11[[#This Row],[sprzedany_cukier]]</f>
        <v>3780</v>
      </c>
      <c r="I1147" s="9">
        <f>cukier11[[#This Row],[stan_po_sprzedazy]]+cukier11[[#This Row],[ile_dokupic]]*1000</f>
        <v>3780</v>
      </c>
    </row>
    <row r="1148" spans="1:9" x14ac:dyDescent="0.25">
      <c r="A1148" s="1">
        <v>40256</v>
      </c>
      <c r="B1148" t="s">
        <v>25</v>
      </c>
      <c r="C1148">
        <v>159</v>
      </c>
      <c r="D1148">
        <f>MONTH(cukier11[[#This Row],[data]])</f>
        <v>3</v>
      </c>
      <c r="E1148">
        <f>IF(D1149&lt;&gt;cukier11[[#This Row],[miesiac]],1,0)</f>
        <v>0</v>
      </c>
      <c r="F1148">
        <f>IF(AND(H1147&lt;5000,cukier11[[#This Row],[czy_nastapiła_zmiana_mies]]=1),ROUNDUP((5000-H1147)/1000,0),0)</f>
        <v>0</v>
      </c>
      <c r="G1148">
        <f t="shared" si="17"/>
        <v>3780</v>
      </c>
      <c r="H1148">
        <f>cukier11[[#This Row],[stan_magazynu]]-cukier11[[#This Row],[sprzedany_cukier]]</f>
        <v>3621</v>
      </c>
      <c r="I1148" s="9">
        <f>cukier11[[#This Row],[stan_po_sprzedazy]]+cukier11[[#This Row],[ile_dokupic]]*1000</f>
        <v>3621</v>
      </c>
    </row>
    <row r="1149" spans="1:9" x14ac:dyDescent="0.25">
      <c r="A1149" s="1">
        <v>40258</v>
      </c>
      <c r="B1149" t="s">
        <v>209</v>
      </c>
      <c r="C1149">
        <v>6</v>
      </c>
      <c r="D1149">
        <f>MONTH(cukier11[[#This Row],[data]])</f>
        <v>3</v>
      </c>
      <c r="E1149">
        <f>IF(D1150&lt;&gt;cukier11[[#This Row],[miesiac]],1,0)</f>
        <v>0</v>
      </c>
      <c r="F1149">
        <f>IF(AND(H1148&lt;5000,cukier11[[#This Row],[czy_nastapiła_zmiana_mies]]=1),ROUNDUP((5000-H1148)/1000,0),0)</f>
        <v>0</v>
      </c>
      <c r="G1149">
        <f t="shared" si="17"/>
        <v>3621</v>
      </c>
      <c r="H1149">
        <f>cukier11[[#This Row],[stan_magazynu]]-cukier11[[#This Row],[sprzedany_cukier]]</f>
        <v>3615</v>
      </c>
      <c r="I1149" s="9">
        <f>cukier11[[#This Row],[stan_po_sprzedazy]]+cukier11[[#This Row],[ile_dokupic]]*1000</f>
        <v>3615</v>
      </c>
    </row>
    <row r="1150" spans="1:9" x14ac:dyDescent="0.25">
      <c r="A1150" s="1">
        <v>40259</v>
      </c>
      <c r="B1150" t="s">
        <v>12</v>
      </c>
      <c r="C1150">
        <v>103</v>
      </c>
      <c r="D1150">
        <f>MONTH(cukier11[[#This Row],[data]])</f>
        <v>3</v>
      </c>
      <c r="E1150">
        <f>IF(D1151&lt;&gt;cukier11[[#This Row],[miesiac]],1,0)</f>
        <v>0</v>
      </c>
      <c r="F1150">
        <f>IF(AND(H1149&lt;5000,cukier11[[#This Row],[czy_nastapiła_zmiana_mies]]=1),ROUNDUP((5000-H1149)/1000,0),0)</f>
        <v>0</v>
      </c>
      <c r="G1150">
        <f t="shared" si="17"/>
        <v>3615</v>
      </c>
      <c r="H1150">
        <f>cukier11[[#This Row],[stan_magazynu]]-cukier11[[#This Row],[sprzedany_cukier]]</f>
        <v>3512</v>
      </c>
      <c r="I1150" s="9">
        <f>cukier11[[#This Row],[stan_po_sprzedazy]]+cukier11[[#This Row],[ile_dokupic]]*1000</f>
        <v>3512</v>
      </c>
    </row>
    <row r="1151" spans="1:9" x14ac:dyDescent="0.25">
      <c r="A1151" s="1">
        <v>40263</v>
      </c>
      <c r="B1151" t="s">
        <v>7</v>
      </c>
      <c r="C1151">
        <v>155</v>
      </c>
      <c r="D1151">
        <f>MONTH(cukier11[[#This Row],[data]])</f>
        <v>3</v>
      </c>
      <c r="E1151">
        <f>IF(D1152&lt;&gt;cukier11[[#This Row],[miesiac]],1,0)</f>
        <v>0</v>
      </c>
      <c r="F1151">
        <f>IF(AND(H1150&lt;5000,cukier11[[#This Row],[czy_nastapiła_zmiana_mies]]=1),ROUNDUP((5000-H1150)/1000,0),0)</f>
        <v>0</v>
      </c>
      <c r="G1151">
        <f t="shared" si="17"/>
        <v>3512</v>
      </c>
      <c r="H1151">
        <f>cukier11[[#This Row],[stan_magazynu]]-cukier11[[#This Row],[sprzedany_cukier]]</f>
        <v>3357</v>
      </c>
      <c r="I1151" s="9">
        <f>cukier11[[#This Row],[stan_po_sprzedazy]]+cukier11[[#This Row],[ile_dokupic]]*1000</f>
        <v>3357</v>
      </c>
    </row>
    <row r="1152" spans="1:9" x14ac:dyDescent="0.25">
      <c r="A1152" s="1">
        <v>40263</v>
      </c>
      <c r="B1152" t="s">
        <v>81</v>
      </c>
      <c r="C1152">
        <v>10</v>
      </c>
      <c r="D1152">
        <f>MONTH(cukier11[[#This Row],[data]])</f>
        <v>3</v>
      </c>
      <c r="E1152">
        <f>IF(D1153&lt;&gt;cukier11[[#This Row],[miesiac]],1,0)</f>
        <v>0</v>
      </c>
      <c r="F1152">
        <f>IF(AND(H1151&lt;5000,cukier11[[#This Row],[czy_nastapiła_zmiana_mies]]=1),ROUNDUP((5000-H1151)/1000,0),0)</f>
        <v>0</v>
      </c>
      <c r="G1152">
        <f t="shared" si="17"/>
        <v>3357</v>
      </c>
      <c r="H1152">
        <f>cukier11[[#This Row],[stan_magazynu]]-cukier11[[#This Row],[sprzedany_cukier]]</f>
        <v>3347</v>
      </c>
      <c r="I1152" s="9">
        <f>cukier11[[#This Row],[stan_po_sprzedazy]]+cukier11[[#This Row],[ile_dokupic]]*1000</f>
        <v>3347</v>
      </c>
    </row>
    <row r="1153" spans="1:9" x14ac:dyDescent="0.25">
      <c r="A1153" s="1">
        <v>40265</v>
      </c>
      <c r="B1153" t="s">
        <v>28</v>
      </c>
      <c r="C1153">
        <v>158</v>
      </c>
      <c r="D1153">
        <f>MONTH(cukier11[[#This Row],[data]])</f>
        <v>3</v>
      </c>
      <c r="E1153">
        <f>IF(D1154&lt;&gt;cukier11[[#This Row],[miesiac]],1,0)</f>
        <v>0</v>
      </c>
      <c r="F1153">
        <f>IF(AND(H1152&lt;5000,cukier11[[#This Row],[czy_nastapiła_zmiana_mies]]=1),ROUNDUP((5000-H1152)/1000,0),0)</f>
        <v>0</v>
      </c>
      <c r="G1153">
        <f t="shared" si="17"/>
        <v>3347</v>
      </c>
      <c r="H1153">
        <f>cukier11[[#This Row],[stan_magazynu]]-cukier11[[#This Row],[sprzedany_cukier]]</f>
        <v>3189</v>
      </c>
      <c r="I1153" s="9">
        <f>cukier11[[#This Row],[stan_po_sprzedazy]]+cukier11[[#This Row],[ile_dokupic]]*1000</f>
        <v>3189</v>
      </c>
    </row>
    <row r="1154" spans="1:9" x14ac:dyDescent="0.25">
      <c r="A1154" s="1">
        <v>40267</v>
      </c>
      <c r="B1154" t="s">
        <v>55</v>
      </c>
      <c r="C1154">
        <v>146</v>
      </c>
      <c r="D1154">
        <f>MONTH(cukier11[[#This Row],[data]])</f>
        <v>3</v>
      </c>
      <c r="E1154">
        <f>IF(D1155&lt;&gt;cukier11[[#This Row],[miesiac]],1,0)</f>
        <v>0</v>
      </c>
      <c r="F1154">
        <f>IF(AND(H1153&lt;5000,cukier11[[#This Row],[czy_nastapiła_zmiana_mies]]=1),ROUNDUP((5000-H1153)/1000,0),0)</f>
        <v>0</v>
      </c>
      <c r="G1154">
        <f t="shared" si="17"/>
        <v>3189</v>
      </c>
      <c r="H1154">
        <f>cukier11[[#This Row],[stan_magazynu]]-cukier11[[#This Row],[sprzedany_cukier]]</f>
        <v>3043</v>
      </c>
      <c r="I1154" s="9">
        <f>cukier11[[#This Row],[stan_po_sprzedazy]]+cukier11[[#This Row],[ile_dokupic]]*1000</f>
        <v>3043</v>
      </c>
    </row>
    <row r="1155" spans="1:9" x14ac:dyDescent="0.25">
      <c r="A1155" s="1">
        <v>40268</v>
      </c>
      <c r="B1155" t="s">
        <v>22</v>
      </c>
      <c r="C1155">
        <v>230</v>
      </c>
      <c r="D1155">
        <f>MONTH(cukier11[[#This Row],[data]])</f>
        <v>3</v>
      </c>
      <c r="E1155">
        <f>IF(D1156&lt;&gt;cukier11[[#This Row],[miesiac]],1,0)</f>
        <v>1</v>
      </c>
      <c r="F1155">
        <f>IF(AND(H1154&lt;5000,cukier11[[#This Row],[czy_nastapiła_zmiana_mies]]=1),ROUNDUP((5000-H1154)/1000,0),0)</f>
        <v>2</v>
      </c>
      <c r="G1155">
        <f t="shared" si="17"/>
        <v>3043</v>
      </c>
      <c r="H1155">
        <f>cukier11[[#This Row],[stan_magazynu]]-cukier11[[#This Row],[sprzedany_cukier]]</f>
        <v>2813</v>
      </c>
      <c r="I1155" s="9">
        <f>cukier11[[#This Row],[stan_po_sprzedazy]]+cukier11[[#This Row],[ile_dokupic]]*1000</f>
        <v>4813</v>
      </c>
    </row>
    <row r="1156" spans="1:9" x14ac:dyDescent="0.25">
      <c r="A1156" s="1">
        <v>40270</v>
      </c>
      <c r="B1156" t="s">
        <v>39</v>
      </c>
      <c r="C1156">
        <v>143</v>
      </c>
      <c r="D1156">
        <f>MONTH(cukier11[[#This Row],[data]])</f>
        <v>4</v>
      </c>
      <c r="E1156">
        <f>IF(D1157&lt;&gt;cukier11[[#This Row],[miesiac]],1,0)</f>
        <v>0</v>
      </c>
      <c r="F1156">
        <f>IF(AND(H1155&lt;5000,cukier11[[#This Row],[czy_nastapiła_zmiana_mies]]=1),ROUNDUP((5000-H1155)/1000,0),0)</f>
        <v>0</v>
      </c>
      <c r="G1156">
        <f t="shared" ref="G1156:G1219" si="18">I1155</f>
        <v>4813</v>
      </c>
      <c r="H1156">
        <f>cukier11[[#This Row],[stan_magazynu]]-cukier11[[#This Row],[sprzedany_cukier]]</f>
        <v>4670</v>
      </c>
      <c r="I1156" s="9">
        <f>cukier11[[#This Row],[stan_po_sprzedazy]]+cukier11[[#This Row],[ile_dokupic]]*1000</f>
        <v>4670</v>
      </c>
    </row>
    <row r="1157" spans="1:9" x14ac:dyDescent="0.25">
      <c r="A1157" s="1">
        <v>40270</v>
      </c>
      <c r="B1157" t="s">
        <v>61</v>
      </c>
      <c r="C1157">
        <v>167</v>
      </c>
      <c r="D1157">
        <f>MONTH(cukier11[[#This Row],[data]])</f>
        <v>4</v>
      </c>
      <c r="E1157">
        <f>IF(D1158&lt;&gt;cukier11[[#This Row],[miesiac]],1,0)</f>
        <v>0</v>
      </c>
      <c r="F1157">
        <f>IF(AND(H1156&lt;5000,cukier11[[#This Row],[czy_nastapiła_zmiana_mies]]=1),ROUNDUP((5000-H1156)/1000,0),0)</f>
        <v>0</v>
      </c>
      <c r="G1157">
        <f t="shared" si="18"/>
        <v>4670</v>
      </c>
      <c r="H1157">
        <f>cukier11[[#This Row],[stan_magazynu]]-cukier11[[#This Row],[sprzedany_cukier]]</f>
        <v>4503</v>
      </c>
      <c r="I1157" s="9">
        <f>cukier11[[#This Row],[stan_po_sprzedazy]]+cukier11[[#This Row],[ile_dokupic]]*1000</f>
        <v>4503</v>
      </c>
    </row>
    <row r="1158" spans="1:9" x14ac:dyDescent="0.25">
      <c r="A1158" s="1">
        <v>40270</v>
      </c>
      <c r="B1158" t="s">
        <v>52</v>
      </c>
      <c r="C1158">
        <v>119</v>
      </c>
      <c r="D1158">
        <f>MONTH(cukier11[[#This Row],[data]])</f>
        <v>4</v>
      </c>
      <c r="E1158">
        <f>IF(D1159&lt;&gt;cukier11[[#This Row],[miesiac]],1,0)</f>
        <v>0</v>
      </c>
      <c r="F1158">
        <f>IF(AND(H1157&lt;5000,cukier11[[#This Row],[czy_nastapiła_zmiana_mies]]=1),ROUNDUP((5000-H1157)/1000,0),0)</f>
        <v>0</v>
      </c>
      <c r="G1158">
        <f t="shared" si="18"/>
        <v>4503</v>
      </c>
      <c r="H1158">
        <f>cukier11[[#This Row],[stan_magazynu]]-cukier11[[#This Row],[sprzedany_cukier]]</f>
        <v>4384</v>
      </c>
      <c r="I1158" s="9">
        <f>cukier11[[#This Row],[stan_po_sprzedazy]]+cukier11[[#This Row],[ile_dokupic]]*1000</f>
        <v>4384</v>
      </c>
    </row>
    <row r="1159" spans="1:9" x14ac:dyDescent="0.25">
      <c r="A1159" s="1">
        <v>40272</v>
      </c>
      <c r="B1159" t="s">
        <v>14</v>
      </c>
      <c r="C1159">
        <v>400</v>
      </c>
      <c r="D1159">
        <f>MONTH(cukier11[[#This Row],[data]])</f>
        <v>4</v>
      </c>
      <c r="E1159">
        <f>IF(D1160&lt;&gt;cukier11[[#This Row],[miesiac]],1,0)</f>
        <v>0</v>
      </c>
      <c r="F1159">
        <f>IF(AND(H1158&lt;5000,cukier11[[#This Row],[czy_nastapiła_zmiana_mies]]=1),ROUNDUP((5000-H1158)/1000,0),0)</f>
        <v>0</v>
      </c>
      <c r="G1159">
        <f t="shared" si="18"/>
        <v>4384</v>
      </c>
      <c r="H1159">
        <f>cukier11[[#This Row],[stan_magazynu]]-cukier11[[#This Row],[sprzedany_cukier]]</f>
        <v>3984</v>
      </c>
      <c r="I1159" s="9">
        <f>cukier11[[#This Row],[stan_po_sprzedazy]]+cukier11[[#This Row],[ile_dokupic]]*1000</f>
        <v>3984</v>
      </c>
    </row>
    <row r="1160" spans="1:9" x14ac:dyDescent="0.25">
      <c r="A1160" s="1">
        <v>40274</v>
      </c>
      <c r="B1160" t="s">
        <v>37</v>
      </c>
      <c r="C1160">
        <v>172</v>
      </c>
      <c r="D1160">
        <f>MONTH(cukier11[[#This Row],[data]])</f>
        <v>4</v>
      </c>
      <c r="E1160">
        <f>IF(D1161&lt;&gt;cukier11[[#This Row],[miesiac]],1,0)</f>
        <v>0</v>
      </c>
      <c r="F1160">
        <f>IF(AND(H1159&lt;5000,cukier11[[#This Row],[czy_nastapiła_zmiana_mies]]=1),ROUNDUP((5000-H1159)/1000,0),0)</f>
        <v>0</v>
      </c>
      <c r="G1160">
        <f t="shared" si="18"/>
        <v>3984</v>
      </c>
      <c r="H1160">
        <f>cukier11[[#This Row],[stan_magazynu]]-cukier11[[#This Row],[sprzedany_cukier]]</f>
        <v>3812</v>
      </c>
      <c r="I1160" s="9">
        <f>cukier11[[#This Row],[stan_po_sprzedazy]]+cukier11[[#This Row],[ile_dokupic]]*1000</f>
        <v>3812</v>
      </c>
    </row>
    <row r="1161" spans="1:9" x14ac:dyDescent="0.25">
      <c r="A1161" s="1">
        <v>40275</v>
      </c>
      <c r="B1161" t="s">
        <v>98</v>
      </c>
      <c r="C1161">
        <v>19</v>
      </c>
      <c r="D1161">
        <f>MONTH(cukier11[[#This Row],[data]])</f>
        <v>4</v>
      </c>
      <c r="E1161">
        <f>IF(D1162&lt;&gt;cukier11[[#This Row],[miesiac]],1,0)</f>
        <v>0</v>
      </c>
      <c r="F1161">
        <f>IF(AND(H1160&lt;5000,cukier11[[#This Row],[czy_nastapiła_zmiana_mies]]=1),ROUNDUP((5000-H1160)/1000,0),0)</f>
        <v>0</v>
      </c>
      <c r="G1161">
        <f t="shared" si="18"/>
        <v>3812</v>
      </c>
      <c r="H1161">
        <f>cukier11[[#This Row],[stan_magazynu]]-cukier11[[#This Row],[sprzedany_cukier]]</f>
        <v>3793</v>
      </c>
      <c r="I1161" s="9">
        <f>cukier11[[#This Row],[stan_po_sprzedazy]]+cukier11[[#This Row],[ile_dokupic]]*1000</f>
        <v>3793</v>
      </c>
    </row>
    <row r="1162" spans="1:9" x14ac:dyDescent="0.25">
      <c r="A1162" s="1">
        <v>40277</v>
      </c>
      <c r="B1162" t="s">
        <v>7</v>
      </c>
      <c r="C1162">
        <v>116</v>
      </c>
      <c r="D1162">
        <f>MONTH(cukier11[[#This Row],[data]])</f>
        <v>4</v>
      </c>
      <c r="E1162">
        <f>IF(D1163&lt;&gt;cukier11[[#This Row],[miesiac]],1,0)</f>
        <v>0</v>
      </c>
      <c r="F1162">
        <f>IF(AND(H1161&lt;5000,cukier11[[#This Row],[czy_nastapiła_zmiana_mies]]=1),ROUNDUP((5000-H1161)/1000,0),0)</f>
        <v>0</v>
      </c>
      <c r="G1162">
        <f t="shared" si="18"/>
        <v>3793</v>
      </c>
      <c r="H1162">
        <f>cukier11[[#This Row],[stan_magazynu]]-cukier11[[#This Row],[sprzedany_cukier]]</f>
        <v>3677</v>
      </c>
      <c r="I1162" s="9">
        <f>cukier11[[#This Row],[stan_po_sprzedazy]]+cukier11[[#This Row],[ile_dokupic]]*1000</f>
        <v>3677</v>
      </c>
    </row>
    <row r="1163" spans="1:9" x14ac:dyDescent="0.25">
      <c r="A1163" s="1">
        <v>40279</v>
      </c>
      <c r="B1163" t="s">
        <v>22</v>
      </c>
      <c r="C1163">
        <v>143</v>
      </c>
      <c r="D1163">
        <f>MONTH(cukier11[[#This Row],[data]])</f>
        <v>4</v>
      </c>
      <c r="E1163">
        <f>IF(D1164&lt;&gt;cukier11[[#This Row],[miesiac]],1,0)</f>
        <v>0</v>
      </c>
      <c r="F1163">
        <f>IF(AND(H1162&lt;5000,cukier11[[#This Row],[czy_nastapiła_zmiana_mies]]=1),ROUNDUP((5000-H1162)/1000,0),0)</f>
        <v>0</v>
      </c>
      <c r="G1163">
        <f t="shared" si="18"/>
        <v>3677</v>
      </c>
      <c r="H1163">
        <f>cukier11[[#This Row],[stan_magazynu]]-cukier11[[#This Row],[sprzedany_cukier]]</f>
        <v>3534</v>
      </c>
      <c r="I1163" s="9">
        <f>cukier11[[#This Row],[stan_po_sprzedazy]]+cukier11[[#This Row],[ile_dokupic]]*1000</f>
        <v>3534</v>
      </c>
    </row>
    <row r="1164" spans="1:9" x14ac:dyDescent="0.25">
      <c r="A1164" s="1">
        <v>40280</v>
      </c>
      <c r="B1164" t="s">
        <v>9</v>
      </c>
      <c r="C1164">
        <v>222</v>
      </c>
      <c r="D1164">
        <f>MONTH(cukier11[[#This Row],[data]])</f>
        <v>4</v>
      </c>
      <c r="E1164">
        <f>IF(D1165&lt;&gt;cukier11[[#This Row],[miesiac]],1,0)</f>
        <v>0</v>
      </c>
      <c r="F1164">
        <f>IF(AND(H1163&lt;5000,cukier11[[#This Row],[czy_nastapiła_zmiana_mies]]=1),ROUNDUP((5000-H1163)/1000,0),0)</f>
        <v>0</v>
      </c>
      <c r="G1164">
        <f t="shared" si="18"/>
        <v>3534</v>
      </c>
      <c r="H1164">
        <f>cukier11[[#This Row],[stan_magazynu]]-cukier11[[#This Row],[sprzedany_cukier]]</f>
        <v>3312</v>
      </c>
      <c r="I1164" s="9">
        <f>cukier11[[#This Row],[stan_po_sprzedazy]]+cukier11[[#This Row],[ile_dokupic]]*1000</f>
        <v>3312</v>
      </c>
    </row>
    <row r="1165" spans="1:9" x14ac:dyDescent="0.25">
      <c r="A1165" s="1">
        <v>40282</v>
      </c>
      <c r="B1165" t="s">
        <v>9</v>
      </c>
      <c r="C1165">
        <v>352</v>
      </c>
      <c r="D1165">
        <f>MONTH(cukier11[[#This Row],[data]])</f>
        <v>4</v>
      </c>
      <c r="E1165">
        <f>IF(D1166&lt;&gt;cukier11[[#This Row],[miesiac]],1,0)</f>
        <v>0</v>
      </c>
      <c r="F1165">
        <f>IF(AND(H1164&lt;5000,cukier11[[#This Row],[czy_nastapiła_zmiana_mies]]=1),ROUNDUP((5000-H1164)/1000,0),0)</f>
        <v>0</v>
      </c>
      <c r="G1165">
        <f t="shared" si="18"/>
        <v>3312</v>
      </c>
      <c r="H1165">
        <f>cukier11[[#This Row],[stan_magazynu]]-cukier11[[#This Row],[sprzedany_cukier]]</f>
        <v>2960</v>
      </c>
      <c r="I1165" s="9">
        <f>cukier11[[#This Row],[stan_po_sprzedazy]]+cukier11[[#This Row],[ile_dokupic]]*1000</f>
        <v>2960</v>
      </c>
    </row>
    <row r="1166" spans="1:9" x14ac:dyDescent="0.25">
      <c r="A1166" s="1">
        <v>40282</v>
      </c>
      <c r="B1166" t="s">
        <v>52</v>
      </c>
      <c r="C1166">
        <v>69</v>
      </c>
      <c r="D1166">
        <f>MONTH(cukier11[[#This Row],[data]])</f>
        <v>4</v>
      </c>
      <c r="E1166">
        <f>IF(D1167&lt;&gt;cukier11[[#This Row],[miesiac]],1,0)</f>
        <v>0</v>
      </c>
      <c r="F1166">
        <f>IF(AND(H1165&lt;5000,cukier11[[#This Row],[czy_nastapiła_zmiana_mies]]=1),ROUNDUP((5000-H1165)/1000,0),0)</f>
        <v>0</v>
      </c>
      <c r="G1166">
        <f t="shared" si="18"/>
        <v>2960</v>
      </c>
      <c r="H1166">
        <f>cukier11[[#This Row],[stan_magazynu]]-cukier11[[#This Row],[sprzedany_cukier]]</f>
        <v>2891</v>
      </c>
      <c r="I1166" s="9">
        <f>cukier11[[#This Row],[stan_po_sprzedazy]]+cukier11[[#This Row],[ile_dokupic]]*1000</f>
        <v>2891</v>
      </c>
    </row>
    <row r="1167" spans="1:9" x14ac:dyDescent="0.25">
      <c r="A1167" s="1">
        <v>40283</v>
      </c>
      <c r="B1167" t="s">
        <v>45</v>
      </c>
      <c r="C1167">
        <v>182</v>
      </c>
      <c r="D1167">
        <f>MONTH(cukier11[[#This Row],[data]])</f>
        <v>4</v>
      </c>
      <c r="E1167">
        <f>IF(D1168&lt;&gt;cukier11[[#This Row],[miesiac]],1,0)</f>
        <v>0</v>
      </c>
      <c r="F1167">
        <f>IF(AND(H1166&lt;5000,cukier11[[#This Row],[czy_nastapiła_zmiana_mies]]=1),ROUNDUP((5000-H1166)/1000,0),0)</f>
        <v>0</v>
      </c>
      <c r="G1167">
        <f t="shared" si="18"/>
        <v>2891</v>
      </c>
      <c r="H1167">
        <f>cukier11[[#This Row],[stan_magazynu]]-cukier11[[#This Row],[sprzedany_cukier]]</f>
        <v>2709</v>
      </c>
      <c r="I1167" s="9">
        <f>cukier11[[#This Row],[stan_po_sprzedazy]]+cukier11[[#This Row],[ile_dokupic]]*1000</f>
        <v>2709</v>
      </c>
    </row>
    <row r="1168" spans="1:9" x14ac:dyDescent="0.25">
      <c r="A1168" s="1">
        <v>40285</v>
      </c>
      <c r="B1168" t="s">
        <v>9</v>
      </c>
      <c r="C1168">
        <v>182</v>
      </c>
      <c r="D1168">
        <f>MONTH(cukier11[[#This Row],[data]])</f>
        <v>4</v>
      </c>
      <c r="E1168">
        <f>IF(D1169&lt;&gt;cukier11[[#This Row],[miesiac]],1,0)</f>
        <v>0</v>
      </c>
      <c r="F1168">
        <f>IF(AND(H1167&lt;5000,cukier11[[#This Row],[czy_nastapiła_zmiana_mies]]=1),ROUNDUP((5000-H1167)/1000,0),0)</f>
        <v>0</v>
      </c>
      <c r="G1168">
        <f t="shared" si="18"/>
        <v>2709</v>
      </c>
      <c r="H1168">
        <f>cukier11[[#This Row],[stan_magazynu]]-cukier11[[#This Row],[sprzedany_cukier]]</f>
        <v>2527</v>
      </c>
      <c r="I1168" s="9">
        <f>cukier11[[#This Row],[stan_po_sprzedazy]]+cukier11[[#This Row],[ile_dokupic]]*1000</f>
        <v>2527</v>
      </c>
    </row>
    <row r="1169" spans="1:9" x14ac:dyDescent="0.25">
      <c r="A1169" s="1">
        <v>40285</v>
      </c>
      <c r="B1169" t="s">
        <v>52</v>
      </c>
      <c r="C1169">
        <v>165</v>
      </c>
      <c r="D1169">
        <f>MONTH(cukier11[[#This Row],[data]])</f>
        <v>4</v>
      </c>
      <c r="E1169">
        <f>IF(D1170&lt;&gt;cukier11[[#This Row],[miesiac]],1,0)</f>
        <v>0</v>
      </c>
      <c r="F1169">
        <f>IF(AND(H1168&lt;5000,cukier11[[#This Row],[czy_nastapiła_zmiana_mies]]=1),ROUNDUP((5000-H1168)/1000,0),0)</f>
        <v>0</v>
      </c>
      <c r="G1169">
        <f t="shared" si="18"/>
        <v>2527</v>
      </c>
      <c r="H1169">
        <f>cukier11[[#This Row],[stan_magazynu]]-cukier11[[#This Row],[sprzedany_cukier]]</f>
        <v>2362</v>
      </c>
      <c r="I1169" s="9">
        <f>cukier11[[#This Row],[stan_po_sprzedazy]]+cukier11[[#This Row],[ile_dokupic]]*1000</f>
        <v>2362</v>
      </c>
    </row>
    <row r="1170" spans="1:9" x14ac:dyDescent="0.25">
      <c r="A1170" s="1">
        <v>40286</v>
      </c>
      <c r="B1170" t="s">
        <v>40</v>
      </c>
      <c r="C1170">
        <v>18</v>
      </c>
      <c r="D1170">
        <f>MONTH(cukier11[[#This Row],[data]])</f>
        <v>4</v>
      </c>
      <c r="E1170">
        <f>IF(D1171&lt;&gt;cukier11[[#This Row],[miesiac]],1,0)</f>
        <v>0</v>
      </c>
      <c r="F1170">
        <f>IF(AND(H1169&lt;5000,cukier11[[#This Row],[czy_nastapiła_zmiana_mies]]=1),ROUNDUP((5000-H1169)/1000,0),0)</f>
        <v>0</v>
      </c>
      <c r="G1170">
        <f t="shared" si="18"/>
        <v>2362</v>
      </c>
      <c r="H1170">
        <f>cukier11[[#This Row],[stan_magazynu]]-cukier11[[#This Row],[sprzedany_cukier]]</f>
        <v>2344</v>
      </c>
      <c r="I1170" s="9">
        <f>cukier11[[#This Row],[stan_po_sprzedazy]]+cukier11[[#This Row],[ile_dokupic]]*1000</f>
        <v>2344</v>
      </c>
    </row>
    <row r="1171" spans="1:9" x14ac:dyDescent="0.25">
      <c r="A1171" s="1">
        <v>40286</v>
      </c>
      <c r="B1171" t="s">
        <v>210</v>
      </c>
      <c r="C1171">
        <v>2</v>
      </c>
      <c r="D1171">
        <f>MONTH(cukier11[[#This Row],[data]])</f>
        <v>4</v>
      </c>
      <c r="E1171">
        <f>IF(D1172&lt;&gt;cukier11[[#This Row],[miesiac]],1,0)</f>
        <v>0</v>
      </c>
      <c r="F1171">
        <f>IF(AND(H1170&lt;5000,cukier11[[#This Row],[czy_nastapiła_zmiana_mies]]=1),ROUNDUP((5000-H1170)/1000,0),0)</f>
        <v>0</v>
      </c>
      <c r="G1171">
        <f t="shared" si="18"/>
        <v>2344</v>
      </c>
      <c r="H1171">
        <f>cukier11[[#This Row],[stan_magazynu]]-cukier11[[#This Row],[sprzedany_cukier]]</f>
        <v>2342</v>
      </c>
      <c r="I1171" s="9">
        <f>cukier11[[#This Row],[stan_po_sprzedazy]]+cukier11[[#This Row],[ile_dokupic]]*1000</f>
        <v>2342</v>
      </c>
    </row>
    <row r="1172" spans="1:9" x14ac:dyDescent="0.25">
      <c r="A1172" s="1">
        <v>40287</v>
      </c>
      <c r="B1172" t="s">
        <v>184</v>
      </c>
      <c r="C1172">
        <v>15</v>
      </c>
      <c r="D1172">
        <f>MONTH(cukier11[[#This Row],[data]])</f>
        <v>4</v>
      </c>
      <c r="E1172">
        <f>IF(D1173&lt;&gt;cukier11[[#This Row],[miesiac]],1,0)</f>
        <v>0</v>
      </c>
      <c r="F1172">
        <f>IF(AND(H1171&lt;5000,cukier11[[#This Row],[czy_nastapiła_zmiana_mies]]=1),ROUNDUP((5000-H1171)/1000,0),0)</f>
        <v>0</v>
      </c>
      <c r="G1172">
        <f t="shared" si="18"/>
        <v>2342</v>
      </c>
      <c r="H1172">
        <f>cukier11[[#This Row],[stan_magazynu]]-cukier11[[#This Row],[sprzedany_cukier]]</f>
        <v>2327</v>
      </c>
      <c r="I1172" s="9">
        <f>cukier11[[#This Row],[stan_po_sprzedazy]]+cukier11[[#This Row],[ile_dokupic]]*1000</f>
        <v>2327</v>
      </c>
    </row>
    <row r="1173" spans="1:9" x14ac:dyDescent="0.25">
      <c r="A1173" s="1">
        <v>40288</v>
      </c>
      <c r="B1173" t="s">
        <v>211</v>
      </c>
      <c r="C1173">
        <v>19</v>
      </c>
      <c r="D1173">
        <f>MONTH(cukier11[[#This Row],[data]])</f>
        <v>4</v>
      </c>
      <c r="E1173">
        <f>IF(D1174&lt;&gt;cukier11[[#This Row],[miesiac]],1,0)</f>
        <v>0</v>
      </c>
      <c r="F1173">
        <f>IF(AND(H1172&lt;5000,cukier11[[#This Row],[czy_nastapiła_zmiana_mies]]=1),ROUNDUP((5000-H1172)/1000,0),0)</f>
        <v>0</v>
      </c>
      <c r="G1173">
        <f t="shared" si="18"/>
        <v>2327</v>
      </c>
      <c r="H1173">
        <f>cukier11[[#This Row],[stan_magazynu]]-cukier11[[#This Row],[sprzedany_cukier]]</f>
        <v>2308</v>
      </c>
      <c r="I1173" s="9">
        <f>cukier11[[#This Row],[stan_po_sprzedazy]]+cukier11[[#This Row],[ile_dokupic]]*1000</f>
        <v>2308</v>
      </c>
    </row>
    <row r="1174" spans="1:9" x14ac:dyDescent="0.25">
      <c r="A1174" s="1">
        <v>40289</v>
      </c>
      <c r="B1174" t="s">
        <v>37</v>
      </c>
      <c r="C1174">
        <v>66</v>
      </c>
      <c r="D1174">
        <f>MONTH(cukier11[[#This Row],[data]])</f>
        <v>4</v>
      </c>
      <c r="E1174">
        <f>IF(D1175&lt;&gt;cukier11[[#This Row],[miesiac]],1,0)</f>
        <v>0</v>
      </c>
      <c r="F1174">
        <f>IF(AND(H1173&lt;5000,cukier11[[#This Row],[czy_nastapiła_zmiana_mies]]=1),ROUNDUP((5000-H1173)/1000,0),0)</f>
        <v>0</v>
      </c>
      <c r="G1174">
        <f t="shared" si="18"/>
        <v>2308</v>
      </c>
      <c r="H1174">
        <f>cukier11[[#This Row],[stan_magazynu]]-cukier11[[#This Row],[sprzedany_cukier]]</f>
        <v>2242</v>
      </c>
      <c r="I1174" s="9">
        <f>cukier11[[#This Row],[stan_po_sprzedazy]]+cukier11[[#This Row],[ile_dokupic]]*1000</f>
        <v>2242</v>
      </c>
    </row>
    <row r="1175" spans="1:9" x14ac:dyDescent="0.25">
      <c r="A1175" s="1">
        <v>40289</v>
      </c>
      <c r="B1175" t="s">
        <v>170</v>
      </c>
      <c r="C1175">
        <v>12</v>
      </c>
      <c r="D1175">
        <f>MONTH(cukier11[[#This Row],[data]])</f>
        <v>4</v>
      </c>
      <c r="E1175">
        <f>IF(D1176&lt;&gt;cukier11[[#This Row],[miesiac]],1,0)</f>
        <v>0</v>
      </c>
      <c r="F1175">
        <f>IF(AND(H1174&lt;5000,cukier11[[#This Row],[czy_nastapiła_zmiana_mies]]=1),ROUNDUP((5000-H1174)/1000,0),0)</f>
        <v>0</v>
      </c>
      <c r="G1175">
        <f t="shared" si="18"/>
        <v>2242</v>
      </c>
      <c r="H1175">
        <f>cukier11[[#This Row],[stan_magazynu]]-cukier11[[#This Row],[sprzedany_cukier]]</f>
        <v>2230</v>
      </c>
      <c r="I1175" s="9">
        <f>cukier11[[#This Row],[stan_po_sprzedazy]]+cukier11[[#This Row],[ile_dokupic]]*1000</f>
        <v>2230</v>
      </c>
    </row>
    <row r="1176" spans="1:9" x14ac:dyDescent="0.25">
      <c r="A1176" s="1">
        <v>40290</v>
      </c>
      <c r="B1176" t="s">
        <v>118</v>
      </c>
      <c r="C1176">
        <v>19</v>
      </c>
      <c r="D1176">
        <f>MONTH(cukier11[[#This Row],[data]])</f>
        <v>4</v>
      </c>
      <c r="E1176">
        <f>IF(D1177&lt;&gt;cukier11[[#This Row],[miesiac]],1,0)</f>
        <v>0</v>
      </c>
      <c r="F1176">
        <f>IF(AND(H1175&lt;5000,cukier11[[#This Row],[czy_nastapiła_zmiana_mies]]=1),ROUNDUP((5000-H1175)/1000,0),0)</f>
        <v>0</v>
      </c>
      <c r="G1176">
        <f t="shared" si="18"/>
        <v>2230</v>
      </c>
      <c r="H1176">
        <f>cukier11[[#This Row],[stan_magazynu]]-cukier11[[#This Row],[sprzedany_cukier]]</f>
        <v>2211</v>
      </c>
      <c r="I1176" s="9">
        <f>cukier11[[#This Row],[stan_po_sprzedazy]]+cukier11[[#This Row],[ile_dokupic]]*1000</f>
        <v>2211</v>
      </c>
    </row>
    <row r="1177" spans="1:9" x14ac:dyDescent="0.25">
      <c r="A1177" s="1">
        <v>40290</v>
      </c>
      <c r="B1177" t="s">
        <v>23</v>
      </c>
      <c r="C1177">
        <v>96</v>
      </c>
      <c r="D1177">
        <f>MONTH(cukier11[[#This Row],[data]])</f>
        <v>4</v>
      </c>
      <c r="E1177">
        <f>IF(D1178&lt;&gt;cukier11[[#This Row],[miesiac]],1,0)</f>
        <v>0</v>
      </c>
      <c r="F1177">
        <f>IF(AND(H1176&lt;5000,cukier11[[#This Row],[czy_nastapiła_zmiana_mies]]=1),ROUNDUP((5000-H1176)/1000,0),0)</f>
        <v>0</v>
      </c>
      <c r="G1177">
        <f t="shared" si="18"/>
        <v>2211</v>
      </c>
      <c r="H1177">
        <f>cukier11[[#This Row],[stan_magazynu]]-cukier11[[#This Row],[sprzedany_cukier]]</f>
        <v>2115</v>
      </c>
      <c r="I1177" s="9">
        <f>cukier11[[#This Row],[stan_po_sprzedazy]]+cukier11[[#This Row],[ile_dokupic]]*1000</f>
        <v>2115</v>
      </c>
    </row>
    <row r="1178" spans="1:9" x14ac:dyDescent="0.25">
      <c r="A1178" s="1">
        <v>40293</v>
      </c>
      <c r="B1178" t="s">
        <v>9</v>
      </c>
      <c r="C1178">
        <v>240</v>
      </c>
      <c r="D1178">
        <f>MONTH(cukier11[[#This Row],[data]])</f>
        <v>4</v>
      </c>
      <c r="E1178">
        <f>IF(D1179&lt;&gt;cukier11[[#This Row],[miesiac]],1,0)</f>
        <v>0</v>
      </c>
      <c r="F1178">
        <f>IF(AND(H1177&lt;5000,cukier11[[#This Row],[czy_nastapiła_zmiana_mies]]=1),ROUNDUP((5000-H1177)/1000,0),0)</f>
        <v>0</v>
      </c>
      <c r="G1178">
        <f t="shared" si="18"/>
        <v>2115</v>
      </c>
      <c r="H1178">
        <f>cukier11[[#This Row],[stan_magazynu]]-cukier11[[#This Row],[sprzedany_cukier]]</f>
        <v>1875</v>
      </c>
      <c r="I1178" s="9">
        <f>cukier11[[#This Row],[stan_po_sprzedazy]]+cukier11[[#This Row],[ile_dokupic]]*1000</f>
        <v>1875</v>
      </c>
    </row>
    <row r="1179" spans="1:9" x14ac:dyDescent="0.25">
      <c r="A1179" s="1">
        <v>40295</v>
      </c>
      <c r="B1179" t="s">
        <v>28</v>
      </c>
      <c r="C1179">
        <v>57</v>
      </c>
      <c r="D1179">
        <f>MONTH(cukier11[[#This Row],[data]])</f>
        <v>4</v>
      </c>
      <c r="E1179">
        <f>IF(D1180&lt;&gt;cukier11[[#This Row],[miesiac]],1,0)</f>
        <v>1</v>
      </c>
      <c r="F1179">
        <f>IF(AND(H1178&lt;5000,cukier11[[#This Row],[czy_nastapiła_zmiana_mies]]=1),ROUNDUP((5000-H1178)/1000,0),0)</f>
        <v>4</v>
      </c>
      <c r="G1179">
        <f t="shared" si="18"/>
        <v>1875</v>
      </c>
      <c r="H1179">
        <f>cukier11[[#This Row],[stan_magazynu]]-cukier11[[#This Row],[sprzedany_cukier]]</f>
        <v>1818</v>
      </c>
      <c r="I1179" s="9">
        <f>cukier11[[#This Row],[stan_po_sprzedazy]]+cukier11[[#This Row],[ile_dokupic]]*1000</f>
        <v>5818</v>
      </c>
    </row>
    <row r="1180" spans="1:9" x14ac:dyDescent="0.25">
      <c r="A1180" s="1">
        <v>40299</v>
      </c>
      <c r="B1180" t="s">
        <v>14</v>
      </c>
      <c r="C1180">
        <v>475</v>
      </c>
      <c r="D1180">
        <f>MONTH(cukier11[[#This Row],[data]])</f>
        <v>5</v>
      </c>
      <c r="E1180">
        <f>IF(D1181&lt;&gt;cukier11[[#This Row],[miesiac]],1,0)</f>
        <v>0</v>
      </c>
      <c r="F1180">
        <f>IF(AND(H1179&lt;5000,cukier11[[#This Row],[czy_nastapiła_zmiana_mies]]=1),ROUNDUP((5000-H1179)/1000,0),0)</f>
        <v>0</v>
      </c>
      <c r="G1180">
        <f t="shared" si="18"/>
        <v>5818</v>
      </c>
      <c r="H1180">
        <f>cukier11[[#This Row],[stan_magazynu]]-cukier11[[#This Row],[sprzedany_cukier]]</f>
        <v>5343</v>
      </c>
      <c r="I1180" s="9">
        <f>cukier11[[#This Row],[stan_po_sprzedazy]]+cukier11[[#This Row],[ile_dokupic]]*1000</f>
        <v>5343</v>
      </c>
    </row>
    <row r="1181" spans="1:9" x14ac:dyDescent="0.25">
      <c r="A1181" s="1">
        <v>40300</v>
      </c>
      <c r="B1181" t="s">
        <v>7</v>
      </c>
      <c r="C1181">
        <v>162</v>
      </c>
      <c r="D1181">
        <f>MONTH(cukier11[[#This Row],[data]])</f>
        <v>5</v>
      </c>
      <c r="E1181">
        <f>IF(D1182&lt;&gt;cukier11[[#This Row],[miesiac]],1,0)</f>
        <v>0</v>
      </c>
      <c r="F1181">
        <f>IF(AND(H1180&lt;5000,cukier11[[#This Row],[czy_nastapiła_zmiana_mies]]=1),ROUNDUP((5000-H1180)/1000,0),0)</f>
        <v>0</v>
      </c>
      <c r="G1181">
        <f t="shared" si="18"/>
        <v>5343</v>
      </c>
      <c r="H1181">
        <f>cukier11[[#This Row],[stan_magazynu]]-cukier11[[#This Row],[sprzedany_cukier]]</f>
        <v>5181</v>
      </c>
      <c r="I1181" s="9">
        <f>cukier11[[#This Row],[stan_po_sprzedazy]]+cukier11[[#This Row],[ile_dokupic]]*1000</f>
        <v>5181</v>
      </c>
    </row>
    <row r="1182" spans="1:9" x14ac:dyDescent="0.25">
      <c r="A1182" s="1">
        <v>40302</v>
      </c>
      <c r="B1182" t="s">
        <v>7</v>
      </c>
      <c r="C1182">
        <v>150</v>
      </c>
      <c r="D1182">
        <f>MONTH(cukier11[[#This Row],[data]])</f>
        <v>5</v>
      </c>
      <c r="E1182">
        <f>IF(D1183&lt;&gt;cukier11[[#This Row],[miesiac]],1,0)</f>
        <v>0</v>
      </c>
      <c r="F1182">
        <f>IF(AND(H1181&lt;5000,cukier11[[#This Row],[czy_nastapiła_zmiana_mies]]=1),ROUNDUP((5000-H1181)/1000,0),0)</f>
        <v>0</v>
      </c>
      <c r="G1182">
        <f t="shared" si="18"/>
        <v>5181</v>
      </c>
      <c r="H1182">
        <f>cukier11[[#This Row],[stan_magazynu]]-cukier11[[#This Row],[sprzedany_cukier]]</f>
        <v>5031</v>
      </c>
      <c r="I1182" s="9">
        <f>cukier11[[#This Row],[stan_po_sprzedazy]]+cukier11[[#This Row],[ile_dokupic]]*1000</f>
        <v>5031</v>
      </c>
    </row>
    <row r="1183" spans="1:9" x14ac:dyDescent="0.25">
      <c r="A1183" s="1">
        <v>40303</v>
      </c>
      <c r="B1183" t="s">
        <v>50</v>
      </c>
      <c r="C1183">
        <v>139</v>
      </c>
      <c r="D1183">
        <f>MONTH(cukier11[[#This Row],[data]])</f>
        <v>5</v>
      </c>
      <c r="E1183">
        <f>IF(D1184&lt;&gt;cukier11[[#This Row],[miesiac]],1,0)</f>
        <v>0</v>
      </c>
      <c r="F1183">
        <f>IF(AND(H1182&lt;5000,cukier11[[#This Row],[czy_nastapiła_zmiana_mies]]=1),ROUNDUP((5000-H1182)/1000,0),0)</f>
        <v>0</v>
      </c>
      <c r="G1183">
        <f t="shared" si="18"/>
        <v>5031</v>
      </c>
      <c r="H1183">
        <f>cukier11[[#This Row],[stan_magazynu]]-cukier11[[#This Row],[sprzedany_cukier]]</f>
        <v>4892</v>
      </c>
      <c r="I1183" s="9">
        <f>cukier11[[#This Row],[stan_po_sprzedazy]]+cukier11[[#This Row],[ile_dokupic]]*1000</f>
        <v>4892</v>
      </c>
    </row>
    <row r="1184" spans="1:9" x14ac:dyDescent="0.25">
      <c r="A1184" s="1">
        <v>40305</v>
      </c>
      <c r="B1184" t="s">
        <v>19</v>
      </c>
      <c r="C1184">
        <v>183</v>
      </c>
      <c r="D1184">
        <f>MONTH(cukier11[[#This Row],[data]])</f>
        <v>5</v>
      </c>
      <c r="E1184">
        <f>IF(D1185&lt;&gt;cukier11[[#This Row],[miesiac]],1,0)</f>
        <v>0</v>
      </c>
      <c r="F1184">
        <f>IF(AND(H1183&lt;5000,cukier11[[#This Row],[czy_nastapiła_zmiana_mies]]=1),ROUNDUP((5000-H1183)/1000,0),0)</f>
        <v>0</v>
      </c>
      <c r="G1184">
        <f t="shared" si="18"/>
        <v>4892</v>
      </c>
      <c r="H1184">
        <f>cukier11[[#This Row],[stan_magazynu]]-cukier11[[#This Row],[sprzedany_cukier]]</f>
        <v>4709</v>
      </c>
      <c r="I1184" s="9">
        <f>cukier11[[#This Row],[stan_po_sprzedazy]]+cukier11[[#This Row],[ile_dokupic]]*1000</f>
        <v>4709</v>
      </c>
    </row>
    <row r="1185" spans="1:9" x14ac:dyDescent="0.25">
      <c r="A1185" s="1">
        <v>40315</v>
      </c>
      <c r="B1185" t="s">
        <v>7</v>
      </c>
      <c r="C1185">
        <v>214</v>
      </c>
      <c r="D1185">
        <f>MONTH(cukier11[[#This Row],[data]])</f>
        <v>5</v>
      </c>
      <c r="E1185">
        <f>IF(D1186&lt;&gt;cukier11[[#This Row],[miesiac]],1,0)</f>
        <v>0</v>
      </c>
      <c r="F1185">
        <f>IF(AND(H1184&lt;5000,cukier11[[#This Row],[czy_nastapiła_zmiana_mies]]=1),ROUNDUP((5000-H1184)/1000,0),0)</f>
        <v>0</v>
      </c>
      <c r="G1185">
        <f t="shared" si="18"/>
        <v>4709</v>
      </c>
      <c r="H1185">
        <f>cukier11[[#This Row],[stan_magazynu]]-cukier11[[#This Row],[sprzedany_cukier]]</f>
        <v>4495</v>
      </c>
      <c r="I1185" s="9">
        <f>cukier11[[#This Row],[stan_po_sprzedazy]]+cukier11[[#This Row],[ile_dokupic]]*1000</f>
        <v>4495</v>
      </c>
    </row>
    <row r="1186" spans="1:9" x14ac:dyDescent="0.25">
      <c r="A1186" s="1">
        <v>40318</v>
      </c>
      <c r="B1186" t="s">
        <v>175</v>
      </c>
      <c r="C1186">
        <v>14</v>
      </c>
      <c r="D1186">
        <f>MONTH(cukier11[[#This Row],[data]])</f>
        <v>5</v>
      </c>
      <c r="E1186">
        <f>IF(D1187&lt;&gt;cukier11[[#This Row],[miesiac]],1,0)</f>
        <v>0</v>
      </c>
      <c r="F1186">
        <f>IF(AND(H1185&lt;5000,cukier11[[#This Row],[czy_nastapiła_zmiana_mies]]=1),ROUNDUP((5000-H1185)/1000,0),0)</f>
        <v>0</v>
      </c>
      <c r="G1186">
        <f t="shared" si="18"/>
        <v>4495</v>
      </c>
      <c r="H1186">
        <f>cukier11[[#This Row],[stan_magazynu]]-cukier11[[#This Row],[sprzedany_cukier]]</f>
        <v>4481</v>
      </c>
      <c r="I1186" s="9">
        <f>cukier11[[#This Row],[stan_po_sprzedazy]]+cukier11[[#This Row],[ile_dokupic]]*1000</f>
        <v>4481</v>
      </c>
    </row>
    <row r="1187" spans="1:9" x14ac:dyDescent="0.25">
      <c r="A1187" s="1">
        <v>40319</v>
      </c>
      <c r="B1187" t="s">
        <v>195</v>
      </c>
      <c r="C1187">
        <v>2</v>
      </c>
      <c r="D1187">
        <f>MONTH(cukier11[[#This Row],[data]])</f>
        <v>5</v>
      </c>
      <c r="E1187">
        <f>IF(D1188&lt;&gt;cukier11[[#This Row],[miesiac]],1,0)</f>
        <v>0</v>
      </c>
      <c r="F1187">
        <f>IF(AND(H1186&lt;5000,cukier11[[#This Row],[czy_nastapiła_zmiana_mies]]=1),ROUNDUP((5000-H1186)/1000,0),0)</f>
        <v>0</v>
      </c>
      <c r="G1187">
        <f t="shared" si="18"/>
        <v>4481</v>
      </c>
      <c r="H1187">
        <f>cukier11[[#This Row],[stan_magazynu]]-cukier11[[#This Row],[sprzedany_cukier]]</f>
        <v>4479</v>
      </c>
      <c r="I1187" s="9">
        <f>cukier11[[#This Row],[stan_po_sprzedazy]]+cukier11[[#This Row],[ile_dokupic]]*1000</f>
        <v>4479</v>
      </c>
    </row>
    <row r="1188" spans="1:9" x14ac:dyDescent="0.25">
      <c r="A1188" s="1">
        <v>40320</v>
      </c>
      <c r="B1188" t="s">
        <v>22</v>
      </c>
      <c r="C1188">
        <v>383</v>
      </c>
      <c r="D1188">
        <f>MONTH(cukier11[[#This Row],[data]])</f>
        <v>5</v>
      </c>
      <c r="E1188">
        <f>IF(D1189&lt;&gt;cukier11[[#This Row],[miesiac]],1,0)</f>
        <v>0</v>
      </c>
      <c r="F1188">
        <f>IF(AND(H1187&lt;5000,cukier11[[#This Row],[czy_nastapiła_zmiana_mies]]=1),ROUNDUP((5000-H1187)/1000,0),0)</f>
        <v>0</v>
      </c>
      <c r="G1188">
        <f t="shared" si="18"/>
        <v>4479</v>
      </c>
      <c r="H1188">
        <f>cukier11[[#This Row],[stan_magazynu]]-cukier11[[#This Row],[sprzedany_cukier]]</f>
        <v>4096</v>
      </c>
      <c r="I1188" s="9">
        <f>cukier11[[#This Row],[stan_po_sprzedazy]]+cukier11[[#This Row],[ile_dokupic]]*1000</f>
        <v>4096</v>
      </c>
    </row>
    <row r="1189" spans="1:9" x14ac:dyDescent="0.25">
      <c r="A1189" s="1">
        <v>40321</v>
      </c>
      <c r="B1189" t="s">
        <v>0</v>
      </c>
      <c r="C1189">
        <v>14</v>
      </c>
      <c r="D1189">
        <f>MONTH(cukier11[[#This Row],[data]])</f>
        <v>5</v>
      </c>
      <c r="E1189">
        <f>IF(D1190&lt;&gt;cukier11[[#This Row],[miesiac]],1,0)</f>
        <v>0</v>
      </c>
      <c r="F1189">
        <f>IF(AND(H1188&lt;5000,cukier11[[#This Row],[czy_nastapiła_zmiana_mies]]=1),ROUNDUP((5000-H1188)/1000,0),0)</f>
        <v>0</v>
      </c>
      <c r="G1189">
        <f t="shared" si="18"/>
        <v>4096</v>
      </c>
      <c r="H1189">
        <f>cukier11[[#This Row],[stan_magazynu]]-cukier11[[#This Row],[sprzedany_cukier]]</f>
        <v>4082</v>
      </c>
      <c r="I1189" s="9">
        <f>cukier11[[#This Row],[stan_po_sprzedazy]]+cukier11[[#This Row],[ile_dokupic]]*1000</f>
        <v>4082</v>
      </c>
    </row>
    <row r="1190" spans="1:9" x14ac:dyDescent="0.25">
      <c r="A1190" s="1">
        <v>40321</v>
      </c>
      <c r="B1190" t="s">
        <v>52</v>
      </c>
      <c r="C1190">
        <v>127</v>
      </c>
      <c r="D1190">
        <f>MONTH(cukier11[[#This Row],[data]])</f>
        <v>5</v>
      </c>
      <c r="E1190">
        <f>IF(D1191&lt;&gt;cukier11[[#This Row],[miesiac]],1,0)</f>
        <v>0</v>
      </c>
      <c r="F1190">
        <f>IF(AND(H1189&lt;5000,cukier11[[#This Row],[czy_nastapiła_zmiana_mies]]=1),ROUNDUP((5000-H1189)/1000,0),0)</f>
        <v>0</v>
      </c>
      <c r="G1190">
        <f t="shared" si="18"/>
        <v>4082</v>
      </c>
      <c r="H1190">
        <f>cukier11[[#This Row],[stan_magazynu]]-cukier11[[#This Row],[sprzedany_cukier]]</f>
        <v>3955</v>
      </c>
      <c r="I1190" s="9">
        <f>cukier11[[#This Row],[stan_po_sprzedazy]]+cukier11[[#This Row],[ile_dokupic]]*1000</f>
        <v>3955</v>
      </c>
    </row>
    <row r="1191" spans="1:9" x14ac:dyDescent="0.25">
      <c r="A1191" s="1">
        <v>40322</v>
      </c>
      <c r="B1191" t="s">
        <v>30</v>
      </c>
      <c r="C1191">
        <v>179</v>
      </c>
      <c r="D1191">
        <f>MONTH(cukier11[[#This Row],[data]])</f>
        <v>5</v>
      </c>
      <c r="E1191">
        <f>IF(D1192&lt;&gt;cukier11[[#This Row],[miesiac]],1,0)</f>
        <v>0</v>
      </c>
      <c r="F1191">
        <f>IF(AND(H1190&lt;5000,cukier11[[#This Row],[czy_nastapiła_zmiana_mies]]=1),ROUNDUP((5000-H1190)/1000,0),0)</f>
        <v>0</v>
      </c>
      <c r="G1191">
        <f t="shared" si="18"/>
        <v>3955</v>
      </c>
      <c r="H1191">
        <f>cukier11[[#This Row],[stan_magazynu]]-cukier11[[#This Row],[sprzedany_cukier]]</f>
        <v>3776</v>
      </c>
      <c r="I1191" s="9">
        <f>cukier11[[#This Row],[stan_po_sprzedazy]]+cukier11[[#This Row],[ile_dokupic]]*1000</f>
        <v>3776</v>
      </c>
    </row>
    <row r="1192" spans="1:9" x14ac:dyDescent="0.25">
      <c r="A1192" s="1">
        <v>40323</v>
      </c>
      <c r="B1192" t="s">
        <v>23</v>
      </c>
      <c r="C1192">
        <v>74</v>
      </c>
      <c r="D1192">
        <f>MONTH(cukier11[[#This Row],[data]])</f>
        <v>5</v>
      </c>
      <c r="E1192">
        <f>IF(D1193&lt;&gt;cukier11[[#This Row],[miesiac]],1,0)</f>
        <v>0</v>
      </c>
      <c r="F1192">
        <f>IF(AND(H1191&lt;5000,cukier11[[#This Row],[czy_nastapiła_zmiana_mies]]=1),ROUNDUP((5000-H1191)/1000,0),0)</f>
        <v>0</v>
      </c>
      <c r="G1192">
        <f t="shared" si="18"/>
        <v>3776</v>
      </c>
      <c r="H1192">
        <f>cukier11[[#This Row],[stan_magazynu]]-cukier11[[#This Row],[sprzedany_cukier]]</f>
        <v>3702</v>
      </c>
      <c r="I1192" s="9">
        <f>cukier11[[#This Row],[stan_po_sprzedazy]]+cukier11[[#This Row],[ile_dokupic]]*1000</f>
        <v>3702</v>
      </c>
    </row>
    <row r="1193" spans="1:9" x14ac:dyDescent="0.25">
      <c r="A1193" s="1">
        <v>40323</v>
      </c>
      <c r="B1193" t="s">
        <v>50</v>
      </c>
      <c r="C1193">
        <v>311</v>
      </c>
      <c r="D1193">
        <f>MONTH(cukier11[[#This Row],[data]])</f>
        <v>5</v>
      </c>
      <c r="E1193">
        <f>IF(D1194&lt;&gt;cukier11[[#This Row],[miesiac]],1,0)</f>
        <v>0</v>
      </c>
      <c r="F1193">
        <f>IF(AND(H1192&lt;5000,cukier11[[#This Row],[czy_nastapiła_zmiana_mies]]=1),ROUNDUP((5000-H1192)/1000,0),0)</f>
        <v>0</v>
      </c>
      <c r="G1193">
        <f t="shared" si="18"/>
        <v>3702</v>
      </c>
      <c r="H1193">
        <f>cukier11[[#This Row],[stan_magazynu]]-cukier11[[#This Row],[sprzedany_cukier]]</f>
        <v>3391</v>
      </c>
      <c r="I1193" s="9">
        <f>cukier11[[#This Row],[stan_po_sprzedazy]]+cukier11[[#This Row],[ile_dokupic]]*1000</f>
        <v>3391</v>
      </c>
    </row>
    <row r="1194" spans="1:9" x14ac:dyDescent="0.25">
      <c r="A1194" s="1">
        <v>40327</v>
      </c>
      <c r="B1194" t="s">
        <v>66</v>
      </c>
      <c r="C1194">
        <v>190</v>
      </c>
      <c r="D1194">
        <f>MONTH(cukier11[[#This Row],[data]])</f>
        <v>5</v>
      </c>
      <c r="E1194">
        <f>IF(D1195&lt;&gt;cukier11[[#This Row],[miesiac]],1,0)</f>
        <v>0</v>
      </c>
      <c r="F1194">
        <f>IF(AND(H1193&lt;5000,cukier11[[#This Row],[czy_nastapiła_zmiana_mies]]=1),ROUNDUP((5000-H1193)/1000,0),0)</f>
        <v>0</v>
      </c>
      <c r="G1194">
        <f t="shared" si="18"/>
        <v>3391</v>
      </c>
      <c r="H1194">
        <f>cukier11[[#This Row],[stan_magazynu]]-cukier11[[#This Row],[sprzedany_cukier]]</f>
        <v>3201</v>
      </c>
      <c r="I1194" s="9">
        <f>cukier11[[#This Row],[stan_po_sprzedazy]]+cukier11[[#This Row],[ile_dokupic]]*1000</f>
        <v>3201</v>
      </c>
    </row>
    <row r="1195" spans="1:9" x14ac:dyDescent="0.25">
      <c r="A1195" s="1">
        <v>40329</v>
      </c>
      <c r="B1195" t="s">
        <v>31</v>
      </c>
      <c r="C1195">
        <v>67</v>
      </c>
      <c r="D1195">
        <f>MONTH(cukier11[[#This Row],[data]])</f>
        <v>5</v>
      </c>
      <c r="E1195">
        <f>IF(D1196&lt;&gt;cukier11[[#This Row],[miesiac]],1,0)</f>
        <v>1</v>
      </c>
      <c r="F1195">
        <f>IF(AND(H1194&lt;5000,cukier11[[#This Row],[czy_nastapiła_zmiana_mies]]=1),ROUNDUP((5000-H1194)/1000,0),0)</f>
        <v>2</v>
      </c>
      <c r="G1195">
        <f t="shared" si="18"/>
        <v>3201</v>
      </c>
      <c r="H1195">
        <f>cukier11[[#This Row],[stan_magazynu]]-cukier11[[#This Row],[sprzedany_cukier]]</f>
        <v>3134</v>
      </c>
      <c r="I1195" s="9">
        <f>cukier11[[#This Row],[stan_po_sprzedazy]]+cukier11[[#This Row],[ile_dokupic]]*1000</f>
        <v>5134</v>
      </c>
    </row>
    <row r="1196" spans="1:9" x14ac:dyDescent="0.25">
      <c r="A1196" s="1">
        <v>40331</v>
      </c>
      <c r="B1196" t="s">
        <v>7</v>
      </c>
      <c r="C1196">
        <v>331</v>
      </c>
      <c r="D1196">
        <f>MONTH(cukier11[[#This Row],[data]])</f>
        <v>6</v>
      </c>
      <c r="E1196">
        <f>IF(D1197&lt;&gt;cukier11[[#This Row],[miesiac]],1,0)</f>
        <v>0</v>
      </c>
      <c r="F1196">
        <f>IF(AND(H1195&lt;5000,cukier11[[#This Row],[czy_nastapiła_zmiana_mies]]=1),ROUNDUP((5000-H1195)/1000,0),0)</f>
        <v>0</v>
      </c>
      <c r="G1196">
        <f t="shared" si="18"/>
        <v>5134</v>
      </c>
      <c r="H1196">
        <f>cukier11[[#This Row],[stan_magazynu]]-cukier11[[#This Row],[sprzedany_cukier]]</f>
        <v>4803</v>
      </c>
      <c r="I1196" s="9">
        <f>cukier11[[#This Row],[stan_po_sprzedazy]]+cukier11[[#This Row],[ile_dokupic]]*1000</f>
        <v>4803</v>
      </c>
    </row>
    <row r="1197" spans="1:9" x14ac:dyDescent="0.25">
      <c r="A1197" s="1">
        <v>40331</v>
      </c>
      <c r="B1197" t="s">
        <v>39</v>
      </c>
      <c r="C1197">
        <v>114</v>
      </c>
      <c r="D1197">
        <f>MONTH(cukier11[[#This Row],[data]])</f>
        <v>6</v>
      </c>
      <c r="E1197">
        <f>IF(D1198&lt;&gt;cukier11[[#This Row],[miesiac]],1,0)</f>
        <v>0</v>
      </c>
      <c r="F1197">
        <f>IF(AND(H1196&lt;5000,cukier11[[#This Row],[czy_nastapiła_zmiana_mies]]=1),ROUNDUP((5000-H1196)/1000,0),0)</f>
        <v>0</v>
      </c>
      <c r="G1197">
        <f t="shared" si="18"/>
        <v>4803</v>
      </c>
      <c r="H1197">
        <f>cukier11[[#This Row],[stan_magazynu]]-cukier11[[#This Row],[sprzedany_cukier]]</f>
        <v>4689</v>
      </c>
      <c r="I1197" s="9">
        <f>cukier11[[#This Row],[stan_po_sprzedazy]]+cukier11[[#This Row],[ile_dokupic]]*1000</f>
        <v>4689</v>
      </c>
    </row>
    <row r="1198" spans="1:9" x14ac:dyDescent="0.25">
      <c r="A1198" s="1">
        <v>40332</v>
      </c>
      <c r="B1198" t="s">
        <v>52</v>
      </c>
      <c r="C1198">
        <v>79</v>
      </c>
      <c r="D1198">
        <f>MONTH(cukier11[[#This Row],[data]])</f>
        <v>6</v>
      </c>
      <c r="E1198">
        <f>IF(D1199&lt;&gt;cukier11[[#This Row],[miesiac]],1,0)</f>
        <v>0</v>
      </c>
      <c r="F1198">
        <f>IF(AND(H1197&lt;5000,cukier11[[#This Row],[czy_nastapiła_zmiana_mies]]=1),ROUNDUP((5000-H1197)/1000,0),0)</f>
        <v>0</v>
      </c>
      <c r="G1198">
        <f t="shared" si="18"/>
        <v>4689</v>
      </c>
      <c r="H1198">
        <f>cukier11[[#This Row],[stan_magazynu]]-cukier11[[#This Row],[sprzedany_cukier]]</f>
        <v>4610</v>
      </c>
      <c r="I1198" s="9">
        <f>cukier11[[#This Row],[stan_po_sprzedazy]]+cukier11[[#This Row],[ile_dokupic]]*1000</f>
        <v>4610</v>
      </c>
    </row>
    <row r="1199" spans="1:9" x14ac:dyDescent="0.25">
      <c r="A1199" s="1">
        <v>40333</v>
      </c>
      <c r="B1199" t="s">
        <v>71</v>
      </c>
      <c r="C1199">
        <v>22</v>
      </c>
      <c r="D1199">
        <f>MONTH(cukier11[[#This Row],[data]])</f>
        <v>6</v>
      </c>
      <c r="E1199">
        <f>IF(D1200&lt;&gt;cukier11[[#This Row],[miesiac]],1,0)</f>
        <v>0</v>
      </c>
      <c r="F1199">
        <f>IF(AND(H1198&lt;5000,cukier11[[#This Row],[czy_nastapiła_zmiana_mies]]=1),ROUNDUP((5000-H1198)/1000,0),0)</f>
        <v>0</v>
      </c>
      <c r="G1199">
        <f t="shared" si="18"/>
        <v>4610</v>
      </c>
      <c r="H1199">
        <f>cukier11[[#This Row],[stan_magazynu]]-cukier11[[#This Row],[sprzedany_cukier]]</f>
        <v>4588</v>
      </c>
      <c r="I1199" s="9">
        <f>cukier11[[#This Row],[stan_po_sprzedazy]]+cukier11[[#This Row],[ile_dokupic]]*1000</f>
        <v>4588</v>
      </c>
    </row>
    <row r="1200" spans="1:9" x14ac:dyDescent="0.25">
      <c r="A1200" s="1">
        <v>40333</v>
      </c>
      <c r="B1200" t="s">
        <v>92</v>
      </c>
      <c r="C1200">
        <v>5</v>
      </c>
      <c r="D1200">
        <f>MONTH(cukier11[[#This Row],[data]])</f>
        <v>6</v>
      </c>
      <c r="E1200">
        <f>IF(D1201&lt;&gt;cukier11[[#This Row],[miesiac]],1,0)</f>
        <v>0</v>
      </c>
      <c r="F1200">
        <f>IF(AND(H1199&lt;5000,cukier11[[#This Row],[czy_nastapiła_zmiana_mies]]=1),ROUNDUP((5000-H1199)/1000,0),0)</f>
        <v>0</v>
      </c>
      <c r="G1200">
        <f t="shared" si="18"/>
        <v>4588</v>
      </c>
      <c r="H1200">
        <f>cukier11[[#This Row],[stan_magazynu]]-cukier11[[#This Row],[sprzedany_cukier]]</f>
        <v>4583</v>
      </c>
      <c r="I1200" s="9">
        <f>cukier11[[#This Row],[stan_po_sprzedazy]]+cukier11[[#This Row],[ile_dokupic]]*1000</f>
        <v>4583</v>
      </c>
    </row>
    <row r="1201" spans="1:9" x14ac:dyDescent="0.25">
      <c r="A1201" s="1">
        <v>40336</v>
      </c>
      <c r="B1201" t="s">
        <v>72</v>
      </c>
      <c r="C1201">
        <v>17</v>
      </c>
      <c r="D1201">
        <f>MONTH(cukier11[[#This Row],[data]])</f>
        <v>6</v>
      </c>
      <c r="E1201">
        <f>IF(D1202&lt;&gt;cukier11[[#This Row],[miesiac]],1,0)</f>
        <v>0</v>
      </c>
      <c r="F1201">
        <f>IF(AND(H1200&lt;5000,cukier11[[#This Row],[czy_nastapiła_zmiana_mies]]=1),ROUNDUP((5000-H1200)/1000,0),0)</f>
        <v>0</v>
      </c>
      <c r="G1201">
        <f t="shared" si="18"/>
        <v>4583</v>
      </c>
      <c r="H1201">
        <f>cukier11[[#This Row],[stan_magazynu]]-cukier11[[#This Row],[sprzedany_cukier]]</f>
        <v>4566</v>
      </c>
      <c r="I1201" s="9">
        <f>cukier11[[#This Row],[stan_po_sprzedazy]]+cukier11[[#This Row],[ile_dokupic]]*1000</f>
        <v>4566</v>
      </c>
    </row>
    <row r="1202" spans="1:9" x14ac:dyDescent="0.25">
      <c r="A1202" s="1">
        <v>40337</v>
      </c>
      <c r="B1202" t="s">
        <v>45</v>
      </c>
      <c r="C1202">
        <v>344</v>
      </c>
      <c r="D1202">
        <f>MONTH(cukier11[[#This Row],[data]])</f>
        <v>6</v>
      </c>
      <c r="E1202">
        <f>IF(D1203&lt;&gt;cukier11[[#This Row],[miesiac]],1,0)</f>
        <v>0</v>
      </c>
      <c r="F1202">
        <f>IF(AND(H1201&lt;5000,cukier11[[#This Row],[czy_nastapiła_zmiana_mies]]=1),ROUNDUP((5000-H1201)/1000,0),0)</f>
        <v>0</v>
      </c>
      <c r="G1202">
        <f t="shared" si="18"/>
        <v>4566</v>
      </c>
      <c r="H1202">
        <f>cukier11[[#This Row],[stan_magazynu]]-cukier11[[#This Row],[sprzedany_cukier]]</f>
        <v>4222</v>
      </c>
      <c r="I1202" s="9">
        <f>cukier11[[#This Row],[stan_po_sprzedazy]]+cukier11[[#This Row],[ile_dokupic]]*1000</f>
        <v>4222</v>
      </c>
    </row>
    <row r="1203" spans="1:9" x14ac:dyDescent="0.25">
      <c r="A1203" s="1">
        <v>40337</v>
      </c>
      <c r="B1203" t="s">
        <v>14</v>
      </c>
      <c r="C1203">
        <v>329</v>
      </c>
      <c r="D1203">
        <f>MONTH(cukier11[[#This Row],[data]])</f>
        <v>6</v>
      </c>
      <c r="E1203">
        <f>IF(D1204&lt;&gt;cukier11[[#This Row],[miesiac]],1,0)</f>
        <v>0</v>
      </c>
      <c r="F1203">
        <f>IF(AND(H1202&lt;5000,cukier11[[#This Row],[czy_nastapiła_zmiana_mies]]=1),ROUNDUP((5000-H1202)/1000,0),0)</f>
        <v>0</v>
      </c>
      <c r="G1203">
        <f t="shared" si="18"/>
        <v>4222</v>
      </c>
      <c r="H1203">
        <f>cukier11[[#This Row],[stan_magazynu]]-cukier11[[#This Row],[sprzedany_cukier]]</f>
        <v>3893</v>
      </c>
      <c r="I1203" s="9">
        <f>cukier11[[#This Row],[stan_po_sprzedazy]]+cukier11[[#This Row],[ile_dokupic]]*1000</f>
        <v>3893</v>
      </c>
    </row>
    <row r="1204" spans="1:9" x14ac:dyDescent="0.25">
      <c r="A1204" s="1">
        <v>40337</v>
      </c>
      <c r="B1204" t="s">
        <v>112</v>
      </c>
      <c r="C1204">
        <v>10</v>
      </c>
      <c r="D1204">
        <f>MONTH(cukier11[[#This Row],[data]])</f>
        <v>6</v>
      </c>
      <c r="E1204">
        <f>IF(D1205&lt;&gt;cukier11[[#This Row],[miesiac]],1,0)</f>
        <v>0</v>
      </c>
      <c r="F1204">
        <f>IF(AND(H1203&lt;5000,cukier11[[#This Row],[czy_nastapiła_zmiana_mies]]=1),ROUNDUP((5000-H1203)/1000,0),0)</f>
        <v>0</v>
      </c>
      <c r="G1204">
        <f t="shared" si="18"/>
        <v>3893</v>
      </c>
      <c r="H1204">
        <f>cukier11[[#This Row],[stan_magazynu]]-cukier11[[#This Row],[sprzedany_cukier]]</f>
        <v>3883</v>
      </c>
      <c r="I1204" s="9">
        <f>cukier11[[#This Row],[stan_po_sprzedazy]]+cukier11[[#This Row],[ile_dokupic]]*1000</f>
        <v>3883</v>
      </c>
    </row>
    <row r="1205" spans="1:9" x14ac:dyDescent="0.25">
      <c r="A1205" s="1">
        <v>40341</v>
      </c>
      <c r="B1205" t="s">
        <v>30</v>
      </c>
      <c r="C1205">
        <v>105</v>
      </c>
      <c r="D1205">
        <f>MONTH(cukier11[[#This Row],[data]])</f>
        <v>6</v>
      </c>
      <c r="E1205">
        <f>IF(D1206&lt;&gt;cukier11[[#This Row],[miesiac]],1,0)</f>
        <v>0</v>
      </c>
      <c r="F1205">
        <f>IF(AND(H1204&lt;5000,cukier11[[#This Row],[czy_nastapiła_zmiana_mies]]=1),ROUNDUP((5000-H1204)/1000,0),0)</f>
        <v>0</v>
      </c>
      <c r="G1205">
        <f t="shared" si="18"/>
        <v>3883</v>
      </c>
      <c r="H1205">
        <f>cukier11[[#This Row],[stan_magazynu]]-cukier11[[#This Row],[sprzedany_cukier]]</f>
        <v>3778</v>
      </c>
      <c r="I1205" s="9">
        <f>cukier11[[#This Row],[stan_po_sprzedazy]]+cukier11[[#This Row],[ile_dokupic]]*1000</f>
        <v>3778</v>
      </c>
    </row>
    <row r="1206" spans="1:9" x14ac:dyDescent="0.25">
      <c r="A1206" s="1">
        <v>40342</v>
      </c>
      <c r="B1206" t="s">
        <v>69</v>
      </c>
      <c r="C1206">
        <v>26</v>
      </c>
      <c r="D1206">
        <f>MONTH(cukier11[[#This Row],[data]])</f>
        <v>6</v>
      </c>
      <c r="E1206">
        <f>IF(D1207&lt;&gt;cukier11[[#This Row],[miesiac]],1,0)</f>
        <v>0</v>
      </c>
      <c r="F1206">
        <f>IF(AND(H1205&lt;5000,cukier11[[#This Row],[czy_nastapiła_zmiana_mies]]=1),ROUNDUP((5000-H1205)/1000,0),0)</f>
        <v>0</v>
      </c>
      <c r="G1206">
        <f t="shared" si="18"/>
        <v>3778</v>
      </c>
      <c r="H1206">
        <f>cukier11[[#This Row],[stan_magazynu]]-cukier11[[#This Row],[sprzedany_cukier]]</f>
        <v>3752</v>
      </c>
      <c r="I1206" s="9">
        <f>cukier11[[#This Row],[stan_po_sprzedazy]]+cukier11[[#This Row],[ile_dokupic]]*1000</f>
        <v>3752</v>
      </c>
    </row>
    <row r="1207" spans="1:9" x14ac:dyDescent="0.25">
      <c r="A1207" s="1">
        <v>40343</v>
      </c>
      <c r="B1207" t="s">
        <v>39</v>
      </c>
      <c r="C1207">
        <v>121</v>
      </c>
      <c r="D1207">
        <f>MONTH(cukier11[[#This Row],[data]])</f>
        <v>6</v>
      </c>
      <c r="E1207">
        <f>IF(D1208&lt;&gt;cukier11[[#This Row],[miesiac]],1,0)</f>
        <v>0</v>
      </c>
      <c r="F1207">
        <f>IF(AND(H1206&lt;5000,cukier11[[#This Row],[czy_nastapiła_zmiana_mies]]=1),ROUNDUP((5000-H1206)/1000,0),0)</f>
        <v>0</v>
      </c>
      <c r="G1207">
        <f t="shared" si="18"/>
        <v>3752</v>
      </c>
      <c r="H1207">
        <f>cukier11[[#This Row],[stan_magazynu]]-cukier11[[#This Row],[sprzedany_cukier]]</f>
        <v>3631</v>
      </c>
      <c r="I1207" s="9">
        <f>cukier11[[#This Row],[stan_po_sprzedazy]]+cukier11[[#This Row],[ile_dokupic]]*1000</f>
        <v>3631</v>
      </c>
    </row>
    <row r="1208" spans="1:9" x14ac:dyDescent="0.25">
      <c r="A1208" s="1">
        <v>40345</v>
      </c>
      <c r="B1208" t="s">
        <v>8</v>
      </c>
      <c r="C1208">
        <v>174</v>
      </c>
      <c r="D1208">
        <f>MONTH(cukier11[[#This Row],[data]])</f>
        <v>6</v>
      </c>
      <c r="E1208">
        <f>IF(D1209&lt;&gt;cukier11[[#This Row],[miesiac]],1,0)</f>
        <v>0</v>
      </c>
      <c r="F1208">
        <f>IF(AND(H1207&lt;5000,cukier11[[#This Row],[czy_nastapiła_zmiana_mies]]=1),ROUNDUP((5000-H1207)/1000,0),0)</f>
        <v>0</v>
      </c>
      <c r="G1208">
        <f t="shared" si="18"/>
        <v>3631</v>
      </c>
      <c r="H1208">
        <f>cukier11[[#This Row],[stan_magazynu]]-cukier11[[#This Row],[sprzedany_cukier]]</f>
        <v>3457</v>
      </c>
      <c r="I1208" s="9">
        <f>cukier11[[#This Row],[stan_po_sprzedazy]]+cukier11[[#This Row],[ile_dokupic]]*1000</f>
        <v>3457</v>
      </c>
    </row>
    <row r="1209" spans="1:9" x14ac:dyDescent="0.25">
      <c r="A1209" s="1">
        <v>40346</v>
      </c>
      <c r="B1209" t="s">
        <v>14</v>
      </c>
      <c r="C1209">
        <v>233</v>
      </c>
      <c r="D1209">
        <f>MONTH(cukier11[[#This Row],[data]])</f>
        <v>6</v>
      </c>
      <c r="E1209">
        <f>IF(D1210&lt;&gt;cukier11[[#This Row],[miesiac]],1,0)</f>
        <v>0</v>
      </c>
      <c r="F1209">
        <f>IF(AND(H1208&lt;5000,cukier11[[#This Row],[czy_nastapiła_zmiana_mies]]=1),ROUNDUP((5000-H1208)/1000,0),0)</f>
        <v>0</v>
      </c>
      <c r="G1209">
        <f t="shared" si="18"/>
        <v>3457</v>
      </c>
      <c r="H1209">
        <f>cukier11[[#This Row],[stan_magazynu]]-cukier11[[#This Row],[sprzedany_cukier]]</f>
        <v>3224</v>
      </c>
      <c r="I1209" s="9">
        <f>cukier11[[#This Row],[stan_po_sprzedazy]]+cukier11[[#This Row],[ile_dokupic]]*1000</f>
        <v>3224</v>
      </c>
    </row>
    <row r="1210" spans="1:9" x14ac:dyDescent="0.25">
      <c r="A1210" s="1">
        <v>40347</v>
      </c>
      <c r="B1210" t="s">
        <v>10</v>
      </c>
      <c r="C1210">
        <v>117</v>
      </c>
      <c r="D1210">
        <f>MONTH(cukier11[[#This Row],[data]])</f>
        <v>6</v>
      </c>
      <c r="E1210">
        <f>IF(D1211&lt;&gt;cukier11[[#This Row],[miesiac]],1,0)</f>
        <v>0</v>
      </c>
      <c r="F1210">
        <f>IF(AND(H1209&lt;5000,cukier11[[#This Row],[czy_nastapiła_zmiana_mies]]=1),ROUNDUP((5000-H1209)/1000,0),0)</f>
        <v>0</v>
      </c>
      <c r="G1210">
        <f t="shared" si="18"/>
        <v>3224</v>
      </c>
      <c r="H1210">
        <f>cukier11[[#This Row],[stan_magazynu]]-cukier11[[#This Row],[sprzedany_cukier]]</f>
        <v>3107</v>
      </c>
      <c r="I1210" s="9">
        <f>cukier11[[#This Row],[stan_po_sprzedazy]]+cukier11[[#This Row],[ile_dokupic]]*1000</f>
        <v>3107</v>
      </c>
    </row>
    <row r="1211" spans="1:9" x14ac:dyDescent="0.25">
      <c r="A1211" s="1">
        <v>40348</v>
      </c>
      <c r="B1211" t="s">
        <v>72</v>
      </c>
      <c r="C1211">
        <v>11</v>
      </c>
      <c r="D1211">
        <f>MONTH(cukier11[[#This Row],[data]])</f>
        <v>6</v>
      </c>
      <c r="E1211">
        <f>IF(D1212&lt;&gt;cukier11[[#This Row],[miesiac]],1,0)</f>
        <v>0</v>
      </c>
      <c r="F1211">
        <f>IF(AND(H1210&lt;5000,cukier11[[#This Row],[czy_nastapiła_zmiana_mies]]=1),ROUNDUP((5000-H1210)/1000,0),0)</f>
        <v>0</v>
      </c>
      <c r="G1211">
        <f t="shared" si="18"/>
        <v>3107</v>
      </c>
      <c r="H1211">
        <f>cukier11[[#This Row],[stan_magazynu]]-cukier11[[#This Row],[sprzedany_cukier]]</f>
        <v>3096</v>
      </c>
      <c r="I1211" s="9">
        <f>cukier11[[#This Row],[stan_po_sprzedazy]]+cukier11[[#This Row],[ile_dokupic]]*1000</f>
        <v>3096</v>
      </c>
    </row>
    <row r="1212" spans="1:9" x14ac:dyDescent="0.25">
      <c r="A1212" s="1">
        <v>40348</v>
      </c>
      <c r="B1212" t="s">
        <v>212</v>
      </c>
      <c r="C1212">
        <v>18</v>
      </c>
      <c r="D1212">
        <f>MONTH(cukier11[[#This Row],[data]])</f>
        <v>6</v>
      </c>
      <c r="E1212">
        <f>IF(D1213&lt;&gt;cukier11[[#This Row],[miesiac]],1,0)</f>
        <v>0</v>
      </c>
      <c r="F1212">
        <f>IF(AND(H1211&lt;5000,cukier11[[#This Row],[czy_nastapiła_zmiana_mies]]=1),ROUNDUP((5000-H1211)/1000,0),0)</f>
        <v>0</v>
      </c>
      <c r="G1212">
        <f t="shared" si="18"/>
        <v>3096</v>
      </c>
      <c r="H1212">
        <f>cukier11[[#This Row],[stan_magazynu]]-cukier11[[#This Row],[sprzedany_cukier]]</f>
        <v>3078</v>
      </c>
      <c r="I1212" s="9">
        <f>cukier11[[#This Row],[stan_po_sprzedazy]]+cukier11[[#This Row],[ile_dokupic]]*1000</f>
        <v>3078</v>
      </c>
    </row>
    <row r="1213" spans="1:9" x14ac:dyDescent="0.25">
      <c r="A1213" s="1">
        <v>40348</v>
      </c>
      <c r="B1213" t="s">
        <v>45</v>
      </c>
      <c r="C1213">
        <v>332</v>
      </c>
      <c r="D1213">
        <f>MONTH(cukier11[[#This Row],[data]])</f>
        <v>6</v>
      </c>
      <c r="E1213">
        <f>IF(D1214&lt;&gt;cukier11[[#This Row],[miesiac]],1,0)</f>
        <v>0</v>
      </c>
      <c r="F1213">
        <f>IF(AND(H1212&lt;5000,cukier11[[#This Row],[czy_nastapiła_zmiana_mies]]=1),ROUNDUP((5000-H1212)/1000,0),0)</f>
        <v>0</v>
      </c>
      <c r="G1213">
        <f t="shared" si="18"/>
        <v>3078</v>
      </c>
      <c r="H1213">
        <f>cukier11[[#This Row],[stan_magazynu]]-cukier11[[#This Row],[sprzedany_cukier]]</f>
        <v>2746</v>
      </c>
      <c r="I1213" s="9">
        <f>cukier11[[#This Row],[stan_po_sprzedazy]]+cukier11[[#This Row],[ile_dokupic]]*1000</f>
        <v>2746</v>
      </c>
    </row>
    <row r="1214" spans="1:9" x14ac:dyDescent="0.25">
      <c r="A1214" s="1">
        <v>40349</v>
      </c>
      <c r="B1214" t="s">
        <v>156</v>
      </c>
      <c r="C1214">
        <v>6</v>
      </c>
      <c r="D1214">
        <f>MONTH(cukier11[[#This Row],[data]])</f>
        <v>6</v>
      </c>
      <c r="E1214">
        <f>IF(D1215&lt;&gt;cukier11[[#This Row],[miesiac]],1,0)</f>
        <v>0</v>
      </c>
      <c r="F1214">
        <f>IF(AND(H1213&lt;5000,cukier11[[#This Row],[czy_nastapiła_zmiana_mies]]=1),ROUNDUP((5000-H1213)/1000,0),0)</f>
        <v>0</v>
      </c>
      <c r="G1214">
        <f t="shared" si="18"/>
        <v>2746</v>
      </c>
      <c r="H1214">
        <f>cukier11[[#This Row],[stan_magazynu]]-cukier11[[#This Row],[sprzedany_cukier]]</f>
        <v>2740</v>
      </c>
      <c r="I1214" s="9">
        <f>cukier11[[#This Row],[stan_po_sprzedazy]]+cukier11[[#This Row],[ile_dokupic]]*1000</f>
        <v>2740</v>
      </c>
    </row>
    <row r="1215" spans="1:9" x14ac:dyDescent="0.25">
      <c r="A1215" s="1">
        <v>40350</v>
      </c>
      <c r="B1215" t="s">
        <v>102</v>
      </c>
      <c r="C1215">
        <v>260</v>
      </c>
      <c r="D1215">
        <f>MONTH(cukier11[[#This Row],[data]])</f>
        <v>6</v>
      </c>
      <c r="E1215">
        <f>IF(D1216&lt;&gt;cukier11[[#This Row],[miesiac]],1,0)</f>
        <v>0</v>
      </c>
      <c r="F1215">
        <f>IF(AND(H1214&lt;5000,cukier11[[#This Row],[czy_nastapiła_zmiana_mies]]=1),ROUNDUP((5000-H1214)/1000,0),0)</f>
        <v>0</v>
      </c>
      <c r="G1215">
        <f t="shared" si="18"/>
        <v>2740</v>
      </c>
      <c r="H1215">
        <f>cukier11[[#This Row],[stan_magazynu]]-cukier11[[#This Row],[sprzedany_cukier]]</f>
        <v>2480</v>
      </c>
      <c r="I1215" s="9">
        <f>cukier11[[#This Row],[stan_po_sprzedazy]]+cukier11[[#This Row],[ile_dokupic]]*1000</f>
        <v>2480</v>
      </c>
    </row>
    <row r="1216" spans="1:9" x14ac:dyDescent="0.25">
      <c r="A1216" s="1">
        <v>40350</v>
      </c>
      <c r="B1216" t="s">
        <v>80</v>
      </c>
      <c r="C1216">
        <v>22</v>
      </c>
      <c r="D1216">
        <f>MONTH(cukier11[[#This Row],[data]])</f>
        <v>6</v>
      </c>
      <c r="E1216">
        <f>IF(D1217&lt;&gt;cukier11[[#This Row],[miesiac]],1,0)</f>
        <v>0</v>
      </c>
      <c r="F1216">
        <f>IF(AND(H1215&lt;5000,cukier11[[#This Row],[czy_nastapiła_zmiana_mies]]=1),ROUNDUP((5000-H1215)/1000,0),0)</f>
        <v>0</v>
      </c>
      <c r="G1216">
        <f t="shared" si="18"/>
        <v>2480</v>
      </c>
      <c r="H1216">
        <f>cukier11[[#This Row],[stan_magazynu]]-cukier11[[#This Row],[sprzedany_cukier]]</f>
        <v>2458</v>
      </c>
      <c r="I1216" s="9">
        <f>cukier11[[#This Row],[stan_po_sprzedazy]]+cukier11[[#This Row],[ile_dokupic]]*1000</f>
        <v>2458</v>
      </c>
    </row>
    <row r="1217" spans="1:9" x14ac:dyDescent="0.25">
      <c r="A1217" s="1">
        <v>40352</v>
      </c>
      <c r="B1217" t="s">
        <v>129</v>
      </c>
      <c r="C1217">
        <v>9</v>
      </c>
      <c r="D1217">
        <f>MONTH(cukier11[[#This Row],[data]])</f>
        <v>6</v>
      </c>
      <c r="E1217">
        <f>IF(D1218&lt;&gt;cukier11[[#This Row],[miesiac]],1,0)</f>
        <v>0</v>
      </c>
      <c r="F1217">
        <f>IF(AND(H1216&lt;5000,cukier11[[#This Row],[czy_nastapiła_zmiana_mies]]=1),ROUNDUP((5000-H1216)/1000,0),0)</f>
        <v>0</v>
      </c>
      <c r="G1217">
        <f t="shared" si="18"/>
        <v>2458</v>
      </c>
      <c r="H1217">
        <f>cukier11[[#This Row],[stan_magazynu]]-cukier11[[#This Row],[sprzedany_cukier]]</f>
        <v>2449</v>
      </c>
      <c r="I1217" s="9">
        <f>cukier11[[#This Row],[stan_po_sprzedazy]]+cukier11[[#This Row],[ile_dokupic]]*1000</f>
        <v>2449</v>
      </c>
    </row>
    <row r="1218" spans="1:9" x14ac:dyDescent="0.25">
      <c r="A1218" s="1">
        <v>40353</v>
      </c>
      <c r="B1218" t="s">
        <v>66</v>
      </c>
      <c r="C1218">
        <v>79</v>
      </c>
      <c r="D1218">
        <f>MONTH(cukier11[[#This Row],[data]])</f>
        <v>6</v>
      </c>
      <c r="E1218">
        <f>IF(D1219&lt;&gt;cukier11[[#This Row],[miesiac]],1,0)</f>
        <v>0</v>
      </c>
      <c r="F1218">
        <f>IF(AND(H1217&lt;5000,cukier11[[#This Row],[czy_nastapiła_zmiana_mies]]=1),ROUNDUP((5000-H1217)/1000,0),0)</f>
        <v>0</v>
      </c>
      <c r="G1218">
        <f t="shared" si="18"/>
        <v>2449</v>
      </c>
      <c r="H1218">
        <f>cukier11[[#This Row],[stan_magazynu]]-cukier11[[#This Row],[sprzedany_cukier]]</f>
        <v>2370</v>
      </c>
      <c r="I1218" s="9">
        <f>cukier11[[#This Row],[stan_po_sprzedazy]]+cukier11[[#This Row],[ile_dokupic]]*1000</f>
        <v>2370</v>
      </c>
    </row>
    <row r="1219" spans="1:9" x14ac:dyDescent="0.25">
      <c r="A1219" s="1">
        <v>40355</v>
      </c>
      <c r="B1219" t="s">
        <v>45</v>
      </c>
      <c r="C1219">
        <v>480</v>
      </c>
      <c r="D1219">
        <f>MONTH(cukier11[[#This Row],[data]])</f>
        <v>6</v>
      </c>
      <c r="E1219">
        <f>IF(D1220&lt;&gt;cukier11[[#This Row],[miesiac]],1,0)</f>
        <v>1</v>
      </c>
      <c r="F1219">
        <f>IF(AND(H1218&lt;5000,cukier11[[#This Row],[czy_nastapiła_zmiana_mies]]=1),ROUNDUP((5000-H1218)/1000,0),0)</f>
        <v>3</v>
      </c>
      <c r="G1219">
        <f t="shared" si="18"/>
        <v>2370</v>
      </c>
      <c r="H1219">
        <f>cukier11[[#This Row],[stan_magazynu]]-cukier11[[#This Row],[sprzedany_cukier]]</f>
        <v>1890</v>
      </c>
      <c r="I1219" s="9">
        <f>cukier11[[#This Row],[stan_po_sprzedazy]]+cukier11[[#This Row],[ile_dokupic]]*1000</f>
        <v>4890</v>
      </c>
    </row>
    <row r="1220" spans="1:9" x14ac:dyDescent="0.25">
      <c r="A1220" s="1">
        <v>40360</v>
      </c>
      <c r="B1220" t="s">
        <v>9</v>
      </c>
      <c r="C1220">
        <v>154</v>
      </c>
      <c r="D1220">
        <f>MONTH(cukier11[[#This Row],[data]])</f>
        <v>7</v>
      </c>
      <c r="E1220">
        <f>IF(D1221&lt;&gt;cukier11[[#This Row],[miesiac]],1,0)</f>
        <v>0</v>
      </c>
      <c r="F1220">
        <f>IF(AND(H1219&lt;5000,cukier11[[#This Row],[czy_nastapiła_zmiana_mies]]=1),ROUNDUP((5000-H1219)/1000,0),0)</f>
        <v>0</v>
      </c>
      <c r="G1220">
        <f t="shared" ref="G1220:G1283" si="19">I1219</f>
        <v>4890</v>
      </c>
      <c r="H1220">
        <f>cukier11[[#This Row],[stan_magazynu]]-cukier11[[#This Row],[sprzedany_cukier]]</f>
        <v>4736</v>
      </c>
      <c r="I1220" s="9">
        <f>cukier11[[#This Row],[stan_po_sprzedazy]]+cukier11[[#This Row],[ile_dokupic]]*1000</f>
        <v>4736</v>
      </c>
    </row>
    <row r="1221" spans="1:9" x14ac:dyDescent="0.25">
      <c r="A1221" s="1">
        <v>40360</v>
      </c>
      <c r="B1221" t="s">
        <v>35</v>
      </c>
      <c r="C1221">
        <v>170</v>
      </c>
      <c r="D1221">
        <f>MONTH(cukier11[[#This Row],[data]])</f>
        <v>7</v>
      </c>
      <c r="E1221">
        <f>IF(D1222&lt;&gt;cukier11[[#This Row],[miesiac]],1,0)</f>
        <v>0</v>
      </c>
      <c r="F1221">
        <f>IF(AND(H1220&lt;5000,cukier11[[#This Row],[czy_nastapiła_zmiana_mies]]=1),ROUNDUP((5000-H1220)/1000,0),0)</f>
        <v>0</v>
      </c>
      <c r="G1221">
        <f t="shared" si="19"/>
        <v>4736</v>
      </c>
      <c r="H1221">
        <f>cukier11[[#This Row],[stan_magazynu]]-cukier11[[#This Row],[sprzedany_cukier]]</f>
        <v>4566</v>
      </c>
      <c r="I1221" s="9">
        <f>cukier11[[#This Row],[stan_po_sprzedazy]]+cukier11[[#This Row],[ile_dokupic]]*1000</f>
        <v>4566</v>
      </c>
    </row>
    <row r="1222" spans="1:9" x14ac:dyDescent="0.25">
      <c r="A1222" s="1">
        <v>40361</v>
      </c>
      <c r="B1222" t="s">
        <v>213</v>
      </c>
      <c r="C1222">
        <v>13</v>
      </c>
      <c r="D1222">
        <f>MONTH(cukier11[[#This Row],[data]])</f>
        <v>7</v>
      </c>
      <c r="E1222">
        <f>IF(D1223&lt;&gt;cukier11[[#This Row],[miesiac]],1,0)</f>
        <v>0</v>
      </c>
      <c r="F1222">
        <f>IF(AND(H1221&lt;5000,cukier11[[#This Row],[czy_nastapiła_zmiana_mies]]=1),ROUNDUP((5000-H1221)/1000,0),0)</f>
        <v>0</v>
      </c>
      <c r="G1222">
        <f t="shared" si="19"/>
        <v>4566</v>
      </c>
      <c r="H1222">
        <f>cukier11[[#This Row],[stan_magazynu]]-cukier11[[#This Row],[sprzedany_cukier]]</f>
        <v>4553</v>
      </c>
      <c r="I1222" s="9">
        <f>cukier11[[#This Row],[stan_po_sprzedazy]]+cukier11[[#This Row],[ile_dokupic]]*1000</f>
        <v>4553</v>
      </c>
    </row>
    <row r="1223" spans="1:9" x14ac:dyDescent="0.25">
      <c r="A1223" s="1">
        <v>40364</v>
      </c>
      <c r="B1223" t="s">
        <v>18</v>
      </c>
      <c r="C1223">
        <v>29</v>
      </c>
      <c r="D1223">
        <f>MONTH(cukier11[[#This Row],[data]])</f>
        <v>7</v>
      </c>
      <c r="E1223">
        <f>IF(D1224&lt;&gt;cukier11[[#This Row],[miesiac]],1,0)</f>
        <v>0</v>
      </c>
      <c r="F1223">
        <f>IF(AND(H1222&lt;5000,cukier11[[#This Row],[czy_nastapiła_zmiana_mies]]=1),ROUNDUP((5000-H1222)/1000,0),0)</f>
        <v>0</v>
      </c>
      <c r="G1223">
        <f t="shared" si="19"/>
        <v>4553</v>
      </c>
      <c r="H1223">
        <f>cukier11[[#This Row],[stan_magazynu]]-cukier11[[#This Row],[sprzedany_cukier]]</f>
        <v>4524</v>
      </c>
      <c r="I1223" s="9">
        <f>cukier11[[#This Row],[stan_po_sprzedazy]]+cukier11[[#This Row],[ile_dokupic]]*1000</f>
        <v>4524</v>
      </c>
    </row>
    <row r="1224" spans="1:9" x14ac:dyDescent="0.25">
      <c r="A1224" s="1">
        <v>40366</v>
      </c>
      <c r="B1224" t="s">
        <v>19</v>
      </c>
      <c r="C1224">
        <v>80</v>
      </c>
      <c r="D1224">
        <f>MONTH(cukier11[[#This Row],[data]])</f>
        <v>7</v>
      </c>
      <c r="E1224">
        <f>IF(D1225&lt;&gt;cukier11[[#This Row],[miesiac]],1,0)</f>
        <v>0</v>
      </c>
      <c r="F1224">
        <f>IF(AND(H1223&lt;5000,cukier11[[#This Row],[czy_nastapiła_zmiana_mies]]=1),ROUNDUP((5000-H1223)/1000,0),0)</f>
        <v>0</v>
      </c>
      <c r="G1224">
        <f t="shared" si="19"/>
        <v>4524</v>
      </c>
      <c r="H1224">
        <f>cukier11[[#This Row],[stan_magazynu]]-cukier11[[#This Row],[sprzedany_cukier]]</f>
        <v>4444</v>
      </c>
      <c r="I1224" s="9">
        <f>cukier11[[#This Row],[stan_po_sprzedazy]]+cukier11[[#This Row],[ile_dokupic]]*1000</f>
        <v>4444</v>
      </c>
    </row>
    <row r="1225" spans="1:9" x14ac:dyDescent="0.25">
      <c r="A1225" s="1">
        <v>40370</v>
      </c>
      <c r="B1225" t="s">
        <v>176</v>
      </c>
      <c r="C1225">
        <v>20</v>
      </c>
      <c r="D1225">
        <f>MONTH(cukier11[[#This Row],[data]])</f>
        <v>7</v>
      </c>
      <c r="E1225">
        <f>IF(D1226&lt;&gt;cukier11[[#This Row],[miesiac]],1,0)</f>
        <v>0</v>
      </c>
      <c r="F1225">
        <f>IF(AND(H1224&lt;5000,cukier11[[#This Row],[czy_nastapiła_zmiana_mies]]=1),ROUNDUP((5000-H1224)/1000,0),0)</f>
        <v>0</v>
      </c>
      <c r="G1225">
        <f t="shared" si="19"/>
        <v>4444</v>
      </c>
      <c r="H1225">
        <f>cukier11[[#This Row],[stan_magazynu]]-cukier11[[#This Row],[sprzedany_cukier]]</f>
        <v>4424</v>
      </c>
      <c r="I1225" s="9">
        <f>cukier11[[#This Row],[stan_po_sprzedazy]]+cukier11[[#This Row],[ile_dokupic]]*1000</f>
        <v>4424</v>
      </c>
    </row>
    <row r="1226" spans="1:9" x14ac:dyDescent="0.25">
      <c r="A1226" s="1">
        <v>40370</v>
      </c>
      <c r="B1226" t="s">
        <v>9</v>
      </c>
      <c r="C1226">
        <v>401</v>
      </c>
      <c r="D1226">
        <f>MONTH(cukier11[[#This Row],[data]])</f>
        <v>7</v>
      </c>
      <c r="E1226">
        <f>IF(D1227&lt;&gt;cukier11[[#This Row],[miesiac]],1,0)</f>
        <v>0</v>
      </c>
      <c r="F1226">
        <f>IF(AND(H1225&lt;5000,cukier11[[#This Row],[czy_nastapiła_zmiana_mies]]=1),ROUNDUP((5000-H1225)/1000,0),0)</f>
        <v>0</v>
      </c>
      <c r="G1226">
        <f t="shared" si="19"/>
        <v>4424</v>
      </c>
      <c r="H1226">
        <f>cukier11[[#This Row],[stan_magazynu]]-cukier11[[#This Row],[sprzedany_cukier]]</f>
        <v>4023</v>
      </c>
      <c r="I1226" s="9">
        <f>cukier11[[#This Row],[stan_po_sprzedazy]]+cukier11[[#This Row],[ile_dokupic]]*1000</f>
        <v>4023</v>
      </c>
    </row>
    <row r="1227" spans="1:9" x14ac:dyDescent="0.25">
      <c r="A1227" s="1">
        <v>40372</v>
      </c>
      <c r="B1227" t="s">
        <v>39</v>
      </c>
      <c r="C1227">
        <v>134</v>
      </c>
      <c r="D1227">
        <f>MONTH(cukier11[[#This Row],[data]])</f>
        <v>7</v>
      </c>
      <c r="E1227">
        <f>IF(D1228&lt;&gt;cukier11[[#This Row],[miesiac]],1,0)</f>
        <v>0</v>
      </c>
      <c r="F1227">
        <f>IF(AND(H1226&lt;5000,cukier11[[#This Row],[czy_nastapiła_zmiana_mies]]=1),ROUNDUP((5000-H1226)/1000,0),0)</f>
        <v>0</v>
      </c>
      <c r="G1227">
        <f t="shared" si="19"/>
        <v>4023</v>
      </c>
      <c r="H1227">
        <f>cukier11[[#This Row],[stan_magazynu]]-cukier11[[#This Row],[sprzedany_cukier]]</f>
        <v>3889</v>
      </c>
      <c r="I1227" s="9">
        <f>cukier11[[#This Row],[stan_po_sprzedazy]]+cukier11[[#This Row],[ile_dokupic]]*1000</f>
        <v>3889</v>
      </c>
    </row>
    <row r="1228" spans="1:9" x14ac:dyDescent="0.25">
      <c r="A1228" s="1">
        <v>40374</v>
      </c>
      <c r="B1228" t="s">
        <v>37</v>
      </c>
      <c r="C1228">
        <v>107</v>
      </c>
      <c r="D1228">
        <f>MONTH(cukier11[[#This Row],[data]])</f>
        <v>7</v>
      </c>
      <c r="E1228">
        <f>IF(D1229&lt;&gt;cukier11[[#This Row],[miesiac]],1,0)</f>
        <v>0</v>
      </c>
      <c r="F1228">
        <f>IF(AND(H1227&lt;5000,cukier11[[#This Row],[czy_nastapiła_zmiana_mies]]=1),ROUNDUP((5000-H1227)/1000,0),0)</f>
        <v>0</v>
      </c>
      <c r="G1228">
        <f t="shared" si="19"/>
        <v>3889</v>
      </c>
      <c r="H1228">
        <f>cukier11[[#This Row],[stan_magazynu]]-cukier11[[#This Row],[sprzedany_cukier]]</f>
        <v>3782</v>
      </c>
      <c r="I1228" s="9">
        <f>cukier11[[#This Row],[stan_po_sprzedazy]]+cukier11[[#This Row],[ile_dokupic]]*1000</f>
        <v>3782</v>
      </c>
    </row>
    <row r="1229" spans="1:9" x14ac:dyDescent="0.25">
      <c r="A1229" s="1">
        <v>40379</v>
      </c>
      <c r="B1229" t="s">
        <v>10</v>
      </c>
      <c r="C1229">
        <v>30</v>
      </c>
      <c r="D1229">
        <f>MONTH(cukier11[[#This Row],[data]])</f>
        <v>7</v>
      </c>
      <c r="E1229">
        <f>IF(D1230&lt;&gt;cukier11[[#This Row],[miesiac]],1,0)</f>
        <v>0</v>
      </c>
      <c r="F1229">
        <f>IF(AND(H1228&lt;5000,cukier11[[#This Row],[czy_nastapiła_zmiana_mies]]=1),ROUNDUP((5000-H1228)/1000,0),0)</f>
        <v>0</v>
      </c>
      <c r="G1229">
        <f t="shared" si="19"/>
        <v>3782</v>
      </c>
      <c r="H1229">
        <f>cukier11[[#This Row],[stan_magazynu]]-cukier11[[#This Row],[sprzedany_cukier]]</f>
        <v>3752</v>
      </c>
      <c r="I1229" s="9">
        <f>cukier11[[#This Row],[stan_po_sprzedazy]]+cukier11[[#This Row],[ile_dokupic]]*1000</f>
        <v>3752</v>
      </c>
    </row>
    <row r="1230" spans="1:9" x14ac:dyDescent="0.25">
      <c r="A1230" s="1">
        <v>40381</v>
      </c>
      <c r="B1230" t="s">
        <v>24</v>
      </c>
      <c r="C1230">
        <v>138</v>
      </c>
      <c r="D1230">
        <f>MONTH(cukier11[[#This Row],[data]])</f>
        <v>7</v>
      </c>
      <c r="E1230">
        <f>IF(D1231&lt;&gt;cukier11[[#This Row],[miesiac]],1,0)</f>
        <v>0</v>
      </c>
      <c r="F1230">
        <f>IF(AND(H1229&lt;5000,cukier11[[#This Row],[czy_nastapiła_zmiana_mies]]=1),ROUNDUP((5000-H1229)/1000,0),0)</f>
        <v>0</v>
      </c>
      <c r="G1230">
        <f t="shared" si="19"/>
        <v>3752</v>
      </c>
      <c r="H1230">
        <f>cukier11[[#This Row],[stan_magazynu]]-cukier11[[#This Row],[sprzedany_cukier]]</f>
        <v>3614</v>
      </c>
      <c r="I1230" s="9">
        <f>cukier11[[#This Row],[stan_po_sprzedazy]]+cukier11[[#This Row],[ile_dokupic]]*1000</f>
        <v>3614</v>
      </c>
    </row>
    <row r="1231" spans="1:9" x14ac:dyDescent="0.25">
      <c r="A1231" s="1">
        <v>40382</v>
      </c>
      <c r="B1231" t="s">
        <v>22</v>
      </c>
      <c r="C1231">
        <v>404</v>
      </c>
      <c r="D1231">
        <f>MONTH(cukier11[[#This Row],[data]])</f>
        <v>7</v>
      </c>
      <c r="E1231">
        <f>IF(D1232&lt;&gt;cukier11[[#This Row],[miesiac]],1,0)</f>
        <v>0</v>
      </c>
      <c r="F1231">
        <f>IF(AND(H1230&lt;5000,cukier11[[#This Row],[czy_nastapiła_zmiana_mies]]=1),ROUNDUP((5000-H1230)/1000,0),0)</f>
        <v>0</v>
      </c>
      <c r="G1231">
        <f t="shared" si="19"/>
        <v>3614</v>
      </c>
      <c r="H1231">
        <f>cukier11[[#This Row],[stan_magazynu]]-cukier11[[#This Row],[sprzedany_cukier]]</f>
        <v>3210</v>
      </c>
      <c r="I1231" s="9">
        <f>cukier11[[#This Row],[stan_po_sprzedazy]]+cukier11[[#This Row],[ile_dokupic]]*1000</f>
        <v>3210</v>
      </c>
    </row>
    <row r="1232" spans="1:9" x14ac:dyDescent="0.25">
      <c r="A1232" s="1">
        <v>40386</v>
      </c>
      <c r="B1232" t="s">
        <v>37</v>
      </c>
      <c r="C1232">
        <v>117</v>
      </c>
      <c r="D1232">
        <f>MONTH(cukier11[[#This Row],[data]])</f>
        <v>7</v>
      </c>
      <c r="E1232">
        <f>IF(D1233&lt;&gt;cukier11[[#This Row],[miesiac]],1,0)</f>
        <v>0</v>
      </c>
      <c r="F1232">
        <f>IF(AND(H1231&lt;5000,cukier11[[#This Row],[czy_nastapiła_zmiana_mies]]=1),ROUNDUP((5000-H1231)/1000,0),0)</f>
        <v>0</v>
      </c>
      <c r="G1232">
        <f t="shared" si="19"/>
        <v>3210</v>
      </c>
      <c r="H1232">
        <f>cukier11[[#This Row],[stan_magazynu]]-cukier11[[#This Row],[sprzedany_cukier]]</f>
        <v>3093</v>
      </c>
      <c r="I1232" s="9">
        <f>cukier11[[#This Row],[stan_po_sprzedazy]]+cukier11[[#This Row],[ile_dokupic]]*1000</f>
        <v>3093</v>
      </c>
    </row>
    <row r="1233" spans="1:9" x14ac:dyDescent="0.25">
      <c r="A1233" s="1">
        <v>40389</v>
      </c>
      <c r="B1233" t="s">
        <v>9</v>
      </c>
      <c r="C1233">
        <v>124</v>
      </c>
      <c r="D1233">
        <f>MONTH(cukier11[[#This Row],[data]])</f>
        <v>7</v>
      </c>
      <c r="E1233">
        <f>IF(D1234&lt;&gt;cukier11[[#This Row],[miesiac]],1,0)</f>
        <v>0</v>
      </c>
      <c r="F1233">
        <f>IF(AND(H1232&lt;5000,cukier11[[#This Row],[czy_nastapiła_zmiana_mies]]=1),ROUNDUP((5000-H1232)/1000,0),0)</f>
        <v>0</v>
      </c>
      <c r="G1233">
        <f t="shared" si="19"/>
        <v>3093</v>
      </c>
      <c r="H1233">
        <f>cukier11[[#This Row],[stan_magazynu]]-cukier11[[#This Row],[sprzedany_cukier]]</f>
        <v>2969</v>
      </c>
      <c r="I1233" s="9">
        <f>cukier11[[#This Row],[stan_po_sprzedazy]]+cukier11[[#This Row],[ile_dokupic]]*1000</f>
        <v>2969</v>
      </c>
    </row>
    <row r="1234" spans="1:9" x14ac:dyDescent="0.25">
      <c r="A1234" s="1">
        <v>40390</v>
      </c>
      <c r="B1234" t="s">
        <v>52</v>
      </c>
      <c r="C1234">
        <v>155</v>
      </c>
      <c r="D1234">
        <f>MONTH(cukier11[[#This Row],[data]])</f>
        <v>7</v>
      </c>
      <c r="E1234">
        <f>IF(D1235&lt;&gt;cukier11[[#This Row],[miesiac]],1,0)</f>
        <v>1</v>
      </c>
      <c r="F1234">
        <f>IF(AND(H1233&lt;5000,cukier11[[#This Row],[czy_nastapiła_zmiana_mies]]=1),ROUNDUP((5000-H1233)/1000,0),0)</f>
        <v>3</v>
      </c>
      <c r="G1234">
        <f t="shared" si="19"/>
        <v>2969</v>
      </c>
      <c r="H1234">
        <f>cukier11[[#This Row],[stan_magazynu]]-cukier11[[#This Row],[sprzedany_cukier]]</f>
        <v>2814</v>
      </c>
      <c r="I1234" s="9">
        <f>cukier11[[#This Row],[stan_po_sprzedazy]]+cukier11[[#This Row],[ile_dokupic]]*1000</f>
        <v>5814</v>
      </c>
    </row>
    <row r="1235" spans="1:9" x14ac:dyDescent="0.25">
      <c r="A1235" s="1">
        <v>40391</v>
      </c>
      <c r="B1235" t="s">
        <v>28</v>
      </c>
      <c r="C1235">
        <v>161</v>
      </c>
      <c r="D1235">
        <f>MONTH(cukier11[[#This Row],[data]])</f>
        <v>8</v>
      </c>
      <c r="E1235">
        <f>IF(D1236&lt;&gt;cukier11[[#This Row],[miesiac]],1,0)</f>
        <v>0</v>
      </c>
      <c r="F1235">
        <f>IF(AND(H1234&lt;5000,cukier11[[#This Row],[czy_nastapiła_zmiana_mies]]=1),ROUNDUP((5000-H1234)/1000,0),0)</f>
        <v>0</v>
      </c>
      <c r="G1235">
        <f t="shared" si="19"/>
        <v>5814</v>
      </c>
      <c r="H1235">
        <f>cukier11[[#This Row],[stan_magazynu]]-cukier11[[#This Row],[sprzedany_cukier]]</f>
        <v>5653</v>
      </c>
      <c r="I1235" s="9">
        <f>cukier11[[#This Row],[stan_po_sprzedazy]]+cukier11[[#This Row],[ile_dokupic]]*1000</f>
        <v>5653</v>
      </c>
    </row>
    <row r="1236" spans="1:9" x14ac:dyDescent="0.25">
      <c r="A1236" s="1">
        <v>40395</v>
      </c>
      <c r="B1236" t="s">
        <v>12</v>
      </c>
      <c r="C1236">
        <v>80</v>
      </c>
      <c r="D1236">
        <f>MONTH(cukier11[[#This Row],[data]])</f>
        <v>8</v>
      </c>
      <c r="E1236">
        <f>IF(D1237&lt;&gt;cukier11[[#This Row],[miesiac]],1,0)</f>
        <v>0</v>
      </c>
      <c r="F1236">
        <f>IF(AND(H1235&lt;5000,cukier11[[#This Row],[czy_nastapiła_zmiana_mies]]=1),ROUNDUP((5000-H1235)/1000,0),0)</f>
        <v>0</v>
      </c>
      <c r="G1236">
        <f t="shared" si="19"/>
        <v>5653</v>
      </c>
      <c r="H1236">
        <f>cukier11[[#This Row],[stan_magazynu]]-cukier11[[#This Row],[sprzedany_cukier]]</f>
        <v>5573</v>
      </c>
      <c r="I1236" s="9">
        <f>cukier11[[#This Row],[stan_po_sprzedazy]]+cukier11[[#This Row],[ile_dokupic]]*1000</f>
        <v>5573</v>
      </c>
    </row>
    <row r="1237" spans="1:9" x14ac:dyDescent="0.25">
      <c r="A1237" s="1">
        <v>40395</v>
      </c>
      <c r="B1237" t="s">
        <v>172</v>
      </c>
      <c r="C1237">
        <v>9</v>
      </c>
      <c r="D1237">
        <f>MONTH(cukier11[[#This Row],[data]])</f>
        <v>8</v>
      </c>
      <c r="E1237">
        <f>IF(D1238&lt;&gt;cukier11[[#This Row],[miesiac]],1,0)</f>
        <v>0</v>
      </c>
      <c r="F1237">
        <f>IF(AND(H1236&lt;5000,cukier11[[#This Row],[czy_nastapiła_zmiana_mies]]=1),ROUNDUP((5000-H1236)/1000,0),0)</f>
        <v>0</v>
      </c>
      <c r="G1237">
        <f t="shared" si="19"/>
        <v>5573</v>
      </c>
      <c r="H1237">
        <f>cukier11[[#This Row],[stan_magazynu]]-cukier11[[#This Row],[sprzedany_cukier]]</f>
        <v>5564</v>
      </c>
      <c r="I1237" s="9">
        <f>cukier11[[#This Row],[stan_po_sprzedazy]]+cukier11[[#This Row],[ile_dokupic]]*1000</f>
        <v>5564</v>
      </c>
    </row>
    <row r="1238" spans="1:9" x14ac:dyDescent="0.25">
      <c r="A1238" s="1">
        <v>40396</v>
      </c>
      <c r="B1238" t="s">
        <v>12</v>
      </c>
      <c r="C1238">
        <v>160</v>
      </c>
      <c r="D1238">
        <f>MONTH(cukier11[[#This Row],[data]])</f>
        <v>8</v>
      </c>
      <c r="E1238">
        <f>IF(D1239&lt;&gt;cukier11[[#This Row],[miesiac]],1,0)</f>
        <v>0</v>
      </c>
      <c r="F1238">
        <f>IF(AND(H1237&lt;5000,cukier11[[#This Row],[czy_nastapiła_zmiana_mies]]=1),ROUNDUP((5000-H1237)/1000,0),0)</f>
        <v>0</v>
      </c>
      <c r="G1238">
        <f t="shared" si="19"/>
        <v>5564</v>
      </c>
      <c r="H1238">
        <f>cukier11[[#This Row],[stan_magazynu]]-cukier11[[#This Row],[sprzedany_cukier]]</f>
        <v>5404</v>
      </c>
      <c r="I1238" s="9">
        <f>cukier11[[#This Row],[stan_po_sprzedazy]]+cukier11[[#This Row],[ile_dokupic]]*1000</f>
        <v>5404</v>
      </c>
    </row>
    <row r="1239" spans="1:9" x14ac:dyDescent="0.25">
      <c r="A1239" s="1">
        <v>40399</v>
      </c>
      <c r="B1239" t="s">
        <v>113</v>
      </c>
      <c r="C1239">
        <v>18</v>
      </c>
      <c r="D1239">
        <f>MONTH(cukier11[[#This Row],[data]])</f>
        <v>8</v>
      </c>
      <c r="E1239">
        <f>IF(D1240&lt;&gt;cukier11[[#This Row],[miesiac]],1,0)</f>
        <v>0</v>
      </c>
      <c r="F1239">
        <f>IF(AND(H1238&lt;5000,cukier11[[#This Row],[czy_nastapiła_zmiana_mies]]=1),ROUNDUP((5000-H1238)/1000,0),0)</f>
        <v>0</v>
      </c>
      <c r="G1239">
        <f t="shared" si="19"/>
        <v>5404</v>
      </c>
      <c r="H1239">
        <f>cukier11[[#This Row],[stan_magazynu]]-cukier11[[#This Row],[sprzedany_cukier]]</f>
        <v>5386</v>
      </c>
      <c r="I1239" s="9">
        <f>cukier11[[#This Row],[stan_po_sprzedazy]]+cukier11[[#This Row],[ile_dokupic]]*1000</f>
        <v>5386</v>
      </c>
    </row>
    <row r="1240" spans="1:9" x14ac:dyDescent="0.25">
      <c r="A1240" s="1">
        <v>40401</v>
      </c>
      <c r="B1240" t="s">
        <v>10</v>
      </c>
      <c r="C1240">
        <v>150</v>
      </c>
      <c r="D1240">
        <f>MONTH(cukier11[[#This Row],[data]])</f>
        <v>8</v>
      </c>
      <c r="E1240">
        <f>IF(D1241&lt;&gt;cukier11[[#This Row],[miesiac]],1,0)</f>
        <v>0</v>
      </c>
      <c r="F1240">
        <f>IF(AND(H1239&lt;5000,cukier11[[#This Row],[czy_nastapiła_zmiana_mies]]=1),ROUNDUP((5000-H1239)/1000,0),0)</f>
        <v>0</v>
      </c>
      <c r="G1240">
        <f t="shared" si="19"/>
        <v>5386</v>
      </c>
      <c r="H1240">
        <f>cukier11[[#This Row],[stan_magazynu]]-cukier11[[#This Row],[sprzedany_cukier]]</f>
        <v>5236</v>
      </c>
      <c r="I1240" s="9">
        <f>cukier11[[#This Row],[stan_po_sprzedazy]]+cukier11[[#This Row],[ile_dokupic]]*1000</f>
        <v>5236</v>
      </c>
    </row>
    <row r="1241" spans="1:9" x14ac:dyDescent="0.25">
      <c r="A1241" s="1">
        <v>40405</v>
      </c>
      <c r="B1241" t="s">
        <v>214</v>
      </c>
      <c r="C1241">
        <v>16</v>
      </c>
      <c r="D1241">
        <f>MONTH(cukier11[[#This Row],[data]])</f>
        <v>8</v>
      </c>
      <c r="E1241">
        <f>IF(D1242&lt;&gt;cukier11[[#This Row],[miesiac]],1,0)</f>
        <v>0</v>
      </c>
      <c r="F1241">
        <f>IF(AND(H1240&lt;5000,cukier11[[#This Row],[czy_nastapiła_zmiana_mies]]=1),ROUNDUP((5000-H1240)/1000,0),0)</f>
        <v>0</v>
      </c>
      <c r="G1241">
        <f t="shared" si="19"/>
        <v>5236</v>
      </c>
      <c r="H1241">
        <f>cukier11[[#This Row],[stan_magazynu]]-cukier11[[#This Row],[sprzedany_cukier]]</f>
        <v>5220</v>
      </c>
      <c r="I1241" s="9">
        <f>cukier11[[#This Row],[stan_po_sprzedazy]]+cukier11[[#This Row],[ile_dokupic]]*1000</f>
        <v>5220</v>
      </c>
    </row>
    <row r="1242" spans="1:9" x14ac:dyDescent="0.25">
      <c r="A1242" s="1">
        <v>40412</v>
      </c>
      <c r="B1242" t="s">
        <v>69</v>
      </c>
      <c r="C1242">
        <v>158</v>
      </c>
      <c r="D1242">
        <f>MONTH(cukier11[[#This Row],[data]])</f>
        <v>8</v>
      </c>
      <c r="E1242">
        <f>IF(D1243&lt;&gt;cukier11[[#This Row],[miesiac]],1,0)</f>
        <v>0</v>
      </c>
      <c r="F1242">
        <f>IF(AND(H1241&lt;5000,cukier11[[#This Row],[czy_nastapiła_zmiana_mies]]=1),ROUNDUP((5000-H1241)/1000,0),0)</f>
        <v>0</v>
      </c>
      <c r="G1242">
        <f t="shared" si="19"/>
        <v>5220</v>
      </c>
      <c r="H1242">
        <f>cukier11[[#This Row],[stan_magazynu]]-cukier11[[#This Row],[sprzedany_cukier]]</f>
        <v>5062</v>
      </c>
      <c r="I1242" s="9">
        <f>cukier11[[#This Row],[stan_po_sprzedazy]]+cukier11[[#This Row],[ile_dokupic]]*1000</f>
        <v>5062</v>
      </c>
    </row>
    <row r="1243" spans="1:9" x14ac:dyDescent="0.25">
      <c r="A1243" s="1">
        <v>40414</v>
      </c>
      <c r="B1243" t="s">
        <v>61</v>
      </c>
      <c r="C1243">
        <v>29</v>
      </c>
      <c r="D1243">
        <f>MONTH(cukier11[[#This Row],[data]])</f>
        <v>8</v>
      </c>
      <c r="E1243">
        <f>IF(D1244&lt;&gt;cukier11[[#This Row],[miesiac]],1,0)</f>
        <v>1</v>
      </c>
      <c r="F1243">
        <f>IF(AND(H1242&lt;5000,cukier11[[#This Row],[czy_nastapiła_zmiana_mies]]=1),ROUNDUP((5000-H1242)/1000,0),0)</f>
        <v>0</v>
      </c>
      <c r="G1243">
        <f t="shared" si="19"/>
        <v>5062</v>
      </c>
      <c r="H1243">
        <f>cukier11[[#This Row],[stan_magazynu]]-cukier11[[#This Row],[sprzedany_cukier]]</f>
        <v>5033</v>
      </c>
      <c r="I1243" s="9">
        <f>cukier11[[#This Row],[stan_po_sprzedazy]]+cukier11[[#This Row],[ile_dokupic]]*1000</f>
        <v>5033</v>
      </c>
    </row>
    <row r="1244" spans="1:9" x14ac:dyDescent="0.25">
      <c r="A1244" s="1">
        <v>40423</v>
      </c>
      <c r="B1244" t="s">
        <v>106</v>
      </c>
      <c r="C1244">
        <v>6</v>
      </c>
      <c r="D1244">
        <f>MONTH(cukier11[[#This Row],[data]])</f>
        <v>9</v>
      </c>
      <c r="E1244">
        <f>IF(D1245&lt;&gt;cukier11[[#This Row],[miesiac]],1,0)</f>
        <v>0</v>
      </c>
      <c r="F1244">
        <f>IF(AND(H1243&lt;5000,cukier11[[#This Row],[czy_nastapiła_zmiana_mies]]=1),ROUNDUP((5000-H1243)/1000,0),0)</f>
        <v>0</v>
      </c>
      <c r="G1244">
        <f t="shared" si="19"/>
        <v>5033</v>
      </c>
      <c r="H1244">
        <f>cukier11[[#This Row],[stan_magazynu]]-cukier11[[#This Row],[sprzedany_cukier]]</f>
        <v>5027</v>
      </c>
      <c r="I1244" s="9">
        <f>cukier11[[#This Row],[stan_po_sprzedazy]]+cukier11[[#This Row],[ile_dokupic]]*1000</f>
        <v>5027</v>
      </c>
    </row>
    <row r="1245" spans="1:9" x14ac:dyDescent="0.25">
      <c r="A1245" s="1">
        <v>40423</v>
      </c>
      <c r="B1245" t="s">
        <v>9</v>
      </c>
      <c r="C1245">
        <v>489</v>
      </c>
      <c r="D1245">
        <f>MONTH(cukier11[[#This Row],[data]])</f>
        <v>9</v>
      </c>
      <c r="E1245">
        <f>IF(D1246&lt;&gt;cukier11[[#This Row],[miesiac]],1,0)</f>
        <v>0</v>
      </c>
      <c r="F1245">
        <f>IF(AND(H1244&lt;5000,cukier11[[#This Row],[czy_nastapiła_zmiana_mies]]=1),ROUNDUP((5000-H1244)/1000,0),0)</f>
        <v>0</v>
      </c>
      <c r="G1245">
        <f t="shared" si="19"/>
        <v>5027</v>
      </c>
      <c r="H1245">
        <f>cukier11[[#This Row],[stan_magazynu]]-cukier11[[#This Row],[sprzedany_cukier]]</f>
        <v>4538</v>
      </c>
      <c r="I1245" s="9">
        <f>cukier11[[#This Row],[stan_po_sprzedazy]]+cukier11[[#This Row],[ile_dokupic]]*1000</f>
        <v>4538</v>
      </c>
    </row>
    <row r="1246" spans="1:9" x14ac:dyDescent="0.25">
      <c r="A1246" s="1">
        <v>40425</v>
      </c>
      <c r="B1246" t="s">
        <v>35</v>
      </c>
      <c r="C1246">
        <v>200</v>
      </c>
      <c r="D1246">
        <f>MONTH(cukier11[[#This Row],[data]])</f>
        <v>9</v>
      </c>
      <c r="E1246">
        <f>IF(D1247&lt;&gt;cukier11[[#This Row],[miesiac]],1,0)</f>
        <v>0</v>
      </c>
      <c r="F1246">
        <f>IF(AND(H1245&lt;5000,cukier11[[#This Row],[czy_nastapiła_zmiana_mies]]=1),ROUNDUP((5000-H1245)/1000,0),0)</f>
        <v>0</v>
      </c>
      <c r="G1246">
        <f t="shared" si="19"/>
        <v>4538</v>
      </c>
      <c r="H1246">
        <f>cukier11[[#This Row],[stan_magazynu]]-cukier11[[#This Row],[sprzedany_cukier]]</f>
        <v>4338</v>
      </c>
      <c r="I1246" s="9">
        <f>cukier11[[#This Row],[stan_po_sprzedazy]]+cukier11[[#This Row],[ile_dokupic]]*1000</f>
        <v>4338</v>
      </c>
    </row>
    <row r="1247" spans="1:9" x14ac:dyDescent="0.25">
      <c r="A1247" s="1">
        <v>40427</v>
      </c>
      <c r="B1247" t="s">
        <v>10</v>
      </c>
      <c r="C1247">
        <v>28</v>
      </c>
      <c r="D1247">
        <f>MONTH(cukier11[[#This Row],[data]])</f>
        <v>9</v>
      </c>
      <c r="E1247">
        <f>IF(D1248&lt;&gt;cukier11[[#This Row],[miesiac]],1,0)</f>
        <v>0</v>
      </c>
      <c r="F1247">
        <f>IF(AND(H1246&lt;5000,cukier11[[#This Row],[czy_nastapiła_zmiana_mies]]=1),ROUNDUP((5000-H1246)/1000,0),0)</f>
        <v>0</v>
      </c>
      <c r="G1247">
        <f t="shared" si="19"/>
        <v>4338</v>
      </c>
      <c r="H1247">
        <f>cukier11[[#This Row],[stan_magazynu]]-cukier11[[#This Row],[sprzedany_cukier]]</f>
        <v>4310</v>
      </c>
      <c r="I1247" s="9">
        <f>cukier11[[#This Row],[stan_po_sprzedazy]]+cukier11[[#This Row],[ile_dokupic]]*1000</f>
        <v>4310</v>
      </c>
    </row>
    <row r="1248" spans="1:9" x14ac:dyDescent="0.25">
      <c r="A1248" s="1">
        <v>40431</v>
      </c>
      <c r="B1248" t="s">
        <v>10</v>
      </c>
      <c r="C1248">
        <v>28</v>
      </c>
      <c r="D1248">
        <f>MONTH(cukier11[[#This Row],[data]])</f>
        <v>9</v>
      </c>
      <c r="E1248">
        <f>IF(D1249&lt;&gt;cukier11[[#This Row],[miesiac]],1,0)</f>
        <v>0</v>
      </c>
      <c r="F1248">
        <f>IF(AND(H1247&lt;5000,cukier11[[#This Row],[czy_nastapiła_zmiana_mies]]=1),ROUNDUP((5000-H1247)/1000,0),0)</f>
        <v>0</v>
      </c>
      <c r="G1248">
        <f t="shared" si="19"/>
        <v>4310</v>
      </c>
      <c r="H1248">
        <f>cukier11[[#This Row],[stan_magazynu]]-cukier11[[#This Row],[sprzedany_cukier]]</f>
        <v>4282</v>
      </c>
      <c r="I1248" s="9">
        <f>cukier11[[#This Row],[stan_po_sprzedazy]]+cukier11[[#This Row],[ile_dokupic]]*1000</f>
        <v>4282</v>
      </c>
    </row>
    <row r="1249" spans="1:9" x14ac:dyDescent="0.25">
      <c r="A1249" s="1">
        <v>40432</v>
      </c>
      <c r="B1249" t="s">
        <v>9</v>
      </c>
      <c r="C1249">
        <v>297</v>
      </c>
      <c r="D1249">
        <f>MONTH(cukier11[[#This Row],[data]])</f>
        <v>9</v>
      </c>
      <c r="E1249">
        <f>IF(D1250&lt;&gt;cukier11[[#This Row],[miesiac]],1,0)</f>
        <v>0</v>
      </c>
      <c r="F1249">
        <f>IF(AND(H1248&lt;5000,cukier11[[#This Row],[czy_nastapiła_zmiana_mies]]=1),ROUNDUP((5000-H1248)/1000,0),0)</f>
        <v>0</v>
      </c>
      <c r="G1249">
        <f t="shared" si="19"/>
        <v>4282</v>
      </c>
      <c r="H1249">
        <f>cukier11[[#This Row],[stan_magazynu]]-cukier11[[#This Row],[sprzedany_cukier]]</f>
        <v>3985</v>
      </c>
      <c r="I1249" s="9">
        <f>cukier11[[#This Row],[stan_po_sprzedazy]]+cukier11[[#This Row],[ile_dokupic]]*1000</f>
        <v>3985</v>
      </c>
    </row>
    <row r="1250" spans="1:9" x14ac:dyDescent="0.25">
      <c r="A1250" s="1">
        <v>40434</v>
      </c>
      <c r="B1250" t="s">
        <v>17</v>
      </c>
      <c r="C1250">
        <v>227</v>
      </c>
      <c r="D1250">
        <f>MONTH(cukier11[[#This Row],[data]])</f>
        <v>9</v>
      </c>
      <c r="E1250">
        <f>IF(D1251&lt;&gt;cukier11[[#This Row],[miesiac]],1,0)</f>
        <v>0</v>
      </c>
      <c r="F1250">
        <f>IF(AND(H1249&lt;5000,cukier11[[#This Row],[czy_nastapiła_zmiana_mies]]=1),ROUNDUP((5000-H1249)/1000,0),0)</f>
        <v>0</v>
      </c>
      <c r="G1250">
        <f t="shared" si="19"/>
        <v>3985</v>
      </c>
      <c r="H1250">
        <f>cukier11[[#This Row],[stan_magazynu]]-cukier11[[#This Row],[sprzedany_cukier]]</f>
        <v>3758</v>
      </c>
      <c r="I1250" s="9">
        <f>cukier11[[#This Row],[stan_po_sprzedazy]]+cukier11[[#This Row],[ile_dokupic]]*1000</f>
        <v>3758</v>
      </c>
    </row>
    <row r="1251" spans="1:9" x14ac:dyDescent="0.25">
      <c r="A1251" s="1">
        <v>40434</v>
      </c>
      <c r="B1251" t="s">
        <v>140</v>
      </c>
      <c r="C1251">
        <v>14</v>
      </c>
      <c r="D1251">
        <f>MONTH(cukier11[[#This Row],[data]])</f>
        <v>9</v>
      </c>
      <c r="E1251">
        <f>IF(D1252&lt;&gt;cukier11[[#This Row],[miesiac]],1,0)</f>
        <v>0</v>
      </c>
      <c r="F1251">
        <f>IF(AND(H1250&lt;5000,cukier11[[#This Row],[czy_nastapiła_zmiana_mies]]=1),ROUNDUP((5000-H1250)/1000,0),0)</f>
        <v>0</v>
      </c>
      <c r="G1251">
        <f t="shared" si="19"/>
        <v>3758</v>
      </c>
      <c r="H1251">
        <f>cukier11[[#This Row],[stan_magazynu]]-cukier11[[#This Row],[sprzedany_cukier]]</f>
        <v>3744</v>
      </c>
      <c r="I1251" s="9">
        <f>cukier11[[#This Row],[stan_po_sprzedazy]]+cukier11[[#This Row],[ile_dokupic]]*1000</f>
        <v>3744</v>
      </c>
    </row>
    <row r="1252" spans="1:9" x14ac:dyDescent="0.25">
      <c r="A1252" s="1">
        <v>40437</v>
      </c>
      <c r="B1252" t="s">
        <v>98</v>
      </c>
      <c r="C1252">
        <v>20</v>
      </c>
      <c r="D1252">
        <f>MONTH(cukier11[[#This Row],[data]])</f>
        <v>9</v>
      </c>
      <c r="E1252">
        <f>IF(D1253&lt;&gt;cukier11[[#This Row],[miesiac]],1,0)</f>
        <v>0</v>
      </c>
      <c r="F1252">
        <f>IF(AND(H1251&lt;5000,cukier11[[#This Row],[czy_nastapiła_zmiana_mies]]=1),ROUNDUP((5000-H1251)/1000,0),0)</f>
        <v>0</v>
      </c>
      <c r="G1252">
        <f t="shared" si="19"/>
        <v>3744</v>
      </c>
      <c r="H1252">
        <f>cukier11[[#This Row],[stan_magazynu]]-cukier11[[#This Row],[sprzedany_cukier]]</f>
        <v>3724</v>
      </c>
      <c r="I1252" s="9">
        <f>cukier11[[#This Row],[stan_po_sprzedazy]]+cukier11[[#This Row],[ile_dokupic]]*1000</f>
        <v>3724</v>
      </c>
    </row>
    <row r="1253" spans="1:9" x14ac:dyDescent="0.25">
      <c r="A1253" s="1">
        <v>40439</v>
      </c>
      <c r="B1253" t="s">
        <v>63</v>
      </c>
      <c r="C1253">
        <v>194</v>
      </c>
      <c r="D1253">
        <f>MONTH(cukier11[[#This Row],[data]])</f>
        <v>9</v>
      </c>
      <c r="E1253">
        <f>IF(D1254&lt;&gt;cukier11[[#This Row],[miesiac]],1,0)</f>
        <v>0</v>
      </c>
      <c r="F1253">
        <f>IF(AND(H1252&lt;5000,cukier11[[#This Row],[czy_nastapiła_zmiana_mies]]=1),ROUNDUP((5000-H1252)/1000,0),0)</f>
        <v>0</v>
      </c>
      <c r="G1253">
        <f t="shared" si="19"/>
        <v>3724</v>
      </c>
      <c r="H1253">
        <f>cukier11[[#This Row],[stan_magazynu]]-cukier11[[#This Row],[sprzedany_cukier]]</f>
        <v>3530</v>
      </c>
      <c r="I1253" s="9">
        <f>cukier11[[#This Row],[stan_po_sprzedazy]]+cukier11[[#This Row],[ile_dokupic]]*1000</f>
        <v>3530</v>
      </c>
    </row>
    <row r="1254" spans="1:9" x14ac:dyDescent="0.25">
      <c r="A1254" s="1">
        <v>40439</v>
      </c>
      <c r="B1254" t="s">
        <v>35</v>
      </c>
      <c r="C1254">
        <v>58</v>
      </c>
      <c r="D1254">
        <f>MONTH(cukier11[[#This Row],[data]])</f>
        <v>9</v>
      </c>
      <c r="E1254">
        <f>IF(D1255&lt;&gt;cukier11[[#This Row],[miesiac]],1,0)</f>
        <v>0</v>
      </c>
      <c r="F1254">
        <f>IF(AND(H1253&lt;5000,cukier11[[#This Row],[czy_nastapiła_zmiana_mies]]=1),ROUNDUP((5000-H1253)/1000,0),0)</f>
        <v>0</v>
      </c>
      <c r="G1254">
        <f t="shared" si="19"/>
        <v>3530</v>
      </c>
      <c r="H1254">
        <f>cukier11[[#This Row],[stan_magazynu]]-cukier11[[#This Row],[sprzedany_cukier]]</f>
        <v>3472</v>
      </c>
      <c r="I1254" s="9">
        <f>cukier11[[#This Row],[stan_po_sprzedazy]]+cukier11[[#This Row],[ile_dokupic]]*1000</f>
        <v>3472</v>
      </c>
    </row>
    <row r="1255" spans="1:9" x14ac:dyDescent="0.25">
      <c r="A1255" s="1">
        <v>40440</v>
      </c>
      <c r="B1255" t="s">
        <v>66</v>
      </c>
      <c r="C1255">
        <v>30</v>
      </c>
      <c r="D1255">
        <f>MONTH(cukier11[[#This Row],[data]])</f>
        <v>9</v>
      </c>
      <c r="E1255">
        <f>IF(D1256&lt;&gt;cukier11[[#This Row],[miesiac]],1,0)</f>
        <v>0</v>
      </c>
      <c r="F1255">
        <f>IF(AND(H1254&lt;5000,cukier11[[#This Row],[czy_nastapiła_zmiana_mies]]=1),ROUNDUP((5000-H1254)/1000,0),0)</f>
        <v>0</v>
      </c>
      <c r="G1255">
        <f t="shared" si="19"/>
        <v>3472</v>
      </c>
      <c r="H1255">
        <f>cukier11[[#This Row],[stan_magazynu]]-cukier11[[#This Row],[sprzedany_cukier]]</f>
        <v>3442</v>
      </c>
      <c r="I1255" s="9">
        <f>cukier11[[#This Row],[stan_po_sprzedazy]]+cukier11[[#This Row],[ile_dokupic]]*1000</f>
        <v>3442</v>
      </c>
    </row>
    <row r="1256" spans="1:9" x14ac:dyDescent="0.25">
      <c r="A1256" s="1">
        <v>40440</v>
      </c>
      <c r="B1256" t="s">
        <v>17</v>
      </c>
      <c r="C1256">
        <v>159</v>
      </c>
      <c r="D1256">
        <f>MONTH(cukier11[[#This Row],[data]])</f>
        <v>9</v>
      </c>
      <c r="E1256">
        <f>IF(D1257&lt;&gt;cukier11[[#This Row],[miesiac]],1,0)</f>
        <v>0</v>
      </c>
      <c r="F1256">
        <f>IF(AND(H1255&lt;5000,cukier11[[#This Row],[czy_nastapiła_zmiana_mies]]=1),ROUNDUP((5000-H1255)/1000,0),0)</f>
        <v>0</v>
      </c>
      <c r="G1256">
        <f t="shared" si="19"/>
        <v>3442</v>
      </c>
      <c r="H1256">
        <f>cukier11[[#This Row],[stan_magazynu]]-cukier11[[#This Row],[sprzedany_cukier]]</f>
        <v>3283</v>
      </c>
      <c r="I1256" s="9">
        <f>cukier11[[#This Row],[stan_po_sprzedazy]]+cukier11[[#This Row],[ile_dokupic]]*1000</f>
        <v>3283</v>
      </c>
    </row>
    <row r="1257" spans="1:9" x14ac:dyDescent="0.25">
      <c r="A1257" s="1">
        <v>40443</v>
      </c>
      <c r="B1257" t="s">
        <v>22</v>
      </c>
      <c r="C1257">
        <v>279</v>
      </c>
      <c r="D1257">
        <f>MONTH(cukier11[[#This Row],[data]])</f>
        <v>9</v>
      </c>
      <c r="E1257">
        <f>IF(D1258&lt;&gt;cukier11[[#This Row],[miesiac]],1,0)</f>
        <v>0</v>
      </c>
      <c r="F1257">
        <f>IF(AND(H1256&lt;5000,cukier11[[#This Row],[czy_nastapiła_zmiana_mies]]=1),ROUNDUP((5000-H1256)/1000,0),0)</f>
        <v>0</v>
      </c>
      <c r="G1257">
        <f t="shared" si="19"/>
        <v>3283</v>
      </c>
      <c r="H1257">
        <f>cukier11[[#This Row],[stan_magazynu]]-cukier11[[#This Row],[sprzedany_cukier]]</f>
        <v>3004</v>
      </c>
      <c r="I1257" s="9">
        <f>cukier11[[#This Row],[stan_po_sprzedazy]]+cukier11[[#This Row],[ile_dokupic]]*1000</f>
        <v>3004</v>
      </c>
    </row>
    <row r="1258" spans="1:9" x14ac:dyDescent="0.25">
      <c r="A1258" s="1">
        <v>40444</v>
      </c>
      <c r="B1258" t="s">
        <v>26</v>
      </c>
      <c r="C1258">
        <v>38</v>
      </c>
      <c r="D1258">
        <f>MONTH(cukier11[[#This Row],[data]])</f>
        <v>9</v>
      </c>
      <c r="E1258">
        <f>IF(D1259&lt;&gt;cukier11[[#This Row],[miesiac]],1,0)</f>
        <v>0</v>
      </c>
      <c r="F1258">
        <f>IF(AND(H1257&lt;5000,cukier11[[#This Row],[czy_nastapiła_zmiana_mies]]=1),ROUNDUP((5000-H1257)/1000,0),0)</f>
        <v>0</v>
      </c>
      <c r="G1258">
        <f t="shared" si="19"/>
        <v>3004</v>
      </c>
      <c r="H1258">
        <f>cukier11[[#This Row],[stan_magazynu]]-cukier11[[#This Row],[sprzedany_cukier]]</f>
        <v>2966</v>
      </c>
      <c r="I1258" s="9">
        <f>cukier11[[#This Row],[stan_po_sprzedazy]]+cukier11[[#This Row],[ile_dokupic]]*1000</f>
        <v>2966</v>
      </c>
    </row>
    <row r="1259" spans="1:9" x14ac:dyDescent="0.25">
      <c r="A1259" s="1">
        <v>40446</v>
      </c>
      <c r="B1259" t="s">
        <v>36</v>
      </c>
      <c r="C1259">
        <v>7</v>
      </c>
      <c r="D1259">
        <f>MONTH(cukier11[[#This Row],[data]])</f>
        <v>9</v>
      </c>
      <c r="E1259">
        <f>IF(D1260&lt;&gt;cukier11[[#This Row],[miesiac]],1,0)</f>
        <v>0</v>
      </c>
      <c r="F1259">
        <f>IF(AND(H1258&lt;5000,cukier11[[#This Row],[czy_nastapiła_zmiana_mies]]=1),ROUNDUP((5000-H1258)/1000,0),0)</f>
        <v>0</v>
      </c>
      <c r="G1259">
        <f t="shared" si="19"/>
        <v>2966</v>
      </c>
      <c r="H1259">
        <f>cukier11[[#This Row],[stan_magazynu]]-cukier11[[#This Row],[sprzedany_cukier]]</f>
        <v>2959</v>
      </c>
      <c r="I1259" s="9">
        <f>cukier11[[#This Row],[stan_po_sprzedazy]]+cukier11[[#This Row],[ile_dokupic]]*1000</f>
        <v>2959</v>
      </c>
    </row>
    <row r="1260" spans="1:9" x14ac:dyDescent="0.25">
      <c r="A1260" s="1">
        <v>40447</v>
      </c>
      <c r="B1260" t="s">
        <v>22</v>
      </c>
      <c r="C1260">
        <v>154</v>
      </c>
      <c r="D1260">
        <f>MONTH(cukier11[[#This Row],[data]])</f>
        <v>9</v>
      </c>
      <c r="E1260">
        <f>IF(D1261&lt;&gt;cukier11[[#This Row],[miesiac]],1,0)</f>
        <v>0</v>
      </c>
      <c r="F1260">
        <f>IF(AND(H1259&lt;5000,cukier11[[#This Row],[czy_nastapiła_zmiana_mies]]=1),ROUNDUP((5000-H1259)/1000,0),0)</f>
        <v>0</v>
      </c>
      <c r="G1260">
        <f t="shared" si="19"/>
        <v>2959</v>
      </c>
      <c r="H1260">
        <f>cukier11[[#This Row],[stan_magazynu]]-cukier11[[#This Row],[sprzedany_cukier]]</f>
        <v>2805</v>
      </c>
      <c r="I1260" s="9">
        <f>cukier11[[#This Row],[stan_po_sprzedazy]]+cukier11[[#This Row],[ile_dokupic]]*1000</f>
        <v>2805</v>
      </c>
    </row>
    <row r="1261" spans="1:9" x14ac:dyDescent="0.25">
      <c r="A1261" s="1">
        <v>40447</v>
      </c>
      <c r="B1261" t="s">
        <v>50</v>
      </c>
      <c r="C1261">
        <v>274</v>
      </c>
      <c r="D1261">
        <f>MONTH(cukier11[[#This Row],[data]])</f>
        <v>9</v>
      </c>
      <c r="E1261">
        <f>IF(D1262&lt;&gt;cukier11[[#This Row],[miesiac]],1,0)</f>
        <v>0</v>
      </c>
      <c r="F1261">
        <f>IF(AND(H1260&lt;5000,cukier11[[#This Row],[czy_nastapiła_zmiana_mies]]=1),ROUNDUP((5000-H1260)/1000,0),0)</f>
        <v>0</v>
      </c>
      <c r="G1261">
        <f t="shared" si="19"/>
        <v>2805</v>
      </c>
      <c r="H1261">
        <f>cukier11[[#This Row],[stan_magazynu]]-cukier11[[#This Row],[sprzedany_cukier]]</f>
        <v>2531</v>
      </c>
      <c r="I1261" s="9">
        <f>cukier11[[#This Row],[stan_po_sprzedazy]]+cukier11[[#This Row],[ile_dokupic]]*1000</f>
        <v>2531</v>
      </c>
    </row>
    <row r="1262" spans="1:9" x14ac:dyDescent="0.25">
      <c r="A1262" s="1">
        <v>40448</v>
      </c>
      <c r="B1262" t="s">
        <v>14</v>
      </c>
      <c r="C1262">
        <v>219</v>
      </c>
      <c r="D1262">
        <f>MONTH(cukier11[[#This Row],[data]])</f>
        <v>9</v>
      </c>
      <c r="E1262">
        <f>IF(D1263&lt;&gt;cukier11[[#This Row],[miesiac]],1,0)</f>
        <v>0</v>
      </c>
      <c r="F1262">
        <f>IF(AND(H1261&lt;5000,cukier11[[#This Row],[czy_nastapiła_zmiana_mies]]=1),ROUNDUP((5000-H1261)/1000,0),0)</f>
        <v>0</v>
      </c>
      <c r="G1262">
        <f t="shared" si="19"/>
        <v>2531</v>
      </c>
      <c r="H1262">
        <f>cukier11[[#This Row],[stan_magazynu]]-cukier11[[#This Row],[sprzedany_cukier]]</f>
        <v>2312</v>
      </c>
      <c r="I1262" s="9">
        <f>cukier11[[#This Row],[stan_po_sprzedazy]]+cukier11[[#This Row],[ile_dokupic]]*1000</f>
        <v>2312</v>
      </c>
    </row>
    <row r="1263" spans="1:9" x14ac:dyDescent="0.25">
      <c r="A1263" s="1">
        <v>40449</v>
      </c>
      <c r="B1263" t="s">
        <v>30</v>
      </c>
      <c r="C1263">
        <v>57</v>
      </c>
      <c r="D1263">
        <f>MONTH(cukier11[[#This Row],[data]])</f>
        <v>9</v>
      </c>
      <c r="E1263">
        <f>IF(D1264&lt;&gt;cukier11[[#This Row],[miesiac]],1,0)</f>
        <v>0</v>
      </c>
      <c r="F1263">
        <f>IF(AND(H1262&lt;5000,cukier11[[#This Row],[czy_nastapiła_zmiana_mies]]=1),ROUNDUP((5000-H1262)/1000,0),0)</f>
        <v>0</v>
      </c>
      <c r="G1263">
        <f t="shared" si="19"/>
        <v>2312</v>
      </c>
      <c r="H1263">
        <f>cukier11[[#This Row],[stan_magazynu]]-cukier11[[#This Row],[sprzedany_cukier]]</f>
        <v>2255</v>
      </c>
      <c r="I1263" s="9">
        <f>cukier11[[#This Row],[stan_po_sprzedazy]]+cukier11[[#This Row],[ile_dokupic]]*1000</f>
        <v>2255</v>
      </c>
    </row>
    <row r="1264" spans="1:9" x14ac:dyDescent="0.25">
      <c r="A1264" s="1">
        <v>40449</v>
      </c>
      <c r="B1264" t="s">
        <v>12</v>
      </c>
      <c r="C1264">
        <v>152</v>
      </c>
      <c r="D1264">
        <f>MONTH(cukier11[[#This Row],[data]])</f>
        <v>9</v>
      </c>
      <c r="E1264">
        <f>IF(D1265&lt;&gt;cukier11[[#This Row],[miesiac]],1,0)</f>
        <v>1</v>
      </c>
      <c r="F1264">
        <f>IF(AND(H1263&lt;5000,cukier11[[#This Row],[czy_nastapiła_zmiana_mies]]=1),ROUNDUP((5000-H1263)/1000,0),0)</f>
        <v>3</v>
      </c>
      <c r="G1264">
        <f t="shared" si="19"/>
        <v>2255</v>
      </c>
      <c r="H1264">
        <f>cukier11[[#This Row],[stan_magazynu]]-cukier11[[#This Row],[sprzedany_cukier]]</f>
        <v>2103</v>
      </c>
      <c r="I1264" s="9">
        <f>cukier11[[#This Row],[stan_po_sprzedazy]]+cukier11[[#This Row],[ile_dokupic]]*1000</f>
        <v>5103</v>
      </c>
    </row>
    <row r="1265" spans="1:9" x14ac:dyDescent="0.25">
      <c r="A1265" s="1">
        <v>40454</v>
      </c>
      <c r="B1265" t="s">
        <v>45</v>
      </c>
      <c r="C1265">
        <v>263</v>
      </c>
      <c r="D1265">
        <f>MONTH(cukier11[[#This Row],[data]])</f>
        <v>10</v>
      </c>
      <c r="E1265">
        <f>IF(D1266&lt;&gt;cukier11[[#This Row],[miesiac]],1,0)</f>
        <v>0</v>
      </c>
      <c r="F1265">
        <f>IF(AND(H1264&lt;5000,cukier11[[#This Row],[czy_nastapiła_zmiana_mies]]=1),ROUNDUP((5000-H1264)/1000,0),0)</f>
        <v>0</v>
      </c>
      <c r="G1265">
        <f t="shared" si="19"/>
        <v>5103</v>
      </c>
      <c r="H1265">
        <f>cukier11[[#This Row],[stan_magazynu]]-cukier11[[#This Row],[sprzedany_cukier]]</f>
        <v>4840</v>
      </c>
      <c r="I1265" s="9">
        <f>cukier11[[#This Row],[stan_po_sprzedazy]]+cukier11[[#This Row],[ile_dokupic]]*1000</f>
        <v>4840</v>
      </c>
    </row>
    <row r="1266" spans="1:9" x14ac:dyDescent="0.25">
      <c r="A1266" s="1">
        <v>40456</v>
      </c>
      <c r="B1266" t="s">
        <v>28</v>
      </c>
      <c r="C1266">
        <v>61</v>
      </c>
      <c r="D1266">
        <f>MONTH(cukier11[[#This Row],[data]])</f>
        <v>10</v>
      </c>
      <c r="E1266">
        <f>IF(D1267&lt;&gt;cukier11[[#This Row],[miesiac]],1,0)</f>
        <v>0</v>
      </c>
      <c r="F1266">
        <f>IF(AND(H1265&lt;5000,cukier11[[#This Row],[czy_nastapiła_zmiana_mies]]=1),ROUNDUP((5000-H1265)/1000,0),0)</f>
        <v>0</v>
      </c>
      <c r="G1266">
        <f t="shared" si="19"/>
        <v>4840</v>
      </c>
      <c r="H1266">
        <f>cukier11[[#This Row],[stan_magazynu]]-cukier11[[#This Row],[sprzedany_cukier]]</f>
        <v>4779</v>
      </c>
      <c r="I1266" s="9">
        <f>cukier11[[#This Row],[stan_po_sprzedazy]]+cukier11[[#This Row],[ile_dokupic]]*1000</f>
        <v>4779</v>
      </c>
    </row>
    <row r="1267" spans="1:9" x14ac:dyDescent="0.25">
      <c r="A1267" s="1">
        <v>40456</v>
      </c>
      <c r="B1267" t="s">
        <v>50</v>
      </c>
      <c r="C1267">
        <v>217</v>
      </c>
      <c r="D1267">
        <f>MONTH(cukier11[[#This Row],[data]])</f>
        <v>10</v>
      </c>
      <c r="E1267">
        <f>IF(D1268&lt;&gt;cukier11[[#This Row],[miesiac]],1,0)</f>
        <v>0</v>
      </c>
      <c r="F1267">
        <f>IF(AND(H1266&lt;5000,cukier11[[#This Row],[czy_nastapiła_zmiana_mies]]=1),ROUNDUP((5000-H1266)/1000,0),0)</f>
        <v>0</v>
      </c>
      <c r="G1267">
        <f t="shared" si="19"/>
        <v>4779</v>
      </c>
      <c r="H1267">
        <f>cukier11[[#This Row],[stan_magazynu]]-cukier11[[#This Row],[sprzedany_cukier]]</f>
        <v>4562</v>
      </c>
      <c r="I1267" s="9">
        <f>cukier11[[#This Row],[stan_po_sprzedazy]]+cukier11[[#This Row],[ile_dokupic]]*1000</f>
        <v>4562</v>
      </c>
    </row>
    <row r="1268" spans="1:9" x14ac:dyDescent="0.25">
      <c r="A1268" s="1">
        <v>40457</v>
      </c>
      <c r="B1268" t="s">
        <v>61</v>
      </c>
      <c r="C1268">
        <v>28</v>
      </c>
      <c r="D1268">
        <f>MONTH(cukier11[[#This Row],[data]])</f>
        <v>10</v>
      </c>
      <c r="E1268">
        <f>IF(D1269&lt;&gt;cukier11[[#This Row],[miesiac]],1,0)</f>
        <v>0</v>
      </c>
      <c r="F1268">
        <f>IF(AND(H1267&lt;5000,cukier11[[#This Row],[czy_nastapiła_zmiana_mies]]=1),ROUNDUP((5000-H1267)/1000,0),0)</f>
        <v>0</v>
      </c>
      <c r="G1268">
        <f t="shared" si="19"/>
        <v>4562</v>
      </c>
      <c r="H1268">
        <f>cukier11[[#This Row],[stan_magazynu]]-cukier11[[#This Row],[sprzedany_cukier]]</f>
        <v>4534</v>
      </c>
      <c r="I1268" s="9">
        <f>cukier11[[#This Row],[stan_po_sprzedazy]]+cukier11[[#This Row],[ile_dokupic]]*1000</f>
        <v>4534</v>
      </c>
    </row>
    <row r="1269" spans="1:9" x14ac:dyDescent="0.25">
      <c r="A1269" s="1">
        <v>40457</v>
      </c>
      <c r="B1269" t="s">
        <v>45</v>
      </c>
      <c r="C1269">
        <v>299</v>
      </c>
      <c r="D1269">
        <f>MONTH(cukier11[[#This Row],[data]])</f>
        <v>10</v>
      </c>
      <c r="E1269">
        <f>IF(D1270&lt;&gt;cukier11[[#This Row],[miesiac]],1,0)</f>
        <v>0</v>
      </c>
      <c r="F1269">
        <f>IF(AND(H1268&lt;5000,cukier11[[#This Row],[czy_nastapiła_zmiana_mies]]=1),ROUNDUP((5000-H1268)/1000,0),0)</f>
        <v>0</v>
      </c>
      <c r="G1269">
        <f t="shared" si="19"/>
        <v>4534</v>
      </c>
      <c r="H1269">
        <f>cukier11[[#This Row],[stan_magazynu]]-cukier11[[#This Row],[sprzedany_cukier]]</f>
        <v>4235</v>
      </c>
      <c r="I1269" s="9">
        <f>cukier11[[#This Row],[stan_po_sprzedazy]]+cukier11[[#This Row],[ile_dokupic]]*1000</f>
        <v>4235</v>
      </c>
    </row>
    <row r="1270" spans="1:9" x14ac:dyDescent="0.25">
      <c r="A1270" s="1">
        <v>40460</v>
      </c>
      <c r="B1270" t="s">
        <v>14</v>
      </c>
      <c r="C1270">
        <v>429</v>
      </c>
      <c r="D1270">
        <f>MONTH(cukier11[[#This Row],[data]])</f>
        <v>10</v>
      </c>
      <c r="E1270">
        <f>IF(D1271&lt;&gt;cukier11[[#This Row],[miesiac]],1,0)</f>
        <v>0</v>
      </c>
      <c r="F1270">
        <f>IF(AND(H1269&lt;5000,cukier11[[#This Row],[czy_nastapiła_zmiana_mies]]=1),ROUNDUP((5000-H1269)/1000,0),0)</f>
        <v>0</v>
      </c>
      <c r="G1270">
        <f t="shared" si="19"/>
        <v>4235</v>
      </c>
      <c r="H1270">
        <f>cukier11[[#This Row],[stan_magazynu]]-cukier11[[#This Row],[sprzedany_cukier]]</f>
        <v>3806</v>
      </c>
      <c r="I1270" s="9">
        <f>cukier11[[#This Row],[stan_po_sprzedazy]]+cukier11[[#This Row],[ile_dokupic]]*1000</f>
        <v>3806</v>
      </c>
    </row>
    <row r="1271" spans="1:9" x14ac:dyDescent="0.25">
      <c r="A1271" s="1">
        <v>40463</v>
      </c>
      <c r="B1271" t="s">
        <v>14</v>
      </c>
      <c r="C1271">
        <v>427</v>
      </c>
      <c r="D1271">
        <f>MONTH(cukier11[[#This Row],[data]])</f>
        <v>10</v>
      </c>
      <c r="E1271">
        <f>IF(D1272&lt;&gt;cukier11[[#This Row],[miesiac]],1,0)</f>
        <v>0</v>
      </c>
      <c r="F1271">
        <f>IF(AND(H1270&lt;5000,cukier11[[#This Row],[czy_nastapiła_zmiana_mies]]=1),ROUNDUP((5000-H1270)/1000,0),0)</f>
        <v>0</v>
      </c>
      <c r="G1271">
        <f t="shared" si="19"/>
        <v>3806</v>
      </c>
      <c r="H1271">
        <f>cukier11[[#This Row],[stan_magazynu]]-cukier11[[#This Row],[sprzedany_cukier]]</f>
        <v>3379</v>
      </c>
      <c r="I1271" s="9">
        <f>cukier11[[#This Row],[stan_po_sprzedazy]]+cukier11[[#This Row],[ile_dokupic]]*1000</f>
        <v>3379</v>
      </c>
    </row>
    <row r="1272" spans="1:9" x14ac:dyDescent="0.25">
      <c r="A1272" s="1">
        <v>40463</v>
      </c>
      <c r="B1272" t="s">
        <v>12</v>
      </c>
      <c r="C1272">
        <v>87</v>
      </c>
      <c r="D1272">
        <f>MONTH(cukier11[[#This Row],[data]])</f>
        <v>10</v>
      </c>
      <c r="E1272">
        <f>IF(D1273&lt;&gt;cukier11[[#This Row],[miesiac]],1,0)</f>
        <v>0</v>
      </c>
      <c r="F1272">
        <f>IF(AND(H1271&lt;5000,cukier11[[#This Row],[czy_nastapiła_zmiana_mies]]=1),ROUNDUP((5000-H1271)/1000,0),0)</f>
        <v>0</v>
      </c>
      <c r="G1272">
        <f t="shared" si="19"/>
        <v>3379</v>
      </c>
      <c r="H1272">
        <f>cukier11[[#This Row],[stan_magazynu]]-cukier11[[#This Row],[sprzedany_cukier]]</f>
        <v>3292</v>
      </c>
      <c r="I1272" s="9">
        <f>cukier11[[#This Row],[stan_po_sprzedazy]]+cukier11[[#This Row],[ile_dokupic]]*1000</f>
        <v>3292</v>
      </c>
    </row>
    <row r="1273" spans="1:9" x14ac:dyDescent="0.25">
      <c r="A1273" s="1">
        <v>40463</v>
      </c>
      <c r="B1273" t="s">
        <v>141</v>
      </c>
      <c r="C1273">
        <v>17</v>
      </c>
      <c r="D1273">
        <f>MONTH(cukier11[[#This Row],[data]])</f>
        <v>10</v>
      </c>
      <c r="E1273">
        <f>IF(D1274&lt;&gt;cukier11[[#This Row],[miesiac]],1,0)</f>
        <v>0</v>
      </c>
      <c r="F1273">
        <f>IF(AND(H1272&lt;5000,cukier11[[#This Row],[czy_nastapiła_zmiana_mies]]=1),ROUNDUP((5000-H1272)/1000,0),0)</f>
        <v>0</v>
      </c>
      <c r="G1273">
        <f t="shared" si="19"/>
        <v>3292</v>
      </c>
      <c r="H1273">
        <f>cukier11[[#This Row],[stan_magazynu]]-cukier11[[#This Row],[sprzedany_cukier]]</f>
        <v>3275</v>
      </c>
      <c r="I1273" s="9">
        <f>cukier11[[#This Row],[stan_po_sprzedazy]]+cukier11[[#This Row],[ile_dokupic]]*1000</f>
        <v>3275</v>
      </c>
    </row>
    <row r="1274" spans="1:9" x14ac:dyDescent="0.25">
      <c r="A1274" s="1">
        <v>40465</v>
      </c>
      <c r="B1274" t="s">
        <v>35</v>
      </c>
      <c r="C1274">
        <v>124</v>
      </c>
      <c r="D1274">
        <f>MONTH(cukier11[[#This Row],[data]])</f>
        <v>10</v>
      </c>
      <c r="E1274">
        <f>IF(D1275&lt;&gt;cukier11[[#This Row],[miesiac]],1,0)</f>
        <v>0</v>
      </c>
      <c r="F1274">
        <f>IF(AND(H1273&lt;5000,cukier11[[#This Row],[czy_nastapiła_zmiana_mies]]=1),ROUNDUP((5000-H1273)/1000,0),0)</f>
        <v>0</v>
      </c>
      <c r="G1274">
        <f t="shared" si="19"/>
        <v>3275</v>
      </c>
      <c r="H1274">
        <f>cukier11[[#This Row],[stan_magazynu]]-cukier11[[#This Row],[sprzedany_cukier]]</f>
        <v>3151</v>
      </c>
      <c r="I1274" s="9">
        <f>cukier11[[#This Row],[stan_po_sprzedazy]]+cukier11[[#This Row],[ile_dokupic]]*1000</f>
        <v>3151</v>
      </c>
    </row>
    <row r="1275" spans="1:9" x14ac:dyDescent="0.25">
      <c r="A1275" s="1">
        <v>40467</v>
      </c>
      <c r="B1275" t="s">
        <v>7</v>
      </c>
      <c r="C1275">
        <v>406</v>
      </c>
      <c r="D1275">
        <f>MONTH(cukier11[[#This Row],[data]])</f>
        <v>10</v>
      </c>
      <c r="E1275">
        <f>IF(D1276&lt;&gt;cukier11[[#This Row],[miesiac]],1,0)</f>
        <v>0</v>
      </c>
      <c r="F1275">
        <f>IF(AND(H1274&lt;5000,cukier11[[#This Row],[czy_nastapiła_zmiana_mies]]=1),ROUNDUP((5000-H1274)/1000,0),0)</f>
        <v>0</v>
      </c>
      <c r="G1275">
        <f t="shared" si="19"/>
        <v>3151</v>
      </c>
      <c r="H1275">
        <f>cukier11[[#This Row],[stan_magazynu]]-cukier11[[#This Row],[sprzedany_cukier]]</f>
        <v>2745</v>
      </c>
      <c r="I1275" s="9">
        <f>cukier11[[#This Row],[stan_po_sprzedazy]]+cukier11[[#This Row],[ile_dokupic]]*1000</f>
        <v>2745</v>
      </c>
    </row>
    <row r="1276" spans="1:9" x14ac:dyDescent="0.25">
      <c r="A1276" s="1">
        <v>40467</v>
      </c>
      <c r="B1276" t="s">
        <v>52</v>
      </c>
      <c r="C1276">
        <v>136</v>
      </c>
      <c r="D1276">
        <f>MONTH(cukier11[[#This Row],[data]])</f>
        <v>10</v>
      </c>
      <c r="E1276">
        <f>IF(D1277&lt;&gt;cukier11[[#This Row],[miesiac]],1,0)</f>
        <v>0</v>
      </c>
      <c r="F1276">
        <f>IF(AND(H1275&lt;5000,cukier11[[#This Row],[czy_nastapiła_zmiana_mies]]=1),ROUNDUP((5000-H1275)/1000,0),0)</f>
        <v>0</v>
      </c>
      <c r="G1276">
        <f t="shared" si="19"/>
        <v>2745</v>
      </c>
      <c r="H1276">
        <f>cukier11[[#This Row],[stan_magazynu]]-cukier11[[#This Row],[sprzedany_cukier]]</f>
        <v>2609</v>
      </c>
      <c r="I1276" s="9">
        <f>cukier11[[#This Row],[stan_po_sprzedazy]]+cukier11[[#This Row],[ile_dokupic]]*1000</f>
        <v>2609</v>
      </c>
    </row>
    <row r="1277" spans="1:9" x14ac:dyDescent="0.25">
      <c r="A1277" s="1">
        <v>40468</v>
      </c>
      <c r="B1277" t="s">
        <v>25</v>
      </c>
      <c r="C1277">
        <v>44</v>
      </c>
      <c r="D1277">
        <f>MONTH(cukier11[[#This Row],[data]])</f>
        <v>10</v>
      </c>
      <c r="E1277">
        <f>IF(D1278&lt;&gt;cukier11[[#This Row],[miesiac]],1,0)</f>
        <v>0</v>
      </c>
      <c r="F1277">
        <f>IF(AND(H1276&lt;5000,cukier11[[#This Row],[czy_nastapiła_zmiana_mies]]=1),ROUNDUP((5000-H1276)/1000,0),0)</f>
        <v>0</v>
      </c>
      <c r="G1277">
        <f t="shared" si="19"/>
        <v>2609</v>
      </c>
      <c r="H1277">
        <f>cukier11[[#This Row],[stan_magazynu]]-cukier11[[#This Row],[sprzedany_cukier]]</f>
        <v>2565</v>
      </c>
      <c r="I1277" s="9">
        <f>cukier11[[#This Row],[stan_po_sprzedazy]]+cukier11[[#This Row],[ile_dokupic]]*1000</f>
        <v>2565</v>
      </c>
    </row>
    <row r="1278" spans="1:9" x14ac:dyDescent="0.25">
      <c r="A1278" s="1">
        <v>40470</v>
      </c>
      <c r="B1278" t="s">
        <v>39</v>
      </c>
      <c r="C1278">
        <v>76</v>
      </c>
      <c r="D1278">
        <f>MONTH(cukier11[[#This Row],[data]])</f>
        <v>10</v>
      </c>
      <c r="E1278">
        <f>IF(D1279&lt;&gt;cukier11[[#This Row],[miesiac]],1,0)</f>
        <v>0</v>
      </c>
      <c r="F1278">
        <f>IF(AND(H1277&lt;5000,cukier11[[#This Row],[czy_nastapiła_zmiana_mies]]=1),ROUNDUP((5000-H1277)/1000,0),0)</f>
        <v>0</v>
      </c>
      <c r="G1278">
        <f t="shared" si="19"/>
        <v>2565</v>
      </c>
      <c r="H1278">
        <f>cukier11[[#This Row],[stan_magazynu]]-cukier11[[#This Row],[sprzedany_cukier]]</f>
        <v>2489</v>
      </c>
      <c r="I1278" s="9">
        <f>cukier11[[#This Row],[stan_po_sprzedazy]]+cukier11[[#This Row],[ile_dokupic]]*1000</f>
        <v>2489</v>
      </c>
    </row>
    <row r="1279" spans="1:9" x14ac:dyDescent="0.25">
      <c r="A1279" s="1">
        <v>40473</v>
      </c>
      <c r="B1279" t="s">
        <v>19</v>
      </c>
      <c r="C1279">
        <v>104</v>
      </c>
      <c r="D1279">
        <f>MONTH(cukier11[[#This Row],[data]])</f>
        <v>10</v>
      </c>
      <c r="E1279">
        <f>IF(D1280&lt;&gt;cukier11[[#This Row],[miesiac]],1,0)</f>
        <v>0</v>
      </c>
      <c r="F1279">
        <f>IF(AND(H1278&lt;5000,cukier11[[#This Row],[czy_nastapiła_zmiana_mies]]=1),ROUNDUP((5000-H1278)/1000,0),0)</f>
        <v>0</v>
      </c>
      <c r="G1279">
        <f t="shared" si="19"/>
        <v>2489</v>
      </c>
      <c r="H1279">
        <f>cukier11[[#This Row],[stan_magazynu]]-cukier11[[#This Row],[sprzedany_cukier]]</f>
        <v>2385</v>
      </c>
      <c r="I1279" s="9">
        <f>cukier11[[#This Row],[stan_po_sprzedazy]]+cukier11[[#This Row],[ile_dokupic]]*1000</f>
        <v>2385</v>
      </c>
    </row>
    <row r="1280" spans="1:9" x14ac:dyDescent="0.25">
      <c r="A1280" s="1">
        <v>40474</v>
      </c>
      <c r="B1280" t="s">
        <v>12</v>
      </c>
      <c r="C1280">
        <v>107</v>
      </c>
      <c r="D1280">
        <f>MONTH(cukier11[[#This Row],[data]])</f>
        <v>10</v>
      </c>
      <c r="E1280">
        <f>IF(D1281&lt;&gt;cukier11[[#This Row],[miesiac]],1,0)</f>
        <v>0</v>
      </c>
      <c r="F1280">
        <f>IF(AND(H1279&lt;5000,cukier11[[#This Row],[czy_nastapiła_zmiana_mies]]=1),ROUNDUP((5000-H1279)/1000,0),0)</f>
        <v>0</v>
      </c>
      <c r="G1280">
        <f t="shared" si="19"/>
        <v>2385</v>
      </c>
      <c r="H1280">
        <f>cukier11[[#This Row],[stan_magazynu]]-cukier11[[#This Row],[sprzedany_cukier]]</f>
        <v>2278</v>
      </c>
      <c r="I1280" s="9">
        <f>cukier11[[#This Row],[stan_po_sprzedazy]]+cukier11[[#This Row],[ile_dokupic]]*1000</f>
        <v>2278</v>
      </c>
    </row>
    <row r="1281" spans="1:9" x14ac:dyDescent="0.25">
      <c r="A1281" s="1">
        <v>40477</v>
      </c>
      <c r="B1281" t="s">
        <v>22</v>
      </c>
      <c r="C1281">
        <v>339</v>
      </c>
      <c r="D1281">
        <f>MONTH(cukier11[[#This Row],[data]])</f>
        <v>10</v>
      </c>
      <c r="E1281">
        <f>IF(D1282&lt;&gt;cukier11[[#This Row],[miesiac]],1,0)</f>
        <v>0</v>
      </c>
      <c r="F1281">
        <f>IF(AND(H1280&lt;5000,cukier11[[#This Row],[czy_nastapiła_zmiana_mies]]=1),ROUNDUP((5000-H1280)/1000,0),0)</f>
        <v>0</v>
      </c>
      <c r="G1281">
        <f t="shared" si="19"/>
        <v>2278</v>
      </c>
      <c r="H1281">
        <f>cukier11[[#This Row],[stan_magazynu]]-cukier11[[#This Row],[sprzedany_cukier]]</f>
        <v>1939</v>
      </c>
      <c r="I1281" s="9">
        <f>cukier11[[#This Row],[stan_po_sprzedazy]]+cukier11[[#This Row],[ile_dokupic]]*1000</f>
        <v>1939</v>
      </c>
    </row>
    <row r="1282" spans="1:9" x14ac:dyDescent="0.25">
      <c r="A1282" s="1">
        <v>40480</v>
      </c>
      <c r="B1282" t="s">
        <v>45</v>
      </c>
      <c r="C1282">
        <v>313</v>
      </c>
      <c r="D1282">
        <f>MONTH(cukier11[[#This Row],[data]])</f>
        <v>10</v>
      </c>
      <c r="E1282">
        <f>IF(D1283&lt;&gt;cukier11[[#This Row],[miesiac]],1,0)</f>
        <v>0</v>
      </c>
      <c r="F1282">
        <f>IF(AND(H1281&lt;5000,cukier11[[#This Row],[czy_nastapiła_zmiana_mies]]=1),ROUNDUP((5000-H1281)/1000,0),0)</f>
        <v>0</v>
      </c>
      <c r="G1282">
        <f t="shared" si="19"/>
        <v>1939</v>
      </c>
      <c r="H1282">
        <f>cukier11[[#This Row],[stan_magazynu]]-cukier11[[#This Row],[sprzedany_cukier]]</f>
        <v>1626</v>
      </c>
      <c r="I1282" s="9">
        <f>cukier11[[#This Row],[stan_po_sprzedazy]]+cukier11[[#This Row],[ile_dokupic]]*1000</f>
        <v>1626</v>
      </c>
    </row>
    <row r="1283" spans="1:9" x14ac:dyDescent="0.25">
      <c r="A1283" s="1">
        <v>40481</v>
      </c>
      <c r="B1283" t="s">
        <v>45</v>
      </c>
      <c r="C1283">
        <v>251</v>
      </c>
      <c r="D1283">
        <f>MONTH(cukier11[[#This Row],[data]])</f>
        <v>10</v>
      </c>
      <c r="E1283">
        <f>IF(D1284&lt;&gt;cukier11[[#This Row],[miesiac]],1,0)</f>
        <v>0</v>
      </c>
      <c r="F1283">
        <f>IF(AND(H1282&lt;5000,cukier11[[#This Row],[czy_nastapiła_zmiana_mies]]=1),ROUNDUP((5000-H1282)/1000,0),0)</f>
        <v>0</v>
      </c>
      <c r="G1283">
        <f t="shared" si="19"/>
        <v>1626</v>
      </c>
      <c r="H1283">
        <f>cukier11[[#This Row],[stan_magazynu]]-cukier11[[#This Row],[sprzedany_cukier]]</f>
        <v>1375</v>
      </c>
      <c r="I1283" s="9">
        <f>cukier11[[#This Row],[stan_po_sprzedazy]]+cukier11[[#This Row],[ile_dokupic]]*1000</f>
        <v>1375</v>
      </c>
    </row>
    <row r="1284" spans="1:9" x14ac:dyDescent="0.25">
      <c r="A1284" s="1">
        <v>40481</v>
      </c>
      <c r="B1284" t="s">
        <v>14</v>
      </c>
      <c r="C1284">
        <v>126</v>
      </c>
      <c r="D1284">
        <f>MONTH(cukier11[[#This Row],[data]])</f>
        <v>10</v>
      </c>
      <c r="E1284">
        <f>IF(D1285&lt;&gt;cukier11[[#This Row],[miesiac]],1,0)</f>
        <v>1</v>
      </c>
      <c r="F1284">
        <f>IF(AND(H1283&lt;5000,cukier11[[#This Row],[czy_nastapiła_zmiana_mies]]=1),ROUNDUP((5000-H1283)/1000,0),0)</f>
        <v>4</v>
      </c>
      <c r="G1284">
        <f t="shared" ref="G1284:G1347" si="20">I1283</f>
        <v>1375</v>
      </c>
      <c r="H1284">
        <f>cukier11[[#This Row],[stan_magazynu]]-cukier11[[#This Row],[sprzedany_cukier]]</f>
        <v>1249</v>
      </c>
      <c r="I1284" s="9">
        <f>cukier11[[#This Row],[stan_po_sprzedazy]]+cukier11[[#This Row],[ile_dokupic]]*1000</f>
        <v>5249</v>
      </c>
    </row>
    <row r="1285" spans="1:9" x14ac:dyDescent="0.25">
      <c r="A1285" s="1">
        <v>40483</v>
      </c>
      <c r="B1285" t="s">
        <v>25</v>
      </c>
      <c r="C1285">
        <v>20</v>
      </c>
      <c r="D1285">
        <f>MONTH(cukier11[[#This Row],[data]])</f>
        <v>11</v>
      </c>
      <c r="E1285">
        <f>IF(D1286&lt;&gt;cukier11[[#This Row],[miesiac]],1,0)</f>
        <v>0</v>
      </c>
      <c r="F1285">
        <f>IF(AND(H1284&lt;5000,cukier11[[#This Row],[czy_nastapiła_zmiana_mies]]=1),ROUNDUP((5000-H1284)/1000,0),0)</f>
        <v>0</v>
      </c>
      <c r="G1285">
        <f t="shared" si="20"/>
        <v>5249</v>
      </c>
      <c r="H1285">
        <f>cukier11[[#This Row],[stan_magazynu]]-cukier11[[#This Row],[sprzedany_cukier]]</f>
        <v>5229</v>
      </c>
      <c r="I1285" s="9">
        <f>cukier11[[#This Row],[stan_po_sprzedazy]]+cukier11[[#This Row],[ile_dokupic]]*1000</f>
        <v>5229</v>
      </c>
    </row>
    <row r="1286" spans="1:9" x14ac:dyDescent="0.25">
      <c r="A1286" s="1">
        <v>40484</v>
      </c>
      <c r="B1286" t="s">
        <v>69</v>
      </c>
      <c r="C1286">
        <v>80</v>
      </c>
      <c r="D1286">
        <f>MONTH(cukier11[[#This Row],[data]])</f>
        <v>11</v>
      </c>
      <c r="E1286">
        <f>IF(D1287&lt;&gt;cukier11[[#This Row],[miesiac]],1,0)</f>
        <v>0</v>
      </c>
      <c r="F1286">
        <f>IF(AND(H1285&lt;5000,cukier11[[#This Row],[czy_nastapiła_zmiana_mies]]=1),ROUNDUP((5000-H1285)/1000,0),0)</f>
        <v>0</v>
      </c>
      <c r="G1286">
        <f t="shared" si="20"/>
        <v>5229</v>
      </c>
      <c r="H1286">
        <f>cukier11[[#This Row],[stan_magazynu]]-cukier11[[#This Row],[sprzedany_cukier]]</f>
        <v>5149</v>
      </c>
      <c r="I1286" s="9">
        <f>cukier11[[#This Row],[stan_po_sprzedazy]]+cukier11[[#This Row],[ile_dokupic]]*1000</f>
        <v>5149</v>
      </c>
    </row>
    <row r="1287" spans="1:9" x14ac:dyDescent="0.25">
      <c r="A1287" s="1">
        <v>40485</v>
      </c>
      <c r="B1287" t="s">
        <v>136</v>
      </c>
      <c r="C1287">
        <v>9</v>
      </c>
      <c r="D1287">
        <f>MONTH(cukier11[[#This Row],[data]])</f>
        <v>11</v>
      </c>
      <c r="E1287">
        <f>IF(D1288&lt;&gt;cukier11[[#This Row],[miesiac]],1,0)</f>
        <v>0</v>
      </c>
      <c r="F1287">
        <f>IF(AND(H1286&lt;5000,cukier11[[#This Row],[czy_nastapiła_zmiana_mies]]=1),ROUNDUP((5000-H1286)/1000,0),0)</f>
        <v>0</v>
      </c>
      <c r="G1287">
        <f t="shared" si="20"/>
        <v>5149</v>
      </c>
      <c r="H1287">
        <f>cukier11[[#This Row],[stan_magazynu]]-cukier11[[#This Row],[sprzedany_cukier]]</f>
        <v>5140</v>
      </c>
      <c r="I1287" s="9">
        <f>cukier11[[#This Row],[stan_po_sprzedazy]]+cukier11[[#This Row],[ile_dokupic]]*1000</f>
        <v>5140</v>
      </c>
    </row>
    <row r="1288" spans="1:9" x14ac:dyDescent="0.25">
      <c r="A1288" s="1">
        <v>40487</v>
      </c>
      <c r="B1288" t="s">
        <v>19</v>
      </c>
      <c r="C1288">
        <v>50</v>
      </c>
      <c r="D1288">
        <f>MONTH(cukier11[[#This Row],[data]])</f>
        <v>11</v>
      </c>
      <c r="E1288">
        <f>IF(D1289&lt;&gt;cukier11[[#This Row],[miesiac]],1,0)</f>
        <v>0</v>
      </c>
      <c r="F1288">
        <f>IF(AND(H1287&lt;5000,cukier11[[#This Row],[czy_nastapiła_zmiana_mies]]=1),ROUNDUP((5000-H1287)/1000,0),0)</f>
        <v>0</v>
      </c>
      <c r="G1288">
        <f t="shared" si="20"/>
        <v>5140</v>
      </c>
      <c r="H1288">
        <f>cukier11[[#This Row],[stan_magazynu]]-cukier11[[#This Row],[sprzedany_cukier]]</f>
        <v>5090</v>
      </c>
      <c r="I1288" s="9">
        <f>cukier11[[#This Row],[stan_po_sprzedazy]]+cukier11[[#This Row],[ile_dokupic]]*1000</f>
        <v>5090</v>
      </c>
    </row>
    <row r="1289" spans="1:9" x14ac:dyDescent="0.25">
      <c r="A1289" s="1">
        <v>40488</v>
      </c>
      <c r="B1289" t="s">
        <v>23</v>
      </c>
      <c r="C1289">
        <v>100</v>
      </c>
      <c r="D1289">
        <f>MONTH(cukier11[[#This Row],[data]])</f>
        <v>11</v>
      </c>
      <c r="E1289">
        <f>IF(D1290&lt;&gt;cukier11[[#This Row],[miesiac]],1,0)</f>
        <v>0</v>
      </c>
      <c r="F1289">
        <f>IF(AND(H1288&lt;5000,cukier11[[#This Row],[czy_nastapiła_zmiana_mies]]=1),ROUNDUP((5000-H1288)/1000,0),0)</f>
        <v>0</v>
      </c>
      <c r="G1289">
        <f t="shared" si="20"/>
        <v>5090</v>
      </c>
      <c r="H1289">
        <f>cukier11[[#This Row],[stan_magazynu]]-cukier11[[#This Row],[sprzedany_cukier]]</f>
        <v>4990</v>
      </c>
      <c r="I1289" s="9">
        <f>cukier11[[#This Row],[stan_po_sprzedazy]]+cukier11[[#This Row],[ile_dokupic]]*1000</f>
        <v>4990</v>
      </c>
    </row>
    <row r="1290" spans="1:9" x14ac:dyDescent="0.25">
      <c r="A1290" s="1">
        <v>40489</v>
      </c>
      <c r="B1290" t="s">
        <v>142</v>
      </c>
      <c r="C1290">
        <v>2</v>
      </c>
      <c r="D1290">
        <f>MONTH(cukier11[[#This Row],[data]])</f>
        <v>11</v>
      </c>
      <c r="E1290">
        <f>IF(D1291&lt;&gt;cukier11[[#This Row],[miesiac]],1,0)</f>
        <v>0</v>
      </c>
      <c r="F1290">
        <f>IF(AND(H1289&lt;5000,cukier11[[#This Row],[czy_nastapiła_zmiana_mies]]=1),ROUNDUP((5000-H1289)/1000,0),0)</f>
        <v>0</v>
      </c>
      <c r="G1290">
        <f t="shared" si="20"/>
        <v>4990</v>
      </c>
      <c r="H1290">
        <f>cukier11[[#This Row],[stan_magazynu]]-cukier11[[#This Row],[sprzedany_cukier]]</f>
        <v>4988</v>
      </c>
      <c r="I1290" s="9">
        <f>cukier11[[#This Row],[stan_po_sprzedazy]]+cukier11[[#This Row],[ile_dokupic]]*1000</f>
        <v>4988</v>
      </c>
    </row>
    <row r="1291" spans="1:9" x14ac:dyDescent="0.25">
      <c r="A1291" s="1">
        <v>40490</v>
      </c>
      <c r="B1291" t="s">
        <v>17</v>
      </c>
      <c r="C1291">
        <v>214</v>
      </c>
      <c r="D1291">
        <f>MONTH(cukier11[[#This Row],[data]])</f>
        <v>11</v>
      </c>
      <c r="E1291">
        <f>IF(D1292&lt;&gt;cukier11[[#This Row],[miesiac]],1,0)</f>
        <v>0</v>
      </c>
      <c r="F1291">
        <f>IF(AND(H1290&lt;5000,cukier11[[#This Row],[czy_nastapiła_zmiana_mies]]=1),ROUNDUP((5000-H1290)/1000,0),0)</f>
        <v>0</v>
      </c>
      <c r="G1291">
        <f t="shared" si="20"/>
        <v>4988</v>
      </c>
      <c r="H1291">
        <f>cukier11[[#This Row],[stan_magazynu]]-cukier11[[#This Row],[sprzedany_cukier]]</f>
        <v>4774</v>
      </c>
      <c r="I1291" s="9">
        <f>cukier11[[#This Row],[stan_po_sprzedazy]]+cukier11[[#This Row],[ile_dokupic]]*1000</f>
        <v>4774</v>
      </c>
    </row>
    <row r="1292" spans="1:9" x14ac:dyDescent="0.25">
      <c r="A1292" s="1">
        <v>40491</v>
      </c>
      <c r="B1292" t="s">
        <v>70</v>
      </c>
      <c r="C1292">
        <v>17</v>
      </c>
      <c r="D1292">
        <f>MONTH(cukier11[[#This Row],[data]])</f>
        <v>11</v>
      </c>
      <c r="E1292">
        <f>IF(D1293&lt;&gt;cukier11[[#This Row],[miesiac]],1,0)</f>
        <v>0</v>
      </c>
      <c r="F1292">
        <f>IF(AND(H1291&lt;5000,cukier11[[#This Row],[czy_nastapiła_zmiana_mies]]=1),ROUNDUP((5000-H1291)/1000,0),0)</f>
        <v>0</v>
      </c>
      <c r="G1292">
        <f t="shared" si="20"/>
        <v>4774</v>
      </c>
      <c r="H1292">
        <f>cukier11[[#This Row],[stan_magazynu]]-cukier11[[#This Row],[sprzedany_cukier]]</f>
        <v>4757</v>
      </c>
      <c r="I1292" s="9">
        <f>cukier11[[#This Row],[stan_po_sprzedazy]]+cukier11[[#This Row],[ile_dokupic]]*1000</f>
        <v>4757</v>
      </c>
    </row>
    <row r="1293" spans="1:9" x14ac:dyDescent="0.25">
      <c r="A1293" s="1">
        <v>40492</v>
      </c>
      <c r="B1293" t="s">
        <v>45</v>
      </c>
      <c r="C1293">
        <v>269</v>
      </c>
      <c r="D1293">
        <f>MONTH(cukier11[[#This Row],[data]])</f>
        <v>11</v>
      </c>
      <c r="E1293">
        <f>IF(D1294&lt;&gt;cukier11[[#This Row],[miesiac]],1,0)</f>
        <v>0</v>
      </c>
      <c r="F1293">
        <f>IF(AND(H1292&lt;5000,cukier11[[#This Row],[czy_nastapiła_zmiana_mies]]=1),ROUNDUP((5000-H1292)/1000,0),0)</f>
        <v>0</v>
      </c>
      <c r="G1293">
        <f t="shared" si="20"/>
        <v>4757</v>
      </c>
      <c r="H1293">
        <f>cukier11[[#This Row],[stan_magazynu]]-cukier11[[#This Row],[sprzedany_cukier]]</f>
        <v>4488</v>
      </c>
      <c r="I1293" s="9">
        <f>cukier11[[#This Row],[stan_po_sprzedazy]]+cukier11[[#This Row],[ile_dokupic]]*1000</f>
        <v>4488</v>
      </c>
    </row>
    <row r="1294" spans="1:9" x14ac:dyDescent="0.25">
      <c r="A1294" s="1">
        <v>40496</v>
      </c>
      <c r="B1294" t="s">
        <v>172</v>
      </c>
      <c r="C1294">
        <v>2</v>
      </c>
      <c r="D1294">
        <f>MONTH(cukier11[[#This Row],[data]])</f>
        <v>11</v>
      </c>
      <c r="E1294">
        <f>IF(D1295&lt;&gt;cukier11[[#This Row],[miesiac]],1,0)</f>
        <v>0</v>
      </c>
      <c r="F1294">
        <f>IF(AND(H1293&lt;5000,cukier11[[#This Row],[czy_nastapiła_zmiana_mies]]=1),ROUNDUP((5000-H1293)/1000,0),0)</f>
        <v>0</v>
      </c>
      <c r="G1294">
        <f t="shared" si="20"/>
        <v>4488</v>
      </c>
      <c r="H1294">
        <f>cukier11[[#This Row],[stan_magazynu]]-cukier11[[#This Row],[sprzedany_cukier]]</f>
        <v>4486</v>
      </c>
      <c r="I1294" s="9">
        <f>cukier11[[#This Row],[stan_po_sprzedazy]]+cukier11[[#This Row],[ile_dokupic]]*1000</f>
        <v>4486</v>
      </c>
    </row>
    <row r="1295" spans="1:9" x14ac:dyDescent="0.25">
      <c r="A1295" s="1">
        <v>40503</v>
      </c>
      <c r="B1295" t="s">
        <v>12</v>
      </c>
      <c r="C1295">
        <v>159</v>
      </c>
      <c r="D1295">
        <f>MONTH(cukier11[[#This Row],[data]])</f>
        <v>11</v>
      </c>
      <c r="E1295">
        <f>IF(D1296&lt;&gt;cukier11[[#This Row],[miesiac]],1,0)</f>
        <v>0</v>
      </c>
      <c r="F1295">
        <f>IF(AND(H1294&lt;5000,cukier11[[#This Row],[czy_nastapiła_zmiana_mies]]=1),ROUNDUP((5000-H1294)/1000,0),0)</f>
        <v>0</v>
      </c>
      <c r="G1295">
        <f t="shared" si="20"/>
        <v>4486</v>
      </c>
      <c r="H1295">
        <f>cukier11[[#This Row],[stan_magazynu]]-cukier11[[#This Row],[sprzedany_cukier]]</f>
        <v>4327</v>
      </c>
      <c r="I1295" s="9">
        <f>cukier11[[#This Row],[stan_po_sprzedazy]]+cukier11[[#This Row],[ile_dokupic]]*1000</f>
        <v>4327</v>
      </c>
    </row>
    <row r="1296" spans="1:9" x14ac:dyDescent="0.25">
      <c r="A1296" s="1">
        <v>40504</v>
      </c>
      <c r="B1296" t="s">
        <v>28</v>
      </c>
      <c r="C1296">
        <v>167</v>
      </c>
      <c r="D1296">
        <f>MONTH(cukier11[[#This Row],[data]])</f>
        <v>11</v>
      </c>
      <c r="E1296">
        <f>IF(D1297&lt;&gt;cukier11[[#This Row],[miesiac]],1,0)</f>
        <v>0</v>
      </c>
      <c r="F1296">
        <f>IF(AND(H1295&lt;5000,cukier11[[#This Row],[czy_nastapiła_zmiana_mies]]=1),ROUNDUP((5000-H1295)/1000,0),0)</f>
        <v>0</v>
      </c>
      <c r="G1296">
        <f t="shared" si="20"/>
        <v>4327</v>
      </c>
      <c r="H1296">
        <f>cukier11[[#This Row],[stan_magazynu]]-cukier11[[#This Row],[sprzedany_cukier]]</f>
        <v>4160</v>
      </c>
      <c r="I1296" s="9">
        <f>cukier11[[#This Row],[stan_po_sprzedazy]]+cukier11[[#This Row],[ile_dokupic]]*1000</f>
        <v>4160</v>
      </c>
    </row>
    <row r="1297" spans="1:9" x14ac:dyDescent="0.25">
      <c r="A1297" s="1">
        <v>40505</v>
      </c>
      <c r="B1297" t="s">
        <v>37</v>
      </c>
      <c r="C1297">
        <v>123</v>
      </c>
      <c r="D1297">
        <f>MONTH(cukier11[[#This Row],[data]])</f>
        <v>11</v>
      </c>
      <c r="E1297">
        <f>IF(D1298&lt;&gt;cukier11[[#This Row],[miesiac]],1,0)</f>
        <v>0</v>
      </c>
      <c r="F1297">
        <f>IF(AND(H1296&lt;5000,cukier11[[#This Row],[czy_nastapiła_zmiana_mies]]=1),ROUNDUP((5000-H1296)/1000,0),0)</f>
        <v>0</v>
      </c>
      <c r="G1297">
        <f t="shared" si="20"/>
        <v>4160</v>
      </c>
      <c r="H1297">
        <f>cukier11[[#This Row],[stan_magazynu]]-cukier11[[#This Row],[sprzedany_cukier]]</f>
        <v>4037</v>
      </c>
      <c r="I1297" s="9">
        <f>cukier11[[#This Row],[stan_po_sprzedazy]]+cukier11[[#This Row],[ile_dokupic]]*1000</f>
        <v>4037</v>
      </c>
    </row>
    <row r="1298" spans="1:9" x14ac:dyDescent="0.25">
      <c r="A1298" s="1">
        <v>40505</v>
      </c>
      <c r="B1298" t="s">
        <v>28</v>
      </c>
      <c r="C1298">
        <v>32</v>
      </c>
      <c r="D1298">
        <f>MONTH(cukier11[[#This Row],[data]])</f>
        <v>11</v>
      </c>
      <c r="E1298">
        <f>IF(D1299&lt;&gt;cukier11[[#This Row],[miesiac]],1,0)</f>
        <v>0</v>
      </c>
      <c r="F1298">
        <f>IF(AND(H1297&lt;5000,cukier11[[#This Row],[czy_nastapiła_zmiana_mies]]=1),ROUNDUP((5000-H1297)/1000,0),0)</f>
        <v>0</v>
      </c>
      <c r="G1298">
        <f t="shared" si="20"/>
        <v>4037</v>
      </c>
      <c r="H1298">
        <f>cukier11[[#This Row],[stan_magazynu]]-cukier11[[#This Row],[sprzedany_cukier]]</f>
        <v>4005</v>
      </c>
      <c r="I1298" s="9">
        <f>cukier11[[#This Row],[stan_po_sprzedazy]]+cukier11[[#This Row],[ile_dokupic]]*1000</f>
        <v>4005</v>
      </c>
    </row>
    <row r="1299" spans="1:9" x14ac:dyDescent="0.25">
      <c r="A1299" s="1">
        <v>40505</v>
      </c>
      <c r="B1299" t="s">
        <v>7</v>
      </c>
      <c r="C1299">
        <v>276</v>
      </c>
      <c r="D1299">
        <f>MONTH(cukier11[[#This Row],[data]])</f>
        <v>11</v>
      </c>
      <c r="E1299">
        <f>IF(D1300&lt;&gt;cukier11[[#This Row],[miesiac]],1,0)</f>
        <v>0</v>
      </c>
      <c r="F1299">
        <f>IF(AND(H1298&lt;5000,cukier11[[#This Row],[czy_nastapiła_zmiana_mies]]=1),ROUNDUP((5000-H1298)/1000,0),0)</f>
        <v>0</v>
      </c>
      <c r="G1299">
        <f t="shared" si="20"/>
        <v>4005</v>
      </c>
      <c r="H1299">
        <f>cukier11[[#This Row],[stan_magazynu]]-cukier11[[#This Row],[sprzedany_cukier]]</f>
        <v>3729</v>
      </c>
      <c r="I1299" s="9">
        <f>cukier11[[#This Row],[stan_po_sprzedazy]]+cukier11[[#This Row],[ile_dokupic]]*1000</f>
        <v>3729</v>
      </c>
    </row>
    <row r="1300" spans="1:9" x14ac:dyDescent="0.25">
      <c r="A1300" s="1">
        <v>40508</v>
      </c>
      <c r="B1300" t="s">
        <v>14</v>
      </c>
      <c r="C1300">
        <v>191</v>
      </c>
      <c r="D1300">
        <f>MONTH(cukier11[[#This Row],[data]])</f>
        <v>11</v>
      </c>
      <c r="E1300">
        <f>IF(D1301&lt;&gt;cukier11[[#This Row],[miesiac]],1,0)</f>
        <v>0</v>
      </c>
      <c r="F1300">
        <f>IF(AND(H1299&lt;5000,cukier11[[#This Row],[czy_nastapiła_zmiana_mies]]=1),ROUNDUP((5000-H1299)/1000,0),0)</f>
        <v>0</v>
      </c>
      <c r="G1300">
        <f t="shared" si="20"/>
        <v>3729</v>
      </c>
      <c r="H1300">
        <f>cukier11[[#This Row],[stan_magazynu]]-cukier11[[#This Row],[sprzedany_cukier]]</f>
        <v>3538</v>
      </c>
      <c r="I1300" s="9">
        <f>cukier11[[#This Row],[stan_po_sprzedazy]]+cukier11[[#This Row],[ile_dokupic]]*1000</f>
        <v>3538</v>
      </c>
    </row>
    <row r="1301" spans="1:9" x14ac:dyDescent="0.25">
      <c r="A1301" s="1">
        <v>40510</v>
      </c>
      <c r="B1301" t="s">
        <v>215</v>
      </c>
      <c r="C1301">
        <v>9</v>
      </c>
      <c r="D1301">
        <f>MONTH(cukier11[[#This Row],[data]])</f>
        <v>11</v>
      </c>
      <c r="E1301">
        <f>IF(D1302&lt;&gt;cukier11[[#This Row],[miesiac]],1,0)</f>
        <v>0</v>
      </c>
      <c r="F1301">
        <f>IF(AND(H1300&lt;5000,cukier11[[#This Row],[czy_nastapiła_zmiana_mies]]=1),ROUNDUP((5000-H1300)/1000,0),0)</f>
        <v>0</v>
      </c>
      <c r="G1301">
        <f t="shared" si="20"/>
        <v>3538</v>
      </c>
      <c r="H1301">
        <f>cukier11[[#This Row],[stan_magazynu]]-cukier11[[#This Row],[sprzedany_cukier]]</f>
        <v>3529</v>
      </c>
      <c r="I1301" s="9">
        <f>cukier11[[#This Row],[stan_po_sprzedazy]]+cukier11[[#This Row],[ile_dokupic]]*1000</f>
        <v>3529</v>
      </c>
    </row>
    <row r="1302" spans="1:9" x14ac:dyDescent="0.25">
      <c r="A1302" s="1">
        <v>40511</v>
      </c>
      <c r="B1302" t="s">
        <v>30</v>
      </c>
      <c r="C1302">
        <v>174</v>
      </c>
      <c r="D1302">
        <f>MONTH(cukier11[[#This Row],[data]])</f>
        <v>11</v>
      </c>
      <c r="E1302">
        <f>IF(D1303&lt;&gt;cukier11[[#This Row],[miesiac]],1,0)</f>
        <v>0</v>
      </c>
      <c r="F1302">
        <f>IF(AND(H1301&lt;5000,cukier11[[#This Row],[czy_nastapiła_zmiana_mies]]=1),ROUNDUP((5000-H1301)/1000,0),0)</f>
        <v>0</v>
      </c>
      <c r="G1302">
        <f t="shared" si="20"/>
        <v>3529</v>
      </c>
      <c r="H1302">
        <f>cukier11[[#This Row],[stan_magazynu]]-cukier11[[#This Row],[sprzedany_cukier]]</f>
        <v>3355</v>
      </c>
      <c r="I1302" s="9">
        <f>cukier11[[#This Row],[stan_po_sprzedazy]]+cukier11[[#This Row],[ile_dokupic]]*1000</f>
        <v>3355</v>
      </c>
    </row>
    <row r="1303" spans="1:9" x14ac:dyDescent="0.25">
      <c r="A1303" s="1">
        <v>40512</v>
      </c>
      <c r="B1303" t="s">
        <v>69</v>
      </c>
      <c r="C1303">
        <v>39</v>
      </c>
      <c r="D1303">
        <f>MONTH(cukier11[[#This Row],[data]])</f>
        <v>11</v>
      </c>
      <c r="E1303">
        <f>IF(D1304&lt;&gt;cukier11[[#This Row],[miesiac]],1,0)</f>
        <v>1</v>
      </c>
      <c r="F1303">
        <f>IF(AND(H1302&lt;5000,cukier11[[#This Row],[czy_nastapiła_zmiana_mies]]=1),ROUNDUP((5000-H1302)/1000,0),0)</f>
        <v>2</v>
      </c>
      <c r="G1303">
        <f t="shared" si="20"/>
        <v>3355</v>
      </c>
      <c r="H1303">
        <f>cukier11[[#This Row],[stan_magazynu]]-cukier11[[#This Row],[sprzedany_cukier]]</f>
        <v>3316</v>
      </c>
      <c r="I1303" s="9">
        <f>cukier11[[#This Row],[stan_po_sprzedazy]]+cukier11[[#This Row],[ile_dokupic]]*1000</f>
        <v>5316</v>
      </c>
    </row>
    <row r="1304" spans="1:9" x14ac:dyDescent="0.25">
      <c r="A1304" s="1">
        <v>40513</v>
      </c>
      <c r="B1304" t="s">
        <v>7</v>
      </c>
      <c r="C1304">
        <v>330</v>
      </c>
      <c r="D1304">
        <f>MONTH(cukier11[[#This Row],[data]])</f>
        <v>12</v>
      </c>
      <c r="E1304">
        <f>IF(D1305&lt;&gt;cukier11[[#This Row],[miesiac]],1,0)</f>
        <v>0</v>
      </c>
      <c r="F1304">
        <f>IF(AND(H1303&lt;5000,cukier11[[#This Row],[czy_nastapiła_zmiana_mies]]=1),ROUNDUP((5000-H1303)/1000,0),0)</f>
        <v>0</v>
      </c>
      <c r="G1304">
        <f t="shared" si="20"/>
        <v>5316</v>
      </c>
      <c r="H1304">
        <f>cukier11[[#This Row],[stan_magazynu]]-cukier11[[#This Row],[sprzedany_cukier]]</f>
        <v>4986</v>
      </c>
      <c r="I1304" s="9">
        <f>cukier11[[#This Row],[stan_po_sprzedazy]]+cukier11[[#This Row],[ile_dokupic]]*1000</f>
        <v>4986</v>
      </c>
    </row>
    <row r="1305" spans="1:9" x14ac:dyDescent="0.25">
      <c r="A1305" s="1">
        <v>40513</v>
      </c>
      <c r="B1305" t="s">
        <v>146</v>
      </c>
      <c r="C1305">
        <v>5</v>
      </c>
      <c r="D1305">
        <f>MONTH(cukier11[[#This Row],[data]])</f>
        <v>12</v>
      </c>
      <c r="E1305">
        <f>IF(D1306&lt;&gt;cukier11[[#This Row],[miesiac]],1,0)</f>
        <v>0</v>
      </c>
      <c r="F1305">
        <f>IF(AND(H1304&lt;5000,cukier11[[#This Row],[czy_nastapiła_zmiana_mies]]=1),ROUNDUP((5000-H1304)/1000,0),0)</f>
        <v>0</v>
      </c>
      <c r="G1305">
        <f t="shared" si="20"/>
        <v>4986</v>
      </c>
      <c r="H1305">
        <f>cukier11[[#This Row],[stan_magazynu]]-cukier11[[#This Row],[sprzedany_cukier]]</f>
        <v>4981</v>
      </c>
      <c r="I1305" s="9">
        <f>cukier11[[#This Row],[stan_po_sprzedazy]]+cukier11[[#This Row],[ile_dokupic]]*1000</f>
        <v>4981</v>
      </c>
    </row>
    <row r="1306" spans="1:9" x14ac:dyDescent="0.25">
      <c r="A1306" s="1">
        <v>40516</v>
      </c>
      <c r="B1306" t="s">
        <v>14</v>
      </c>
      <c r="C1306">
        <v>175</v>
      </c>
      <c r="D1306">
        <f>MONTH(cukier11[[#This Row],[data]])</f>
        <v>12</v>
      </c>
      <c r="E1306">
        <f>IF(D1307&lt;&gt;cukier11[[#This Row],[miesiac]],1,0)</f>
        <v>0</v>
      </c>
      <c r="F1306">
        <f>IF(AND(H1305&lt;5000,cukier11[[#This Row],[czy_nastapiła_zmiana_mies]]=1),ROUNDUP((5000-H1305)/1000,0),0)</f>
        <v>0</v>
      </c>
      <c r="G1306">
        <f t="shared" si="20"/>
        <v>4981</v>
      </c>
      <c r="H1306">
        <f>cukier11[[#This Row],[stan_magazynu]]-cukier11[[#This Row],[sprzedany_cukier]]</f>
        <v>4806</v>
      </c>
      <c r="I1306" s="9">
        <f>cukier11[[#This Row],[stan_po_sprzedazy]]+cukier11[[#This Row],[ile_dokupic]]*1000</f>
        <v>4806</v>
      </c>
    </row>
    <row r="1307" spans="1:9" x14ac:dyDescent="0.25">
      <c r="A1307" s="1">
        <v>40520</v>
      </c>
      <c r="B1307" t="s">
        <v>131</v>
      </c>
      <c r="C1307">
        <v>183</v>
      </c>
      <c r="D1307">
        <f>MONTH(cukier11[[#This Row],[data]])</f>
        <v>12</v>
      </c>
      <c r="E1307">
        <f>IF(D1308&lt;&gt;cukier11[[#This Row],[miesiac]],1,0)</f>
        <v>0</v>
      </c>
      <c r="F1307">
        <f>IF(AND(H1306&lt;5000,cukier11[[#This Row],[czy_nastapiła_zmiana_mies]]=1),ROUNDUP((5000-H1306)/1000,0),0)</f>
        <v>0</v>
      </c>
      <c r="G1307">
        <f t="shared" si="20"/>
        <v>4806</v>
      </c>
      <c r="H1307">
        <f>cukier11[[#This Row],[stan_magazynu]]-cukier11[[#This Row],[sprzedany_cukier]]</f>
        <v>4623</v>
      </c>
      <c r="I1307" s="9">
        <f>cukier11[[#This Row],[stan_po_sprzedazy]]+cukier11[[#This Row],[ile_dokupic]]*1000</f>
        <v>4623</v>
      </c>
    </row>
    <row r="1308" spans="1:9" x14ac:dyDescent="0.25">
      <c r="A1308" s="1">
        <v>40520</v>
      </c>
      <c r="B1308" t="s">
        <v>45</v>
      </c>
      <c r="C1308">
        <v>423</v>
      </c>
      <c r="D1308">
        <f>MONTH(cukier11[[#This Row],[data]])</f>
        <v>12</v>
      </c>
      <c r="E1308">
        <f>IF(D1309&lt;&gt;cukier11[[#This Row],[miesiac]],1,0)</f>
        <v>0</v>
      </c>
      <c r="F1308">
        <f>IF(AND(H1307&lt;5000,cukier11[[#This Row],[czy_nastapiła_zmiana_mies]]=1),ROUNDUP((5000-H1307)/1000,0),0)</f>
        <v>0</v>
      </c>
      <c r="G1308">
        <f t="shared" si="20"/>
        <v>4623</v>
      </c>
      <c r="H1308">
        <f>cukier11[[#This Row],[stan_magazynu]]-cukier11[[#This Row],[sprzedany_cukier]]</f>
        <v>4200</v>
      </c>
      <c r="I1308" s="9">
        <f>cukier11[[#This Row],[stan_po_sprzedazy]]+cukier11[[#This Row],[ile_dokupic]]*1000</f>
        <v>4200</v>
      </c>
    </row>
    <row r="1309" spans="1:9" x14ac:dyDescent="0.25">
      <c r="A1309" s="1">
        <v>40520</v>
      </c>
      <c r="B1309" t="s">
        <v>52</v>
      </c>
      <c r="C1309">
        <v>88</v>
      </c>
      <c r="D1309">
        <f>MONTH(cukier11[[#This Row],[data]])</f>
        <v>12</v>
      </c>
      <c r="E1309">
        <f>IF(D1310&lt;&gt;cukier11[[#This Row],[miesiac]],1,0)</f>
        <v>0</v>
      </c>
      <c r="F1309">
        <f>IF(AND(H1308&lt;5000,cukier11[[#This Row],[czy_nastapiła_zmiana_mies]]=1),ROUNDUP((5000-H1308)/1000,0),0)</f>
        <v>0</v>
      </c>
      <c r="G1309">
        <f t="shared" si="20"/>
        <v>4200</v>
      </c>
      <c r="H1309">
        <f>cukier11[[#This Row],[stan_magazynu]]-cukier11[[#This Row],[sprzedany_cukier]]</f>
        <v>4112</v>
      </c>
      <c r="I1309" s="9">
        <f>cukier11[[#This Row],[stan_po_sprzedazy]]+cukier11[[#This Row],[ile_dokupic]]*1000</f>
        <v>4112</v>
      </c>
    </row>
    <row r="1310" spans="1:9" x14ac:dyDescent="0.25">
      <c r="A1310" s="1">
        <v>40521</v>
      </c>
      <c r="B1310" t="s">
        <v>17</v>
      </c>
      <c r="C1310">
        <v>241</v>
      </c>
      <c r="D1310">
        <f>MONTH(cukier11[[#This Row],[data]])</f>
        <v>12</v>
      </c>
      <c r="E1310">
        <f>IF(D1311&lt;&gt;cukier11[[#This Row],[miesiac]],1,0)</f>
        <v>0</v>
      </c>
      <c r="F1310">
        <f>IF(AND(H1309&lt;5000,cukier11[[#This Row],[czy_nastapiła_zmiana_mies]]=1),ROUNDUP((5000-H1309)/1000,0),0)</f>
        <v>0</v>
      </c>
      <c r="G1310">
        <f t="shared" si="20"/>
        <v>4112</v>
      </c>
      <c r="H1310">
        <f>cukier11[[#This Row],[stan_magazynu]]-cukier11[[#This Row],[sprzedany_cukier]]</f>
        <v>3871</v>
      </c>
      <c r="I1310" s="9">
        <f>cukier11[[#This Row],[stan_po_sprzedazy]]+cukier11[[#This Row],[ile_dokupic]]*1000</f>
        <v>3871</v>
      </c>
    </row>
    <row r="1311" spans="1:9" x14ac:dyDescent="0.25">
      <c r="A1311" s="1">
        <v>40522</v>
      </c>
      <c r="B1311" t="s">
        <v>12</v>
      </c>
      <c r="C1311">
        <v>37</v>
      </c>
      <c r="D1311">
        <f>MONTH(cukier11[[#This Row],[data]])</f>
        <v>12</v>
      </c>
      <c r="E1311">
        <f>IF(D1312&lt;&gt;cukier11[[#This Row],[miesiac]],1,0)</f>
        <v>0</v>
      </c>
      <c r="F1311">
        <f>IF(AND(H1310&lt;5000,cukier11[[#This Row],[czy_nastapiła_zmiana_mies]]=1),ROUNDUP((5000-H1310)/1000,0),0)</f>
        <v>0</v>
      </c>
      <c r="G1311">
        <f t="shared" si="20"/>
        <v>3871</v>
      </c>
      <c r="H1311">
        <f>cukier11[[#This Row],[stan_magazynu]]-cukier11[[#This Row],[sprzedany_cukier]]</f>
        <v>3834</v>
      </c>
      <c r="I1311" s="9">
        <f>cukier11[[#This Row],[stan_po_sprzedazy]]+cukier11[[#This Row],[ile_dokupic]]*1000</f>
        <v>3834</v>
      </c>
    </row>
    <row r="1312" spans="1:9" x14ac:dyDescent="0.25">
      <c r="A1312" s="1">
        <v>40528</v>
      </c>
      <c r="B1312" t="s">
        <v>78</v>
      </c>
      <c r="C1312">
        <v>164</v>
      </c>
      <c r="D1312">
        <f>MONTH(cukier11[[#This Row],[data]])</f>
        <v>12</v>
      </c>
      <c r="E1312">
        <f>IF(D1313&lt;&gt;cukier11[[#This Row],[miesiac]],1,0)</f>
        <v>0</v>
      </c>
      <c r="F1312">
        <f>IF(AND(H1311&lt;5000,cukier11[[#This Row],[czy_nastapiła_zmiana_mies]]=1),ROUNDUP((5000-H1311)/1000,0),0)</f>
        <v>0</v>
      </c>
      <c r="G1312">
        <f t="shared" si="20"/>
        <v>3834</v>
      </c>
      <c r="H1312">
        <f>cukier11[[#This Row],[stan_magazynu]]-cukier11[[#This Row],[sprzedany_cukier]]</f>
        <v>3670</v>
      </c>
      <c r="I1312" s="9">
        <f>cukier11[[#This Row],[stan_po_sprzedazy]]+cukier11[[#This Row],[ile_dokupic]]*1000</f>
        <v>3670</v>
      </c>
    </row>
    <row r="1313" spans="1:9" x14ac:dyDescent="0.25">
      <c r="A1313" s="1">
        <v>40529</v>
      </c>
      <c r="B1313" t="s">
        <v>94</v>
      </c>
      <c r="C1313">
        <v>20</v>
      </c>
      <c r="D1313">
        <f>MONTH(cukier11[[#This Row],[data]])</f>
        <v>12</v>
      </c>
      <c r="E1313">
        <f>IF(D1314&lt;&gt;cukier11[[#This Row],[miesiac]],1,0)</f>
        <v>0</v>
      </c>
      <c r="F1313">
        <f>IF(AND(H1312&lt;5000,cukier11[[#This Row],[czy_nastapiła_zmiana_mies]]=1),ROUNDUP((5000-H1312)/1000,0),0)</f>
        <v>0</v>
      </c>
      <c r="G1313">
        <f t="shared" si="20"/>
        <v>3670</v>
      </c>
      <c r="H1313">
        <f>cukier11[[#This Row],[stan_magazynu]]-cukier11[[#This Row],[sprzedany_cukier]]</f>
        <v>3650</v>
      </c>
      <c r="I1313" s="9">
        <f>cukier11[[#This Row],[stan_po_sprzedazy]]+cukier11[[#This Row],[ile_dokupic]]*1000</f>
        <v>3650</v>
      </c>
    </row>
    <row r="1314" spans="1:9" x14ac:dyDescent="0.25">
      <c r="A1314" s="1">
        <v>40533</v>
      </c>
      <c r="B1314" t="s">
        <v>182</v>
      </c>
      <c r="C1314">
        <v>8</v>
      </c>
      <c r="D1314">
        <f>MONTH(cukier11[[#This Row],[data]])</f>
        <v>12</v>
      </c>
      <c r="E1314">
        <f>IF(D1315&lt;&gt;cukier11[[#This Row],[miesiac]],1,0)</f>
        <v>0</v>
      </c>
      <c r="F1314">
        <f>IF(AND(H1313&lt;5000,cukier11[[#This Row],[czy_nastapiła_zmiana_mies]]=1),ROUNDUP((5000-H1313)/1000,0),0)</f>
        <v>0</v>
      </c>
      <c r="G1314">
        <f t="shared" si="20"/>
        <v>3650</v>
      </c>
      <c r="H1314">
        <f>cukier11[[#This Row],[stan_magazynu]]-cukier11[[#This Row],[sprzedany_cukier]]</f>
        <v>3642</v>
      </c>
      <c r="I1314" s="9">
        <f>cukier11[[#This Row],[stan_po_sprzedazy]]+cukier11[[#This Row],[ile_dokupic]]*1000</f>
        <v>3642</v>
      </c>
    </row>
    <row r="1315" spans="1:9" x14ac:dyDescent="0.25">
      <c r="A1315" s="1">
        <v>40533</v>
      </c>
      <c r="B1315" t="s">
        <v>156</v>
      </c>
      <c r="C1315">
        <v>4</v>
      </c>
      <c r="D1315">
        <f>MONTH(cukier11[[#This Row],[data]])</f>
        <v>12</v>
      </c>
      <c r="E1315">
        <f>IF(D1316&lt;&gt;cukier11[[#This Row],[miesiac]],1,0)</f>
        <v>0</v>
      </c>
      <c r="F1315">
        <f>IF(AND(H1314&lt;5000,cukier11[[#This Row],[czy_nastapiła_zmiana_mies]]=1),ROUNDUP((5000-H1314)/1000,0),0)</f>
        <v>0</v>
      </c>
      <c r="G1315">
        <f t="shared" si="20"/>
        <v>3642</v>
      </c>
      <c r="H1315">
        <f>cukier11[[#This Row],[stan_magazynu]]-cukier11[[#This Row],[sprzedany_cukier]]</f>
        <v>3638</v>
      </c>
      <c r="I1315" s="9">
        <f>cukier11[[#This Row],[stan_po_sprzedazy]]+cukier11[[#This Row],[ile_dokupic]]*1000</f>
        <v>3638</v>
      </c>
    </row>
    <row r="1316" spans="1:9" x14ac:dyDescent="0.25">
      <c r="A1316" s="1">
        <v>40538</v>
      </c>
      <c r="B1316" t="s">
        <v>22</v>
      </c>
      <c r="C1316">
        <v>408</v>
      </c>
      <c r="D1316">
        <f>MONTH(cukier11[[#This Row],[data]])</f>
        <v>12</v>
      </c>
      <c r="E1316">
        <f>IF(D1317&lt;&gt;cukier11[[#This Row],[miesiac]],1,0)</f>
        <v>1</v>
      </c>
      <c r="F1316">
        <f>IF(AND(H1315&lt;5000,cukier11[[#This Row],[czy_nastapiła_zmiana_mies]]=1),ROUNDUP((5000-H1315)/1000,0),0)</f>
        <v>2</v>
      </c>
      <c r="G1316">
        <f t="shared" si="20"/>
        <v>3638</v>
      </c>
      <c r="H1316">
        <f>cukier11[[#This Row],[stan_magazynu]]-cukier11[[#This Row],[sprzedany_cukier]]</f>
        <v>3230</v>
      </c>
      <c r="I1316" s="9">
        <f>cukier11[[#This Row],[stan_po_sprzedazy]]+cukier11[[#This Row],[ile_dokupic]]*1000</f>
        <v>5230</v>
      </c>
    </row>
    <row r="1317" spans="1:9" x14ac:dyDescent="0.25">
      <c r="A1317" s="1">
        <v>40544</v>
      </c>
      <c r="B1317" t="s">
        <v>142</v>
      </c>
      <c r="C1317">
        <v>20</v>
      </c>
      <c r="D1317">
        <f>MONTH(cukier11[[#This Row],[data]])</f>
        <v>1</v>
      </c>
      <c r="E1317">
        <f>IF(D1318&lt;&gt;cukier11[[#This Row],[miesiac]],1,0)</f>
        <v>0</v>
      </c>
      <c r="F1317">
        <f>IF(AND(H1316&lt;5000,cukier11[[#This Row],[czy_nastapiła_zmiana_mies]]=1),ROUNDUP((5000-H1316)/1000,0),0)</f>
        <v>0</v>
      </c>
      <c r="G1317">
        <f t="shared" si="20"/>
        <v>5230</v>
      </c>
      <c r="H1317">
        <f>cukier11[[#This Row],[stan_magazynu]]-cukier11[[#This Row],[sprzedany_cukier]]</f>
        <v>5210</v>
      </c>
      <c r="I1317" s="9">
        <f>cukier11[[#This Row],[stan_po_sprzedazy]]+cukier11[[#This Row],[ile_dokupic]]*1000</f>
        <v>5210</v>
      </c>
    </row>
    <row r="1318" spans="1:9" x14ac:dyDescent="0.25">
      <c r="A1318" s="1">
        <v>40545</v>
      </c>
      <c r="B1318" t="s">
        <v>31</v>
      </c>
      <c r="C1318">
        <v>102</v>
      </c>
      <c r="D1318">
        <f>MONTH(cukier11[[#This Row],[data]])</f>
        <v>1</v>
      </c>
      <c r="E1318">
        <f>IF(D1319&lt;&gt;cukier11[[#This Row],[miesiac]],1,0)</f>
        <v>0</v>
      </c>
      <c r="F1318">
        <f>IF(AND(H1317&lt;5000,cukier11[[#This Row],[czy_nastapiła_zmiana_mies]]=1),ROUNDUP((5000-H1317)/1000,0),0)</f>
        <v>0</v>
      </c>
      <c r="G1318">
        <f t="shared" si="20"/>
        <v>5210</v>
      </c>
      <c r="H1318">
        <f>cukier11[[#This Row],[stan_magazynu]]-cukier11[[#This Row],[sprzedany_cukier]]</f>
        <v>5108</v>
      </c>
      <c r="I1318" s="9">
        <f>cukier11[[#This Row],[stan_po_sprzedazy]]+cukier11[[#This Row],[ile_dokupic]]*1000</f>
        <v>5108</v>
      </c>
    </row>
    <row r="1319" spans="1:9" x14ac:dyDescent="0.25">
      <c r="A1319" s="1">
        <v>40546</v>
      </c>
      <c r="B1319" t="s">
        <v>9</v>
      </c>
      <c r="C1319">
        <v>240</v>
      </c>
      <c r="D1319">
        <f>MONTH(cukier11[[#This Row],[data]])</f>
        <v>1</v>
      </c>
      <c r="E1319">
        <f>IF(D1320&lt;&gt;cukier11[[#This Row],[miesiac]],1,0)</f>
        <v>0</v>
      </c>
      <c r="F1319">
        <f>IF(AND(H1318&lt;5000,cukier11[[#This Row],[czy_nastapiła_zmiana_mies]]=1),ROUNDUP((5000-H1318)/1000,0),0)</f>
        <v>0</v>
      </c>
      <c r="G1319">
        <f t="shared" si="20"/>
        <v>5108</v>
      </c>
      <c r="H1319">
        <f>cukier11[[#This Row],[stan_magazynu]]-cukier11[[#This Row],[sprzedany_cukier]]</f>
        <v>4868</v>
      </c>
      <c r="I1319" s="9">
        <f>cukier11[[#This Row],[stan_po_sprzedazy]]+cukier11[[#This Row],[ile_dokupic]]*1000</f>
        <v>4868</v>
      </c>
    </row>
    <row r="1320" spans="1:9" x14ac:dyDescent="0.25">
      <c r="A1320" s="1">
        <v>40548</v>
      </c>
      <c r="B1320" t="s">
        <v>10</v>
      </c>
      <c r="C1320">
        <v>124</v>
      </c>
      <c r="D1320">
        <f>MONTH(cukier11[[#This Row],[data]])</f>
        <v>1</v>
      </c>
      <c r="E1320">
        <f>IF(D1321&lt;&gt;cukier11[[#This Row],[miesiac]],1,0)</f>
        <v>0</v>
      </c>
      <c r="F1320">
        <f>IF(AND(H1319&lt;5000,cukier11[[#This Row],[czy_nastapiła_zmiana_mies]]=1),ROUNDUP((5000-H1319)/1000,0),0)</f>
        <v>0</v>
      </c>
      <c r="G1320">
        <f t="shared" si="20"/>
        <v>4868</v>
      </c>
      <c r="H1320">
        <f>cukier11[[#This Row],[stan_magazynu]]-cukier11[[#This Row],[sprzedany_cukier]]</f>
        <v>4744</v>
      </c>
      <c r="I1320" s="9">
        <f>cukier11[[#This Row],[stan_po_sprzedazy]]+cukier11[[#This Row],[ile_dokupic]]*1000</f>
        <v>4744</v>
      </c>
    </row>
    <row r="1321" spans="1:9" x14ac:dyDescent="0.25">
      <c r="A1321" s="1">
        <v>40550</v>
      </c>
      <c r="B1321" t="s">
        <v>45</v>
      </c>
      <c r="C1321">
        <v>330</v>
      </c>
      <c r="D1321">
        <f>MONTH(cukier11[[#This Row],[data]])</f>
        <v>1</v>
      </c>
      <c r="E1321">
        <f>IF(D1322&lt;&gt;cukier11[[#This Row],[miesiac]],1,0)</f>
        <v>0</v>
      </c>
      <c r="F1321">
        <f>IF(AND(H1320&lt;5000,cukier11[[#This Row],[czy_nastapiła_zmiana_mies]]=1),ROUNDUP((5000-H1320)/1000,0),0)</f>
        <v>0</v>
      </c>
      <c r="G1321">
        <f t="shared" si="20"/>
        <v>4744</v>
      </c>
      <c r="H1321">
        <f>cukier11[[#This Row],[stan_magazynu]]-cukier11[[#This Row],[sprzedany_cukier]]</f>
        <v>4414</v>
      </c>
      <c r="I1321" s="9">
        <f>cukier11[[#This Row],[stan_po_sprzedazy]]+cukier11[[#This Row],[ile_dokupic]]*1000</f>
        <v>4414</v>
      </c>
    </row>
    <row r="1322" spans="1:9" x14ac:dyDescent="0.25">
      <c r="A1322" s="1">
        <v>40554</v>
      </c>
      <c r="B1322" t="s">
        <v>26</v>
      </c>
      <c r="C1322">
        <v>187</v>
      </c>
      <c r="D1322">
        <f>MONTH(cukier11[[#This Row],[data]])</f>
        <v>1</v>
      </c>
      <c r="E1322">
        <f>IF(D1323&lt;&gt;cukier11[[#This Row],[miesiac]],1,0)</f>
        <v>0</v>
      </c>
      <c r="F1322">
        <f>IF(AND(H1321&lt;5000,cukier11[[#This Row],[czy_nastapiła_zmiana_mies]]=1),ROUNDUP((5000-H1321)/1000,0),0)</f>
        <v>0</v>
      </c>
      <c r="G1322">
        <f t="shared" si="20"/>
        <v>4414</v>
      </c>
      <c r="H1322">
        <f>cukier11[[#This Row],[stan_magazynu]]-cukier11[[#This Row],[sprzedany_cukier]]</f>
        <v>4227</v>
      </c>
      <c r="I1322" s="9">
        <f>cukier11[[#This Row],[stan_po_sprzedazy]]+cukier11[[#This Row],[ile_dokupic]]*1000</f>
        <v>4227</v>
      </c>
    </row>
    <row r="1323" spans="1:9" x14ac:dyDescent="0.25">
      <c r="A1323" s="1">
        <v>40561</v>
      </c>
      <c r="B1323" t="s">
        <v>52</v>
      </c>
      <c r="C1323">
        <v>165</v>
      </c>
      <c r="D1323">
        <f>MONTH(cukier11[[#This Row],[data]])</f>
        <v>1</v>
      </c>
      <c r="E1323">
        <f>IF(D1324&lt;&gt;cukier11[[#This Row],[miesiac]],1,0)</f>
        <v>0</v>
      </c>
      <c r="F1323">
        <f>IF(AND(H1322&lt;5000,cukier11[[#This Row],[czy_nastapiła_zmiana_mies]]=1),ROUNDUP((5000-H1322)/1000,0),0)</f>
        <v>0</v>
      </c>
      <c r="G1323">
        <f t="shared" si="20"/>
        <v>4227</v>
      </c>
      <c r="H1323">
        <f>cukier11[[#This Row],[stan_magazynu]]-cukier11[[#This Row],[sprzedany_cukier]]</f>
        <v>4062</v>
      </c>
      <c r="I1323" s="9">
        <f>cukier11[[#This Row],[stan_po_sprzedazy]]+cukier11[[#This Row],[ile_dokupic]]*1000</f>
        <v>4062</v>
      </c>
    </row>
    <row r="1324" spans="1:9" x14ac:dyDescent="0.25">
      <c r="A1324" s="1">
        <v>40562</v>
      </c>
      <c r="B1324" t="s">
        <v>5</v>
      </c>
      <c r="C1324">
        <v>371</v>
      </c>
      <c r="D1324">
        <f>MONTH(cukier11[[#This Row],[data]])</f>
        <v>1</v>
      </c>
      <c r="E1324">
        <f>IF(D1325&lt;&gt;cukier11[[#This Row],[miesiac]],1,0)</f>
        <v>0</v>
      </c>
      <c r="F1324">
        <f>IF(AND(H1323&lt;5000,cukier11[[#This Row],[czy_nastapiła_zmiana_mies]]=1),ROUNDUP((5000-H1323)/1000,0),0)</f>
        <v>0</v>
      </c>
      <c r="G1324">
        <f t="shared" si="20"/>
        <v>4062</v>
      </c>
      <c r="H1324">
        <f>cukier11[[#This Row],[stan_magazynu]]-cukier11[[#This Row],[sprzedany_cukier]]</f>
        <v>3691</v>
      </c>
      <c r="I1324" s="9">
        <f>cukier11[[#This Row],[stan_po_sprzedazy]]+cukier11[[#This Row],[ile_dokupic]]*1000</f>
        <v>3691</v>
      </c>
    </row>
    <row r="1325" spans="1:9" x14ac:dyDescent="0.25">
      <c r="A1325" s="1">
        <v>40564</v>
      </c>
      <c r="B1325" t="s">
        <v>39</v>
      </c>
      <c r="C1325">
        <v>185</v>
      </c>
      <c r="D1325">
        <f>MONTH(cukier11[[#This Row],[data]])</f>
        <v>1</v>
      </c>
      <c r="E1325">
        <f>IF(D1326&lt;&gt;cukier11[[#This Row],[miesiac]],1,0)</f>
        <v>0</v>
      </c>
      <c r="F1325">
        <f>IF(AND(H1324&lt;5000,cukier11[[#This Row],[czy_nastapiła_zmiana_mies]]=1),ROUNDUP((5000-H1324)/1000,0),0)</f>
        <v>0</v>
      </c>
      <c r="G1325">
        <f t="shared" si="20"/>
        <v>3691</v>
      </c>
      <c r="H1325">
        <f>cukier11[[#This Row],[stan_magazynu]]-cukier11[[#This Row],[sprzedany_cukier]]</f>
        <v>3506</v>
      </c>
      <c r="I1325" s="9">
        <f>cukier11[[#This Row],[stan_po_sprzedazy]]+cukier11[[#This Row],[ile_dokupic]]*1000</f>
        <v>3506</v>
      </c>
    </row>
    <row r="1326" spans="1:9" x14ac:dyDescent="0.25">
      <c r="A1326" s="1">
        <v>40566</v>
      </c>
      <c r="B1326" t="s">
        <v>9</v>
      </c>
      <c r="C1326">
        <v>401</v>
      </c>
      <c r="D1326">
        <f>MONTH(cukier11[[#This Row],[data]])</f>
        <v>1</v>
      </c>
      <c r="E1326">
        <f>IF(D1327&lt;&gt;cukier11[[#This Row],[miesiac]],1,0)</f>
        <v>0</v>
      </c>
      <c r="F1326">
        <f>IF(AND(H1325&lt;5000,cukier11[[#This Row],[czy_nastapiła_zmiana_mies]]=1),ROUNDUP((5000-H1325)/1000,0),0)</f>
        <v>0</v>
      </c>
      <c r="G1326">
        <f t="shared" si="20"/>
        <v>3506</v>
      </c>
      <c r="H1326">
        <f>cukier11[[#This Row],[stan_magazynu]]-cukier11[[#This Row],[sprzedany_cukier]]</f>
        <v>3105</v>
      </c>
      <c r="I1326" s="9">
        <f>cukier11[[#This Row],[stan_po_sprzedazy]]+cukier11[[#This Row],[ile_dokupic]]*1000</f>
        <v>3105</v>
      </c>
    </row>
    <row r="1327" spans="1:9" x14ac:dyDescent="0.25">
      <c r="A1327" s="1">
        <v>40568</v>
      </c>
      <c r="B1327" t="s">
        <v>55</v>
      </c>
      <c r="C1327">
        <v>25</v>
      </c>
      <c r="D1327">
        <f>MONTH(cukier11[[#This Row],[data]])</f>
        <v>1</v>
      </c>
      <c r="E1327">
        <f>IF(D1328&lt;&gt;cukier11[[#This Row],[miesiac]],1,0)</f>
        <v>0</v>
      </c>
      <c r="F1327">
        <f>IF(AND(H1326&lt;5000,cukier11[[#This Row],[czy_nastapiła_zmiana_mies]]=1),ROUNDUP((5000-H1326)/1000,0),0)</f>
        <v>0</v>
      </c>
      <c r="G1327">
        <f t="shared" si="20"/>
        <v>3105</v>
      </c>
      <c r="H1327">
        <f>cukier11[[#This Row],[stan_magazynu]]-cukier11[[#This Row],[sprzedany_cukier]]</f>
        <v>3080</v>
      </c>
      <c r="I1327" s="9">
        <f>cukier11[[#This Row],[stan_po_sprzedazy]]+cukier11[[#This Row],[ile_dokupic]]*1000</f>
        <v>3080</v>
      </c>
    </row>
    <row r="1328" spans="1:9" x14ac:dyDescent="0.25">
      <c r="A1328" s="1">
        <v>40568</v>
      </c>
      <c r="B1328" t="s">
        <v>93</v>
      </c>
      <c r="C1328">
        <v>3</v>
      </c>
      <c r="D1328">
        <f>MONTH(cukier11[[#This Row],[data]])</f>
        <v>1</v>
      </c>
      <c r="E1328">
        <f>IF(D1329&lt;&gt;cukier11[[#This Row],[miesiac]],1,0)</f>
        <v>0</v>
      </c>
      <c r="F1328">
        <f>IF(AND(H1327&lt;5000,cukier11[[#This Row],[czy_nastapiła_zmiana_mies]]=1),ROUNDUP((5000-H1327)/1000,0),0)</f>
        <v>0</v>
      </c>
      <c r="G1328">
        <f t="shared" si="20"/>
        <v>3080</v>
      </c>
      <c r="H1328">
        <f>cukier11[[#This Row],[stan_magazynu]]-cukier11[[#This Row],[sprzedany_cukier]]</f>
        <v>3077</v>
      </c>
      <c r="I1328" s="9">
        <f>cukier11[[#This Row],[stan_po_sprzedazy]]+cukier11[[#This Row],[ile_dokupic]]*1000</f>
        <v>3077</v>
      </c>
    </row>
    <row r="1329" spans="1:9" x14ac:dyDescent="0.25">
      <c r="A1329" s="1">
        <v>40568</v>
      </c>
      <c r="B1329" t="s">
        <v>170</v>
      </c>
      <c r="C1329">
        <v>11</v>
      </c>
      <c r="D1329">
        <f>MONTH(cukier11[[#This Row],[data]])</f>
        <v>1</v>
      </c>
      <c r="E1329">
        <f>IF(D1330&lt;&gt;cukier11[[#This Row],[miesiac]],1,0)</f>
        <v>0</v>
      </c>
      <c r="F1329">
        <f>IF(AND(H1328&lt;5000,cukier11[[#This Row],[czy_nastapiła_zmiana_mies]]=1),ROUNDUP((5000-H1328)/1000,0),0)</f>
        <v>0</v>
      </c>
      <c r="G1329">
        <f t="shared" si="20"/>
        <v>3077</v>
      </c>
      <c r="H1329">
        <f>cukier11[[#This Row],[stan_magazynu]]-cukier11[[#This Row],[sprzedany_cukier]]</f>
        <v>3066</v>
      </c>
      <c r="I1329" s="9">
        <f>cukier11[[#This Row],[stan_po_sprzedazy]]+cukier11[[#This Row],[ile_dokupic]]*1000</f>
        <v>3066</v>
      </c>
    </row>
    <row r="1330" spans="1:9" x14ac:dyDescent="0.25">
      <c r="A1330" s="1">
        <v>40573</v>
      </c>
      <c r="B1330" t="s">
        <v>216</v>
      </c>
      <c r="C1330">
        <v>18</v>
      </c>
      <c r="D1330">
        <f>MONTH(cukier11[[#This Row],[data]])</f>
        <v>1</v>
      </c>
      <c r="E1330">
        <f>IF(D1331&lt;&gt;cukier11[[#This Row],[miesiac]],1,0)</f>
        <v>0</v>
      </c>
      <c r="F1330">
        <f>IF(AND(H1329&lt;5000,cukier11[[#This Row],[czy_nastapiła_zmiana_mies]]=1),ROUNDUP((5000-H1329)/1000,0),0)</f>
        <v>0</v>
      </c>
      <c r="G1330">
        <f t="shared" si="20"/>
        <v>3066</v>
      </c>
      <c r="H1330">
        <f>cukier11[[#This Row],[stan_magazynu]]-cukier11[[#This Row],[sprzedany_cukier]]</f>
        <v>3048</v>
      </c>
      <c r="I1330" s="9">
        <f>cukier11[[#This Row],[stan_po_sprzedazy]]+cukier11[[#This Row],[ile_dokupic]]*1000</f>
        <v>3048</v>
      </c>
    </row>
    <row r="1331" spans="1:9" x14ac:dyDescent="0.25">
      <c r="A1331" s="1">
        <v>40573</v>
      </c>
      <c r="B1331" t="s">
        <v>45</v>
      </c>
      <c r="C1331">
        <v>154</v>
      </c>
      <c r="D1331">
        <f>MONTH(cukier11[[#This Row],[data]])</f>
        <v>1</v>
      </c>
      <c r="E1331">
        <f>IF(D1332&lt;&gt;cukier11[[#This Row],[miesiac]],1,0)</f>
        <v>0</v>
      </c>
      <c r="F1331">
        <f>IF(AND(H1330&lt;5000,cukier11[[#This Row],[czy_nastapiła_zmiana_mies]]=1),ROUNDUP((5000-H1330)/1000,0),0)</f>
        <v>0</v>
      </c>
      <c r="G1331">
        <f t="shared" si="20"/>
        <v>3048</v>
      </c>
      <c r="H1331">
        <f>cukier11[[#This Row],[stan_magazynu]]-cukier11[[#This Row],[sprzedany_cukier]]</f>
        <v>2894</v>
      </c>
      <c r="I1331" s="9">
        <f>cukier11[[#This Row],[stan_po_sprzedazy]]+cukier11[[#This Row],[ile_dokupic]]*1000</f>
        <v>2894</v>
      </c>
    </row>
    <row r="1332" spans="1:9" x14ac:dyDescent="0.25">
      <c r="A1332" s="1">
        <v>40574</v>
      </c>
      <c r="B1332" t="s">
        <v>50</v>
      </c>
      <c r="C1332">
        <v>423</v>
      </c>
      <c r="D1332">
        <f>MONTH(cukier11[[#This Row],[data]])</f>
        <v>1</v>
      </c>
      <c r="E1332">
        <f>IF(D1333&lt;&gt;cukier11[[#This Row],[miesiac]],1,0)</f>
        <v>1</v>
      </c>
      <c r="F1332">
        <f>IF(AND(H1331&lt;5000,cukier11[[#This Row],[czy_nastapiła_zmiana_mies]]=1),ROUNDUP((5000-H1331)/1000,0),0)</f>
        <v>3</v>
      </c>
      <c r="G1332">
        <f t="shared" si="20"/>
        <v>2894</v>
      </c>
      <c r="H1332">
        <f>cukier11[[#This Row],[stan_magazynu]]-cukier11[[#This Row],[sprzedany_cukier]]</f>
        <v>2471</v>
      </c>
      <c r="I1332" s="9">
        <f>cukier11[[#This Row],[stan_po_sprzedazy]]+cukier11[[#This Row],[ile_dokupic]]*1000</f>
        <v>5471</v>
      </c>
    </row>
    <row r="1333" spans="1:9" x14ac:dyDescent="0.25">
      <c r="A1333" s="1">
        <v>40576</v>
      </c>
      <c r="B1333" t="s">
        <v>127</v>
      </c>
      <c r="C1333">
        <v>6</v>
      </c>
      <c r="D1333">
        <f>MONTH(cukier11[[#This Row],[data]])</f>
        <v>2</v>
      </c>
      <c r="E1333">
        <f>IF(D1334&lt;&gt;cukier11[[#This Row],[miesiac]],1,0)</f>
        <v>0</v>
      </c>
      <c r="F1333">
        <f>IF(AND(H1332&lt;5000,cukier11[[#This Row],[czy_nastapiła_zmiana_mies]]=1),ROUNDUP((5000-H1332)/1000,0),0)</f>
        <v>0</v>
      </c>
      <c r="G1333">
        <f t="shared" si="20"/>
        <v>5471</v>
      </c>
      <c r="H1333">
        <f>cukier11[[#This Row],[stan_magazynu]]-cukier11[[#This Row],[sprzedany_cukier]]</f>
        <v>5465</v>
      </c>
      <c r="I1333" s="9">
        <f>cukier11[[#This Row],[stan_po_sprzedazy]]+cukier11[[#This Row],[ile_dokupic]]*1000</f>
        <v>5465</v>
      </c>
    </row>
    <row r="1334" spans="1:9" x14ac:dyDescent="0.25">
      <c r="A1334" s="1">
        <v>40580</v>
      </c>
      <c r="B1334" t="s">
        <v>28</v>
      </c>
      <c r="C1334">
        <v>62</v>
      </c>
      <c r="D1334">
        <f>MONTH(cukier11[[#This Row],[data]])</f>
        <v>2</v>
      </c>
      <c r="E1334">
        <f>IF(D1335&lt;&gt;cukier11[[#This Row],[miesiac]],1,0)</f>
        <v>0</v>
      </c>
      <c r="F1334">
        <f>IF(AND(H1333&lt;5000,cukier11[[#This Row],[czy_nastapiła_zmiana_mies]]=1),ROUNDUP((5000-H1333)/1000,0),0)</f>
        <v>0</v>
      </c>
      <c r="G1334">
        <f t="shared" si="20"/>
        <v>5465</v>
      </c>
      <c r="H1334">
        <f>cukier11[[#This Row],[stan_magazynu]]-cukier11[[#This Row],[sprzedany_cukier]]</f>
        <v>5403</v>
      </c>
      <c r="I1334" s="9">
        <f>cukier11[[#This Row],[stan_po_sprzedazy]]+cukier11[[#This Row],[ile_dokupic]]*1000</f>
        <v>5403</v>
      </c>
    </row>
    <row r="1335" spans="1:9" x14ac:dyDescent="0.25">
      <c r="A1335" s="1">
        <v>40581</v>
      </c>
      <c r="B1335" t="s">
        <v>136</v>
      </c>
      <c r="C1335">
        <v>15</v>
      </c>
      <c r="D1335">
        <f>MONTH(cukier11[[#This Row],[data]])</f>
        <v>2</v>
      </c>
      <c r="E1335">
        <f>IF(D1336&lt;&gt;cukier11[[#This Row],[miesiac]],1,0)</f>
        <v>0</v>
      </c>
      <c r="F1335">
        <f>IF(AND(H1334&lt;5000,cukier11[[#This Row],[czy_nastapiła_zmiana_mies]]=1),ROUNDUP((5000-H1334)/1000,0),0)</f>
        <v>0</v>
      </c>
      <c r="G1335">
        <f t="shared" si="20"/>
        <v>5403</v>
      </c>
      <c r="H1335">
        <f>cukier11[[#This Row],[stan_magazynu]]-cukier11[[#This Row],[sprzedany_cukier]]</f>
        <v>5388</v>
      </c>
      <c r="I1335" s="9">
        <f>cukier11[[#This Row],[stan_po_sprzedazy]]+cukier11[[#This Row],[ile_dokupic]]*1000</f>
        <v>5388</v>
      </c>
    </row>
    <row r="1336" spans="1:9" x14ac:dyDescent="0.25">
      <c r="A1336" s="1">
        <v>40583</v>
      </c>
      <c r="B1336" t="s">
        <v>9</v>
      </c>
      <c r="C1336">
        <v>311</v>
      </c>
      <c r="D1336">
        <f>MONTH(cukier11[[#This Row],[data]])</f>
        <v>2</v>
      </c>
      <c r="E1336">
        <f>IF(D1337&lt;&gt;cukier11[[#This Row],[miesiac]],1,0)</f>
        <v>0</v>
      </c>
      <c r="F1336">
        <f>IF(AND(H1335&lt;5000,cukier11[[#This Row],[czy_nastapiła_zmiana_mies]]=1),ROUNDUP((5000-H1335)/1000,0),0)</f>
        <v>0</v>
      </c>
      <c r="G1336">
        <f t="shared" si="20"/>
        <v>5388</v>
      </c>
      <c r="H1336">
        <f>cukier11[[#This Row],[stan_magazynu]]-cukier11[[#This Row],[sprzedany_cukier]]</f>
        <v>5077</v>
      </c>
      <c r="I1336" s="9">
        <f>cukier11[[#This Row],[stan_po_sprzedazy]]+cukier11[[#This Row],[ile_dokupic]]*1000</f>
        <v>5077</v>
      </c>
    </row>
    <row r="1337" spans="1:9" x14ac:dyDescent="0.25">
      <c r="A1337" s="1">
        <v>40584</v>
      </c>
      <c r="B1337" t="s">
        <v>19</v>
      </c>
      <c r="C1337">
        <v>127</v>
      </c>
      <c r="D1337">
        <f>MONTH(cukier11[[#This Row],[data]])</f>
        <v>2</v>
      </c>
      <c r="E1337">
        <f>IF(D1338&lt;&gt;cukier11[[#This Row],[miesiac]],1,0)</f>
        <v>0</v>
      </c>
      <c r="F1337">
        <f>IF(AND(H1336&lt;5000,cukier11[[#This Row],[czy_nastapiła_zmiana_mies]]=1),ROUNDUP((5000-H1336)/1000,0),0)</f>
        <v>0</v>
      </c>
      <c r="G1337">
        <f t="shared" si="20"/>
        <v>5077</v>
      </c>
      <c r="H1337">
        <f>cukier11[[#This Row],[stan_magazynu]]-cukier11[[#This Row],[sprzedany_cukier]]</f>
        <v>4950</v>
      </c>
      <c r="I1337" s="9">
        <f>cukier11[[#This Row],[stan_po_sprzedazy]]+cukier11[[#This Row],[ile_dokupic]]*1000</f>
        <v>4950</v>
      </c>
    </row>
    <row r="1338" spans="1:9" x14ac:dyDescent="0.25">
      <c r="A1338" s="1">
        <v>40585</v>
      </c>
      <c r="B1338" t="s">
        <v>22</v>
      </c>
      <c r="C1338">
        <v>483</v>
      </c>
      <c r="D1338">
        <f>MONTH(cukier11[[#This Row],[data]])</f>
        <v>2</v>
      </c>
      <c r="E1338">
        <f>IF(D1339&lt;&gt;cukier11[[#This Row],[miesiac]],1,0)</f>
        <v>0</v>
      </c>
      <c r="F1338">
        <f>IF(AND(H1337&lt;5000,cukier11[[#This Row],[czy_nastapiła_zmiana_mies]]=1),ROUNDUP((5000-H1337)/1000,0),0)</f>
        <v>0</v>
      </c>
      <c r="G1338">
        <f t="shared" si="20"/>
        <v>4950</v>
      </c>
      <c r="H1338">
        <f>cukier11[[#This Row],[stan_magazynu]]-cukier11[[#This Row],[sprzedany_cukier]]</f>
        <v>4467</v>
      </c>
      <c r="I1338" s="9">
        <f>cukier11[[#This Row],[stan_po_sprzedazy]]+cukier11[[#This Row],[ile_dokupic]]*1000</f>
        <v>4467</v>
      </c>
    </row>
    <row r="1339" spans="1:9" x14ac:dyDescent="0.25">
      <c r="A1339" s="1">
        <v>40588</v>
      </c>
      <c r="B1339" t="s">
        <v>217</v>
      </c>
      <c r="C1339">
        <v>9</v>
      </c>
      <c r="D1339">
        <f>MONTH(cukier11[[#This Row],[data]])</f>
        <v>2</v>
      </c>
      <c r="E1339">
        <f>IF(D1340&lt;&gt;cukier11[[#This Row],[miesiac]],1,0)</f>
        <v>0</v>
      </c>
      <c r="F1339">
        <f>IF(AND(H1338&lt;5000,cukier11[[#This Row],[czy_nastapiła_zmiana_mies]]=1),ROUNDUP((5000-H1338)/1000,0),0)</f>
        <v>0</v>
      </c>
      <c r="G1339">
        <f t="shared" si="20"/>
        <v>4467</v>
      </c>
      <c r="H1339">
        <f>cukier11[[#This Row],[stan_magazynu]]-cukier11[[#This Row],[sprzedany_cukier]]</f>
        <v>4458</v>
      </c>
      <c r="I1339" s="9">
        <f>cukier11[[#This Row],[stan_po_sprzedazy]]+cukier11[[#This Row],[ile_dokupic]]*1000</f>
        <v>4458</v>
      </c>
    </row>
    <row r="1340" spans="1:9" x14ac:dyDescent="0.25">
      <c r="A1340" s="1">
        <v>40593</v>
      </c>
      <c r="B1340" t="s">
        <v>20</v>
      </c>
      <c r="C1340">
        <v>75</v>
      </c>
      <c r="D1340">
        <f>MONTH(cukier11[[#This Row],[data]])</f>
        <v>2</v>
      </c>
      <c r="E1340">
        <f>IF(D1341&lt;&gt;cukier11[[#This Row],[miesiac]],1,0)</f>
        <v>0</v>
      </c>
      <c r="F1340">
        <f>IF(AND(H1339&lt;5000,cukier11[[#This Row],[czy_nastapiła_zmiana_mies]]=1),ROUNDUP((5000-H1339)/1000,0),0)</f>
        <v>0</v>
      </c>
      <c r="G1340">
        <f t="shared" si="20"/>
        <v>4458</v>
      </c>
      <c r="H1340">
        <f>cukier11[[#This Row],[stan_magazynu]]-cukier11[[#This Row],[sprzedany_cukier]]</f>
        <v>4383</v>
      </c>
      <c r="I1340" s="9">
        <f>cukier11[[#This Row],[stan_po_sprzedazy]]+cukier11[[#This Row],[ile_dokupic]]*1000</f>
        <v>4383</v>
      </c>
    </row>
    <row r="1341" spans="1:9" x14ac:dyDescent="0.25">
      <c r="A1341" s="1">
        <v>40598</v>
      </c>
      <c r="B1341" t="s">
        <v>218</v>
      </c>
      <c r="C1341">
        <v>7</v>
      </c>
      <c r="D1341">
        <f>MONTH(cukier11[[#This Row],[data]])</f>
        <v>2</v>
      </c>
      <c r="E1341">
        <f>IF(D1342&lt;&gt;cukier11[[#This Row],[miesiac]],1,0)</f>
        <v>0</v>
      </c>
      <c r="F1341">
        <f>IF(AND(H1340&lt;5000,cukier11[[#This Row],[czy_nastapiła_zmiana_mies]]=1),ROUNDUP((5000-H1340)/1000,0),0)</f>
        <v>0</v>
      </c>
      <c r="G1341">
        <f t="shared" si="20"/>
        <v>4383</v>
      </c>
      <c r="H1341">
        <f>cukier11[[#This Row],[stan_magazynu]]-cukier11[[#This Row],[sprzedany_cukier]]</f>
        <v>4376</v>
      </c>
      <c r="I1341" s="9">
        <f>cukier11[[#This Row],[stan_po_sprzedazy]]+cukier11[[#This Row],[ile_dokupic]]*1000</f>
        <v>4376</v>
      </c>
    </row>
    <row r="1342" spans="1:9" x14ac:dyDescent="0.25">
      <c r="A1342" s="1">
        <v>40602</v>
      </c>
      <c r="B1342" t="s">
        <v>35</v>
      </c>
      <c r="C1342">
        <v>114</v>
      </c>
      <c r="D1342">
        <f>MONTH(cukier11[[#This Row],[data]])</f>
        <v>2</v>
      </c>
      <c r="E1342">
        <f>IF(D1343&lt;&gt;cukier11[[#This Row],[miesiac]],1,0)</f>
        <v>1</v>
      </c>
      <c r="F1342">
        <f>IF(AND(H1341&lt;5000,cukier11[[#This Row],[czy_nastapiła_zmiana_mies]]=1),ROUNDUP((5000-H1341)/1000,0),0)</f>
        <v>1</v>
      </c>
      <c r="G1342">
        <f t="shared" si="20"/>
        <v>4376</v>
      </c>
      <c r="H1342">
        <f>cukier11[[#This Row],[stan_magazynu]]-cukier11[[#This Row],[sprzedany_cukier]]</f>
        <v>4262</v>
      </c>
      <c r="I1342" s="9">
        <f>cukier11[[#This Row],[stan_po_sprzedazy]]+cukier11[[#This Row],[ile_dokupic]]*1000</f>
        <v>5262</v>
      </c>
    </row>
    <row r="1343" spans="1:9" x14ac:dyDescent="0.25">
      <c r="A1343" s="1">
        <v>40605</v>
      </c>
      <c r="B1343" t="s">
        <v>123</v>
      </c>
      <c r="C1343">
        <v>151</v>
      </c>
      <c r="D1343">
        <f>MONTH(cukier11[[#This Row],[data]])</f>
        <v>3</v>
      </c>
      <c r="E1343">
        <f>IF(D1344&lt;&gt;cukier11[[#This Row],[miesiac]],1,0)</f>
        <v>0</v>
      </c>
      <c r="F1343">
        <f>IF(AND(H1342&lt;5000,cukier11[[#This Row],[czy_nastapiła_zmiana_mies]]=1),ROUNDUP((5000-H1342)/1000,0),0)</f>
        <v>0</v>
      </c>
      <c r="G1343">
        <f t="shared" si="20"/>
        <v>5262</v>
      </c>
      <c r="H1343">
        <f>cukier11[[#This Row],[stan_magazynu]]-cukier11[[#This Row],[sprzedany_cukier]]</f>
        <v>5111</v>
      </c>
      <c r="I1343" s="9">
        <f>cukier11[[#This Row],[stan_po_sprzedazy]]+cukier11[[#This Row],[ile_dokupic]]*1000</f>
        <v>5111</v>
      </c>
    </row>
    <row r="1344" spans="1:9" x14ac:dyDescent="0.25">
      <c r="A1344" s="1">
        <v>40608</v>
      </c>
      <c r="B1344" t="s">
        <v>10</v>
      </c>
      <c r="C1344">
        <v>116</v>
      </c>
      <c r="D1344">
        <f>MONTH(cukier11[[#This Row],[data]])</f>
        <v>3</v>
      </c>
      <c r="E1344">
        <f>IF(D1345&lt;&gt;cukier11[[#This Row],[miesiac]],1,0)</f>
        <v>0</v>
      </c>
      <c r="F1344">
        <f>IF(AND(H1343&lt;5000,cukier11[[#This Row],[czy_nastapiła_zmiana_mies]]=1),ROUNDUP((5000-H1343)/1000,0),0)</f>
        <v>0</v>
      </c>
      <c r="G1344">
        <f t="shared" si="20"/>
        <v>5111</v>
      </c>
      <c r="H1344">
        <f>cukier11[[#This Row],[stan_magazynu]]-cukier11[[#This Row],[sprzedany_cukier]]</f>
        <v>4995</v>
      </c>
      <c r="I1344" s="9">
        <f>cukier11[[#This Row],[stan_po_sprzedazy]]+cukier11[[#This Row],[ile_dokupic]]*1000</f>
        <v>4995</v>
      </c>
    </row>
    <row r="1345" spans="1:9" x14ac:dyDescent="0.25">
      <c r="A1345" s="1">
        <v>40609</v>
      </c>
      <c r="B1345" t="s">
        <v>12</v>
      </c>
      <c r="C1345">
        <v>76</v>
      </c>
      <c r="D1345">
        <f>MONTH(cukier11[[#This Row],[data]])</f>
        <v>3</v>
      </c>
      <c r="E1345">
        <f>IF(D1346&lt;&gt;cukier11[[#This Row],[miesiac]],1,0)</f>
        <v>0</v>
      </c>
      <c r="F1345">
        <f>IF(AND(H1344&lt;5000,cukier11[[#This Row],[czy_nastapiła_zmiana_mies]]=1),ROUNDUP((5000-H1344)/1000,0),0)</f>
        <v>0</v>
      </c>
      <c r="G1345">
        <f t="shared" si="20"/>
        <v>4995</v>
      </c>
      <c r="H1345">
        <f>cukier11[[#This Row],[stan_magazynu]]-cukier11[[#This Row],[sprzedany_cukier]]</f>
        <v>4919</v>
      </c>
      <c r="I1345" s="9">
        <f>cukier11[[#This Row],[stan_po_sprzedazy]]+cukier11[[#This Row],[ile_dokupic]]*1000</f>
        <v>4919</v>
      </c>
    </row>
    <row r="1346" spans="1:9" x14ac:dyDescent="0.25">
      <c r="A1346" s="1">
        <v>40610</v>
      </c>
      <c r="B1346" t="s">
        <v>6</v>
      </c>
      <c r="C1346">
        <v>25</v>
      </c>
      <c r="D1346">
        <f>MONTH(cukier11[[#This Row],[data]])</f>
        <v>3</v>
      </c>
      <c r="E1346">
        <f>IF(D1347&lt;&gt;cukier11[[#This Row],[miesiac]],1,0)</f>
        <v>0</v>
      </c>
      <c r="F1346">
        <f>IF(AND(H1345&lt;5000,cukier11[[#This Row],[czy_nastapiła_zmiana_mies]]=1),ROUNDUP((5000-H1345)/1000,0),0)</f>
        <v>0</v>
      </c>
      <c r="G1346">
        <f t="shared" si="20"/>
        <v>4919</v>
      </c>
      <c r="H1346">
        <f>cukier11[[#This Row],[stan_magazynu]]-cukier11[[#This Row],[sprzedany_cukier]]</f>
        <v>4894</v>
      </c>
      <c r="I1346" s="9">
        <f>cukier11[[#This Row],[stan_po_sprzedazy]]+cukier11[[#This Row],[ile_dokupic]]*1000</f>
        <v>4894</v>
      </c>
    </row>
    <row r="1347" spans="1:9" x14ac:dyDescent="0.25">
      <c r="A1347" s="1">
        <v>40614</v>
      </c>
      <c r="B1347" t="s">
        <v>31</v>
      </c>
      <c r="C1347">
        <v>37</v>
      </c>
      <c r="D1347">
        <f>MONTH(cukier11[[#This Row],[data]])</f>
        <v>3</v>
      </c>
      <c r="E1347">
        <f>IF(D1348&lt;&gt;cukier11[[#This Row],[miesiac]],1,0)</f>
        <v>0</v>
      </c>
      <c r="F1347">
        <f>IF(AND(H1346&lt;5000,cukier11[[#This Row],[czy_nastapiła_zmiana_mies]]=1),ROUNDUP((5000-H1346)/1000,0),0)</f>
        <v>0</v>
      </c>
      <c r="G1347">
        <f t="shared" si="20"/>
        <v>4894</v>
      </c>
      <c r="H1347">
        <f>cukier11[[#This Row],[stan_magazynu]]-cukier11[[#This Row],[sprzedany_cukier]]</f>
        <v>4857</v>
      </c>
      <c r="I1347" s="9">
        <f>cukier11[[#This Row],[stan_po_sprzedazy]]+cukier11[[#This Row],[ile_dokupic]]*1000</f>
        <v>4857</v>
      </c>
    </row>
    <row r="1348" spans="1:9" x14ac:dyDescent="0.25">
      <c r="A1348" s="1">
        <v>40616</v>
      </c>
      <c r="B1348" t="s">
        <v>80</v>
      </c>
      <c r="C1348">
        <v>108</v>
      </c>
      <c r="D1348">
        <f>MONTH(cukier11[[#This Row],[data]])</f>
        <v>3</v>
      </c>
      <c r="E1348">
        <f>IF(D1349&lt;&gt;cukier11[[#This Row],[miesiac]],1,0)</f>
        <v>0</v>
      </c>
      <c r="F1348">
        <f>IF(AND(H1347&lt;5000,cukier11[[#This Row],[czy_nastapiła_zmiana_mies]]=1),ROUNDUP((5000-H1347)/1000,0),0)</f>
        <v>0</v>
      </c>
      <c r="G1348">
        <f t="shared" ref="G1348:G1411" si="21">I1347</f>
        <v>4857</v>
      </c>
      <c r="H1348">
        <f>cukier11[[#This Row],[stan_magazynu]]-cukier11[[#This Row],[sprzedany_cukier]]</f>
        <v>4749</v>
      </c>
      <c r="I1348" s="9">
        <f>cukier11[[#This Row],[stan_po_sprzedazy]]+cukier11[[#This Row],[ile_dokupic]]*1000</f>
        <v>4749</v>
      </c>
    </row>
    <row r="1349" spans="1:9" x14ac:dyDescent="0.25">
      <c r="A1349" s="1">
        <v>40617</v>
      </c>
      <c r="B1349" t="s">
        <v>7</v>
      </c>
      <c r="C1349">
        <v>199</v>
      </c>
      <c r="D1349">
        <f>MONTH(cukier11[[#This Row],[data]])</f>
        <v>3</v>
      </c>
      <c r="E1349">
        <f>IF(D1350&lt;&gt;cukier11[[#This Row],[miesiac]],1,0)</f>
        <v>0</v>
      </c>
      <c r="F1349">
        <f>IF(AND(H1348&lt;5000,cukier11[[#This Row],[czy_nastapiła_zmiana_mies]]=1),ROUNDUP((5000-H1348)/1000,0),0)</f>
        <v>0</v>
      </c>
      <c r="G1349">
        <f t="shared" si="21"/>
        <v>4749</v>
      </c>
      <c r="H1349">
        <f>cukier11[[#This Row],[stan_magazynu]]-cukier11[[#This Row],[sprzedany_cukier]]</f>
        <v>4550</v>
      </c>
      <c r="I1349" s="9">
        <f>cukier11[[#This Row],[stan_po_sprzedazy]]+cukier11[[#This Row],[ile_dokupic]]*1000</f>
        <v>4550</v>
      </c>
    </row>
    <row r="1350" spans="1:9" x14ac:dyDescent="0.25">
      <c r="A1350" s="1">
        <v>40617</v>
      </c>
      <c r="B1350" t="s">
        <v>45</v>
      </c>
      <c r="C1350">
        <v>128</v>
      </c>
      <c r="D1350">
        <f>MONTH(cukier11[[#This Row],[data]])</f>
        <v>3</v>
      </c>
      <c r="E1350">
        <f>IF(D1351&lt;&gt;cukier11[[#This Row],[miesiac]],1,0)</f>
        <v>0</v>
      </c>
      <c r="F1350">
        <f>IF(AND(H1349&lt;5000,cukier11[[#This Row],[czy_nastapiła_zmiana_mies]]=1),ROUNDUP((5000-H1349)/1000,0),0)</f>
        <v>0</v>
      </c>
      <c r="G1350">
        <f t="shared" si="21"/>
        <v>4550</v>
      </c>
      <c r="H1350">
        <f>cukier11[[#This Row],[stan_magazynu]]-cukier11[[#This Row],[sprzedany_cukier]]</f>
        <v>4422</v>
      </c>
      <c r="I1350" s="9">
        <f>cukier11[[#This Row],[stan_po_sprzedazy]]+cukier11[[#This Row],[ile_dokupic]]*1000</f>
        <v>4422</v>
      </c>
    </row>
    <row r="1351" spans="1:9" x14ac:dyDescent="0.25">
      <c r="A1351" s="1">
        <v>40618</v>
      </c>
      <c r="B1351" t="s">
        <v>58</v>
      </c>
      <c r="C1351">
        <v>32</v>
      </c>
      <c r="D1351">
        <f>MONTH(cukier11[[#This Row],[data]])</f>
        <v>3</v>
      </c>
      <c r="E1351">
        <f>IF(D1352&lt;&gt;cukier11[[#This Row],[miesiac]],1,0)</f>
        <v>0</v>
      </c>
      <c r="F1351">
        <f>IF(AND(H1350&lt;5000,cukier11[[#This Row],[czy_nastapiła_zmiana_mies]]=1),ROUNDUP((5000-H1350)/1000,0),0)</f>
        <v>0</v>
      </c>
      <c r="G1351">
        <f t="shared" si="21"/>
        <v>4422</v>
      </c>
      <c r="H1351">
        <f>cukier11[[#This Row],[stan_magazynu]]-cukier11[[#This Row],[sprzedany_cukier]]</f>
        <v>4390</v>
      </c>
      <c r="I1351" s="9">
        <f>cukier11[[#This Row],[stan_po_sprzedazy]]+cukier11[[#This Row],[ile_dokupic]]*1000</f>
        <v>4390</v>
      </c>
    </row>
    <row r="1352" spans="1:9" x14ac:dyDescent="0.25">
      <c r="A1352" s="1">
        <v>40625</v>
      </c>
      <c r="B1352" t="s">
        <v>30</v>
      </c>
      <c r="C1352">
        <v>151</v>
      </c>
      <c r="D1352">
        <f>MONTH(cukier11[[#This Row],[data]])</f>
        <v>3</v>
      </c>
      <c r="E1352">
        <f>IF(D1353&lt;&gt;cukier11[[#This Row],[miesiac]],1,0)</f>
        <v>0</v>
      </c>
      <c r="F1352">
        <f>IF(AND(H1351&lt;5000,cukier11[[#This Row],[czy_nastapiła_zmiana_mies]]=1),ROUNDUP((5000-H1351)/1000,0),0)</f>
        <v>0</v>
      </c>
      <c r="G1352">
        <f t="shared" si="21"/>
        <v>4390</v>
      </c>
      <c r="H1352">
        <f>cukier11[[#This Row],[stan_magazynu]]-cukier11[[#This Row],[sprzedany_cukier]]</f>
        <v>4239</v>
      </c>
      <c r="I1352" s="9">
        <f>cukier11[[#This Row],[stan_po_sprzedazy]]+cukier11[[#This Row],[ile_dokupic]]*1000</f>
        <v>4239</v>
      </c>
    </row>
    <row r="1353" spans="1:9" x14ac:dyDescent="0.25">
      <c r="A1353" s="1">
        <v>40626</v>
      </c>
      <c r="B1353" t="s">
        <v>153</v>
      </c>
      <c r="C1353">
        <v>8</v>
      </c>
      <c r="D1353">
        <f>MONTH(cukier11[[#This Row],[data]])</f>
        <v>3</v>
      </c>
      <c r="E1353">
        <f>IF(D1354&lt;&gt;cukier11[[#This Row],[miesiac]],1,0)</f>
        <v>0</v>
      </c>
      <c r="F1353">
        <f>IF(AND(H1352&lt;5000,cukier11[[#This Row],[czy_nastapiła_zmiana_mies]]=1),ROUNDUP((5000-H1352)/1000,0),0)</f>
        <v>0</v>
      </c>
      <c r="G1353">
        <f t="shared" si="21"/>
        <v>4239</v>
      </c>
      <c r="H1353">
        <f>cukier11[[#This Row],[stan_magazynu]]-cukier11[[#This Row],[sprzedany_cukier]]</f>
        <v>4231</v>
      </c>
      <c r="I1353" s="9">
        <f>cukier11[[#This Row],[stan_po_sprzedazy]]+cukier11[[#This Row],[ile_dokupic]]*1000</f>
        <v>4231</v>
      </c>
    </row>
    <row r="1354" spans="1:9" x14ac:dyDescent="0.25">
      <c r="A1354" s="1">
        <v>40627</v>
      </c>
      <c r="B1354" t="s">
        <v>14</v>
      </c>
      <c r="C1354">
        <v>411</v>
      </c>
      <c r="D1354">
        <f>MONTH(cukier11[[#This Row],[data]])</f>
        <v>3</v>
      </c>
      <c r="E1354">
        <f>IF(D1355&lt;&gt;cukier11[[#This Row],[miesiac]],1,0)</f>
        <v>0</v>
      </c>
      <c r="F1354">
        <f>IF(AND(H1353&lt;5000,cukier11[[#This Row],[czy_nastapiła_zmiana_mies]]=1),ROUNDUP((5000-H1353)/1000,0),0)</f>
        <v>0</v>
      </c>
      <c r="G1354">
        <f t="shared" si="21"/>
        <v>4231</v>
      </c>
      <c r="H1354">
        <f>cukier11[[#This Row],[stan_magazynu]]-cukier11[[#This Row],[sprzedany_cukier]]</f>
        <v>3820</v>
      </c>
      <c r="I1354" s="9">
        <f>cukier11[[#This Row],[stan_po_sprzedazy]]+cukier11[[#This Row],[ile_dokupic]]*1000</f>
        <v>3820</v>
      </c>
    </row>
    <row r="1355" spans="1:9" x14ac:dyDescent="0.25">
      <c r="A1355" s="1">
        <v>40628</v>
      </c>
      <c r="B1355" t="s">
        <v>52</v>
      </c>
      <c r="C1355">
        <v>119</v>
      </c>
      <c r="D1355">
        <f>MONTH(cukier11[[#This Row],[data]])</f>
        <v>3</v>
      </c>
      <c r="E1355">
        <f>IF(D1356&lt;&gt;cukier11[[#This Row],[miesiac]],1,0)</f>
        <v>0</v>
      </c>
      <c r="F1355">
        <f>IF(AND(H1354&lt;5000,cukier11[[#This Row],[czy_nastapiła_zmiana_mies]]=1),ROUNDUP((5000-H1354)/1000,0),0)</f>
        <v>0</v>
      </c>
      <c r="G1355">
        <f t="shared" si="21"/>
        <v>3820</v>
      </c>
      <c r="H1355">
        <f>cukier11[[#This Row],[stan_magazynu]]-cukier11[[#This Row],[sprzedany_cukier]]</f>
        <v>3701</v>
      </c>
      <c r="I1355" s="9">
        <f>cukier11[[#This Row],[stan_po_sprzedazy]]+cukier11[[#This Row],[ile_dokupic]]*1000</f>
        <v>3701</v>
      </c>
    </row>
    <row r="1356" spans="1:9" x14ac:dyDescent="0.25">
      <c r="A1356" s="1">
        <v>40630</v>
      </c>
      <c r="B1356" t="s">
        <v>17</v>
      </c>
      <c r="C1356">
        <v>366</v>
      </c>
      <c r="D1356">
        <f>MONTH(cukier11[[#This Row],[data]])</f>
        <v>3</v>
      </c>
      <c r="E1356">
        <f>IF(D1357&lt;&gt;cukier11[[#This Row],[miesiac]],1,0)</f>
        <v>0</v>
      </c>
      <c r="F1356">
        <f>IF(AND(H1355&lt;5000,cukier11[[#This Row],[czy_nastapiła_zmiana_mies]]=1),ROUNDUP((5000-H1355)/1000,0),0)</f>
        <v>0</v>
      </c>
      <c r="G1356">
        <f t="shared" si="21"/>
        <v>3701</v>
      </c>
      <c r="H1356">
        <f>cukier11[[#This Row],[stan_magazynu]]-cukier11[[#This Row],[sprzedany_cukier]]</f>
        <v>3335</v>
      </c>
      <c r="I1356" s="9">
        <f>cukier11[[#This Row],[stan_po_sprzedazy]]+cukier11[[#This Row],[ile_dokupic]]*1000</f>
        <v>3335</v>
      </c>
    </row>
    <row r="1357" spans="1:9" x14ac:dyDescent="0.25">
      <c r="A1357" s="1">
        <v>40633</v>
      </c>
      <c r="B1357" t="s">
        <v>69</v>
      </c>
      <c r="C1357">
        <v>20</v>
      </c>
      <c r="D1357">
        <f>MONTH(cukier11[[#This Row],[data]])</f>
        <v>3</v>
      </c>
      <c r="E1357">
        <f>IF(D1358&lt;&gt;cukier11[[#This Row],[miesiac]],1,0)</f>
        <v>1</v>
      </c>
      <c r="F1357">
        <f>IF(AND(H1356&lt;5000,cukier11[[#This Row],[czy_nastapiła_zmiana_mies]]=1),ROUNDUP((5000-H1356)/1000,0),0)</f>
        <v>2</v>
      </c>
      <c r="G1357">
        <f t="shared" si="21"/>
        <v>3335</v>
      </c>
      <c r="H1357">
        <f>cukier11[[#This Row],[stan_magazynu]]-cukier11[[#This Row],[sprzedany_cukier]]</f>
        <v>3315</v>
      </c>
      <c r="I1357" s="9">
        <f>cukier11[[#This Row],[stan_po_sprzedazy]]+cukier11[[#This Row],[ile_dokupic]]*1000</f>
        <v>5315</v>
      </c>
    </row>
    <row r="1358" spans="1:9" x14ac:dyDescent="0.25">
      <c r="A1358" s="1">
        <v>40635</v>
      </c>
      <c r="B1358" t="s">
        <v>123</v>
      </c>
      <c r="C1358">
        <v>124</v>
      </c>
      <c r="D1358">
        <f>MONTH(cukier11[[#This Row],[data]])</f>
        <v>4</v>
      </c>
      <c r="E1358">
        <f>IF(D1359&lt;&gt;cukier11[[#This Row],[miesiac]],1,0)</f>
        <v>0</v>
      </c>
      <c r="F1358">
        <f>IF(AND(H1357&lt;5000,cukier11[[#This Row],[czy_nastapiła_zmiana_mies]]=1),ROUNDUP((5000-H1357)/1000,0),0)</f>
        <v>0</v>
      </c>
      <c r="G1358">
        <f t="shared" si="21"/>
        <v>5315</v>
      </c>
      <c r="H1358">
        <f>cukier11[[#This Row],[stan_magazynu]]-cukier11[[#This Row],[sprzedany_cukier]]</f>
        <v>5191</v>
      </c>
      <c r="I1358" s="9">
        <f>cukier11[[#This Row],[stan_po_sprzedazy]]+cukier11[[#This Row],[ile_dokupic]]*1000</f>
        <v>5191</v>
      </c>
    </row>
    <row r="1359" spans="1:9" x14ac:dyDescent="0.25">
      <c r="A1359" s="1">
        <v>40635</v>
      </c>
      <c r="B1359" t="s">
        <v>10</v>
      </c>
      <c r="C1359">
        <v>30</v>
      </c>
      <c r="D1359">
        <f>MONTH(cukier11[[#This Row],[data]])</f>
        <v>4</v>
      </c>
      <c r="E1359">
        <f>IF(D1360&lt;&gt;cukier11[[#This Row],[miesiac]],1,0)</f>
        <v>0</v>
      </c>
      <c r="F1359">
        <f>IF(AND(H1358&lt;5000,cukier11[[#This Row],[czy_nastapiła_zmiana_mies]]=1),ROUNDUP((5000-H1358)/1000,0),0)</f>
        <v>0</v>
      </c>
      <c r="G1359">
        <f t="shared" si="21"/>
        <v>5191</v>
      </c>
      <c r="H1359">
        <f>cukier11[[#This Row],[stan_magazynu]]-cukier11[[#This Row],[sprzedany_cukier]]</f>
        <v>5161</v>
      </c>
      <c r="I1359" s="9">
        <f>cukier11[[#This Row],[stan_po_sprzedazy]]+cukier11[[#This Row],[ile_dokupic]]*1000</f>
        <v>5161</v>
      </c>
    </row>
    <row r="1360" spans="1:9" x14ac:dyDescent="0.25">
      <c r="A1360" s="1">
        <v>40636</v>
      </c>
      <c r="B1360" t="s">
        <v>14</v>
      </c>
      <c r="C1360">
        <v>237</v>
      </c>
      <c r="D1360">
        <f>MONTH(cukier11[[#This Row],[data]])</f>
        <v>4</v>
      </c>
      <c r="E1360">
        <f>IF(D1361&lt;&gt;cukier11[[#This Row],[miesiac]],1,0)</f>
        <v>0</v>
      </c>
      <c r="F1360">
        <f>IF(AND(H1359&lt;5000,cukier11[[#This Row],[czy_nastapiła_zmiana_mies]]=1),ROUNDUP((5000-H1359)/1000,0),0)</f>
        <v>0</v>
      </c>
      <c r="G1360">
        <f t="shared" si="21"/>
        <v>5161</v>
      </c>
      <c r="H1360">
        <f>cukier11[[#This Row],[stan_magazynu]]-cukier11[[#This Row],[sprzedany_cukier]]</f>
        <v>4924</v>
      </c>
      <c r="I1360" s="9">
        <f>cukier11[[#This Row],[stan_po_sprzedazy]]+cukier11[[#This Row],[ile_dokupic]]*1000</f>
        <v>4924</v>
      </c>
    </row>
    <row r="1361" spans="1:9" x14ac:dyDescent="0.25">
      <c r="A1361" s="1">
        <v>40638</v>
      </c>
      <c r="B1361" t="s">
        <v>22</v>
      </c>
      <c r="C1361">
        <v>355</v>
      </c>
      <c r="D1361">
        <f>MONTH(cukier11[[#This Row],[data]])</f>
        <v>4</v>
      </c>
      <c r="E1361">
        <f>IF(D1362&lt;&gt;cukier11[[#This Row],[miesiac]],1,0)</f>
        <v>0</v>
      </c>
      <c r="F1361">
        <f>IF(AND(H1360&lt;5000,cukier11[[#This Row],[czy_nastapiła_zmiana_mies]]=1),ROUNDUP((5000-H1360)/1000,0),0)</f>
        <v>0</v>
      </c>
      <c r="G1361">
        <f t="shared" si="21"/>
        <v>4924</v>
      </c>
      <c r="H1361">
        <f>cukier11[[#This Row],[stan_magazynu]]-cukier11[[#This Row],[sprzedany_cukier]]</f>
        <v>4569</v>
      </c>
      <c r="I1361" s="9">
        <f>cukier11[[#This Row],[stan_po_sprzedazy]]+cukier11[[#This Row],[ile_dokupic]]*1000</f>
        <v>4569</v>
      </c>
    </row>
    <row r="1362" spans="1:9" x14ac:dyDescent="0.25">
      <c r="A1362" s="1">
        <v>40642</v>
      </c>
      <c r="B1362" t="s">
        <v>45</v>
      </c>
      <c r="C1362">
        <v>162</v>
      </c>
      <c r="D1362">
        <f>MONTH(cukier11[[#This Row],[data]])</f>
        <v>4</v>
      </c>
      <c r="E1362">
        <f>IF(D1363&lt;&gt;cukier11[[#This Row],[miesiac]],1,0)</f>
        <v>0</v>
      </c>
      <c r="F1362">
        <f>IF(AND(H1361&lt;5000,cukier11[[#This Row],[czy_nastapiła_zmiana_mies]]=1),ROUNDUP((5000-H1361)/1000,0),0)</f>
        <v>0</v>
      </c>
      <c r="G1362">
        <f t="shared" si="21"/>
        <v>4569</v>
      </c>
      <c r="H1362">
        <f>cukier11[[#This Row],[stan_magazynu]]-cukier11[[#This Row],[sprzedany_cukier]]</f>
        <v>4407</v>
      </c>
      <c r="I1362" s="9">
        <f>cukier11[[#This Row],[stan_po_sprzedazy]]+cukier11[[#This Row],[ile_dokupic]]*1000</f>
        <v>4407</v>
      </c>
    </row>
    <row r="1363" spans="1:9" x14ac:dyDescent="0.25">
      <c r="A1363" s="1">
        <v>40647</v>
      </c>
      <c r="B1363" t="s">
        <v>35</v>
      </c>
      <c r="C1363">
        <v>46</v>
      </c>
      <c r="D1363">
        <f>MONTH(cukier11[[#This Row],[data]])</f>
        <v>4</v>
      </c>
      <c r="E1363">
        <f>IF(D1364&lt;&gt;cukier11[[#This Row],[miesiac]],1,0)</f>
        <v>0</v>
      </c>
      <c r="F1363">
        <f>IF(AND(H1362&lt;5000,cukier11[[#This Row],[czy_nastapiła_zmiana_mies]]=1),ROUNDUP((5000-H1362)/1000,0),0)</f>
        <v>0</v>
      </c>
      <c r="G1363">
        <f t="shared" si="21"/>
        <v>4407</v>
      </c>
      <c r="H1363">
        <f>cukier11[[#This Row],[stan_magazynu]]-cukier11[[#This Row],[sprzedany_cukier]]</f>
        <v>4361</v>
      </c>
      <c r="I1363" s="9">
        <f>cukier11[[#This Row],[stan_po_sprzedazy]]+cukier11[[#This Row],[ile_dokupic]]*1000</f>
        <v>4361</v>
      </c>
    </row>
    <row r="1364" spans="1:9" x14ac:dyDescent="0.25">
      <c r="A1364" s="1">
        <v>40647</v>
      </c>
      <c r="B1364" t="s">
        <v>219</v>
      </c>
      <c r="C1364">
        <v>13</v>
      </c>
      <c r="D1364">
        <f>MONTH(cukier11[[#This Row],[data]])</f>
        <v>4</v>
      </c>
      <c r="E1364">
        <f>IF(D1365&lt;&gt;cukier11[[#This Row],[miesiac]],1,0)</f>
        <v>0</v>
      </c>
      <c r="F1364">
        <f>IF(AND(H1363&lt;5000,cukier11[[#This Row],[czy_nastapiła_zmiana_mies]]=1),ROUNDUP((5000-H1363)/1000,0),0)</f>
        <v>0</v>
      </c>
      <c r="G1364">
        <f t="shared" si="21"/>
        <v>4361</v>
      </c>
      <c r="H1364">
        <f>cukier11[[#This Row],[stan_magazynu]]-cukier11[[#This Row],[sprzedany_cukier]]</f>
        <v>4348</v>
      </c>
      <c r="I1364" s="9">
        <f>cukier11[[#This Row],[stan_po_sprzedazy]]+cukier11[[#This Row],[ile_dokupic]]*1000</f>
        <v>4348</v>
      </c>
    </row>
    <row r="1365" spans="1:9" x14ac:dyDescent="0.25">
      <c r="A1365" s="1">
        <v>40647</v>
      </c>
      <c r="B1365" t="s">
        <v>118</v>
      </c>
      <c r="C1365">
        <v>14</v>
      </c>
      <c r="D1365">
        <f>MONTH(cukier11[[#This Row],[data]])</f>
        <v>4</v>
      </c>
      <c r="E1365">
        <f>IF(D1366&lt;&gt;cukier11[[#This Row],[miesiac]],1,0)</f>
        <v>0</v>
      </c>
      <c r="F1365">
        <f>IF(AND(H1364&lt;5000,cukier11[[#This Row],[czy_nastapiła_zmiana_mies]]=1),ROUNDUP((5000-H1364)/1000,0),0)</f>
        <v>0</v>
      </c>
      <c r="G1365">
        <f t="shared" si="21"/>
        <v>4348</v>
      </c>
      <c r="H1365">
        <f>cukier11[[#This Row],[stan_magazynu]]-cukier11[[#This Row],[sprzedany_cukier]]</f>
        <v>4334</v>
      </c>
      <c r="I1365" s="9">
        <f>cukier11[[#This Row],[stan_po_sprzedazy]]+cukier11[[#This Row],[ile_dokupic]]*1000</f>
        <v>4334</v>
      </c>
    </row>
    <row r="1366" spans="1:9" x14ac:dyDescent="0.25">
      <c r="A1366" s="1">
        <v>40647</v>
      </c>
      <c r="B1366" t="s">
        <v>220</v>
      </c>
      <c r="C1366">
        <v>4</v>
      </c>
      <c r="D1366">
        <f>MONTH(cukier11[[#This Row],[data]])</f>
        <v>4</v>
      </c>
      <c r="E1366">
        <f>IF(D1367&lt;&gt;cukier11[[#This Row],[miesiac]],1,0)</f>
        <v>0</v>
      </c>
      <c r="F1366">
        <f>IF(AND(H1365&lt;5000,cukier11[[#This Row],[czy_nastapiła_zmiana_mies]]=1),ROUNDUP((5000-H1365)/1000,0),0)</f>
        <v>0</v>
      </c>
      <c r="G1366">
        <f t="shared" si="21"/>
        <v>4334</v>
      </c>
      <c r="H1366">
        <f>cukier11[[#This Row],[stan_magazynu]]-cukier11[[#This Row],[sprzedany_cukier]]</f>
        <v>4330</v>
      </c>
      <c r="I1366" s="9">
        <f>cukier11[[#This Row],[stan_po_sprzedazy]]+cukier11[[#This Row],[ile_dokupic]]*1000</f>
        <v>4330</v>
      </c>
    </row>
    <row r="1367" spans="1:9" x14ac:dyDescent="0.25">
      <c r="A1367" s="1">
        <v>40651</v>
      </c>
      <c r="B1367" t="s">
        <v>9</v>
      </c>
      <c r="C1367">
        <v>470</v>
      </c>
      <c r="D1367">
        <f>MONTH(cukier11[[#This Row],[data]])</f>
        <v>4</v>
      </c>
      <c r="E1367">
        <f>IF(D1368&lt;&gt;cukier11[[#This Row],[miesiac]],1,0)</f>
        <v>0</v>
      </c>
      <c r="F1367">
        <f>IF(AND(H1366&lt;5000,cukier11[[#This Row],[czy_nastapiła_zmiana_mies]]=1),ROUNDUP((5000-H1366)/1000,0),0)</f>
        <v>0</v>
      </c>
      <c r="G1367">
        <f t="shared" si="21"/>
        <v>4330</v>
      </c>
      <c r="H1367">
        <f>cukier11[[#This Row],[stan_magazynu]]-cukier11[[#This Row],[sprzedany_cukier]]</f>
        <v>3860</v>
      </c>
      <c r="I1367" s="9">
        <f>cukier11[[#This Row],[stan_po_sprzedazy]]+cukier11[[#This Row],[ile_dokupic]]*1000</f>
        <v>3860</v>
      </c>
    </row>
    <row r="1368" spans="1:9" x14ac:dyDescent="0.25">
      <c r="A1368" s="1">
        <v>40651</v>
      </c>
      <c r="B1368" t="s">
        <v>221</v>
      </c>
      <c r="C1368">
        <v>9</v>
      </c>
      <c r="D1368">
        <f>MONTH(cukier11[[#This Row],[data]])</f>
        <v>4</v>
      </c>
      <c r="E1368">
        <f>IF(D1369&lt;&gt;cukier11[[#This Row],[miesiac]],1,0)</f>
        <v>0</v>
      </c>
      <c r="F1368">
        <f>IF(AND(H1367&lt;5000,cukier11[[#This Row],[czy_nastapiła_zmiana_mies]]=1),ROUNDUP((5000-H1367)/1000,0),0)</f>
        <v>0</v>
      </c>
      <c r="G1368">
        <f t="shared" si="21"/>
        <v>3860</v>
      </c>
      <c r="H1368">
        <f>cukier11[[#This Row],[stan_magazynu]]-cukier11[[#This Row],[sprzedany_cukier]]</f>
        <v>3851</v>
      </c>
      <c r="I1368" s="9">
        <f>cukier11[[#This Row],[stan_po_sprzedazy]]+cukier11[[#This Row],[ile_dokupic]]*1000</f>
        <v>3851</v>
      </c>
    </row>
    <row r="1369" spans="1:9" x14ac:dyDescent="0.25">
      <c r="A1369" s="1">
        <v>40651</v>
      </c>
      <c r="B1369" t="s">
        <v>58</v>
      </c>
      <c r="C1369">
        <v>37</v>
      </c>
      <c r="D1369">
        <f>MONTH(cukier11[[#This Row],[data]])</f>
        <v>4</v>
      </c>
      <c r="E1369">
        <f>IF(D1370&lt;&gt;cukier11[[#This Row],[miesiac]],1,0)</f>
        <v>0</v>
      </c>
      <c r="F1369">
        <f>IF(AND(H1368&lt;5000,cukier11[[#This Row],[czy_nastapiła_zmiana_mies]]=1),ROUNDUP((5000-H1368)/1000,0),0)</f>
        <v>0</v>
      </c>
      <c r="G1369">
        <f t="shared" si="21"/>
        <v>3851</v>
      </c>
      <c r="H1369">
        <f>cukier11[[#This Row],[stan_magazynu]]-cukier11[[#This Row],[sprzedany_cukier]]</f>
        <v>3814</v>
      </c>
      <c r="I1369" s="9">
        <f>cukier11[[#This Row],[stan_po_sprzedazy]]+cukier11[[#This Row],[ile_dokupic]]*1000</f>
        <v>3814</v>
      </c>
    </row>
    <row r="1370" spans="1:9" x14ac:dyDescent="0.25">
      <c r="A1370" s="1">
        <v>40652</v>
      </c>
      <c r="B1370" t="s">
        <v>28</v>
      </c>
      <c r="C1370">
        <v>55</v>
      </c>
      <c r="D1370">
        <f>MONTH(cukier11[[#This Row],[data]])</f>
        <v>4</v>
      </c>
      <c r="E1370">
        <f>IF(D1371&lt;&gt;cukier11[[#This Row],[miesiac]],1,0)</f>
        <v>0</v>
      </c>
      <c r="F1370">
        <f>IF(AND(H1369&lt;5000,cukier11[[#This Row],[czy_nastapiła_zmiana_mies]]=1),ROUNDUP((5000-H1369)/1000,0),0)</f>
        <v>0</v>
      </c>
      <c r="G1370">
        <f t="shared" si="21"/>
        <v>3814</v>
      </c>
      <c r="H1370">
        <f>cukier11[[#This Row],[stan_magazynu]]-cukier11[[#This Row],[sprzedany_cukier]]</f>
        <v>3759</v>
      </c>
      <c r="I1370" s="9">
        <f>cukier11[[#This Row],[stan_po_sprzedazy]]+cukier11[[#This Row],[ile_dokupic]]*1000</f>
        <v>3759</v>
      </c>
    </row>
    <row r="1371" spans="1:9" x14ac:dyDescent="0.25">
      <c r="A1371" s="1">
        <v>40654</v>
      </c>
      <c r="B1371" t="s">
        <v>55</v>
      </c>
      <c r="C1371">
        <v>140</v>
      </c>
      <c r="D1371">
        <f>MONTH(cukier11[[#This Row],[data]])</f>
        <v>4</v>
      </c>
      <c r="E1371">
        <f>IF(D1372&lt;&gt;cukier11[[#This Row],[miesiac]],1,0)</f>
        <v>0</v>
      </c>
      <c r="F1371">
        <f>IF(AND(H1370&lt;5000,cukier11[[#This Row],[czy_nastapiła_zmiana_mies]]=1),ROUNDUP((5000-H1370)/1000,0),0)</f>
        <v>0</v>
      </c>
      <c r="G1371">
        <f t="shared" si="21"/>
        <v>3759</v>
      </c>
      <c r="H1371">
        <f>cukier11[[#This Row],[stan_magazynu]]-cukier11[[#This Row],[sprzedany_cukier]]</f>
        <v>3619</v>
      </c>
      <c r="I1371" s="9">
        <f>cukier11[[#This Row],[stan_po_sprzedazy]]+cukier11[[#This Row],[ile_dokupic]]*1000</f>
        <v>3619</v>
      </c>
    </row>
    <row r="1372" spans="1:9" x14ac:dyDescent="0.25">
      <c r="A1372" s="1">
        <v>40656</v>
      </c>
      <c r="B1372" t="s">
        <v>222</v>
      </c>
      <c r="C1372">
        <v>12</v>
      </c>
      <c r="D1372">
        <f>MONTH(cukier11[[#This Row],[data]])</f>
        <v>4</v>
      </c>
      <c r="E1372">
        <f>IF(D1373&lt;&gt;cukier11[[#This Row],[miesiac]],1,0)</f>
        <v>0</v>
      </c>
      <c r="F1372">
        <f>IF(AND(H1371&lt;5000,cukier11[[#This Row],[czy_nastapiła_zmiana_mies]]=1),ROUNDUP((5000-H1371)/1000,0),0)</f>
        <v>0</v>
      </c>
      <c r="G1372">
        <f t="shared" si="21"/>
        <v>3619</v>
      </c>
      <c r="H1372">
        <f>cukier11[[#This Row],[stan_magazynu]]-cukier11[[#This Row],[sprzedany_cukier]]</f>
        <v>3607</v>
      </c>
      <c r="I1372" s="9">
        <f>cukier11[[#This Row],[stan_po_sprzedazy]]+cukier11[[#This Row],[ile_dokupic]]*1000</f>
        <v>3607</v>
      </c>
    </row>
    <row r="1373" spans="1:9" x14ac:dyDescent="0.25">
      <c r="A1373" s="1">
        <v>40658</v>
      </c>
      <c r="B1373" t="s">
        <v>12</v>
      </c>
      <c r="C1373">
        <v>20</v>
      </c>
      <c r="D1373">
        <f>MONTH(cukier11[[#This Row],[data]])</f>
        <v>4</v>
      </c>
      <c r="E1373">
        <f>IF(D1374&lt;&gt;cukier11[[#This Row],[miesiac]],1,0)</f>
        <v>0</v>
      </c>
      <c r="F1373">
        <f>IF(AND(H1372&lt;5000,cukier11[[#This Row],[czy_nastapiła_zmiana_mies]]=1),ROUNDUP((5000-H1372)/1000,0),0)</f>
        <v>0</v>
      </c>
      <c r="G1373">
        <f t="shared" si="21"/>
        <v>3607</v>
      </c>
      <c r="H1373">
        <f>cukier11[[#This Row],[stan_magazynu]]-cukier11[[#This Row],[sprzedany_cukier]]</f>
        <v>3587</v>
      </c>
      <c r="I1373" s="9">
        <f>cukier11[[#This Row],[stan_po_sprzedazy]]+cukier11[[#This Row],[ile_dokupic]]*1000</f>
        <v>3587</v>
      </c>
    </row>
    <row r="1374" spans="1:9" x14ac:dyDescent="0.25">
      <c r="A1374" s="1">
        <v>40662</v>
      </c>
      <c r="B1374" t="s">
        <v>50</v>
      </c>
      <c r="C1374">
        <v>478</v>
      </c>
      <c r="D1374">
        <f>MONTH(cukier11[[#This Row],[data]])</f>
        <v>4</v>
      </c>
      <c r="E1374">
        <f>IF(D1375&lt;&gt;cukier11[[#This Row],[miesiac]],1,0)</f>
        <v>1</v>
      </c>
      <c r="F1374">
        <f>IF(AND(H1373&lt;5000,cukier11[[#This Row],[czy_nastapiła_zmiana_mies]]=1),ROUNDUP((5000-H1373)/1000,0),0)</f>
        <v>2</v>
      </c>
      <c r="G1374">
        <f t="shared" si="21"/>
        <v>3587</v>
      </c>
      <c r="H1374">
        <f>cukier11[[#This Row],[stan_magazynu]]-cukier11[[#This Row],[sprzedany_cukier]]</f>
        <v>3109</v>
      </c>
      <c r="I1374" s="9">
        <f>cukier11[[#This Row],[stan_po_sprzedazy]]+cukier11[[#This Row],[ile_dokupic]]*1000</f>
        <v>5109</v>
      </c>
    </row>
    <row r="1375" spans="1:9" x14ac:dyDescent="0.25">
      <c r="A1375" s="1">
        <v>40664</v>
      </c>
      <c r="B1375" t="s">
        <v>22</v>
      </c>
      <c r="C1375">
        <v>289</v>
      </c>
      <c r="D1375">
        <f>MONTH(cukier11[[#This Row],[data]])</f>
        <v>5</v>
      </c>
      <c r="E1375">
        <f>IF(D1376&lt;&gt;cukier11[[#This Row],[miesiac]],1,0)</f>
        <v>0</v>
      </c>
      <c r="F1375">
        <f>IF(AND(H1374&lt;5000,cukier11[[#This Row],[czy_nastapiła_zmiana_mies]]=1),ROUNDUP((5000-H1374)/1000,0),0)</f>
        <v>0</v>
      </c>
      <c r="G1375">
        <f t="shared" si="21"/>
        <v>5109</v>
      </c>
      <c r="H1375">
        <f>cukier11[[#This Row],[stan_magazynu]]-cukier11[[#This Row],[sprzedany_cukier]]</f>
        <v>4820</v>
      </c>
      <c r="I1375" s="9">
        <f>cukier11[[#This Row],[stan_po_sprzedazy]]+cukier11[[#This Row],[ile_dokupic]]*1000</f>
        <v>4820</v>
      </c>
    </row>
    <row r="1376" spans="1:9" x14ac:dyDescent="0.25">
      <c r="A1376" s="1">
        <v>40665</v>
      </c>
      <c r="B1376" t="s">
        <v>57</v>
      </c>
      <c r="C1376">
        <v>1</v>
      </c>
      <c r="D1376">
        <f>MONTH(cukier11[[#This Row],[data]])</f>
        <v>5</v>
      </c>
      <c r="E1376">
        <f>IF(D1377&lt;&gt;cukier11[[#This Row],[miesiac]],1,0)</f>
        <v>0</v>
      </c>
      <c r="F1376">
        <f>IF(AND(H1375&lt;5000,cukier11[[#This Row],[czy_nastapiła_zmiana_mies]]=1),ROUNDUP((5000-H1375)/1000,0),0)</f>
        <v>0</v>
      </c>
      <c r="G1376">
        <f t="shared" si="21"/>
        <v>4820</v>
      </c>
      <c r="H1376">
        <f>cukier11[[#This Row],[stan_magazynu]]-cukier11[[#This Row],[sprzedany_cukier]]</f>
        <v>4819</v>
      </c>
      <c r="I1376" s="9">
        <f>cukier11[[#This Row],[stan_po_sprzedazy]]+cukier11[[#This Row],[ile_dokupic]]*1000</f>
        <v>4819</v>
      </c>
    </row>
    <row r="1377" spans="1:9" x14ac:dyDescent="0.25">
      <c r="A1377" s="1">
        <v>40665</v>
      </c>
      <c r="B1377" t="s">
        <v>149</v>
      </c>
      <c r="C1377">
        <v>15</v>
      </c>
      <c r="D1377">
        <f>MONTH(cukier11[[#This Row],[data]])</f>
        <v>5</v>
      </c>
      <c r="E1377">
        <f>IF(D1378&lt;&gt;cukier11[[#This Row],[miesiac]],1,0)</f>
        <v>0</v>
      </c>
      <c r="F1377">
        <f>IF(AND(H1376&lt;5000,cukier11[[#This Row],[czy_nastapiła_zmiana_mies]]=1),ROUNDUP((5000-H1376)/1000,0),0)</f>
        <v>0</v>
      </c>
      <c r="G1377">
        <f t="shared" si="21"/>
        <v>4819</v>
      </c>
      <c r="H1377">
        <f>cukier11[[#This Row],[stan_magazynu]]-cukier11[[#This Row],[sprzedany_cukier]]</f>
        <v>4804</v>
      </c>
      <c r="I1377" s="9">
        <f>cukier11[[#This Row],[stan_po_sprzedazy]]+cukier11[[#This Row],[ile_dokupic]]*1000</f>
        <v>4804</v>
      </c>
    </row>
    <row r="1378" spans="1:9" x14ac:dyDescent="0.25">
      <c r="A1378" s="1">
        <v>40668</v>
      </c>
      <c r="B1378" t="s">
        <v>7</v>
      </c>
      <c r="C1378">
        <v>400</v>
      </c>
      <c r="D1378">
        <f>MONTH(cukier11[[#This Row],[data]])</f>
        <v>5</v>
      </c>
      <c r="E1378">
        <f>IF(D1379&lt;&gt;cukier11[[#This Row],[miesiac]],1,0)</f>
        <v>0</v>
      </c>
      <c r="F1378">
        <f>IF(AND(H1377&lt;5000,cukier11[[#This Row],[czy_nastapiła_zmiana_mies]]=1),ROUNDUP((5000-H1377)/1000,0),0)</f>
        <v>0</v>
      </c>
      <c r="G1378">
        <f t="shared" si="21"/>
        <v>4804</v>
      </c>
      <c r="H1378">
        <f>cukier11[[#This Row],[stan_magazynu]]-cukier11[[#This Row],[sprzedany_cukier]]</f>
        <v>4404</v>
      </c>
      <c r="I1378" s="9">
        <f>cukier11[[#This Row],[stan_po_sprzedazy]]+cukier11[[#This Row],[ile_dokupic]]*1000</f>
        <v>4404</v>
      </c>
    </row>
    <row r="1379" spans="1:9" x14ac:dyDescent="0.25">
      <c r="A1379" s="1">
        <v>40669</v>
      </c>
      <c r="B1379" t="s">
        <v>108</v>
      </c>
      <c r="C1379">
        <v>1</v>
      </c>
      <c r="D1379">
        <f>MONTH(cukier11[[#This Row],[data]])</f>
        <v>5</v>
      </c>
      <c r="E1379">
        <f>IF(D1380&lt;&gt;cukier11[[#This Row],[miesiac]],1,0)</f>
        <v>0</v>
      </c>
      <c r="F1379">
        <f>IF(AND(H1378&lt;5000,cukier11[[#This Row],[czy_nastapiła_zmiana_mies]]=1),ROUNDUP((5000-H1378)/1000,0),0)</f>
        <v>0</v>
      </c>
      <c r="G1379">
        <f t="shared" si="21"/>
        <v>4404</v>
      </c>
      <c r="H1379">
        <f>cukier11[[#This Row],[stan_magazynu]]-cukier11[[#This Row],[sprzedany_cukier]]</f>
        <v>4403</v>
      </c>
      <c r="I1379" s="9">
        <f>cukier11[[#This Row],[stan_po_sprzedazy]]+cukier11[[#This Row],[ile_dokupic]]*1000</f>
        <v>4403</v>
      </c>
    </row>
    <row r="1380" spans="1:9" x14ac:dyDescent="0.25">
      <c r="A1380" s="1">
        <v>40670</v>
      </c>
      <c r="B1380" t="s">
        <v>8</v>
      </c>
      <c r="C1380">
        <v>184</v>
      </c>
      <c r="D1380">
        <f>MONTH(cukier11[[#This Row],[data]])</f>
        <v>5</v>
      </c>
      <c r="E1380">
        <f>IF(D1381&lt;&gt;cukier11[[#This Row],[miesiac]],1,0)</f>
        <v>0</v>
      </c>
      <c r="F1380">
        <f>IF(AND(H1379&lt;5000,cukier11[[#This Row],[czy_nastapiła_zmiana_mies]]=1),ROUNDUP((5000-H1379)/1000,0),0)</f>
        <v>0</v>
      </c>
      <c r="G1380">
        <f t="shared" si="21"/>
        <v>4403</v>
      </c>
      <c r="H1380">
        <f>cukier11[[#This Row],[stan_magazynu]]-cukier11[[#This Row],[sprzedany_cukier]]</f>
        <v>4219</v>
      </c>
      <c r="I1380" s="9">
        <f>cukier11[[#This Row],[stan_po_sprzedazy]]+cukier11[[#This Row],[ile_dokupic]]*1000</f>
        <v>4219</v>
      </c>
    </row>
    <row r="1381" spans="1:9" x14ac:dyDescent="0.25">
      <c r="A1381" s="1">
        <v>40670</v>
      </c>
      <c r="B1381" t="s">
        <v>6</v>
      </c>
      <c r="C1381">
        <v>99</v>
      </c>
      <c r="D1381">
        <f>MONTH(cukier11[[#This Row],[data]])</f>
        <v>5</v>
      </c>
      <c r="E1381">
        <f>IF(D1382&lt;&gt;cukier11[[#This Row],[miesiac]],1,0)</f>
        <v>0</v>
      </c>
      <c r="F1381">
        <f>IF(AND(H1380&lt;5000,cukier11[[#This Row],[czy_nastapiła_zmiana_mies]]=1),ROUNDUP((5000-H1380)/1000,0),0)</f>
        <v>0</v>
      </c>
      <c r="G1381">
        <f t="shared" si="21"/>
        <v>4219</v>
      </c>
      <c r="H1381">
        <f>cukier11[[#This Row],[stan_magazynu]]-cukier11[[#This Row],[sprzedany_cukier]]</f>
        <v>4120</v>
      </c>
      <c r="I1381" s="9">
        <f>cukier11[[#This Row],[stan_po_sprzedazy]]+cukier11[[#This Row],[ile_dokupic]]*1000</f>
        <v>4120</v>
      </c>
    </row>
    <row r="1382" spans="1:9" x14ac:dyDescent="0.25">
      <c r="A1382" s="1">
        <v>40671</v>
      </c>
      <c r="B1382" t="s">
        <v>10</v>
      </c>
      <c r="C1382">
        <v>143</v>
      </c>
      <c r="D1382">
        <f>MONTH(cukier11[[#This Row],[data]])</f>
        <v>5</v>
      </c>
      <c r="E1382">
        <f>IF(D1383&lt;&gt;cukier11[[#This Row],[miesiac]],1,0)</f>
        <v>0</v>
      </c>
      <c r="F1382">
        <f>IF(AND(H1381&lt;5000,cukier11[[#This Row],[czy_nastapiła_zmiana_mies]]=1),ROUNDUP((5000-H1381)/1000,0),0)</f>
        <v>0</v>
      </c>
      <c r="G1382">
        <f t="shared" si="21"/>
        <v>4120</v>
      </c>
      <c r="H1382">
        <f>cukier11[[#This Row],[stan_magazynu]]-cukier11[[#This Row],[sprzedany_cukier]]</f>
        <v>3977</v>
      </c>
      <c r="I1382" s="9">
        <f>cukier11[[#This Row],[stan_po_sprzedazy]]+cukier11[[#This Row],[ile_dokupic]]*1000</f>
        <v>3977</v>
      </c>
    </row>
    <row r="1383" spans="1:9" x14ac:dyDescent="0.25">
      <c r="A1383" s="1">
        <v>40672</v>
      </c>
      <c r="B1383" t="s">
        <v>30</v>
      </c>
      <c r="C1383">
        <v>184</v>
      </c>
      <c r="D1383">
        <f>MONTH(cukier11[[#This Row],[data]])</f>
        <v>5</v>
      </c>
      <c r="E1383">
        <f>IF(D1384&lt;&gt;cukier11[[#This Row],[miesiac]],1,0)</f>
        <v>0</v>
      </c>
      <c r="F1383">
        <f>IF(AND(H1382&lt;5000,cukier11[[#This Row],[czy_nastapiła_zmiana_mies]]=1),ROUNDUP((5000-H1382)/1000,0),0)</f>
        <v>0</v>
      </c>
      <c r="G1383">
        <f t="shared" si="21"/>
        <v>3977</v>
      </c>
      <c r="H1383">
        <f>cukier11[[#This Row],[stan_magazynu]]-cukier11[[#This Row],[sprzedany_cukier]]</f>
        <v>3793</v>
      </c>
      <c r="I1383" s="9">
        <f>cukier11[[#This Row],[stan_po_sprzedazy]]+cukier11[[#This Row],[ile_dokupic]]*1000</f>
        <v>3793</v>
      </c>
    </row>
    <row r="1384" spans="1:9" x14ac:dyDescent="0.25">
      <c r="A1384" s="1">
        <v>40676</v>
      </c>
      <c r="B1384" t="s">
        <v>163</v>
      </c>
      <c r="C1384">
        <v>3</v>
      </c>
      <c r="D1384">
        <f>MONTH(cukier11[[#This Row],[data]])</f>
        <v>5</v>
      </c>
      <c r="E1384">
        <f>IF(D1385&lt;&gt;cukier11[[#This Row],[miesiac]],1,0)</f>
        <v>0</v>
      </c>
      <c r="F1384">
        <f>IF(AND(H1383&lt;5000,cukier11[[#This Row],[czy_nastapiła_zmiana_mies]]=1),ROUNDUP((5000-H1383)/1000,0),0)</f>
        <v>0</v>
      </c>
      <c r="G1384">
        <f t="shared" si="21"/>
        <v>3793</v>
      </c>
      <c r="H1384">
        <f>cukier11[[#This Row],[stan_magazynu]]-cukier11[[#This Row],[sprzedany_cukier]]</f>
        <v>3790</v>
      </c>
      <c r="I1384" s="9">
        <f>cukier11[[#This Row],[stan_po_sprzedazy]]+cukier11[[#This Row],[ile_dokupic]]*1000</f>
        <v>3790</v>
      </c>
    </row>
    <row r="1385" spans="1:9" x14ac:dyDescent="0.25">
      <c r="A1385" s="1">
        <v>40676</v>
      </c>
      <c r="B1385" t="s">
        <v>18</v>
      </c>
      <c r="C1385">
        <v>197</v>
      </c>
      <c r="D1385">
        <f>MONTH(cukier11[[#This Row],[data]])</f>
        <v>5</v>
      </c>
      <c r="E1385">
        <f>IF(D1386&lt;&gt;cukier11[[#This Row],[miesiac]],1,0)</f>
        <v>0</v>
      </c>
      <c r="F1385">
        <f>IF(AND(H1384&lt;5000,cukier11[[#This Row],[czy_nastapiła_zmiana_mies]]=1),ROUNDUP((5000-H1384)/1000,0),0)</f>
        <v>0</v>
      </c>
      <c r="G1385">
        <f t="shared" si="21"/>
        <v>3790</v>
      </c>
      <c r="H1385">
        <f>cukier11[[#This Row],[stan_magazynu]]-cukier11[[#This Row],[sprzedany_cukier]]</f>
        <v>3593</v>
      </c>
      <c r="I1385" s="9">
        <f>cukier11[[#This Row],[stan_po_sprzedazy]]+cukier11[[#This Row],[ile_dokupic]]*1000</f>
        <v>3593</v>
      </c>
    </row>
    <row r="1386" spans="1:9" x14ac:dyDescent="0.25">
      <c r="A1386" s="1">
        <v>40680</v>
      </c>
      <c r="B1386" t="s">
        <v>4</v>
      </c>
      <c r="C1386">
        <v>18</v>
      </c>
      <c r="D1386">
        <f>MONTH(cukier11[[#This Row],[data]])</f>
        <v>5</v>
      </c>
      <c r="E1386">
        <f>IF(D1387&lt;&gt;cukier11[[#This Row],[miesiac]],1,0)</f>
        <v>0</v>
      </c>
      <c r="F1386">
        <f>IF(AND(H1385&lt;5000,cukier11[[#This Row],[czy_nastapiła_zmiana_mies]]=1),ROUNDUP((5000-H1385)/1000,0),0)</f>
        <v>0</v>
      </c>
      <c r="G1386">
        <f t="shared" si="21"/>
        <v>3593</v>
      </c>
      <c r="H1386">
        <f>cukier11[[#This Row],[stan_magazynu]]-cukier11[[#This Row],[sprzedany_cukier]]</f>
        <v>3575</v>
      </c>
      <c r="I1386" s="9">
        <f>cukier11[[#This Row],[stan_po_sprzedazy]]+cukier11[[#This Row],[ile_dokupic]]*1000</f>
        <v>3575</v>
      </c>
    </row>
    <row r="1387" spans="1:9" x14ac:dyDescent="0.25">
      <c r="A1387" s="1">
        <v>40685</v>
      </c>
      <c r="B1387" t="s">
        <v>0</v>
      </c>
      <c r="C1387">
        <v>7</v>
      </c>
      <c r="D1387">
        <f>MONTH(cukier11[[#This Row],[data]])</f>
        <v>5</v>
      </c>
      <c r="E1387">
        <f>IF(D1388&lt;&gt;cukier11[[#This Row],[miesiac]],1,0)</f>
        <v>0</v>
      </c>
      <c r="F1387">
        <f>IF(AND(H1386&lt;5000,cukier11[[#This Row],[czy_nastapiła_zmiana_mies]]=1),ROUNDUP((5000-H1386)/1000,0),0)</f>
        <v>0</v>
      </c>
      <c r="G1387">
        <f t="shared" si="21"/>
        <v>3575</v>
      </c>
      <c r="H1387">
        <f>cukier11[[#This Row],[stan_magazynu]]-cukier11[[#This Row],[sprzedany_cukier]]</f>
        <v>3568</v>
      </c>
      <c r="I1387" s="9">
        <f>cukier11[[#This Row],[stan_po_sprzedazy]]+cukier11[[#This Row],[ile_dokupic]]*1000</f>
        <v>3568</v>
      </c>
    </row>
    <row r="1388" spans="1:9" x14ac:dyDescent="0.25">
      <c r="A1388" s="1">
        <v>40686</v>
      </c>
      <c r="B1388" t="s">
        <v>9</v>
      </c>
      <c r="C1388">
        <v>381</v>
      </c>
      <c r="D1388">
        <f>MONTH(cukier11[[#This Row],[data]])</f>
        <v>5</v>
      </c>
      <c r="E1388">
        <f>IF(D1389&lt;&gt;cukier11[[#This Row],[miesiac]],1,0)</f>
        <v>0</v>
      </c>
      <c r="F1388">
        <f>IF(AND(H1387&lt;5000,cukier11[[#This Row],[czy_nastapiła_zmiana_mies]]=1),ROUNDUP((5000-H1387)/1000,0),0)</f>
        <v>0</v>
      </c>
      <c r="G1388">
        <f t="shared" si="21"/>
        <v>3568</v>
      </c>
      <c r="H1388">
        <f>cukier11[[#This Row],[stan_magazynu]]-cukier11[[#This Row],[sprzedany_cukier]]</f>
        <v>3187</v>
      </c>
      <c r="I1388" s="9">
        <f>cukier11[[#This Row],[stan_po_sprzedazy]]+cukier11[[#This Row],[ile_dokupic]]*1000</f>
        <v>3187</v>
      </c>
    </row>
    <row r="1389" spans="1:9" x14ac:dyDescent="0.25">
      <c r="A1389" s="1">
        <v>40689</v>
      </c>
      <c r="B1389" t="s">
        <v>61</v>
      </c>
      <c r="C1389">
        <v>45</v>
      </c>
      <c r="D1389">
        <f>MONTH(cukier11[[#This Row],[data]])</f>
        <v>5</v>
      </c>
      <c r="E1389">
        <f>IF(D1390&lt;&gt;cukier11[[#This Row],[miesiac]],1,0)</f>
        <v>0</v>
      </c>
      <c r="F1389">
        <f>IF(AND(H1388&lt;5000,cukier11[[#This Row],[czy_nastapiła_zmiana_mies]]=1),ROUNDUP((5000-H1388)/1000,0),0)</f>
        <v>0</v>
      </c>
      <c r="G1389">
        <f t="shared" si="21"/>
        <v>3187</v>
      </c>
      <c r="H1389">
        <f>cukier11[[#This Row],[stan_magazynu]]-cukier11[[#This Row],[sprzedany_cukier]]</f>
        <v>3142</v>
      </c>
      <c r="I1389" s="9">
        <f>cukier11[[#This Row],[stan_po_sprzedazy]]+cukier11[[#This Row],[ile_dokupic]]*1000</f>
        <v>3142</v>
      </c>
    </row>
    <row r="1390" spans="1:9" x14ac:dyDescent="0.25">
      <c r="A1390" s="1">
        <v>40691</v>
      </c>
      <c r="B1390" t="s">
        <v>17</v>
      </c>
      <c r="C1390">
        <v>499</v>
      </c>
      <c r="D1390">
        <f>MONTH(cukier11[[#This Row],[data]])</f>
        <v>5</v>
      </c>
      <c r="E1390">
        <f>IF(D1391&lt;&gt;cukier11[[#This Row],[miesiac]],1,0)</f>
        <v>1</v>
      </c>
      <c r="F1390">
        <f>IF(AND(H1389&lt;5000,cukier11[[#This Row],[czy_nastapiła_zmiana_mies]]=1),ROUNDUP((5000-H1389)/1000,0),0)</f>
        <v>2</v>
      </c>
      <c r="G1390">
        <f t="shared" si="21"/>
        <v>3142</v>
      </c>
      <c r="H1390">
        <f>cukier11[[#This Row],[stan_magazynu]]-cukier11[[#This Row],[sprzedany_cukier]]</f>
        <v>2643</v>
      </c>
      <c r="I1390" s="9">
        <f>cukier11[[#This Row],[stan_po_sprzedazy]]+cukier11[[#This Row],[ile_dokupic]]*1000</f>
        <v>4643</v>
      </c>
    </row>
    <row r="1391" spans="1:9" x14ac:dyDescent="0.25">
      <c r="A1391" s="1">
        <v>40695</v>
      </c>
      <c r="B1391" t="s">
        <v>17</v>
      </c>
      <c r="C1391">
        <v>134</v>
      </c>
      <c r="D1391">
        <f>MONTH(cukier11[[#This Row],[data]])</f>
        <v>6</v>
      </c>
      <c r="E1391">
        <f>IF(D1392&lt;&gt;cukier11[[#This Row],[miesiac]],1,0)</f>
        <v>0</v>
      </c>
      <c r="F1391">
        <f>IF(AND(H1390&lt;5000,cukier11[[#This Row],[czy_nastapiła_zmiana_mies]]=1),ROUNDUP((5000-H1390)/1000,0),0)</f>
        <v>0</v>
      </c>
      <c r="G1391">
        <f t="shared" si="21"/>
        <v>4643</v>
      </c>
      <c r="H1391">
        <f>cukier11[[#This Row],[stan_magazynu]]-cukier11[[#This Row],[sprzedany_cukier]]</f>
        <v>4509</v>
      </c>
      <c r="I1391" s="9">
        <f>cukier11[[#This Row],[stan_po_sprzedazy]]+cukier11[[#This Row],[ile_dokupic]]*1000</f>
        <v>4509</v>
      </c>
    </row>
    <row r="1392" spans="1:9" x14ac:dyDescent="0.25">
      <c r="A1392" s="1">
        <v>40695</v>
      </c>
      <c r="B1392" t="s">
        <v>52</v>
      </c>
      <c r="C1392">
        <v>132</v>
      </c>
      <c r="D1392">
        <f>MONTH(cukier11[[#This Row],[data]])</f>
        <v>6</v>
      </c>
      <c r="E1392">
        <f>IF(D1393&lt;&gt;cukier11[[#This Row],[miesiac]],1,0)</f>
        <v>0</v>
      </c>
      <c r="F1392">
        <f>IF(AND(H1391&lt;5000,cukier11[[#This Row],[czy_nastapiła_zmiana_mies]]=1),ROUNDUP((5000-H1391)/1000,0),0)</f>
        <v>0</v>
      </c>
      <c r="G1392">
        <f t="shared" si="21"/>
        <v>4509</v>
      </c>
      <c r="H1392">
        <f>cukier11[[#This Row],[stan_magazynu]]-cukier11[[#This Row],[sprzedany_cukier]]</f>
        <v>4377</v>
      </c>
      <c r="I1392" s="9">
        <f>cukier11[[#This Row],[stan_po_sprzedazy]]+cukier11[[#This Row],[ile_dokupic]]*1000</f>
        <v>4377</v>
      </c>
    </row>
    <row r="1393" spans="1:9" x14ac:dyDescent="0.25">
      <c r="A1393" s="1">
        <v>40696</v>
      </c>
      <c r="B1393" t="s">
        <v>19</v>
      </c>
      <c r="C1393">
        <v>180</v>
      </c>
      <c r="D1393">
        <f>MONTH(cukier11[[#This Row],[data]])</f>
        <v>6</v>
      </c>
      <c r="E1393">
        <f>IF(D1394&lt;&gt;cukier11[[#This Row],[miesiac]],1,0)</f>
        <v>0</v>
      </c>
      <c r="F1393">
        <f>IF(AND(H1392&lt;5000,cukier11[[#This Row],[czy_nastapiła_zmiana_mies]]=1),ROUNDUP((5000-H1392)/1000,0),0)</f>
        <v>0</v>
      </c>
      <c r="G1393">
        <f t="shared" si="21"/>
        <v>4377</v>
      </c>
      <c r="H1393">
        <f>cukier11[[#This Row],[stan_magazynu]]-cukier11[[#This Row],[sprzedany_cukier]]</f>
        <v>4197</v>
      </c>
      <c r="I1393" s="9">
        <f>cukier11[[#This Row],[stan_po_sprzedazy]]+cukier11[[#This Row],[ile_dokupic]]*1000</f>
        <v>4197</v>
      </c>
    </row>
    <row r="1394" spans="1:9" x14ac:dyDescent="0.25">
      <c r="A1394" s="1">
        <v>40699</v>
      </c>
      <c r="B1394" t="s">
        <v>221</v>
      </c>
      <c r="C1394">
        <v>5</v>
      </c>
      <c r="D1394">
        <f>MONTH(cukier11[[#This Row],[data]])</f>
        <v>6</v>
      </c>
      <c r="E1394">
        <f>IF(D1395&lt;&gt;cukier11[[#This Row],[miesiac]],1,0)</f>
        <v>0</v>
      </c>
      <c r="F1394">
        <f>IF(AND(H1393&lt;5000,cukier11[[#This Row],[czy_nastapiła_zmiana_mies]]=1),ROUNDUP((5000-H1393)/1000,0),0)</f>
        <v>0</v>
      </c>
      <c r="G1394">
        <f t="shared" si="21"/>
        <v>4197</v>
      </c>
      <c r="H1394">
        <f>cukier11[[#This Row],[stan_magazynu]]-cukier11[[#This Row],[sprzedany_cukier]]</f>
        <v>4192</v>
      </c>
      <c r="I1394" s="9">
        <f>cukier11[[#This Row],[stan_po_sprzedazy]]+cukier11[[#This Row],[ile_dokupic]]*1000</f>
        <v>4192</v>
      </c>
    </row>
    <row r="1395" spans="1:9" x14ac:dyDescent="0.25">
      <c r="A1395" s="1">
        <v>40701</v>
      </c>
      <c r="B1395" t="s">
        <v>24</v>
      </c>
      <c r="C1395">
        <v>110</v>
      </c>
      <c r="D1395">
        <f>MONTH(cukier11[[#This Row],[data]])</f>
        <v>6</v>
      </c>
      <c r="E1395">
        <f>IF(D1396&lt;&gt;cukier11[[#This Row],[miesiac]],1,0)</f>
        <v>0</v>
      </c>
      <c r="F1395">
        <f>IF(AND(H1394&lt;5000,cukier11[[#This Row],[czy_nastapiła_zmiana_mies]]=1),ROUNDUP((5000-H1394)/1000,0),0)</f>
        <v>0</v>
      </c>
      <c r="G1395">
        <f t="shared" si="21"/>
        <v>4192</v>
      </c>
      <c r="H1395">
        <f>cukier11[[#This Row],[stan_magazynu]]-cukier11[[#This Row],[sprzedany_cukier]]</f>
        <v>4082</v>
      </c>
      <c r="I1395" s="9">
        <f>cukier11[[#This Row],[stan_po_sprzedazy]]+cukier11[[#This Row],[ile_dokupic]]*1000</f>
        <v>4082</v>
      </c>
    </row>
    <row r="1396" spans="1:9" x14ac:dyDescent="0.25">
      <c r="A1396" s="1">
        <v>40702</v>
      </c>
      <c r="B1396" t="s">
        <v>52</v>
      </c>
      <c r="C1396">
        <v>54</v>
      </c>
      <c r="D1396">
        <f>MONTH(cukier11[[#This Row],[data]])</f>
        <v>6</v>
      </c>
      <c r="E1396">
        <f>IF(D1397&lt;&gt;cukier11[[#This Row],[miesiac]],1,0)</f>
        <v>0</v>
      </c>
      <c r="F1396">
        <f>IF(AND(H1395&lt;5000,cukier11[[#This Row],[czy_nastapiła_zmiana_mies]]=1),ROUNDUP((5000-H1395)/1000,0),0)</f>
        <v>0</v>
      </c>
      <c r="G1396">
        <f t="shared" si="21"/>
        <v>4082</v>
      </c>
      <c r="H1396">
        <f>cukier11[[#This Row],[stan_magazynu]]-cukier11[[#This Row],[sprzedany_cukier]]</f>
        <v>4028</v>
      </c>
      <c r="I1396" s="9">
        <f>cukier11[[#This Row],[stan_po_sprzedazy]]+cukier11[[#This Row],[ile_dokupic]]*1000</f>
        <v>4028</v>
      </c>
    </row>
    <row r="1397" spans="1:9" x14ac:dyDescent="0.25">
      <c r="A1397" s="1">
        <v>40703</v>
      </c>
      <c r="B1397" t="s">
        <v>209</v>
      </c>
      <c r="C1397">
        <v>6</v>
      </c>
      <c r="D1397">
        <f>MONTH(cukier11[[#This Row],[data]])</f>
        <v>6</v>
      </c>
      <c r="E1397">
        <f>IF(D1398&lt;&gt;cukier11[[#This Row],[miesiac]],1,0)</f>
        <v>0</v>
      </c>
      <c r="F1397">
        <f>IF(AND(H1396&lt;5000,cukier11[[#This Row],[czy_nastapiła_zmiana_mies]]=1),ROUNDUP((5000-H1396)/1000,0),0)</f>
        <v>0</v>
      </c>
      <c r="G1397">
        <f t="shared" si="21"/>
        <v>4028</v>
      </c>
      <c r="H1397">
        <f>cukier11[[#This Row],[stan_magazynu]]-cukier11[[#This Row],[sprzedany_cukier]]</f>
        <v>4022</v>
      </c>
      <c r="I1397" s="9">
        <f>cukier11[[#This Row],[stan_po_sprzedazy]]+cukier11[[#This Row],[ile_dokupic]]*1000</f>
        <v>4022</v>
      </c>
    </row>
    <row r="1398" spans="1:9" x14ac:dyDescent="0.25">
      <c r="A1398" s="1">
        <v>40704</v>
      </c>
      <c r="B1398" t="s">
        <v>50</v>
      </c>
      <c r="C1398">
        <v>476</v>
      </c>
      <c r="D1398">
        <f>MONTH(cukier11[[#This Row],[data]])</f>
        <v>6</v>
      </c>
      <c r="E1398">
        <f>IF(D1399&lt;&gt;cukier11[[#This Row],[miesiac]],1,0)</f>
        <v>0</v>
      </c>
      <c r="F1398">
        <f>IF(AND(H1397&lt;5000,cukier11[[#This Row],[czy_nastapiła_zmiana_mies]]=1),ROUNDUP((5000-H1397)/1000,0),0)</f>
        <v>0</v>
      </c>
      <c r="G1398">
        <f t="shared" si="21"/>
        <v>4022</v>
      </c>
      <c r="H1398">
        <f>cukier11[[#This Row],[stan_magazynu]]-cukier11[[#This Row],[sprzedany_cukier]]</f>
        <v>3546</v>
      </c>
      <c r="I1398" s="9">
        <f>cukier11[[#This Row],[stan_po_sprzedazy]]+cukier11[[#This Row],[ile_dokupic]]*1000</f>
        <v>3546</v>
      </c>
    </row>
    <row r="1399" spans="1:9" x14ac:dyDescent="0.25">
      <c r="A1399" s="1">
        <v>40704</v>
      </c>
      <c r="B1399" t="s">
        <v>19</v>
      </c>
      <c r="C1399">
        <v>104</v>
      </c>
      <c r="D1399">
        <f>MONTH(cukier11[[#This Row],[data]])</f>
        <v>6</v>
      </c>
      <c r="E1399">
        <f>IF(D1400&lt;&gt;cukier11[[#This Row],[miesiac]],1,0)</f>
        <v>0</v>
      </c>
      <c r="F1399">
        <f>IF(AND(H1398&lt;5000,cukier11[[#This Row],[czy_nastapiła_zmiana_mies]]=1),ROUNDUP((5000-H1398)/1000,0),0)</f>
        <v>0</v>
      </c>
      <c r="G1399">
        <f t="shared" si="21"/>
        <v>3546</v>
      </c>
      <c r="H1399">
        <f>cukier11[[#This Row],[stan_magazynu]]-cukier11[[#This Row],[sprzedany_cukier]]</f>
        <v>3442</v>
      </c>
      <c r="I1399" s="9">
        <f>cukier11[[#This Row],[stan_po_sprzedazy]]+cukier11[[#This Row],[ile_dokupic]]*1000</f>
        <v>3442</v>
      </c>
    </row>
    <row r="1400" spans="1:9" x14ac:dyDescent="0.25">
      <c r="A1400" s="1">
        <v>40704</v>
      </c>
      <c r="B1400" t="s">
        <v>31</v>
      </c>
      <c r="C1400">
        <v>104</v>
      </c>
      <c r="D1400">
        <f>MONTH(cukier11[[#This Row],[data]])</f>
        <v>6</v>
      </c>
      <c r="E1400">
        <f>IF(D1401&lt;&gt;cukier11[[#This Row],[miesiac]],1,0)</f>
        <v>0</v>
      </c>
      <c r="F1400">
        <f>IF(AND(H1399&lt;5000,cukier11[[#This Row],[czy_nastapiła_zmiana_mies]]=1),ROUNDUP((5000-H1399)/1000,0),0)</f>
        <v>0</v>
      </c>
      <c r="G1400">
        <f t="shared" si="21"/>
        <v>3442</v>
      </c>
      <c r="H1400">
        <f>cukier11[[#This Row],[stan_magazynu]]-cukier11[[#This Row],[sprzedany_cukier]]</f>
        <v>3338</v>
      </c>
      <c r="I1400" s="9">
        <f>cukier11[[#This Row],[stan_po_sprzedazy]]+cukier11[[#This Row],[ile_dokupic]]*1000</f>
        <v>3338</v>
      </c>
    </row>
    <row r="1401" spans="1:9" x14ac:dyDescent="0.25">
      <c r="A1401" s="1">
        <v>40706</v>
      </c>
      <c r="B1401" t="s">
        <v>18</v>
      </c>
      <c r="C1401">
        <v>47</v>
      </c>
      <c r="D1401">
        <f>MONTH(cukier11[[#This Row],[data]])</f>
        <v>6</v>
      </c>
      <c r="E1401">
        <f>IF(D1402&lt;&gt;cukier11[[#This Row],[miesiac]],1,0)</f>
        <v>0</v>
      </c>
      <c r="F1401">
        <f>IF(AND(H1400&lt;5000,cukier11[[#This Row],[czy_nastapiła_zmiana_mies]]=1),ROUNDUP((5000-H1400)/1000,0),0)</f>
        <v>0</v>
      </c>
      <c r="G1401">
        <f t="shared" si="21"/>
        <v>3338</v>
      </c>
      <c r="H1401">
        <f>cukier11[[#This Row],[stan_magazynu]]-cukier11[[#This Row],[sprzedany_cukier]]</f>
        <v>3291</v>
      </c>
      <c r="I1401" s="9">
        <f>cukier11[[#This Row],[stan_po_sprzedazy]]+cukier11[[#This Row],[ile_dokupic]]*1000</f>
        <v>3291</v>
      </c>
    </row>
    <row r="1402" spans="1:9" x14ac:dyDescent="0.25">
      <c r="A1402" s="1">
        <v>40706</v>
      </c>
      <c r="B1402" t="s">
        <v>35</v>
      </c>
      <c r="C1402">
        <v>127</v>
      </c>
      <c r="D1402">
        <f>MONTH(cukier11[[#This Row],[data]])</f>
        <v>6</v>
      </c>
      <c r="E1402">
        <f>IF(D1403&lt;&gt;cukier11[[#This Row],[miesiac]],1,0)</f>
        <v>0</v>
      </c>
      <c r="F1402">
        <f>IF(AND(H1401&lt;5000,cukier11[[#This Row],[czy_nastapiła_zmiana_mies]]=1),ROUNDUP((5000-H1401)/1000,0),0)</f>
        <v>0</v>
      </c>
      <c r="G1402">
        <f t="shared" si="21"/>
        <v>3291</v>
      </c>
      <c r="H1402">
        <f>cukier11[[#This Row],[stan_magazynu]]-cukier11[[#This Row],[sprzedany_cukier]]</f>
        <v>3164</v>
      </c>
      <c r="I1402" s="9">
        <f>cukier11[[#This Row],[stan_po_sprzedazy]]+cukier11[[#This Row],[ile_dokupic]]*1000</f>
        <v>3164</v>
      </c>
    </row>
    <row r="1403" spans="1:9" x14ac:dyDescent="0.25">
      <c r="A1403" s="1">
        <v>40708</v>
      </c>
      <c r="B1403" t="s">
        <v>25</v>
      </c>
      <c r="C1403">
        <v>143</v>
      </c>
      <c r="D1403">
        <f>MONTH(cukier11[[#This Row],[data]])</f>
        <v>6</v>
      </c>
      <c r="E1403">
        <f>IF(D1404&lt;&gt;cukier11[[#This Row],[miesiac]],1,0)</f>
        <v>0</v>
      </c>
      <c r="F1403">
        <f>IF(AND(H1402&lt;5000,cukier11[[#This Row],[czy_nastapiła_zmiana_mies]]=1),ROUNDUP((5000-H1402)/1000,0),0)</f>
        <v>0</v>
      </c>
      <c r="G1403">
        <f t="shared" si="21"/>
        <v>3164</v>
      </c>
      <c r="H1403">
        <f>cukier11[[#This Row],[stan_magazynu]]-cukier11[[#This Row],[sprzedany_cukier]]</f>
        <v>3021</v>
      </c>
      <c r="I1403" s="9">
        <f>cukier11[[#This Row],[stan_po_sprzedazy]]+cukier11[[#This Row],[ile_dokupic]]*1000</f>
        <v>3021</v>
      </c>
    </row>
    <row r="1404" spans="1:9" x14ac:dyDescent="0.25">
      <c r="A1404" s="1">
        <v>40711</v>
      </c>
      <c r="B1404" t="s">
        <v>58</v>
      </c>
      <c r="C1404">
        <v>181</v>
      </c>
      <c r="D1404">
        <f>MONTH(cukier11[[#This Row],[data]])</f>
        <v>6</v>
      </c>
      <c r="E1404">
        <f>IF(D1405&lt;&gt;cukier11[[#This Row],[miesiac]],1,0)</f>
        <v>0</v>
      </c>
      <c r="F1404">
        <f>IF(AND(H1403&lt;5000,cukier11[[#This Row],[czy_nastapiła_zmiana_mies]]=1),ROUNDUP((5000-H1403)/1000,0),0)</f>
        <v>0</v>
      </c>
      <c r="G1404">
        <f t="shared" si="21"/>
        <v>3021</v>
      </c>
      <c r="H1404">
        <f>cukier11[[#This Row],[stan_magazynu]]-cukier11[[#This Row],[sprzedany_cukier]]</f>
        <v>2840</v>
      </c>
      <c r="I1404" s="9">
        <f>cukier11[[#This Row],[stan_po_sprzedazy]]+cukier11[[#This Row],[ile_dokupic]]*1000</f>
        <v>2840</v>
      </c>
    </row>
    <row r="1405" spans="1:9" x14ac:dyDescent="0.25">
      <c r="A1405" s="1">
        <v>40714</v>
      </c>
      <c r="B1405" t="s">
        <v>19</v>
      </c>
      <c r="C1405">
        <v>139</v>
      </c>
      <c r="D1405">
        <f>MONTH(cukier11[[#This Row],[data]])</f>
        <v>6</v>
      </c>
      <c r="E1405">
        <f>IF(D1406&lt;&gt;cukier11[[#This Row],[miesiac]],1,0)</f>
        <v>0</v>
      </c>
      <c r="F1405">
        <f>IF(AND(H1404&lt;5000,cukier11[[#This Row],[czy_nastapiła_zmiana_mies]]=1),ROUNDUP((5000-H1404)/1000,0),0)</f>
        <v>0</v>
      </c>
      <c r="G1405">
        <f t="shared" si="21"/>
        <v>2840</v>
      </c>
      <c r="H1405">
        <f>cukier11[[#This Row],[stan_magazynu]]-cukier11[[#This Row],[sprzedany_cukier]]</f>
        <v>2701</v>
      </c>
      <c r="I1405" s="9">
        <f>cukier11[[#This Row],[stan_po_sprzedazy]]+cukier11[[#This Row],[ile_dokupic]]*1000</f>
        <v>2701</v>
      </c>
    </row>
    <row r="1406" spans="1:9" x14ac:dyDescent="0.25">
      <c r="A1406" s="1">
        <v>40717</v>
      </c>
      <c r="B1406" t="s">
        <v>52</v>
      </c>
      <c r="C1406">
        <v>187</v>
      </c>
      <c r="D1406">
        <f>MONTH(cukier11[[#This Row],[data]])</f>
        <v>6</v>
      </c>
      <c r="E1406">
        <f>IF(D1407&lt;&gt;cukier11[[#This Row],[miesiac]],1,0)</f>
        <v>0</v>
      </c>
      <c r="F1406">
        <f>IF(AND(H1405&lt;5000,cukier11[[#This Row],[czy_nastapiła_zmiana_mies]]=1),ROUNDUP((5000-H1405)/1000,0),0)</f>
        <v>0</v>
      </c>
      <c r="G1406">
        <f t="shared" si="21"/>
        <v>2701</v>
      </c>
      <c r="H1406">
        <f>cukier11[[#This Row],[stan_magazynu]]-cukier11[[#This Row],[sprzedany_cukier]]</f>
        <v>2514</v>
      </c>
      <c r="I1406" s="9">
        <f>cukier11[[#This Row],[stan_po_sprzedazy]]+cukier11[[#This Row],[ile_dokupic]]*1000</f>
        <v>2514</v>
      </c>
    </row>
    <row r="1407" spans="1:9" x14ac:dyDescent="0.25">
      <c r="A1407" s="1">
        <v>40717</v>
      </c>
      <c r="B1407" t="s">
        <v>201</v>
      </c>
      <c r="C1407">
        <v>11</v>
      </c>
      <c r="D1407">
        <f>MONTH(cukier11[[#This Row],[data]])</f>
        <v>6</v>
      </c>
      <c r="E1407">
        <f>IF(D1408&lt;&gt;cukier11[[#This Row],[miesiac]],1,0)</f>
        <v>0</v>
      </c>
      <c r="F1407">
        <f>IF(AND(H1406&lt;5000,cukier11[[#This Row],[czy_nastapiła_zmiana_mies]]=1),ROUNDUP((5000-H1406)/1000,0),0)</f>
        <v>0</v>
      </c>
      <c r="G1407">
        <f t="shared" si="21"/>
        <v>2514</v>
      </c>
      <c r="H1407">
        <f>cukier11[[#This Row],[stan_magazynu]]-cukier11[[#This Row],[sprzedany_cukier]]</f>
        <v>2503</v>
      </c>
      <c r="I1407" s="9">
        <f>cukier11[[#This Row],[stan_po_sprzedazy]]+cukier11[[#This Row],[ile_dokupic]]*1000</f>
        <v>2503</v>
      </c>
    </row>
    <row r="1408" spans="1:9" x14ac:dyDescent="0.25">
      <c r="A1408" s="1">
        <v>40718</v>
      </c>
      <c r="B1408" t="s">
        <v>55</v>
      </c>
      <c r="C1408">
        <v>170</v>
      </c>
      <c r="D1408">
        <f>MONTH(cukier11[[#This Row],[data]])</f>
        <v>6</v>
      </c>
      <c r="E1408">
        <f>IF(D1409&lt;&gt;cukier11[[#This Row],[miesiac]],1,0)</f>
        <v>0</v>
      </c>
      <c r="F1408">
        <f>IF(AND(H1407&lt;5000,cukier11[[#This Row],[czy_nastapiła_zmiana_mies]]=1),ROUNDUP((5000-H1407)/1000,0),0)</f>
        <v>0</v>
      </c>
      <c r="G1408">
        <f t="shared" si="21"/>
        <v>2503</v>
      </c>
      <c r="H1408">
        <f>cukier11[[#This Row],[stan_magazynu]]-cukier11[[#This Row],[sprzedany_cukier]]</f>
        <v>2333</v>
      </c>
      <c r="I1408" s="9">
        <f>cukier11[[#This Row],[stan_po_sprzedazy]]+cukier11[[#This Row],[ile_dokupic]]*1000</f>
        <v>2333</v>
      </c>
    </row>
    <row r="1409" spans="1:9" x14ac:dyDescent="0.25">
      <c r="A1409" s="1">
        <v>40723</v>
      </c>
      <c r="B1409" t="s">
        <v>116</v>
      </c>
      <c r="C1409">
        <v>7</v>
      </c>
      <c r="D1409">
        <f>MONTH(cukier11[[#This Row],[data]])</f>
        <v>6</v>
      </c>
      <c r="E1409">
        <f>IF(D1410&lt;&gt;cukier11[[#This Row],[miesiac]],1,0)</f>
        <v>1</v>
      </c>
      <c r="F1409">
        <f>IF(AND(H1408&lt;5000,cukier11[[#This Row],[czy_nastapiła_zmiana_mies]]=1),ROUNDUP((5000-H1408)/1000,0),0)</f>
        <v>3</v>
      </c>
      <c r="G1409">
        <f t="shared" si="21"/>
        <v>2333</v>
      </c>
      <c r="H1409">
        <f>cukier11[[#This Row],[stan_magazynu]]-cukier11[[#This Row],[sprzedany_cukier]]</f>
        <v>2326</v>
      </c>
      <c r="I1409" s="9">
        <f>cukier11[[#This Row],[stan_po_sprzedazy]]+cukier11[[#This Row],[ile_dokupic]]*1000</f>
        <v>5326</v>
      </c>
    </row>
    <row r="1410" spans="1:9" x14ac:dyDescent="0.25">
      <c r="A1410" s="1">
        <v>40727</v>
      </c>
      <c r="B1410" t="s">
        <v>12</v>
      </c>
      <c r="C1410">
        <v>168</v>
      </c>
      <c r="D1410">
        <f>MONTH(cukier11[[#This Row],[data]])</f>
        <v>7</v>
      </c>
      <c r="E1410">
        <f>IF(D1411&lt;&gt;cukier11[[#This Row],[miesiac]],1,0)</f>
        <v>0</v>
      </c>
      <c r="F1410">
        <f>IF(AND(H1409&lt;5000,cukier11[[#This Row],[czy_nastapiła_zmiana_mies]]=1),ROUNDUP((5000-H1409)/1000,0),0)</f>
        <v>0</v>
      </c>
      <c r="G1410">
        <f t="shared" si="21"/>
        <v>5326</v>
      </c>
      <c r="H1410">
        <f>cukier11[[#This Row],[stan_magazynu]]-cukier11[[#This Row],[sprzedany_cukier]]</f>
        <v>5158</v>
      </c>
      <c r="I1410" s="9">
        <f>cukier11[[#This Row],[stan_po_sprzedazy]]+cukier11[[#This Row],[ile_dokupic]]*1000</f>
        <v>5158</v>
      </c>
    </row>
    <row r="1411" spans="1:9" x14ac:dyDescent="0.25">
      <c r="A1411" s="1">
        <v>40727</v>
      </c>
      <c r="B1411" t="s">
        <v>205</v>
      </c>
      <c r="C1411">
        <v>4</v>
      </c>
      <c r="D1411">
        <f>MONTH(cukier11[[#This Row],[data]])</f>
        <v>7</v>
      </c>
      <c r="E1411">
        <f>IF(D1412&lt;&gt;cukier11[[#This Row],[miesiac]],1,0)</f>
        <v>0</v>
      </c>
      <c r="F1411">
        <f>IF(AND(H1410&lt;5000,cukier11[[#This Row],[czy_nastapiła_zmiana_mies]]=1),ROUNDUP((5000-H1410)/1000,0),0)</f>
        <v>0</v>
      </c>
      <c r="G1411">
        <f t="shared" si="21"/>
        <v>5158</v>
      </c>
      <c r="H1411">
        <f>cukier11[[#This Row],[stan_magazynu]]-cukier11[[#This Row],[sprzedany_cukier]]</f>
        <v>5154</v>
      </c>
      <c r="I1411" s="9">
        <f>cukier11[[#This Row],[stan_po_sprzedazy]]+cukier11[[#This Row],[ile_dokupic]]*1000</f>
        <v>5154</v>
      </c>
    </row>
    <row r="1412" spans="1:9" x14ac:dyDescent="0.25">
      <c r="A1412" s="1">
        <v>40727</v>
      </c>
      <c r="B1412" t="s">
        <v>9</v>
      </c>
      <c r="C1412">
        <v>145</v>
      </c>
      <c r="D1412">
        <f>MONTH(cukier11[[#This Row],[data]])</f>
        <v>7</v>
      </c>
      <c r="E1412">
        <f>IF(D1413&lt;&gt;cukier11[[#This Row],[miesiac]],1,0)</f>
        <v>0</v>
      </c>
      <c r="F1412">
        <f>IF(AND(H1411&lt;5000,cukier11[[#This Row],[czy_nastapiła_zmiana_mies]]=1),ROUNDUP((5000-H1411)/1000,0),0)</f>
        <v>0</v>
      </c>
      <c r="G1412">
        <f t="shared" ref="G1412:G1475" si="22">I1411</f>
        <v>5154</v>
      </c>
      <c r="H1412">
        <f>cukier11[[#This Row],[stan_magazynu]]-cukier11[[#This Row],[sprzedany_cukier]]</f>
        <v>5009</v>
      </c>
      <c r="I1412" s="9">
        <f>cukier11[[#This Row],[stan_po_sprzedazy]]+cukier11[[#This Row],[ile_dokupic]]*1000</f>
        <v>5009</v>
      </c>
    </row>
    <row r="1413" spans="1:9" x14ac:dyDescent="0.25">
      <c r="A1413" s="1">
        <v>40730</v>
      </c>
      <c r="B1413" t="s">
        <v>19</v>
      </c>
      <c r="C1413">
        <v>103</v>
      </c>
      <c r="D1413">
        <f>MONTH(cukier11[[#This Row],[data]])</f>
        <v>7</v>
      </c>
      <c r="E1413">
        <f>IF(D1414&lt;&gt;cukier11[[#This Row],[miesiac]],1,0)</f>
        <v>0</v>
      </c>
      <c r="F1413">
        <f>IF(AND(H1412&lt;5000,cukier11[[#This Row],[czy_nastapiła_zmiana_mies]]=1),ROUNDUP((5000-H1412)/1000,0),0)</f>
        <v>0</v>
      </c>
      <c r="G1413">
        <f t="shared" si="22"/>
        <v>5009</v>
      </c>
      <c r="H1413">
        <f>cukier11[[#This Row],[stan_magazynu]]-cukier11[[#This Row],[sprzedany_cukier]]</f>
        <v>4906</v>
      </c>
      <c r="I1413" s="9">
        <f>cukier11[[#This Row],[stan_po_sprzedazy]]+cukier11[[#This Row],[ile_dokupic]]*1000</f>
        <v>4906</v>
      </c>
    </row>
    <row r="1414" spans="1:9" x14ac:dyDescent="0.25">
      <c r="A1414" s="1">
        <v>40732</v>
      </c>
      <c r="B1414" t="s">
        <v>17</v>
      </c>
      <c r="C1414">
        <v>101</v>
      </c>
      <c r="D1414">
        <f>MONTH(cukier11[[#This Row],[data]])</f>
        <v>7</v>
      </c>
      <c r="E1414">
        <f>IF(D1415&lt;&gt;cukier11[[#This Row],[miesiac]],1,0)</f>
        <v>0</v>
      </c>
      <c r="F1414">
        <f>IF(AND(H1413&lt;5000,cukier11[[#This Row],[czy_nastapiła_zmiana_mies]]=1),ROUNDUP((5000-H1413)/1000,0),0)</f>
        <v>0</v>
      </c>
      <c r="G1414">
        <f t="shared" si="22"/>
        <v>4906</v>
      </c>
      <c r="H1414">
        <f>cukier11[[#This Row],[stan_magazynu]]-cukier11[[#This Row],[sprzedany_cukier]]</f>
        <v>4805</v>
      </c>
      <c r="I1414" s="9">
        <f>cukier11[[#This Row],[stan_po_sprzedazy]]+cukier11[[#This Row],[ile_dokupic]]*1000</f>
        <v>4805</v>
      </c>
    </row>
    <row r="1415" spans="1:9" x14ac:dyDescent="0.25">
      <c r="A1415" s="1">
        <v>40733</v>
      </c>
      <c r="B1415" t="s">
        <v>35</v>
      </c>
      <c r="C1415">
        <v>141</v>
      </c>
      <c r="D1415">
        <f>MONTH(cukier11[[#This Row],[data]])</f>
        <v>7</v>
      </c>
      <c r="E1415">
        <f>IF(D1416&lt;&gt;cukier11[[#This Row],[miesiac]],1,0)</f>
        <v>0</v>
      </c>
      <c r="F1415">
        <f>IF(AND(H1414&lt;5000,cukier11[[#This Row],[czy_nastapiła_zmiana_mies]]=1),ROUNDUP((5000-H1414)/1000,0),0)</f>
        <v>0</v>
      </c>
      <c r="G1415">
        <f t="shared" si="22"/>
        <v>4805</v>
      </c>
      <c r="H1415">
        <f>cukier11[[#This Row],[stan_magazynu]]-cukier11[[#This Row],[sprzedany_cukier]]</f>
        <v>4664</v>
      </c>
      <c r="I1415" s="9">
        <f>cukier11[[#This Row],[stan_po_sprzedazy]]+cukier11[[#This Row],[ile_dokupic]]*1000</f>
        <v>4664</v>
      </c>
    </row>
    <row r="1416" spans="1:9" x14ac:dyDescent="0.25">
      <c r="A1416" s="1">
        <v>40733</v>
      </c>
      <c r="B1416" t="s">
        <v>194</v>
      </c>
      <c r="C1416">
        <v>6</v>
      </c>
      <c r="D1416">
        <f>MONTH(cukier11[[#This Row],[data]])</f>
        <v>7</v>
      </c>
      <c r="E1416">
        <f>IF(D1417&lt;&gt;cukier11[[#This Row],[miesiac]],1,0)</f>
        <v>0</v>
      </c>
      <c r="F1416">
        <f>IF(AND(H1415&lt;5000,cukier11[[#This Row],[czy_nastapiła_zmiana_mies]]=1),ROUNDUP((5000-H1415)/1000,0),0)</f>
        <v>0</v>
      </c>
      <c r="G1416">
        <f t="shared" si="22"/>
        <v>4664</v>
      </c>
      <c r="H1416">
        <f>cukier11[[#This Row],[stan_magazynu]]-cukier11[[#This Row],[sprzedany_cukier]]</f>
        <v>4658</v>
      </c>
      <c r="I1416" s="9">
        <f>cukier11[[#This Row],[stan_po_sprzedazy]]+cukier11[[#This Row],[ile_dokupic]]*1000</f>
        <v>4658</v>
      </c>
    </row>
    <row r="1417" spans="1:9" x14ac:dyDescent="0.25">
      <c r="A1417" s="1">
        <v>40733</v>
      </c>
      <c r="B1417" t="s">
        <v>178</v>
      </c>
      <c r="C1417">
        <v>16</v>
      </c>
      <c r="D1417">
        <f>MONTH(cukier11[[#This Row],[data]])</f>
        <v>7</v>
      </c>
      <c r="E1417">
        <f>IF(D1418&lt;&gt;cukier11[[#This Row],[miesiac]],1,0)</f>
        <v>0</v>
      </c>
      <c r="F1417">
        <f>IF(AND(H1416&lt;5000,cukier11[[#This Row],[czy_nastapiła_zmiana_mies]]=1),ROUNDUP((5000-H1416)/1000,0),0)</f>
        <v>0</v>
      </c>
      <c r="G1417">
        <f t="shared" si="22"/>
        <v>4658</v>
      </c>
      <c r="H1417">
        <f>cukier11[[#This Row],[stan_magazynu]]-cukier11[[#This Row],[sprzedany_cukier]]</f>
        <v>4642</v>
      </c>
      <c r="I1417" s="9">
        <f>cukier11[[#This Row],[stan_po_sprzedazy]]+cukier11[[#This Row],[ile_dokupic]]*1000</f>
        <v>4642</v>
      </c>
    </row>
    <row r="1418" spans="1:9" x14ac:dyDescent="0.25">
      <c r="A1418" s="1">
        <v>40735</v>
      </c>
      <c r="B1418" t="s">
        <v>17</v>
      </c>
      <c r="C1418">
        <v>276</v>
      </c>
      <c r="D1418">
        <f>MONTH(cukier11[[#This Row],[data]])</f>
        <v>7</v>
      </c>
      <c r="E1418">
        <f>IF(D1419&lt;&gt;cukier11[[#This Row],[miesiac]],1,0)</f>
        <v>0</v>
      </c>
      <c r="F1418">
        <f>IF(AND(H1417&lt;5000,cukier11[[#This Row],[czy_nastapiła_zmiana_mies]]=1),ROUNDUP((5000-H1417)/1000,0),0)</f>
        <v>0</v>
      </c>
      <c r="G1418">
        <f t="shared" si="22"/>
        <v>4642</v>
      </c>
      <c r="H1418">
        <f>cukier11[[#This Row],[stan_magazynu]]-cukier11[[#This Row],[sprzedany_cukier]]</f>
        <v>4366</v>
      </c>
      <c r="I1418" s="9">
        <f>cukier11[[#This Row],[stan_po_sprzedazy]]+cukier11[[#This Row],[ile_dokupic]]*1000</f>
        <v>4366</v>
      </c>
    </row>
    <row r="1419" spans="1:9" x14ac:dyDescent="0.25">
      <c r="A1419" s="1">
        <v>40736</v>
      </c>
      <c r="B1419" t="s">
        <v>102</v>
      </c>
      <c r="C1419">
        <v>329</v>
      </c>
      <c r="D1419">
        <f>MONTH(cukier11[[#This Row],[data]])</f>
        <v>7</v>
      </c>
      <c r="E1419">
        <f>IF(D1420&lt;&gt;cukier11[[#This Row],[miesiac]],1,0)</f>
        <v>0</v>
      </c>
      <c r="F1419">
        <f>IF(AND(H1418&lt;5000,cukier11[[#This Row],[czy_nastapiła_zmiana_mies]]=1),ROUNDUP((5000-H1418)/1000,0),0)</f>
        <v>0</v>
      </c>
      <c r="G1419">
        <f t="shared" si="22"/>
        <v>4366</v>
      </c>
      <c r="H1419">
        <f>cukier11[[#This Row],[stan_magazynu]]-cukier11[[#This Row],[sprzedany_cukier]]</f>
        <v>4037</v>
      </c>
      <c r="I1419" s="9">
        <f>cukier11[[#This Row],[stan_po_sprzedazy]]+cukier11[[#This Row],[ile_dokupic]]*1000</f>
        <v>4037</v>
      </c>
    </row>
    <row r="1420" spans="1:9" x14ac:dyDescent="0.25">
      <c r="A1420" s="1">
        <v>40737</v>
      </c>
      <c r="B1420" t="s">
        <v>52</v>
      </c>
      <c r="C1420">
        <v>200</v>
      </c>
      <c r="D1420">
        <f>MONTH(cukier11[[#This Row],[data]])</f>
        <v>7</v>
      </c>
      <c r="E1420">
        <f>IF(D1421&lt;&gt;cukier11[[#This Row],[miesiac]],1,0)</f>
        <v>0</v>
      </c>
      <c r="F1420">
        <f>IF(AND(H1419&lt;5000,cukier11[[#This Row],[czy_nastapiła_zmiana_mies]]=1),ROUNDUP((5000-H1419)/1000,0),0)</f>
        <v>0</v>
      </c>
      <c r="G1420">
        <f t="shared" si="22"/>
        <v>4037</v>
      </c>
      <c r="H1420">
        <f>cukier11[[#This Row],[stan_magazynu]]-cukier11[[#This Row],[sprzedany_cukier]]</f>
        <v>3837</v>
      </c>
      <c r="I1420" s="9">
        <f>cukier11[[#This Row],[stan_po_sprzedazy]]+cukier11[[#This Row],[ile_dokupic]]*1000</f>
        <v>3837</v>
      </c>
    </row>
    <row r="1421" spans="1:9" x14ac:dyDescent="0.25">
      <c r="A1421" s="1">
        <v>40740</v>
      </c>
      <c r="B1421" t="s">
        <v>10</v>
      </c>
      <c r="C1421">
        <v>82</v>
      </c>
      <c r="D1421">
        <f>MONTH(cukier11[[#This Row],[data]])</f>
        <v>7</v>
      </c>
      <c r="E1421">
        <f>IF(D1422&lt;&gt;cukier11[[#This Row],[miesiac]],1,0)</f>
        <v>0</v>
      </c>
      <c r="F1421">
        <f>IF(AND(H1420&lt;5000,cukier11[[#This Row],[czy_nastapiła_zmiana_mies]]=1),ROUNDUP((5000-H1420)/1000,0),0)</f>
        <v>0</v>
      </c>
      <c r="G1421">
        <f t="shared" si="22"/>
        <v>3837</v>
      </c>
      <c r="H1421">
        <f>cukier11[[#This Row],[stan_magazynu]]-cukier11[[#This Row],[sprzedany_cukier]]</f>
        <v>3755</v>
      </c>
      <c r="I1421" s="9">
        <f>cukier11[[#This Row],[stan_po_sprzedazy]]+cukier11[[#This Row],[ile_dokupic]]*1000</f>
        <v>3755</v>
      </c>
    </row>
    <row r="1422" spans="1:9" x14ac:dyDescent="0.25">
      <c r="A1422" s="1">
        <v>40740</v>
      </c>
      <c r="B1422" t="s">
        <v>37</v>
      </c>
      <c r="C1422">
        <v>66</v>
      </c>
      <c r="D1422">
        <f>MONTH(cukier11[[#This Row],[data]])</f>
        <v>7</v>
      </c>
      <c r="E1422">
        <f>IF(D1423&lt;&gt;cukier11[[#This Row],[miesiac]],1,0)</f>
        <v>0</v>
      </c>
      <c r="F1422">
        <f>IF(AND(H1421&lt;5000,cukier11[[#This Row],[czy_nastapiła_zmiana_mies]]=1),ROUNDUP((5000-H1421)/1000,0),0)</f>
        <v>0</v>
      </c>
      <c r="G1422">
        <f t="shared" si="22"/>
        <v>3755</v>
      </c>
      <c r="H1422">
        <f>cukier11[[#This Row],[stan_magazynu]]-cukier11[[#This Row],[sprzedany_cukier]]</f>
        <v>3689</v>
      </c>
      <c r="I1422" s="9">
        <f>cukier11[[#This Row],[stan_po_sprzedazy]]+cukier11[[#This Row],[ile_dokupic]]*1000</f>
        <v>3689</v>
      </c>
    </row>
    <row r="1423" spans="1:9" x14ac:dyDescent="0.25">
      <c r="A1423" s="1">
        <v>40745</v>
      </c>
      <c r="B1423" t="s">
        <v>22</v>
      </c>
      <c r="C1423">
        <v>150</v>
      </c>
      <c r="D1423">
        <f>MONTH(cukier11[[#This Row],[data]])</f>
        <v>7</v>
      </c>
      <c r="E1423">
        <f>IF(D1424&lt;&gt;cukier11[[#This Row],[miesiac]],1,0)</f>
        <v>0</v>
      </c>
      <c r="F1423">
        <f>IF(AND(H1422&lt;5000,cukier11[[#This Row],[czy_nastapiła_zmiana_mies]]=1),ROUNDUP((5000-H1422)/1000,0),0)</f>
        <v>0</v>
      </c>
      <c r="G1423">
        <f t="shared" si="22"/>
        <v>3689</v>
      </c>
      <c r="H1423">
        <f>cukier11[[#This Row],[stan_magazynu]]-cukier11[[#This Row],[sprzedany_cukier]]</f>
        <v>3539</v>
      </c>
      <c r="I1423" s="9">
        <f>cukier11[[#This Row],[stan_po_sprzedazy]]+cukier11[[#This Row],[ile_dokupic]]*1000</f>
        <v>3539</v>
      </c>
    </row>
    <row r="1424" spans="1:9" x14ac:dyDescent="0.25">
      <c r="A1424" s="1">
        <v>40745</v>
      </c>
      <c r="B1424" t="s">
        <v>69</v>
      </c>
      <c r="C1424">
        <v>63</v>
      </c>
      <c r="D1424">
        <f>MONTH(cukier11[[#This Row],[data]])</f>
        <v>7</v>
      </c>
      <c r="E1424">
        <f>IF(D1425&lt;&gt;cukier11[[#This Row],[miesiac]],1,0)</f>
        <v>0</v>
      </c>
      <c r="F1424">
        <f>IF(AND(H1423&lt;5000,cukier11[[#This Row],[czy_nastapiła_zmiana_mies]]=1),ROUNDUP((5000-H1423)/1000,0),0)</f>
        <v>0</v>
      </c>
      <c r="G1424">
        <f t="shared" si="22"/>
        <v>3539</v>
      </c>
      <c r="H1424">
        <f>cukier11[[#This Row],[stan_magazynu]]-cukier11[[#This Row],[sprzedany_cukier]]</f>
        <v>3476</v>
      </c>
      <c r="I1424" s="9">
        <f>cukier11[[#This Row],[stan_po_sprzedazy]]+cukier11[[#This Row],[ile_dokupic]]*1000</f>
        <v>3476</v>
      </c>
    </row>
    <row r="1425" spans="1:9" x14ac:dyDescent="0.25">
      <c r="A1425" s="1">
        <v>40746</v>
      </c>
      <c r="B1425" t="s">
        <v>66</v>
      </c>
      <c r="C1425">
        <v>120</v>
      </c>
      <c r="D1425">
        <f>MONTH(cukier11[[#This Row],[data]])</f>
        <v>7</v>
      </c>
      <c r="E1425">
        <f>IF(D1426&lt;&gt;cukier11[[#This Row],[miesiac]],1,0)</f>
        <v>0</v>
      </c>
      <c r="F1425">
        <f>IF(AND(H1424&lt;5000,cukier11[[#This Row],[czy_nastapiła_zmiana_mies]]=1),ROUNDUP((5000-H1424)/1000,0),0)</f>
        <v>0</v>
      </c>
      <c r="G1425">
        <f t="shared" si="22"/>
        <v>3476</v>
      </c>
      <c r="H1425">
        <f>cukier11[[#This Row],[stan_magazynu]]-cukier11[[#This Row],[sprzedany_cukier]]</f>
        <v>3356</v>
      </c>
      <c r="I1425" s="9">
        <f>cukier11[[#This Row],[stan_po_sprzedazy]]+cukier11[[#This Row],[ile_dokupic]]*1000</f>
        <v>3356</v>
      </c>
    </row>
    <row r="1426" spans="1:9" x14ac:dyDescent="0.25">
      <c r="A1426" s="1">
        <v>40747</v>
      </c>
      <c r="B1426" t="s">
        <v>7</v>
      </c>
      <c r="C1426">
        <v>155</v>
      </c>
      <c r="D1426">
        <f>MONTH(cukier11[[#This Row],[data]])</f>
        <v>7</v>
      </c>
      <c r="E1426">
        <f>IF(D1427&lt;&gt;cukier11[[#This Row],[miesiac]],1,0)</f>
        <v>0</v>
      </c>
      <c r="F1426">
        <f>IF(AND(H1425&lt;5000,cukier11[[#This Row],[czy_nastapiła_zmiana_mies]]=1),ROUNDUP((5000-H1425)/1000,0),0)</f>
        <v>0</v>
      </c>
      <c r="G1426">
        <f t="shared" si="22"/>
        <v>3356</v>
      </c>
      <c r="H1426">
        <f>cukier11[[#This Row],[stan_magazynu]]-cukier11[[#This Row],[sprzedany_cukier]]</f>
        <v>3201</v>
      </c>
      <c r="I1426" s="9">
        <f>cukier11[[#This Row],[stan_po_sprzedazy]]+cukier11[[#This Row],[ile_dokupic]]*1000</f>
        <v>3201</v>
      </c>
    </row>
    <row r="1427" spans="1:9" x14ac:dyDescent="0.25">
      <c r="A1427" s="1">
        <v>40748</v>
      </c>
      <c r="B1427" t="s">
        <v>19</v>
      </c>
      <c r="C1427">
        <v>30</v>
      </c>
      <c r="D1427">
        <f>MONTH(cukier11[[#This Row],[data]])</f>
        <v>7</v>
      </c>
      <c r="E1427">
        <f>IF(D1428&lt;&gt;cukier11[[#This Row],[miesiac]],1,0)</f>
        <v>0</v>
      </c>
      <c r="F1427">
        <f>IF(AND(H1426&lt;5000,cukier11[[#This Row],[czy_nastapiła_zmiana_mies]]=1),ROUNDUP((5000-H1426)/1000,0),0)</f>
        <v>0</v>
      </c>
      <c r="G1427">
        <f t="shared" si="22"/>
        <v>3201</v>
      </c>
      <c r="H1427">
        <f>cukier11[[#This Row],[stan_magazynu]]-cukier11[[#This Row],[sprzedany_cukier]]</f>
        <v>3171</v>
      </c>
      <c r="I1427" s="9">
        <f>cukier11[[#This Row],[stan_po_sprzedazy]]+cukier11[[#This Row],[ile_dokupic]]*1000</f>
        <v>3171</v>
      </c>
    </row>
    <row r="1428" spans="1:9" x14ac:dyDescent="0.25">
      <c r="A1428" s="1">
        <v>40748</v>
      </c>
      <c r="B1428" t="s">
        <v>71</v>
      </c>
      <c r="C1428">
        <v>34</v>
      </c>
      <c r="D1428">
        <f>MONTH(cukier11[[#This Row],[data]])</f>
        <v>7</v>
      </c>
      <c r="E1428">
        <f>IF(D1429&lt;&gt;cukier11[[#This Row],[miesiac]],1,0)</f>
        <v>0</v>
      </c>
      <c r="F1428">
        <f>IF(AND(H1427&lt;5000,cukier11[[#This Row],[czy_nastapiła_zmiana_mies]]=1),ROUNDUP((5000-H1427)/1000,0),0)</f>
        <v>0</v>
      </c>
      <c r="G1428">
        <f t="shared" si="22"/>
        <v>3171</v>
      </c>
      <c r="H1428">
        <f>cukier11[[#This Row],[stan_magazynu]]-cukier11[[#This Row],[sprzedany_cukier]]</f>
        <v>3137</v>
      </c>
      <c r="I1428" s="9">
        <f>cukier11[[#This Row],[stan_po_sprzedazy]]+cukier11[[#This Row],[ile_dokupic]]*1000</f>
        <v>3137</v>
      </c>
    </row>
    <row r="1429" spans="1:9" x14ac:dyDescent="0.25">
      <c r="A1429" s="1">
        <v>40753</v>
      </c>
      <c r="B1429" t="s">
        <v>12</v>
      </c>
      <c r="C1429">
        <v>30</v>
      </c>
      <c r="D1429">
        <f>MONTH(cukier11[[#This Row],[data]])</f>
        <v>7</v>
      </c>
      <c r="E1429">
        <f>IF(D1430&lt;&gt;cukier11[[#This Row],[miesiac]],1,0)</f>
        <v>0</v>
      </c>
      <c r="F1429">
        <f>IF(AND(H1428&lt;5000,cukier11[[#This Row],[czy_nastapiła_zmiana_mies]]=1),ROUNDUP((5000-H1428)/1000,0),0)</f>
        <v>0</v>
      </c>
      <c r="G1429">
        <f t="shared" si="22"/>
        <v>3137</v>
      </c>
      <c r="H1429">
        <f>cukier11[[#This Row],[stan_magazynu]]-cukier11[[#This Row],[sprzedany_cukier]]</f>
        <v>3107</v>
      </c>
      <c r="I1429" s="9">
        <f>cukier11[[#This Row],[stan_po_sprzedazy]]+cukier11[[#This Row],[ile_dokupic]]*1000</f>
        <v>3107</v>
      </c>
    </row>
    <row r="1430" spans="1:9" x14ac:dyDescent="0.25">
      <c r="A1430" s="1">
        <v>40753</v>
      </c>
      <c r="B1430" t="s">
        <v>6</v>
      </c>
      <c r="C1430">
        <v>162</v>
      </c>
      <c r="D1430">
        <f>MONTH(cukier11[[#This Row],[data]])</f>
        <v>7</v>
      </c>
      <c r="E1430">
        <f>IF(D1431&lt;&gt;cukier11[[#This Row],[miesiac]],1,0)</f>
        <v>0</v>
      </c>
      <c r="F1430">
        <f>IF(AND(H1429&lt;5000,cukier11[[#This Row],[czy_nastapiła_zmiana_mies]]=1),ROUNDUP((5000-H1429)/1000,0),0)</f>
        <v>0</v>
      </c>
      <c r="G1430">
        <f t="shared" si="22"/>
        <v>3107</v>
      </c>
      <c r="H1430">
        <f>cukier11[[#This Row],[stan_magazynu]]-cukier11[[#This Row],[sprzedany_cukier]]</f>
        <v>2945</v>
      </c>
      <c r="I1430" s="9">
        <f>cukier11[[#This Row],[stan_po_sprzedazy]]+cukier11[[#This Row],[ile_dokupic]]*1000</f>
        <v>2945</v>
      </c>
    </row>
    <row r="1431" spans="1:9" x14ac:dyDescent="0.25">
      <c r="A1431" s="1">
        <v>40754</v>
      </c>
      <c r="B1431" t="s">
        <v>63</v>
      </c>
      <c r="C1431">
        <v>71</v>
      </c>
      <c r="D1431">
        <f>MONTH(cukier11[[#This Row],[data]])</f>
        <v>7</v>
      </c>
      <c r="E1431">
        <f>IF(D1432&lt;&gt;cukier11[[#This Row],[miesiac]],1,0)</f>
        <v>0</v>
      </c>
      <c r="F1431">
        <f>IF(AND(H1430&lt;5000,cukier11[[#This Row],[czy_nastapiła_zmiana_mies]]=1),ROUNDUP((5000-H1430)/1000,0),0)</f>
        <v>0</v>
      </c>
      <c r="G1431">
        <f t="shared" si="22"/>
        <v>2945</v>
      </c>
      <c r="H1431">
        <f>cukier11[[#This Row],[stan_magazynu]]-cukier11[[#This Row],[sprzedany_cukier]]</f>
        <v>2874</v>
      </c>
      <c r="I1431" s="9">
        <f>cukier11[[#This Row],[stan_po_sprzedazy]]+cukier11[[#This Row],[ile_dokupic]]*1000</f>
        <v>2874</v>
      </c>
    </row>
    <row r="1432" spans="1:9" x14ac:dyDescent="0.25">
      <c r="A1432" s="1">
        <v>40755</v>
      </c>
      <c r="B1432" t="s">
        <v>155</v>
      </c>
      <c r="C1432">
        <v>16</v>
      </c>
      <c r="D1432">
        <f>MONTH(cukier11[[#This Row],[data]])</f>
        <v>7</v>
      </c>
      <c r="E1432">
        <f>IF(D1433&lt;&gt;cukier11[[#This Row],[miesiac]],1,0)</f>
        <v>1</v>
      </c>
      <c r="F1432">
        <f>IF(AND(H1431&lt;5000,cukier11[[#This Row],[czy_nastapiła_zmiana_mies]]=1),ROUNDUP((5000-H1431)/1000,0),0)</f>
        <v>3</v>
      </c>
      <c r="G1432">
        <f t="shared" si="22"/>
        <v>2874</v>
      </c>
      <c r="H1432">
        <f>cukier11[[#This Row],[stan_magazynu]]-cukier11[[#This Row],[sprzedany_cukier]]</f>
        <v>2858</v>
      </c>
      <c r="I1432" s="9">
        <f>cukier11[[#This Row],[stan_po_sprzedazy]]+cukier11[[#This Row],[ile_dokupic]]*1000</f>
        <v>5858</v>
      </c>
    </row>
    <row r="1433" spans="1:9" x14ac:dyDescent="0.25">
      <c r="A1433" s="1">
        <v>40759</v>
      </c>
      <c r="B1433" t="s">
        <v>35</v>
      </c>
      <c r="C1433">
        <v>165</v>
      </c>
      <c r="D1433">
        <f>MONTH(cukier11[[#This Row],[data]])</f>
        <v>8</v>
      </c>
      <c r="E1433">
        <f>IF(D1434&lt;&gt;cukier11[[#This Row],[miesiac]],1,0)</f>
        <v>0</v>
      </c>
      <c r="F1433">
        <f>IF(AND(H1432&lt;5000,cukier11[[#This Row],[czy_nastapiła_zmiana_mies]]=1),ROUNDUP((5000-H1432)/1000,0),0)</f>
        <v>0</v>
      </c>
      <c r="G1433">
        <f t="shared" si="22"/>
        <v>5858</v>
      </c>
      <c r="H1433">
        <f>cukier11[[#This Row],[stan_magazynu]]-cukier11[[#This Row],[sprzedany_cukier]]</f>
        <v>5693</v>
      </c>
      <c r="I1433" s="9">
        <f>cukier11[[#This Row],[stan_po_sprzedazy]]+cukier11[[#This Row],[ile_dokupic]]*1000</f>
        <v>5693</v>
      </c>
    </row>
    <row r="1434" spans="1:9" x14ac:dyDescent="0.25">
      <c r="A1434" s="1">
        <v>40760</v>
      </c>
      <c r="B1434" t="s">
        <v>35</v>
      </c>
      <c r="C1434">
        <v>180</v>
      </c>
      <c r="D1434">
        <f>MONTH(cukier11[[#This Row],[data]])</f>
        <v>8</v>
      </c>
      <c r="E1434">
        <f>IF(D1435&lt;&gt;cukier11[[#This Row],[miesiac]],1,0)</f>
        <v>0</v>
      </c>
      <c r="F1434">
        <f>IF(AND(H1433&lt;5000,cukier11[[#This Row],[czy_nastapiła_zmiana_mies]]=1),ROUNDUP((5000-H1433)/1000,0),0)</f>
        <v>0</v>
      </c>
      <c r="G1434">
        <f t="shared" si="22"/>
        <v>5693</v>
      </c>
      <c r="H1434">
        <f>cukier11[[#This Row],[stan_magazynu]]-cukier11[[#This Row],[sprzedany_cukier]]</f>
        <v>5513</v>
      </c>
      <c r="I1434" s="9">
        <f>cukier11[[#This Row],[stan_po_sprzedazy]]+cukier11[[#This Row],[ile_dokupic]]*1000</f>
        <v>5513</v>
      </c>
    </row>
    <row r="1435" spans="1:9" x14ac:dyDescent="0.25">
      <c r="A1435" s="1">
        <v>40761</v>
      </c>
      <c r="B1435" t="s">
        <v>84</v>
      </c>
      <c r="C1435">
        <v>2</v>
      </c>
      <c r="D1435">
        <f>MONTH(cukier11[[#This Row],[data]])</f>
        <v>8</v>
      </c>
      <c r="E1435">
        <f>IF(D1436&lt;&gt;cukier11[[#This Row],[miesiac]],1,0)</f>
        <v>0</v>
      </c>
      <c r="F1435">
        <f>IF(AND(H1434&lt;5000,cukier11[[#This Row],[czy_nastapiła_zmiana_mies]]=1),ROUNDUP((5000-H1434)/1000,0),0)</f>
        <v>0</v>
      </c>
      <c r="G1435">
        <f t="shared" si="22"/>
        <v>5513</v>
      </c>
      <c r="H1435">
        <f>cukier11[[#This Row],[stan_magazynu]]-cukier11[[#This Row],[sprzedany_cukier]]</f>
        <v>5511</v>
      </c>
      <c r="I1435" s="9">
        <f>cukier11[[#This Row],[stan_po_sprzedazy]]+cukier11[[#This Row],[ile_dokupic]]*1000</f>
        <v>5511</v>
      </c>
    </row>
    <row r="1436" spans="1:9" x14ac:dyDescent="0.25">
      <c r="A1436" s="1">
        <v>40766</v>
      </c>
      <c r="B1436" t="s">
        <v>37</v>
      </c>
      <c r="C1436">
        <v>111</v>
      </c>
      <c r="D1436">
        <f>MONTH(cukier11[[#This Row],[data]])</f>
        <v>8</v>
      </c>
      <c r="E1436">
        <f>IF(D1437&lt;&gt;cukier11[[#This Row],[miesiac]],1,0)</f>
        <v>0</v>
      </c>
      <c r="F1436">
        <f>IF(AND(H1435&lt;5000,cukier11[[#This Row],[czy_nastapiła_zmiana_mies]]=1),ROUNDUP((5000-H1435)/1000,0),0)</f>
        <v>0</v>
      </c>
      <c r="G1436">
        <f t="shared" si="22"/>
        <v>5511</v>
      </c>
      <c r="H1436">
        <f>cukier11[[#This Row],[stan_magazynu]]-cukier11[[#This Row],[sprzedany_cukier]]</f>
        <v>5400</v>
      </c>
      <c r="I1436" s="9">
        <f>cukier11[[#This Row],[stan_po_sprzedazy]]+cukier11[[#This Row],[ile_dokupic]]*1000</f>
        <v>5400</v>
      </c>
    </row>
    <row r="1437" spans="1:9" x14ac:dyDescent="0.25">
      <c r="A1437" s="1">
        <v>40767</v>
      </c>
      <c r="B1437" t="s">
        <v>35</v>
      </c>
      <c r="C1437">
        <v>128</v>
      </c>
      <c r="D1437">
        <f>MONTH(cukier11[[#This Row],[data]])</f>
        <v>8</v>
      </c>
      <c r="E1437">
        <f>IF(D1438&lt;&gt;cukier11[[#This Row],[miesiac]],1,0)</f>
        <v>0</v>
      </c>
      <c r="F1437">
        <f>IF(AND(H1436&lt;5000,cukier11[[#This Row],[czy_nastapiła_zmiana_mies]]=1),ROUNDUP((5000-H1436)/1000,0),0)</f>
        <v>0</v>
      </c>
      <c r="G1437">
        <f t="shared" si="22"/>
        <v>5400</v>
      </c>
      <c r="H1437">
        <f>cukier11[[#This Row],[stan_magazynu]]-cukier11[[#This Row],[sprzedany_cukier]]</f>
        <v>5272</v>
      </c>
      <c r="I1437" s="9">
        <f>cukier11[[#This Row],[stan_po_sprzedazy]]+cukier11[[#This Row],[ile_dokupic]]*1000</f>
        <v>5272</v>
      </c>
    </row>
    <row r="1438" spans="1:9" x14ac:dyDescent="0.25">
      <c r="A1438" s="1">
        <v>40768</v>
      </c>
      <c r="B1438" t="s">
        <v>110</v>
      </c>
      <c r="C1438">
        <v>7</v>
      </c>
      <c r="D1438">
        <f>MONTH(cukier11[[#This Row],[data]])</f>
        <v>8</v>
      </c>
      <c r="E1438">
        <f>IF(D1439&lt;&gt;cukier11[[#This Row],[miesiac]],1,0)</f>
        <v>0</v>
      </c>
      <c r="F1438">
        <f>IF(AND(H1437&lt;5000,cukier11[[#This Row],[czy_nastapiła_zmiana_mies]]=1),ROUNDUP((5000-H1437)/1000,0),0)</f>
        <v>0</v>
      </c>
      <c r="G1438">
        <f t="shared" si="22"/>
        <v>5272</v>
      </c>
      <c r="H1438">
        <f>cukier11[[#This Row],[stan_magazynu]]-cukier11[[#This Row],[sprzedany_cukier]]</f>
        <v>5265</v>
      </c>
      <c r="I1438" s="9">
        <f>cukier11[[#This Row],[stan_po_sprzedazy]]+cukier11[[#This Row],[ile_dokupic]]*1000</f>
        <v>5265</v>
      </c>
    </row>
    <row r="1439" spans="1:9" x14ac:dyDescent="0.25">
      <c r="A1439" s="1">
        <v>40768</v>
      </c>
      <c r="B1439" t="s">
        <v>9</v>
      </c>
      <c r="C1439">
        <v>211</v>
      </c>
      <c r="D1439">
        <f>MONTH(cukier11[[#This Row],[data]])</f>
        <v>8</v>
      </c>
      <c r="E1439">
        <f>IF(D1440&lt;&gt;cukier11[[#This Row],[miesiac]],1,0)</f>
        <v>0</v>
      </c>
      <c r="F1439">
        <f>IF(AND(H1438&lt;5000,cukier11[[#This Row],[czy_nastapiła_zmiana_mies]]=1),ROUNDUP((5000-H1438)/1000,0),0)</f>
        <v>0</v>
      </c>
      <c r="G1439">
        <f t="shared" si="22"/>
        <v>5265</v>
      </c>
      <c r="H1439">
        <f>cukier11[[#This Row],[stan_magazynu]]-cukier11[[#This Row],[sprzedany_cukier]]</f>
        <v>5054</v>
      </c>
      <c r="I1439" s="9">
        <f>cukier11[[#This Row],[stan_po_sprzedazy]]+cukier11[[#This Row],[ile_dokupic]]*1000</f>
        <v>5054</v>
      </c>
    </row>
    <row r="1440" spans="1:9" x14ac:dyDescent="0.25">
      <c r="A1440" s="1">
        <v>40768</v>
      </c>
      <c r="B1440" t="s">
        <v>6</v>
      </c>
      <c r="C1440">
        <v>184</v>
      </c>
      <c r="D1440">
        <f>MONTH(cukier11[[#This Row],[data]])</f>
        <v>8</v>
      </c>
      <c r="E1440">
        <f>IF(D1441&lt;&gt;cukier11[[#This Row],[miesiac]],1,0)</f>
        <v>0</v>
      </c>
      <c r="F1440">
        <f>IF(AND(H1439&lt;5000,cukier11[[#This Row],[czy_nastapiła_zmiana_mies]]=1),ROUNDUP((5000-H1439)/1000,0),0)</f>
        <v>0</v>
      </c>
      <c r="G1440">
        <f t="shared" si="22"/>
        <v>5054</v>
      </c>
      <c r="H1440">
        <f>cukier11[[#This Row],[stan_magazynu]]-cukier11[[#This Row],[sprzedany_cukier]]</f>
        <v>4870</v>
      </c>
      <c r="I1440" s="9">
        <f>cukier11[[#This Row],[stan_po_sprzedazy]]+cukier11[[#This Row],[ile_dokupic]]*1000</f>
        <v>4870</v>
      </c>
    </row>
    <row r="1441" spans="1:9" x14ac:dyDescent="0.25">
      <c r="A1441" s="1">
        <v>40771</v>
      </c>
      <c r="B1441" t="s">
        <v>14</v>
      </c>
      <c r="C1441">
        <v>450</v>
      </c>
      <c r="D1441">
        <f>MONTH(cukier11[[#This Row],[data]])</f>
        <v>8</v>
      </c>
      <c r="E1441">
        <f>IF(D1442&lt;&gt;cukier11[[#This Row],[miesiac]],1,0)</f>
        <v>0</v>
      </c>
      <c r="F1441">
        <f>IF(AND(H1440&lt;5000,cukier11[[#This Row],[czy_nastapiła_zmiana_mies]]=1),ROUNDUP((5000-H1440)/1000,0),0)</f>
        <v>0</v>
      </c>
      <c r="G1441">
        <f t="shared" si="22"/>
        <v>4870</v>
      </c>
      <c r="H1441">
        <f>cukier11[[#This Row],[stan_magazynu]]-cukier11[[#This Row],[sprzedany_cukier]]</f>
        <v>4420</v>
      </c>
      <c r="I1441" s="9">
        <f>cukier11[[#This Row],[stan_po_sprzedazy]]+cukier11[[#This Row],[ile_dokupic]]*1000</f>
        <v>4420</v>
      </c>
    </row>
    <row r="1442" spans="1:9" x14ac:dyDescent="0.25">
      <c r="A1442" s="1">
        <v>40771</v>
      </c>
      <c r="B1442" t="s">
        <v>120</v>
      </c>
      <c r="C1442">
        <v>140</v>
      </c>
      <c r="D1442">
        <f>MONTH(cukier11[[#This Row],[data]])</f>
        <v>8</v>
      </c>
      <c r="E1442">
        <f>IF(D1443&lt;&gt;cukier11[[#This Row],[miesiac]],1,0)</f>
        <v>0</v>
      </c>
      <c r="F1442">
        <f>IF(AND(H1441&lt;5000,cukier11[[#This Row],[czy_nastapiła_zmiana_mies]]=1),ROUNDUP((5000-H1441)/1000,0),0)</f>
        <v>0</v>
      </c>
      <c r="G1442">
        <f t="shared" si="22"/>
        <v>4420</v>
      </c>
      <c r="H1442">
        <f>cukier11[[#This Row],[stan_magazynu]]-cukier11[[#This Row],[sprzedany_cukier]]</f>
        <v>4280</v>
      </c>
      <c r="I1442" s="9">
        <f>cukier11[[#This Row],[stan_po_sprzedazy]]+cukier11[[#This Row],[ile_dokupic]]*1000</f>
        <v>4280</v>
      </c>
    </row>
    <row r="1443" spans="1:9" x14ac:dyDescent="0.25">
      <c r="A1443" s="1">
        <v>40775</v>
      </c>
      <c r="B1443" t="s">
        <v>8</v>
      </c>
      <c r="C1443">
        <v>52</v>
      </c>
      <c r="D1443">
        <f>MONTH(cukier11[[#This Row],[data]])</f>
        <v>8</v>
      </c>
      <c r="E1443">
        <f>IF(D1444&lt;&gt;cukier11[[#This Row],[miesiac]],1,0)</f>
        <v>0</v>
      </c>
      <c r="F1443">
        <f>IF(AND(H1442&lt;5000,cukier11[[#This Row],[czy_nastapiła_zmiana_mies]]=1),ROUNDUP((5000-H1442)/1000,0),0)</f>
        <v>0</v>
      </c>
      <c r="G1443">
        <f t="shared" si="22"/>
        <v>4280</v>
      </c>
      <c r="H1443">
        <f>cukier11[[#This Row],[stan_magazynu]]-cukier11[[#This Row],[sprzedany_cukier]]</f>
        <v>4228</v>
      </c>
      <c r="I1443" s="9">
        <f>cukier11[[#This Row],[stan_po_sprzedazy]]+cukier11[[#This Row],[ile_dokupic]]*1000</f>
        <v>4228</v>
      </c>
    </row>
    <row r="1444" spans="1:9" x14ac:dyDescent="0.25">
      <c r="A1444" s="1">
        <v>40777</v>
      </c>
      <c r="B1444" t="s">
        <v>181</v>
      </c>
      <c r="C1444">
        <v>2</v>
      </c>
      <c r="D1444">
        <f>MONTH(cukier11[[#This Row],[data]])</f>
        <v>8</v>
      </c>
      <c r="E1444">
        <f>IF(D1445&lt;&gt;cukier11[[#This Row],[miesiac]],1,0)</f>
        <v>0</v>
      </c>
      <c r="F1444">
        <f>IF(AND(H1443&lt;5000,cukier11[[#This Row],[czy_nastapiła_zmiana_mies]]=1),ROUNDUP((5000-H1443)/1000,0),0)</f>
        <v>0</v>
      </c>
      <c r="G1444">
        <f t="shared" si="22"/>
        <v>4228</v>
      </c>
      <c r="H1444">
        <f>cukier11[[#This Row],[stan_magazynu]]-cukier11[[#This Row],[sprzedany_cukier]]</f>
        <v>4226</v>
      </c>
      <c r="I1444" s="9">
        <f>cukier11[[#This Row],[stan_po_sprzedazy]]+cukier11[[#This Row],[ile_dokupic]]*1000</f>
        <v>4226</v>
      </c>
    </row>
    <row r="1445" spans="1:9" x14ac:dyDescent="0.25">
      <c r="A1445" s="1">
        <v>40777</v>
      </c>
      <c r="B1445" t="s">
        <v>96</v>
      </c>
      <c r="C1445">
        <v>13</v>
      </c>
      <c r="D1445">
        <f>MONTH(cukier11[[#This Row],[data]])</f>
        <v>8</v>
      </c>
      <c r="E1445">
        <f>IF(D1446&lt;&gt;cukier11[[#This Row],[miesiac]],1,0)</f>
        <v>0</v>
      </c>
      <c r="F1445">
        <f>IF(AND(H1444&lt;5000,cukier11[[#This Row],[czy_nastapiła_zmiana_mies]]=1),ROUNDUP((5000-H1444)/1000,0),0)</f>
        <v>0</v>
      </c>
      <c r="G1445">
        <f t="shared" si="22"/>
        <v>4226</v>
      </c>
      <c r="H1445">
        <f>cukier11[[#This Row],[stan_magazynu]]-cukier11[[#This Row],[sprzedany_cukier]]</f>
        <v>4213</v>
      </c>
      <c r="I1445" s="9">
        <f>cukier11[[#This Row],[stan_po_sprzedazy]]+cukier11[[#This Row],[ile_dokupic]]*1000</f>
        <v>4213</v>
      </c>
    </row>
    <row r="1446" spans="1:9" x14ac:dyDescent="0.25">
      <c r="A1446" s="1">
        <v>40777</v>
      </c>
      <c r="B1446" t="s">
        <v>37</v>
      </c>
      <c r="C1446">
        <v>73</v>
      </c>
      <c r="D1446">
        <f>MONTH(cukier11[[#This Row],[data]])</f>
        <v>8</v>
      </c>
      <c r="E1446">
        <f>IF(D1447&lt;&gt;cukier11[[#This Row],[miesiac]],1,0)</f>
        <v>0</v>
      </c>
      <c r="F1446">
        <f>IF(AND(H1445&lt;5000,cukier11[[#This Row],[czy_nastapiła_zmiana_mies]]=1),ROUNDUP((5000-H1445)/1000,0),0)</f>
        <v>0</v>
      </c>
      <c r="G1446">
        <f t="shared" si="22"/>
        <v>4213</v>
      </c>
      <c r="H1446">
        <f>cukier11[[#This Row],[stan_magazynu]]-cukier11[[#This Row],[sprzedany_cukier]]</f>
        <v>4140</v>
      </c>
      <c r="I1446" s="9">
        <f>cukier11[[#This Row],[stan_po_sprzedazy]]+cukier11[[#This Row],[ile_dokupic]]*1000</f>
        <v>4140</v>
      </c>
    </row>
    <row r="1447" spans="1:9" x14ac:dyDescent="0.25">
      <c r="A1447" s="1">
        <v>40781</v>
      </c>
      <c r="B1447" t="s">
        <v>18</v>
      </c>
      <c r="C1447">
        <v>123</v>
      </c>
      <c r="D1447">
        <f>MONTH(cukier11[[#This Row],[data]])</f>
        <v>8</v>
      </c>
      <c r="E1447">
        <f>IF(D1448&lt;&gt;cukier11[[#This Row],[miesiac]],1,0)</f>
        <v>0</v>
      </c>
      <c r="F1447">
        <f>IF(AND(H1446&lt;5000,cukier11[[#This Row],[czy_nastapiła_zmiana_mies]]=1),ROUNDUP((5000-H1446)/1000,0),0)</f>
        <v>0</v>
      </c>
      <c r="G1447">
        <f t="shared" si="22"/>
        <v>4140</v>
      </c>
      <c r="H1447">
        <f>cukier11[[#This Row],[stan_magazynu]]-cukier11[[#This Row],[sprzedany_cukier]]</f>
        <v>4017</v>
      </c>
      <c r="I1447" s="9">
        <f>cukier11[[#This Row],[stan_po_sprzedazy]]+cukier11[[#This Row],[ile_dokupic]]*1000</f>
        <v>4017</v>
      </c>
    </row>
    <row r="1448" spans="1:9" x14ac:dyDescent="0.25">
      <c r="A1448" s="1">
        <v>40783</v>
      </c>
      <c r="B1448" t="s">
        <v>68</v>
      </c>
      <c r="C1448">
        <v>3</v>
      </c>
      <c r="D1448">
        <f>MONTH(cukier11[[#This Row],[data]])</f>
        <v>8</v>
      </c>
      <c r="E1448">
        <f>IF(D1449&lt;&gt;cukier11[[#This Row],[miesiac]],1,0)</f>
        <v>0</v>
      </c>
      <c r="F1448">
        <f>IF(AND(H1447&lt;5000,cukier11[[#This Row],[czy_nastapiła_zmiana_mies]]=1),ROUNDUP((5000-H1447)/1000,0),0)</f>
        <v>0</v>
      </c>
      <c r="G1448">
        <f t="shared" si="22"/>
        <v>4017</v>
      </c>
      <c r="H1448">
        <f>cukier11[[#This Row],[stan_magazynu]]-cukier11[[#This Row],[sprzedany_cukier]]</f>
        <v>4014</v>
      </c>
      <c r="I1448" s="9">
        <f>cukier11[[#This Row],[stan_po_sprzedazy]]+cukier11[[#This Row],[ile_dokupic]]*1000</f>
        <v>4014</v>
      </c>
    </row>
    <row r="1449" spans="1:9" x14ac:dyDescent="0.25">
      <c r="A1449" s="1">
        <v>40784</v>
      </c>
      <c r="B1449" t="s">
        <v>12</v>
      </c>
      <c r="C1449">
        <v>93</v>
      </c>
      <c r="D1449">
        <f>MONTH(cukier11[[#This Row],[data]])</f>
        <v>8</v>
      </c>
      <c r="E1449">
        <f>IF(D1450&lt;&gt;cukier11[[#This Row],[miesiac]],1,0)</f>
        <v>1</v>
      </c>
      <c r="F1449">
        <f>IF(AND(H1448&lt;5000,cukier11[[#This Row],[czy_nastapiła_zmiana_mies]]=1),ROUNDUP((5000-H1448)/1000,0),0)</f>
        <v>1</v>
      </c>
      <c r="G1449">
        <f t="shared" si="22"/>
        <v>4014</v>
      </c>
      <c r="H1449">
        <f>cukier11[[#This Row],[stan_magazynu]]-cukier11[[#This Row],[sprzedany_cukier]]</f>
        <v>3921</v>
      </c>
      <c r="I1449" s="9">
        <f>cukier11[[#This Row],[stan_po_sprzedazy]]+cukier11[[#This Row],[ile_dokupic]]*1000</f>
        <v>4921</v>
      </c>
    </row>
    <row r="1450" spans="1:9" x14ac:dyDescent="0.25">
      <c r="A1450" s="1">
        <v>40789</v>
      </c>
      <c r="B1450" t="s">
        <v>24</v>
      </c>
      <c r="C1450">
        <v>310</v>
      </c>
      <c r="D1450">
        <f>MONTH(cukier11[[#This Row],[data]])</f>
        <v>9</v>
      </c>
      <c r="E1450">
        <f>IF(D1451&lt;&gt;cukier11[[#This Row],[miesiac]],1,0)</f>
        <v>0</v>
      </c>
      <c r="F1450">
        <f>IF(AND(H1449&lt;5000,cukier11[[#This Row],[czy_nastapiła_zmiana_mies]]=1),ROUNDUP((5000-H1449)/1000,0),0)</f>
        <v>0</v>
      </c>
      <c r="G1450">
        <f t="shared" si="22"/>
        <v>4921</v>
      </c>
      <c r="H1450">
        <f>cukier11[[#This Row],[stan_magazynu]]-cukier11[[#This Row],[sprzedany_cukier]]</f>
        <v>4611</v>
      </c>
      <c r="I1450" s="9">
        <f>cukier11[[#This Row],[stan_po_sprzedazy]]+cukier11[[#This Row],[ile_dokupic]]*1000</f>
        <v>4611</v>
      </c>
    </row>
    <row r="1451" spans="1:9" x14ac:dyDescent="0.25">
      <c r="A1451" s="1">
        <v>40789</v>
      </c>
      <c r="B1451" t="s">
        <v>6</v>
      </c>
      <c r="C1451">
        <v>77</v>
      </c>
      <c r="D1451">
        <f>MONTH(cukier11[[#This Row],[data]])</f>
        <v>9</v>
      </c>
      <c r="E1451">
        <f>IF(D1452&lt;&gt;cukier11[[#This Row],[miesiac]],1,0)</f>
        <v>0</v>
      </c>
      <c r="F1451">
        <f>IF(AND(H1450&lt;5000,cukier11[[#This Row],[czy_nastapiła_zmiana_mies]]=1),ROUNDUP((5000-H1450)/1000,0),0)</f>
        <v>0</v>
      </c>
      <c r="G1451">
        <f t="shared" si="22"/>
        <v>4611</v>
      </c>
      <c r="H1451">
        <f>cukier11[[#This Row],[stan_magazynu]]-cukier11[[#This Row],[sprzedany_cukier]]</f>
        <v>4534</v>
      </c>
      <c r="I1451" s="9">
        <f>cukier11[[#This Row],[stan_po_sprzedazy]]+cukier11[[#This Row],[ile_dokupic]]*1000</f>
        <v>4534</v>
      </c>
    </row>
    <row r="1452" spans="1:9" x14ac:dyDescent="0.25">
      <c r="A1452" s="1">
        <v>40793</v>
      </c>
      <c r="B1452" t="s">
        <v>10</v>
      </c>
      <c r="C1452">
        <v>21</v>
      </c>
      <c r="D1452">
        <f>MONTH(cukier11[[#This Row],[data]])</f>
        <v>9</v>
      </c>
      <c r="E1452">
        <f>IF(D1453&lt;&gt;cukier11[[#This Row],[miesiac]],1,0)</f>
        <v>0</v>
      </c>
      <c r="F1452">
        <f>IF(AND(H1451&lt;5000,cukier11[[#This Row],[czy_nastapiła_zmiana_mies]]=1),ROUNDUP((5000-H1451)/1000,0),0)</f>
        <v>0</v>
      </c>
      <c r="G1452">
        <f t="shared" si="22"/>
        <v>4534</v>
      </c>
      <c r="H1452">
        <f>cukier11[[#This Row],[stan_magazynu]]-cukier11[[#This Row],[sprzedany_cukier]]</f>
        <v>4513</v>
      </c>
      <c r="I1452" s="9">
        <f>cukier11[[#This Row],[stan_po_sprzedazy]]+cukier11[[#This Row],[ile_dokupic]]*1000</f>
        <v>4513</v>
      </c>
    </row>
    <row r="1453" spans="1:9" x14ac:dyDescent="0.25">
      <c r="A1453" s="1">
        <v>40797</v>
      </c>
      <c r="B1453" t="s">
        <v>21</v>
      </c>
      <c r="C1453">
        <v>3</v>
      </c>
      <c r="D1453">
        <f>MONTH(cukier11[[#This Row],[data]])</f>
        <v>9</v>
      </c>
      <c r="E1453">
        <f>IF(D1454&lt;&gt;cukier11[[#This Row],[miesiac]],1,0)</f>
        <v>0</v>
      </c>
      <c r="F1453">
        <f>IF(AND(H1452&lt;5000,cukier11[[#This Row],[czy_nastapiła_zmiana_mies]]=1),ROUNDUP((5000-H1452)/1000,0),0)</f>
        <v>0</v>
      </c>
      <c r="G1453">
        <f t="shared" si="22"/>
        <v>4513</v>
      </c>
      <c r="H1453">
        <f>cukier11[[#This Row],[stan_magazynu]]-cukier11[[#This Row],[sprzedany_cukier]]</f>
        <v>4510</v>
      </c>
      <c r="I1453" s="9">
        <f>cukier11[[#This Row],[stan_po_sprzedazy]]+cukier11[[#This Row],[ile_dokupic]]*1000</f>
        <v>4510</v>
      </c>
    </row>
    <row r="1454" spans="1:9" x14ac:dyDescent="0.25">
      <c r="A1454" s="1">
        <v>40799</v>
      </c>
      <c r="B1454" t="s">
        <v>28</v>
      </c>
      <c r="C1454">
        <v>176</v>
      </c>
      <c r="D1454">
        <f>MONTH(cukier11[[#This Row],[data]])</f>
        <v>9</v>
      </c>
      <c r="E1454">
        <f>IF(D1455&lt;&gt;cukier11[[#This Row],[miesiac]],1,0)</f>
        <v>0</v>
      </c>
      <c r="F1454">
        <f>IF(AND(H1453&lt;5000,cukier11[[#This Row],[czy_nastapiła_zmiana_mies]]=1),ROUNDUP((5000-H1453)/1000,0),0)</f>
        <v>0</v>
      </c>
      <c r="G1454">
        <f t="shared" si="22"/>
        <v>4510</v>
      </c>
      <c r="H1454">
        <f>cukier11[[#This Row],[stan_magazynu]]-cukier11[[#This Row],[sprzedany_cukier]]</f>
        <v>4334</v>
      </c>
      <c r="I1454" s="9">
        <f>cukier11[[#This Row],[stan_po_sprzedazy]]+cukier11[[#This Row],[ile_dokupic]]*1000</f>
        <v>4334</v>
      </c>
    </row>
    <row r="1455" spans="1:9" x14ac:dyDescent="0.25">
      <c r="A1455" s="1">
        <v>40799</v>
      </c>
      <c r="B1455" t="s">
        <v>13</v>
      </c>
      <c r="C1455">
        <v>20</v>
      </c>
      <c r="D1455">
        <f>MONTH(cukier11[[#This Row],[data]])</f>
        <v>9</v>
      </c>
      <c r="E1455">
        <f>IF(D1456&lt;&gt;cukier11[[#This Row],[miesiac]],1,0)</f>
        <v>0</v>
      </c>
      <c r="F1455">
        <f>IF(AND(H1454&lt;5000,cukier11[[#This Row],[czy_nastapiła_zmiana_mies]]=1),ROUNDUP((5000-H1454)/1000,0),0)</f>
        <v>0</v>
      </c>
      <c r="G1455">
        <f t="shared" si="22"/>
        <v>4334</v>
      </c>
      <c r="H1455">
        <f>cukier11[[#This Row],[stan_magazynu]]-cukier11[[#This Row],[sprzedany_cukier]]</f>
        <v>4314</v>
      </c>
      <c r="I1455" s="9">
        <f>cukier11[[#This Row],[stan_po_sprzedazy]]+cukier11[[#This Row],[ile_dokupic]]*1000</f>
        <v>4314</v>
      </c>
    </row>
    <row r="1456" spans="1:9" x14ac:dyDescent="0.25">
      <c r="A1456" s="1">
        <v>40800</v>
      </c>
      <c r="B1456" t="s">
        <v>24</v>
      </c>
      <c r="C1456">
        <v>230</v>
      </c>
      <c r="D1456">
        <f>MONTH(cukier11[[#This Row],[data]])</f>
        <v>9</v>
      </c>
      <c r="E1456">
        <f>IF(D1457&lt;&gt;cukier11[[#This Row],[miesiac]],1,0)</f>
        <v>0</v>
      </c>
      <c r="F1456">
        <f>IF(AND(H1455&lt;5000,cukier11[[#This Row],[czy_nastapiła_zmiana_mies]]=1),ROUNDUP((5000-H1455)/1000,0),0)</f>
        <v>0</v>
      </c>
      <c r="G1456">
        <f t="shared" si="22"/>
        <v>4314</v>
      </c>
      <c r="H1456">
        <f>cukier11[[#This Row],[stan_magazynu]]-cukier11[[#This Row],[sprzedany_cukier]]</f>
        <v>4084</v>
      </c>
      <c r="I1456" s="9">
        <f>cukier11[[#This Row],[stan_po_sprzedazy]]+cukier11[[#This Row],[ile_dokupic]]*1000</f>
        <v>4084</v>
      </c>
    </row>
    <row r="1457" spans="1:9" x14ac:dyDescent="0.25">
      <c r="A1457" s="1">
        <v>40800</v>
      </c>
      <c r="B1457" t="s">
        <v>155</v>
      </c>
      <c r="C1457">
        <v>10</v>
      </c>
      <c r="D1457">
        <f>MONTH(cukier11[[#This Row],[data]])</f>
        <v>9</v>
      </c>
      <c r="E1457">
        <f>IF(D1458&lt;&gt;cukier11[[#This Row],[miesiac]],1,0)</f>
        <v>0</v>
      </c>
      <c r="F1457">
        <f>IF(AND(H1456&lt;5000,cukier11[[#This Row],[czy_nastapiła_zmiana_mies]]=1),ROUNDUP((5000-H1456)/1000,0),0)</f>
        <v>0</v>
      </c>
      <c r="G1457">
        <f t="shared" si="22"/>
        <v>4084</v>
      </c>
      <c r="H1457">
        <f>cukier11[[#This Row],[stan_magazynu]]-cukier11[[#This Row],[sprzedany_cukier]]</f>
        <v>4074</v>
      </c>
      <c r="I1457" s="9">
        <f>cukier11[[#This Row],[stan_po_sprzedazy]]+cukier11[[#This Row],[ile_dokupic]]*1000</f>
        <v>4074</v>
      </c>
    </row>
    <row r="1458" spans="1:9" x14ac:dyDescent="0.25">
      <c r="A1458" s="1">
        <v>40802</v>
      </c>
      <c r="B1458" t="s">
        <v>163</v>
      </c>
      <c r="C1458">
        <v>12</v>
      </c>
      <c r="D1458">
        <f>MONTH(cukier11[[#This Row],[data]])</f>
        <v>9</v>
      </c>
      <c r="E1458">
        <f>IF(D1459&lt;&gt;cukier11[[#This Row],[miesiac]],1,0)</f>
        <v>0</v>
      </c>
      <c r="F1458">
        <f>IF(AND(H1457&lt;5000,cukier11[[#This Row],[czy_nastapiła_zmiana_mies]]=1),ROUNDUP((5000-H1457)/1000,0),0)</f>
        <v>0</v>
      </c>
      <c r="G1458">
        <f t="shared" si="22"/>
        <v>4074</v>
      </c>
      <c r="H1458">
        <f>cukier11[[#This Row],[stan_magazynu]]-cukier11[[#This Row],[sprzedany_cukier]]</f>
        <v>4062</v>
      </c>
      <c r="I1458" s="9">
        <f>cukier11[[#This Row],[stan_po_sprzedazy]]+cukier11[[#This Row],[ile_dokupic]]*1000</f>
        <v>4062</v>
      </c>
    </row>
    <row r="1459" spans="1:9" x14ac:dyDescent="0.25">
      <c r="A1459" s="1">
        <v>40802</v>
      </c>
      <c r="B1459" t="s">
        <v>152</v>
      </c>
      <c r="C1459">
        <v>11</v>
      </c>
      <c r="D1459">
        <f>MONTH(cukier11[[#This Row],[data]])</f>
        <v>9</v>
      </c>
      <c r="E1459">
        <f>IF(D1460&lt;&gt;cukier11[[#This Row],[miesiac]],1,0)</f>
        <v>0</v>
      </c>
      <c r="F1459">
        <f>IF(AND(H1458&lt;5000,cukier11[[#This Row],[czy_nastapiła_zmiana_mies]]=1),ROUNDUP((5000-H1458)/1000,0),0)</f>
        <v>0</v>
      </c>
      <c r="G1459">
        <f t="shared" si="22"/>
        <v>4062</v>
      </c>
      <c r="H1459">
        <f>cukier11[[#This Row],[stan_magazynu]]-cukier11[[#This Row],[sprzedany_cukier]]</f>
        <v>4051</v>
      </c>
      <c r="I1459" s="9">
        <f>cukier11[[#This Row],[stan_po_sprzedazy]]+cukier11[[#This Row],[ile_dokupic]]*1000</f>
        <v>4051</v>
      </c>
    </row>
    <row r="1460" spans="1:9" x14ac:dyDescent="0.25">
      <c r="A1460" s="1">
        <v>40803</v>
      </c>
      <c r="B1460" t="s">
        <v>9</v>
      </c>
      <c r="C1460">
        <v>383</v>
      </c>
      <c r="D1460">
        <f>MONTH(cukier11[[#This Row],[data]])</f>
        <v>9</v>
      </c>
      <c r="E1460">
        <f>IF(D1461&lt;&gt;cukier11[[#This Row],[miesiac]],1,0)</f>
        <v>0</v>
      </c>
      <c r="F1460">
        <f>IF(AND(H1459&lt;5000,cukier11[[#This Row],[czy_nastapiła_zmiana_mies]]=1),ROUNDUP((5000-H1459)/1000,0),0)</f>
        <v>0</v>
      </c>
      <c r="G1460">
        <f t="shared" si="22"/>
        <v>4051</v>
      </c>
      <c r="H1460">
        <f>cukier11[[#This Row],[stan_magazynu]]-cukier11[[#This Row],[sprzedany_cukier]]</f>
        <v>3668</v>
      </c>
      <c r="I1460" s="9">
        <f>cukier11[[#This Row],[stan_po_sprzedazy]]+cukier11[[#This Row],[ile_dokupic]]*1000</f>
        <v>3668</v>
      </c>
    </row>
    <row r="1461" spans="1:9" x14ac:dyDescent="0.25">
      <c r="A1461" s="1">
        <v>40807</v>
      </c>
      <c r="B1461" t="s">
        <v>102</v>
      </c>
      <c r="C1461">
        <v>249</v>
      </c>
      <c r="D1461">
        <f>MONTH(cukier11[[#This Row],[data]])</f>
        <v>9</v>
      </c>
      <c r="E1461">
        <f>IF(D1462&lt;&gt;cukier11[[#This Row],[miesiac]],1,0)</f>
        <v>0</v>
      </c>
      <c r="F1461">
        <f>IF(AND(H1460&lt;5000,cukier11[[#This Row],[czy_nastapiła_zmiana_mies]]=1),ROUNDUP((5000-H1460)/1000,0),0)</f>
        <v>0</v>
      </c>
      <c r="G1461">
        <f t="shared" si="22"/>
        <v>3668</v>
      </c>
      <c r="H1461">
        <f>cukier11[[#This Row],[stan_magazynu]]-cukier11[[#This Row],[sprzedany_cukier]]</f>
        <v>3419</v>
      </c>
      <c r="I1461" s="9">
        <f>cukier11[[#This Row],[stan_po_sprzedazy]]+cukier11[[#This Row],[ile_dokupic]]*1000</f>
        <v>3419</v>
      </c>
    </row>
    <row r="1462" spans="1:9" x14ac:dyDescent="0.25">
      <c r="A1462" s="1">
        <v>40810</v>
      </c>
      <c r="B1462" t="s">
        <v>164</v>
      </c>
      <c r="C1462">
        <v>8</v>
      </c>
      <c r="D1462">
        <f>MONTH(cukier11[[#This Row],[data]])</f>
        <v>9</v>
      </c>
      <c r="E1462">
        <f>IF(D1463&lt;&gt;cukier11[[#This Row],[miesiac]],1,0)</f>
        <v>0</v>
      </c>
      <c r="F1462">
        <f>IF(AND(H1461&lt;5000,cukier11[[#This Row],[czy_nastapiła_zmiana_mies]]=1),ROUNDUP((5000-H1461)/1000,0),0)</f>
        <v>0</v>
      </c>
      <c r="G1462">
        <f t="shared" si="22"/>
        <v>3419</v>
      </c>
      <c r="H1462">
        <f>cukier11[[#This Row],[stan_magazynu]]-cukier11[[#This Row],[sprzedany_cukier]]</f>
        <v>3411</v>
      </c>
      <c r="I1462" s="9">
        <f>cukier11[[#This Row],[stan_po_sprzedazy]]+cukier11[[#This Row],[ile_dokupic]]*1000</f>
        <v>3411</v>
      </c>
    </row>
    <row r="1463" spans="1:9" x14ac:dyDescent="0.25">
      <c r="A1463" s="1">
        <v>40812</v>
      </c>
      <c r="B1463" t="s">
        <v>30</v>
      </c>
      <c r="C1463">
        <v>42</v>
      </c>
      <c r="D1463">
        <f>MONTH(cukier11[[#This Row],[data]])</f>
        <v>9</v>
      </c>
      <c r="E1463">
        <f>IF(D1464&lt;&gt;cukier11[[#This Row],[miesiac]],1,0)</f>
        <v>0</v>
      </c>
      <c r="F1463">
        <f>IF(AND(H1462&lt;5000,cukier11[[#This Row],[czy_nastapiła_zmiana_mies]]=1),ROUNDUP((5000-H1462)/1000,0),0)</f>
        <v>0</v>
      </c>
      <c r="G1463">
        <f t="shared" si="22"/>
        <v>3411</v>
      </c>
      <c r="H1463">
        <f>cukier11[[#This Row],[stan_magazynu]]-cukier11[[#This Row],[sprzedany_cukier]]</f>
        <v>3369</v>
      </c>
      <c r="I1463" s="9">
        <f>cukier11[[#This Row],[stan_po_sprzedazy]]+cukier11[[#This Row],[ile_dokupic]]*1000</f>
        <v>3369</v>
      </c>
    </row>
    <row r="1464" spans="1:9" x14ac:dyDescent="0.25">
      <c r="A1464" s="1">
        <v>40815</v>
      </c>
      <c r="B1464" t="s">
        <v>223</v>
      </c>
      <c r="C1464">
        <v>1</v>
      </c>
      <c r="D1464">
        <f>MONTH(cukier11[[#This Row],[data]])</f>
        <v>9</v>
      </c>
      <c r="E1464">
        <f>IF(D1465&lt;&gt;cukier11[[#This Row],[miesiac]],1,0)</f>
        <v>0</v>
      </c>
      <c r="F1464">
        <f>IF(AND(H1463&lt;5000,cukier11[[#This Row],[czy_nastapiła_zmiana_mies]]=1),ROUNDUP((5000-H1463)/1000,0),0)</f>
        <v>0</v>
      </c>
      <c r="G1464">
        <f t="shared" si="22"/>
        <v>3369</v>
      </c>
      <c r="H1464">
        <f>cukier11[[#This Row],[stan_magazynu]]-cukier11[[#This Row],[sprzedany_cukier]]</f>
        <v>3368</v>
      </c>
      <c r="I1464" s="9">
        <f>cukier11[[#This Row],[stan_po_sprzedazy]]+cukier11[[#This Row],[ile_dokupic]]*1000</f>
        <v>3368</v>
      </c>
    </row>
    <row r="1465" spans="1:9" x14ac:dyDescent="0.25">
      <c r="A1465" s="1">
        <v>40815</v>
      </c>
      <c r="B1465" t="s">
        <v>22</v>
      </c>
      <c r="C1465">
        <v>340</v>
      </c>
      <c r="D1465">
        <f>MONTH(cukier11[[#This Row],[data]])</f>
        <v>9</v>
      </c>
      <c r="E1465">
        <f>IF(D1466&lt;&gt;cukier11[[#This Row],[miesiac]],1,0)</f>
        <v>1</v>
      </c>
      <c r="F1465">
        <f>IF(AND(H1464&lt;5000,cukier11[[#This Row],[czy_nastapiła_zmiana_mies]]=1),ROUNDUP((5000-H1464)/1000,0),0)</f>
        <v>2</v>
      </c>
      <c r="G1465">
        <f t="shared" si="22"/>
        <v>3368</v>
      </c>
      <c r="H1465">
        <f>cukier11[[#This Row],[stan_magazynu]]-cukier11[[#This Row],[sprzedany_cukier]]</f>
        <v>3028</v>
      </c>
      <c r="I1465" s="9">
        <f>cukier11[[#This Row],[stan_po_sprzedazy]]+cukier11[[#This Row],[ile_dokupic]]*1000</f>
        <v>5028</v>
      </c>
    </row>
    <row r="1466" spans="1:9" x14ac:dyDescent="0.25">
      <c r="A1466" s="1">
        <v>40817</v>
      </c>
      <c r="B1466" t="s">
        <v>17</v>
      </c>
      <c r="C1466">
        <v>394</v>
      </c>
      <c r="D1466">
        <f>MONTH(cukier11[[#This Row],[data]])</f>
        <v>10</v>
      </c>
      <c r="E1466">
        <f>IF(D1467&lt;&gt;cukier11[[#This Row],[miesiac]],1,0)</f>
        <v>0</v>
      </c>
      <c r="F1466">
        <f>IF(AND(H1465&lt;5000,cukier11[[#This Row],[czy_nastapiła_zmiana_mies]]=1),ROUNDUP((5000-H1465)/1000,0),0)</f>
        <v>0</v>
      </c>
      <c r="G1466">
        <f t="shared" si="22"/>
        <v>5028</v>
      </c>
      <c r="H1466">
        <f>cukier11[[#This Row],[stan_magazynu]]-cukier11[[#This Row],[sprzedany_cukier]]</f>
        <v>4634</v>
      </c>
      <c r="I1466" s="9">
        <f>cukier11[[#This Row],[stan_po_sprzedazy]]+cukier11[[#This Row],[ile_dokupic]]*1000</f>
        <v>4634</v>
      </c>
    </row>
    <row r="1467" spans="1:9" x14ac:dyDescent="0.25">
      <c r="A1467" s="1">
        <v>40817</v>
      </c>
      <c r="B1467" t="s">
        <v>5</v>
      </c>
      <c r="C1467">
        <v>176</v>
      </c>
      <c r="D1467">
        <f>MONTH(cukier11[[#This Row],[data]])</f>
        <v>10</v>
      </c>
      <c r="E1467">
        <f>IF(D1468&lt;&gt;cukier11[[#This Row],[miesiac]],1,0)</f>
        <v>0</v>
      </c>
      <c r="F1467">
        <f>IF(AND(H1466&lt;5000,cukier11[[#This Row],[czy_nastapiła_zmiana_mies]]=1),ROUNDUP((5000-H1466)/1000,0),0)</f>
        <v>0</v>
      </c>
      <c r="G1467">
        <f t="shared" si="22"/>
        <v>4634</v>
      </c>
      <c r="H1467">
        <f>cukier11[[#This Row],[stan_magazynu]]-cukier11[[#This Row],[sprzedany_cukier]]</f>
        <v>4458</v>
      </c>
      <c r="I1467" s="9">
        <f>cukier11[[#This Row],[stan_po_sprzedazy]]+cukier11[[#This Row],[ile_dokupic]]*1000</f>
        <v>4458</v>
      </c>
    </row>
    <row r="1468" spans="1:9" x14ac:dyDescent="0.25">
      <c r="A1468" s="1">
        <v>40818</v>
      </c>
      <c r="B1468" t="s">
        <v>28</v>
      </c>
      <c r="C1468">
        <v>181</v>
      </c>
      <c r="D1468">
        <f>MONTH(cukier11[[#This Row],[data]])</f>
        <v>10</v>
      </c>
      <c r="E1468">
        <f>IF(D1469&lt;&gt;cukier11[[#This Row],[miesiac]],1,0)</f>
        <v>0</v>
      </c>
      <c r="F1468">
        <f>IF(AND(H1467&lt;5000,cukier11[[#This Row],[czy_nastapiła_zmiana_mies]]=1),ROUNDUP((5000-H1467)/1000,0),0)</f>
        <v>0</v>
      </c>
      <c r="G1468">
        <f t="shared" si="22"/>
        <v>4458</v>
      </c>
      <c r="H1468">
        <f>cukier11[[#This Row],[stan_magazynu]]-cukier11[[#This Row],[sprzedany_cukier]]</f>
        <v>4277</v>
      </c>
      <c r="I1468" s="9">
        <f>cukier11[[#This Row],[stan_po_sprzedazy]]+cukier11[[#This Row],[ile_dokupic]]*1000</f>
        <v>4277</v>
      </c>
    </row>
    <row r="1469" spans="1:9" x14ac:dyDescent="0.25">
      <c r="A1469" s="1">
        <v>40822</v>
      </c>
      <c r="B1469" t="s">
        <v>55</v>
      </c>
      <c r="C1469">
        <v>26</v>
      </c>
      <c r="D1469">
        <f>MONTH(cukier11[[#This Row],[data]])</f>
        <v>10</v>
      </c>
      <c r="E1469">
        <f>IF(D1470&lt;&gt;cukier11[[#This Row],[miesiac]],1,0)</f>
        <v>0</v>
      </c>
      <c r="F1469">
        <f>IF(AND(H1468&lt;5000,cukier11[[#This Row],[czy_nastapiła_zmiana_mies]]=1),ROUNDUP((5000-H1468)/1000,0),0)</f>
        <v>0</v>
      </c>
      <c r="G1469">
        <f t="shared" si="22"/>
        <v>4277</v>
      </c>
      <c r="H1469">
        <f>cukier11[[#This Row],[stan_magazynu]]-cukier11[[#This Row],[sprzedany_cukier]]</f>
        <v>4251</v>
      </c>
      <c r="I1469" s="9">
        <f>cukier11[[#This Row],[stan_po_sprzedazy]]+cukier11[[#This Row],[ile_dokupic]]*1000</f>
        <v>4251</v>
      </c>
    </row>
    <row r="1470" spans="1:9" x14ac:dyDescent="0.25">
      <c r="A1470" s="1">
        <v>40826</v>
      </c>
      <c r="B1470" t="s">
        <v>25</v>
      </c>
      <c r="C1470">
        <v>73</v>
      </c>
      <c r="D1470">
        <f>MONTH(cukier11[[#This Row],[data]])</f>
        <v>10</v>
      </c>
      <c r="E1470">
        <f>IF(D1471&lt;&gt;cukier11[[#This Row],[miesiac]],1,0)</f>
        <v>0</v>
      </c>
      <c r="F1470">
        <f>IF(AND(H1469&lt;5000,cukier11[[#This Row],[czy_nastapiła_zmiana_mies]]=1),ROUNDUP((5000-H1469)/1000,0),0)</f>
        <v>0</v>
      </c>
      <c r="G1470">
        <f t="shared" si="22"/>
        <v>4251</v>
      </c>
      <c r="H1470">
        <f>cukier11[[#This Row],[stan_magazynu]]-cukier11[[#This Row],[sprzedany_cukier]]</f>
        <v>4178</v>
      </c>
      <c r="I1470" s="9">
        <f>cukier11[[#This Row],[stan_po_sprzedazy]]+cukier11[[#This Row],[ile_dokupic]]*1000</f>
        <v>4178</v>
      </c>
    </row>
    <row r="1471" spans="1:9" x14ac:dyDescent="0.25">
      <c r="A1471" s="1">
        <v>40830</v>
      </c>
      <c r="B1471" t="s">
        <v>50</v>
      </c>
      <c r="C1471">
        <v>274</v>
      </c>
      <c r="D1471">
        <f>MONTH(cukier11[[#This Row],[data]])</f>
        <v>10</v>
      </c>
      <c r="E1471">
        <f>IF(D1472&lt;&gt;cukier11[[#This Row],[miesiac]],1,0)</f>
        <v>0</v>
      </c>
      <c r="F1471">
        <f>IF(AND(H1470&lt;5000,cukier11[[#This Row],[czy_nastapiła_zmiana_mies]]=1),ROUNDUP((5000-H1470)/1000,0),0)</f>
        <v>0</v>
      </c>
      <c r="G1471">
        <f t="shared" si="22"/>
        <v>4178</v>
      </c>
      <c r="H1471">
        <f>cukier11[[#This Row],[stan_magazynu]]-cukier11[[#This Row],[sprzedany_cukier]]</f>
        <v>3904</v>
      </c>
      <c r="I1471" s="9">
        <f>cukier11[[#This Row],[stan_po_sprzedazy]]+cukier11[[#This Row],[ile_dokupic]]*1000</f>
        <v>3904</v>
      </c>
    </row>
    <row r="1472" spans="1:9" x14ac:dyDescent="0.25">
      <c r="A1472" s="1">
        <v>40833</v>
      </c>
      <c r="B1472" t="s">
        <v>212</v>
      </c>
      <c r="C1472">
        <v>8</v>
      </c>
      <c r="D1472">
        <f>MONTH(cukier11[[#This Row],[data]])</f>
        <v>10</v>
      </c>
      <c r="E1472">
        <f>IF(D1473&lt;&gt;cukier11[[#This Row],[miesiac]],1,0)</f>
        <v>0</v>
      </c>
      <c r="F1472">
        <f>IF(AND(H1471&lt;5000,cukier11[[#This Row],[czy_nastapiła_zmiana_mies]]=1),ROUNDUP((5000-H1471)/1000,0),0)</f>
        <v>0</v>
      </c>
      <c r="G1472">
        <f t="shared" si="22"/>
        <v>3904</v>
      </c>
      <c r="H1472">
        <f>cukier11[[#This Row],[stan_magazynu]]-cukier11[[#This Row],[sprzedany_cukier]]</f>
        <v>3896</v>
      </c>
      <c r="I1472" s="9">
        <f>cukier11[[#This Row],[stan_po_sprzedazy]]+cukier11[[#This Row],[ile_dokupic]]*1000</f>
        <v>3896</v>
      </c>
    </row>
    <row r="1473" spans="1:9" x14ac:dyDescent="0.25">
      <c r="A1473" s="1">
        <v>40833</v>
      </c>
      <c r="B1473" t="s">
        <v>21</v>
      </c>
      <c r="C1473">
        <v>12</v>
      </c>
      <c r="D1473">
        <f>MONTH(cukier11[[#This Row],[data]])</f>
        <v>10</v>
      </c>
      <c r="E1473">
        <f>IF(D1474&lt;&gt;cukier11[[#This Row],[miesiac]],1,0)</f>
        <v>0</v>
      </c>
      <c r="F1473">
        <f>IF(AND(H1472&lt;5000,cukier11[[#This Row],[czy_nastapiła_zmiana_mies]]=1),ROUNDUP((5000-H1472)/1000,0),0)</f>
        <v>0</v>
      </c>
      <c r="G1473">
        <f t="shared" si="22"/>
        <v>3896</v>
      </c>
      <c r="H1473">
        <f>cukier11[[#This Row],[stan_magazynu]]-cukier11[[#This Row],[sprzedany_cukier]]</f>
        <v>3884</v>
      </c>
      <c r="I1473" s="9">
        <f>cukier11[[#This Row],[stan_po_sprzedazy]]+cukier11[[#This Row],[ile_dokupic]]*1000</f>
        <v>3884</v>
      </c>
    </row>
    <row r="1474" spans="1:9" x14ac:dyDescent="0.25">
      <c r="A1474" s="1">
        <v>40837</v>
      </c>
      <c r="B1474" t="s">
        <v>50</v>
      </c>
      <c r="C1474">
        <v>496</v>
      </c>
      <c r="D1474">
        <f>MONTH(cukier11[[#This Row],[data]])</f>
        <v>10</v>
      </c>
      <c r="E1474">
        <f>IF(D1475&lt;&gt;cukier11[[#This Row],[miesiac]],1,0)</f>
        <v>0</v>
      </c>
      <c r="F1474">
        <f>IF(AND(H1473&lt;5000,cukier11[[#This Row],[czy_nastapiła_zmiana_mies]]=1),ROUNDUP((5000-H1473)/1000,0),0)</f>
        <v>0</v>
      </c>
      <c r="G1474">
        <f t="shared" si="22"/>
        <v>3884</v>
      </c>
      <c r="H1474">
        <f>cukier11[[#This Row],[stan_magazynu]]-cukier11[[#This Row],[sprzedany_cukier]]</f>
        <v>3388</v>
      </c>
      <c r="I1474" s="9">
        <f>cukier11[[#This Row],[stan_po_sprzedazy]]+cukier11[[#This Row],[ile_dokupic]]*1000</f>
        <v>3388</v>
      </c>
    </row>
    <row r="1475" spans="1:9" x14ac:dyDescent="0.25">
      <c r="A1475" s="1">
        <v>40838</v>
      </c>
      <c r="B1475" t="s">
        <v>184</v>
      </c>
      <c r="C1475">
        <v>5</v>
      </c>
      <c r="D1475">
        <f>MONTH(cukier11[[#This Row],[data]])</f>
        <v>10</v>
      </c>
      <c r="E1475">
        <f>IF(D1476&lt;&gt;cukier11[[#This Row],[miesiac]],1,0)</f>
        <v>0</v>
      </c>
      <c r="F1475">
        <f>IF(AND(H1474&lt;5000,cukier11[[#This Row],[czy_nastapiła_zmiana_mies]]=1),ROUNDUP((5000-H1474)/1000,0),0)</f>
        <v>0</v>
      </c>
      <c r="G1475">
        <f t="shared" si="22"/>
        <v>3388</v>
      </c>
      <c r="H1475">
        <f>cukier11[[#This Row],[stan_magazynu]]-cukier11[[#This Row],[sprzedany_cukier]]</f>
        <v>3383</v>
      </c>
      <c r="I1475" s="9">
        <f>cukier11[[#This Row],[stan_po_sprzedazy]]+cukier11[[#This Row],[ile_dokupic]]*1000</f>
        <v>3383</v>
      </c>
    </row>
    <row r="1476" spans="1:9" x14ac:dyDescent="0.25">
      <c r="A1476" s="1">
        <v>40839</v>
      </c>
      <c r="B1476" t="s">
        <v>75</v>
      </c>
      <c r="C1476">
        <v>2</v>
      </c>
      <c r="D1476">
        <f>MONTH(cukier11[[#This Row],[data]])</f>
        <v>10</v>
      </c>
      <c r="E1476">
        <f>IF(D1477&lt;&gt;cukier11[[#This Row],[miesiac]],1,0)</f>
        <v>0</v>
      </c>
      <c r="F1476">
        <f>IF(AND(H1475&lt;5000,cukier11[[#This Row],[czy_nastapiła_zmiana_mies]]=1),ROUNDUP((5000-H1475)/1000,0),0)</f>
        <v>0</v>
      </c>
      <c r="G1476">
        <f t="shared" ref="G1476:G1539" si="23">I1475</f>
        <v>3383</v>
      </c>
      <c r="H1476">
        <f>cukier11[[#This Row],[stan_magazynu]]-cukier11[[#This Row],[sprzedany_cukier]]</f>
        <v>3381</v>
      </c>
      <c r="I1476" s="9">
        <f>cukier11[[#This Row],[stan_po_sprzedazy]]+cukier11[[#This Row],[ile_dokupic]]*1000</f>
        <v>3381</v>
      </c>
    </row>
    <row r="1477" spans="1:9" x14ac:dyDescent="0.25">
      <c r="A1477" s="1">
        <v>40839</v>
      </c>
      <c r="B1477" t="s">
        <v>66</v>
      </c>
      <c r="C1477">
        <v>77</v>
      </c>
      <c r="D1477">
        <f>MONTH(cukier11[[#This Row],[data]])</f>
        <v>10</v>
      </c>
      <c r="E1477">
        <f>IF(D1478&lt;&gt;cukier11[[#This Row],[miesiac]],1,0)</f>
        <v>0</v>
      </c>
      <c r="F1477">
        <f>IF(AND(H1476&lt;5000,cukier11[[#This Row],[czy_nastapiła_zmiana_mies]]=1),ROUNDUP((5000-H1476)/1000,0),0)</f>
        <v>0</v>
      </c>
      <c r="G1477">
        <f t="shared" si="23"/>
        <v>3381</v>
      </c>
      <c r="H1477">
        <f>cukier11[[#This Row],[stan_magazynu]]-cukier11[[#This Row],[sprzedany_cukier]]</f>
        <v>3304</v>
      </c>
      <c r="I1477" s="9">
        <f>cukier11[[#This Row],[stan_po_sprzedazy]]+cukier11[[#This Row],[ile_dokupic]]*1000</f>
        <v>3304</v>
      </c>
    </row>
    <row r="1478" spans="1:9" x14ac:dyDescent="0.25">
      <c r="A1478" s="1">
        <v>40847</v>
      </c>
      <c r="B1478" t="s">
        <v>25</v>
      </c>
      <c r="C1478">
        <v>134</v>
      </c>
      <c r="D1478">
        <f>MONTH(cukier11[[#This Row],[data]])</f>
        <v>10</v>
      </c>
      <c r="E1478">
        <f>IF(D1479&lt;&gt;cukier11[[#This Row],[miesiac]],1,0)</f>
        <v>1</v>
      </c>
      <c r="F1478">
        <f>IF(AND(H1477&lt;5000,cukier11[[#This Row],[czy_nastapiła_zmiana_mies]]=1),ROUNDUP((5000-H1477)/1000,0),0)</f>
        <v>2</v>
      </c>
      <c r="G1478">
        <f t="shared" si="23"/>
        <v>3304</v>
      </c>
      <c r="H1478">
        <f>cukier11[[#This Row],[stan_magazynu]]-cukier11[[#This Row],[sprzedany_cukier]]</f>
        <v>3170</v>
      </c>
      <c r="I1478" s="9">
        <f>cukier11[[#This Row],[stan_po_sprzedazy]]+cukier11[[#This Row],[ile_dokupic]]*1000</f>
        <v>5170</v>
      </c>
    </row>
    <row r="1479" spans="1:9" x14ac:dyDescent="0.25">
      <c r="A1479" s="1">
        <v>40848</v>
      </c>
      <c r="B1479" t="s">
        <v>197</v>
      </c>
      <c r="C1479">
        <v>4</v>
      </c>
      <c r="D1479">
        <f>MONTH(cukier11[[#This Row],[data]])</f>
        <v>11</v>
      </c>
      <c r="E1479">
        <f>IF(D1480&lt;&gt;cukier11[[#This Row],[miesiac]],1,0)</f>
        <v>0</v>
      </c>
      <c r="F1479">
        <f>IF(AND(H1478&lt;5000,cukier11[[#This Row],[czy_nastapiła_zmiana_mies]]=1),ROUNDUP((5000-H1478)/1000,0),0)</f>
        <v>0</v>
      </c>
      <c r="G1479">
        <f t="shared" si="23"/>
        <v>5170</v>
      </c>
      <c r="H1479">
        <f>cukier11[[#This Row],[stan_magazynu]]-cukier11[[#This Row],[sprzedany_cukier]]</f>
        <v>5166</v>
      </c>
      <c r="I1479" s="9">
        <f>cukier11[[#This Row],[stan_po_sprzedazy]]+cukier11[[#This Row],[ile_dokupic]]*1000</f>
        <v>5166</v>
      </c>
    </row>
    <row r="1480" spans="1:9" x14ac:dyDescent="0.25">
      <c r="A1480" s="1">
        <v>40850</v>
      </c>
      <c r="B1480" t="s">
        <v>55</v>
      </c>
      <c r="C1480">
        <v>46</v>
      </c>
      <c r="D1480">
        <f>MONTH(cukier11[[#This Row],[data]])</f>
        <v>11</v>
      </c>
      <c r="E1480">
        <f>IF(D1481&lt;&gt;cukier11[[#This Row],[miesiac]],1,0)</f>
        <v>0</v>
      </c>
      <c r="F1480">
        <f>IF(AND(H1479&lt;5000,cukier11[[#This Row],[czy_nastapiła_zmiana_mies]]=1),ROUNDUP((5000-H1479)/1000,0),0)</f>
        <v>0</v>
      </c>
      <c r="G1480">
        <f t="shared" si="23"/>
        <v>5166</v>
      </c>
      <c r="H1480">
        <f>cukier11[[#This Row],[stan_magazynu]]-cukier11[[#This Row],[sprzedany_cukier]]</f>
        <v>5120</v>
      </c>
      <c r="I1480" s="9">
        <f>cukier11[[#This Row],[stan_po_sprzedazy]]+cukier11[[#This Row],[ile_dokupic]]*1000</f>
        <v>5120</v>
      </c>
    </row>
    <row r="1481" spans="1:9" x14ac:dyDescent="0.25">
      <c r="A1481" s="1">
        <v>40852</v>
      </c>
      <c r="B1481" t="s">
        <v>123</v>
      </c>
      <c r="C1481">
        <v>43</v>
      </c>
      <c r="D1481">
        <f>MONTH(cukier11[[#This Row],[data]])</f>
        <v>11</v>
      </c>
      <c r="E1481">
        <f>IF(D1482&lt;&gt;cukier11[[#This Row],[miesiac]],1,0)</f>
        <v>0</v>
      </c>
      <c r="F1481">
        <f>IF(AND(H1480&lt;5000,cukier11[[#This Row],[czy_nastapiła_zmiana_mies]]=1),ROUNDUP((5000-H1480)/1000,0),0)</f>
        <v>0</v>
      </c>
      <c r="G1481">
        <f t="shared" si="23"/>
        <v>5120</v>
      </c>
      <c r="H1481">
        <f>cukier11[[#This Row],[stan_magazynu]]-cukier11[[#This Row],[sprzedany_cukier]]</f>
        <v>5077</v>
      </c>
      <c r="I1481" s="9">
        <f>cukier11[[#This Row],[stan_po_sprzedazy]]+cukier11[[#This Row],[ile_dokupic]]*1000</f>
        <v>5077</v>
      </c>
    </row>
    <row r="1482" spans="1:9" x14ac:dyDescent="0.25">
      <c r="A1482" s="1">
        <v>40855</v>
      </c>
      <c r="B1482" t="s">
        <v>21</v>
      </c>
      <c r="C1482">
        <v>2</v>
      </c>
      <c r="D1482">
        <f>MONTH(cukier11[[#This Row],[data]])</f>
        <v>11</v>
      </c>
      <c r="E1482">
        <f>IF(D1483&lt;&gt;cukier11[[#This Row],[miesiac]],1,0)</f>
        <v>0</v>
      </c>
      <c r="F1482">
        <f>IF(AND(H1481&lt;5000,cukier11[[#This Row],[czy_nastapiła_zmiana_mies]]=1),ROUNDUP((5000-H1481)/1000,0),0)</f>
        <v>0</v>
      </c>
      <c r="G1482">
        <f t="shared" si="23"/>
        <v>5077</v>
      </c>
      <c r="H1482">
        <f>cukier11[[#This Row],[stan_magazynu]]-cukier11[[#This Row],[sprzedany_cukier]]</f>
        <v>5075</v>
      </c>
      <c r="I1482" s="9">
        <f>cukier11[[#This Row],[stan_po_sprzedazy]]+cukier11[[#This Row],[ile_dokupic]]*1000</f>
        <v>5075</v>
      </c>
    </row>
    <row r="1483" spans="1:9" x14ac:dyDescent="0.25">
      <c r="A1483" s="1">
        <v>40857</v>
      </c>
      <c r="B1483" t="s">
        <v>19</v>
      </c>
      <c r="C1483">
        <v>100</v>
      </c>
      <c r="D1483">
        <f>MONTH(cukier11[[#This Row],[data]])</f>
        <v>11</v>
      </c>
      <c r="E1483">
        <f>IF(D1484&lt;&gt;cukier11[[#This Row],[miesiac]],1,0)</f>
        <v>0</v>
      </c>
      <c r="F1483">
        <f>IF(AND(H1482&lt;5000,cukier11[[#This Row],[czy_nastapiła_zmiana_mies]]=1),ROUNDUP((5000-H1482)/1000,0),0)</f>
        <v>0</v>
      </c>
      <c r="G1483">
        <f t="shared" si="23"/>
        <v>5075</v>
      </c>
      <c r="H1483">
        <f>cukier11[[#This Row],[stan_magazynu]]-cukier11[[#This Row],[sprzedany_cukier]]</f>
        <v>4975</v>
      </c>
      <c r="I1483" s="9">
        <f>cukier11[[#This Row],[stan_po_sprzedazy]]+cukier11[[#This Row],[ile_dokupic]]*1000</f>
        <v>4975</v>
      </c>
    </row>
    <row r="1484" spans="1:9" x14ac:dyDescent="0.25">
      <c r="A1484" s="1">
        <v>40857</v>
      </c>
      <c r="B1484" t="s">
        <v>22</v>
      </c>
      <c r="C1484">
        <v>438</v>
      </c>
      <c r="D1484">
        <f>MONTH(cukier11[[#This Row],[data]])</f>
        <v>11</v>
      </c>
      <c r="E1484">
        <f>IF(D1485&lt;&gt;cukier11[[#This Row],[miesiac]],1,0)</f>
        <v>0</v>
      </c>
      <c r="F1484">
        <f>IF(AND(H1483&lt;5000,cukier11[[#This Row],[czy_nastapiła_zmiana_mies]]=1),ROUNDUP((5000-H1483)/1000,0),0)</f>
        <v>0</v>
      </c>
      <c r="G1484">
        <f t="shared" si="23"/>
        <v>4975</v>
      </c>
      <c r="H1484">
        <f>cukier11[[#This Row],[stan_magazynu]]-cukier11[[#This Row],[sprzedany_cukier]]</f>
        <v>4537</v>
      </c>
      <c r="I1484" s="9">
        <f>cukier11[[#This Row],[stan_po_sprzedazy]]+cukier11[[#This Row],[ile_dokupic]]*1000</f>
        <v>4537</v>
      </c>
    </row>
    <row r="1485" spans="1:9" x14ac:dyDescent="0.25">
      <c r="A1485" s="1">
        <v>40859</v>
      </c>
      <c r="B1485" t="s">
        <v>26</v>
      </c>
      <c r="C1485">
        <v>69</v>
      </c>
      <c r="D1485">
        <f>MONTH(cukier11[[#This Row],[data]])</f>
        <v>11</v>
      </c>
      <c r="E1485">
        <f>IF(D1486&lt;&gt;cukier11[[#This Row],[miesiac]],1,0)</f>
        <v>0</v>
      </c>
      <c r="F1485">
        <f>IF(AND(H1484&lt;5000,cukier11[[#This Row],[czy_nastapiła_zmiana_mies]]=1),ROUNDUP((5000-H1484)/1000,0),0)</f>
        <v>0</v>
      </c>
      <c r="G1485">
        <f t="shared" si="23"/>
        <v>4537</v>
      </c>
      <c r="H1485">
        <f>cukier11[[#This Row],[stan_magazynu]]-cukier11[[#This Row],[sprzedany_cukier]]</f>
        <v>4468</v>
      </c>
      <c r="I1485" s="9">
        <f>cukier11[[#This Row],[stan_po_sprzedazy]]+cukier11[[#This Row],[ile_dokupic]]*1000</f>
        <v>4468</v>
      </c>
    </row>
    <row r="1486" spans="1:9" x14ac:dyDescent="0.25">
      <c r="A1486" s="1">
        <v>40864</v>
      </c>
      <c r="B1486" t="s">
        <v>8</v>
      </c>
      <c r="C1486">
        <v>22</v>
      </c>
      <c r="D1486">
        <f>MONTH(cukier11[[#This Row],[data]])</f>
        <v>11</v>
      </c>
      <c r="E1486">
        <f>IF(D1487&lt;&gt;cukier11[[#This Row],[miesiac]],1,0)</f>
        <v>0</v>
      </c>
      <c r="F1486">
        <f>IF(AND(H1485&lt;5000,cukier11[[#This Row],[czy_nastapiła_zmiana_mies]]=1),ROUNDUP((5000-H1485)/1000,0),0)</f>
        <v>0</v>
      </c>
      <c r="G1486">
        <f t="shared" si="23"/>
        <v>4468</v>
      </c>
      <c r="H1486">
        <f>cukier11[[#This Row],[stan_magazynu]]-cukier11[[#This Row],[sprzedany_cukier]]</f>
        <v>4446</v>
      </c>
      <c r="I1486" s="9">
        <f>cukier11[[#This Row],[stan_po_sprzedazy]]+cukier11[[#This Row],[ile_dokupic]]*1000</f>
        <v>4446</v>
      </c>
    </row>
    <row r="1487" spans="1:9" x14ac:dyDescent="0.25">
      <c r="A1487" s="1">
        <v>40865</v>
      </c>
      <c r="B1487" t="s">
        <v>55</v>
      </c>
      <c r="C1487">
        <v>130</v>
      </c>
      <c r="D1487">
        <f>MONTH(cukier11[[#This Row],[data]])</f>
        <v>11</v>
      </c>
      <c r="E1487">
        <f>IF(D1488&lt;&gt;cukier11[[#This Row],[miesiac]],1,0)</f>
        <v>0</v>
      </c>
      <c r="F1487">
        <f>IF(AND(H1486&lt;5000,cukier11[[#This Row],[czy_nastapiła_zmiana_mies]]=1),ROUNDUP((5000-H1486)/1000,0),0)</f>
        <v>0</v>
      </c>
      <c r="G1487">
        <f t="shared" si="23"/>
        <v>4446</v>
      </c>
      <c r="H1487">
        <f>cukier11[[#This Row],[stan_magazynu]]-cukier11[[#This Row],[sprzedany_cukier]]</f>
        <v>4316</v>
      </c>
      <c r="I1487" s="9">
        <f>cukier11[[#This Row],[stan_po_sprzedazy]]+cukier11[[#This Row],[ile_dokupic]]*1000</f>
        <v>4316</v>
      </c>
    </row>
    <row r="1488" spans="1:9" x14ac:dyDescent="0.25">
      <c r="A1488" s="1">
        <v>40869</v>
      </c>
      <c r="B1488" t="s">
        <v>177</v>
      </c>
      <c r="C1488">
        <v>5</v>
      </c>
      <c r="D1488">
        <f>MONTH(cukier11[[#This Row],[data]])</f>
        <v>11</v>
      </c>
      <c r="E1488">
        <f>IF(D1489&lt;&gt;cukier11[[#This Row],[miesiac]],1,0)</f>
        <v>0</v>
      </c>
      <c r="F1488">
        <f>IF(AND(H1487&lt;5000,cukier11[[#This Row],[czy_nastapiła_zmiana_mies]]=1),ROUNDUP((5000-H1487)/1000,0),0)</f>
        <v>0</v>
      </c>
      <c r="G1488">
        <f t="shared" si="23"/>
        <v>4316</v>
      </c>
      <c r="H1488">
        <f>cukier11[[#This Row],[stan_magazynu]]-cukier11[[#This Row],[sprzedany_cukier]]</f>
        <v>4311</v>
      </c>
      <c r="I1488" s="9">
        <f>cukier11[[#This Row],[stan_po_sprzedazy]]+cukier11[[#This Row],[ile_dokupic]]*1000</f>
        <v>4311</v>
      </c>
    </row>
    <row r="1489" spans="1:9" x14ac:dyDescent="0.25">
      <c r="A1489" s="1">
        <v>40872</v>
      </c>
      <c r="B1489" t="s">
        <v>58</v>
      </c>
      <c r="C1489">
        <v>62</v>
      </c>
      <c r="D1489">
        <f>MONTH(cukier11[[#This Row],[data]])</f>
        <v>11</v>
      </c>
      <c r="E1489">
        <f>IF(D1490&lt;&gt;cukier11[[#This Row],[miesiac]],1,0)</f>
        <v>0</v>
      </c>
      <c r="F1489">
        <f>IF(AND(H1488&lt;5000,cukier11[[#This Row],[czy_nastapiła_zmiana_mies]]=1),ROUNDUP((5000-H1488)/1000,0),0)</f>
        <v>0</v>
      </c>
      <c r="G1489">
        <f t="shared" si="23"/>
        <v>4311</v>
      </c>
      <c r="H1489">
        <f>cukier11[[#This Row],[stan_magazynu]]-cukier11[[#This Row],[sprzedany_cukier]]</f>
        <v>4249</v>
      </c>
      <c r="I1489" s="9">
        <f>cukier11[[#This Row],[stan_po_sprzedazy]]+cukier11[[#This Row],[ile_dokupic]]*1000</f>
        <v>4249</v>
      </c>
    </row>
    <row r="1490" spans="1:9" x14ac:dyDescent="0.25">
      <c r="A1490" s="1">
        <v>40874</v>
      </c>
      <c r="B1490" t="s">
        <v>220</v>
      </c>
      <c r="C1490">
        <v>8</v>
      </c>
      <c r="D1490">
        <f>MONTH(cukier11[[#This Row],[data]])</f>
        <v>11</v>
      </c>
      <c r="E1490">
        <f>IF(D1491&lt;&gt;cukier11[[#This Row],[miesiac]],1,0)</f>
        <v>0</v>
      </c>
      <c r="F1490">
        <f>IF(AND(H1489&lt;5000,cukier11[[#This Row],[czy_nastapiła_zmiana_mies]]=1),ROUNDUP((5000-H1489)/1000,0),0)</f>
        <v>0</v>
      </c>
      <c r="G1490">
        <f t="shared" si="23"/>
        <v>4249</v>
      </c>
      <c r="H1490">
        <f>cukier11[[#This Row],[stan_magazynu]]-cukier11[[#This Row],[sprzedany_cukier]]</f>
        <v>4241</v>
      </c>
      <c r="I1490" s="9">
        <f>cukier11[[#This Row],[stan_po_sprzedazy]]+cukier11[[#This Row],[ile_dokupic]]*1000</f>
        <v>4241</v>
      </c>
    </row>
    <row r="1491" spans="1:9" x14ac:dyDescent="0.25">
      <c r="A1491" s="1">
        <v>40876</v>
      </c>
      <c r="B1491" t="s">
        <v>56</v>
      </c>
      <c r="C1491">
        <v>18</v>
      </c>
      <c r="D1491">
        <f>MONTH(cukier11[[#This Row],[data]])</f>
        <v>11</v>
      </c>
      <c r="E1491">
        <f>IF(D1492&lt;&gt;cukier11[[#This Row],[miesiac]],1,0)</f>
        <v>1</v>
      </c>
      <c r="F1491">
        <f>IF(AND(H1490&lt;5000,cukier11[[#This Row],[czy_nastapiła_zmiana_mies]]=1),ROUNDUP((5000-H1490)/1000,0),0)</f>
        <v>1</v>
      </c>
      <c r="G1491">
        <f t="shared" si="23"/>
        <v>4241</v>
      </c>
      <c r="H1491">
        <f>cukier11[[#This Row],[stan_magazynu]]-cukier11[[#This Row],[sprzedany_cukier]]</f>
        <v>4223</v>
      </c>
      <c r="I1491" s="9">
        <f>cukier11[[#This Row],[stan_po_sprzedazy]]+cukier11[[#This Row],[ile_dokupic]]*1000</f>
        <v>5223</v>
      </c>
    </row>
    <row r="1492" spans="1:9" x14ac:dyDescent="0.25">
      <c r="A1492" s="1">
        <v>40881</v>
      </c>
      <c r="B1492" t="s">
        <v>25</v>
      </c>
      <c r="C1492">
        <v>146</v>
      </c>
      <c r="D1492">
        <f>MONTH(cukier11[[#This Row],[data]])</f>
        <v>12</v>
      </c>
      <c r="E1492">
        <f>IF(D1493&lt;&gt;cukier11[[#This Row],[miesiac]],1,0)</f>
        <v>0</v>
      </c>
      <c r="F1492">
        <f>IF(AND(H1491&lt;5000,cukier11[[#This Row],[czy_nastapiła_zmiana_mies]]=1),ROUNDUP((5000-H1491)/1000,0),0)</f>
        <v>0</v>
      </c>
      <c r="G1492">
        <f t="shared" si="23"/>
        <v>5223</v>
      </c>
      <c r="H1492">
        <f>cukier11[[#This Row],[stan_magazynu]]-cukier11[[#This Row],[sprzedany_cukier]]</f>
        <v>5077</v>
      </c>
      <c r="I1492" s="9">
        <f>cukier11[[#This Row],[stan_po_sprzedazy]]+cukier11[[#This Row],[ile_dokupic]]*1000</f>
        <v>5077</v>
      </c>
    </row>
    <row r="1493" spans="1:9" x14ac:dyDescent="0.25">
      <c r="A1493" s="1">
        <v>40881</v>
      </c>
      <c r="B1493" t="s">
        <v>118</v>
      </c>
      <c r="C1493">
        <v>5</v>
      </c>
      <c r="D1493">
        <f>MONTH(cukier11[[#This Row],[data]])</f>
        <v>12</v>
      </c>
      <c r="E1493">
        <f>IF(D1494&lt;&gt;cukier11[[#This Row],[miesiac]],1,0)</f>
        <v>0</v>
      </c>
      <c r="F1493">
        <f>IF(AND(H1492&lt;5000,cukier11[[#This Row],[czy_nastapiła_zmiana_mies]]=1),ROUNDUP((5000-H1492)/1000,0),0)</f>
        <v>0</v>
      </c>
      <c r="G1493">
        <f t="shared" si="23"/>
        <v>5077</v>
      </c>
      <c r="H1493">
        <f>cukier11[[#This Row],[stan_magazynu]]-cukier11[[#This Row],[sprzedany_cukier]]</f>
        <v>5072</v>
      </c>
      <c r="I1493" s="9">
        <f>cukier11[[#This Row],[stan_po_sprzedazy]]+cukier11[[#This Row],[ile_dokupic]]*1000</f>
        <v>5072</v>
      </c>
    </row>
    <row r="1494" spans="1:9" x14ac:dyDescent="0.25">
      <c r="A1494" s="1">
        <v>40889</v>
      </c>
      <c r="B1494" t="s">
        <v>19</v>
      </c>
      <c r="C1494">
        <v>20</v>
      </c>
      <c r="D1494">
        <f>MONTH(cukier11[[#This Row],[data]])</f>
        <v>12</v>
      </c>
      <c r="E1494">
        <f>IF(D1495&lt;&gt;cukier11[[#This Row],[miesiac]],1,0)</f>
        <v>0</v>
      </c>
      <c r="F1494">
        <f>IF(AND(H1493&lt;5000,cukier11[[#This Row],[czy_nastapiła_zmiana_mies]]=1),ROUNDUP((5000-H1493)/1000,0),0)</f>
        <v>0</v>
      </c>
      <c r="G1494">
        <f t="shared" si="23"/>
        <v>5072</v>
      </c>
      <c r="H1494">
        <f>cukier11[[#This Row],[stan_magazynu]]-cukier11[[#This Row],[sprzedany_cukier]]</f>
        <v>5052</v>
      </c>
      <c r="I1494" s="9">
        <f>cukier11[[#This Row],[stan_po_sprzedazy]]+cukier11[[#This Row],[ile_dokupic]]*1000</f>
        <v>5052</v>
      </c>
    </row>
    <row r="1495" spans="1:9" x14ac:dyDescent="0.25">
      <c r="A1495" s="1">
        <v>40889</v>
      </c>
      <c r="B1495" t="s">
        <v>22</v>
      </c>
      <c r="C1495">
        <v>153</v>
      </c>
      <c r="D1495">
        <f>MONTH(cukier11[[#This Row],[data]])</f>
        <v>12</v>
      </c>
      <c r="E1495">
        <f>IF(D1496&lt;&gt;cukier11[[#This Row],[miesiac]],1,0)</f>
        <v>0</v>
      </c>
      <c r="F1495">
        <f>IF(AND(H1494&lt;5000,cukier11[[#This Row],[czy_nastapiła_zmiana_mies]]=1),ROUNDUP((5000-H1494)/1000,0),0)</f>
        <v>0</v>
      </c>
      <c r="G1495">
        <f t="shared" si="23"/>
        <v>5052</v>
      </c>
      <c r="H1495">
        <f>cukier11[[#This Row],[stan_magazynu]]-cukier11[[#This Row],[sprzedany_cukier]]</f>
        <v>4899</v>
      </c>
      <c r="I1495" s="9">
        <f>cukier11[[#This Row],[stan_po_sprzedazy]]+cukier11[[#This Row],[ile_dokupic]]*1000</f>
        <v>4899</v>
      </c>
    </row>
    <row r="1496" spans="1:9" x14ac:dyDescent="0.25">
      <c r="A1496" s="1">
        <v>40890</v>
      </c>
      <c r="B1496" t="s">
        <v>45</v>
      </c>
      <c r="C1496">
        <v>227</v>
      </c>
      <c r="D1496">
        <f>MONTH(cukier11[[#This Row],[data]])</f>
        <v>12</v>
      </c>
      <c r="E1496">
        <f>IF(D1497&lt;&gt;cukier11[[#This Row],[miesiac]],1,0)</f>
        <v>0</v>
      </c>
      <c r="F1496">
        <f>IF(AND(H1495&lt;5000,cukier11[[#This Row],[czy_nastapiła_zmiana_mies]]=1),ROUNDUP((5000-H1495)/1000,0),0)</f>
        <v>0</v>
      </c>
      <c r="G1496">
        <f t="shared" si="23"/>
        <v>4899</v>
      </c>
      <c r="H1496">
        <f>cukier11[[#This Row],[stan_magazynu]]-cukier11[[#This Row],[sprzedany_cukier]]</f>
        <v>4672</v>
      </c>
      <c r="I1496" s="9">
        <f>cukier11[[#This Row],[stan_po_sprzedazy]]+cukier11[[#This Row],[ile_dokupic]]*1000</f>
        <v>4672</v>
      </c>
    </row>
    <row r="1497" spans="1:9" x14ac:dyDescent="0.25">
      <c r="A1497" s="1">
        <v>40891</v>
      </c>
      <c r="B1497" t="s">
        <v>12</v>
      </c>
      <c r="C1497">
        <v>52</v>
      </c>
      <c r="D1497">
        <f>MONTH(cukier11[[#This Row],[data]])</f>
        <v>12</v>
      </c>
      <c r="E1497">
        <f>IF(D1498&lt;&gt;cukier11[[#This Row],[miesiac]],1,0)</f>
        <v>0</v>
      </c>
      <c r="F1497">
        <f>IF(AND(H1496&lt;5000,cukier11[[#This Row],[czy_nastapiła_zmiana_mies]]=1),ROUNDUP((5000-H1496)/1000,0),0)</f>
        <v>0</v>
      </c>
      <c r="G1497">
        <f t="shared" si="23"/>
        <v>4672</v>
      </c>
      <c r="H1497">
        <f>cukier11[[#This Row],[stan_magazynu]]-cukier11[[#This Row],[sprzedany_cukier]]</f>
        <v>4620</v>
      </c>
      <c r="I1497" s="9">
        <f>cukier11[[#This Row],[stan_po_sprzedazy]]+cukier11[[#This Row],[ile_dokupic]]*1000</f>
        <v>4620</v>
      </c>
    </row>
    <row r="1498" spans="1:9" x14ac:dyDescent="0.25">
      <c r="A1498" s="1">
        <v>40892</v>
      </c>
      <c r="B1498" t="s">
        <v>6</v>
      </c>
      <c r="C1498">
        <v>108</v>
      </c>
      <c r="D1498">
        <f>MONTH(cukier11[[#This Row],[data]])</f>
        <v>12</v>
      </c>
      <c r="E1498">
        <f>IF(D1499&lt;&gt;cukier11[[#This Row],[miesiac]],1,0)</f>
        <v>0</v>
      </c>
      <c r="F1498">
        <f>IF(AND(H1497&lt;5000,cukier11[[#This Row],[czy_nastapiła_zmiana_mies]]=1),ROUNDUP((5000-H1497)/1000,0),0)</f>
        <v>0</v>
      </c>
      <c r="G1498">
        <f t="shared" si="23"/>
        <v>4620</v>
      </c>
      <c r="H1498">
        <f>cukier11[[#This Row],[stan_magazynu]]-cukier11[[#This Row],[sprzedany_cukier]]</f>
        <v>4512</v>
      </c>
      <c r="I1498" s="9">
        <f>cukier11[[#This Row],[stan_po_sprzedazy]]+cukier11[[#This Row],[ile_dokupic]]*1000</f>
        <v>4512</v>
      </c>
    </row>
    <row r="1499" spans="1:9" x14ac:dyDescent="0.25">
      <c r="A1499" s="1">
        <v>40895</v>
      </c>
      <c r="B1499" t="s">
        <v>24</v>
      </c>
      <c r="C1499">
        <v>236</v>
      </c>
      <c r="D1499">
        <f>MONTH(cukier11[[#This Row],[data]])</f>
        <v>12</v>
      </c>
      <c r="E1499">
        <f>IF(D1500&lt;&gt;cukier11[[#This Row],[miesiac]],1,0)</f>
        <v>0</v>
      </c>
      <c r="F1499">
        <f>IF(AND(H1498&lt;5000,cukier11[[#This Row],[czy_nastapiła_zmiana_mies]]=1),ROUNDUP((5000-H1498)/1000,0),0)</f>
        <v>0</v>
      </c>
      <c r="G1499">
        <f t="shared" si="23"/>
        <v>4512</v>
      </c>
      <c r="H1499">
        <f>cukier11[[#This Row],[stan_magazynu]]-cukier11[[#This Row],[sprzedany_cukier]]</f>
        <v>4276</v>
      </c>
      <c r="I1499" s="9">
        <f>cukier11[[#This Row],[stan_po_sprzedazy]]+cukier11[[#This Row],[ile_dokupic]]*1000</f>
        <v>4276</v>
      </c>
    </row>
    <row r="1500" spans="1:9" x14ac:dyDescent="0.25">
      <c r="A1500" s="1">
        <v>40897</v>
      </c>
      <c r="B1500" t="s">
        <v>30</v>
      </c>
      <c r="C1500">
        <v>125</v>
      </c>
      <c r="D1500">
        <f>MONTH(cukier11[[#This Row],[data]])</f>
        <v>12</v>
      </c>
      <c r="E1500">
        <f>IF(D1501&lt;&gt;cukier11[[#This Row],[miesiac]],1,0)</f>
        <v>0</v>
      </c>
      <c r="F1500">
        <f>IF(AND(H1499&lt;5000,cukier11[[#This Row],[czy_nastapiła_zmiana_mies]]=1),ROUNDUP((5000-H1499)/1000,0),0)</f>
        <v>0</v>
      </c>
      <c r="G1500">
        <f t="shared" si="23"/>
        <v>4276</v>
      </c>
      <c r="H1500">
        <f>cukier11[[#This Row],[stan_magazynu]]-cukier11[[#This Row],[sprzedany_cukier]]</f>
        <v>4151</v>
      </c>
      <c r="I1500" s="9">
        <f>cukier11[[#This Row],[stan_po_sprzedazy]]+cukier11[[#This Row],[ile_dokupic]]*1000</f>
        <v>4151</v>
      </c>
    </row>
    <row r="1501" spans="1:9" x14ac:dyDescent="0.25">
      <c r="A1501" s="1">
        <v>40898</v>
      </c>
      <c r="B1501" t="s">
        <v>10</v>
      </c>
      <c r="C1501">
        <v>183</v>
      </c>
      <c r="D1501">
        <f>MONTH(cukier11[[#This Row],[data]])</f>
        <v>12</v>
      </c>
      <c r="E1501">
        <f>IF(D1502&lt;&gt;cukier11[[#This Row],[miesiac]],1,0)</f>
        <v>0</v>
      </c>
      <c r="F1501">
        <f>IF(AND(H1500&lt;5000,cukier11[[#This Row],[czy_nastapiła_zmiana_mies]]=1),ROUNDUP((5000-H1500)/1000,0),0)</f>
        <v>0</v>
      </c>
      <c r="G1501">
        <f t="shared" si="23"/>
        <v>4151</v>
      </c>
      <c r="H1501">
        <f>cukier11[[#This Row],[stan_magazynu]]-cukier11[[#This Row],[sprzedany_cukier]]</f>
        <v>3968</v>
      </c>
      <c r="I1501" s="9">
        <f>cukier11[[#This Row],[stan_po_sprzedazy]]+cukier11[[#This Row],[ile_dokupic]]*1000</f>
        <v>3968</v>
      </c>
    </row>
    <row r="1502" spans="1:9" x14ac:dyDescent="0.25">
      <c r="A1502" s="1">
        <v>40899</v>
      </c>
      <c r="B1502" t="s">
        <v>8</v>
      </c>
      <c r="C1502">
        <v>130</v>
      </c>
      <c r="D1502">
        <f>MONTH(cukier11[[#This Row],[data]])</f>
        <v>12</v>
      </c>
      <c r="E1502">
        <f>IF(D1503&lt;&gt;cukier11[[#This Row],[miesiac]],1,0)</f>
        <v>0</v>
      </c>
      <c r="F1502">
        <f>IF(AND(H1501&lt;5000,cukier11[[#This Row],[czy_nastapiła_zmiana_mies]]=1),ROUNDUP((5000-H1501)/1000,0),0)</f>
        <v>0</v>
      </c>
      <c r="G1502">
        <f t="shared" si="23"/>
        <v>3968</v>
      </c>
      <c r="H1502">
        <f>cukier11[[#This Row],[stan_magazynu]]-cukier11[[#This Row],[sprzedany_cukier]]</f>
        <v>3838</v>
      </c>
      <c r="I1502" s="9">
        <f>cukier11[[#This Row],[stan_po_sprzedazy]]+cukier11[[#This Row],[ile_dokupic]]*1000</f>
        <v>3838</v>
      </c>
    </row>
    <row r="1503" spans="1:9" x14ac:dyDescent="0.25">
      <c r="A1503" s="1">
        <v>40899</v>
      </c>
      <c r="B1503" t="s">
        <v>224</v>
      </c>
      <c r="C1503">
        <v>4</v>
      </c>
      <c r="D1503">
        <f>MONTH(cukier11[[#This Row],[data]])</f>
        <v>12</v>
      </c>
      <c r="E1503">
        <f>IF(D1504&lt;&gt;cukier11[[#This Row],[miesiac]],1,0)</f>
        <v>0</v>
      </c>
      <c r="F1503">
        <f>IF(AND(H1502&lt;5000,cukier11[[#This Row],[czy_nastapiła_zmiana_mies]]=1),ROUNDUP((5000-H1502)/1000,0),0)</f>
        <v>0</v>
      </c>
      <c r="G1503">
        <f t="shared" si="23"/>
        <v>3838</v>
      </c>
      <c r="H1503">
        <f>cukier11[[#This Row],[stan_magazynu]]-cukier11[[#This Row],[sprzedany_cukier]]</f>
        <v>3834</v>
      </c>
      <c r="I1503" s="9">
        <f>cukier11[[#This Row],[stan_po_sprzedazy]]+cukier11[[#This Row],[ile_dokupic]]*1000</f>
        <v>3834</v>
      </c>
    </row>
    <row r="1504" spans="1:9" x14ac:dyDescent="0.25">
      <c r="A1504" s="1">
        <v>40900</v>
      </c>
      <c r="B1504" t="s">
        <v>225</v>
      </c>
      <c r="C1504">
        <v>3</v>
      </c>
      <c r="D1504">
        <f>MONTH(cukier11[[#This Row],[data]])</f>
        <v>12</v>
      </c>
      <c r="E1504">
        <f>IF(D1505&lt;&gt;cukier11[[#This Row],[miesiac]],1,0)</f>
        <v>0</v>
      </c>
      <c r="F1504">
        <f>IF(AND(H1503&lt;5000,cukier11[[#This Row],[czy_nastapiła_zmiana_mies]]=1),ROUNDUP((5000-H1503)/1000,0),0)</f>
        <v>0</v>
      </c>
      <c r="G1504">
        <f t="shared" si="23"/>
        <v>3834</v>
      </c>
      <c r="H1504">
        <f>cukier11[[#This Row],[stan_magazynu]]-cukier11[[#This Row],[sprzedany_cukier]]</f>
        <v>3831</v>
      </c>
      <c r="I1504" s="9">
        <f>cukier11[[#This Row],[stan_po_sprzedazy]]+cukier11[[#This Row],[ile_dokupic]]*1000</f>
        <v>3831</v>
      </c>
    </row>
    <row r="1505" spans="1:9" x14ac:dyDescent="0.25">
      <c r="A1505" s="1">
        <v>40901</v>
      </c>
      <c r="B1505" t="s">
        <v>226</v>
      </c>
      <c r="C1505">
        <v>16</v>
      </c>
      <c r="D1505">
        <f>MONTH(cukier11[[#This Row],[data]])</f>
        <v>12</v>
      </c>
      <c r="E1505">
        <f>IF(D1506&lt;&gt;cukier11[[#This Row],[miesiac]],1,0)</f>
        <v>0</v>
      </c>
      <c r="F1505">
        <f>IF(AND(H1504&lt;5000,cukier11[[#This Row],[czy_nastapiła_zmiana_mies]]=1),ROUNDUP((5000-H1504)/1000,0),0)</f>
        <v>0</v>
      </c>
      <c r="G1505">
        <f t="shared" si="23"/>
        <v>3831</v>
      </c>
      <c r="H1505">
        <f>cukier11[[#This Row],[stan_magazynu]]-cukier11[[#This Row],[sprzedany_cukier]]</f>
        <v>3815</v>
      </c>
      <c r="I1505" s="9">
        <f>cukier11[[#This Row],[stan_po_sprzedazy]]+cukier11[[#This Row],[ile_dokupic]]*1000</f>
        <v>3815</v>
      </c>
    </row>
    <row r="1506" spans="1:9" x14ac:dyDescent="0.25">
      <c r="A1506" s="1">
        <v>40903</v>
      </c>
      <c r="B1506" t="s">
        <v>6</v>
      </c>
      <c r="C1506">
        <v>197</v>
      </c>
      <c r="D1506">
        <f>MONTH(cukier11[[#This Row],[data]])</f>
        <v>12</v>
      </c>
      <c r="E1506">
        <f>IF(D1507&lt;&gt;cukier11[[#This Row],[miesiac]],1,0)</f>
        <v>0</v>
      </c>
      <c r="F1506">
        <f>IF(AND(H1505&lt;5000,cukier11[[#This Row],[czy_nastapiła_zmiana_mies]]=1),ROUNDUP((5000-H1505)/1000,0),0)</f>
        <v>0</v>
      </c>
      <c r="G1506">
        <f t="shared" si="23"/>
        <v>3815</v>
      </c>
      <c r="H1506">
        <f>cukier11[[#This Row],[stan_magazynu]]-cukier11[[#This Row],[sprzedany_cukier]]</f>
        <v>3618</v>
      </c>
      <c r="I1506" s="9">
        <f>cukier11[[#This Row],[stan_po_sprzedazy]]+cukier11[[#This Row],[ile_dokupic]]*1000</f>
        <v>3618</v>
      </c>
    </row>
    <row r="1507" spans="1:9" x14ac:dyDescent="0.25">
      <c r="A1507" s="1">
        <v>40903</v>
      </c>
      <c r="B1507" t="s">
        <v>152</v>
      </c>
      <c r="C1507">
        <v>4</v>
      </c>
      <c r="D1507">
        <f>MONTH(cukier11[[#This Row],[data]])</f>
        <v>12</v>
      </c>
      <c r="E1507">
        <f>IF(D1508&lt;&gt;cukier11[[#This Row],[miesiac]],1,0)</f>
        <v>0</v>
      </c>
      <c r="F1507">
        <f>IF(AND(H1506&lt;5000,cukier11[[#This Row],[czy_nastapiła_zmiana_mies]]=1),ROUNDUP((5000-H1506)/1000,0),0)</f>
        <v>0</v>
      </c>
      <c r="G1507">
        <f t="shared" si="23"/>
        <v>3618</v>
      </c>
      <c r="H1507">
        <f>cukier11[[#This Row],[stan_magazynu]]-cukier11[[#This Row],[sprzedany_cukier]]</f>
        <v>3614</v>
      </c>
      <c r="I1507" s="9">
        <f>cukier11[[#This Row],[stan_po_sprzedazy]]+cukier11[[#This Row],[ile_dokupic]]*1000</f>
        <v>3614</v>
      </c>
    </row>
    <row r="1508" spans="1:9" x14ac:dyDescent="0.25">
      <c r="A1508" s="1">
        <v>40904</v>
      </c>
      <c r="B1508" t="s">
        <v>52</v>
      </c>
      <c r="C1508">
        <v>57</v>
      </c>
      <c r="D1508">
        <f>MONTH(cukier11[[#This Row],[data]])</f>
        <v>12</v>
      </c>
      <c r="E1508">
        <f>IF(D1509&lt;&gt;cukier11[[#This Row],[miesiac]],1,0)</f>
        <v>0</v>
      </c>
      <c r="F1508">
        <f>IF(AND(H1507&lt;5000,cukier11[[#This Row],[czy_nastapiła_zmiana_mies]]=1),ROUNDUP((5000-H1507)/1000,0),0)</f>
        <v>0</v>
      </c>
      <c r="G1508">
        <f t="shared" si="23"/>
        <v>3614</v>
      </c>
      <c r="H1508">
        <f>cukier11[[#This Row],[stan_magazynu]]-cukier11[[#This Row],[sprzedany_cukier]]</f>
        <v>3557</v>
      </c>
      <c r="I1508" s="9">
        <f>cukier11[[#This Row],[stan_po_sprzedazy]]+cukier11[[#This Row],[ile_dokupic]]*1000</f>
        <v>3557</v>
      </c>
    </row>
    <row r="1509" spans="1:9" x14ac:dyDescent="0.25">
      <c r="A1509" s="1">
        <v>40906</v>
      </c>
      <c r="B1509" t="s">
        <v>92</v>
      </c>
      <c r="C1509">
        <v>16</v>
      </c>
      <c r="D1509">
        <f>MONTH(cukier11[[#This Row],[data]])</f>
        <v>12</v>
      </c>
      <c r="E1509">
        <f>IF(D1510&lt;&gt;cukier11[[#This Row],[miesiac]],1,0)</f>
        <v>0</v>
      </c>
      <c r="F1509">
        <f>IF(AND(H1508&lt;5000,cukier11[[#This Row],[czy_nastapiła_zmiana_mies]]=1),ROUNDUP((5000-H1508)/1000,0),0)</f>
        <v>0</v>
      </c>
      <c r="G1509">
        <f t="shared" si="23"/>
        <v>3557</v>
      </c>
      <c r="H1509">
        <f>cukier11[[#This Row],[stan_magazynu]]-cukier11[[#This Row],[sprzedany_cukier]]</f>
        <v>3541</v>
      </c>
      <c r="I1509" s="9">
        <f>cukier11[[#This Row],[stan_po_sprzedazy]]+cukier11[[#This Row],[ile_dokupic]]*1000</f>
        <v>3541</v>
      </c>
    </row>
    <row r="1510" spans="1:9" x14ac:dyDescent="0.25">
      <c r="A1510" s="1">
        <v>40907</v>
      </c>
      <c r="B1510" t="s">
        <v>63</v>
      </c>
      <c r="C1510">
        <v>89</v>
      </c>
      <c r="D1510">
        <f>MONTH(cukier11[[#This Row],[data]])</f>
        <v>12</v>
      </c>
      <c r="E1510">
        <f>IF(D1511&lt;&gt;cukier11[[#This Row],[miesiac]],1,0)</f>
        <v>1</v>
      </c>
      <c r="F1510">
        <f>IF(AND(H1509&lt;5000,cukier11[[#This Row],[czy_nastapiła_zmiana_mies]]=1),ROUNDUP((5000-H1509)/1000,0),0)</f>
        <v>2</v>
      </c>
      <c r="G1510">
        <f t="shared" si="23"/>
        <v>3541</v>
      </c>
      <c r="H1510">
        <f>cukier11[[#This Row],[stan_magazynu]]-cukier11[[#This Row],[sprzedany_cukier]]</f>
        <v>3452</v>
      </c>
      <c r="I1510" s="9">
        <f>cukier11[[#This Row],[stan_po_sprzedazy]]+cukier11[[#This Row],[ile_dokupic]]*1000</f>
        <v>5452</v>
      </c>
    </row>
    <row r="1511" spans="1:9" x14ac:dyDescent="0.25">
      <c r="A1511" s="1">
        <v>40912</v>
      </c>
      <c r="B1511" t="s">
        <v>66</v>
      </c>
      <c r="C1511">
        <v>74</v>
      </c>
      <c r="D1511">
        <f>MONTH(cukier11[[#This Row],[data]])</f>
        <v>1</v>
      </c>
      <c r="E1511">
        <f>IF(D1512&lt;&gt;cukier11[[#This Row],[miesiac]],1,0)</f>
        <v>0</v>
      </c>
      <c r="F1511">
        <f>IF(AND(H1510&lt;5000,cukier11[[#This Row],[czy_nastapiła_zmiana_mies]]=1),ROUNDUP((5000-H1510)/1000,0),0)</f>
        <v>0</v>
      </c>
      <c r="G1511">
        <f t="shared" si="23"/>
        <v>5452</v>
      </c>
      <c r="H1511">
        <f>cukier11[[#This Row],[stan_magazynu]]-cukier11[[#This Row],[sprzedany_cukier]]</f>
        <v>5378</v>
      </c>
      <c r="I1511" s="9">
        <f>cukier11[[#This Row],[stan_po_sprzedazy]]+cukier11[[#This Row],[ile_dokupic]]*1000</f>
        <v>5378</v>
      </c>
    </row>
    <row r="1512" spans="1:9" x14ac:dyDescent="0.25">
      <c r="A1512" s="1">
        <v>40913</v>
      </c>
      <c r="B1512" t="s">
        <v>9</v>
      </c>
      <c r="C1512">
        <v>243</v>
      </c>
      <c r="D1512">
        <f>MONTH(cukier11[[#This Row],[data]])</f>
        <v>1</v>
      </c>
      <c r="E1512">
        <f>IF(D1513&lt;&gt;cukier11[[#This Row],[miesiac]],1,0)</f>
        <v>0</v>
      </c>
      <c r="F1512">
        <f>IF(AND(H1511&lt;5000,cukier11[[#This Row],[czy_nastapiła_zmiana_mies]]=1),ROUNDUP((5000-H1511)/1000,0),0)</f>
        <v>0</v>
      </c>
      <c r="G1512">
        <f t="shared" si="23"/>
        <v>5378</v>
      </c>
      <c r="H1512">
        <f>cukier11[[#This Row],[stan_magazynu]]-cukier11[[#This Row],[sprzedany_cukier]]</f>
        <v>5135</v>
      </c>
      <c r="I1512" s="9">
        <f>cukier11[[#This Row],[stan_po_sprzedazy]]+cukier11[[#This Row],[ile_dokupic]]*1000</f>
        <v>5135</v>
      </c>
    </row>
    <row r="1513" spans="1:9" x14ac:dyDescent="0.25">
      <c r="A1513" s="1">
        <v>40915</v>
      </c>
      <c r="B1513" t="s">
        <v>22</v>
      </c>
      <c r="C1513">
        <v>460</v>
      </c>
      <c r="D1513">
        <f>MONTH(cukier11[[#This Row],[data]])</f>
        <v>1</v>
      </c>
      <c r="E1513">
        <f>IF(D1514&lt;&gt;cukier11[[#This Row],[miesiac]],1,0)</f>
        <v>0</v>
      </c>
      <c r="F1513">
        <f>IF(AND(H1512&lt;5000,cukier11[[#This Row],[czy_nastapiła_zmiana_mies]]=1),ROUNDUP((5000-H1512)/1000,0),0)</f>
        <v>0</v>
      </c>
      <c r="G1513">
        <f t="shared" si="23"/>
        <v>5135</v>
      </c>
      <c r="H1513">
        <f>cukier11[[#This Row],[stan_magazynu]]-cukier11[[#This Row],[sprzedany_cukier]]</f>
        <v>4675</v>
      </c>
      <c r="I1513" s="9">
        <f>cukier11[[#This Row],[stan_po_sprzedazy]]+cukier11[[#This Row],[ile_dokupic]]*1000</f>
        <v>4675</v>
      </c>
    </row>
    <row r="1514" spans="1:9" x14ac:dyDescent="0.25">
      <c r="A1514" s="1">
        <v>40915</v>
      </c>
      <c r="B1514" t="s">
        <v>227</v>
      </c>
      <c r="C1514">
        <v>20</v>
      </c>
      <c r="D1514">
        <f>MONTH(cukier11[[#This Row],[data]])</f>
        <v>1</v>
      </c>
      <c r="E1514">
        <f>IF(D1515&lt;&gt;cukier11[[#This Row],[miesiac]],1,0)</f>
        <v>0</v>
      </c>
      <c r="F1514">
        <f>IF(AND(H1513&lt;5000,cukier11[[#This Row],[czy_nastapiła_zmiana_mies]]=1),ROUNDUP((5000-H1513)/1000,0),0)</f>
        <v>0</v>
      </c>
      <c r="G1514">
        <f t="shared" si="23"/>
        <v>4675</v>
      </c>
      <c r="H1514">
        <f>cukier11[[#This Row],[stan_magazynu]]-cukier11[[#This Row],[sprzedany_cukier]]</f>
        <v>4655</v>
      </c>
      <c r="I1514" s="9">
        <f>cukier11[[#This Row],[stan_po_sprzedazy]]+cukier11[[#This Row],[ile_dokupic]]*1000</f>
        <v>4655</v>
      </c>
    </row>
    <row r="1515" spans="1:9" x14ac:dyDescent="0.25">
      <c r="A1515" s="1">
        <v>40917</v>
      </c>
      <c r="B1515" t="s">
        <v>22</v>
      </c>
      <c r="C1515">
        <v>250</v>
      </c>
      <c r="D1515">
        <f>MONTH(cukier11[[#This Row],[data]])</f>
        <v>1</v>
      </c>
      <c r="E1515">
        <f>IF(D1516&lt;&gt;cukier11[[#This Row],[miesiac]],1,0)</f>
        <v>0</v>
      </c>
      <c r="F1515">
        <f>IF(AND(H1514&lt;5000,cukier11[[#This Row],[czy_nastapiła_zmiana_mies]]=1),ROUNDUP((5000-H1514)/1000,0),0)</f>
        <v>0</v>
      </c>
      <c r="G1515">
        <f t="shared" si="23"/>
        <v>4655</v>
      </c>
      <c r="H1515">
        <f>cukier11[[#This Row],[stan_magazynu]]-cukier11[[#This Row],[sprzedany_cukier]]</f>
        <v>4405</v>
      </c>
      <c r="I1515" s="9">
        <f>cukier11[[#This Row],[stan_po_sprzedazy]]+cukier11[[#This Row],[ile_dokupic]]*1000</f>
        <v>4405</v>
      </c>
    </row>
    <row r="1516" spans="1:9" x14ac:dyDescent="0.25">
      <c r="A1516" s="1">
        <v>40923</v>
      </c>
      <c r="B1516" t="s">
        <v>10</v>
      </c>
      <c r="C1516">
        <v>78</v>
      </c>
      <c r="D1516">
        <f>MONTH(cukier11[[#This Row],[data]])</f>
        <v>1</v>
      </c>
      <c r="E1516">
        <f>IF(D1517&lt;&gt;cukier11[[#This Row],[miesiac]],1,0)</f>
        <v>0</v>
      </c>
      <c r="F1516">
        <f>IF(AND(H1515&lt;5000,cukier11[[#This Row],[czy_nastapiła_zmiana_mies]]=1),ROUNDUP((5000-H1515)/1000,0),0)</f>
        <v>0</v>
      </c>
      <c r="G1516">
        <f t="shared" si="23"/>
        <v>4405</v>
      </c>
      <c r="H1516">
        <f>cukier11[[#This Row],[stan_magazynu]]-cukier11[[#This Row],[sprzedany_cukier]]</f>
        <v>4327</v>
      </c>
      <c r="I1516" s="9">
        <f>cukier11[[#This Row],[stan_po_sprzedazy]]+cukier11[[#This Row],[ile_dokupic]]*1000</f>
        <v>4327</v>
      </c>
    </row>
    <row r="1517" spans="1:9" x14ac:dyDescent="0.25">
      <c r="A1517" s="1">
        <v>40925</v>
      </c>
      <c r="B1517" t="s">
        <v>8</v>
      </c>
      <c r="C1517">
        <v>170</v>
      </c>
      <c r="D1517">
        <f>MONTH(cukier11[[#This Row],[data]])</f>
        <v>1</v>
      </c>
      <c r="E1517">
        <f>IF(D1518&lt;&gt;cukier11[[#This Row],[miesiac]],1,0)</f>
        <v>0</v>
      </c>
      <c r="F1517">
        <f>IF(AND(H1516&lt;5000,cukier11[[#This Row],[czy_nastapiła_zmiana_mies]]=1),ROUNDUP((5000-H1516)/1000,0),0)</f>
        <v>0</v>
      </c>
      <c r="G1517">
        <f t="shared" si="23"/>
        <v>4327</v>
      </c>
      <c r="H1517">
        <f>cukier11[[#This Row],[stan_magazynu]]-cukier11[[#This Row],[sprzedany_cukier]]</f>
        <v>4157</v>
      </c>
      <c r="I1517" s="9">
        <f>cukier11[[#This Row],[stan_po_sprzedazy]]+cukier11[[#This Row],[ile_dokupic]]*1000</f>
        <v>4157</v>
      </c>
    </row>
    <row r="1518" spans="1:9" x14ac:dyDescent="0.25">
      <c r="A1518" s="1">
        <v>40927</v>
      </c>
      <c r="B1518" t="s">
        <v>52</v>
      </c>
      <c r="C1518">
        <v>128</v>
      </c>
      <c r="D1518">
        <f>MONTH(cukier11[[#This Row],[data]])</f>
        <v>1</v>
      </c>
      <c r="E1518">
        <f>IF(D1519&lt;&gt;cukier11[[#This Row],[miesiac]],1,0)</f>
        <v>0</v>
      </c>
      <c r="F1518">
        <f>IF(AND(H1517&lt;5000,cukier11[[#This Row],[czy_nastapiła_zmiana_mies]]=1),ROUNDUP((5000-H1517)/1000,0),0)</f>
        <v>0</v>
      </c>
      <c r="G1518">
        <f t="shared" si="23"/>
        <v>4157</v>
      </c>
      <c r="H1518">
        <f>cukier11[[#This Row],[stan_magazynu]]-cukier11[[#This Row],[sprzedany_cukier]]</f>
        <v>4029</v>
      </c>
      <c r="I1518" s="9">
        <f>cukier11[[#This Row],[stan_po_sprzedazy]]+cukier11[[#This Row],[ile_dokupic]]*1000</f>
        <v>4029</v>
      </c>
    </row>
    <row r="1519" spans="1:9" x14ac:dyDescent="0.25">
      <c r="A1519" s="1">
        <v>40927</v>
      </c>
      <c r="B1519" t="s">
        <v>61</v>
      </c>
      <c r="C1519">
        <v>53</v>
      </c>
      <c r="D1519">
        <f>MONTH(cukier11[[#This Row],[data]])</f>
        <v>1</v>
      </c>
      <c r="E1519">
        <f>IF(D1520&lt;&gt;cukier11[[#This Row],[miesiac]],1,0)</f>
        <v>0</v>
      </c>
      <c r="F1519">
        <f>IF(AND(H1518&lt;5000,cukier11[[#This Row],[czy_nastapiła_zmiana_mies]]=1),ROUNDUP((5000-H1518)/1000,0),0)</f>
        <v>0</v>
      </c>
      <c r="G1519">
        <f t="shared" si="23"/>
        <v>4029</v>
      </c>
      <c r="H1519">
        <f>cukier11[[#This Row],[stan_magazynu]]-cukier11[[#This Row],[sprzedany_cukier]]</f>
        <v>3976</v>
      </c>
      <c r="I1519" s="9">
        <f>cukier11[[#This Row],[stan_po_sprzedazy]]+cukier11[[#This Row],[ile_dokupic]]*1000</f>
        <v>3976</v>
      </c>
    </row>
    <row r="1520" spans="1:9" x14ac:dyDescent="0.25">
      <c r="A1520" s="1">
        <v>40928</v>
      </c>
      <c r="B1520" t="s">
        <v>14</v>
      </c>
      <c r="C1520">
        <v>223</v>
      </c>
      <c r="D1520">
        <f>MONTH(cukier11[[#This Row],[data]])</f>
        <v>1</v>
      </c>
      <c r="E1520">
        <f>IF(D1521&lt;&gt;cukier11[[#This Row],[miesiac]],1,0)</f>
        <v>0</v>
      </c>
      <c r="F1520">
        <f>IF(AND(H1519&lt;5000,cukier11[[#This Row],[czy_nastapiła_zmiana_mies]]=1),ROUNDUP((5000-H1519)/1000,0),0)</f>
        <v>0</v>
      </c>
      <c r="G1520">
        <f t="shared" si="23"/>
        <v>3976</v>
      </c>
      <c r="H1520">
        <f>cukier11[[#This Row],[stan_magazynu]]-cukier11[[#This Row],[sprzedany_cukier]]</f>
        <v>3753</v>
      </c>
      <c r="I1520" s="9">
        <f>cukier11[[#This Row],[stan_po_sprzedazy]]+cukier11[[#This Row],[ile_dokupic]]*1000</f>
        <v>3753</v>
      </c>
    </row>
    <row r="1521" spans="1:9" x14ac:dyDescent="0.25">
      <c r="A1521" s="1">
        <v>40933</v>
      </c>
      <c r="B1521" t="s">
        <v>52</v>
      </c>
      <c r="C1521">
        <v>47</v>
      </c>
      <c r="D1521">
        <f>MONTH(cukier11[[#This Row],[data]])</f>
        <v>1</v>
      </c>
      <c r="E1521">
        <f>IF(D1522&lt;&gt;cukier11[[#This Row],[miesiac]],1,0)</f>
        <v>0</v>
      </c>
      <c r="F1521">
        <f>IF(AND(H1520&lt;5000,cukier11[[#This Row],[czy_nastapiła_zmiana_mies]]=1),ROUNDUP((5000-H1520)/1000,0),0)</f>
        <v>0</v>
      </c>
      <c r="G1521">
        <f t="shared" si="23"/>
        <v>3753</v>
      </c>
      <c r="H1521">
        <f>cukier11[[#This Row],[stan_magazynu]]-cukier11[[#This Row],[sprzedany_cukier]]</f>
        <v>3706</v>
      </c>
      <c r="I1521" s="9">
        <f>cukier11[[#This Row],[stan_po_sprzedazy]]+cukier11[[#This Row],[ile_dokupic]]*1000</f>
        <v>3706</v>
      </c>
    </row>
    <row r="1522" spans="1:9" x14ac:dyDescent="0.25">
      <c r="A1522" s="1">
        <v>40933</v>
      </c>
      <c r="B1522" t="s">
        <v>37</v>
      </c>
      <c r="C1522">
        <v>112</v>
      </c>
      <c r="D1522">
        <f>MONTH(cukier11[[#This Row],[data]])</f>
        <v>1</v>
      </c>
      <c r="E1522">
        <f>IF(D1523&lt;&gt;cukier11[[#This Row],[miesiac]],1,0)</f>
        <v>0</v>
      </c>
      <c r="F1522">
        <f>IF(AND(H1521&lt;5000,cukier11[[#This Row],[czy_nastapiła_zmiana_mies]]=1),ROUNDUP((5000-H1521)/1000,0),0)</f>
        <v>0</v>
      </c>
      <c r="G1522">
        <f t="shared" si="23"/>
        <v>3706</v>
      </c>
      <c r="H1522">
        <f>cukier11[[#This Row],[stan_magazynu]]-cukier11[[#This Row],[sprzedany_cukier]]</f>
        <v>3594</v>
      </c>
      <c r="I1522" s="9">
        <f>cukier11[[#This Row],[stan_po_sprzedazy]]+cukier11[[#This Row],[ile_dokupic]]*1000</f>
        <v>3594</v>
      </c>
    </row>
    <row r="1523" spans="1:9" x14ac:dyDescent="0.25">
      <c r="A1523" s="1">
        <v>40935</v>
      </c>
      <c r="B1523" t="s">
        <v>50</v>
      </c>
      <c r="C1523">
        <v>201</v>
      </c>
      <c r="D1523">
        <f>MONTH(cukier11[[#This Row],[data]])</f>
        <v>1</v>
      </c>
      <c r="E1523">
        <f>IF(D1524&lt;&gt;cukier11[[#This Row],[miesiac]],1,0)</f>
        <v>0</v>
      </c>
      <c r="F1523">
        <f>IF(AND(H1522&lt;5000,cukier11[[#This Row],[czy_nastapiła_zmiana_mies]]=1),ROUNDUP((5000-H1522)/1000,0),0)</f>
        <v>0</v>
      </c>
      <c r="G1523">
        <f t="shared" si="23"/>
        <v>3594</v>
      </c>
      <c r="H1523">
        <f>cukier11[[#This Row],[stan_magazynu]]-cukier11[[#This Row],[sprzedany_cukier]]</f>
        <v>3393</v>
      </c>
      <c r="I1523" s="9">
        <f>cukier11[[#This Row],[stan_po_sprzedazy]]+cukier11[[#This Row],[ile_dokupic]]*1000</f>
        <v>3393</v>
      </c>
    </row>
    <row r="1524" spans="1:9" x14ac:dyDescent="0.25">
      <c r="A1524" s="1">
        <v>40936</v>
      </c>
      <c r="B1524" t="s">
        <v>25</v>
      </c>
      <c r="C1524">
        <v>121</v>
      </c>
      <c r="D1524">
        <f>MONTH(cukier11[[#This Row],[data]])</f>
        <v>1</v>
      </c>
      <c r="E1524">
        <f>IF(D1525&lt;&gt;cukier11[[#This Row],[miesiac]],1,0)</f>
        <v>0</v>
      </c>
      <c r="F1524">
        <f>IF(AND(H1523&lt;5000,cukier11[[#This Row],[czy_nastapiła_zmiana_mies]]=1),ROUNDUP((5000-H1523)/1000,0),0)</f>
        <v>0</v>
      </c>
      <c r="G1524">
        <f t="shared" si="23"/>
        <v>3393</v>
      </c>
      <c r="H1524">
        <f>cukier11[[#This Row],[stan_magazynu]]-cukier11[[#This Row],[sprzedany_cukier]]</f>
        <v>3272</v>
      </c>
      <c r="I1524" s="9">
        <f>cukier11[[#This Row],[stan_po_sprzedazy]]+cukier11[[#This Row],[ile_dokupic]]*1000</f>
        <v>3272</v>
      </c>
    </row>
    <row r="1525" spans="1:9" x14ac:dyDescent="0.25">
      <c r="A1525" s="1">
        <v>40939</v>
      </c>
      <c r="B1525" t="s">
        <v>7</v>
      </c>
      <c r="C1525">
        <v>462</v>
      </c>
      <c r="D1525">
        <f>MONTH(cukier11[[#This Row],[data]])</f>
        <v>1</v>
      </c>
      <c r="E1525">
        <f>IF(D1526&lt;&gt;cukier11[[#This Row],[miesiac]],1,0)</f>
        <v>1</v>
      </c>
      <c r="F1525">
        <f>IF(AND(H1524&lt;5000,cukier11[[#This Row],[czy_nastapiła_zmiana_mies]]=1),ROUNDUP((5000-H1524)/1000,0),0)</f>
        <v>2</v>
      </c>
      <c r="G1525">
        <f t="shared" si="23"/>
        <v>3272</v>
      </c>
      <c r="H1525">
        <f>cukier11[[#This Row],[stan_magazynu]]-cukier11[[#This Row],[sprzedany_cukier]]</f>
        <v>2810</v>
      </c>
      <c r="I1525" s="9">
        <f>cukier11[[#This Row],[stan_po_sprzedazy]]+cukier11[[#This Row],[ile_dokupic]]*1000</f>
        <v>4810</v>
      </c>
    </row>
    <row r="1526" spans="1:9" x14ac:dyDescent="0.25">
      <c r="A1526" s="1">
        <v>40941</v>
      </c>
      <c r="B1526" t="s">
        <v>22</v>
      </c>
      <c r="C1526">
        <v>333</v>
      </c>
      <c r="D1526">
        <f>MONTH(cukier11[[#This Row],[data]])</f>
        <v>2</v>
      </c>
      <c r="E1526">
        <f>IF(D1527&lt;&gt;cukier11[[#This Row],[miesiac]],1,0)</f>
        <v>0</v>
      </c>
      <c r="F1526">
        <f>IF(AND(H1525&lt;5000,cukier11[[#This Row],[czy_nastapiła_zmiana_mies]]=1),ROUNDUP((5000-H1525)/1000,0),0)</f>
        <v>0</v>
      </c>
      <c r="G1526">
        <f t="shared" si="23"/>
        <v>4810</v>
      </c>
      <c r="H1526">
        <f>cukier11[[#This Row],[stan_magazynu]]-cukier11[[#This Row],[sprzedany_cukier]]</f>
        <v>4477</v>
      </c>
      <c r="I1526" s="9">
        <f>cukier11[[#This Row],[stan_po_sprzedazy]]+cukier11[[#This Row],[ile_dokupic]]*1000</f>
        <v>4477</v>
      </c>
    </row>
    <row r="1527" spans="1:9" x14ac:dyDescent="0.25">
      <c r="A1527" s="1">
        <v>40943</v>
      </c>
      <c r="B1527" t="s">
        <v>108</v>
      </c>
      <c r="C1527">
        <v>9</v>
      </c>
      <c r="D1527">
        <f>MONTH(cukier11[[#This Row],[data]])</f>
        <v>2</v>
      </c>
      <c r="E1527">
        <f>IF(D1528&lt;&gt;cukier11[[#This Row],[miesiac]],1,0)</f>
        <v>0</v>
      </c>
      <c r="F1527">
        <f>IF(AND(H1526&lt;5000,cukier11[[#This Row],[czy_nastapiła_zmiana_mies]]=1),ROUNDUP((5000-H1526)/1000,0),0)</f>
        <v>0</v>
      </c>
      <c r="G1527">
        <f t="shared" si="23"/>
        <v>4477</v>
      </c>
      <c r="H1527">
        <f>cukier11[[#This Row],[stan_magazynu]]-cukier11[[#This Row],[sprzedany_cukier]]</f>
        <v>4468</v>
      </c>
      <c r="I1527" s="9">
        <f>cukier11[[#This Row],[stan_po_sprzedazy]]+cukier11[[#This Row],[ile_dokupic]]*1000</f>
        <v>4468</v>
      </c>
    </row>
    <row r="1528" spans="1:9" x14ac:dyDescent="0.25">
      <c r="A1528" s="1">
        <v>40945</v>
      </c>
      <c r="B1528" t="s">
        <v>25</v>
      </c>
      <c r="C1528">
        <v>104</v>
      </c>
      <c r="D1528">
        <f>MONTH(cukier11[[#This Row],[data]])</f>
        <v>2</v>
      </c>
      <c r="E1528">
        <f>IF(D1529&lt;&gt;cukier11[[#This Row],[miesiac]],1,0)</f>
        <v>0</v>
      </c>
      <c r="F1528">
        <f>IF(AND(H1527&lt;5000,cukier11[[#This Row],[czy_nastapiła_zmiana_mies]]=1),ROUNDUP((5000-H1527)/1000,0),0)</f>
        <v>0</v>
      </c>
      <c r="G1528">
        <f t="shared" si="23"/>
        <v>4468</v>
      </c>
      <c r="H1528">
        <f>cukier11[[#This Row],[stan_magazynu]]-cukier11[[#This Row],[sprzedany_cukier]]</f>
        <v>4364</v>
      </c>
      <c r="I1528" s="9">
        <f>cukier11[[#This Row],[stan_po_sprzedazy]]+cukier11[[#This Row],[ile_dokupic]]*1000</f>
        <v>4364</v>
      </c>
    </row>
    <row r="1529" spans="1:9" x14ac:dyDescent="0.25">
      <c r="A1529" s="1">
        <v>40945</v>
      </c>
      <c r="B1529" t="s">
        <v>173</v>
      </c>
      <c r="C1529">
        <v>104</v>
      </c>
      <c r="D1529">
        <f>MONTH(cukier11[[#This Row],[data]])</f>
        <v>2</v>
      </c>
      <c r="E1529">
        <f>IF(D1530&lt;&gt;cukier11[[#This Row],[miesiac]],1,0)</f>
        <v>0</v>
      </c>
      <c r="F1529">
        <f>IF(AND(H1528&lt;5000,cukier11[[#This Row],[czy_nastapiła_zmiana_mies]]=1),ROUNDUP((5000-H1528)/1000,0),0)</f>
        <v>0</v>
      </c>
      <c r="G1529">
        <f t="shared" si="23"/>
        <v>4364</v>
      </c>
      <c r="H1529">
        <f>cukier11[[#This Row],[stan_magazynu]]-cukier11[[#This Row],[sprzedany_cukier]]</f>
        <v>4260</v>
      </c>
      <c r="I1529" s="9">
        <f>cukier11[[#This Row],[stan_po_sprzedazy]]+cukier11[[#This Row],[ile_dokupic]]*1000</f>
        <v>4260</v>
      </c>
    </row>
    <row r="1530" spans="1:9" x14ac:dyDescent="0.25">
      <c r="A1530" s="1">
        <v>40947</v>
      </c>
      <c r="B1530" t="s">
        <v>18</v>
      </c>
      <c r="C1530">
        <v>78</v>
      </c>
      <c r="D1530">
        <f>MONTH(cukier11[[#This Row],[data]])</f>
        <v>2</v>
      </c>
      <c r="E1530">
        <f>IF(D1531&lt;&gt;cukier11[[#This Row],[miesiac]],1,0)</f>
        <v>0</v>
      </c>
      <c r="F1530">
        <f>IF(AND(H1529&lt;5000,cukier11[[#This Row],[czy_nastapiła_zmiana_mies]]=1),ROUNDUP((5000-H1529)/1000,0),0)</f>
        <v>0</v>
      </c>
      <c r="G1530">
        <f t="shared" si="23"/>
        <v>4260</v>
      </c>
      <c r="H1530">
        <f>cukier11[[#This Row],[stan_magazynu]]-cukier11[[#This Row],[sprzedany_cukier]]</f>
        <v>4182</v>
      </c>
      <c r="I1530" s="9">
        <f>cukier11[[#This Row],[stan_po_sprzedazy]]+cukier11[[#This Row],[ile_dokupic]]*1000</f>
        <v>4182</v>
      </c>
    </row>
    <row r="1531" spans="1:9" x14ac:dyDescent="0.25">
      <c r="A1531" s="1">
        <v>40950</v>
      </c>
      <c r="B1531" t="s">
        <v>30</v>
      </c>
      <c r="C1531">
        <v>53</v>
      </c>
      <c r="D1531">
        <f>MONTH(cukier11[[#This Row],[data]])</f>
        <v>2</v>
      </c>
      <c r="E1531">
        <f>IF(D1532&lt;&gt;cukier11[[#This Row],[miesiac]],1,0)</f>
        <v>0</v>
      </c>
      <c r="F1531">
        <f>IF(AND(H1530&lt;5000,cukier11[[#This Row],[czy_nastapiła_zmiana_mies]]=1),ROUNDUP((5000-H1530)/1000,0),0)</f>
        <v>0</v>
      </c>
      <c r="G1531">
        <f t="shared" si="23"/>
        <v>4182</v>
      </c>
      <c r="H1531">
        <f>cukier11[[#This Row],[stan_magazynu]]-cukier11[[#This Row],[sprzedany_cukier]]</f>
        <v>4129</v>
      </c>
      <c r="I1531" s="9">
        <f>cukier11[[#This Row],[stan_po_sprzedazy]]+cukier11[[#This Row],[ile_dokupic]]*1000</f>
        <v>4129</v>
      </c>
    </row>
    <row r="1532" spans="1:9" x14ac:dyDescent="0.25">
      <c r="A1532" s="1">
        <v>40951</v>
      </c>
      <c r="B1532" t="s">
        <v>45</v>
      </c>
      <c r="C1532">
        <v>305</v>
      </c>
      <c r="D1532">
        <f>MONTH(cukier11[[#This Row],[data]])</f>
        <v>2</v>
      </c>
      <c r="E1532">
        <f>IF(D1533&lt;&gt;cukier11[[#This Row],[miesiac]],1,0)</f>
        <v>0</v>
      </c>
      <c r="F1532">
        <f>IF(AND(H1531&lt;5000,cukier11[[#This Row],[czy_nastapiła_zmiana_mies]]=1),ROUNDUP((5000-H1531)/1000,0),0)</f>
        <v>0</v>
      </c>
      <c r="G1532">
        <f t="shared" si="23"/>
        <v>4129</v>
      </c>
      <c r="H1532">
        <f>cukier11[[#This Row],[stan_magazynu]]-cukier11[[#This Row],[sprzedany_cukier]]</f>
        <v>3824</v>
      </c>
      <c r="I1532" s="9">
        <f>cukier11[[#This Row],[stan_po_sprzedazy]]+cukier11[[#This Row],[ile_dokupic]]*1000</f>
        <v>3824</v>
      </c>
    </row>
    <row r="1533" spans="1:9" x14ac:dyDescent="0.25">
      <c r="A1533" s="1">
        <v>40953</v>
      </c>
      <c r="B1533" t="s">
        <v>9</v>
      </c>
      <c r="C1533">
        <v>363</v>
      </c>
      <c r="D1533">
        <f>MONTH(cukier11[[#This Row],[data]])</f>
        <v>2</v>
      </c>
      <c r="E1533">
        <f>IF(D1534&lt;&gt;cukier11[[#This Row],[miesiac]],1,0)</f>
        <v>0</v>
      </c>
      <c r="F1533">
        <f>IF(AND(H1532&lt;5000,cukier11[[#This Row],[czy_nastapiła_zmiana_mies]]=1),ROUNDUP((5000-H1532)/1000,0),0)</f>
        <v>0</v>
      </c>
      <c r="G1533">
        <f t="shared" si="23"/>
        <v>3824</v>
      </c>
      <c r="H1533">
        <f>cukier11[[#This Row],[stan_magazynu]]-cukier11[[#This Row],[sprzedany_cukier]]</f>
        <v>3461</v>
      </c>
      <c r="I1533" s="9">
        <f>cukier11[[#This Row],[stan_po_sprzedazy]]+cukier11[[#This Row],[ile_dokupic]]*1000</f>
        <v>3461</v>
      </c>
    </row>
    <row r="1534" spans="1:9" x14ac:dyDescent="0.25">
      <c r="A1534" s="1">
        <v>40955</v>
      </c>
      <c r="B1534" t="s">
        <v>228</v>
      </c>
      <c r="C1534">
        <v>19</v>
      </c>
      <c r="D1534">
        <f>MONTH(cukier11[[#This Row],[data]])</f>
        <v>2</v>
      </c>
      <c r="E1534">
        <f>IF(D1535&lt;&gt;cukier11[[#This Row],[miesiac]],1,0)</f>
        <v>0</v>
      </c>
      <c r="F1534">
        <f>IF(AND(H1533&lt;5000,cukier11[[#This Row],[czy_nastapiła_zmiana_mies]]=1),ROUNDUP((5000-H1533)/1000,0),0)</f>
        <v>0</v>
      </c>
      <c r="G1534">
        <f t="shared" si="23"/>
        <v>3461</v>
      </c>
      <c r="H1534">
        <f>cukier11[[#This Row],[stan_magazynu]]-cukier11[[#This Row],[sprzedany_cukier]]</f>
        <v>3442</v>
      </c>
      <c r="I1534" s="9">
        <f>cukier11[[#This Row],[stan_po_sprzedazy]]+cukier11[[#This Row],[ile_dokupic]]*1000</f>
        <v>3442</v>
      </c>
    </row>
    <row r="1535" spans="1:9" x14ac:dyDescent="0.25">
      <c r="A1535" s="1">
        <v>40955</v>
      </c>
      <c r="B1535" t="s">
        <v>102</v>
      </c>
      <c r="C1535">
        <v>248</v>
      </c>
      <c r="D1535">
        <f>MONTH(cukier11[[#This Row],[data]])</f>
        <v>2</v>
      </c>
      <c r="E1535">
        <f>IF(D1536&lt;&gt;cukier11[[#This Row],[miesiac]],1,0)</f>
        <v>0</v>
      </c>
      <c r="F1535">
        <f>IF(AND(H1534&lt;5000,cukier11[[#This Row],[czy_nastapiła_zmiana_mies]]=1),ROUNDUP((5000-H1534)/1000,0),0)</f>
        <v>0</v>
      </c>
      <c r="G1535">
        <f t="shared" si="23"/>
        <v>3442</v>
      </c>
      <c r="H1535">
        <f>cukier11[[#This Row],[stan_magazynu]]-cukier11[[#This Row],[sprzedany_cukier]]</f>
        <v>3194</v>
      </c>
      <c r="I1535" s="9">
        <f>cukier11[[#This Row],[stan_po_sprzedazy]]+cukier11[[#This Row],[ile_dokupic]]*1000</f>
        <v>3194</v>
      </c>
    </row>
    <row r="1536" spans="1:9" x14ac:dyDescent="0.25">
      <c r="A1536" s="1">
        <v>40955</v>
      </c>
      <c r="B1536" t="s">
        <v>19</v>
      </c>
      <c r="C1536">
        <v>64</v>
      </c>
      <c r="D1536">
        <f>MONTH(cukier11[[#This Row],[data]])</f>
        <v>2</v>
      </c>
      <c r="E1536">
        <f>IF(D1537&lt;&gt;cukier11[[#This Row],[miesiac]],1,0)</f>
        <v>0</v>
      </c>
      <c r="F1536">
        <f>IF(AND(H1535&lt;5000,cukier11[[#This Row],[czy_nastapiła_zmiana_mies]]=1),ROUNDUP((5000-H1535)/1000,0),0)</f>
        <v>0</v>
      </c>
      <c r="G1536">
        <f t="shared" si="23"/>
        <v>3194</v>
      </c>
      <c r="H1536">
        <f>cukier11[[#This Row],[stan_magazynu]]-cukier11[[#This Row],[sprzedany_cukier]]</f>
        <v>3130</v>
      </c>
      <c r="I1536" s="9">
        <f>cukier11[[#This Row],[stan_po_sprzedazy]]+cukier11[[#This Row],[ile_dokupic]]*1000</f>
        <v>3130</v>
      </c>
    </row>
    <row r="1537" spans="1:9" x14ac:dyDescent="0.25">
      <c r="A1537" s="1">
        <v>40956</v>
      </c>
      <c r="B1537" t="s">
        <v>50</v>
      </c>
      <c r="C1537">
        <v>288</v>
      </c>
      <c r="D1537">
        <f>MONTH(cukier11[[#This Row],[data]])</f>
        <v>2</v>
      </c>
      <c r="E1537">
        <f>IF(D1538&lt;&gt;cukier11[[#This Row],[miesiac]],1,0)</f>
        <v>0</v>
      </c>
      <c r="F1537">
        <f>IF(AND(H1536&lt;5000,cukier11[[#This Row],[czy_nastapiła_zmiana_mies]]=1),ROUNDUP((5000-H1536)/1000,0),0)</f>
        <v>0</v>
      </c>
      <c r="G1537">
        <f t="shared" si="23"/>
        <v>3130</v>
      </c>
      <c r="H1537">
        <f>cukier11[[#This Row],[stan_magazynu]]-cukier11[[#This Row],[sprzedany_cukier]]</f>
        <v>2842</v>
      </c>
      <c r="I1537" s="9">
        <f>cukier11[[#This Row],[stan_po_sprzedazy]]+cukier11[[#This Row],[ile_dokupic]]*1000</f>
        <v>2842</v>
      </c>
    </row>
    <row r="1538" spans="1:9" x14ac:dyDescent="0.25">
      <c r="A1538" s="1">
        <v>40957</v>
      </c>
      <c r="B1538" t="s">
        <v>144</v>
      </c>
      <c r="C1538">
        <v>18</v>
      </c>
      <c r="D1538">
        <f>MONTH(cukier11[[#This Row],[data]])</f>
        <v>2</v>
      </c>
      <c r="E1538">
        <f>IF(D1539&lt;&gt;cukier11[[#This Row],[miesiac]],1,0)</f>
        <v>0</v>
      </c>
      <c r="F1538">
        <f>IF(AND(H1537&lt;5000,cukier11[[#This Row],[czy_nastapiła_zmiana_mies]]=1),ROUNDUP((5000-H1537)/1000,0),0)</f>
        <v>0</v>
      </c>
      <c r="G1538">
        <f t="shared" si="23"/>
        <v>2842</v>
      </c>
      <c r="H1538">
        <f>cukier11[[#This Row],[stan_magazynu]]-cukier11[[#This Row],[sprzedany_cukier]]</f>
        <v>2824</v>
      </c>
      <c r="I1538" s="9">
        <f>cukier11[[#This Row],[stan_po_sprzedazy]]+cukier11[[#This Row],[ile_dokupic]]*1000</f>
        <v>2824</v>
      </c>
    </row>
    <row r="1539" spans="1:9" x14ac:dyDescent="0.25">
      <c r="A1539" s="1">
        <v>40959</v>
      </c>
      <c r="B1539" t="s">
        <v>31</v>
      </c>
      <c r="C1539">
        <v>54</v>
      </c>
      <c r="D1539">
        <f>MONTH(cukier11[[#This Row],[data]])</f>
        <v>2</v>
      </c>
      <c r="E1539">
        <f>IF(D1540&lt;&gt;cukier11[[#This Row],[miesiac]],1,0)</f>
        <v>0</v>
      </c>
      <c r="F1539">
        <f>IF(AND(H1538&lt;5000,cukier11[[#This Row],[czy_nastapiła_zmiana_mies]]=1),ROUNDUP((5000-H1538)/1000,0),0)</f>
        <v>0</v>
      </c>
      <c r="G1539">
        <f t="shared" si="23"/>
        <v>2824</v>
      </c>
      <c r="H1539">
        <f>cukier11[[#This Row],[stan_magazynu]]-cukier11[[#This Row],[sprzedany_cukier]]</f>
        <v>2770</v>
      </c>
      <c r="I1539" s="9">
        <f>cukier11[[#This Row],[stan_po_sprzedazy]]+cukier11[[#This Row],[ile_dokupic]]*1000</f>
        <v>2770</v>
      </c>
    </row>
    <row r="1540" spans="1:9" x14ac:dyDescent="0.25">
      <c r="A1540" s="1">
        <v>40959</v>
      </c>
      <c r="B1540" t="s">
        <v>201</v>
      </c>
      <c r="C1540">
        <v>3</v>
      </c>
      <c r="D1540">
        <f>MONTH(cukier11[[#This Row],[data]])</f>
        <v>2</v>
      </c>
      <c r="E1540">
        <f>IF(D1541&lt;&gt;cukier11[[#This Row],[miesiac]],1,0)</f>
        <v>0</v>
      </c>
      <c r="F1540">
        <f>IF(AND(H1539&lt;5000,cukier11[[#This Row],[czy_nastapiła_zmiana_mies]]=1),ROUNDUP((5000-H1539)/1000,0),0)</f>
        <v>0</v>
      </c>
      <c r="G1540">
        <f t="shared" ref="G1540:G1603" si="24">I1539</f>
        <v>2770</v>
      </c>
      <c r="H1540">
        <f>cukier11[[#This Row],[stan_magazynu]]-cukier11[[#This Row],[sprzedany_cukier]]</f>
        <v>2767</v>
      </c>
      <c r="I1540" s="9">
        <f>cukier11[[#This Row],[stan_po_sprzedazy]]+cukier11[[#This Row],[ile_dokupic]]*1000</f>
        <v>2767</v>
      </c>
    </row>
    <row r="1541" spans="1:9" x14ac:dyDescent="0.25">
      <c r="A1541" s="1">
        <v>40960</v>
      </c>
      <c r="B1541" t="s">
        <v>65</v>
      </c>
      <c r="C1541">
        <v>9</v>
      </c>
      <c r="D1541">
        <f>MONTH(cukier11[[#This Row],[data]])</f>
        <v>2</v>
      </c>
      <c r="E1541">
        <f>IF(D1542&lt;&gt;cukier11[[#This Row],[miesiac]],1,0)</f>
        <v>0</v>
      </c>
      <c r="F1541">
        <f>IF(AND(H1540&lt;5000,cukier11[[#This Row],[czy_nastapiła_zmiana_mies]]=1),ROUNDUP((5000-H1540)/1000,0),0)</f>
        <v>0</v>
      </c>
      <c r="G1541">
        <f t="shared" si="24"/>
        <v>2767</v>
      </c>
      <c r="H1541">
        <f>cukier11[[#This Row],[stan_magazynu]]-cukier11[[#This Row],[sprzedany_cukier]]</f>
        <v>2758</v>
      </c>
      <c r="I1541" s="9">
        <f>cukier11[[#This Row],[stan_po_sprzedazy]]+cukier11[[#This Row],[ile_dokupic]]*1000</f>
        <v>2758</v>
      </c>
    </row>
    <row r="1542" spans="1:9" x14ac:dyDescent="0.25">
      <c r="A1542" s="1">
        <v>40961</v>
      </c>
      <c r="B1542" t="s">
        <v>149</v>
      </c>
      <c r="C1542">
        <v>19</v>
      </c>
      <c r="D1542">
        <f>MONTH(cukier11[[#This Row],[data]])</f>
        <v>2</v>
      </c>
      <c r="E1542">
        <f>IF(D1543&lt;&gt;cukier11[[#This Row],[miesiac]],1,0)</f>
        <v>0</v>
      </c>
      <c r="F1542">
        <f>IF(AND(H1541&lt;5000,cukier11[[#This Row],[czy_nastapiła_zmiana_mies]]=1),ROUNDUP((5000-H1541)/1000,0),0)</f>
        <v>0</v>
      </c>
      <c r="G1542">
        <f t="shared" si="24"/>
        <v>2758</v>
      </c>
      <c r="H1542">
        <f>cukier11[[#This Row],[stan_magazynu]]-cukier11[[#This Row],[sprzedany_cukier]]</f>
        <v>2739</v>
      </c>
      <c r="I1542" s="9">
        <f>cukier11[[#This Row],[stan_po_sprzedazy]]+cukier11[[#This Row],[ile_dokupic]]*1000</f>
        <v>2739</v>
      </c>
    </row>
    <row r="1543" spans="1:9" x14ac:dyDescent="0.25">
      <c r="A1543" s="1">
        <v>40961</v>
      </c>
      <c r="B1543" t="s">
        <v>26</v>
      </c>
      <c r="C1543">
        <v>198</v>
      </c>
      <c r="D1543">
        <f>MONTH(cukier11[[#This Row],[data]])</f>
        <v>2</v>
      </c>
      <c r="E1543">
        <f>IF(D1544&lt;&gt;cukier11[[#This Row],[miesiac]],1,0)</f>
        <v>0</v>
      </c>
      <c r="F1543">
        <f>IF(AND(H1542&lt;5000,cukier11[[#This Row],[czy_nastapiła_zmiana_mies]]=1),ROUNDUP((5000-H1542)/1000,0),0)</f>
        <v>0</v>
      </c>
      <c r="G1543">
        <f t="shared" si="24"/>
        <v>2739</v>
      </c>
      <c r="H1543">
        <f>cukier11[[#This Row],[stan_magazynu]]-cukier11[[#This Row],[sprzedany_cukier]]</f>
        <v>2541</v>
      </c>
      <c r="I1543" s="9">
        <f>cukier11[[#This Row],[stan_po_sprzedazy]]+cukier11[[#This Row],[ile_dokupic]]*1000</f>
        <v>2541</v>
      </c>
    </row>
    <row r="1544" spans="1:9" x14ac:dyDescent="0.25">
      <c r="A1544" s="1">
        <v>40966</v>
      </c>
      <c r="B1544" t="s">
        <v>5</v>
      </c>
      <c r="C1544">
        <v>417</v>
      </c>
      <c r="D1544">
        <f>MONTH(cukier11[[#This Row],[data]])</f>
        <v>2</v>
      </c>
      <c r="E1544">
        <f>IF(D1545&lt;&gt;cukier11[[#This Row],[miesiac]],1,0)</f>
        <v>1</v>
      </c>
      <c r="F1544">
        <f>IF(AND(H1543&lt;5000,cukier11[[#This Row],[czy_nastapiła_zmiana_mies]]=1),ROUNDUP((5000-H1543)/1000,0),0)</f>
        <v>3</v>
      </c>
      <c r="G1544">
        <f t="shared" si="24"/>
        <v>2541</v>
      </c>
      <c r="H1544">
        <f>cukier11[[#This Row],[stan_magazynu]]-cukier11[[#This Row],[sprzedany_cukier]]</f>
        <v>2124</v>
      </c>
      <c r="I1544" s="9">
        <f>cukier11[[#This Row],[stan_po_sprzedazy]]+cukier11[[#This Row],[ile_dokupic]]*1000</f>
        <v>5124</v>
      </c>
    </row>
    <row r="1545" spans="1:9" x14ac:dyDescent="0.25">
      <c r="A1545" s="1">
        <v>40971</v>
      </c>
      <c r="B1545" t="s">
        <v>102</v>
      </c>
      <c r="C1545">
        <v>221</v>
      </c>
      <c r="D1545">
        <f>MONTH(cukier11[[#This Row],[data]])</f>
        <v>3</v>
      </c>
      <c r="E1545">
        <f>IF(D1546&lt;&gt;cukier11[[#This Row],[miesiac]],1,0)</f>
        <v>0</v>
      </c>
      <c r="F1545">
        <f>IF(AND(H1544&lt;5000,cukier11[[#This Row],[czy_nastapiła_zmiana_mies]]=1),ROUNDUP((5000-H1544)/1000,0),0)</f>
        <v>0</v>
      </c>
      <c r="G1545">
        <f t="shared" si="24"/>
        <v>5124</v>
      </c>
      <c r="H1545">
        <f>cukier11[[#This Row],[stan_magazynu]]-cukier11[[#This Row],[sprzedany_cukier]]</f>
        <v>4903</v>
      </c>
      <c r="I1545" s="9">
        <f>cukier11[[#This Row],[stan_po_sprzedazy]]+cukier11[[#This Row],[ile_dokupic]]*1000</f>
        <v>4903</v>
      </c>
    </row>
    <row r="1546" spans="1:9" x14ac:dyDescent="0.25">
      <c r="A1546" s="1">
        <v>40971</v>
      </c>
      <c r="B1546" t="s">
        <v>18</v>
      </c>
      <c r="C1546">
        <v>53</v>
      </c>
      <c r="D1546">
        <f>MONTH(cukier11[[#This Row],[data]])</f>
        <v>3</v>
      </c>
      <c r="E1546">
        <f>IF(D1547&lt;&gt;cukier11[[#This Row],[miesiac]],1,0)</f>
        <v>0</v>
      </c>
      <c r="F1546">
        <f>IF(AND(H1545&lt;5000,cukier11[[#This Row],[czy_nastapiła_zmiana_mies]]=1),ROUNDUP((5000-H1545)/1000,0),0)</f>
        <v>0</v>
      </c>
      <c r="G1546">
        <f t="shared" si="24"/>
        <v>4903</v>
      </c>
      <c r="H1546">
        <f>cukier11[[#This Row],[stan_magazynu]]-cukier11[[#This Row],[sprzedany_cukier]]</f>
        <v>4850</v>
      </c>
      <c r="I1546" s="9">
        <f>cukier11[[#This Row],[stan_po_sprzedazy]]+cukier11[[#This Row],[ile_dokupic]]*1000</f>
        <v>4850</v>
      </c>
    </row>
    <row r="1547" spans="1:9" x14ac:dyDescent="0.25">
      <c r="A1547" s="1">
        <v>40973</v>
      </c>
      <c r="B1547" t="s">
        <v>69</v>
      </c>
      <c r="C1547">
        <v>127</v>
      </c>
      <c r="D1547">
        <f>MONTH(cukier11[[#This Row],[data]])</f>
        <v>3</v>
      </c>
      <c r="E1547">
        <f>IF(D1548&lt;&gt;cukier11[[#This Row],[miesiac]],1,0)</f>
        <v>0</v>
      </c>
      <c r="F1547">
        <f>IF(AND(H1546&lt;5000,cukier11[[#This Row],[czy_nastapiła_zmiana_mies]]=1),ROUNDUP((5000-H1546)/1000,0),0)</f>
        <v>0</v>
      </c>
      <c r="G1547">
        <f t="shared" si="24"/>
        <v>4850</v>
      </c>
      <c r="H1547">
        <f>cukier11[[#This Row],[stan_magazynu]]-cukier11[[#This Row],[sprzedany_cukier]]</f>
        <v>4723</v>
      </c>
      <c r="I1547" s="9">
        <f>cukier11[[#This Row],[stan_po_sprzedazy]]+cukier11[[#This Row],[ile_dokupic]]*1000</f>
        <v>4723</v>
      </c>
    </row>
    <row r="1548" spans="1:9" x14ac:dyDescent="0.25">
      <c r="A1548" s="1">
        <v>40974</v>
      </c>
      <c r="B1548" t="s">
        <v>14</v>
      </c>
      <c r="C1548">
        <v>340</v>
      </c>
      <c r="D1548">
        <f>MONTH(cukier11[[#This Row],[data]])</f>
        <v>3</v>
      </c>
      <c r="E1548">
        <f>IF(D1549&lt;&gt;cukier11[[#This Row],[miesiac]],1,0)</f>
        <v>0</v>
      </c>
      <c r="F1548">
        <f>IF(AND(H1547&lt;5000,cukier11[[#This Row],[czy_nastapiła_zmiana_mies]]=1),ROUNDUP((5000-H1547)/1000,0),0)</f>
        <v>0</v>
      </c>
      <c r="G1548">
        <f t="shared" si="24"/>
        <v>4723</v>
      </c>
      <c r="H1548">
        <f>cukier11[[#This Row],[stan_magazynu]]-cukier11[[#This Row],[sprzedany_cukier]]</f>
        <v>4383</v>
      </c>
      <c r="I1548" s="9">
        <f>cukier11[[#This Row],[stan_po_sprzedazy]]+cukier11[[#This Row],[ile_dokupic]]*1000</f>
        <v>4383</v>
      </c>
    </row>
    <row r="1549" spans="1:9" x14ac:dyDescent="0.25">
      <c r="A1549" s="1">
        <v>40977</v>
      </c>
      <c r="B1549" t="s">
        <v>7</v>
      </c>
      <c r="C1549">
        <v>310</v>
      </c>
      <c r="D1549">
        <f>MONTH(cukier11[[#This Row],[data]])</f>
        <v>3</v>
      </c>
      <c r="E1549">
        <f>IF(D1550&lt;&gt;cukier11[[#This Row],[miesiac]],1,0)</f>
        <v>0</v>
      </c>
      <c r="F1549">
        <f>IF(AND(H1548&lt;5000,cukier11[[#This Row],[czy_nastapiła_zmiana_mies]]=1),ROUNDUP((5000-H1548)/1000,0),0)</f>
        <v>0</v>
      </c>
      <c r="G1549">
        <f t="shared" si="24"/>
        <v>4383</v>
      </c>
      <c r="H1549">
        <f>cukier11[[#This Row],[stan_magazynu]]-cukier11[[#This Row],[sprzedany_cukier]]</f>
        <v>4073</v>
      </c>
      <c r="I1549" s="9">
        <f>cukier11[[#This Row],[stan_po_sprzedazy]]+cukier11[[#This Row],[ile_dokupic]]*1000</f>
        <v>4073</v>
      </c>
    </row>
    <row r="1550" spans="1:9" x14ac:dyDescent="0.25">
      <c r="A1550" s="1">
        <v>40979</v>
      </c>
      <c r="B1550" t="s">
        <v>222</v>
      </c>
      <c r="C1550">
        <v>8</v>
      </c>
      <c r="D1550">
        <f>MONTH(cukier11[[#This Row],[data]])</f>
        <v>3</v>
      </c>
      <c r="E1550">
        <f>IF(D1551&lt;&gt;cukier11[[#This Row],[miesiac]],1,0)</f>
        <v>0</v>
      </c>
      <c r="F1550">
        <f>IF(AND(H1549&lt;5000,cukier11[[#This Row],[czy_nastapiła_zmiana_mies]]=1),ROUNDUP((5000-H1549)/1000,0),0)</f>
        <v>0</v>
      </c>
      <c r="G1550">
        <f t="shared" si="24"/>
        <v>4073</v>
      </c>
      <c r="H1550">
        <f>cukier11[[#This Row],[stan_magazynu]]-cukier11[[#This Row],[sprzedany_cukier]]</f>
        <v>4065</v>
      </c>
      <c r="I1550" s="9">
        <f>cukier11[[#This Row],[stan_po_sprzedazy]]+cukier11[[#This Row],[ile_dokupic]]*1000</f>
        <v>4065</v>
      </c>
    </row>
    <row r="1551" spans="1:9" x14ac:dyDescent="0.25">
      <c r="A1551" s="1">
        <v>40980</v>
      </c>
      <c r="B1551" t="s">
        <v>61</v>
      </c>
      <c r="C1551">
        <v>132</v>
      </c>
      <c r="D1551">
        <f>MONTH(cukier11[[#This Row],[data]])</f>
        <v>3</v>
      </c>
      <c r="E1551">
        <f>IF(D1552&lt;&gt;cukier11[[#This Row],[miesiac]],1,0)</f>
        <v>0</v>
      </c>
      <c r="F1551">
        <f>IF(AND(H1550&lt;5000,cukier11[[#This Row],[czy_nastapiła_zmiana_mies]]=1),ROUNDUP((5000-H1550)/1000,0),0)</f>
        <v>0</v>
      </c>
      <c r="G1551">
        <f t="shared" si="24"/>
        <v>4065</v>
      </c>
      <c r="H1551">
        <f>cukier11[[#This Row],[stan_magazynu]]-cukier11[[#This Row],[sprzedany_cukier]]</f>
        <v>3933</v>
      </c>
      <c r="I1551" s="9">
        <f>cukier11[[#This Row],[stan_po_sprzedazy]]+cukier11[[#This Row],[ile_dokupic]]*1000</f>
        <v>3933</v>
      </c>
    </row>
    <row r="1552" spans="1:9" x14ac:dyDescent="0.25">
      <c r="A1552" s="1">
        <v>40980</v>
      </c>
      <c r="B1552" t="s">
        <v>26</v>
      </c>
      <c r="C1552">
        <v>168</v>
      </c>
      <c r="D1552">
        <f>MONTH(cukier11[[#This Row],[data]])</f>
        <v>3</v>
      </c>
      <c r="E1552">
        <f>IF(D1553&lt;&gt;cukier11[[#This Row],[miesiac]],1,0)</f>
        <v>0</v>
      </c>
      <c r="F1552">
        <f>IF(AND(H1551&lt;5000,cukier11[[#This Row],[czy_nastapiła_zmiana_mies]]=1),ROUNDUP((5000-H1551)/1000,0),0)</f>
        <v>0</v>
      </c>
      <c r="G1552">
        <f t="shared" si="24"/>
        <v>3933</v>
      </c>
      <c r="H1552">
        <f>cukier11[[#This Row],[stan_magazynu]]-cukier11[[#This Row],[sprzedany_cukier]]</f>
        <v>3765</v>
      </c>
      <c r="I1552" s="9">
        <f>cukier11[[#This Row],[stan_po_sprzedazy]]+cukier11[[#This Row],[ile_dokupic]]*1000</f>
        <v>3765</v>
      </c>
    </row>
    <row r="1553" spans="1:9" x14ac:dyDescent="0.25">
      <c r="A1553" s="1">
        <v>40982</v>
      </c>
      <c r="B1553" t="s">
        <v>26</v>
      </c>
      <c r="C1553">
        <v>49</v>
      </c>
      <c r="D1553">
        <f>MONTH(cukier11[[#This Row],[data]])</f>
        <v>3</v>
      </c>
      <c r="E1553">
        <f>IF(D1554&lt;&gt;cukier11[[#This Row],[miesiac]],1,0)</f>
        <v>0</v>
      </c>
      <c r="F1553">
        <f>IF(AND(H1552&lt;5000,cukier11[[#This Row],[czy_nastapiła_zmiana_mies]]=1),ROUNDUP((5000-H1552)/1000,0),0)</f>
        <v>0</v>
      </c>
      <c r="G1553">
        <f t="shared" si="24"/>
        <v>3765</v>
      </c>
      <c r="H1553">
        <f>cukier11[[#This Row],[stan_magazynu]]-cukier11[[#This Row],[sprzedany_cukier]]</f>
        <v>3716</v>
      </c>
      <c r="I1553" s="9">
        <f>cukier11[[#This Row],[stan_po_sprzedazy]]+cukier11[[#This Row],[ile_dokupic]]*1000</f>
        <v>3716</v>
      </c>
    </row>
    <row r="1554" spans="1:9" x14ac:dyDescent="0.25">
      <c r="A1554" s="1">
        <v>40984</v>
      </c>
      <c r="B1554" t="s">
        <v>37</v>
      </c>
      <c r="C1554">
        <v>140</v>
      </c>
      <c r="D1554">
        <f>MONTH(cukier11[[#This Row],[data]])</f>
        <v>3</v>
      </c>
      <c r="E1554">
        <f>IF(D1555&lt;&gt;cukier11[[#This Row],[miesiac]],1,0)</f>
        <v>0</v>
      </c>
      <c r="F1554">
        <f>IF(AND(H1553&lt;5000,cukier11[[#This Row],[czy_nastapiła_zmiana_mies]]=1),ROUNDUP((5000-H1553)/1000,0),0)</f>
        <v>0</v>
      </c>
      <c r="G1554">
        <f t="shared" si="24"/>
        <v>3716</v>
      </c>
      <c r="H1554">
        <f>cukier11[[#This Row],[stan_magazynu]]-cukier11[[#This Row],[sprzedany_cukier]]</f>
        <v>3576</v>
      </c>
      <c r="I1554" s="9">
        <f>cukier11[[#This Row],[stan_po_sprzedazy]]+cukier11[[#This Row],[ile_dokupic]]*1000</f>
        <v>3576</v>
      </c>
    </row>
    <row r="1555" spans="1:9" x14ac:dyDescent="0.25">
      <c r="A1555" s="1">
        <v>40986</v>
      </c>
      <c r="B1555" t="s">
        <v>35</v>
      </c>
      <c r="C1555">
        <v>140</v>
      </c>
      <c r="D1555">
        <f>MONTH(cukier11[[#This Row],[data]])</f>
        <v>3</v>
      </c>
      <c r="E1555">
        <f>IF(D1556&lt;&gt;cukier11[[#This Row],[miesiac]],1,0)</f>
        <v>0</v>
      </c>
      <c r="F1555">
        <f>IF(AND(H1554&lt;5000,cukier11[[#This Row],[czy_nastapiła_zmiana_mies]]=1),ROUNDUP((5000-H1554)/1000,0),0)</f>
        <v>0</v>
      </c>
      <c r="G1555">
        <f t="shared" si="24"/>
        <v>3576</v>
      </c>
      <c r="H1555">
        <f>cukier11[[#This Row],[stan_magazynu]]-cukier11[[#This Row],[sprzedany_cukier]]</f>
        <v>3436</v>
      </c>
      <c r="I1555" s="9">
        <f>cukier11[[#This Row],[stan_po_sprzedazy]]+cukier11[[#This Row],[ile_dokupic]]*1000</f>
        <v>3436</v>
      </c>
    </row>
    <row r="1556" spans="1:9" x14ac:dyDescent="0.25">
      <c r="A1556" s="1">
        <v>40986</v>
      </c>
      <c r="B1556" t="s">
        <v>23</v>
      </c>
      <c r="C1556">
        <v>194</v>
      </c>
      <c r="D1556">
        <f>MONTH(cukier11[[#This Row],[data]])</f>
        <v>3</v>
      </c>
      <c r="E1556">
        <f>IF(D1557&lt;&gt;cukier11[[#This Row],[miesiac]],1,0)</f>
        <v>0</v>
      </c>
      <c r="F1556">
        <f>IF(AND(H1555&lt;5000,cukier11[[#This Row],[czy_nastapiła_zmiana_mies]]=1),ROUNDUP((5000-H1555)/1000,0),0)</f>
        <v>0</v>
      </c>
      <c r="G1556">
        <f t="shared" si="24"/>
        <v>3436</v>
      </c>
      <c r="H1556">
        <f>cukier11[[#This Row],[stan_magazynu]]-cukier11[[#This Row],[sprzedany_cukier]]</f>
        <v>3242</v>
      </c>
      <c r="I1556" s="9">
        <f>cukier11[[#This Row],[stan_po_sprzedazy]]+cukier11[[#This Row],[ile_dokupic]]*1000</f>
        <v>3242</v>
      </c>
    </row>
    <row r="1557" spans="1:9" x14ac:dyDescent="0.25">
      <c r="A1557" s="1">
        <v>40992</v>
      </c>
      <c r="B1557" t="s">
        <v>23</v>
      </c>
      <c r="C1557">
        <v>123</v>
      </c>
      <c r="D1557">
        <f>MONTH(cukier11[[#This Row],[data]])</f>
        <v>3</v>
      </c>
      <c r="E1557">
        <f>IF(D1558&lt;&gt;cukier11[[#This Row],[miesiac]],1,0)</f>
        <v>0</v>
      </c>
      <c r="F1557">
        <f>IF(AND(H1556&lt;5000,cukier11[[#This Row],[czy_nastapiła_zmiana_mies]]=1),ROUNDUP((5000-H1556)/1000,0),0)</f>
        <v>0</v>
      </c>
      <c r="G1557">
        <f t="shared" si="24"/>
        <v>3242</v>
      </c>
      <c r="H1557">
        <f>cukier11[[#This Row],[stan_magazynu]]-cukier11[[#This Row],[sprzedany_cukier]]</f>
        <v>3119</v>
      </c>
      <c r="I1557" s="9">
        <f>cukier11[[#This Row],[stan_po_sprzedazy]]+cukier11[[#This Row],[ile_dokupic]]*1000</f>
        <v>3119</v>
      </c>
    </row>
    <row r="1558" spans="1:9" x14ac:dyDescent="0.25">
      <c r="A1558" s="1">
        <v>40992</v>
      </c>
      <c r="B1558" t="s">
        <v>74</v>
      </c>
      <c r="C1558">
        <v>11</v>
      </c>
      <c r="D1558">
        <f>MONTH(cukier11[[#This Row],[data]])</f>
        <v>3</v>
      </c>
      <c r="E1558">
        <f>IF(D1559&lt;&gt;cukier11[[#This Row],[miesiac]],1,0)</f>
        <v>0</v>
      </c>
      <c r="F1558">
        <f>IF(AND(H1557&lt;5000,cukier11[[#This Row],[czy_nastapiła_zmiana_mies]]=1),ROUNDUP((5000-H1557)/1000,0),0)</f>
        <v>0</v>
      </c>
      <c r="G1558">
        <f t="shared" si="24"/>
        <v>3119</v>
      </c>
      <c r="H1558">
        <f>cukier11[[#This Row],[stan_magazynu]]-cukier11[[#This Row],[sprzedany_cukier]]</f>
        <v>3108</v>
      </c>
      <c r="I1558" s="9">
        <f>cukier11[[#This Row],[stan_po_sprzedazy]]+cukier11[[#This Row],[ile_dokupic]]*1000</f>
        <v>3108</v>
      </c>
    </row>
    <row r="1559" spans="1:9" x14ac:dyDescent="0.25">
      <c r="A1559" s="1">
        <v>40994</v>
      </c>
      <c r="B1559" t="s">
        <v>150</v>
      </c>
      <c r="C1559">
        <v>1</v>
      </c>
      <c r="D1559">
        <f>MONTH(cukier11[[#This Row],[data]])</f>
        <v>3</v>
      </c>
      <c r="E1559">
        <f>IF(D1560&lt;&gt;cukier11[[#This Row],[miesiac]],1,0)</f>
        <v>0</v>
      </c>
      <c r="F1559">
        <f>IF(AND(H1558&lt;5000,cukier11[[#This Row],[czy_nastapiła_zmiana_mies]]=1),ROUNDUP((5000-H1558)/1000,0),0)</f>
        <v>0</v>
      </c>
      <c r="G1559">
        <f t="shared" si="24"/>
        <v>3108</v>
      </c>
      <c r="H1559">
        <f>cukier11[[#This Row],[stan_magazynu]]-cukier11[[#This Row],[sprzedany_cukier]]</f>
        <v>3107</v>
      </c>
      <c r="I1559" s="9">
        <f>cukier11[[#This Row],[stan_po_sprzedazy]]+cukier11[[#This Row],[ile_dokupic]]*1000</f>
        <v>3107</v>
      </c>
    </row>
    <row r="1560" spans="1:9" x14ac:dyDescent="0.25">
      <c r="A1560" s="1">
        <v>40995</v>
      </c>
      <c r="B1560" t="s">
        <v>9</v>
      </c>
      <c r="C1560">
        <v>267</v>
      </c>
      <c r="D1560">
        <f>MONTH(cukier11[[#This Row],[data]])</f>
        <v>3</v>
      </c>
      <c r="E1560">
        <f>IF(D1561&lt;&gt;cukier11[[#This Row],[miesiac]],1,0)</f>
        <v>0</v>
      </c>
      <c r="F1560">
        <f>IF(AND(H1559&lt;5000,cukier11[[#This Row],[czy_nastapiła_zmiana_mies]]=1),ROUNDUP((5000-H1559)/1000,0),0)</f>
        <v>0</v>
      </c>
      <c r="G1560">
        <f t="shared" si="24"/>
        <v>3107</v>
      </c>
      <c r="H1560">
        <f>cukier11[[#This Row],[stan_magazynu]]-cukier11[[#This Row],[sprzedany_cukier]]</f>
        <v>2840</v>
      </c>
      <c r="I1560" s="9">
        <f>cukier11[[#This Row],[stan_po_sprzedazy]]+cukier11[[#This Row],[ile_dokupic]]*1000</f>
        <v>2840</v>
      </c>
    </row>
    <row r="1561" spans="1:9" x14ac:dyDescent="0.25">
      <c r="A1561" s="1">
        <v>40998</v>
      </c>
      <c r="B1561" t="s">
        <v>149</v>
      </c>
      <c r="C1561">
        <v>14</v>
      </c>
      <c r="D1561">
        <f>MONTH(cukier11[[#This Row],[data]])</f>
        <v>3</v>
      </c>
      <c r="E1561">
        <f>IF(D1562&lt;&gt;cukier11[[#This Row],[miesiac]],1,0)</f>
        <v>0</v>
      </c>
      <c r="F1561">
        <f>IF(AND(H1560&lt;5000,cukier11[[#This Row],[czy_nastapiła_zmiana_mies]]=1),ROUNDUP((5000-H1560)/1000,0),0)</f>
        <v>0</v>
      </c>
      <c r="G1561">
        <f t="shared" si="24"/>
        <v>2840</v>
      </c>
      <c r="H1561">
        <f>cukier11[[#This Row],[stan_magazynu]]-cukier11[[#This Row],[sprzedany_cukier]]</f>
        <v>2826</v>
      </c>
      <c r="I1561" s="9">
        <f>cukier11[[#This Row],[stan_po_sprzedazy]]+cukier11[[#This Row],[ile_dokupic]]*1000</f>
        <v>2826</v>
      </c>
    </row>
    <row r="1562" spans="1:9" x14ac:dyDescent="0.25">
      <c r="A1562" s="1">
        <v>40999</v>
      </c>
      <c r="B1562" t="s">
        <v>20</v>
      </c>
      <c r="C1562">
        <v>160</v>
      </c>
      <c r="D1562">
        <f>MONTH(cukier11[[#This Row],[data]])</f>
        <v>3</v>
      </c>
      <c r="E1562">
        <f>IF(D1563&lt;&gt;cukier11[[#This Row],[miesiac]],1,0)</f>
        <v>0</v>
      </c>
      <c r="F1562">
        <f>IF(AND(H1561&lt;5000,cukier11[[#This Row],[czy_nastapiła_zmiana_mies]]=1),ROUNDUP((5000-H1561)/1000,0),0)</f>
        <v>0</v>
      </c>
      <c r="G1562">
        <f t="shared" si="24"/>
        <v>2826</v>
      </c>
      <c r="H1562">
        <f>cukier11[[#This Row],[stan_magazynu]]-cukier11[[#This Row],[sprzedany_cukier]]</f>
        <v>2666</v>
      </c>
      <c r="I1562" s="9">
        <f>cukier11[[#This Row],[stan_po_sprzedazy]]+cukier11[[#This Row],[ile_dokupic]]*1000</f>
        <v>2666</v>
      </c>
    </row>
    <row r="1563" spans="1:9" x14ac:dyDescent="0.25">
      <c r="A1563" s="1">
        <v>40999</v>
      </c>
      <c r="B1563" t="s">
        <v>9</v>
      </c>
      <c r="C1563">
        <v>437</v>
      </c>
      <c r="D1563">
        <f>MONTH(cukier11[[#This Row],[data]])</f>
        <v>3</v>
      </c>
      <c r="E1563">
        <f>IF(D1564&lt;&gt;cukier11[[#This Row],[miesiac]],1,0)</f>
        <v>1</v>
      </c>
      <c r="F1563">
        <f>IF(AND(H1562&lt;5000,cukier11[[#This Row],[czy_nastapiła_zmiana_mies]]=1),ROUNDUP((5000-H1562)/1000,0),0)</f>
        <v>3</v>
      </c>
      <c r="G1563">
        <f t="shared" si="24"/>
        <v>2666</v>
      </c>
      <c r="H1563">
        <f>cukier11[[#This Row],[stan_magazynu]]-cukier11[[#This Row],[sprzedany_cukier]]</f>
        <v>2229</v>
      </c>
      <c r="I1563" s="9">
        <f>cukier11[[#This Row],[stan_po_sprzedazy]]+cukier11[[#This Row],[ile_dokupic]]*1000</f>
        <v>5229</v>
      </c>
    </row>
    <row r="1564" spans="1:9" x14ac:dyDescent="0.25">
      <c r="A1564" s="1">
        <v>41003</v>
      </c>
      <c r="B1564" t="s">
        <v>123</v>
      </c>
      <c r="C1564">
        <v>71</v>
      </c>
      <c r="D1564">
        <f>MONTH(cukier11[[#This Row],[data]])</f>
        <v>4</v>
      </c>
      <c r="E1564">
        <f>IF(D1565&lt;&gt;cukier11[[#This Row],[miesiac]],1,0)</f>
        <v>0</v>
      </c>
      <c r="F1564">
        <f>IF(AND(H1563&lt;5000,cukier11[[#This Row],[czy_nastapiła_zmiana_mies]]=1),ROUNDUP((5000-H1563)/1000,0),0)</f>
        <v>0</v>
      </c>
      <c r="G1564">
        <f t="shared" si="24"/>
        <v>5229</v>
      </c>
      <c r="H1564">
        <f>cukier11[[#This Row],[stan_magazynu]]-cukier11[[#This Row],[sprzedany_cukier]]</f>
        <v>5158</v>
      </c>
      <c r="I1564" s="9">
        <f>cukier11[[#This Row],[stan_po_sprzedazy]]+cukier11[[#This Row],[ile_dokupic]]*1000</f>
        <v>5158</v>
      </c>
    </row>
    <row r="1565" spans="1:9" x14ac:dyDescent="0.25">
      <c r="A1565" s="1">
        <v>41004</v>
      </c>
      <c r="B1565" t="s">
        <v>66</v>
      </c>
      <c r="C1565">
        <v>35</v>
      </c>
      <c r="D1565">
        <f>MONTH(cukier11[[#This Row],[data]])</f>
        <v>4</v>
      </c>
      <c r="E1565">
        <f>IF(D1566&lt;&gt;cukier11[[#This Row],[miesiac]],1,0)</f>
        <v>0</v>
      </c>
      <c r="F1565">
        <f>IF(AND(H1564&lt;5000,cukier11[[#This Row],[czy_nastapiła_zmiana_mies]]=1),ROUNDUP((5000-H1564)/1000,0),0)</f>
        <v>0</v>
      </c>
      <c r="G1565">
        <f t="shared" si="24"/>
        <v>5158</v>
      </c>
      <c r="H1565">
        <f>cukier11[[#This Row],[stan_magazynu]]-cukier11[[#This Row],[sprzedany_cukier]]</f>
        <v>5123</v>
      </c>
      <c r="I1565" s="9">
        <f>cukier11[[#This Row],[stan_po_sprzedazy]]+cukier11[[#This Row],[ile_dokupic]]*1000</f>
        <v>5123</v>
      </c>
    </row>
    <row r="1566" spans="1:9" x14ac:dyDescent="0.25">
      <c r="A1566" s="1">
        <v>41005</v>
      </c>
      <c r="B1566" t="s">
        <v>22</v>
      </c>
      <c r="C1566">
        <v>116</v>
      </c>
      <c r="D1566">
        <f>MONTH(cukier11[[#This Row],[data]])</f>
        <v>4</v>
      </c>
      <c r="E1566">
        <f>IF(D1567&lt;&gt;cukier11[[#This Row],[miesiac]],1,0)</f>
        <v>0</v>
      </c>
      <c r="F1566">
        <f>IF(AND(H1565&lt;5000,cukier11[[#This Row],[czy_nastapiła_zmiana_mies]]=1),ROUNDUP((5000-H1565)/1000,0),0)</f>
        <v>0</v>
      </c>
      <c r="G1566">
        <f t="shared" si="24"/>
        <v>5123</v>
      </c>
      <c r="H1566">
        <f>cukier11[[#This Row],[stan_magazynu]]-cukier11[[#This Row],[sprzedany_cukier]]</f>
        <v>5007</v>
      </c>
      <c r="I1566" s="9">
        <f>cukier11[[#This Row],[stan_po_sprzedazy]]+cukier11[[#This Row],[ile_dokupic]]*1000</f>
        <v>5007</v>
      </c>
    </row>
    <row r="1567" spans="1:9" x14ac:dyDescent="0.25">
      <c r="A1567" s="1">
        <v>41006</v>
      </c>
      <c r="B1567" t="s">
        <v>6</v>
      </c>
      <c r="C1567">
        <v>152</v>
      </c>
      <c r="D1567">
        <f>MONTH(cukier11[[#This Row],[data]])</f>
        <v>4</v>
      </c>
      <c r="E1567">
        <f>IF(D1568&lt;&gt;cukier11[[#This Row],[miesiac]],1,0)</f>
        <v>0</v>
      </c>
      <c r="F1567">
        <f>IF(AND(H1566&lt;5000,cukier11[[#This Row],[czy_nastapiła_zmiana_mies]]=1),ROUNDUP((5000-H1566)/1000,0),0)</f>
        <v>0</v>
      </c>
      <c r="G1567">
        <f t="shared" si="24"/>
        <v>5007</v>
      </c>
      <c r="H1567">
        <f>cukier11[[#This Row],[stan_magazynu]]-cukier11[[#This Row],[sprzedany_cukier]]</f>
        <v>4855</v>
      </c>
      <c r="I1567" s="9">
        <f>cukier11[[#This Row],[stan_po_sprzedazy]]+cukier11[[#This Row],[ile_dokupic]]*1000</f>
        <v>4855</v>
      </c>
    </row>
    <row r="1568" spans="1:9" x14ac:dyDescent="0.25">
      <c r="A1568" s="1">
        <v>41011</v>
      </c>
      <c r="B1568" t="s">
        <v>7</v>
      </c>
      <c r="C1568">
        <v>309</v>
      </c>
      <c r="D1568">
        <f>MONTH(cukier11[[#This Row],[data]])</f>
        <v>4</v>
      </c>
      <c r="E1568">
        <f>IF(D1569&lt;&gt;cukier11[[#This Row],[miesiac]],1,0)</f>
        <v>0</v>
      </c>
      <c r="F1568">
        <f>IF(AND(H1567&lt;5000,cukier11[[#This Row],[czy_nastapiła_zmiana_mies]]=1),ROUNDUP((5000-H1567)/1000,0),0)</f>
        <v>0</v>
      </c>
      <c r="G1568">
        <f t="shared" si="24"/>
        <v>4855</v>
      </c>
      <c r="H1568">
        <f>cukier11[[#This Row],[stan_magazynu]]-cukier11[[#This Row],[sprzedany_cukier]]</f>
        <v>4546</v>
      </c>
      <c r="I1568" s="9">
        <f>cukier11[[#This Row],[stan_po_sprzedazy]]+cukier11[[#This Row],[ile_dokupic]]*1000</f>
        <v>4546</v>
      </c>
    </row>
    <row r="1569" spans="1:9" x14ac:dyDescent="0.25">
      <c r="A1569" s="1">
        <v>41011</v>
      </c>
      <c r="B1569" t="s">
        <v>81</v>
      </c>
      <c r="C1569">
        <v>7</v>
      </c>
      <c r="D1569">
        <f>MONTH(cukier11[[#This Row],[data]])</f>
        <v>4</v>
      </c>
      <c r="E1569">
        <f>IF(D1570&lt;&gt;cukier11[[#This Row],[miesiac]],1,0)</f>
        <v>0</v>
      </c>
      <c r="F1569">
        <f>IF(AND(H1568&lt;5000,cukier11[[#This Row],[czy_nastapiła_zmiana_mies]]=1),ROUNDUP((5000-H1568)/1000,0),0)</f>
        <v>0</v>
      </c>
      <c r="G1569">
        <f t="shared" si="24"/>
        <v>4546</v>
      </c>
      <c r="H1569">
        <f>cukier11[[#This Row],[stan_magazynu]]-cukier11[[#This Row],[sprzedany_cukier]]</f>
        <v>4539</v>
      </c>
      <c r="I1569" s="9">
        <f>cukier11[[#This Row],[stan_po_sprzedazy]]+cukier11[[#This Row],[ile_dokupic]]*1000</f>
        <v>4539</v>
      </c>
    </row>
    <row r="1570" spans="1:9" x14ac:dyDescent="0.25">
      <c r="A1570" s="1">
        <v>41011</v>
      </c>
      <c r="B1570" t="s">
        <v>102</v>
      </c>
      <c r="C1570">
        <v>353</v>
      </c>
      <c r="D1570">
        <f>MONTH(cukier11[[#This Row],[data]])</f>
        <v>4</v>
      </c>
      <c r="E1570">
        <f>IF(D1571&lt;&gt;cukier11[[#This Row],[miesiac]],1,0)</f>
        <v>0</v>
      </c>
      <c r="F1570">
        <f>IF(AND(H1569&lt;5000,cukier11[[#This Row],[czy_nastapiła_zmiana_mies]]=1),ROUNDUP((5000-H1569)/1000,0),0)</f>
        <v>0</v>
      </c>
      <c r="G1570">
        <f t="shared" si="24"/>
        <v>4539</v>
      </c>
      <c r="H1570">
        <f>cukier11[[#This Row],[stan_magazynu]]-cukier11[[#This Row],[sprzedany_cukier]]</f>
        <v>4186</v>
      </c>
      <c r="I1570" s="9">
        <f>cukier11[[#This Row],[stan_po_sprzedazy]]+cukier11[[#This Row],[ile_dokupic]]*1000</f>
        <v>4186</v>
      </c>
    </row>
    <row r="1571" spans="1:9" x14ac:dyDescent="0.25">
      <c r="A1571" s="1">
        <v>41012</v>
      </c>
      <c r="B1571" t="s">
        <v>187</v>
      </c>
      <c r="C1571">
        <v>3</v>
      </c>
      <c r="D1571">
        <f>MONTH(cukier11[[#This Row],[data]])</f>
        <v>4</v>
      </c>
      <c r="E1571">
        <f>IF(D1572&lt;&gt;cukier11[[#This Row],[miesiac]],1,0)</f>
        <v>0</v>
      </c>
      <c r="F1571">
        <f>IF(AND(H1570&lt;5000,cukier11[[#This Row],[czy_nastapiła_zmiana_mies]]=1),ROUNDUP((5000-H1570)/1000,0),0)</f>
        <v>0</v>
      </c>
      <c r="G1571">
        <f t="shared" si="24"/>
        <v>4186</v>
      </c>
      <c r="H1571">
        <f>cukier11[[#This Row],[stan_magazynu]]-cukier11[[#This Row],[sprzedany_cukier]]</f>
        <v>4183</v>
      </c>
      <c r="I1571" s="9">
        <f>cukier11[[#This Row],[stan_po_sprzedazy]]+cukier11[[#This Row],[ile_dokupic]]*1000</f>
        <v>4183</v>
      </c>
    </row>
    <row r="1572" spans="1:9" x14ac:dyDescent="0.25">
      <c r="A1572" s="1">
        <v>41013</v>
      </c>
      <c r="B1572" t="s">
        <v>14</v>
      </c>
      <c r="C1572">
        <v>166</v>
      </c>
      <c r="D1572">
        <f>MONTH(cukier11[[#This Row],[data]])</f>
        <v>4</v>
      </c>
      <c r="E1572">
        <f>IF(D1573&lt;&gt;cukier11[[#This Row],[miesiac]],1,0)</f>
        <v>0</v>
      </c>
      <c r="F1572">
        <f>IF(AND(H1571&lt;5000,cukier11[[#This Row],[czy_nastapiła_zmiana_mies]]=1),ROUNDUP((5000-H1571)/1000,0),0)</f>
        <v>0</v>
      </c>
      <c r="G1572">
        <f t="shared" si="24"/>
        <v>4183</v>
      </c>
      <c r="H1572">
        <f>cukier11[[#This Row],[stan_magazynu]]-cukier11[[#This Row],[sprzedany_cukier]]</f>
        <v>4017</v>
      </c>
      <c r="I1572" s="9">
        <f>cukier11[[#This Row],[stan_po_sprzedazy]]+cukier11[[#This Row],[ile_dokupic]]*1000</f>
        <v>4017</v>
      </c>
    </row>
    <row r="1573" spans="1:9" x14ac:dyDescent="0.25">
      <c r="A1573" s="1">
        <v>41014</v>
      </c>
      <c r="B1573" t="s">
        <v>224</v>
      </c>
      <c r="C1573">
        <v>14</v>
      </c>
      <c r="D1573">
        <f>MONTH(cukier11[[#This Row],[data]])</f>
        <v>4</v>
      </c>
      <c r="E1573">
        <f>IF(D1574&lt;&gt;cukier11[[#This Row],[miesiac]],1,0)</f>
        <v>0</v>
      </c>
      <c r="F1573">
        <f>IF(AND(H1572&lt;5000,cukier11[[#This Row],[czy_nastapiła_zmiana_mies]]=1),ROUNDUP((5000-H1572)/1000,0),0)</f>
        <v>0</v>
      </c>
      <c r="G1573">
        <f t="shared" si="24"/>
        <v>4017</v>
      </c>
      <c r="H1573">
        <f>cukier11[[#This Row],[stan_magazynu]]-cukier11[[#This Row],[sprzedany_cukier]]</f>
        <v>4003</v>
      </c>
      <c r="I1573" s="9">
        <f>cukier11[[#This Row],[stan_po_sprzedazy]]+cukier11[[#This Row],[ile_dokupic]]*1000</f>
        <v>4003</v>
      </c>
    </row>
    <row r="1574" spans="1:9" x14ac:dyDescent="0.25">
      <c r="A1574" s="1">
        <v>41014</v>
      </c>
      <c r="B1574" t="s">
        <v>6</v>
      </c>
      <c r="C1574">
        <v>141</v>
      </c>
      <c r="D1574">
        <f>MONTH(cukier11[[#This Row],[data]])</f>
        <v>4</v>
      </c>
      <c r="E1574">
        <f>IF(D1575&lt;&gt;cukier11[[#This Row],[miesiac]],1,0)</f>
        <v>0</v>
      </c>
      <c r="F1574">
        <f>IF(AND(H1573&lt;5000,cukier11[[#This Row],[czy_nastapiła_zmiana_mies]]=1),ROUNDUP((5000-H1573)/1000,0),0)</f>
        <v>0</v>
      </c>
      <c r="G1574">
        <f t="shared" si="24"/>
        <v>4003</v>
      </c>
      <c r="H1574">
        <f>cukier11[[#This Row],[stan_magazynu]]-cukier11[[#This Row],[sprzedany_cukier]]</f>
        <v>3862</v>
      </c>
      <c r="I1574" s="9">
        <f>cukier11[[#This Row],[stan_po_sprzedazy]]+cukier11[[#This Row],[ile_dokupic]]*1000</f>
        <v>3862</v>
      </c>
    </row>
    <row r="1575" spans="1:9" x14ac:dyDescent="0.25">
      <c r="A1575" s="1">
        <v>41014</v>
      </c>
      <c r="B1575" t="s">
        <v>229</v>
      </c>
      <c r="C1575">
        <v>15</v>
      </c>
      <c r="D1575">
        <f>MONTH(cukier11[[#This Row],[data]])</f>
        <v>4</v>
      </c>
      <c r="E1575">
        <f>IF(D1576&lt;&gt;cukier11[[#This Row],[miesiac]],1,0)</f>
        <v>0</v>
      </c>
      <c r="F1575">
        <f>IF(AND(H1574&lt;5000,cukier11[[#This Row],[czy_nastapiła_zmiana_mies]]=1),ROUNDUP((5000-H1574)/1000,0),0)</f>
        <v>0</v>
      </c>
      <c r="G1575">
        <f t="shared" si="24"/>
        <v>3862</v>
      </c>
      <c r="H1575">
        <f>cukier11[[#This Row],[stan_magazynu]]-cukier11[[#This Row],[sprzedany_cukier]]</f>
        <v>3847</v>
      </c>
      <c r="I1575" s="9">
        <f>cukier11[[#This Row],[stan_po_sprzedazy]]+cukier11[[#This Row],[ile_dokupic]]*1000</f>
        <v>3847</v>
      </c>
    </row>
    <row r="1576" spans="1:9" x14ac:dyDescent="0.25">
      <c r="A1576" s="1">
        <v>41020</v>
      </c>
      <c r="B1576" t="s">
        <v>22</v>
      </c>
      <c r="C1576">
        <v>157</v>
      </c>
      <c r="D1576">
        <f>MONTH(cukier11[[#This Row],[data]])</f>
        <v>4</v>
      </c>
      <c r="E1576">
        <f>IF(D1577&lt;&gt;cukier11[[#This Row],[miesiac]],1,0)</f>
        <v>0</v>
      </c>
      <c r="F1576">
        <f>IF(AND(H1575&lt;5000,cukier11[[#This Row],[czy_nastapiła_zmiana_mies]]=1),ROUNDUP((5000-H1575)/1000,0),0)</f>
        <v>0</v>
      </c>
      <c r="G1576">
        <f t="shared" si="24"/>
        <v>3847</v>
      </c>
      <c r="H1576">
        <f>cukier11[[#This Row],[stan_magazynu]]-cukier11[[#This Row],[sprzedany_cukier]]</f>
        <v>3690</v>
      </c>
      <c r="I1576" s="9">
        <f>cukier11[[#This Row],[stan_po_sprzedazy]]+cukier11[[#This Row],[ile_dokupic]]*1000</f>
        <v>3690</v>
      </c>
    </row>
    <row r="1577" spans="1:9" x14ac:dyDescent="0.25">
      <c r="A1577" s="1">
        <v>41025</v>
      </c>
      <c r="B1577" t="s">
        <v>9</v>
      </c>
      <c r="C1577">
        <v>191</v>
      </c>
      <c r="D1577">
        <f>MONTH(cukier11[[#This Row],[data]])</f>
        <v>4</v>
      </c>
      <c r="E1577">
        <f>IF(D1578&lt;&gt;cukier11[[#This Row],[miesiac]],1,0)</f>
        <v>0</v>
      </c>
      <c r="F1577">
        <f>IF(AND(H1576&lt;5000,cukier11[[#This Row],[czy_nastapiła_zmiana_mies]]=1),ROUNDUP((5000-H1576)/1000,0),0)</f>
        <v>0</v>
      </c>
      <c r="G1577">
        <f t="shared" si="24"/>
        <v>3690</v>
      </c>
      <c r="H1577">
        <f>cukier11[[#This Row],[stan_magazynu]]-cukier11[[#This Row],[sprzedany_cukier]]</f>
        <v>3499</v>
      </c>
      <c r="I1577" s="9">
        <f>cukier11[[#This Row],[stan_po_sprzedazy]]+cukier11[[#This Row],[ile_dokupic]]*1000</f>
        <v>3499</v>
      </c>
    </row>
    <row r="1578" spans="1:9" x14ac:dyDescent="0.25">
      <c r="A1578" s="1">
        <v>41026</v>
      </c>
      <c r="B1578" t="s">
        <v>36</v>
      </c>
      <c r="C1578">
        <v>7</v>
      </c>
      <c r="D1578">
        <f>MONTH(cukier11[[#This Row],[data]])</f>
        <v>4</v>
      </c>
      <c r="E1578">
        <f>IF(D1579&lt;&gt;cukier11[[#This Row],[miesiac]],1,0)</f>
        <v>0</v>
      </c>
      <c r="F1578">
        <f>IF(AND(H1577&lt;5000,cukier11[[#This Row],[czy_nastapiła_zmiana_mies]]=1),ROUNDUP((5000-H1577)/1000,0),0)</f>
        <v>0</v>
      </c>
      <c r="G1578">
        <f t="shared" si="24"/>
        <v>3499</v>
      </c>
      <c r="H1578">
        <f>cukier11[[#This Row],[stan_magazynu]]-cukier11[[#This Row],[sprzedany_cukier]]</f>
        <v>3492</v>
      </c>
      <c r="I1578" s="9">
        <f>cukier11[[#This Row],[stan_po_sprzedazy]]+cukier11[[#This Row],[ile_dokupic]]*1000</f>
        <v>3492</v>
      </c>
    </row>
    <row r="1579" spans="1:9" x14ac:dyDescent="0.25">
      <c r="A1579" s="1">
        <v>41027</v>
      </c>
      <c r="B1579" t="s">
        <v>26</v>
      </c>
      <c r="C1579">
        <v>200</v>
      </c>
      <c r="D1579">
        <f>MONTH(cukier11[[#This Row],[data]])</f>
        <v>4</v>
      </c>
      <c r="E1579">
        <f>IF(D1580&lt;&gt;cukier11[[#This Row],[miesiac]],1,0)</f>
        <v>1</v>
      </c>
      <c r="F1579">
        <f>IF(AND(H1578&lt;5000,cukier11[[#This Row],[czy_nastapiła_zmiana_mies]]=1),ROUNDUP((5000-H1578)/1000,0),0)</f>
        <v>2</v>
      </c>
      <c r="G1579">
        <f t="shared" si="24"/>
        <v>3492</v>
      </c>
      <c r="H1579">
        <f>cukier11[[#This Row],[stan_magazynu]]-cukier11[[#This Row],[sprzedany_cukier]]</f>
        <v>3292</v>
      </c>
      <c r="I1579" s="9">
        <f>cukier11[[#This Row],[stan_po_sprzedazy]]+cukier11[[#This Row],[ile_dokupic]]*1000</f>
        <v>5292</v>
      </c>
    </row>
    <row r="1580" spans="1:9" x14ac:dyDescent="0.25">
      <c r="A1580" s="1">
        <v>41033</v>
      </c>
      <c r="B1580" t="s">
        <v>149</v>
      </c>
      <c r="C1580">
        <v>15</v>
      </c>
      <c r="D1580">
        <f>MONTH(cukier11[[#This Row],[data]])</f>
        <v>5</v>
      </c>
      <c r="E1580">
        <f>IF(D1581&lt;&gt;cukier11[[#This Row],[miesiac]],1,0)</f>
        <v>0</v>
      </c>
      <c r="F1580">
        <f>IF(AND(H1579&lt;5000,cukier11[[#This Row],[czy_nastapiła_zmiana_mies]]=1),ROUNDUP((5000-H1579)/1000,0),0)</f>
        <v>0</v>
      </c>
      <c r="G1580">
        <f t="shared" si="24"/>
        <v>5292</v>
      </c>
      <c r="H1580">
        <f>cukier11[[#This Row],[stan_magazynu]]-cukier11[[#This Row],[sprzedany_cukier]]</f>
        <v>5277</v>
      </c>
      <c r="I1580" s="9">
        <f>cukier11[[#This Row],[stan_po_sprzedazy]]+cukier11[[#This Row],[ile_dokupic]]*1000</f>
        <v>5277</v>
      </c>
    </row>
    <row r="1581" spans="1:9" x14ac:dyDescent="0.25">
      <c r="A1581" s="1">
        <v>41033</v>
      </c>
      <c r="B1581" t="s">
        <v>171</v>
      </c>
      <c r="C1581">
        <v>7</v>
      </c>
      <c r="D1581">
        <f>MONTH(cukier11[[#This Row],[data]])</f>
        <v>5</v>
      </c>
      <c r="E1581">
        <f>IF(D1582&lt;&gt;cukier11[[#This Row],[miesiac]],1,0)</f>
        <v>0</v>
      </c>
      <c r="F1581">
        <f>IF(AND(H1580&lt;5000,cukier11[[#This Row],[czy_nastapiła_zmiana_mies]]=1),ROUNDUP((5000-H1580)/1000,0),0)</f>
        <v>0</v>
      </c>
      <c r="G1581">
        <f t="shared" si="24"/>
        <v>5277</v>
      </c>
      <c r="H1581">
        <f>cukier11[[#This Row],[stan_magazynu]]-cukier11[[#This Row],[sprzedany_cukier]]</f>
        <v>5270</v>
      </c>
      <c r="I1581" s="9">
        <f>cukier11[[#This Row],[stan_po_sprzedazy]]+cukier11[[#This Row],[ile_dokupic]]*1000</f>
        <v>5270</v>
      </c>
    </row>
    <row r="1582" spans="1:9" x14ac:dyDescent="0.25">
      <c r="A1582" s="1">
        <v>41033</v>
      </c>
      <c r="B1582" t="s">
        <v>14</v>
      </c>
      <c r="C1582">
        <v>235</v>
      </c>
      <c r="D1582">
        <f>MONTH(cukier11[[#This Row],[data]])</f>
        <v>5</v>
      </c>
      <c r="E1582">
        <f>IF(D1583&lt;&gt;cukier11[[#This Row],[miesiac]],1,0)</f>
        <v>0</v>
      </c>
      <c r="F1582">
        <f>IF(AND(H1581&lt;5000,cukier11[[#This Row],[czy_nastapiła_zmiana_mies]]=1),ROUNDUP((5000-H1581)/1000,0),0)</f>
        <v>0</v>
      </c>
      <c r="G1582">
        <f t="shared" si="24"/>
        <v>5270</v>
      </c>
      <c r="H1582">
        <f>cukier11[[#This Row],[stan_magazynu]]-cukier11[[#This Row],[sprzedany_cukier]]</f>
        <v>5035</v>
      </c>
      <c r="I1582" s="9">
        <f>cukier11[[#This Row],[stan_po_sprzedazy]]+cukier11[[#This Row],[ile_dokupic]]*1000</f>
        <v>5035</v>
      </c>
    </row>
    <row r="1583" spans="1:9" x14ac:dyDescent="0.25">
      <c r="A1583" s="1">
        <v>41034</v>
      </c>
      <c r="B1583" t="s">
        <v>50</v>
      </c>
      <c r="C1583">
        <v>301</v>
      </c>
      <c r="D1583">
        <f>MONTH(cukier11[[#This Row],[data]])</f>
        <v>5</v>
      </c>
      <c r="E1583">
        <f>IF(D1584&lt;&gt;cukier11[[#This Row],[miesiac]],1,0)</f>
        <v>0</v>
      </c>
      <c r="F1583">
        <f>IF(AND(H1582&lt;5000,cukier11[[#This Row],[czy_nastapiła_zmiana_mies]]=1),ROUNDUP((5000-H1582)/1000,0),0)</f>
        <v>0</v>
      </c>
      <c r="G1583">
        <f t="shared" si="24"/>
        <v>5035</v>
      </c>
      <c r="H1583">
        <f>cukier11[[#This Row],[stan_magazynu]]-cukier11[[#This Row],[sprzedany_cukier]]</f>
        <v>4734</v>
      </c>
      <c r="I1583" s="9">
        <f>cukier11[[#This Row],[stan_po_sprzedazy]]+cukier11[[#This Row],[ile_dokupic]]*1000</f>
        <v>4734</v>
      </c>
    </row>
    <row r="1584" spans="1:9" x14ac:dyDescent="0.25">
      <c r="A1584" s="1">
        <v>41036</v>
      </c>
      <c r="B1584" t="s">
        <v>5</v>
      </c>
      <c r="C1584">
        <v>136</v>
      </c>
      <c r="D1584">
        <f>MONTH(cukier11[[#This Row],[data]])</f>
        <v>5</v>
      </c>
      <c r="E1584">
        <f>IF(D1585&lt;&gt;cukier11[[#This Row],[miesiac]],1,0)</f>
        <v>0</v>
      </c>
      <c r="F1584">
        <f>IF(AND(H1583&lt;5000,cukier11[[#This Row],[czy_nastapiła_zmiana_mies]]=1),ROUNDUP((5000-H1583)/1000,0),0)</f>
        <v>0</v>
      </c>
      <c r="G1584">
        <f t="shared" si="24"/>
        <v>4734</v>
      </c>
      <c r="H1584">
        <f>cukier11[[#This Row],[stan_magazynu]]-cukier11[[#This Row],[sprzedany_cukier]]</f>
        <v>4598</v>
      </c>
      <c r="I1584" s="9">
        <f>cukier11[[#This Row],[stan_po_sprzedazy]]+cukier11[[#This Row],[ile_dokupic]]*1000</f>
        <v>4598</v>
      </c>
    </row>
    <row r="1585" spans="1:9" x14ac:dyDescent="0.25">
      <c r="A1585" s="1">
        <v>41036</v>
      </c>
      <c r="B1585" t="s">
        <v>126</v>
      </c>
      <c r="C1585">
        <v>5</v>
      </c>
      <c r="D1585">
        <f>MONTH(cukier11[[#This Row],[data]])</f>
        <v>5</v>
      </c>
      <c r="E1585">
        <f>IF(D1586&lt;&gt;cukier11[[#This Row],[miesiac]],1,0)</f>
        <v>0</v>
      </c>
      <c r="F1585">
        <f>IF(AND(H1584&lt;5000,cukier11[[#This Row],[czy_nastapiła_zmiana_mies]]=1),ROUNDUP((5000-H1584)/1000,0),0)</f>
        <v>0</v>
      </c>
      <c r="G1585">
        <f t="shared" si="24"/>
        <v>4598</v>
      </c>
      <c r="H1585">
        <f>cukier11[[#This Row],[stan_magazynu]]-cukier11[[#This Row],[sprzedany_cukier]]</f>
        <v>4593</v>
      </c>
      <c r="I1585" s="9">
        <f>cukier11[[#This Row],[stan_po_sprzedazy]]+cukier11[[#This Row],[ile_dokupic]]*1000</f>
        <v>4593</v>
      </c>
    </row>
    <row r="1586" spans="1:9" x14ac:dyDescent="0.25">
      <c r="A1586" s="1">
        <v>41037</v>
      </c>
      <c r="B1586" t="s">
        <v>7</v>
      </c>
      <c r="C1586">
        <v>280</v>
      </c>
      <c r="D1586">
        <f>MONTH(cukier11[[#This Row],[data]])</f>
        <v>5</v>
      </c>
      <c r="E1586">
        <f>IF(D1587&lt;&gt;cukier11[[#This Row],[miesiac]],1,0)</f>
        <v>0</v>
      </c>
      <c r="F1586">
        <f>IF(AND(H1585&lt;5000,cukier11[[#This Row],[czy_nastapiła_zmiana_mies]]=1),ROUNDUP((5000-H1585)/1000,0),0)</f>
        <v>0</v>
      </c>
      <c r="G1586">
        <f t="shared" si="24"/>
        <v>4593</v>
      </c>
      <c r="H1586">
        <f>cukier11[[#This Row],[stan_magazynu]]-cukier11[[#This Row],[sprzedany_cukier]]</f>
        <v>4313</v>
      </c>
      <c r="I1586" s="9">
        <f>cukier11[[#This Row],[stan_po_sprzedazy]]+cukier11[[#This Row],[ile_dokupic]]*1000</f>
        <v>4313</v>
      </c>
    </row>
    <row r="1587" spans="1:9" x14ac:dyDescent="0.25">
      <c r="A1587" s="1">
        <v>41037</v>
      </c>
      <c r="B1587" t="s">
        <v>65</v>
      </c>
      <c r="C1587">
        <v>3</v>
      </c>
      <c r="D1587">
        <f>MONTH(cukier11[[#This Row],[data]])</f>
        <v>5</v>
      </c>
      <c r="E1587">
        <f>IF(D1588&lt;&gt;cukier11[[#This Row],[miesiac]],1,0)</f>
        <v>0</v>
      </c>
      <c r="F1587">
        <f>IF(AND(H1586&lt;5000,cukier11[[#This Row],[czy_nastapiła_zmiana_mies]]=1),ROUNDUP((5000-H1586)/1000,0),0)</f>
        <v>0</v>
      </c>
      <c r="G1587">
        <f t="shared" si="24"/>
        <v>4313</v>
      </c>
      <c r="H1587">
        <f>cukier11[[#This Row],[stan_magazynu]]-cukier11[[#This Row],[sprzedany_cukier]]</f>
        <v>4310</v>
      </c>
      <c r="I1587" s="9">
        <f>cukier11[[#This Row],[stan_po_sprzedazy]]+cukier11[[#This Row],[ile_dokupic]]*1000</f>
        <v>4310</v>
      </c>
    </row>
    <row r="1588" spans="1:9" x14ac:dyDescent="0.25">
      <c r="A1588" s="1">
        <v>41040</v>
      </c>
      <c r="B1588" t="s">
        <v>206</v>
      </c>
      <c r="C1588">
        <v>14</v>
      </c>
      <c r="D1588">
        <f>MONTH(cukier11[[#This Row],[data]])</f>
        <v>5</v>
      </c>
      <c r="E1588">
        <f>IF(D1589&lt;&gt;cukier11[[#This Row],[miesiac]],1,0)</f>
        <v>0</v>
      </c>
      <c r="F1588">
        <f>IF(AND(H1587&lt;5000,cukier11[[#This Row],[czy_nastapiła_zmiana_mies]]=1),ROUNDUP((5000-H1587)/1000,0),0)</f>
        <v>0</v>
      </c>
      <c r="G1588">
        <f t="shared" si="24"/>
        <v>4310</v>
      </c>
      <c r="H1588">
        <f>cukier11[[#This Row],[stan_magazynu]]-cukier11[[#This Row],[sprzedany_cukier]]</f>
        <v>4296</v>
      </c>
      <c r="I1588" s="9">
        <f>cukier11[[#This Row],[stan_po_sprzedazy]]+cukier11[[#This Row],[ile_dokupic]]*1000</f>
        <v>4296</v>
      </c>
    </row>
    <row r="1589" spans="1:9" x14ac:dyDescent="0.25">
      <c r="A1589" s="1">
        <v>41041</v>
      </c>
      <c r="B1589" t="s">
        <v>10</v>
      </c>
      <c r="C1589">
        <v>79</v>
      </c>
      <c r="D1589">
        <f>MONTH(cukier11[[#This Row],[data]])</f>
        <v>5</v>
      </c>
      <c r="E1589">
        <f>IF(D1590&lt;&gt;cukier11[[#This Row],[miesiac]],1,0)</f>
        <v>0</v>
      </c>
      <c r="F1589">
        <f>IF(AND(H1588&lt;5000,cukier11[[#This Row],[czy_nastapiła_zmiana_mies]]=1),ROUNDUP((5000-H1588)/1000,0),0)</f>
        <v>0</v>
      </c>
      <c r="G1589">
        <f t="shared" si="24"/>
        <v>4296</v>
      </c>
      <c r="H1589">
        <f>cukier11[[#This Row],[stan_magazynu]]-cukier11[[#This Row],[sprzedany_cukier]]</f>
        <v>4217</v>
      </c>
      <c r="I1589" s="9">
        <f>cukier11[[#This Row],[stan_po_sprzedazy]]+cukier11[[#This Row],[ile_dokupic]]*1000</f>
        <v>4217</v>
      </c>
    </row>
    <row r="1590" spans="1:9" x14ac:dyDescent="0.25">
      <c r="A1590" s="1">
        <v>41042</v>
      </c>
      <c r="B1590" t="s">
        <v>173</v>
      </c>
      <c r="C1590">
        <v>86</v>
      </c>
      <c r="D1590">
        <f>MONTH(cukier11[[#This Row],[data]])</f>
        <v>5</v>
      </c>
      <c r="E1590">
        <f>IF(D1591&lt;&gt;cukier11[[#This Row],[miesiac]],1,0)</f>
        <v>0</v>
      </c>
      <c r="F1590">
        <f>IF(AND(H1589&lt;5000,cukier11[[#This Row],[czy_nastapiła_zmiana_mies]]=1),ROUNDUP((5000-H1589)/1000,0),0)</f>
        <v>0</v>
      </c>
      <c r="G1590">
        <f t="shared" si="24"/>
        <v>4217</v>
      </c>
      <c r="H1590">
        <f>cukier11[[#This Row],[stan_magazynu]]-cukier11[[#This Row],[sprzedany_cukier]]</f>
        <v>4131</v>
      </c>
      <c r="I1590" s="9">
        <f>cukier11[[#This Row],[stan_po_sprzedazy]]+cukier11[[#This Row],[ile_dokupic]]*1000</f>
        <v>4131</v>
      </c>
    </row>
    <row r="1591" spans="1:9" x14ac:dyDescent="0.25">
      <c r="A1591" s="1">
        <v>41042</v>
      </c>
      <c r="B1591" t="s">
        <v>23</v>
      </c>
      <c r="C1591">
        <v>70</v>
      </c>
      <c r="D1591">
        <f>MONTH(cukier11[[#This Row],[data]])</f>
        <v>5</v>
      </c>
      <c r="E1591">
        <f>IF(D1592&lt;&gt;cukier11[[#This Row],[miesiac]],1,0)</f>
        <v>0</v>
      </c>
      <c r="F1591">
        <f>IF(AND(H1590&lt;5000,cukier11[[#This Row],[czy_nastapiła_zmiana_mies]]=1),ROUNDUP((5000-H1590)/1000,0),0)</f>
        <v>0</v>
      </c>
      <c r="G1591">
        <f t="shared" si="24"/>
        <v>4131</v>
      </c>
      <c r="H1591">
        <f>cukier11[[#This Row],[stan_magazynu]]-cukier11[[#This Row],[sprzedany_cukier]]</f>
        <v>4061</v>
      </c>
      <c r="I1591" s="9">
        <f>cukier11[[#This Row],[stan_po_sprzedazy]]+cukier11[[#This Row],[ile_dokupic]]*1000</f>
        <v>4061</v>
      </c>
    </row>
    <row r="1592" spans="1:9" x14ac:dyDescent="0.25">
      <c r="A1592" s="1">
        <v>41043</v>
      </c>
      <c r="B1592" t="s">
        <v>20</v>
      </c>
      <c r="C1592">
        <v>189</v>
      </c>
      <c r="D1592">
        <f>MONTH(cukier11[[#This Row],[data]])</f>
        <v>5</v>
      </c>
      <c r="E1592">
        <f>IF(D1593&lt;&gt;cukier11[[#This Row],[miesiac]],1,0)</f>
        <v>0</v>
      </c>
      <c r="F1592">
        <f>IF(AND(H1591&lt;5000,cukier11[[#This Row],[czy_nastapiła_zmiana_mies]]=1),ROUNDUP((5000-H1591)/1000,0),0)</f>
        <v>0</v>
      </c>
      <c r="G1592">
        <f t="shared" si="24"/>
        <v>4061</v>
      </c>
      <c r="H1592">
        <f>cukier11[[#This Row],[stan_magazynu]]-cukier11[[#This Row],[sprzedany_cukier]]</f>
        <v>3872</v>
      </c>
      <c r="I1592" s="9">
        <f>cukier11[[#This Row],[stan_po_sprzedazy]]+cukier11[[#This Row],[ile_dokupic]]*1000</f>
        <v>3872</v>
      </c>
    </row>
    <row r="1593" spans="1:9" x14ac:dyDescent="0.25">
      <c r="A1593" s="1">
        <v>41043</v>
      </c>
      <c r="B1593" t="s">
        <v>55</v>
      </c>
      <c r="C1593">
        <v>111</v>
      </c>
      <c r="D1593">
        <f>MONTH(cukier11[[#This Row],[data]])</f>
        <v>5</v>
      </c>
      <c r="E1593">
        <f>IF(D1594&lt;&gt;cukier11[[#This Row],[miesiac]],1,0)</f>
        <v>0</v>
      </c>
      <c r="F1593">
        <f>IF(AND(H1592&lt;5000,cukier11[[#This Row],[czy_nastapiła_zmiana_mies]]=1),ROUNDUP((5000-H1592)/1000,0),0)</f>
        <v>0</v>
      </c>
      <c r="G1593">
        <f t="shared" si="24"/>
        <v>3872</v>
      </c>
      <c r="H1593">
        <f>cukier11[[#This Row],[stan_magazynu]]-cukier11[[#This Row],[sprzedany_cukier]]</f>
        <v>3761</v>
      </c>
      <c r="I1593" s="9">
        <f>cukier11[[#This Row],[stan_po_sprzedazy]]+cukier11[[#This Row],[ile_dokupic]]*1000</f>
        <v>3761</v>
      </c>
    </row>
    <row r="1594" spans="1:9" x14ac:dyDescent="0.25">
      <c r="A1594" s="1">
        <v>41046</v>
      </c>
      <c r="B1594" t="s">
        <v>19</v>
      </c>
      <c r="C1594">
        <v>158</v>
      </c>
      <c r="D1594">
        <f>MONTH(cukier11[[#This Row],[data]])</f>
        <v>5</v>
      </c>
      <c r="E1594">
        <f>IF(D1595&lt;&gt;cukier11[[#This Row],[miesiac]],1,0)</f>
        <v>0</v>
      </c>
      <c r="F1594">
        <f>IF(AND(H1593&lt;5000,cukier11[[#This Row],[czy_nastapiła_zmiana_mies]]=1),ROUNDUP((5000-H1593)/1000,0),0)</f>
        <v>0</v>
      </c>
      <c r="G1594">
        <f t="shared" si="24"/>
        <v>3761</v>
      </c>
      <c r="H1594">
        <f>cukier11[[#This Row],[stan_magazynu]]-cukier11[[#This Row],[sprzedany_cukier]]</f>
        <v>3603</v>
      </c>
      <c r="I1594" s="9">
        <f>cukier11[[#This Row],[stan_po_sprzedazy]]+cukier11[[#This Row],[ile_dokupic]]*1000</f>
        <v>3603</v>
      </c>
    </row>
    <row r="1595" spans="1:9" x14ac:dyDescent="0.25">
      <c r="A1595" s="1">
        <v>41051</v>
      </c>
      <c r="B1595" t="s">
        <v>66</v>
      </c>
      <c r="C1595">
        <v>172</v>
      </c>
      <c r="D1595">
        <f>MONTH(cukier11[[#This Row],[data]])</f>
        <v>5</v>
      </c>
      <c r="E1595">
        <f>IF(D1596&lt;&gt;cukier11[[#This Row],[miesiac]],1,0)</f>
        <v>0</v>
      </c>
      <c r="F1595">
        <f>IF(AND(H1594&lt;5000,cukier11[[#This Row],[czy_nastapiła_zmiana_mies]]=1),ROUNDUP((5000-H1594)/1000,0),0)</f>
        <v>0</v>
      </c>
      <c r="G1595">
        <f t="shared" si="24"/>
        <v>3603</v>
      </c>
      <c r="H1595">
        <f>cukier11[[#This Row],[stan_magazynu]]-cukier11[[#This Row],[sprzedany_cukier]]</f>
        <v>3431</v>
      </c>
      <c r="I1595" s="9">
        <f>cukier11[[#This Row],[stan_po_sprzedazy]]+cukier11[[#This Row],[ile_dokupic]]*1000</f>
        <v>3431</v>
      </c>
    </row>
    <row r="1596" spans="1:9" x14ac:dyDescent="0.25">
      <c r="A1596" s="1">
        <v>41052</v>
      </c>
      <c r="B1596" t="s">
        <v>50</v>
      </c>
      <c r="C1596">
        <v>179</v>
      </c>
      <c r="D1596">
        <f>MONTH(cukier11[[#This Row],[data]])</f>
        <v>5</v>
      </c>
      <c r="E1596">
        <f>IF(D1597&lt;&gt;cukier11[[#This Row],[miesiac]],1,0)</f>
        <v>0</v>
      </c>
      <c r="F1596">
        <f>IF(AND(H1595&lt;5000,cukier11[[#This Row],[czy_nastapiła_zmiana_mies]]=1),ROUNDUP((5000-H1595)/1000,0),0)</f>
        <v>0</v>
      </c>
      <c r="G1596">
        <f t="shared" si="24"/>
        <v>3431</v>
      </c>
      <c r="H1596">
        <f>cukier11[[#This Row],[stan_magazynu]]-cukier11[[#This Row],[sprzedany_cukier]]</f>
        <v>3252</v>
      </c>
      <c r="I1596" s="9">
        <f>cukier11[[#This Row],[stan_po_sprzedazy]]+cukier11[[#This Row],[ile_dokupic]]*1000</f>
        <v>3252</v>
      </c>
    </row>
    <row r="1597" spans="1:9" x14ac:dyDescent="0.25">
      <c r="A1597" s="1">
        <v>41053</v>
      </c>
      <c r="B1597" t="s">
        <v>104</v>
      </c>
      <c r="C1597">
        <v>19</v>
      </c>
      <c r="D1597">
        <f>MONTH(cukier11[[#This Row],[data]])</f>
        <v>5</v>
      </c>
      <c r="E1597">
        <f>IF(D1598&lt;&gt;cukier11[[#This Row],[miesiac]],1,0)</f>
        <v>0</v>
      </c>
      <c r="F1597">
        <f>IF(AND(H1596&lt;5000,cukier11[[#This Row],[czy_nastapiła_zmiana_mies]]=1),ROUNDUP((5000-H1596)/1000,0),0)</f>
        <v>0</v>
      </c>
      <c r="G1597">
        <f t="shared" si="24"/>
        <v>3252</v>
      </c>
      <c r="H1597">
        <f>cukier11[[#This Row],[stan_magazynu]]-cukier11[[#This Row],[sprzedany_cukier]]</f>
        <v>3233</v>
      </c>
      <c r="I1597" s="9">
        <f>cukier11[[#This Row],[stan_po_sprzedazy]]+cukier11[[#This Row],[ile_dokupic]]*1000</f>
        <v>3233</v>
      </c>
    </row>
    <row r="1598" spans="1:9" x14ac:dyDescent="0.25">
      <c r="A1598" s="1">
        <v>41053</v>
      </c>
      <c r="B1598" t="s">
        <v>28</v>
      </c>
      <c r="C1598">
        <v>57</v>
      </c>
      <c r="D1598">
        <f>MONTH(cukier11[[#This Row],[data]])</f>
        <v>5</v>
      </c>
      <c r="E1598">
        <f>IF(D1599&lt;&gt;cukier11[[#This Row],[miesiac]],1,0)</f>
        <v>0</v>
      </c>
      <c r="F1598">
        <f>IF(AND(H1597&lt;5000,cukier11[[#This Row],[czy_nastapiła_zmiana_mies]]=1),ROUNDUP((5000-H1597)/1000,0),0)</f>
        <v>0</v>
      </c>
      <c r="G1598">
        <f t="shared" si="24"/>
        <v>3233</v>
      </c>
      <c r="H1598">
        <f>cukier11[[#This Row],[stan_magazynu]]-cukier11[[#This Row],[sprzedany_cukier]]</f>
        <v>3176</v>
      </c>
      <c r="I1598" s="9">
        <f>cukier11[[#This Row],[stan_po_sprzedazy]]+cukier11[[#This Row],[ile_dokupic]]*1000</f>
        <v>3176</v>
      </c>
    </row>
    <row r="1599" spans="1:9" x14ac:dyDescent="0.25">
      <c r="A1599" s="1">
        <v>41054</v>
      </c>
      <c r="B1599" t="s">
        <v>50</v>
      </c>
      <c r="C1599">
        <v>335</v>
      </c>
      <c r="D1599">
        <f>MONTH(cukier11[[#This Row],[data]])</f>
        <v>5</v>
      </c>
      <c r="E1599">
        <f>IF(D1600&lt;&gt;cukier11[[#This Row],[miesiac]],1,0)</f>
        <v>0</v>
      </c>
      <c r="F1599">
        <f>IF(AND(H1598&lt;5000,cukier11[[#This Row],[czy_nastapiła_zmiana_mies]]=1),ROUNDUP((5000-H1598)/1000,0),0)</f>
        <v>0</v>
      </c>
      <c r="G1599">
        <f t="shared" si="24"/>
        <v>3176</v>
      </c>
      <c r="H1599">
        <f>cukier11[[#This Row],[stan_magazynu]]-cukier11[[#This Row],[sprzedany_cukier]]</f>
        <v>2841</v>
      </c>
      <c r="I1599" s="9">
        <f>cukier11[[#This Row],[stan_po_sprzedazy]]+cukier11[[#This Row],[ile_dokupic]]*1000</f>
        <v>2841</v>
      </c>
    </row>
    <row r="1600" spans="1:9" x14ac:dyDescent="0.25">
      <c r="A1600" s="1">
        <v>41060</v>
      </c>
      <c r="B1600" t="s">
        <v>164</v>
      </c>
      <c r="C1600">
        <v>12</v>
      </c>
      <c r="D1600">
        <f>MONTH(cukier11[[#This Row],[data]])</f>
        <v>5</v>
      </c>
      <c r="E1600">
        <f>IF(D1601&lt;&gt;cukier11[[#This Row],[miesiac]],1,0)</f>
        <v>1</v>
      </c>
      <c r="F1600">
        <f>IF(AND(H1599&lt;5000,cukier11[[#This Row],[czy_nastapiła_zmiana_mies]]=1),ROUNDUP((5000-H1599)/1000,0),0)</f>
        <v>3</v>
      </c>
      <c r="G1600">
        <f t="shared" si="24"/>
        <v>2841</v>
      </c>
      <c r="H1600">
        <f>cukier11[[#This Row],[stan_magazynu]]-cukier11[[#This Row],[sprzedany_cukier]]</f>
        <v>2829</v>
      </c>
      <c r="I1600" s="9">
        <f>cukier11[[#This Row],[stan_po_sprzedazy]]+cukier11[[#This Row],[ile_dokupic]]*1000</f>
        <v>5829</v>
      </c>
    </row>
    <row r="1601" spans="1:9" x14ac:dyDescent="0.25">
      <c r="A1601" s="1">
        <v>41061</v>
      </c>
      <c r="B1601" t="s">
        <v>125</v>
      </c>
      <c r="C1601">
        <v>2</v>
      </c>
      <c r="D1601">
        <f>MONTH(cukier11[[#This Row],[data]])</f>
        <v>6</v>
      </c>
      <c r="E1601">
        <f>IF(D1602&lt;&gt;cukier11[[#This Row],[miesiac]],1,0)</f>
        <v>0</v>
      </c>
      <c r="F1601">
        <f>IF(AND(H1600&lt;5000,cukier11[[#This Row],[czy_nastapiła_zmiana_mies]]=1),ROUNDUP((5000-H1600)/1000,0),0)</f>
        <v>0</v>
      </c>
      <c r="G1601">
        <f t="shared" si="24"/>
        <v>5829</v>
      </c>
      <c r="H1601">
        <f>cukier11[[#This Row],[stan_magazynu]]-cukier11[[#This Row],[sprzedany_cukier]]</f>
        <v>5827</v>
      </c>
      <c r="I1601" s="9">
        <f>cukier11[[#This Row],[stan_po_sprzedazy]]+cukier11[[#This Row],[ile_dokupic]]*1000</f>
        <v>5827</v>
      </c>
    </row>
    <row r="1602" spans="1:9" x14ac:dyDescent="0.25">
      <c r="A1602" s="1">
        <v>41061</v>
      </c>
      <c r="B1602" t="s">
        <v>50</v>
      </c>
      <c r="C1602">
        <v>237</v>
      </c>
      <c r="D1602">
        <f>MONTH(cukier11[[#This Row],[data]])</f>
        <v>6</v>
      </c>
      <c r="E1602">
        <f>IF(D1603&lt;&gt;cukier11[[#This Row],[miesiac]],1,0)</f>
        <v>0</v>
      </c>
      <c r="F1602">
        <f>IF(AND(H1601&lt;5000,cukier11[[#This Row],[czy_nastapiła_zmiana_mies]]=1),ROUNDUP((5000-H1601)/1000,0),0)</f>
        <v>0</v>
      </c>
      <c r="G1602">
        <f t="shared" si="24"/>
        <v>5827</v>
      </c>
      <c r="H1602">
        <f>cukier11[[#This Row],[stan_magazynu]]-cukier11[[#This Row],[sprzedany_cukier]]</f>
        <v>5590</v>
      </c>
      <c r="I1602" s="9">
        <f>cukier11[[#This Row],[stan_po_sprzedazy]]+cukier11[[#This Row],[ile_dokupic]]*1000</f>
        <v>5590</v>
      </c>
    </row>
    <row r="1603" spans="1:9" x14ac:dyDescent="0.25">
      <c r="A1603" s="1">
        <v>41064</v>
      </c>
      <c r="B1603" t="s">
        <v>7</v>
      </c>
      <c r="C1603">
        <v>482</v>
      </c>
      <c r="D1603">
        <f>MONTH(cukier11[[#This Row],[data]])</f>
        <v>6</v>
      </c>
      <c r="E1603">
        <f>IF(D1604&lt;&gt;cukier11[[#This Row],[miesiac]],1,0)</f>
        <v>0</v>
      </c>
      <c r="F1603">
        <f>IF(AND(H1602&lt;5000,cukier11[[#This Row],[czy_nastapiła_zmiana_mies]]=1),ROUNDUP((5000-H1602)/1000,0),0)</f>
        <v>0</v>
      </c>
      <c r="G1603">
        <f t="shared" si="24"/>
        <v>5590</v>
      </c>
      <c r="H1603">
        <f>cukier11[[#This Row],[stan_magazynu]]-cukier11[[#This Row],[sprzedany_cukier]]</f>
        <v>5108</v>
      </c>
      <c r="I1603" s="9">
        <f>cukier11[[#This Row],[stan_po_sprzedazy]]+cukier11[[#This Row],[ile_dokupic]]*1000</f>
        <v>5108</v>
      </c>
    </row>
    <row r="1604" spans="1:9" x14ac:dyDescent="0.25">
      <c r="A1604" s="1">
        <v>41064</v>
      </c>
      <c r="B1604" t="s">
        <v>125</v>
      </c>
      <c r="C1604">
        <v>8</v>
      </c>
      <c r="D1604">
        <f>MONTH(cukier11[[#This Row],[data]])</f>
        <v>6</v>
      </c>
      <c r="E1604">
        <f>IF(D1605&lt;&gt;cukier11[[#This Row],[miesiac]],1,0)</f>
        <v>0</v>
      </c>
      <c r="F1604">
        <f>IF(AND(H1603&lt;5000,cukier11[[#This Row],[czy_nastapiła_zmiana_mies]]=1),ROUNDUP((5000-H1603)/1000,0),0)</f>
        <v>0</v>
      </c>
      <c r="G1604">
        <f t="shared" ref="G1604:G1667" si="25">I1603</f>
        <v>5108</v>
      </c>
      <c r="H1604">
        <f>cukier11[[#This Row],[stan_magazynu]]-cukier11[[#This Row],[sprzedany_cukier]]</f>
        <v>5100</v>
      </c>
      <c r="I1604" s="9">
        <f>cukier11[[#This Row],[stan_po_sprzedazy]]+cukier11[[#This Row],[ile_dokupic]]*1000</f>
        <v>5100</v>
      </c>
    </row>
    <row r="1605" spans="1:9" x14ac:dyDescent="0.25">
      <c r="A1605" s="1">
        <v>41067</v>
      </c>
      <c r="B1605" t="s">
        <v>35</v>
      </c>
      <c r="C1605">
        <v>147</v>
      </c>
      <c r="D1605">
        <f>MONTH(cukier11[[#This Row],[data]])</f>
        <v>6</v>
      </c>
      <c r="E1605">
        <f>IF(D1606&lt;&gt;cukier11[[#This Row],[miesiac]],1,0)</f>
        <v>0</v>
      </c>
      <c r="F1605">
        <f>IF(AND(H1604&lt;5000,cukier11[[#This Row],[czy_nastapiła_zmiana_mies]]=1),ROUNDUP((5000-H1604)/1000,0),0)</f>
        <v>0</v>
      </c>
      <c r="G1605">
        <f t="shared" si="25"/>
        <v>5100</v>
      </c>
      <c r="H1605">
        <f>cukier11[[#This Row],[stan_magazynu]]-cukier11[[#This Row],[sprzedany_cukier]]</f>
        <v>4953</v>
      </c>
      <c r="I1605" s="9">
        <f>cukier11[[#This Row],[stan_po_sprzedazy]]+cukier11[[#This Row],[ile_dokupic]]*1000</f>
        <v>4953</v>
      </c>
    </row>
    <row r="1606" spans="1:9" x14ac:dyDescent="0.25">
      <c r="A1606" s="1">
        <v>41069</v>
      </c>
      <c r="B1606" t="s">
        <v>22</v>
      </c>
      <c r="C1606">
        <v>224</v>
      </c>
      <c r="D1606">
        <f>MONTH(cukier11[[#This Row],[data]])</f>
        <v>6</v>
      </c>
      <c r="E1606">
        <f>IF(D1607&lt;&gt;cukier11[[#This Row],[miesiac]],1,0)</f>
        <v>0</v>
      </c>
      <c r="F1606">
        <f>IF(AND(H1605&lt;5000,cukier11[[#This Row],[czy_nastapiła_zmiana_mies]]=1),ROUNDUP((5000-H1605)/1000,0),0)</f>
        <v>0</v>
      </c>
      <c r="G1606">
        <f t="shared" si="25"/>
        <v>4953</v>
      </c>
      <c r="H1606">
        <f>cukier11[[#This Row],[stan_magazynu]]-cukier11[[#This Row],[sprzedany_cukier]]</f>
        <v>4729</v>
      </c>
      <c r="I1606" s="9">
        <f>cukier11[[#This Row],[stan_po_sprzedazy]]+cukier11[[#This Row],[ile_dokupic]]*1000</f>
        <v>4729</v>
      </c>
    </row>
    <row r="1607" spans="1:9" x14ac:dyDescent="0.25">
      <c r="A1607" s="1">
        <v>41070</v>
      </c>
      <c r="B1607" t="s">
        <v>177</v>
      </c>
      <c r="C1607">
        <v>11</v>
      </c>
      <c r="D1607">
        <f>MONTH(cukier11[[#This Row],[data]])</f>
        <v>6</v>
      </c>
      <c r="E1607">
        <f>IF(D1608&lt;&gt;cukier11[[#This Row],[miesiac]],1,0)</f>
        <v>0</v>
      </c>
      <c r="F1607">
        <f>IF(AND(H1606&lt;5000,cukier11[[#This Row],[czy_nastapiła_zmiana_mies]]=1),ROUNDUP((5000-H1606)/1000,0),0)</f>
        <v>0</v>
      </c>
      <c r="G1607">
        <f t="shared" si="25"/>
        <v>4729</v>
      </c>
      <c r="H1607">
        <f>cukier11[[#This Row],[stan_magazynu]]-cukier11[[#This Row],[sprzedany_cukier]]</f>
        <v>4718</v>
      </c>
      <c r="I1607" s="9">
        <f>cukier11[[#This Row],[stan_po_sprzedazy]]+cukier11[[#This Row],[ile_dokupic]]*1000</f>
        <v>4718</v>
      </c>
    </row>
    <row r="1608" spans="1:9" x14ac:dyDescent="0.25">
      <c r="A1608" s="1">
        <v>41074</v>
      </c>
      <c r="B1608" t="s">
        <v>37</v>
      </c>
      <c r="C1608">
        <v>184</v>
      </c>
      <c r="D1608">
        <f>MONTH(cukier11[[#This Row],[data]])</f>
        <v>6</v>
      </c>
      <c r="E1608">
        <f>IF(D1609&lt;&gt;cukier11[[#This Row],[miesiac]],1,0)</f>
        <v>0</v>
      </c>
      <c r="F1608">
        <f>IF(AND(H1607&lt;5000,cukier11[[#This Row],[czy_nastapiła_zmiana_mies]]=1),ROUNDUP((5000-H1607)/1000,0),0)</f>
        <v>0</v>
      </c>
      <c r="G1608">
        <f t="shared" si="25"/>
        <v>4718</v>
      </c>
      <c r="H1608">
        <f>cukier11[[#This Row],[stan_magazynu]]-cukier11[[#This Row],[sprzedany_cukier]]</f>
        <v>4534</v>
      </c>
      <c r="I1608" s="9">
        <f>cukier11[[#This Row],[stan_po_sprzedazy]]+cukier11[[#This Row],[ile_dokupic]]*1000</f>
        <v>4534</v>
      </c>
    </row>
    <row r="1609" spans="1:9" x14ac:dyDescent="0.25">
      <c r="A1609" s="1">
        <v>41076</v>
      </c>
      <c r="B1609" t="s">
        <v>168</v>
      </c>
      <c r="C1609">
        <v>20</v>
      </c>
      <c r="D1609">
        <f>MONTH(cukier11[[#This Row],[data]])</f>
        <v>6</v>
      </c>
      <c r="E1609">
        <f>IF(D1610&lt;&gt;cukier11[[#This Row],[miesiac]],1,0)</f>
        <v>0</v>
      </c>
      <c r="F1609">
        <f>IF(AND(H1608&lt;5000,cukier11[[#This Row],[czy_nastapiła_zmiana_mies]]=1),ROUNDUP((5000-H1608)/1000,0),0)</f>
        <v>0</v>
      </c>
      <c r="G1609">
        <f t="shared" si="25"/>
        <v>4534</v>
      </c>
      <c r="H1609">
        <f>cukier11[[#This Row],[stan_magazynu]]-cukier11[[#This Row],[sprzedany_cukier]]</f>
        <v>4514</v>
      </c>
      <c r="I1609" s="9">
        <f>cukier11[[#This Row],[stan_po_sprzedazy]]+cukier11[[#This Row],[ile_dokupic]]*1000</f>
        <v>4514</v>
      </c>
    </row>
    <row r="1610" spans="1:9" x14ac:dyDescent="0.25">
      <c r="A1610" s="1">
        <v>41076</v>
      </c>
      <c r="B1610" t="s">
        <v>50</v>
      </c>
      <c r="C1610">
        <v>221</v>
      </c>
      <c r="D1610">
        <f>MONTH(cukier11[[#This Row],[data]])</f>
        <v>6</v>
      </c>
      <c r="E1610">
        <f>IF(D1611&lt;&gt;cukier11[[#This Row],[miesiac]],1,0)</f>
        <v>0</v>
      </c>
      <c r="F1610">
        <f>IF(AND(H1609&lt;5000,cukier11[[#This Row],[czy_nastapiła_zmiana_mies]]=1),ROUNDUP((5000-H1609)/1000,0),0)</f>
        <v>0</v>
      </c>
      <c r="G1610">
        <f t="shared" si="25"/>
        <v>4514</v>
      </c>
      <c r="H1610">
        <f>cukier11[[#This Row],[stan_magazynu]]-cukier11[[#This Row],[sprzedany_cukier]]</f>
        <v>4293</v>
      </c>
      <c r="I1610" s="9">
        <f>cukier11[[#This Row],[stan_po_sprzedazy]]+cukier11[[#This Row],[ile_dokupic]]*1000</f>
        <v>4293</v>
      </c>
    </row>
    <row r="1611" spans="1:9" x14ac:dyDescent="0.25">
      <c r="A1611" s="1">
        <v>41079</v>
      </c>
      <c r="B1611" t="s">
        <v>37</v>
      </c>
      <c r="C1611">
        <v>162</v>
      </c>
      <c r="D1611">
        <f>MONTH(cukier11[[#This Row],[data]])</f>
        <v>6</v>
      </c>
      <c r="E1611">
        <f>IF(D1612&lt;&gt;cukier11[[#This Row],[miesiac]],1,0)</f>
        <v>0</v>
      </c>
      <c r="F1611">
        <f>IF(AND(H1610&lt;5000,cukier11[[#This Row],[czy_nastapiła_zmiana_mies]]=1),ROUNDUP((5000-H1610)/1000,0),0)</f>
        <v>0</v>
      </c>
      <c r="G1611">
        <f t="shared" si="25"/>
        <v>4293</v>
      </c>
      <c r="H1611">
        <f>cukier11[[#This Row],[stan_magazynu]]-cukier11[[#This Row],[sprzedany_cukier]]</f>
        <v>4131</v>
      </c>
      <c r="I1611" s="9">
        <f>cukier11[[#This Row],[stan_po_sprzedazy]]+cukier11[[#This Row],[ile_dokupic]]*1000</f>
        <v>4131</v>
      </c>
    </row>
    <row r="1612" spans="1:9" x14ac:dyDescent="0.25">
      <c r="A1612" s="1">
        <v>41083</v>
      </c>
      <c r="B1612" t="s">
        <v>91</v>
      </c>
      <c r="C1612">
        <v>19</v>
      </c>
      <c r="D1612">
        <f>MONTH(cukier11[[#This Row],[data]])</f>
        <v>6</v>
      </c>
      <c r="E1612">
        <f>IF(D1613&lt;&gt;cukier11[[#This Row],[miesiac]],1,0)</f>
        <v>0</v>
      </c>
      <c r="F1612">
        <f>IF(AND(H1611&lt;5000,cukier11[[#This Row],[czy_nastapiła_zmiana_mies]]=1),ROUNDUP((5000-H1611)/1000,0),0)</f>
        <v>0</v>
      </c>
      <c r="G1612">
        <f t="shared" si="25"/>
        <v>4131</v>
      </c>
      <c r="H1612">
        <f>cukier11[[#This Row],[stan_magazynu]]-cukier11[[#This Row],[sprzedany_cukier]]</f>
        <v>4112</v>
      </c>
      <c r="I1612" s="9">
        <f>cukier11[[#This Row],[stan_po_sprzedazy]]+cukier11[[#This Row],[ile_dokupic]]*1000</f>
        <v>4112</v>
      </c>
    </row>
    <row r="1613" spans="1:9" x14ac:dyDescent="0.25">
      <c r="A1613" s="1">
        <v>41088</v>
      </c>
      <c r="B1613" t="s">
        <v>178</v>
      </c>
      <c r="C1613">
        <v>1</v>
      </c>
      <c r="D1613">
        <f>MONTH(cukier11[[#This Row],[data]])</f>
        <v>6</v>
      </c>
      <c r="E1613">
        <f>IF(D1614&lt;&gt;cukier11[[#This Row],[miesiac]],1,0)</f>
        <v>0</v>
      </c>
      <c r="F1613">
        <f>IF(AND(H1612&lt;5000,cukier11[[#This Row],[czy_nastapiła_zmiana_mies]]=1),ROUNDUP((5000-H1612)/1000,0),0)</f>
        <v>0</v>
      </c>
      <c r="G1613">
        <f t="shared" si="25"/>
        <v>4112</v>
      </c>
      <c r="H1613">
        <f>cukier11[[#This Row],[stan_magazynu]]-cukier11[[#This Row],[sprzedany_cukier]]</f>
        <v>4111</v>
      </c>
      <c r="I1613" s="9">
        <f>cukier11[[#This Row],[stan_po_sprzedazy]]+cukier11[[#This Row],[ile_dokupic]]*1000</f>
        <v>4111</v>
      </c>
    </row>
    <row r="1614" spans="1:9" x14ac:dyDescent="0.25">
      <c r="A1614" s="1">
        <v>41090</v>
      </c>
      <c r="B1614" t="s">
        <v>12</v>
      </c>
      <c r="C1614">
        <v>122</v>
      </c>
      <c r="D1614">
        <f>MONTH(cukier11[[#This Row],[data]])</f>
        <v>6</v>
      </c>
      <c r="E1614">
        <f>IF(D1615&lt;&gt;cukier11[[#This Row],[miesiac]],1,0)</f>
        <v>0</v>
      </c>
      <c r="F1614">
        <f>IF(AND(H1613&lt;5000,cukier11[[#This Row],[czy_nastapiła_zmiana_mies]]=1),ROUNDUP((5000-H1613)/1000,0),0)</f>
        <v>0</v>
      </c>
      <c r="G1614">
        <f t="shared" si="25"/>
        <v>4111</v>
      </c>
      <c r="H1614">
        <f>cukier11[[#This Row],[stan_magazynu]]-cukier11[[#This Row],[sprzedany_cukier]]</f>
        <v>3989</v>
      </c>
      <c r="I1614" s="9">
        <f>cukier11[[#This Row],[stan_po_sprzedazy]]+cukier11[[#This Row],[ile_dokupic]]*1000</f>
        <v>3989</v>
      </c>
    </row>
    <row r="1615" spans="1:9" x14ac:dyDescent="0.25">
      <c r="A1615" s="1">
        <v>41090</v>
      </c>
      <c r="B1615" t="s">
        <v>17</v>
      </c>
      <c r="C1615">
        <v>163</v>
      </c>
      <c r="D1615">
        <f>MONTH(cukier11[[#This Row],[data]])</f>
        <v>6</v>
      </c>
      <c r="E1615">
        <f>IF(D1616&lt;&gt;cukier11[[#This Row],[miesiac]],1,0)</f>
        <v>1</v>
      </c>
      <c r="F1615">
        <f>IF(AND(H1614&lt;5000,cukier11[[#This Row],[czy_nastapiła_zmiana_mies]]=1),ROUNDUP((5000-H1614)/1000,0),0)</f>
        <v>2</v>
      </c>
      <c r="G1615">
        <f t="shared" si="25"/>
        <v>3989</v>
      </c>
      <c r="H1615">
        <f>cukier11[[#This Row],[stan_magazynu]]-cukier11[[#This Row],[sprzedany_cukier]]</f>
        <v>3826</v>
      </c>
      <c r="I1615" s="9">
        <f>cukier11[[#This Row],[stan_po_sprzedazy]]+cukier11[[#This Row],[ile_dokupic]]*1000</f>
        <v>5826</v>
      </c>
    </row>
    <row r="1616" spans="1:9" x14ac:dyDescent="0.25">
      <c r="A1616" s="1">
        <v>41091</v>
      </c>
      <c r="B1616" t="s">
        <v>66</v>
      </c>
      <c r="C1616">
        <v>29</v>
      </c>
      <c r="D1616">
        <f>MONTH(cukier11[[#This Row],[data]])</f>
        <v>7</v>
      </c>
      <c r="E1616">
        <f>IF(D1617&lt;&gt;cukier11[[#This Row],[miesiac]],1,0)</f>
        <v>0</v>
      </c>
      <c r="F1616">
        <f>IF(AND(H1615&lt;5000,cukier11[[#This Row],[czy_nastapiła_zmiana_mies]]=1),ROUNDUP((5000-H1615)/1000,0),0)</f>
        <v>0</v>
      </c>
      <c r="G1616">
        <f t="shared" si="25"/>
        <v>5826</v>
      </c>
      <c r="H1616">
        <f>cukier11[[#This Row],[stan_magazynu]]-cukier11[[#This Row],[sprzedany_cukier]]</f>
        <v>5797</v>
      </c>
      <c r="I1616" s="9">
        <f>cukier11[[#This Row],[stan_po_sprzedazy]]+cukier11[[#This Row],[ile_dokupic]]*1000</f>
        <v>5797</v>
      </c>
    </row>
    <row r="1617" spans="1:9" x14ac:dyDescent="0.25">
      <c r="A1617" s="1">
        <v>41095</v>
      </c>
      <c r="B1617" t="s">
        <v>55</v>
      </c>
      <c r="C1617">
        <v>106</v>
      </c>
      <c r="D1617">
        <f>MONTH(cukier11[[#This Row],[data]])</f>
        <v>7</v>
      </c>
      <c r="E1617">
        <f>IF(D1618&lt;&gt;cukier11[[#This Row],[miesiac]],1,0)</f>
        <v>0</v>
      </c>
      <c r="F1617">
        <f>IF(AND(H1616&lt;5000,cukier11[[#This Row],[czy_nastapiła_zmiana_mies]]=1),ROUNDUP((5000-H1616)/1000,0),0)</f>
        <v>0</v>
      </c>
      <c r="G1617">
        <f t="shared" si="25"/>
        <v>5797</v>
      </c>
      <c r="H1617">
        <f>cukier11[[#This Row],[stan_magazynu]]-cukier11[[#This Row],[sprzedany_cukier]]</f>
        <v>5691</v>
      </c>
      <c r="I1617" s="9">
        <f>cukier11[[#This Row],[stan_po_sprzedazy]]+cukier11[[#This Row],[ile_dokupic]]*1000</f>
        <v>5691</v>
      </c>
    </row>
    <row r="1618" spans="1:9" x14ac:dyDescent="0.25">
      <c r="A1618" s="1">
        <v>41096</v>
      </c>
      <c r="B1618" t="s">
        <v>14</v>
      </c>
      <c r="C1618">
        <v>112</v>
      </c>
      <c r="D1618">
        <f>MONTH(cukier11[[#This Row],[data]])</f>
        <v>7</v>
      </c>
      <c r="E1618">
        <f>IF(D1619&lt;&gt;cukier11[[#This Row],[miesiac]],1,0)</f>
        <v>0</v>
      </c>
      <c r="F1618">
        <f>IF(AND(H1617&lt;5000,cukier11[[#This Row],[czy_nastapiła_zmiana_mies]]=1),ROUNDUP((5000-H1617)/1000,0),0)</f>
        <v>0</v>
      </c>
      <c r="G1618">
        <f t="shared" si="25"/>
        <v>5691</v>
      </c>
      <c r="H1618">
        <f>cukier11[[#This Row],[stan_magazynu]]-cukier11[[#This Row],[sprzedany_cukier]]</f>
        <v>5579</v>
      </c>
      <c r="I1618" s="9">
        <f>cukier11[[#This Row],[stan_po_sprzedazy]]+cukier11[[#This Row],[ile_dokupic]]*1000</f>
        <v>5579</v>
      </c>
    </row>
    <row r="1619" spans="1:9" x14ac:dyDescent="0.25">
      <c r="A1619" s="1">
        <v>41097</v>
      </c>
      <c r="B1619" t="s">
        <v>28</v>
      </c>
      <c r="C1619">
        <v>90</v>
      </c>
      <c r="D1619">
        <f>MONTH(cukier11[[#This Row],[data]])</f>
        <v>7</v>
      </c>
      <c r="E1619">
        <f>IF(D1620&lt;&gt;cukier11[[#This Row],[miesiac]],1,0)</f>
        <v>0</v>
      </c>
      <c r="F1619">
        <f>IF(AND(H1618&lt;5000,cukier11[[#This Row],[czy_nastapiła_zmiana_mies]]=1),ROUNDUP((5000-H1618)/1000,0),0)</f>
        <v>0</v>
      </c>
      <c r="G1619">
        <f t="shared" si="25"/>
        <v>5579</v>
      </c>
      <c r="H1619">
        <f>cukier11[[#This Row],[stan_magazynu]]-cukier11[[#This Row],[sprzedany_cukier]]</f>
        <v>5489</v>
      </c>
      <c r="I1619" s="9">
        <f>cukier11[[#This Row],[stan_po_sprzedazy]]+cukier11[[#This Row],[ile_dokupic]]*1000</f>
        <v>5489</v>
      </c>
    </row>
    <row r="1620" spans="1:9" x14ac:dyDescent="0.25">
      <c r="A1620" s="1">
        <v>41099</v>
      </c>
      <c r="B1620" t="s">
        <v>16</v>
      </c>
      <c r="C1620">
        <v>7</v>
      </c>
      <c r="D1620">
        <f>MONTH(cukier11[[#This Row],[data]])</f>
        <v>7</v>
      </c>
      <c r="E1620">
        <f>IF(D1621&lt;&gt;cukier11[[#This Row],[miesiac]],1,0)</f>
        <v>0</v>
      </c>
      <c r="F1620">
        <f>IF(AND(H1619&lt;5000,cukier11[[#This Row],[czy_nastapiła_zmiana_mies]]=1),ROUNDUP((5000-H1619)/1000,0),0)</f>
        <v>0</v>
      </c>
      <c r="G1620">
        <f t="shared" si="25"/>
        <v>5489</v>
      </c>
      <c r="H1620">
        <f>cukier11[[#This Row],[stan_magazynu]]-cukier11[[#This Row],[sprzedany_cukier]]</f>
        <v>5482</v>
      </c>
      <c r="I1620" s="9">
        <f>cukier11[[#This Row],[stan_po_sprzedazy]]+cukier11[[#This Row],[ile_dokupic]]*1000</f>
        <v>5482</v>
      </c>
    </row>
    <row r="1621" spans="1:9" x14ac:dyDescent="0.25">
      <c r="A1621" s="1">
        <v>41099</v>
      </c>
      <c r="B1621" t="s">
        <v>23</v>
      </c>
      <c r="C1621">
        <v>27</v>
      </c>
      <c r="D1621">
        <f>MONTH(cukier11[[#This Row],[data]])</f>
        <v>7</v>
      </c>
      <c r="E1621">
        <f>IF(D1622&lt;&gt;cukier11[[#This Row],[miesiac]],1,0)</f>
        <v>0</v>
      </c>
      <c r="F1621">
        <f>IF(AND(H1620&lt;5000,cukier11[[#This Row],[czy_nastapiła_zmiana_mies]]=1),ROUNDUP((5000-H1620)/1000,0),0)</f>
        <v>0</v>
      </c>
      <c r="G1621">
        <f t="shared" si="25"/>
        <v>5482</v>
      </c>
      <c r="H1621">
        <f>cukier11[[#This Row],[stan_magazynu]]-cukier11[[#This Row],[sprzedany_cukier]]</f>
        <v>5455</v>
      </c>
      <c r="I1621" s="9">
        <f>cukier11[[#This Row],[stan_po_sprzedazy]]+cukier11[[#This Row],[ile_dokupic]]*1000</f>
        <v>5455</v>
      </c>
    </row>
    <row r="1622" spans="1:9" x14ac:dyDescent="0.25">
      <c r="A1622" s="1">
        <v>41099</v>
      </c>
      <c r="B1622" t="s">
        <v>61</v>
      </c>
      <c r="C1622">
        <v>185</v>
      </c>
      <c r="D1622">
        <f>MONTH(cukier11[[#This Row],[data]])</f>
        <v>7</v>
      </c>
      <c r="E1622">
        <f>IF(D1623&lt;&gt;cukier11[[#This Row],[miesiac]],1,0)</f>
        <v>0</v>
      </c>
      <c r="F1622">
        <f>IF(AND(H1621&lt;5000,cukier11[[#This Row],[czy_nastapiła_zmiana_mies]]=1),ROUNDUP((5000-H1621)/1000,0),0)</f>
        <v>0</v>
      </c>
      <c r="G1622">
        <f t="shared" si="25"/>
        <v>5455</v>
      </c>
      <c r="H1622">
        <f>cukier11[[#This Row],[stan_magazynu]]-cukier11[[#This Row],[sprzedany_cukier]]</f>
        <v>5270</v>
      </c>
      <c r="I1622" s="9">
        <f>cukier11[[#This Row],[stan_po_sprzedazy]]+cukier11[[#This Row],[ile_dokupic]]*1000</f>
        <v>5270</v>
      </c>
    </row>
    <row r="1623" spans="1:9" x14ac:dyDescent="0.25">
      <c r="A1623" s="1">
        <v>41100</v>
      </c>
      <c r="B1623" t="s">
        <v>22</v>
      </c>
      <c r="C1623">
        <v>153</v>
      </c>
      <c r="D1623">
        <f>MONTH(cukier11[[#This Row],[data]])</f>
        <v>7</v>
      </c>
      <c r="E1623">
        <f>IF(D1624&lt;&gt;cukier11[[#This Row],[miesiac]],1,0)</f>
        <v>0</v>
      </c>
      <c r="F1623">
        <f>IF(AND(H1622&lt;5000,cukier11[[#This Row],[czy_nastapiła_zmiana_mies]]=1),ROUNDUP((5000-H1622)/1000,0),0)</f>
        <v>0</v>
      </c>
      <c r="G1623">
        <f t="shared" si="25"/>
        <v>5270</v>
      </c>
      <c r="H1623">
        <f>cukier11[[#This Row],[stan_magazynu]]-cukier11[[#This Row],[sprzedany_cukier]]</f>
        <v>5117</v>
      </c>
      <c r="I1623" s="9">
        <f>cukier11[[#This Row],[stan_po_sprzedazy]]+cukier11[[#This Row],[ile_dokupic]]*1000</f>
        <v>5117</v>
      </c>
    </row>
    <row r="1624" spans="1:9" x14ac:dyDescent="0.25">
      <c r="A1624" s="1">
        <v>41102</v>
      </c>
      <c r="B1624" t="s">
        <v>61</v>
      </c>
      <c r="C1624">
        <v>109</v>
      </c>
      <c r="D1624">
        <f>MONTH(cukier11[[#This Row],[data]])</f>
        <v>7</v>
      </c>
      <c r="E1624">
        <f>IF(D1625&lt;&gt;cukier11[[#This Row],[miesiac]],1,0)</f>
        <v>0</v>
      </c>
      <c r="F1624">
        <f>IF(AND(H1623&lt;5000,cukier11[[#This Row],[czy_nastapiła_zmiana_mies]]=1),ROUNDUP((5000-H1623)/1000,0),0)</f>
        <v>0</v>
      </c>
      <c r="G1624">
        <f t="shared" si="25"/>
        <v>5117</v>
      </c>
      <c r="H1624">
        <f>cukier11[[#This Row],[stan_magazynu]]-cukier11[[#This Row],[sprzedany_cukier]]</f>
        <v>5008</v>
      </c>
      <c r="I1624" s="9">
        <f>cukier11[[#This Row],[stan_po_sprzedazy]]+cukier11[[#This Row],[ile_dokupic]]*1000</f>
        <v>5008</v>
      </c>
    </row>
    <row r="1625" spans="1:9" x14ac:dyDescent="0.25">
      <c r="A1625" s="1">
        <v>41104</v>
      </c>
      <c r="B1625" t="s">
        <v>211</v>
      </c>
      <c r="C1625">
        <v>10</v>
      </c>
      <c r="D1625">
        <f>MONTH(cukier11[[#This Row],[data]])</f>
        <v>7</v>
      </c>
      <c r="E1625">
        <f>IF(D1626&lt;&gt;cukier11[[#This Row],[miesiac]],1,0)</f>
        <v>0</v>
      </c>
      <c r="F1625">
        <f>IF(AND(H1624&lt;5000,cukier11[[#This Row],[czy_nastapiła_zmiana_mies]]=1),ROUNDUP((5000-H1624)/1000,0),0)</f>
        <v>0</v>
      </c>
      <c r="G1625">
        <f t="shared" si="25"/>
        <v>5008</v>
      </c>
      <c r="H1625">
        <f>cukier11[[#This Row],[stan_magazynu]]-cukier11[[#This Row],[sprzedany_cukier]]</f>
        <v>4998</v>
      </c>
      <c r="I1625" s="9">
        <f>cukier11[[#This Row],[stan_po_sprzedazy]]+cukier11[[#This Row],[ile_dokupic]]*1000</f>
        <v>4998</v>
      </c>
    </row>
    <row r="1626" spans="1:9" x14ac:dyDescent="0.25">
      <c r="A1626" s="1">
        <v>41104</v>
      </c>
      <c r="B1626" t="s">
        <v>79</v>
      </c>
      <c r="C1626">
        <v>10</v>
      </c>
      <c r="D1626">
        <f>MONTH(cukier11[[#This Row],[data]])</f>
        <v>7</v>
      </c>
      <c r="E1626">
        <f>IF(D1627&lt;&gt;cukier11[[#This Row],[miesiac]],1,0)</f>
        <v>0</v>
      </c>
      <c r="F1626">
        <f>IF(AND(H1625&lt;5000,cukier11[[#This Row],[czy_nastapiła_zmiana_mies]]=1),ROUNDUP((5000-H1625)/1000,0),0)</f>
        <v>0</v>
      </c>
      <c r="G1626">
        <f t="shared" si="25"/>
        <v>4998</v>
      </c>
      <c r="H1626">
        <f>cukier11[[#This Row],[stan_magazynu]]-cukier11[[#This Row],[sprzedany_cukier]]</f>
        <v>4988</v>
      </c>
      <c r="I1626" s="9">
        <f>cukier11[[#This Row],[stan_po_sprzedazy]]+cukier11[[#This Row],[ile_dokupic]]*1000</f>
        <v>4988</v>
      </c>
    </row>
    <row r="1627" spans="1:9" x14ac:dyDescent="0.25">
      <c r="A1627" s="1">
        <v>41106</v>
      </c>
      <c r="B1627" t="s">
        <v>131</v>
      </c>
      <c r="C1627">
        <v>90</v>
      </c>
      <c r="D1627">
        <f>MONTH(cukier11[[#This Row],[data]])</f>
        <v>7</v>
      </c>
      <c r="E1627">
        <f>IF(D1628&lt;&gt;cukier11[[#This Row],[miesiac]],1,0)</f>
        <v>0</v>
      </c>
      <c r="F1627">
        <f>IF(AND(H1626&lt;5000,cukier11[[#This Row],[czy_nastapiła_zmiana_mies]]=1),ROUNDUP((5000-H1626)/1000,0),0)</f>
        <v>0</v>
      </c>
      <c r="G1627">
        <f t="shared" si="25"/>
        <v>4988</v>
      </c>
      <c r="H1627">
        <f>cukier11[[#This Row],[stan_magazynu]]-cukier11[[#This Row],[sprzedany_cukier]]</f>
        <v>4898</v>
      </c>
      <c r="I1627" s="9">
        <f>cukier11[[#This Row],[stan_po_sprzedazy]]+cukier11[[#This Row],[ile_dokupic]]*1000</f>
        <v>4898</v>
      </c>
    </row>
    <row r="1628" spans="1:9" x14ac:dyDescent="0.25">
      <c r="A1628" s="1">
        <v>41106</v>
      </c>
      <c r="B1628" t="s">
        <v>58</v>
      </c>
      <c r="C1628">
        <v>34</v>
      </c>
      <c r="D1628">
        <f>MONTH(cukier11[[#This Row],[data]])</f>
        <v>7</v>
      </c>
      <c r="E1628">
        <f>IF(D1629&lt;&gt;cukier11[[#This Row],[miesiac]],1,0)</f>
        <v>0</v>
      </c>
      <c r="F1628">
        <f>IF(AND(H1627&lt;5000,cukier11[[#This Row],[czy_nastapiła_zmiana_mies]]=1),ROUNDUP((5000-H1627)/1000,0),0)</f>
        <v>0</v>
      </c>
      <c r="G1628">
        <f t="shared" si="25"/>
        <v>4898</v>
      </c>
      <c r="H1628">
        <f>cukier11[[#This Row],[stan_magazynu]]-cukier11[[#This Row],[sprzedany_cukier]]</f>
        <v>4864</v>
      </c>
      <c r="I1628" s="9">
        <f>cukier11[[#This Row],[stan_po_sprzedazy]]+cukier11[[#This Row],[ile_dokupic]]*1000</f>
        <v>4864</v>
      </c>
    </row>
    <row r="1629" spans="1:9" x14ac:dyDescent="0.25">
      <c r="A1629" s="1">
        <v>41108</v>
      </c>
      <c r="B1629" t="s">
        <v>9</v>
      </c>
      <c r="C1629">
        <v>106</v>
      </c>
      <c r="D1629">
        <f>MONTH(cukier11[[#This Row],[data]])</f>
        <v>7</v>
      </c>
      <c r="E1629">
        <f>IF(D1630&lt;&gt;cukier11[[#This Row],[miesiac]],1,0)</f>
        <v>0</v>
      </c>
      <c r="F1629">
        <f>IF(AND(H1628&lt;5000,cukier11[[#This Row],[czy_nastapiła_zmiana_mies]]=1),ROUNDUP((5000-H1628)/1000,0),0)</f>
        <v>0</v>
      </c>
      <c r="G1629">
        <f t="shared" si="25"/>
        <v>4864</v>
      </c>
      <c r="H1629">
        <f>cukier11[[#This Row],[stan_magazynu]]-cukier11[[#This Row],[sprzedany_cukier]]</f>
        <v>4758</v>
      </c>
      <c r="I1629" s="9">
        <f>cukier11[[#This Row],[stan_po_sprzedazy]]+cukier11[[#This Row],[ile_dokupic]]*1000</f>
        <v>4758</v>
      </c>
    </row>
    <row r="1630" spans="1:9" x14ac:dyDescent="0.25">
      <c r="A1630" s="1">
        <v>41109</v>
      </c>
      <c r="B1630" t="s">
        <v>9</v>
      </c>
      <c r="C1630">
        <v>229</v>
      </c>
      <c r="D1630">
        <f>MONTH(cukier11[[#This Row],[data]])</f>
        <v>7</v>
      </c>
      <c r="E1630">
        <f>IF(D1631&lt;&gt;cukier11[[#This Row],[miesiac]],1,0)</f>
        <v>0</v>
      </c>
      <c r="F1630">
        <f>IF(AND(H1629&lt;5000,cukier11[[#This Row],[czy_nastapiła_zmiana_mies]]=1),ROUNDUP((5000-H1629)/1000,0),0)</f>
        <v>0</v>
      </c>
      <c r="G1630">
        <f t="shared" si="25"/>
        <v>4758</v>
      </c>
      <c r="H1630">
        <f>cukier11[[#This Row],[stan_magazynu]]-cukier11[[#This Row],[sprzedany_cukier]]</f>
        <v>4529</v>
      </c>
      <c r="I1630" s="9">
        <f>cukier11[[#This Row],[stan_po_sprzedazy]]+cukier11[[#This Row],[ile_dokupic]]*1000</f>
        <v>4529</v>
      </c>
    </row>
    <row r="1631" spans="1:9" x14ac:dyDescent="0.25">
      <c r="A1631" s="1">
        <v>41115</v>
      </c>
      <c r="B1631" t="s">
        <v>17</v>
      </c>
      <c r="C1631">
        <v>229</v>
      </c>
      <c r="D1631">
        <f>MONTH(cukier11[[#This Row],[data]])</f>
        <v>7</v>
      </c>
      <c r="E1631">
        <f>IF(D1632&lt;&gt;cukier11[[#This Row],[miesiac]],1,0)</f>
        <v>0</v>
      </c>
      <c r="F1631">
        <f>IF(AND(H1630&lt;5000,cukier11[[#This Row],[czy_nastapiła_zmiana_mies]]=1),ROUNDUP((5000-H1630)/1000,0),0)</f>
        <v>0</v>
      </c>
      <c r="G1631">
        <f t="shared" si="25"/>
        <v>4529</v>
      </c>
      <c r="H1631">
        <f>cukier11[[#This Row],[stan_magazynu]]-cukier11[[#This Row],[sprzedany_cukier]]</f>
        <v>4300</v>
      </c>
      <c r="I1631" s="9">
        <f>cukier11[[#This Row],[stan_po_sprzedazy]]+cukier11[[#This Row],[ile_dokupic]]*1000</f>
        <v>4300</v>
      </c>
    </row>
    <row r="1632" spans="1:9" x14ac:dyDescent="0.25">
      <c r="A1632" s="1">
        <v>41115</v>
      </c>
      <c r="B1632" t="s">
        <v>47</v>
      </c>
      <c r="C1632">
        <v>20</v>
      </c>
      <c r="D1632">
        <f>MONTH(cukier11[[#This Row],[data]])</f>
        <v>7</v>
      </c>
      <c r="E1632">
        <f>IF(D1633&lt;&gt;cukier11[[#This Row],[miesiac]],1,0)</f>
        <v>0</v>
      </c>
      <c r="F1632">
        <f>IF(AND(H1631&lt;5000,cukier11[[#This Row],[czy_nastapiła_zmiana_mies]]=1),ROUNDUP((5000-H1631)/1000,0),0)</f>
        <v>0</v>
      </c>
      <c r="G1632">
        <f t="shared" si="25"/>
        <v>4300</v>
      </c>
      <c r="H1632">
        <f>cukier11[[#This Row],[stan_magazynu]]-cukier11[[#This Row],[sprzedany_cukier]]</f>
        <v>4280</v>
      </c>
      <c r="I1632" s="9">
        <f>cukier11[[#This Row],[stan_po_sprzedazy]]+cukier11[[#This Row],[ile_dokupic]]*1000</f>
        <v>4280</v>
      </c>
    </row>
    <row r="1633" spans="1:9" x14ac:dyDescent="0.25">
      <c r="A1633" s="1">
        <v>41115</v>
      </c>
      <c r="B1633" t="s">
        <v>45</v>
      </c>
      <c r="C1633">
        <v>261</v>
      </c>
      <c r="D1633">
        <f>MONTH(cukier11[[#This Row],[data]])</f>
        <v>7</v>
      </c>
      <c r="E1633">
        <f>IF(D1634&lt;&gt;cukier11[[#This Row],[miesiac]],1,0)</f>
        <v>0</v>
      </c>
      <c r="F1633">
        <f>IF(AND(H1632&lt;5000,cukier11[[#This Row],[czy_nastapiła_zmiana_mies]]=1),ROUNDUP((5000-H1632)/1000,0),0)</f>
        <v>0</v>
      </c>
      <c r="G1633">
        <f t="shared" si="25"/>
        <v>4280</v>
      </c>
      <c r="H1633">
        <f>cukier11[[#This Row],[stan_magazynu]]-cukier11[[#This Row],[sprzedany_cukier]]</f>
        <v>4019</v>
      </c>
      <c r="I1633" s="9">
        <f>cukier11[[#This Row],[stan_po_sprzedazy]]+cukier11[[#This Row],[ile_dokupic]]*1000</f>
        <v>4019</v>
      </c>
    </row>
    <row r="1634" spans="1:9" x14ac:dyDescent="0.25">
      <c r="A1634" s="1">
        <v>41118</v>
      </c>
      <c r="B1634" t="s">
        <v>147</v>
      </c>
      <c r="C1634">
        <v>10</v>
      </c>
      <c r="D1634">
        <f>MONTH(cukier11[[#This Row],[data]])</f>
        <v>7</v>
      </c>
      <c r="E1634">
        <f>IF(D1635&lt;&gt;cukier11[[#This Row],[miesiac]],1,0)</f>
        <v>0</v>
      </c>
      <c r="F1634">
        <f>IF(AND(H1633&lt;5000,cukier11[[#This Row],[czy_nastapiła_zmiana_mies]]=1),ROUNDUP((5000-H1633)/1000,0),0)</f>
        <v>0</v>
      </c>
      <c r="G1634">
        <f t="shared" si="25"/>
        <v>4019</v>
      </c>
      <c r="H1634">
        <f>cukier11[[#This Row],[stan_magazynu]]-cukier11[[#This Row],[sprzedany_cukier]]</f>
        <v>4009</v>
      </c>
      <c r="I1634" s="9">
        <f>cukier11[[#This Row],[stan_po_sprzedazy]]+cukier11[[#This Row],[ile_dokupic]]*1000</f>
        <v>4009</v>
      </c>
    </row>
    <row r="1635" spans="1:9" x14ac:dyDescent="0.25">
      <c r="A1635" s="1">
        <v>41118</v>
      </c>
      <c r="B1635" t="s">
        <v>7</v>
      </c>
      <c r="C1635">
        <v>400</v>
      </c>
      <c r="D1635">
        <f>MONTH(cukier11[[#This Row],[data]])</f>
        <v>7</v>
      </c>
      <c r="E1635">
        <f>IF(D1636&lt;&gt;cukier11[[#This Row],[miesiac]],1,0)</f>
        <v>1</v>
      </c>
      <c r="F1635">
        <f>IF(AND(H1634&lt;5000,cukier11[[#This Row],[czy_nastapiła_zmiana_mies]]=1),ROUNDUP((5000-H1634)/1000,0),0)</f>
        <v>1</v>
      </c>
      <c r="G1635">
        <f t="shared" si="25"/>
        <v>4009</v>
      </c>
      <c r="H1635">
        <f>cukier11[[#This Row],[stan_magazynu]]-cukier11[[#This Row],[sprzedany_cukier]]</f>
        <v>3609</v>
      </c>
      <c r="I1635" s="9">
        <f>cukier11[[#This Row],[stan_po_sprzedazy]]+cukier11[[#This Row],[ile_dokupic]]*1000</f>
        <v>4609</v>
      </c>
    </row>
    <row r="1636" spans="1:9" x14ac:dyDescent="0.25">
      <c r="A1636" s="1">
        <v>41122</v>
      </c>
      <c r="B1636" t="s">
        <v>14</v>
      </c>
      <c r="C1636">
        <v>401</v>
      </c>
      <c r="D1636">
        <f>MONTH(cukier11[[#This Row],[data]])</f>
        <v>8</v>
      </c>
      <c r="E1636">
        <f>IF(D1637&lt;&gt;cukier11[[#This Row],[miesiac]],1,0)</f>
        <v>0</v>
      </c>
      <c r="F1636">
        <f>IF(AND(H1635&lt;5000,cukier11[[#This Row],[czy_nastapiła_zmiana_mies]]=1),ROUNDUP((5000-H1635)/1000,0),0)</f>
        <v>0</v>
      </c>
      <c r="G1636">
        <f t="shared" si="25"/>
        <v>4609</v>
      </c>
      <c r="H1636">
        <f>cukier11[[#This Row],[stan_magazynu]]-cukier11[[#This Row],[sprzedany_cukier]]</f>
        <v>4208</v>
      </c>
      <c r="I1636" s="9">
        <f>cukier11[[#This Row],[stan_po_sprzedazy]]+cukier11[[#This Row],[ile_dokupic]]*1000</f>
        <v>4208</v>
      </c>
    </row>
    <row r="1637" spans="1:9" x14ac:dyDescent="0.25">
      <c r="A1637" s="1">
        <v>41124</v>
      </c>
      <c r="B1637" t="s">
        <v>55</v>
      </c>
      <c r="C1637">
        <v>170</v>
      </c>
      <c r="D1637">
        <f>MONTH(cukier11[[#This Row],[data]])</f>
        <v>8</v>
      </c>
      <c r="E1637">
        <f>IF(D1638&lt;&gt;cukier11[[#This Row],[miesiac]],1,0)</f>
        <v>0</v>
      </c>
      <c r="F1637">
        <f>IF(AND(H1636&lt;5000,cukier11[[#This Row],[czy_nastapiła_zmiana_mies]]=1),ROUNDUP((5000-H1636)/1000,0),0)</f>
        <v>0</v>
      </c>
      <c r="G1637">
        <f t="shared" si="25"/>
        <v>4208</v>
      </c>
      <c r="H1637">
        <f>cukier11[[#This Row],[stan_magazynu]]-cukier11[[#This Row],[sprzedany_cukier]]</f>
        <v>4038</v>
      </c>
      <c r="I1637" s="9">
        <f>cukier11[[#This Row],[stan_po_sprzedazy]]+cukier11[[#This Row],[ile_dokupic]]*1000</f>
        <v>4038</v>
      </c>
    </row>
    <row r="1638" spans="1:9" x14ac:dyDescent="0.25">
      <c r="A1638" s="1">
        <v>41125</v>
      </c>
      <c r="B1638" t="s">
        <v>22</v>
      </c>
      <c r="C1638">
        <v>124</v>
      </c>
      <c r="D1638">
        <f>MONTH(cukier11[[#This Row],[data]])</f>
        <v>8</v>
      </c>
      <c r="E1638">
        <f>IF(D1639&lt;&gt;cukier11[[#This Row],[miesiac]],1,0)</f>
        <v>0</v>
      </c>
      <c r="F1638">
        <f>IF(AND(H1637&lt;5000,cukier11[[#This Row],[czy_nastapiła_zmiana_mies]]=1),ROUNDUP((5000-H1637)/1000,0),0)</f>
        <v>0</v>
      </c>
      <c r="G1638">
        <f t="shared" si="25"/>
        <v>4038</v>
      </c>
      <c r="H1638">
        <f>cukier11[[#This Row],[stan_magazynu]]-cukier11[[#This Row],[sprzedany_cukier]]</f>
        <v>3914</v>
      </c>
      <c r="I1638" s="9">
        <f>cukier11[[#This Row],[stan_po_sprzedazy]]+cukier11[[#This Row],[ile_dokupic]]*1000</f>
        <v>3914</v>
      </c>
    </row>
    <row r="1639" spans="1:9" x14ac:dyDescent="0.25">
      <c r="A1639" s="1">
        <v>41127</v>
      </c>
      <c r="B1639" t="s">
        <v>201</v>
      </c>
      <c r="C1639">
        <v>13</v>
      </c>
      <c r="D1639">
        <f>MONTH(cukier11[[#This Row],[data]])</f>
        <v>8</v>
      </c>
      <c r="E1639">
        <f>IF(D1640&lt;&gt;cukier11[[#This Row],[miesiac]],1,0)</f>
        <v>0</v>
      </c>
      <c r="F1639">
        <f>IF(AND(H1638&lt;5000,cukier11[[#This Row],[czy_nastapiła_zmiana_mies]]=1),ROUNDUP((5000-H1638)/1000,0),0)</f>
        <v>0</v>
      </c>
      <c r="G1639">
        <f t="shared" si="25"/>
        <v>3914</v>
      </c>
      <c r="H1639">
        <f>cukier11[[#This Row],[stan_magazynu]]-cukier11[[#This Row],[sprzedany_cukier]]</f>
        <v>3901</v>
      </c>
      <c r="I1639" s="9">
        <f>cukier11[[#This Row],[stan_po_sprzedazy]]+cukier11[[#This Row],[ile_dokupic]]*1000</f>
        <v>3901</v>
      </c>
    </row>
    <row r="1640" spans="1:9" x14ac:dyDescent="0.25">
      <c r="A1640" s="1">
        <v>41130</v>
      </c>
      <c r="B1640" t="s">
        <v>19</v>
      </c>
      <c r="C1640">
        <v>87</v>
      </c>
      <c r="D1640">
        <f>MONTH(cukier11[[#This Row],[data]])</f>
        <v>8</v>
      </c>
      <c r="E1640">
        <f>IF(D1641&lt;&gt;cukier11[[#This Row],[miesiac]],1,0)</f>
        <v>0</v>
      </c>
      <c r="F1640">
        <f>IF(AND(H1639&lt;5000,cukier11[[#This Row],[czy_nastapiła_zmiana_mies]]=1),ROUNDUP((5000-H1639)/1000,0),0)</f>
        <v>0</v>
      </c>
      <c r="G1640">
        <f t="shared" si="25"/>
        <v>3901</v>
      </c>
      <c r="H1640">
        <f>cukier11[[#This Row],[stan_magazynu]]-cukier11[[#This Row],[sprzedany_cukier]]</f>
        <v>3814</v>
      </c>
      <c r="I1640" s="9">
        <f>cukier11[[#This Row],[stan_po_sprzedazy]]+cukier11[[#This Row],[ile_dokupic]]*1000</f>
        <v>3814</v>
      </c>
    </row>
    <row r="1641" spans="1:9" x14ac:dyDescent="0.25">
      <c r="A1641" s="1">
        <v>41130</v>
      </c>
      <c r="B1641" t="s">
        <v>24</v>
      </c>
      <c r="C1641">
        <v>190</v>
      </c>
      <c r="D1641">
        <f>MONTH(cukier11[[#This Row],[data]])</f>
        <v>8</v>
      </c>
      <c r="E1641">
        <f>IF(D1642&lt;&gt;cukier11[[#This Row],[miesiac]],1,0)</f>
        <v>0</v>
      </c>
      <c r="F1641">
        <f>IF(AND(H1640&lt;5000,cukier11[[#This Row],[czy_nastapiła_zmiana_mies]]=1),ROUNDUP((5000-H1640)/1000,0),0)</f>
        <v>0</v>
      </c>
      <c r="G1641">
        <f t="shared" si="25"/>
        <v>3814</v>
      </c>
      <c r="H1641">
        <f>cukier11[[#This Row],[stan_magazynu]]-cukier11[[#This Row],[sprzedany_cukier]]</f>
        <v>3624</v>
      </c>
      <c r="I1641" s="9">
        <f>cukier11[[#This Row],[stan_po_sprzedazy]]+cukier11[[#This Row],[ile_dokupic]]*1000</f>
        <v>3624</v>
      </c>
    </row>
    <row r="1642" spans="1:9" x14ac:dyDescent="0.25">
      <c r="A1642" s="1">
        <v>41130</v>
      </c>
      <c r="B1642" t="s">
        <v>50</v>
      </c>
      <c r="C1642">
        <v>349</v>
      </c>
      <c r="D1642">
        <f>MONTH(cukier11[[#This Row],[data]])</f>
        <v>8</v>
      </c>
      <c r="E1642">
        <f>IF(D1643&lt;&gt;cukier11[[#This Row],[miesiac]],1,0)</f>
        <v>0</v>
      </c>
      <c r="F1642">
        <f>IF(AND(H1641&lt;5000,cukier11[[#This Row],[czy_nastapiła_zmiana_mies]]=1),ROUNDUP((5000-H1641)/1000,0),0)</f>
        <v>0</v>
      </c>
      <c r="G1642">
        <f t="shared" si="25"/>
        <v>3624</v>
      </c>
      <c r="H1642">
        <f>cukier11[[#This Row],[stan_magazynu]]-cukier11[[#This Row],[sprzedany_cukier]]</f>
        <v>3275</v>
      </c>
      <c r="I1642" s="9">
        <f>cukier11[[#This Row],[stan_po_sprzedazy]]+cukier11[[#This Row],[ile_dokupic]]*1000</f>
        <v>3275</v>
      </c>
    </row>
    <row r="1643" spans="1:9" x14ac:dyDescent="0.25">
      <c r="A1643" s="1">
        <v>41132</v>
      </c>
      <c r="B1643" t="s">
        <v>181</v>
      </c>
      <c r="C1643">
        <v>16</v>
      </c>
      <c r="D1643">
        <f>MONTH(cukier11[[#This Row],[data]])</f>
        <v>8</v>
      </c>
      <c r="E1643">
        <f>IF(D1644&lt;&gt;cukier11[[#This Row],[miesiac]],1,0)</f>
        <v>0</v>
      </c>
      <c r="F1643">
        <f>IF(AND(H1642&lt;5000,cukier11[[#This Row],[czy_nastapiła_zmiana_mies]]=1),ROUNDUP((5000-H1642)/1000,0),0)</f>
        <v>0</v>
      </c>
      <c r="G1643">
        <f t="shared" si="25"/>
        <v>3275</v>
      </c>
      <c r="H1643">
        <f>cukier11[[#This Row],[stan_magazynu]]-cukier11[[#This Row],[sprzedany_cukier]]</f>
        <v>3259</v>
      </c>
      <c r="I1643" s="9">
        <f>cukier11[[#This Row],[stan_po_sprzedazy]]+cukier11[[#This Row],[ile_dokupic]]*1000</f>
        <v>3259</v>
      </c>
    </row>
    <row r="1644" spans="1:9" x14ac:dyDescent="0.25">
      <c r="A1644" s="1">
        <v>41133</v>
      </c>
      <c r="B1644" t="s">
        <v>71</v>
      </c>
      <c r="C1644">
        <v>42</v>
      </c>
      <c r="D1644">
        <f>MONTH(cukier11[[#This Row],[data]])</f>
        <v>8</v>
      </c>
      <c r="E1644">
        <f>IF(D1645&lt;&gt;cukier11[[#This Row],[miesiac]],1,0)</f>
        <v>0</v>
      </c>
      <c r="F1644">
        <f>IF(AND(H1643&lt;5000,cukier11[[#This Row],[czy_nastapiła_zmiana_mies]]=1),ROUNDUP((5000-H1643)/1000,0),0)</f>
        <v>0</v>
      </c>
      <c r="G1644">
        <f t="shared" si="25"/>
        <v>3259</v>
      </c>
      <c r="H1644">
        <f>cukier11[[#This Row],[stan_magazynu]]-cukier11[[#This Row],[sprzedany_cukier]]</f>
        <v>3217</v>
      </c>
      <c r="I1644" s="9">
        <f>cukier11[[#This Row],[stan_po_sprzedazy]]+cukier11[[#This Row],[ile_dokupic]]*1000</f>
        <v>3217</v>
      </c>
    </row>
    <row r="1645" spans="1:9" x14ac:dyDescent="0.25">
      <c r="A1645" s="1">
        <v>41134</v>
      </c>
      <c r="B1645" t="s">
        <v>23</v>
      </c>
      <c r="C1645">
        <v>70</v>
      </c>
      <c r="D1645">
        <f>MONTH(cukier11[[#This Row],[data]])</f>
        <v>8</v>
      </c>
      <c r="E1645">
        <f>IF(D1646&lt;&gt;cukier11[[#This Row],[miesiac]],1,0)</f>
        <v>0</v>
      </c>
      <c r="F1645">
        <f>IF(AND(H1644&lt;5000,cukier11[[#This Row],[czy_nastapiła_zmiana_mies]]=1),ROUNDUP((5000-H1644)/1000,0),0)</f>
        <v>0</v>
      </c>
      <c r="G1645">
        <f t="shared" si="25"/>
        <v>3217</v>
      </c>
      <c r="H1645">
        <f>cukier11[[#This Row],[stan_magazynu]]-cukier11[[#This Row],[sprzedany_cukier]]</f>
        <v>3147</v>
      </c>
      <c r="I1645" s="9">
        <f>cukier11[[#This Row],[stan_po_sprzedazy]]+cukier11[[#This Row],[ile_dokupic]]*1000</f>
        <v>3147</v>
      </c>
    </row>
    <row r="1646" spans="1:9" x14ac:dyDescent="0.25">
      <c r="A1646" s="1">
        <v>41136</v>
      </c>
      <c r="B1646" t="s">
        <v>52</v>
      </c>
      <c r="C1646">
        <v>189</v>
      </c>
      <c r="D1646">
        <f>MONTH(cukier11[[#This Row],[data]])</f>
        <v>8</v>
      </c>
      <c r="E1646">
        <f>IF(D1647&lt;&gt;cukier11[[#This Row],[miesiac]],1,0)</f>
        <v>0</v>
      </c>
      <c r="F1646">
        <f>IF(AND(H1645&lt;5000,cukier11[[#This Row],[czy_nastapiła_zmiana_mies]]=1),ROUNDUP((5000-H1645)/1000,0),0)</f>
        <v>0</v>
      </c>
      <c r="G1646">
        <f t="shared" si="25"/>
        <v>3147</v>
      </c>
      <c r="H1646">
        <f>cukier11[[#This Row],[stan_magazynu]]-cukier11[[#This Row],[sprzedany_cukier]]</f>
        <v>2958</v>
      </c>
      <c r="I1646" s="9">
        <f>cukier11[[#This Row],[stan_po_sprzedazy]]+cukier11[[#This Row],[ile_dokupic]]*1000</f>
        <v>2958</v>
      </c>
    </row>
    <row r="1647" spans="1:9" x14ac:dyDescent="0.25">
      <c r="A1647" s="1">
        <v>41137</v>
      </c>
      <c r="B1647" t="s">
        <v>55</v>
      </c>
      <c r="C1647">
        <v>64</v>
      </c>
      <c r="D1647">
        <f>MONTH(cukier11[[#This Row],[data]])</f>
        <v>8</v>
      </c>
      <c r="E1647">
        <f>IF(D1648&lt;&gt;cukier11[[#This Row],[miesiac]],1,0)</f>
        <v>0</v>
      </c>
      <c r="F1647">
        <f>IF(AND(H1646&lt;5000,cukier11[[#This Row],[czy_nastapiła_zmiana_mies]]=1),ROUNDUP((5000-H1646)/1000,0),0)</f>
        <v>0</v>
      </c>
      <c r="G1647">
        <f t="shared" si="25"/>
        <v>2958</v>
      </c>
      <c r="H1647">
        <f>cukier11[[#This Row],[stan_magazynu]]-cukier11[[#This Row],[sprzedany_cukier]]</f>
        <v>2894</v>
      </c>
      <c r="I1647" s="9">
        <f>cukier11[[#This Row],[stan_po_sprzedazy]]+cukier11[[#This Row],[ile_dokupic]]*1000</f>
        <v>2894</v>
      </c>
    </row>
    <row r="1648" spans="1:9" x14ac:dyDescent="0.25">
      <c r="A1648" s="1">
        <v>41141</v>
      </c>
      <c r="B1648" t="s">
        <v>35</v>
      </c>
      <c r="C1648">
        <v>76</v>
      </c>
      <c r="D1648">
        <f>MONTH(cukier11[[#This Row],[data]])</f>
        <v>8</v>
      </c>
      <c r="E1648">
        <f>IF(D1649&lt;&gt;cukier11[[#This Row],[miesiac]],1,0)</f>
        <v>0</v>
      </c>
      <c r="F1648">
        <f>IF(AND(H1647&lt;5000,cukier11[[#This Row],[czy_nastapiła_zmiana_mies]]=1),ROUNDUP((5000-H1647)/1000,0),0)</f>
        <v>0</v>
      </c>
      <c r="G1648">
        <f t="shared" si="25"/>
        <v>2894</v>
      </c>
      <c r="H1648">
        <f>cukier11[[#This Row],[stan_magazynu]]-cukier11[[#This Row],[sprzedany_cukier]]</f>
        <v>2818</v>
      </c>
      <c r="I1648" s="9">
        <f>cukier11[[#This Row],[stan_po_sprzedazy]]+cukier11[[#This Row],[ile_dokupic]]*1000</f>
        <v>2818</v>
      </c>
    </row>
    <row r="1649" spans="1:9" x14ac:dyDescent="0.25">
      <c r="A1649" s="1">
        <v>41142</v>
      </c>
      <c r="B1649" t="s">
        <v>49</v>
      </c>
      <c r="C1649">
        <v>11</v>
      </c>
      <c r="D1649">
        <f>MONTH(cukier11[[#This Row],[data]])</f>
        <v>8</v>
      </c>
      <c r="E1649">
        <f>IF(D1650&lt;&gt;cukier11[[#This Row],[miesiac]],1,0)</f>
        <v>0</v>
      </c>
      <c r="F1649">
        <f>IF(AND(H1648&lt;5000,cukier11[[#This Row],[czy_nastapiła_zmiana_mies]]=1),ROUNDUP((5000-H1648)/1000,0),0)</f>
        <v>0</v>
      </c>
      <c r="G1649">
        <f t="shared" si="25"/>
        <v>2818</v>
      </c>
      <c r="H1649">
        <f>cukier11[[#This Row],[stan_magazynu]]-cukier11[[#This Row],[sprzedany_cukier]]</f>
        <v>2807</v>
      </c>
      <c r="I1649" s="9">
        <f>cukier11[[#This Row],[stan_po_sprzedazy]]+cukier11[[#This Row],[ile_dokupic]]*1000</f>
        <v>2807</v>
      </c>
    </row>
    <row r="1650" spans="1:9" x14ac:dyDescent="0.25">
      <c r="A1650" s="1">
        <v>41142</v>
      </c>
      <c r="B1650" t="s">
        <v>66</v>
      </c>
      <c r="C1650">
        <v>96</v>
      </c>
      <c r="D1650">
        <f>MONTH(cukier11[[#This Row],[data]])</f>
        <v>8</v>
      </c>
      <c r="E1650">
        <f>IF(D1651&lt;&gt;cukier11[[#This Row],[miesiac]],1,0)</f>
        <v>0</v>
      </c>
      <c r="F1650">
        <f>IF(AND(H1649&lt;5000,cukier11[[#This Row],[czy_nastapiła_zmiana_mies]]=1),ROUNDUP((5000-H1649)/1000,0),0)</f>
        <v>0</v>
      </c>
      <c r="G1650">
        <f t="shared" si="25"/>
        <v>2807</v>
      </c>
      <c r="H1650">
        <f>cukier11[[#This Row],[stan_magazynu]]-cukier11[[#This Row],[sprzedany_cukier]]</f>
        <v>2711</v>
      </c>
      <c r="I1650" s="9">
        <f>cukier11[[#This Row],[stan_po_sprzedazy]]+cukier11[[#This Row],[ile_dokupic]]*1000</f>
        <v>2711</v>
      </c>
    </row>
    <row r="1651" spans="1:9" x14ac:dyDescent="0.25">
      <c r="A1651" s="1">
        <v>41143</v>
      </c>
      <c r="B1651" t="s">
        <v>111</v>
      </c>
      <c r="C1651">
        <v>17</v>
      </c>
      <c r="D1651">
        <f>MONTH(cukier11[[#This Row],[data]])</f>
        <v>8</v>
      </c>
      <c r="E1651">
        <f>IF(D1652&lt;&gt;cukier11[[#This Row],[miesiac]],1,0)</f>
        <v>0</v>
      </c>
      <c r="F1651">
        <f>IF(AND(H1650&lt;5000,cukier11[[#This Row],[czy_nastapiła_zmiana_mies]]=1),ROUNDUP((5000-H1650)/1000,0),0)</f>
        <v>0</v>
      </c>
      <c r="G1651">
        <f t="shared" si="25"/>
        <v>2711</v>
      </c>
      <c r="H1651">
        <f>cukier11[[#This Row],[stan_magazynu]]-cukier11[[#This Row],[sprzedany_cukier]]</f>
        <v>2694</v>
      </c>
      <c r="I1651" s="9">
        <f>cukier11[[#This Row],[stan_po_sprzedazy]]+cukier11[[#This Row],[ile_dokupic]]*1000</f>
        <v>2694</v>
      </c>
    </row>
    <row r="1652" spans="1:9" x14ac:dyDescent="0.25">
      <c r="A1652" s="1">
        <v>41143</v>
      </c>
      <c r="B1652" t="s">
        <v>18</v>
      </c>
      <c r="C1652">
        <v>92</v>
      </c>
      <c r="D1652">
        <f>MONTH(cukier11[[#This Row],[data]])</f>
        <v>8</v>
      </c>
      <c r="E1652">
        <f>IF(D1653&lt;&gt;cukier11[[#This Row],[miesiac]],1,0)</f>
        <v>0</v>
      </c>
      <c r="F1652">
        <f>IF(AND(H1651&lt;5000,cukier11[[#This Row],[czy_nastapiła_zmiana_mies]]=1),ROUNDUP((5000-H1651)/1000,0),0)</f>
        <v>0</v>
      </c>
      <c r="G1652">
        <f t="shared" si="25"/>
        <v>2694</v>
      </c>
      <c r="H1652">
        <f>cukier11[[#This Row],[stan_magazynu]]-cukier11[[#This Row],[sprzedany_cukier]]</f>
        <v>2602</v>
      </c>
      <c r="I1652" s="9">
        <f>cukier11[[#This Row],[stan_po_sprzedazy]]+cukier11[[#This Row],[ile_dokupic]]*1000</f>
        <v>2602</v>
      </c>
    </row>
    <row r="1653" spans="1:9" x14ac:dyDescent="0.25">
      <c r="A1653" s="1">
        <v>41144</v>
      </c>
      <c r="B1653" t="s">
        <v>8</v>
      </c>
      <c r="C1653">
        <v>76</v>
      </c>
      <c r="D1653">
        <f>MONTH(cukier11[[#This Row],[data]])</f>
        <v>8</v>
      </c>
      <c r="E1653">
        <f>IF(D1654&lt;&gt;cukier11[[#This Row],[miesiac]],1,0)</f>
        <v>0</v>
      </c>
      <c r="F1653">
        <f>IF(AND(H1652&lt;5000,cukier11[[#This Row],[czy_nastapiła_zmiana_mies]]=1),ROUNDUP((5000-H1652)/1000,0),0)</f>
        <v>0</v>
      </c>
      <c r="G1653">
        <f t="shared" si="25"/>
        <v>2602</v>
      </c>
      <c r="H1653">
        <f>cukier11[[#This Row],[stan_magazynu]]-cukier11[[#This Row],[sprzedany_cukier]]</f>
        <v>2526</v>
      </c>
      <c r="I1653" s="9">
        <f>cukier11[[#This Row],[stan_po_sprzedazy]]+cukier11[[#This Row],[ile_dokupic]]*1000</f>
        <v>2526</v>
      </c>
    </row>
    <row r="1654" spans="1:9" x14ac:dyDescent="0.25">
      <c r="A1654" s="1">
        <v>41146</v>
      </c>
      <c r="B1654" t="s">
        <v>10</v>
      </c>
      <c r="C1654">
        <v>77</v>
      </c>
      <c r="D1654">
        <f>MONTH(cukier11[[#This Row],[data]])</f>
        <v>8</v>
      </c>
      <c r="E1654">
        <f>IF(D1655&lt;&gt;cukier11[[#This Row],[miesiac]],1,0)</f>
        <v>0</v>
      </c>
      <c r="F1654">
        <f>IF(AND(H1653&lt;5000,cukier11[[#This Row],[czy_nastapiła_zmiana_mies]]=1),ROUNDUP((5000-H1653)/1000,0),0)</f>
        <v>0</v>
      </c>
      <c r="G1654">
        <f t="shared" si="25"/>
        <v>2526</v>
      </c>
      <c r="H1654">
        <f>cukier11[[#This Row],[stan_magazynu]]-cukier11[[#This Row],[sprzedany_cukier]]</f>
        <v>2449</v>
      </c>
      <c r="I1654" s="9">
        <f>cukier11[[#This Row],[stan_po_sprzedazy]]+cukier11[[#This Row],[ile_dokupic]]*1000</f>
        <v>2449</v>
      </c>
    </row>
    <row r="1655" spans="1:9" x14ac:dyDescent="0.25">
      <c r="A1655" s="1">
        <v>41147</v>
      </c>
      <c r="B1655" t="s">
        <v>102</v>
      </c>
      <c r="C1655">
        <v>344</v>
      </c>
      <c r="D1655">
        <f>MONTH(cukier11[[#This Row],[data]])</f>
        <v>8</v>
      </c>
      <c r="E1655">
        <f>IF(D1656&lt;&gt;cukier11[[#This Row],[miesiac]],1,0)</f>
        <v>0</v>
      </c>
      <c r="F1655">
        <f>IF(AND(H1654&lt;5000,cukier11[[#This Row],[czy_nastapiła_zmiana_mies]]=1),ROUNDUP((5000-H1654)/1000,0),0)</f>
        <v>0</v>
      </c>
      <c r="G1655">
        <f t="shared" si="25"/>
        <v>2449</v>
      </c>
      <c r="H1655">
        <f>cukier11[[#This Row],[stan_magazynu]]-cukier11[[#This Row],[sprzedany_cukier]]</f>
        <v>2105</v>
      </c>
      <c r="I1655" s="9">
        <f>cukier11[[#This Row],[stan_po_sprzedazy]]+cukier11[[#This Row],[ile_dokupic]]*1000</f>
        <v>2105</v>
      </c>
    </row>
    <row r="1656" spans="1:9" x14ac:dyDescent="0.25">
      <c r="A1656" s="1">
        <v>41147</v>
      </c>
      <c r="B1656" t="s">
        <v>7</v>
      </c>
      <c r="C1656">
        <v>218</v>
      </c>
      <c r="D1656">
        <f>MONTH(cukier11[[#This Row],[data]])</f>
        <v>8</v>
      </c>
      <c r="E1656">
        <f>IF(D1657&lt;&gt;cukier11[[#This Row],[miesiac]],1,0)</f>
        <v>0</v>
      </c>
      <c r="F1656">
        <f>IF(AND(H1655&lt;5000,cukier11[[#This Row],[czy_nastapiła_zmiana_mies]]=1),ROUNDUP((5000-H1655)/1000,0),0)</f>
        <v>0</v>
      </c>
      <c r="G1656">
        <f t="shared" si="25"/>
        <v>2105</v>
      </c>
      <c r="H1656">
        <f>cukier11[[#This Row],[stan_magazynu]]-cukier11[[#This Row],[sprzedany_cukier]]</f>
        <v>1887</v>
      </c>
      <c r="I1656" s="9">
        <f>cukier11[[#This Row],[stan_po_sprzedazy]]+cukier11[[#This Row],[ile_dokupic]]*1000</f>
        <v>1887</v>
      </c>
    </row>
    <row r="1657" spans="1:9" x14ac:dyDescent="0.25">
      <c r="A1657" s="1">
        <v>41148</v>
      </c>
      <c r="B1657" t="s">
        <v>50</v>
      </c>
      <c r="C1657">
        <v>115</v>
      </c>
      <c r="D1657">
        <f>MONTH(cukier11[[#This Row],[data]])</f>
        <v>8</v>
      </c>
      <c r="E1657">
        <f>IF(D1658&lt;&gt;cukier11[[#This Row],[miesiac]],1,0)</f>
        <v>0</v>
      </c>
      <c r="F1657">
        <f>IF(AND(H1656&lt;5000,cukier11[[#This Row],[czy_nastapiła_zmiana_mies]]=1),ROUNDUP((5000-H1656)/1000,0),0)</f>
        <v>0</v>
      </c>
      <c r="G1657">
        <f t="shared" si="25"/>
        <v>1887</v>
      </c>
      <c r="H1657">
        <f>cukier11[[#This Row],[stan_magazynu]]-cukier11[[#This Row],[sprzedany_cukier]]</f>
        <v>1772</v>
      </c>
      <c r="I1657" s="9">
        <f>cukier11[[#This Row],[stan_po_sprzedazy]]+cukier11[[#This Row],[ile_dokupic]]*1000</f>
        <v>1772</v>
      </c>
    </row>
    <row r="1658" spans="1:9" x14ac:dyDescent="0.25">
      <c r="A1658" s="1">
        <v>41149</v>
      </c>
      <c r="B1658" t="s">
        <v>80</v>
      </c>
      <c r="C1658">
        <v>143</v>
      </c>
      <c r="D1658">
        <f>MONTH(cukier11[[#This Row],[data]])</f>
        <v>8</v>
      </c>
      <c r="E1658">
        <f>IF(D1659&lt;&gt;cukier11[[#This Row],[miesiac]],1,0)</f>
        <v>0</v>
      </c>
      <c r="F1658">
        <f>IF(AND(H1657&lt;5000,cukier11[[#This Row],[czy_nastapiła_zmiana_mies]]=1),ROUNDUP((5000-H1657)/1000,0),0)</f>
        <v>0</v>
      </c>
      <c r="G1658">
        <f t="shared" si="25"/>
        <v>1772</v>
      </c>
      <c r="H1658">
        <f>cukier11[[#This Row],[stan_magazynu]]-cukier11[[#This Row],[sprzedany_cukier]]</f>
        <v>1629</v>
      </c>
      <c r="I1658" s="9">
        <f>cukier11[[#This Row],[stan_po_sprzedazy]]+cukier11[[#This Row],[ile_dokupic]]*1000</f>
        <v>1629</v>
      </c>
    </row>
    <row r="1659" spans="1:9" x14ac:dyDescent="0.25">
      <c r="A1659" s="1">
        <v>41149</v>
      </c>
      <c r="B1659" t="s">
        <v>137</v>
      </c>
      <c r="C1659">
        <v>1</v>
      </c>
      <c r="D1659">
        <f>MONTH(cukier11[[#This Row],[data]])</f>
        <v>8</v>
      </c>
      <c r="E1659">
        <f>IF(D1660&lt;&gt;cukier11[[#This Row],[miesiac]],1,0)</f>
        <v>1</v>
      </c>
      <c r="F1659">
        <f>IF(AND(H1658&lt;5000,cukier11[[#This Row],[czy_nastapiła_zmiana_mies]]=1),ROUNDUP((5000-H1658)/1000,0),0)</f>
        <v>4</v>
      </c>
      <c r="G1659">
        <f t="shared" si="25"/>
        <v>1629</v>
      </c>
      <c r="H1659">
        <f>cukier11[[#This Row],[stan_magazynu]]-cukier11[[#This Row],[sprzedany_cukier]]</f>
        <v>1628</v>
      </c>
      <c r="I1659" s="9">
        <f>cukier11[[#This Row],[stan_po_sprzedazy]]+cukier11[[#This Row],[ile_dokupic]]*1000</f>
        <v>5628</v>
      </c>
    </row>
    <row r="1660" spans="1:9" x14ac:dyDescent="0.25">
      <c r="A1660" s="1">
        <v>41154</v>
      </c>
      <c r="B1660" t="s">
        <v>69</v>
      </c>
      <c r="C1660">
        <v>133</v>
      </c>
      <c r="D1660">
        <f>MONTH(cukier11[[#This Row],[data]])</f>
        <v>9</v>
      </c>
      <c r="E1660">
        <f>IF(D1661&lt;&gt;cukier11[[#This Row],[miesiac]],1,0)</f>
        <v>0</v>
      </c>
      <c r="F1660">
        <f>IF(AND(H1659&lt;5000,cukier11[[#This Row],[czy_nastapiła_zmiana_mies]]=1),ROUNDUP((5000-H1659)/1000,0),0)</f>
        <v>0</v>
      </c>
      <c r="G1660">
        <f t="shared" si="25"/>
        <v>5628</v>
      </c>
      <c r="H1660">
        <f>cukier11[[#This Row],[stan_magazynu]]-cukier11[[#This Row],[sprzedany_cukier]]</f>
        <v>5495</v>
      </c>
      <c r="I1660" s="9">
        <f>cukier11[[#This Row],[stan_po_sprzedazy]]+cukier11[[#This Row],[ile_dokupic]]*1000</f>
        <v>5495</v>
      </c>
    </row>
    <row r="1661" spans="1:9" x14ac:dyDescent="0.25">
      <c r="A1661" s="1">
        <v>41154</v>
      </c>
      <c r="B1661" t="s">
        <v>17</v>
      </c>
      <c r="C1661">
        <v>496</v>
      </c>
      <c r="D1661">
        <f>MONTH(cukier11[[#This Row],[data]])</f>
        <v>9</v>
      </c>
      <c r="E1661">
        <f>IF(D1662&lt;&gt;cukier11[[#This Row],[miesiac]],1,0)</f>
        <v>0</v>
      </c>
      <c r="F1661">
        <f>IF(AND(H1660&lt;5000,cukier11[[#This Row],[czy_nastapiła_zmiana_mies]]=1),ROUNDUP((5000-H1660)/1000,0),0)</f>
        <v>0</v>
      </c>
      <c r="G1661">
        <f t="shared" si="25"/>
        <v>5495</v>
      </c>
      <c r="H1661">
        <f>cukier11[[#This Row],[stan_magazynu]]-cukier11[[#This Row],[sprzedany_cukier]]</f>
        <v>4999</v>
      </c>
      <c r="I1661" s="9">
        <f>cukier11[[#This Row],[stan_po_sprzedazy]]+cukier11[[#This Row],[ile_dokupic]]*1000</f>
        <v>4999</v>
      </c>
    </row>
    <row r="1662" spans="1:9" x14ac:dyDescent="0.25">
      <c r="A1662" s="1">
        <v>41154</v>
      </c>
      <c r="B1662" t="s">
        <v>108</v>
      </c>
      <c r="C1662">
        <v>5</v>
      </c>
      <c r="D1662">
        <f>MONTH(cukier11[[#This Row],[data]])</f>
        <v>9</v>
      </c>
      <c r="E1662">
        <f>IF(D1663&lt;&gt;cukier11[[#This Row],[miesiac]],1,0)</f>
        <v>0</v>
      </c>
      <c r="F1662">
        <f>IF(AND(H1661&lt;5000,cukier11[[#This Row],[czy_nastapiła_zmiana_mies]]=1),ROUNDUP((5000-H1661)/1000,0),0)</f>
        <v>0</v>
      </c>
      <c r="G1662">
        <f t="shared" si="25"/>
        <v>4999</v>
      </c>
      <c r="H1662">
        <f>cukier11[[#This Row],[stan_magazynu]]-cukier11[[#This Row],[sprzedany_cukier]]</f>
        <v>4994</v>
      </c>
      <c r="I1662" s="9">
        <f>cukier11[[#This Row],[stan_po_sprzedazy]]+cukier11[[#This Row],[ile_dokupic]]*1000</f>
        <v>4994</v>
      </c>
    </row>
    <row r="1663" spans="1:9" x14ac:dyDescent="0.25">
      <c r="A1663" s="1">
        <v>41156</v>
      </c>
      <c r="B1663" t="s">
        <v>172</v>
      </c>
      <c r="C1663">
        <v>8</v>
      </c>
      <c r="D1663">
        <f>MONTH(cukier11[[#This Row],[data]])</f>
        <v>9</v>
      </c>
      <c r="E1663">
        <f>IF(D1664&lt;&gt;cukier11[[#This Row],[miesiac]],1,0)</f>
        <v>0</v>
      </c>
      <c r="F1663">
        <f>IF(AND(H1662&lt;5000,cukier11[[#This Row],[czy_nastapiła_zmiana_mies]]=1),ROUNDUP((5000-H1662)/1000,0),0)</f>
        <v>0</v>
      </c>
      <c r="G1663">
        <f t="shared" si="25"/>
        <v>4994</v>
      </c>
      <c r="H1663">
        <f>cukier11[[#This Row],[stan_magazynu]]-cukier11[[#This Row],[sprzedany_cukier]]</f>
        <v>4986</v>
      </c>
      <c r="I1663" s="9">
        <f>cukier11[[#This Row],[stan_po_sprzedazy]]+cukier11[[#This Row],[ile_dokupic]]*1000</f>
        <v>4986</v>
      </c>
    </row>
    <row r="1664" spans="1:9" x14ac:dyDescent="0.25">
      <c r="A1664" s="1">
        <v>41157</v>
      </c>
      <c r="B1664" t="s">
        <v>52</v>
      </c>
      <c r="C1664">
        <v>59</v>
      </c>
      <c r="D1664">
        <f>MONTH(cukier11[[#This Row],[data]])</f>
        <v>9</v>
      </c>
      <c r="E1664">
        <f>IF(D1665&lt;&gt;cukier11[[#This Row],[miesiac]],1,0)</f>
        <v>0</v>
      </c>
      <c r="F1664">
        <f>IF(AND(H1663&lt;5000,cukier11[[#This Row],[czy_nastapiła_zmiana_mies]]=1),ROUNDUP((5000-H1663)/1000,0),0)</f>
        <v>0</v>
      </c>
      <c r="G1664">
        <f t="shared" si="25"/>
        <v>4986</v>
      </c>
      <c r="H1664">
        <f>cukier11[[#This Row],[stan_magazynu]]-cukier11[[#This Row],[sprzedany_cukier]]</f>
        <v>4927</v>
      </c>
      <c r="I1664" s="9">
        <f>cukier11[[#This Row],[stan_po_sprzedazy]]+cukier11[[#This Row],[ile_dokupic]]*1000</f>
        <v>4927</v>
      </c>
    </row>
    <row r="1665" spans="1:9" x14ac:dyDescent="0.25">
      <c r="A1665" s="1">
        <v>41157</v>
      </c>
      <c r="B1665" t="s">
        <v>17</v>
      </c>
      <c r="C1665">
        <v>273</v>
      </c>
      <c r="D1665">
        <f>MONTH(cukier11[[#This Row],[data]])</f>
        <v>9</v>
      </c>
      <c r="E1665">
        <f>IF(D1666&lt;&gt;cukier11[[#This Row],[miesiac]],1,0)</f>
        <v>0</v>
      </c>
      <c r="F1665">
        <f>IF(AND(H1664&lt;5000,cukier11[[#This Row],[czy_nastapiła_zmiana_mies]]=1),ROUNDUP((5000-H1664)/1000,0),0)</f>
        <v>0</v>
      </c>
      <c r="G1665">
        <f t="shared" si="25"/>
        <v>4927</v>
      </c>
      <c r="H1665">
        <f>cukier11[[#This Row],[stan_magazynu]]-cukier11[[#This Row],[sprzedany_cukier]]</f>
        <v>4654</v>
      </c>
      <c r="I1665" s="9">
        <f>cukier11[[#This Row],[stan_po_sprzedazy]]+cukier11[[#This Row],[ile_dokupic]]*1000</f>
        <v>4654</v>
      </c>
    </row>
    <row r="1666" spans="1:9" x14ac:dyDescent="0.25">
      <c r="A1666" s="1">
        <v>41158</v>
      </c>
      <c r="B1666" t="s">
        <v>9</v>
      </c>
      <c r="C1666">
        <v>165</v>
      </c>
      <c r="D1666">
        <f>MONTH(cukier11[[#This Row],[data]])</f>
        <v>9</v>
      </c>
      <c r="E1666">
        <f>IF(D1667&lt;&gt;cukier11[[#This Row],[miesiac]],1,0)</f>
        <v>0</v>
      </c>
      <c r="F1666">
        <f>IF(AND(H1665&lt;5000,cukier11[[#This Row],[czy_nastapiła_zmiana_mies]]=1),ROUNDUP((5000-H1665)/1000,0),0)</f>
        <v>0</v>
      </c>
      <c r="G1666">
        <f t="shared" si="25"/>
        <v>4654</v>
      </c>
      <c r="H1666">
        <f>cukier11[[#This Row],[stan_magazynu]]-cukier11[[#This Row],[sprzedany_cukier]]</f>
        <v>4489</v>
      </c>
      <c r="I1666" s="9">
        <f>cukier11[[#This Row],[stan_po_sprzedazy]]+cukier11[[#This Row],[ile_dokupic]]*1000</f>
        <v>4489</v>
      </c>
    </row>
    <row r="1667" spans="1:9" x14ac:dyDescent="0.25">
      <c r="A1667" s="1">
        <v>41162</v>
      </c>
      <c r="B1667" t="s">
        <v>48</v>
      </c>
      <c r="C1667">
        <v>13</v>
      </c>
      <c r="D1667">
        <f>MONTH(cukier11[[#This Row],[data]])</f>
        <v>9</v>
      </c>
      <c r="E1667">
        <f>IF(D1668&lt;&gt;cukier11[[#This Row],[miesiac]],1,0)</f>
        <v>0</v>
      </c>
      <c r="F1667">
        <f>IF(AND(H1666&lt;5000,cukier11[[#This Row],[czy_nastapiła_zmiana_mies]]=1),ROUNDUP((5000-H1666)/1000,0),0)</f>
        <v>0</v>
      </c>
      <c r="G1667">
        <f t="shared" si="25"/>
        <v>4489</v>
      </c>
      <c r="H1667">
        <f>cukier11[[#This Row],[stan_magazynu]]-cukier11[[#This Row],[sprzedany_cukier]]</f>
        <v>4476</v>
      </c>
      <c r="I1667" s="9">
        <f>cukier11[[#This Row],[stan_po_sprzedazy]]+cukier11[[#This Row],[ile_dokupic]]*1000</f>
        <v>4476</v>
      </c>
    </row>
    <row r="1668" spans="1:9" x14ac:dyDescent="0.25">
      <c r="A1668" s="1">
        <v>41163</v>
      </c>
      <c r="B1668" t="s">
        <v>69</v>
      </c>
      <c r="C1668">
        <v>143</v>
      </c>
      <c r="D1668">
        <f>MONTH(cukier11[[#This Row],[data]])</f>
        <v>9</v>
      </c>
      <c r="E1668">
        <f>IF(D1669&lt;&gt;cukier11[[#This Row],[miesiac]],1,0)</f>
        <v>0</v>
      </c>
      <c r="F1668">
        <f>IF(AND(H1667&lt;5000,cukier11[[#This Row],[czy_nastapiła_zmiana_mies]]=1),ROUNDUP((5000-H1667)/1000,0),0)</f>
        <v>0</v>
      </c>
      <c r="G1668">
        <f t="shared" ref="G1668:G1731" si="26">I1667</f>
        <v>4476</v>
      </c>
      <c r="H1668">
        <f>cukier11[[#This Row],[stan_magazynu]]-cukier11[[#This Row],[sprzedany_cukier]]</f>
        <v>4333</v>
      </c>
      <c r="I1668" s="9">
        <f>cukier11[[#This Row],[stan_po_sprzedazy]]+cukier11[[#This Row],[ile_dokupic]]*1000</f>
        <v>4333</v>
      </c>
    </row>
    <row r="1669" spans="1:9" x14ac:dyDescent="0.25">
      <c r="A1669" s="1">
        <v>41167</v>
      </c>
      <c r="B1669" t="s">
        <v>230</v>
      </c>
      <c r="C1669">
        <v>20</v>
      </c>
      <c r="D1669">
        <f>MONTH(cukier11[[#This Row],[data]])</f>
        <v>9</v>
      </c>
      <c r="E1669">
        <f>IF(D1670&lt;&gt;cukier11[[#This Row],[miesiac]],1,0)</f>
        <v>0</v>
      </c>
      <c r="F1669">
        <f>IF(AND(H1668&lt;5000,cukier11[[#This Row],[czy_nastapiła_zmiana_mies]]=1),ROUNDUP((5000-H1668)/1000,0),0)</f>
        <v>0</v>
      </c>
      <c r="G1669">
        <f t="shared" si="26"/>
        <v>4333</v>
      </c>
      <c r="H1669">
        <f>cukier11[[#This Row],[stan_magazynu]]-cukier11[[#This Row],[sprzedany_cukier]]</f>
        <v>4313</v>
      </c>
      <c r="I1669" s="9">
        <f>cukier11[[#This Row],[stan_po_sprzedazy]]+cukier11[[#This Row],[ile_dokupic]]*1000</f>
        <v>4313</v>
      </c>
    </row>
    <row r="1670" spans="1:9" x14ac:dyDescent="0.25">
      <c r="A1670" s="1">
        <v>41171</v>
      </c>
      <c r="B1670" t="s">
        <v>54</v>
      </c>
      <c r="C1670">
        <v>4</v>
      </c>
      <c r="D1670">
        <f>MONTH(cukier11[[#This Row],[data]])</f>
        <v>9</v>
      </c>
      <c r="E1670">
        <f>IF(D1671&lt;&gt;cukier11[[#This Row],[miesiac]],1,0)</f>
        <v>0</v>
      </c>
      <c r="F1670">
        <f>IF(AND(H1669&lt;5000,cukier11[[#This Row],[czy_nastapiła_zmiana_mies]]=1),ROUNDUP((5000-H1669)/1000,0),0)</f>
        <v>0</v>
      </c>
      <c r="G1670">
        <f t="shared" si="26"/>
        <v>4313</v>
      </c>
      <c r="H1670">
        <f>cukier11[[#This Row],[stan_magazynu]]-cukier11[[#This Row],[sprzedany_cukier]]</f>
        <v>4309</v>
      </c>
      <c r="I1670" s="9">
        <f>cukier11[[#This Row],[stan_po_sprzedazy]]+cukier11[[#This Row],[ile_dokupic]]*1000</f>
        <v>4309</v>
      </c>
    </row>
    <row r="1671" spans="1:9" x14ac:dyDescent="0.25">
      <c r="A1671" s="1">
        <v>41175</v>
      </c>
      <c r="B1671" t="s">
        <v>131</v>
      </c>
      <c r="C1671">
        <v>102</v>
      </c>
      <c r="D1671">
        <f>MONTH(cukier11[[#This Row],[data]])</f>
        <v>9</v>
      </c>
      <c r="E1671">
        <f>IF(D1672&lt;&gt;cukier11[[#This Row],[miesiac]],1,0)</f>
        <v>0</v>
      </c>
      <c r="F1671">
        <f>IF(AND(H1670&lt;5000,cukier11[[#This Row],[czy_nastapiła_zmiana_mies]]=1),ROUNDUP((5000-H1670)/1000,0),0)</f>
        <v>0</v>
      </c>
      <c r="G1671">
        <f t="shared" si="26"/>
        <v>4309</v>
      </c>
      <c r="H1671">
        <f>cukier11[[#This Row],[stan_magazynu]]-cukier11[[#This Row],[sprzedany_cukier]]</f>
        <v>4207</v>
      </c>
      <c r="I1671" s="9">
        <f>cukier11[[#This Row],[stan_po_sprzedazy]]+cukier11[[#This Row],[ile_dokupic]]*1000</f>
        <v>4207</v>
      </c>
    </row>
    <row r="1672" spans="1:9" x14ac:dyDescent="0.25">
      <c r="A1672" s="1">
        <v>41177</v>
      </c>
      <c r="B1672" t="s">
        <v>6</v>
      </c>
      <c r="C1672">
        <v>155</v>
      </c>
      <c r="D1672">
        <f>MONTH(cukier11[[#This Row],[data]])</f>
        <v>9</v>
      </c>
      <c r="E1672">
        <f>IF(D1673&lt;&gt;cukier11[[#This Row],[miesiac]],1,0)</f>
        <v>0</v>
      </c>
      <c r="F1672">
        <f>IF(AND(H1671&lt;5000,cukier11[[#This Row],[czy_nastapiła_zmiana_mies]]=1),ROUNDUP((5000-H1671)/1000,0),0)</f>
        <v>0</v>
      </c>
      <c r="G1672">
        <f t="shared" si="26"/>
        <v>4207</v>
      </c>
      <c r="H1672">
        <f>cukier11[[#This Row],[stan_magazynu]]-cukier11[[#This Row],[sprzedany_cukier]]</f>
        <v>4052</v>
      </c>
      <c r="I1672" s="9">
        <f>cukier11[[#This Row],[stan_po_sprzedazy]]+cukier11[[#This Row],[ile_dokupic]]*1000</f>
        <v>4052</v>
      </c>
    </row>
    <row r="1673" spans="1:9" x14ac:dyDescent="0.25">
      <c r="A1673" s="1">
        <v>41179</v>
      </c>
      <c r="B1673" t="s">
        <v>7</v>
      </c>
      <c r="C1673">
        <v>226</v>
      </c>
      <c r="D1673">
        <f>MONTH(cukier11[[#This Row],[data]])</f>
        <v>9</v>
      </c>
      <c r="E1673">
        <f>IF(D1674&lt;&gt;cukier11[[#This Row],[miesiac]],1,0)</f>
        <v>0</v>
      </c>
      <c r="F1673">
        <f>IF(AND(H1672&lt;5000,cukier11[[#This Row],[czy_nastapiła_zmiana_mies]]=1),ROUNDUP((5000-H1672)/1000,0),0)</f>
        <v>0</v>
      </c>
      <c r="G1673">
        <f t="shared" si="26"/>
        <v>4052</v>
      </c>
      <c r="H1673">
        <f>cukier11[[#This Row],[stan_magazynu]]-cukier11[[#This Row],[sprzedany_cukier]]</f>
        <v>3826</v>
      </c>
      <c r="I1673" s="9">
        <f>cukier11[[#This Row],[stan_po_sprzedazy]]+cukier11[[#This Row],[ile_dokupic]]*1000</f>
        <v>3826</v>
      </c>
    </row>
    <row r="1674" spans="1:9" x14ac:dyDescent="0.25">
      <c r="A1674" s="1">
        <v>41179</v>
      </c>
      <c r="B1674" t="s">
        <v>14</v>
      </c>
      <c r="C1674">
        <v>346</v>
      </c>
      <c r="D1674">
        <f>MONTH(cukier11[[#This Row],[data]])</f>
        <v>9</v>
      </c>
      <c r="E1674">
        <f>IF(D1675&lt;&gt;cukier11[[#This Row],[miesiac]],1,0)</f>
        <v>0</v>
      </c>
      <c r="F1674">
        <f>IF(AND(H1673&lt;5000,cukier11[[#This Row],[czy_nastapiła_zmiana_mies]]=1),ROUNDUP((5000-H1673)/1000,0),0)</f>
        <v>0</v>
      </c>
      <c r="G1674">
        <f t="shared" si="26"/>
        <v>3826</v>
      </c>
      <c r="H1674">
        <f>cukier11[[#This Row],[stan_magazynu]]-cukier11[[#This Row],[sprzedany_cukier]]</f>
        <v>3480</v>
      </c>
      <c r="I1674" s="9">
        <f>cukier11[[#This Row],[stan_po_sprzedazy]]+cukier11[[#This Row],[ile_dokupic]]*1000</f>
        <v>3480</v>
      </c>
    </row>
    <row r="1675" spans="1:9" x14ac:dyDescent="0.25">
      <c r="A1675" s="1">
        <v>41180</v>
      </c>
      <c r="B1675" t="s">
        <v>52</v>
      </c>
      <c r="C1675">
        <v>45</v>
      </c>
      <c r="D1675">
        <f>MONTH(cukier11[[#This Row],[data]])</f>
        <v>9</v>
      </c>
      <c r="E1675">
        <f>IF(D1676&lt;&gt;cukier11[[#This Row],[miesiac]],1,0)</f>
        <v>0</v>
      </c>
      <c r="F1675">
        <f>IF(AND(H1674&lt;5000,cukier11[[#This Row],[czy_nastapiła_zmiana_mies]]=1),ROUNDUP((5000-H1674)/1000,0),0)</f>
        <v>0</v>
      </c>
      <c r="G1675">
        <f t="shared" si="26"/>
        <v>3480</v>
      </c>
      <c r="H1675">
        <f>cukier11[[#This Row],[stan_magazynu]]-cukier11[[#This Row],[sprzedany_cukier]]</f>
        <v>3435</v>
      </c>
      <c r="I1675" s="9">
        <f>cukier11[[#This Row],[stan_po_sprzedazy]]+cukier11[[#This Row],[ile_dokupic]]*1000</f>
        <v>3435</v>
      </c>
    </row>
    <row r="1676" spans="1:9" x14ac:dyDescent="0.25">
      <c r="A1676" s="1">
        <v>41182</v>
      </c>
      <c r="B1676" t="s">
        <v>151</v>
      </c>
      <c r="C1676">
        <v>11</v>
      </c>
      <c r="D1676">
        <f>MONTH(cukier11[[#This Row],[data]])</f>
        <v>9</v>
      </c>
      <c r="E1676">
        <f>IF(D1677&lt;&gt;cukier11[[#This Row],[miesiac]],1,0)</f>
        <v>1</v>
      </c>
      <c r="F1676">
        <f>IF(AND(H1675&lt;5000,cukier11[[#This Row],[czy_nastapiła_zmiana_mies]]=1),ROUNDUP((5000-H1675)/1000,0),0)</f>
        <v>2</v>
      </c>
      <c r="G1676">
        <f t="shared" si="26"/>
        <v>3435</v>
      </c>
      <c r="H1676">
        <f>cukier11[[#This Row],[stan_magazynu]]-cukier11[[#This Row],[sprzedany_cukier]]</f>
        <v>3424</v>
      </c>
      <c r="I1676" s="9">
        <f>cukier11[[#This Row],[stan_po_sprzedazy]]+cukier11[[#This Row],[ile_dokupic]]*1000</f>
        <v>5424</v>
      </c>
    </row>
    <row r="1677" spans="1:9" x14ac:dyDescent="0.25">
      <c r="A1677" s="1">
        <v>41185</v>
      </c>
      <c r="B1677" t="s">
        <v>130</v>
      </c>
      <c r="C1677">
        <v>14</v>
      </c>
      <c r="D1677">
        <f>MONTH(cukier11[[#This Row],[data]])</f>
        <v>10</v>
      </c>
      <c r="E1677">
        <f>IF(D1678&lt;&gt;cukier11[[#This Row],[miesiac]],1,0)</f>
        <v>0</v>
      </c>
      <c r="F1677">
        <f>IF(AND(H1676&lt;5000,cukier11[[#This Row],[czy_nastapiła_zmiana_mies]]=1),ROUNDUP((5000-H1676)/1000,0),0)</f>
        <v>0</v>
      </c>
      <c r="G1677">
        <f t="shared" si="26"/>
        <v>5424</v>
      </c>
      <c r="H1677">
        <f>cukier11[[#This Row],[stan_magazynu]]-cukier11[[#This Row],[sprzedany_cukier]]</f>
        <v>5410</v>
      </c>
      <c r="I1677" s="9">
        <f>cukier11[[#This Row],[stan_po_sprzedazy]]+cukier11[[#This Row],[ile_dokupic]]*1000</f>
        <v>5410</v>
      </c>
    </row>
    <row r="1678" spans="1:9" x14ac:dyDescent="0.25">
      <c r="A1678" s="1">
        <v>41190</v>
      </c>
      <c r="B1678" t="s">
        <v>51</v>
      </c>
      <c r="C1678">
        <v>12</v>
      </c>
      <c r="D1678">
        <f>MONTH(cukier11[[#This Row],[data]])</f>
        <v>10</v>
      </c>
      <c r="E1678">
        <f>IF(D1679&lt;&gt;cukier11[[#This Row],[miesiac]],1,0)</f>
        <v>0</v>
      </c>
      <c r="F1678">
        <f>IF(AND(H1677&lt;5000,cukier11[[#This Row],[czy_nastapiła_zmiana_mies]]=1),ROUNDUP((5000-H1677)/1000,0),0)</f>
        <v>0</v>
      </c>
      <c r="G1678">
        <f t="shared" si="26"/>
        <v>5410</v>
      </c>
      <c r="H1678">
        <f>cukier11[[#This Row],[stan_magazynu]]-cukier11[[#This Row],[sprzedany_cukier]]</f>
        <v>5398</v>
      </c>
      <c r="I1678" s="9">
        <f>cukier11[[#This Row],[stan_po_sprzedazy]]+cukier11[[#This Row],[ile_dokupic]]*1000</f>
        <v>5398</v>
      </c>
    </row>
    <row r="1679" spans="1:9" x14ac:dyDescent="0.25">
      <c r="A1679" s="1">
        <v>41195</v>
      </c>
      <c r="B1679" t="s">
        <v>154</v>
      </c>
      <c r="C1679">
        <v>11</v>
      </c>
      <c r="D1679">
        <f>MONTH(cukier11[[#This Row],[data]])</f>
        <v>10</v>
      </c>
      <c r="E1679">
        <f>IF(D1680&lt;&gt;cukier11[[#This Row],[miesiac]],1,0)</f>
        <v>0</v>
      </c>
      <c r="F1679">
        <f>IF(AND(H1678&lt;5000,cukier11[[#This Row],[czy_nastapiła_zmiana_mies]]=1),ROUNDUP((5000-H1678)/1000,0),0)</f>
        <v>0</v>
      </c>
      <c r="G1679">
        <f t="shared" si="26"/>
        <v>5398</v>
      </c>
      <c r="H1679">
        <f>cukier11[[#This Row],[stan_magazynu]]-cukier11[[#This Row],[sprzedany_cukier]]</f>
        <v>5387</v>
      </c>
      <c r="I1679" s="9">
        <f>cukier11[[#This Row],[stan_po_sprzedazy]]+cukier11[[#This Row],[ile_dokupic]]*1000</f>
        <v>5387</v>
      </c>
    </row>
    <row r="1680" spans="1:9" x14ac:dyDescent="0.25">
      <c r="A1680" s="1">
        <v>41195</v>
      </c>
      <c r="B1680" t="s">
        <v>26</v>
      </c>
      <c r="C1680">
        <v>142</v>
      </c>
      <c r="D1680">
        <f>MONTH(cukier11[[#This Row],[data]])</f>
        <v>10</v>
      </c>
      <c r="E1680">
        <f>IF(D1681&lt;&gt;cukier11[[#This Row],[miesiac]],1,0)</f>
        <v>0</v>
      </c>
      <c r="F1680">
        <f>IF(AND(H1679&lt;5000,cukier11[[#This Row],[czy_nastapiła_zmiana_mies]]=1),ROUNDUP((5000-H1679)/1000,0),0)</f>
        <v>0</v>
      </c>
      <c r="G1680">
        <f t="shared" si="26"/>
        <v>5387</v>
      </c>
      <c r="H1680">
        <f>cukier11[[#This Row],[stan_magazynu]]-cukier11[[#This Row],[sprzedany_cukier]]</f>
        <v>5245</v>
      </c>
      <c r="I1680" s="9">
        <f>cukier11[[#This Row],[stan_po_sprzedazy]]+cukier11[[#This Row],[ile_dokupic]]*1000</f>
        <v>5245</v>
      </c>
    </row>
    <row r="1681" spans="1:9" x14ac:dyDescent="0.25">
      <c r="A1681" s="1">
        <v>41201</v>
      </c>
      <c r="B1681" t="s">
        <v>71</v>
      </c>
      <c r="C1681">
        <v>184</v>
      </c>
      <c r="D1681">
        <f>MONTH(cukier11[[#This Row],[data]])</f>
        <v>10</v>
      </c>
      <c r="E1681">
        <f>IF(D1682&lt;&gt;cukier11[[#This Row],[miesiac]],1,0)</f>
        <v>0</v>
      </c>
      <c r="F1681">
        <f>IF(AND(H1680&lt;5000,cukier11[[#This Row],[czy_nastapiła_zmiana_mies]]=1),ROUNDUP((5000-H1680)/1000,0),0)</f>
        <v>0</v>
      </c>
      <c r="G1681">
        <f t="shared" si="26"/>
        <v>5245</v>
      </c>
      <c r="H1681">
        <f>cukier11[[#This Row],[stan_magazynu]]-cukier11[[#This Row],[sprzedany_cukier]]</f>
        <v>5061</v>
      </c>
      <c r="I1681" s="9">
        <f>cukier11[[#This Row],[stan_po_sprzedazy]]+cukier11[[#This Row],[ile_dokupic]]*1000</f>
        <v>5061</v>
      </c>
    </row>
    <row r="1682" spans="1:9" x14ac:dyDescent="0.25">
      <c r="A1682" s="1">
        <v>41202</v>
      </c>
      <c r="B1682" t="s">
        <v>45</v>
      </c>
      <c r="C1682">
        <v>390</v>
      </c>
      <c r="D1682">
        <f>MONTH(cukier11[[#This Row],[data]])</f>
        <v>10</v>
      </c>
      <c r="E1682">
        <f>IF(D1683&lt;&gt;cukier11[[#This Row],[miesiac]],1,0)</f>
        <v>0</v>
      </c>
      <c r="F1682">
        <f>IF(AND(H1681&lt;5000,cukier11[[#This Row],[czy_nastapiła_zmiana_mies]]=1),ROUNDUP((5000-H1681)/1000,0),0)</f>
        <v>0</v>
      </c>
      <c r="G1682">
        <f t="shared" si="26"/>
        <v>5061</v>
      </c>
      <c r="H1682">
        <f>cukier11[[#This Row],[stan_magazynu]]-cukier11[[#This Row],[sprzedany_cukier]]</f>
        <v>4671</v>
      </c>
      <c r="I1682" s="9">
        <f>cukier11[[#This Row],[stan_po_sprzedazy]]+cukier11[[#This Row],[ile_dokupic]]*1000</f>
        <v>4671</v>
      </c>
    </row>
    <row r="1683" spans="1:9" x14ac:dyDescent="0.25">
      <c r="A1683" s="1">
        <v>41206</v>
      </c>
      <c r="B1683" t="s">
        <v>37</v>
      </c>
      <c r="C1683">
        <v>110</v>
      </c>
      <c r="D1683">
        <f>MONTH(cukier11[[#This Row],[data]])</f>
        <v>10</v>
      </c>
      <c r="E1683">
        <f>IF(D1684&lt;&gt;cukier11[[#This Row],[miesiac]],1,0)</f>
        <v>0</v>
      </c>
      <c r="F1683">
        <f>IF(AND(H1682&lt;5000,cukier11[[#This Row],[czy_nastapiła_zmiana_mies]]=1),ROUNDUP((5000-H1682)/1000,0),0)</f>
        <v>0</v>
      </c>
      <c r="G1683">
        <f t="shared" si="26"/>
        <v>4671</v>
      </c>
      <c r="H1683">
        <f>cukier11[[#This Row],[stan_magazynu]]-cukier11[[#This Row],[sprzedany_cukier]]</f>
        <v>4561</v>
      </c>
      <c r="I1683" s="9">
        <f>cukier11[[#This Row],[stan_po_sprzedazy]]+cukier11[[#This Row],[ile_dokupic]]*1000</f>
        <v>4561</v>
      </c>
    </row>
    <row r="1684" spans="1:9" x14ac:dyDescent="0.25">
      <c r="A1684" s="1">
        <v>41207</v>
      </c>
      <c r="B1684" t="s">
        <v>19</v>
      </c>
      <c r="C1684">
        <v>92</v>
      </c>
      <c r="D1684">
        <f>MONTH(cukier11[[#This Row],[data]])</f>
        <v>10</v>
      </c>
      <c r="E1684">
        <f>IF(D1685&lt;&gt;cukier11[[#This Row],[miesiac]],1,0)</f>
        <v>0</v>
      </c>
      <c r="F1684">
        <f>IF(AND(H1683&lt;5000,cukier11[[#This Row],[czy_nastapiła_zmiana_mies]]=1),ROUNDUP((5000-H1683)/1000,0),0)</f>
        <v>0</v>
      </c>
      <c r="G1684">
        <f t="shared" si="26"/>
        <v>4561</v>
      </c>
      <c r="H1684">
        <f>cukier11[[#This Row],[stan_magazynu]]-cukier11[[#This Row],[sprzedany_cukier]]</f>
        <v>4469</v>
      </c>
      <c r="I1684" s="9">
        <f>cukier11[[#This Row],[stan_po_sprzedazy]]+cukier11[[#This Row],[ile_dokupic]]*1000</f>
        <v>4469</v>
      </c>
    </row>
    <row r="1685" spans="1:9" x14ac:dyDescent="0.25">
      <c r="A1685" s="1">
        <v>41208</v>
      </c>
      <c r="B1685" t="s">
        <v>68</v>
      </c>
      <c r="C1685">
        <v>5</v>
      </c>
      <c r="D1685">
        <f>MONTH(cukier11[[#This Row],[data]])</f>
        <v>10</v>
      </c>
      <c r="E1685">
        <f>IF(D1686&lt;&gt;cukier11[[#This Row],[miesiac]],1,0)</f>
        <v>0</v>
      </c>
      <c r="F1685">
        <f>IF(AND(H1684&lt;5000,cukier11[[#This Row],[czy_nastapiła_zmiana_mies]]=1),ROUNDUP((5000-H1684)/1000,0),0)</f>
        <v>0</v>
      </c>
      <c r="G1685">
        <f t="shared" si="26"/>
        <v>4469</v>
      </c>
      <c r="H1685">
        <f>cukier11[[#This Row],[stan_magazynu]]-cukier11[[#This Row],[sprzedany_cukier]]</f>
        <v>4464</v>
      </c>
      <c r="I1685" s="9">
        <f>cukier11[[#This Row],[stan_po_sprzedazy]]+cukier11[[#This Row],[ile_dokupic]]*1000</f>
        <v>4464</v>
      </c>
    </row>
    <row r="1686" spans="1:9" x14ac:dyDescent="0.25">
      <c r="A1686" s="1">
        <v>41208</v>
      </c>
      <c r="B1686" t="s">
        <v>229</v>
      </c>
      <c r="C1686">
        <v>2</v>
      </c>
      <c r="D1686">
        <f>MONTH(cukier11[[#This Row],[data]])</f>
        <v>10</v>
      </c>
      <c r="E1686">
        <f>IF(D1687&lt;&gt;cukier11[[#This Row],[miesiac]],1,0)</f>
        <v>0</v>
      </c>
      <c r="F1686">
        <f>IF(AND(H1685&lt;5000,cukier11[[#This Row],[czy_nastapiła_zmiana_mies]]=1),ROUNDUP((5000-H1685)/1000,0),0)</f>
        <v>0</v>
      </c>
      <c r="G1686">
        <f t="shared" si="26"/>
        <v>4464</v>
      </c>
      <c r="H1686">
        <f>cukier11[[#This Row],[stan_magazynu]]-cukier11[[#This Row],[sprzedany_cukier]]</f>
        <v>4462</v>
      </c>
      <c r="I1686" s="9">
        <f>cukier11[[#This Row],[stan_po_sprzedazy]]+cukier11[[#This Row],[ile_dokupic]]*1000</f>
        <v>4462</v>
      </c>
    </row>
    <row r="1687" spans="1:9" x14ac:dyDescent="0.25">
      <c r="A1687" s="1">
        <v>41210</v>
      </c>
      <c r="B1687" t="s">
        <v>175</v>
      </c>
      <c r="C1687">
        <v>14</v>
      </c>
      <c r="D1687">
        <f>MONTH(cukier11[[#This Row],[data]])</f>
        <v>10</v>
      </c>
      <c r="E1687">
        <f>IF(D1688&lt;&gt;cukier11[[#This Row],[miesiac]],1,0)</f>
        <v>0</v>
      </c>
      <c r="F1687">
        <f>IF(AND(H1686&lt;5000,cukier11[[#This Row],[czy_nastapiła_zmiana_mies]]=1),ROUNDUP((5000-H1686)/1000,0),0)</f>
        <v>0</v>
      </c>
      <c r="G1687">
        <f t="shared" si="26"/>
        <v>4462</v>
      </c>
      <c r="H1687">
        <f>cukier11[[#This Row],[stan_magazynu]]-cukier11[[#This Row],[sprzedany_cukier]]</f>
        <v>4448</v>
      </c>
      <c r="I1687" s="9">
        <f>cukier11[[#This Row],[stan_po_sprzedazy]]+cukier11[[#This Row],[ile_dokupic]]*1000</f>
        <v>4448</v>
      </c>
    </row>
    <row r="1688" spans="1:9" x14ac:dyDescent="0.25">
      <c r="A1688" s="1">
        <v>41213</v>
      </c>
      <c r="B1688" t="s">
        <v>84</v>
      </c>
      <c r="C1688">
        <v>6</v>
      </c>
      <c r="D1688">
        <f>MONTH(cukier11[[#This Row],[data]])</f>
        <v>10</v>
      </c>
      <c r="E1688">
        <f>IF(D1689&lt;&gt;cukier11[[#This Row],[miesiac]],1,0)</f>
        <v>1</v>
      </c>
      <c r="F1688">
        <f>IF(AND(H1687&lt;5000,cukier11[[#This Row],[czy_nastapiła_zmiana_mies]]=1),ROUNDUP((5000-H1687)/1000,0),0)</f>
        <v>1</v>
      </c>
      <c r="G1688">
        <f t="shared" si="26"/>
        <v>4448</v>
      </c>
      <c r="H1688">
        <f>cukier11[[#This Row],[stan_magazynu]]-cukier11[[#This Row],[sprzedany_cukier]]</f>
        <v>4442</v>
      </c>
      <c r="I1688" s="9">
        <f>cukier11[[#This Row],[stan_po_sprzedazy]]+cukier11[[#This Row],[ile_dokupic]]*1000</f>
        <v>5442</v>
      </c>
    </row>
    <row r="1689" spans="1:9" x14ac:dyDescent="0.25">
      <c r="A1689" s="1">
        <v>41214</v>
      </c>
      <c r="B1689" t="s">
        <v>18</v>
      </c>
      <c r="C1689">
        <v>65</v>
      </c>
      <c r="D1689">
        <f>MONTH(cukier11[[#This Row],[data]])</f>
        <v>11</v>
      </c>
      <c r="E1689">
        <f>IF(D1690&lt;&gt;cukier11[[#This Row],[miesiac]],1,0)</f>
        <v>0</v>
      </c>
      <c r="F1689">
        <f>IF(AND(H1688&lt;5000,cukier11[[#This Row],[czy_nastapiła_zmiana_mies]]=1),ROUNDUP((5000-H1688)/1000,0),0)</f>
        <v>0</v>
      </c>
      <c r="G1689">
        <f t="shared" si="26"/>
        <v>5442</v>
      </c>
      <c r="H1689">
        <f>cukier11[[#This Row],[stan_magazynu]]-cukier11[[#This Row],[sprzedany_cukier]]</f>
        <v>5377</v>
      </c>
      <c r="I1689" s="9">
        <f>cukier11[[#This Row],[stan_po_sprzedazy]]+cukier11[[#This Row],[ile_dokupic]]*1000</f>
        <v>5377</v>
      </c>
    </row>
    <row r="1690" spans="1:9" x14ac:dyDescent="0.25">
      <c r="A1690" s="1">
        <v>41214</v>
      </c>
      <c r="B1690" t="s">
        <v>69</v>
      </c>
      <c r="C1690">
        <v>45</v>
      </c>
      <c r="D1690">
        <f>MONTH(cukier11[[#This Row],[data]])</f>
        <v>11</v>
      </c>
      <c r="E1690">
        <f>IF(D1691&lt;&gt;cukier11[[#This Row],[miesiac]],1,0)</f>
        <v>0</v>
      </c>
      <c r="F1690">
        <f>IF(AND(H1689&lt;5000,cukier11[[#This Row],[czy_nastapiła_zmiana_mies]]=1),ROUNDUP((5000-H1689)/1000,0),0)</f>
        <v>0</v>
      </c>
      <c r="G1690">
        <f t="shared" si="26"/>
        <v>5377</v>
      </c>
      <c r="H1690">
        <f>cukier11[[#This Row],[stan_magazynu]]-cukier11[[#This Row],[sprzedany_cukier]]</f>
        <v>5332</v>
      </c>
      <c r="I1690" s="9">
        <f>cukier11[[#This Row],[stan_po_sprzedazy]]+cukier11[[#This Row],[ile_dokupic]]*1000</f>
        <v>5332</v>
      </c>
    </row>
    <row r="1691" spans="1:9" x14ac:dyDescent="0.25">
      <c r="A1691" s="1">
        <v>41214</v>
      </c>
      <c r="B1691" t="s">
        <v>7</v>
      </c>
      <c r="C1691">
        <v>108</v>
      </c>
      <c r="D1691">
        <f>MONTH(cukier11[[#This Row],[data]])</f>
        <v>11</v>
      </c>
      <c r="E1691">
        <f>IF(D1692&lt;&gt;cukier11[[#This Row],[miesiac]],1,0)</f>
        <v>0</v>
      </c>
      <c r="F1691">
        <f>IF(AND(H1690&lt;5000,cukier11[[#This Row],[czy_nastapiła_zmiana_mies]]=1),ROUNDUP((5000-H1690)/1000,0),0)</f>
        <v>0</v>
      </c>
      <c r="G1691">
        <f t="shared" si="26"/>
        <v>5332</v>
      </c>
      <c r="H1691">
        <f>cukier11[[#This Row],[stan_magazynu]]-cukier11[[#This Row],[sprzedany_cukier]]</f>
        <v>5224</v>
      </c>
      <c r="I1691" s="9">
        <f>cukier11[[#This Row],[stan_po_sprzedazy]]+cukier11[[#This Row],[ile_dokupic]]*1000</f>
        <v>5224</v>
      </c>
    </row>
    <row r="1692" spans="1:9" x14ac:dyDescent="0.25">
      <c r="A1692" s="1">
        <v>41215</v>
      </c>
      <c r="B1692" t="s">
        <v>37</v>
      </c>
      <c r="C1692">
        <v>159</v>
      </c>
      <c r="D1692">
        <f>MONTH(cukier11[[#This Row],[data]])</f>
        <v>11</v>
      </c>
      <c r="E1692">
        <f>IF(D1693&lt;&gt;cukier11[[#This Row],[miesiac]],1,0)</f>
        <v>0</v>
      </c>
      <c r="F1692">
        <f>IF(AND(H1691&lt;5000,cukier11[[#This Row],[czy_nastapiła_zmiana_mies]]=1),ROUNDUP((5000-H1691)/1000,0),0)</f>
        <v>0</v>
      </c>
      <c r="G1692">
        <f t="shared" si="26"/>
        <v>5224</v>
      </c>
      <c r="H1692">
        <f>cukier11[[#This Row],[stan_magazynu]]-cukier11[[#This Row],[sprzedany_cukier]]</f>
        <v>5065</v>
      </c>
      <c r="I1692" s="9">
        <f>cukier11[[#This Row],[stan_po_sprzedazy]]+cukier11[[#This Row],[ile_dokupic]]*1000</f>
        <v>5065</v>
      </c>
    </row>
    <row r="1693" spans="1:9" x14ac:dyDescent="0.25">
      <c r="A1693" s="1">
        <v>41219</v>
      </c>
      <c r="B1693" t="s">
        <v>19</v>
      </c>
      <c r="C1693">
        <v>141</v>
      </c>
      <c r="D1693">
        <f>MONTH(cukier11[[#This Row],[data]])</f>
        <v>11</v>
      </c>
      <c r="E1693">
        <f>IF(D1694&lt;&gt;cukier11[[#This Row],[miesiac]],1,0)</f>
        <v>0</v>
      </c>
      <c r="F1693">
        <f>IF(AND(H1692&lt;5000,cukier11[[#This Row],[czy_nastapiła_zmiana_mies]]=1),ROUNDUP((5000-H1692)/1000,0),0)</f>
        <v>0</v>
      </c>
      <c r="G1693">
        <f t="shared" si="26"/>
        <v>5065</v>
      </c>
      <c r="H1693">
        <f>cukier11[[#This Row],[stan_magazynu]]-cukier11[[#This Row],[sprzedany_cukier]]</f>
        <v>4924</v>
      </c>
      <c r="I1693" s="9">
        <f>cukier11[[#This Row],[stan_po_sprzedazy]]+cukier11[[#This Row],[ile_dokupic]]*1000</f>
        <v>4924</v>
      </c>
    </row>
    <row r="1694" spans="1:9" x14ac:dyDescent="0.25">
      <c r="A1694" s="1">
        <v>41219</v>
      </c>
      <c r="B1694" t="s">
        <v>38</v>
      </c>
      <c r="C1694">
        <v>14</v>
      </c>
      <c r="D1694">
        <f>MONTH(cukier11[[#This Row],[data]])</f>
        <v>11</v>
      </c>
      <c r="E1694">
        <f>IF(D1695&lt;&gt;cukier11[[#This Row],[miesiac]],1,0)</f>
        <v>0</v>
      </c>
      <c r="F1694">
        <f>IF(AND(H1693&lt;5000,cukier11[[#This Row],[czy_nastapiła_zmiana_mies]]=1),ROUNDUP((5000-H1693)/1000,0),0)</f>
        <v>0</v>
      </c>
      <c r="G1694">
        <f t="shared" si="26"/>
        <v>4924</v>
      </c>
      <c r="H1694">
        <f>cukier11[[#This Row],[stan_magazynu]]-cukier11[[#This Row],[sprzedany_cukier]]</f>
        <v>4910</v>
      </c>
      <c r="I1694" s="9">
        <f>cukier11[[#This Row],[stan_po_sprzedazy]]+cukier11[[#This Row],[ile_dokupic]]*1000</f>
        <v>4910</v>
      </c>
    </row>
    <row r="1695" spans="1:9" x14ac:dyDescent="0.25">
      <c r="A1695" s="1">
        <v>41222</v>
      </c>
      <c r="B1695" t="s">
        <v>10</v>
      </c>
      <c r="C1695">
        <v>142</v>
      </c>
      <c r="D1695">
        <f>MONTH(cukier11[[#This Row],[data]])</f>
        <v>11</v>
      </c>
      <c r="E1695">
        <f>IF(D1696&lt;&gt;cukier11[[#This Row],[miesiac]],1,0)</f>
        <v>0</v>
      </c>
      <c r="F1695">
        <f>IF(AND(H1694&lt;5000,cukier11[[#This Row],[czy_nastapiła_zmiana_mies]]=1),ROUNDUP((5000-H1694)/1000,0),0)</f>
        <v>0</v>
      </c>
      <c r="G1695">
        <f t="shared" si="26"/>
        <v>4910</v>
      </c>
      <c r="H1695">
        <f>cukier11[[#This Row],[stan_magazynu]]-cukier11[[#This Row],[sprzedany_cukier]]</f>
        <v>4768</v>
      </c>
      <c r="I1695" s="9">
        <f>cukier11[[#This Row],[stan_po_sprzedazy]]+cukier11[[#This Row],[ile_dokupic]]*1000</f>
        <v>4768</v>
      </c>
    </row>
    <row r="1696" spans="1:9" x14ac:dyDescent="0.25">
      <c r="A1696" s="1">
        <v>41223</v>
      </c>
      <c r="B1696" t="s">
        <v>9</v>
      </c>
      <c r="C1696">
        <v>167</v>
      </c>
      <c r="D1696">
        <f>MONTH(cukier11[[#This Row],[data]])</f>
        <v>11</v>
      </c>
      <c r="E1696">
        <f>IF(D1697&lt;&gt;cukier11[[#This Row],[miesiac]],1,0)</f>
        <v>0</v>
      </c>
      <c r="F1696">
        <f>IF(AND(H1695&lt;5000,cukier11[[#This Row],[czy_nastapiła_zmiana_mies]]=1),ROUNDUP((5000-H1695)/1000,0),0)</f>
        <v>0</v>
      </c>
      <c r="G1696">
        <f t="shared" si="26"/>
        <v>4768</v>
      </c>
      <c r="H1696">
        <f>cukier11[[#This Row],[stan_magazynu]]-cukier11[[#This Row],[sprzedany_cukier]]</f>
        <v>4601</v>
      </c>
      <c r="I1696" s="9">
        <f>cukier11[[#This Row],[stan_po_sprzedazy]]+cukier11[[#This Row],[ile_dokupic]]*1000</f>
        <v>4601</v>
      </c>
    </row>
    <row r="1697" spans="1:9" x14ac:dyDescent="0.25">
      <c r="A1697" s="1">
        <v>41224</v>
      </c>
      <c r="B1697" t="s">
        <v>175</v>
      </c>
      <c r="C1697">
        <v>12</v>
      </c>
      <c r="D1697">
        <f>MONTH(cukier11[[#This Row],[data]])</f>
        <v>11</v>
      </c>
      <c r="E1697">
        <f>IF(D1698&lt;&gt;cukier11[[#This Row],[miesiac]],1,0)</f>
        <v>0</v>
      </c>
      <c r="F1697">
        <f>IF(AND(H1696&lt;5000,cukier11[[#This Row],[czy_nastapiła_zmiana_mies]]=1),ROUNDUP((5000-H1696)/1000,0),0)</f>
        <v>0</v>
      </c>
      <c r="G1697">
        <f t="shared" si="26"/>
        <v>4601</v>
      </c>
      <c r="H1697">
        <f>cukier11[[#This Row],[stan_magazynu]]-cukier11[[#This Row],[sprzedany_cukier]]</f>
        <v>4589</v>
      </c>
      <c r="I1697" s="9">
        <f>cukier11[[#This Row],[stan_po_sprzedazy]]+cukier11[[#This Row],[ile_dokupic]]*1000</f>
        <v>4589</v>
      </c>
    </row>
    <row r="1698" spans="1:9" x14ac:dyDescent="0.25">
      <c r="A1698" s="1">
        <v>41229</v>
      </c>
      <c r="B1698" t="s">
        <v>28</v>
      </c>
      <c r="C1698">
        <v>187</v>
      </c>
      <c r="D1698">
        <f>MONTH(cukier11[[#This Row],[data]])</f>
        <v>11</v>
      </c>
      <c r="E1698">
        <f>IF(D1699&lt;&gt;cukier11[[#This Row],[miesiac]],1,0)</f>
        <v>0</v>
      </c>
      <c r="F1698">
        <f>IF(AND(H1697&lt;5000,cukier11[[#This Row],[czy_nastapiła_zmiana_mies]]=1),ROUNDUP((5000-H1697)/1000,0),0)</f>
        <v>0</v>
      </c>
      <c r="G1698">
        <f t="shared" si="26"/>
        <v>4589</v>
      </c>
      <c r="H1698">
        <f>cukier11[[#This Row],[stan_magazynu]]-cukier11[[#This Row],[sprzedany_cukier]]</f>
        <v>4402</v>
      </c>
      <c r="I1698" s="9">
        <f>cukier11[[#This Row],[stan_po_sprzedazy]]+cukier11[[#This Row],[ile_dokupic]]*1000</f>
        <v>4402</v>
      </c>
    </row>
    <row r="1699" spans="1:9" x14ac:dyDescent="0.25">
      <c r="A1699" s="1">
        <v>41232</v>
      </c>
      <c r="B1699" t="s">
        <v>41</v>
      </c>
      <c r="C1699">
        <v>14</v>
      </c>
      <c r="D1699">
        <f>MONTH(cukier11[[#This Row],[data]])</f>
        <v>11</v>
      </c>
      <c r="E1699">
        <f>IF(D1700&lt;&gt;cukier11[[#This Row],[miesiac]],1,0)</f>
        <v>0</v>
      </c>
      <c r="F1699">
        <f>IF(AND(H1698&lt;5000,cukier11[[#This Row],[czy_nastapiła_zmiana_mies]]=1),ROUNDUP((5000-H1698)/1000,0),0)</f>
        <v>0</v>
      </c>
      <c r="G1699">
        <f t="shared" si="26"/>
        <v>4402</v>
      </c>
      <c r="H1699">
        <f>cukier11[[#This Row],[stan_magazynu]]-cukier11[[#This Row],[sprzedany_cukier]]</f>
        <v>4388</v>
      </c>
      <c r="I1699" s="9">
        <f>cukier11[[#This Row],[stan_po_sprzedazy]]+cukier11[[#This Row],[ile_dokupic]]*1000</f>
        <v>4388</v>
      </c>
    </row>
    <row r="1700" spans="1:9" x14ac:dyDescent="0.25">
      <c r="A1700" s="1">
        <v>41235</v>
      </c>
      <c r="B1700" t="s">
        <v>165</v>
      </c>
      <c r="C1700">
        <v>10</v>
      </c>
      <c r="D1700">
        <f>MONTH(cukier11[[#This Row],[data]])</f>
        <v>11</v>
      </c>
      <c r="E1700">
        <f>IF(D1701&lt;&gt;cukier11[[#This Row],[miesiac]],1,0)</f>
        <v>0</v>
      </c>
      <c r="F1700">
        <f>IF(AND(H1699&lt;5000,cukier11[[#This Row],[czy_nastapiła_zmiana_mies]]=1),ROUNDUP((5000-H1699)/1000,0),0)</f>
        <v>0</v>
      </c>
      <c r="G1700">
        <f t="shared" si="26"/>
        <v>4388</v>
      </c>
      <c r="H1700">
        <f>cukier11[[#This Row],[stan_magazynu]]-cukier11[[#This Row],[sprzedany_cukier]]</f>
        <v>4378</v>
      </c>
      <c r="I1700" s="9">
        <f>cukier11[[#This Row],[stan_po_sprzedazy]]+cukier11[[#This Row],[ile_dokupic]]*1000</f>
        <v>4378</v>
      </c>
    </row>
    <row r="1701" spans="1:9" x14ac:dyDescent="0.25">
      <c r="A1701" s="1">
        <v>41236</v>
      </c>
      <c r="B1701" t="s">
        <v>22</v>
      </c>
      <c r="C1701">
        <v>269</v>
      </c>
      <c r="D1701">
        <f>MONTH(cukier11[[#This Row],[data]])</f>
        <v>11</v>
      </c>
      <c r="E1701">
        <f>IF(D1702&lt;&gt;cukier11[[#This Row],[miesiac]],1,0)</f>
        <v>0</v>
      </c>
      <c r="F1701">
        <f>IF(AND(H1700&lt;5000,cukier11[[#This Row],[czy_nastapiła_zmiana_mies]]=1),ROUNDUP((5000-H1700)/1000,0),0)</f>
        <v>0</v>
      </c>
      <c r="G1701">
        <f t="shared" si="26"/>
        <v>4378</v>
      </c>
      <c r="H1701">
        <f>cukier11[[#This Row],[stan_magazynu]]-cukier11[[#This Row],[sprzedany_cukier]]</f>
        <v>4109</v>
      </c>
      <c r="I1701" s="9">
        <f>cukier11[[#This Row],[stan_po_sprzedazy]]+cukier11[[#This Row],[ile_dokupic]]*1000</f>
        <v>4109</v>
      </c>
    </row>
    <row r="1702" spans="1:9" x14ac:dyDescent="0.25">
      <c r="A1702" s="1">
        <v>41236</v>
      </c>
      <c r="B1702" t="s">
        <v>5</v>
      </c>
      <c r="C1702">
        <v>328</v>
      </c>
      <c r="D1702">
        <f>MONTH(cukier11[[#This Row],[data]])</f>
        <v>11</v>
      </c>
      <c r="E1702">
        <f>IF(D1703&lt;&gt;cukier11[[#This Row],[miesiac]],1,0)</f>
        <v>0</v>
      </c>
      <c r="F1702">
        <f>IF(AND(H1701&lt;5000,cukier11[[#This Row],[czy_nastapiła_zmiana_mies]]=1),ROUNDUP((5000-H1701)/1000,0),0)</f>
        <v>0</v>
      </c>
      <c r="G1702">
        <f t="shared" si="26"/>
        <v>4109</v>
      </c>
      <c r="H1702">
        <f>cukier11[[#This Row],[stan_magazynu]]-cukier11[[#This Row],[sprzedany_cukier]]</f>
        <v>3781</v>
      </c>
      <c r="I1702" s="9">
        <f>cukier11[[#This Row],[stan_po_sprzedazy]]+cukier11[[#This Row],[ile_dokupic]]*1000</f>
        <v>3781</v>
      </c>
    </row>
    <row r="1703" spans="1:9" x14ac:dyDescent="0.25">
      <c r="A1703" s="1">
        <v>41237</v>
      </c>
      <c r="B1703" t="s">
        <v>9</v>
      </c>
      <c r="C1703">
        <v>228</v>
      </c>
      <c r="D1703">
        <f>MONTH(cukier11[[#This Row],[data]])</f>
        <v>11</v>
      </c>
      <c r="E1703">
        <f>IF(D1704&lt;&gt;cukier11[[#This Row],[miesiac]],1,0)</f>
        <v>0</v>
      </c>
      <c r="F1703">
        <f>IF(AND(H1702&lt;5000,cukier11[[#This Row],[czy_nastapiła_zmiana_mies]]=1),ROUNDUP((5000-H1702)/1000,0),0)</f>
        <v>0</v>
      </c>
      <c r="G1703">
        <f t="shared" si="26"/>
        <v>3781</v>
      </c>
      <c r="H1703">
        <f>cukier11[[#This Row],[stan_magazynu]]-cukier11[[#This Row],[sprzedany_cukier]]</f>
        <v>3553</v>
      </c>
      <c r="I1703" s="9">
        <f>cukier11[[#This Row],[stan_po_sprzedazy]]+cukier11[[#This Row],[ile_dokupic]]*1000</f>
        <v>3553</v>
      </c>
    </row>
    <row r="1704" spans="1:9" x14ac:dyDescent="0.25">
      <c r="A1704" s="1">
        <v>41239</v>
      </c>
      <c r="B1704" t="s">
        <v>2</v>
      </c>
      <c r="C1704">
        <v>12</v>
      </c>
      <c r="D1704">
        <f>MONTH(cukier11[[#This Row],[data]])</f>
        <v>11</v>
      </c>
      <c r="E1704">
        <f>IF(D1705&lt;&gt;cukier11[[#This Row],[miesiac]],1,0)</f>
        <v>1</v>
      </c>
      <c r="F1704">
        <f>IF(AND(H1703&lt;5000,cukier11[[#This Row],[czy_nastapiła_zmiana_mies]]=1),ROUNDUP((5000-H1703)/1000,0),0)</f>
        <v>2</v>
      </c>
      <c r="G1704">
        <f t="shared" si="26"/>
        <v>3553</v>
      </c>
      <c r="H1704">
        <f>cukier11[[#This Row],[stan_magazynu]]-cukier11[[#This Row],[sprzedany_cukier]]</f>
        <v>3541</v>
      </c>
      <c r="I1704" s="9">
        <f>cukier11[[#This Row],[stan_po_sprzedazy]]+cukier11[[#This Row],[ile_dokupic]]*1000</f>
        <v>5541</v>
      </c>
    </row>
    <row r="1705" spans="1:9" x14ac:dyDescent="0.25">
      <c r="A1705" s="1">
        <v>41244</v>
      </c>
      <c r="B1705" t="s">
        <v>93</v>
      </c>
      <c r="C1705">
        <v>16</v>
      </c>
      <c r="D1705">
        <f>MONTH(cukier11[[#This Row],[data]])</f>
        <v>12</v>
      </c>
      <c r="E1705">
        <f>IF(D1706&lt;&gt;cukier11[[#This Row],[miesiac]],1,0)</f>
        <v>0</v>
      </c>
      <c r="F1705">
        <f>IF(AND(H1704&lt;5000,cukier11[[#This Row],[czy_nastapiła_zmiana_mies]]=1),ROUNDUP((5000-H1704)/1000,0),0)</f>
        <v>0</v>
      </c>
      <c r="G1705">
        <f t="shared" si="26"/>
        <v>5541</v>
      </c>
      <c r="H1705">
        <f>cukier11[[#This Row],[stan_magazynu]]-cukier11[[#This Row],[sprzedany_cukier]]</f>
        <v>5525</v>
      </c>
      <c r="I1705" s="9">
        <f>cukier11[[#This Row],[stan_po_sprzedazy]]+cukier11[[#This Row],[ile_dokupic]]*1000</f>
        <v>5525</v>
      </c>
    </row>
    <row r="1706" spans="1:9" x14ac:dyDescent="0.25">
      <c r="A1706" s="1">
        <v>41247</v>
      </c>
      <c r="B1706" t="s">
        <v>17</v>
      </c>
      <c r="C1706">
        <v>233</v>
      </c>
      <c r="D1706">
        <f>MONTH(cukier11[[#This Row],[data]])</f>
        <v>12</v>
      </c>
      <c r="E1706">
        <f>IF(D1707&lt;&gt;cukier11[[#This Row],[miesiac]],1,0)</f>
        <v>0</v>
      </c>
      <c r="F1706">
        <f>IF(AND(H1705&lt;5000,cukier11[[#This Row],[czy_nastapiła_zmiana_mies]]=1),ROUNDUP((5000-H1705)/1000,0),0)</f>
        <v>0</v>
      </c>
      <c r="G1706">
        <f t="shared" si="26"/>
        <v>5525</v>
      </c>
      <c r="H1706">
        <f>cukier11[[#This Row],[stan_magazynu]]-cukier11[[#This Row],[sprzedany_cukier]]</f>
        <v>5292</v>
      </c>
      <c r="I1706" s="9">
        <f>cukier11[[#This Row],[stan_po_sprzedazy]]+cukier11[[#This Row],[ile_dokupic]]*1000</f>
        <v>5292</v>
      </c>
    </row>
    <row r="1707" spans="1:9" x14ac:dyDescent="0.25">
      <c r="A1707" s="1">
        <v>41248</v>
      </c>
      <c r="B1707" t="s">
        <v>132</v>
      </c>
      <c r="C1707">
        <v>10</v>
      </c>
      <c r="D1707">
        <f>MONTH(cukier11[[#This Row],[data]])</f>
        <v>12</v>
      </c>
      <c r="E1707">
        <f>IF(D1708&lt;&gt;cukier11[[#This Row],[miesiac]],1,0)</f>
        <v>0</v>
      </c>
      <c r="F1707">
        <f>IF(AND(H1706&lt;5000,cukier11[[#This Row],[czy_nastapiła_zmiana_mies]]=1),ROUNDUP((5000-H1706)/1000,0),0)</f>
        <v>0</v>
      </c>
      <c r="G1707">
        <f t="shared" si="26"/>
        <v>5292</v>
      </c>
      <c r="H1707">
        <f>cukier11[[#This Row],[stan_magazynu]]-cukier11[[#This Row],[sprzedany_cukier]]</f>
        <v>5282</v>
      </c>
      <c r="I1707" s="9">
        <f>cukier11[[#This Row],[stan_po_sprzedazy]]+cukier11[[#This Row],[ile_dokupic]]*1000</f>
        <v>5282</v>
      </c>
    </row>
    <row r="1708" spans="1:9" x14ac:dyDescent="0.25">
      <c r="A1708" s="1">
        <v>41251</v>
      </c>
      <c r="B1708" t="s">
        <v>10</v>
      </c>
      <c r="C1708">
        <v>168</v>
      </c>
      <c r="D1708">
        <f>MONTH(cukier11[[#This Row],[data]])</f>
        <v>12</v>
      </c>
      <c r="E1708">
        <f>IF(D1709&lt;&gt;cukier11[[#This Row],[miesiac]],1,0)</f>
        <v>0</v>
      </c>
      <c r="F1708">
        <f>IF(AND(H1707&lt;5000,cukier11[[#This Row],[czy_nastapiła_zmiana_mies]]=1),ROUNDUP((5000-H1707)/1000,0),0)</f>
        <v>0</v>
      </c>
      <c r="G1708">
        <f t="shared" si="26"/>
        <v>5282</v>
      </c>
      <c r="H1708">
        <f>cukier11[[#This Row],[stan_magazynu]]-cukier11[[#This Row],[sprzedany_cukier]]</f>
        <v>5114</v>
      </c>
      <c r="I1708" s="9">
        <f>cukier11[[#This Row],[stan_po_sprzedazy]]+cukier11[[#This Row],[ile_dokupic]]*1000</f>
        <v>5114</v>
      </c>
    </row>
    <row r="1709" spans="1:9" x14ac:dyDescent="0.25">
      <c r="A1709" s="1">
        <v>41251</v>
      </c>
      <c r="B1709" t="s">
        <v>5</v>
      </c>
      <c r="C1709">
        <v>388</v>
      </c>
      <c r="D1709">
        <f>MONTH(cukier11[[#This Row],[data]])</f>
        <v>12</v>
      </c>
      <c r="E1709">
        <f>IF(D1710&lt;&gt;cukier11[[#This Row],[miesiac]],1,0)</f>
        <v>0</v>
      </c>
      <c r="F1709">
        <f>IF(AND(H1708&lt;5000,cukier11[[#This Row],[czy_nastapiła_zmiana_mies]]=1),ROUNDUP((5000-H1708)/1000,0),0)</f>
        <v>0</v>
      </c>
      <c r="G1709">
        <f t="shared" si="26"/>
        <v>5114</v>
      </c>
      <c r="H1709">
        <f>cukier11[[#This Row],[stan_magazynu]]-cukier11[[#This Row],[sprzedany_cukier]]</f>
        <v>4726</v>
      </c>
      <c r="I1709" s="9">
        <f>cukier11[[#This Row],[stan_po_sprzedazy]]+cukier11[[#This Row],[ile_dokupic]]*1000</f>
        <v>4726</v>
      </c>
    </row>
    <row r="1710" spans="1:9" x14ac:dyDescent="0.25">
      <c r="A1710" s="1">
        <v>41252</v>
      </c>
      <c r="B1710" t="s">
        <v>50</v>
      </c>
      <c r="C1710">
        <v>319</v>
      </c>
      <c r="D1710">
        <f>MONTH(cukier11[[#This Row],[data]])</f>
        <v>12</v>
      </c>
      <c r="E1710">
        <f>IF(D1711&lt;&gt;cukier11[[#This Row],[miesiac]],1,0)</f>
        <v>0</v>
      </c>
      <c r="F1710">
        <f>IF(AND(H1709&lt;5000,cukier11[[#This Row],[czy_nastapiła_zmiana_mies]]=1),ROUNDUP((5000-H1709)/1000,0),0)</f>
        <v>0</v>
      </c>
      <c r="G1710">
        <f t="shared" si="26"/>
        <v>4726</v>
      </c>
      <c r="H1710">
        <f>cukier11[[#This Row],[stan_magazynu]]-cukier11[[#This Row],[sprzedany_cukier]]</f>
        <v>4407</v>
      </c>
      <c r="I1710" s="9">
        <f>cukier11[[#This Row],[stan_po_sprzedazy]]+cukier11[[#This Row],[ile_dokupic]]*1000</f>
        <v>4407</v>
      </c>
    </row>
    <row r="1711" spans="1:9" x14ac:dyDescent="0.25">
      <c r="A1711" s="1">
        <v>41254</v>
      </c>
      <c r="B1711" t="s">
        <v>67</v>
      </c>
      <c r="C1711">
        <v>12</v>
      </c>
      <c r="D1711">
        <f>MONTH(cukier11[[#This Row],[data]])</f>
        <v>12</v>
      </c>
      <c r="E1711">
        <f>IF(D1712&lt;&gt;cukier11[[#This Row],[miesiac]],1,0)</f>
        <v>0</v>
      </c>
      <c r="F1711">
        <f>IF(AND(H1710&lt;5000,cukier11[[#This Row],[czy_nastapiła_zmiana_mies]]=1),ROUNDUP((5000-H1710)/1000,0),0)</f>
        <v>0</v>
      </c>
      <c r="G1711">
        <f t="shared" si="26"/>
        <v>4407</v>
      </c>
      <c r="H1711">
        <f>cukier11[[#This Row],[stan_magazynu]]-cukier11[[#This Row],[sprzedany_cukier]]</f>
        <v>4395</v>
      </c>
      <c r="I1711" s="9">
        <f>cukier11[[#This Row],[stan_po_sprzedazy]]+cukier11[[#This Row],[ile_dokupic]]*1000</f>
        <v>4395</v>
      </c>
    </row>
    <row r="1712" spans="1:9" x14ac:dyDescent="0.25">
      <c r="A1712" s="1">
        <v>41256</v>
      </c>
      <c r="B1712" t="s">
        <v>173</v>
      </c>
      <c r="C1712">
        <v>150</v>
      </c>
      <c r="D1712">
        <f>MONTH(cukier11[[#This Row],[data]])</f>
        <v>12</v>
      </c>
      <c r="E1712">
        <f>IF(D1713&lt;&gt;cukier11[[#This Row],[miesiac]],1,0)</f>
        <v>0</v>
      </c>
      <c r="F1712">
        <f>IF(AND(H1711&lt;5000,cukier11[[#This Row],[czy_nastapiła_zmiana_mies]]=1),ROUNDUP((5000-H1711)/1000,0),0)</f>
        <v>0</v>
      </c>
      <c r="G1712">
        <f t="shared" si="26"/>
        <v>4395</v>
      </c>
      <c r="H1712">
        <f>cukier11[[#This Row],[stan_magazynu]]-cukier11[[#This Row],[sprzedany_cukier]]</f>
        <v>4245</v>
      </c>
      <c r="I1712" s="9">
        <f>cukier11[[#This Row],[stan_po_sprzedazy]]+cukier11[[#This Row],[ile_dokupic]]*1000</f>
        <v>4245</v>
      </c>
    </row>
    <row r="1713" spans="1:9" x14ac:dyDescent="0.25">
      <c r="A1713" s="1">
        <v>41258</v>
      </c>
      <c r="B1713" t="s">
        <v>9</v>
      </c>
      <c r="C1713">
        <v>347</v>
      </c>
      <c r="D1713">
        <f>MONTH(cukier11[[#This Row],[data]])</f>
        <v>12</v>
      </c>
      <c r="E1713">
        <f>IF(D1714&lt;&gt;cukier11[[#This Row],[miesiac]],1,0)</f>
        <v>0</v>
      </c>
      <c r="F1713">
        <f>IF(AND(H1712&lt;5000,cukier11[[#This Row],[czy_nastapiła_zmiana_mies]]=1),ROUNDUP((5000-H1712)/1000,0),0)</f>
        <v>0</v>
      </c>
      <c r="G1713">
        <f t="shared" si="26"/>
        <v>4245</v>
      </c>
      <c r="H1713">
        <f>cukier11[[#This Row],[stan_magazynu]]-cukier11[[#This Row],[sprzedany_cukier]]</f>
        <v>3898</v>
      </c>
      <c r="I1713" s="9">
        <f>cukier11[[#This Row],[stan_po_sprzedazy]]+cukier11[[#This Row],[ile_dokupic]]*1000</f>
        <v>3898</v>
      </c>
    </row>
    <row r="1714" spans="1:9" x14ac:dyDescent="0.25">
      <c r="A1714" s="1">
        <v>41259</v>
      </c>
      <c r="B1714" t="s">
        <v>23</v>
      </c>
      <c r="C1714">
        <v>177</v>
      </c>
      <c r="D1714">
        <f>MONTH(cukier11[[#This Row],[data]])</f>
        <v>12</v>
      </c>
      <c r="E1714">
        <f>IF(D1715&lt;&gt;cukier11[[#This Row],[miesiac]],1,0)</f>
        <v>0</v>
      </c>
      <c r="F1714">
        <f>IF(AND(H1713&lt;5000,cukier11[[#This Row],[czy_nastapiła_zmiana_mies]]=1),ROUNDUP((5000-H1713)/1000,0),0)</f>
        <v>0</v>
      </c>
      <c r="G1714">
        <f t="shared" si="26"/>
        <v>3898</v>
      </c>
      <c r="H1714">
        <f>cukier11[[#This Row],[stan_magazynu]]-cukier11[[#This Row],[sprzedany_cukier]]</f>
        <v>3721</v>
      </c>
      <c r="I1714" s="9">
        <f>cukier11[[#This Row],[stan_po_sprzedazy]]+cukier11[[#This Row],[ile_dokupic]]*1000</f>
        <v>3721</v>
      </c>
    </row>
    <row r="1715" spans="1:9" x14ac:dyDescent="0.25">
      <c r="A1715" s="1">
        <v>41262</v>
      </c>
      <c r="B1715" t="s">
        <v>45</v>
      </c>
      <c r="C1715">
        <v>222</v>
      </c>
      <c r="D1715">
        <f>MONTH(cukier11[[#This Row],[data]])</f>
        <v>12</v>
      </c>
      <c r="E1715">
        <f>IF(D1716&lt;&gt;cukier11[[#This Row],[miesiac]],1,0)</f>
        <v>0</v>
      </c>
      <c r="F1715">
        <f>IF(AND(H1714&lt;5000,cukier11[[#This Row],[czy_nastapiła_zmiana_mies]]=1),ROUNDUP((5000-H1714)/1000,0),0)</f>
        <v>0</v>
      </c>
      <c r="G1715">
        <f t="shared" si="26"/>
        <v>3721</v>
      </c>
      <c r="H1715">
        <f>cukier11[[#This Row],[stan_magazynu]]-cukier11[[#This Row],[sprzedany_cukier]]</f>
        <v>3499</v>
      </c>
      <c r="I1715" s="9">
        <f>cukier11[[#This Row],[stan_po_sprzedazy]]+cukier11[[#This Row],[ile_dokupic]]*1000</f>
        <v>3499</v>
      </c>
    </row>
    <row r="1716" spans="1:9" x14ac:dyDescent="0.25">
      <c r="A1716" s="1">
        <v>41273</v>
      </c>
      <c r="B1716" t="s">
        <v>49</v>
      </c>
      <c r="C1716">
        <v>9</v>
      </c>
      <c r="D1716">
        <f>MONTH(cukier11[[#This Row],[data]])</f>
        <v>12</v>
      </c>
      <c r="E1716">
        <f>IF(D1717&lt;&gt;cukier11[[#This Row],[miesiac]],1,0)</f>
        <v>0</v>
      </c>
      <c r="F1716">
        <f>IF(AND(H1715&lt;5000,cukier11[[#This Row],[czy_nastapiła_zmiana_mies]]=1),ROUNDUP((5000-H1715)/1000,0),0)</f>
        <v>0</v>
      </c>
      <c r="G1716">
        <f t="shared" si="26"/>
        <v>3499</v>
      </c>
      <c r="H1716">
        <f>cukier11[[#This Row],[stan_magazynu]]-cukier11[[#This Row],[sprzedany_cukier]]</f>
        <v>3490</v>
      </c>
      <c r="I1716" s="9">
        <f>cukier11[[#This Row],[stan_po_sprzedazy]]+cukier11[[#This Row],[ile_dokupic]]*1000</f>
        <v>3490</v>
      </c>
    </row>
    <row r="1717" spans="1:9" x14ac:dyDescent="0.25">
      <c r="A1717" s="1">
        <v>41273</v>
      </c>
      <c r="B1717" t="s">
        <v>231</v>
      </c>
      <c r="C1717">
        <v>14</v>
      </c>
      <c r="D1717">
        <f>MONTH(cukier11[[#This Row],[data]])</f>
        <v>12</v>
      </c>
      <c r="E1717">
        <f>IF(D1718&lt;&gt;cukier11[[#This Row],[miesiac]],1,0)</f>
        <v>1</v>
      </c>
      <c r="F1717">
        <f>IF(AND(H1716&lt;5000,cukier11[[#This Row],[czy_nastapiła_zmiana_mies]]=1),ROUNDUP((5000-H1716)/1000,0),0)</f>
        <v>2</v>
      </c>
      <c r="G1717">
        <f t="shared" si="26"/>
        <v>3490</v>
      </c>
      <c r="H1717">
        <f>cukier11[[#This Row],[stan_magazynu]]-cukier11[[#This Row],[sprzedany_cukier]]</f>
        <v>3476</v>
      </c>
      <c r="I1717" s="9">
        <f>cukier11[[#This Row],[stan_po_sprzedazy]]+cukier11[[#This Row],[ile_dokupic]]*1000</f>
        <v>5476</v>
      </c>
    </row>
    <row r="1718" spans="1:9" x14ac:dyDescent="0.25">
      <c r="A1718" s="1">
        <v>41275</v>
      </c>
      <c r="B1718" t="s">
        <v>3</v>
      </c>
      <c r="C1718">
        <v>7</v>
      </c>
      <c r="D1718">
        <f>MONTH(cukier11[[#This Row],[data]])</f>
        <v>1</v>
      </c>
      <c r="E1718">
        <f>IF(D1719&lt;&gt;cukier11[[#This Row],[miesiac]],1,0)</f>
        <v>0</v>
      </c>
      <c r="F1718">
        <f>IF(AND(H1717&lt;5000,cukier11[[#This Row],[czy_nastapiła_zmiana_mies]]=1),ROUNDUP((5000-H1717)/1000,0),0)</f>
        <v>0</v>
      </c>
      <c r="G1718">
        <f t="shared" si="26"/>
        <v>5476</v>
      </c>
      <c r="H1718">
        <f>cukier11[[#This Row],[stan_magazynu]]-cukier11[[#This Row],[sprzedany_cukier]]</f>
        <v>5469</v>
      </c>
      <c r="I1718" s="9">
        <f>cukier11[[#This Row],[stan_po_sprzedazy]]+cukier11[[#This Row],[ile_dokupic]]*1000</f>
        <v>5469</v>
      </c>
    </row>
    <row r="1719" spans="1:9" x14ac:dyDescent="0.25">
      <c r="A1719" s="1">
        <v>41279</v>
      </c>
      <c r="B1719" t="s">
        <v>66</v>
      </c>
      <c r="C1719">
        <v>171</v>
      </c>
      <c r="D1719">
        <f>MONTH(cukier11[[#This Row],[data]])</f>
        <v>1</v>
      </c>
      <c r="E1719">
        <f>IF(D1720&lt;&gt;cukier11[[#This Row],[miesiac]],1,0)</f>
        <v>0</v>
      </c>
      <c r="F1719">
        <f>IF(AND(H1718&lt;5000,cukier11[[#This Row],[czy_nastapiła_zmiana_mies]]=1),ROUNDUP((5000-H1718)/1000,0),0)</f>
        <v>0</v>
      </c>
      <c r="G1719">
        <f t="shared" si="26"/>
        <v>5469</v>
      </c>
      <c r="H1719">
        <f>cukier11[[#This Row],[stan_magazynu]]-cukier11[[#This Row],[sprzedany_cukier]]</f>
        <v>5298</v>
      </c>
      <c r="I1719" s="9">
        <f>cukier11[[#This Row],[stan_po_sprzedazy]]+cukier11[[#This Row],[ile_dokupic]]*1000</f>
        <v>5298</v>
      </c>
    </row>
    <row r="1720" spans="1:9" x14ac:dyDescent="0.25">
      <c r="A1720" s="1">
        <v>41283</v>
      </c>
      <c r="B1720" t="s">
        <v>208</v>
      </c>
      <c r="C1720">
        <v>16</v>
      </c>
      <c r="D1720">
        <f>MONTH(cukier11[[#This Row],[data]])</f>
        <v>1</v>
      </c>
      <c r="E1720">
        <f>IF(D1721&lt;&gt;cukier11[[#This Row],[miesiac]],1,0)</f>
        <v>0</v>
      </c>
      <c r="F1720">
        <f>IF(AND(H1719&lt;5000,cukier11[[#This Row],[czy_nastapiła_zmiana_mies]]=1),ROUNDUP((5000-H1719)/1000,0),0)</f>
        <v>0</v>
      </c>
      <c r="G1720">
        <f t="shared" si="26"/>
        <v>5298</v>
      </c>
      <c r="H1720">
        <f>cukier11[[#This Row],[stan_magazynu]]-cukier11[[#This Row],[sprzedany_cukier]]</f>
        <v>5282</v>
      </c>
      <c r="I1720" s="9">
        <f>cukier11[[#This Row],[stan_po_sprzedazy]]+cukier11[[#This Row],[ile_dokupic]]*1000</f>
        <v>5282</v>
      </c>
    </row>
    <row r="1721" spans="1:9" x14ac:dyDescent="0.25">
      <c r="A1721" s="1">
        <v>41284</v>
      </c>
      <c r="B1721" t="s">
        <v>18</v>
      </c>
      <c r="C1721">
        <v>176</v>
      </c>
      <c r="D1721">
        <f>MONTH(cukier11[[#This Row],[data]])</f>
        <v>1</v>
      </c>
      <c r="E1721">
        <f>IF(D1722&lt;&gt;cukier11[[#This Row],[miesiac]],1,0)</f>
        <v>0</v>
      </c>
      <c r="F1721">
        <f>IF(AND(H1720&lt;5000,cukier11[[#This Row],[czy_nastapiła_zmiana_mies]]=1),ROUNDUP((5000-H1720)/1000,0),0)</f>
        <v>0</v>
      </c>
      <c r="G1721">
        <f t="shared" si="26"/>
        <v>5282</v>
      </c>
      <c r="H1721">
        <f>cukier11[[#This Row],[stan_magazynu]]-cukier11[[#This Row],[sprzedany_cukier]]</f>
        <v>5106</v>
      </c>
      <c r="I1721" s="9">
        <f>cukier11[[#This Row],[stan_po_sprzedazy]]+cukier11[[#This Row],[ile_dokupic]]*1000</f>
        <v>5106</v>
      </c>
    </row>
    <row r="1722" spans="1:9" x14ac:dyDescent="0.25">
      <c r="A1722" s="1">
        <v>41287</v>
      </c>
      <c r="B1722" t="s">
        <v>55</v>
      </c>
      <c r="C1722">
        <v>37</v>
      </c>
      <c r="D1722">
        <f>MONTH(cukier11[[#This Row],[data]])</f>
        <v>1</v>
      </c>
      <c r="E1722">
        <f>IF(D1723&lt;&gt;cukier11[[#This Row],[miesiac]],1,0)</f>
        <v>0</v>
      </c>
      <c r="F1722">
        <f>IF(AND(H1721&lt;5000,cukier11[[#This Row],[czy_nastapiła_zmiana_mies]]=1),ROUNDUP((5000-H1721)/1000,0),0)</f>
        <v>0</v>
      </c>
      <c r="G1722">
        <f t="shared" si="26"/>
        <v>5106</v>
      </c>
      <c r="H1722">
        <f>cukier11[[#This Row],[stan_magazynu]]-cukier11[[#This Row],[sprzedany_cukier]]</f>
        <v>5069</v>
      </c>
      <c r="I1722" s="9">
        <f>cukier11[[#This Row],[stan_po_sprzedazy]]+cukier11[[#This Row],[ile_dokupic]]*1000</f>
        <v>5069</v>
      </c>
    </row>
    <row r="1723" spans="1:9" x14ac:dyDescent="0.25">
      <c r="A1723" s="1">
        <v>41290</v>
      </c>
      <c r="B1723" t="s">
        <v>18</v>
      </c>
      <c r="C1723">
        <v>186</v>
      </c>
      <c r="D1723">
        <f>MONTH(cukier11[[#This Row],[data]])</f>
        <v>1</v>
      </c>
      <c r="E1723">
        <f>IF(D1724&lt;&gt;cukier11[[#This Row],[miesiac]],1,0)</f>
        <v>0</v>
      </c>
      <c r="F1723">
        <f>IF(AND(H1722&lt;5000,cukier11[[#This Row],[czy_nastapiła_zmiana_mies]]=1),ROUNDUP((5000-H1722)/1000,0),0)</f>
        <v>0</v>
      </c>
      <c r="G1723">
        <f t="shared" si="26"/>
        <v>5069</v>
      </c>
      <c r="H1723">
        <f>cukier11[[#This Row],[stan_magazynu]]-cukier11[[#This Row],[sprzedany_cukier]]</f>
        <v>4883</v>
      </c>
      <c r="I1723" s="9">
        <f>cukier11[[#This Row],[stan_po_sprzedazy]]+cukier11[[#This Row],[ile_dokupic]]*1000</f>
        <v>4883</v>
      </c>
    </row>
    <row r="1724" spans="1:9" x14ac:dyDescent="0.25">
      <c r="A1724" s="1">
        <v>41290</v>
      </c>
      <c r="B1724" t="s">
        <v>61</v>
      </c>
      <c r="C1724">
        <v>45</v>
      </c>
      <c r="D1724">
        <f>MONTH(cukier11[[#This Row],[data]])</f>
        <v>1</v>
      </c>
      <c r="E1724">
        <f>IF(D1725&lt;&gt;cukier11[[#This Row],[miesiac]],1,0)</f>
        <v>0</v>
      </c>
      <c r="F1724">
        <f>IF(AND(H1723&lt;5000,cukier11[[#This Row],[czy_nastapiła_zmiana_mies]]=1),ROUNDUP((5000-H1723)/1000,0),0)</f>
        <v>0</v>
      </c>
      <c r="G1724">
        <f t="shared" si="26"/>
        <v>4883</v>
      </c>
      <c r="H1724">
        <f>cukier11[[#This Row],[stan_magazynu]]-cukier11[[#This Row],[sprzedany_cukier]]</f>
        <v>4838</v>
      </c>
      <c r="I1724" s="9">
        <f>cukier11[[#This Row],[stan_po_sprzedazy]]+cukier11[[#This Row],[ile_dokupic]]*1000</f>
        <v>4838</v>
      </c>
    </row>
    <row r="1725" spans="1:9" x14ac:dyDescent="0.25">
      <c r="A1725" s="1">
        <v>41294</v>
      </c>
      <c r="B1725" t="s">
        <v>52</v>
      </c>
      <c r="C1725">
        <v>186</v>
      </c>
      <c r="D1725">
        <f>MONTH(cukier11[[#This Row],[data]])</f>
        <v>1</v>
      </c>
      <c r="E1725">
        <f>IF(D1726&lt;&gt;cukier11[[#This Row],[miesiac]],1,0)</f>
        <v>0</v>
      </c>
      <c r="F1725">
        <f>IF(AND(H1724&lt;5000,cukier11[[#This Row],[czy_nastapiła_zmiana_mies]]=1),ROUNDUP((5000-H1724)/1000,0),0)</f>
        <v>0</v>
      </c>
      <c r="G1725">
        <f t="shared" si="26"/>
        <v>4838</v>
      </c>
      <c r="H1725">
        <f>cukier11[[#This Row],[stan_magazynu]]-cukier11[[#This Row],[sprzedany_cukier]]</f>
        <v>4652</v>
      </c>
      <c r="I1725" s="9">
        <f>cukier11[[#This Row],[stan_po_sprzedazy]]+cukier11[[#This Row],[ile_dokupic]]*1000</f>
        <v>4652</v>
      </c>
    </row>
    <row r="1726" spans="1:9" x14ac:dyDescent="0.25">
      <c r="A1726" s="1">
        <v>41294</v>
      </c>
      <c r="B1726" t="s">
        <v>14</v>
      </c>
      <c r="C1726">
        <v>211</v>
      </c>
      <c r="D1726">
        <f>MONTH(cukier11[[#This Row],[data]])</f>
        <v>1</v>
      </c>
      <c r="E1726">
        <f>IF(D1727&lt;&gt;cukier11[[#This Row],[miesiac]],1,0)</f>
        <v>0</v>
      </c>
      <c r="F1726">
        <f>IF(AND(H1725&lt;5000,cukier11[[#This Row],[czy_nastapiła_zmiana_mies]]=1),ROUNDUP((5000-H1725)/1000,0),0)</f>
        <v>0</v>
      </c>
      <c r="G1726">
        <f t="shared" si="26"/>
        <v>4652</v>
      </c>
      <c r="H1726">
        <f>cukier11[[#This Row],[stan_magazynu]]-cukier11[[#This Row],[sprzedany_cukier]]</f>
        <v>4441</v>
      </c>
      <c r="I1726" s="9">
        <f>cukier11[[#This Row],[stan_po_sprzedazy]]+cukier11[[#This Row],[ile_dokupic]]*1000</f>
        <v>4441</v>
      </c>
    </row>
    <row r="1727" spans="1:9" x14ac:dyDescent="0.25">
      <c r="A1727" s="1">
        <v>41300</v>
      </c>
      <c r="B1727" t="s">
        <v>9</v>
      </c>
      <c r="C1727">
        <v>330</v>
      </c>
      <c r="D1727">
        <f>MONTH(cukier11[[#This Row],[data]])</f>
        <v>1</v>
      </c>
      <c r="E1727">
        <f>IF(D1728&lt;&gt;cukier11[[#This Row],[miesiac]],1,0)</f>
        <v>0</v>
      </c>
      <c r="F1727">
        <f>IF(AND(H1726&lt;5000,cukier11[[#This Row],[czy_nastapiła_zmiana_mies]]=1),ROUNDUP((5000-H1726)/1000,0),0)</f>
        <v>0</v>
      </c>
      <c r="G1727">
        <f t="shared" si="26"/>
        <v>4441</v>
      </c>
      <c r="H1727">
        <f>cukier11[[#This Row],[stan_magazynu]]-cukier11[[#This Row],[sprzedany_cukier]]</f>
        <v>4111</v>
      </c>
      <c r="I1727" s="9">
        <f>cukier11[[#This Row],[stan_po_sprzedazy]]+cukier11[[#This Row],[ile_dokupic]]*1000</f>
        <v>4111</v>
      </c>
    </row>
    <row r="1728" spans="1:9" x14ac:dyDescent="0.25">
      <c r="A1728" s="1">
        <v>41301</v>
      </c>
      <c r="B1728" t="s">
        <v>14</v>
      </c>
      <c r="C1728">
        <v>134</v>
      </c>
      <c r="D1728">
        <f>MONTH(cukier11[[#This Row],[data]])</f>
        <v>1</v>
      </c>
      <c r="E1728">
        <f>IF(D1729&lt;&gt;cukier11[[#This Row],[miesiac]],1,0)</f>
        <v>0</v>
      </c>
      <c r="F1728">
        <f>IF(AND(H1727&lt;5000,cukier11[[#This Row],[czy_nastapiła_zmiana_mies]]=1),ROUNDUP((5000-H1727)/1000,0),0)</f>
        <v>0</v>
      </c>
      <c r="G1728">
        <f t="shared" si="26"/>
        <v>4111</v>
      </c>
      <c r="H1728">
        <f>cukier11[[#This Row],[stan_magazynu]]-cukier11[[#This Row],[sprzedany_cukier]]</f>
        <v>3977</v>
      </c>
      <c r="I1728" s="9">
        <f>cukier11[[#This Row],[stan_po_sprzedazy]]+cukier11[[#This Row],[ile_dokupic]]*1000</f>
        <v>3977</v>
      </c>
    </row>
    <row r="1729" spans="1:9" x14ac:dyDescent="0.25">
      <c r="A1729" s="1">
        <v>41301</v>
      </c>
      <c r="B1729" t="s">
        <v>9</v>
      </c>
      <c r="C1729">
        <v>459</v>
      </c>
      <c r="D1729">
        <f>MONTH(cukier11[[#This Row],[data]])</f>
        <v>1</v>
      </c>
      <c r="E1729">
        <f>IF(D1730&lt;&gt;cukier11[[#This Row],[miesiac]],1,0)</f>
        <v>0</v>
      </c>
      <c r="F1729">
        <f>IF(AND(H1728&lt;5000,cukier11[[#This Row],[czy_nastapiła_zmiana_mies]]=1),ROUNDUP((5000-H1728)/1000,0),0)</f>
        <v>0</v>
      </c>
      <c r="G1729">
        <f t="shared" si="26"/>
        <v>3977</v>
      </c>
      <c r="H1729">
        <f>cukier11[[#This Row],[stan_magazynu]]-cukier11[[#This Row],[sprzedany_cukier]]</f>
        <v>3518</v>
      </c>
      <c r="I1729" s="9">
        <f>cukier11[[#This Row],[stan_po_sprzedazy]]+cukier11[[#This Row],[ile_dokupic]]*1000</f>
        <v>3518</v>
      </c>
    </row>
    <row r="1730" spans="1:9" x14ac:dyDescent="0.25">
      <c r="A1730" s="1">
        <v>41302</v>
      </c>
      <c r="B1730" t="s">
        <v>26</v>
      </c>
      <c r="C1730">
        <v>185</v>
      </c>
      <c r="D1730">
        <f>MONTH(cukier11[[#This Row],[data]])</f>
        <v>1</v>
      </c>
      <c r="E1730">
        <f>IF(D1731&lt;&gt;cukier11[[#This Row],[miesiac]],1,0)</f>
        <v>0</v>
      </c>
      <c r="F1730">
        <f>IF(AND(H1729&lt;5000,cukier11[[#This Row],[czy_nastapiła_zmiana_mies]]=1),ROUNDUP((5000-H1729)/1000,0),0)</f>
        <v>0</v>
      </c>
      <c r="G1730">
        <f t="shared" si="26"/>
        <v>3518</v>
      </c>
      <c r="H1730">
        <f>cukier11[[#This Row],[stan_magazynu]]-cukier11[[#This Row],[sprzedany_cukier]]</f>
        <v>3333</v>
      </c>
      <c r="I1730" s="9">
        <f>cukier11[[#This Row],[stan_po_sprzedazy]]+cukier11[[#This Row],[ile_dokupic]]*1000</f>
        <v>3333</v>
      </c>
    </row>
    <row r="1731" spans="1:9" x14ac:dyDescent="0.25">
      <c r="A1731" s="1">
        <v>41303</v>
      </c>
      <c r="B1731" t="s">
        <v>67</v>
      </c>
      <c r="C1731">
        <v>3</v>
      </c>
      <c r="D1731">
        <f>MONTH(cukier11[[#This Row],[data]])</f>
        <v>1</v>
      </c>
      <c r="E1731">
        <f>IF(D1732&lt;&gt;cukier11[[#This Row],[miesiac]],1,0)</f>
        <v>0</v>
      </c>
      <c r="F1731">
        <f>IF(AND(H1730&lt;5000,cukier11[[#This Row],[czy_nastapiła_zmiana_mies]]=1),ROUNDUP((5000-H1730)/1000,0),0)</f>
        <v>0</v>
      </c>
      <c r="G1731">
        <f t="shared" si="26"/>
        <v>3333</v>
      </c>
      <c r="H1731">
        <f>cukier11[[#This Row],[stan_magazynu]]-cukier11[[#This Row],[sprzedany_cukier]]</f>
        <v>3330</v>
      </c>
      <c r="I1731" s="9">
        <f>cukier11[[#This Row],[stan_po_sprzedazy]]+cukier11[[#This Row],[ile_dokupic]]*1000</f>
        <v>3330</v>
      </c>
    </row>
    <row r="1732" spans="1:9" x14ac:dyDescent="0.25">
      <c r="A1732" s="1">
        <v>41305</v>
      </c>
      <c r="B1732" t="s">
        <v>30</v>
      </c>
      <c r="C1732">
        <v>181</v>
      </c>
      <c r="D1732">
        <f>MONTH(cukier11[[#This Row],[data]])</f>
        <v>1</v>
      </c>
      <c r="E1732">
        <f>IF(D1733&lt;&gt;cukier11[[#This Row],[miesiac]],1,0)</f>
        <v>1</v>
      </c>
      <c r="F1732">
        <f>IF(AND(H1731&lt;5000,cukier11[[#This Row],[czy_nastapiła_zmiana_mies]]=1),ROUNDUP((5000-H1731)/1000,0),0)</f>
        <v>2</v>
      </c>
      <c r="G1732">
        <f t="shared" ref="G1732:G1795" si="27">I1731</f>
        <v>3330</v>
      </c>
      <c r="H1732">
        <f>cukier11[[#This Row],[stan_magazynu]]-cukier11[[#This Row],[sprzedany_cukier]]</f>
        <v>3149</v>
      </c>
      <c r="I1732" s="9">
        <f>cukier11[[#This Row],[stan_po_sprzedazy]]+cukier11[[#This Row],[ile_dokupic]]*1000</f>
        <v>5149</v>
      </c>
    </row>
    <row r="1733" spans="1:9" x14ac:dyDescent="0.25">
      <c r="A1733" s="1">
        <v>41309</v>
      </c>
      <c r="B1733" t="s">
        <v>17</v>
      </c>
      <c r="C1733">
        <v>441</v>
      </c>
      <c r="D1733">
        <f>MONTH(cukier11[[#This Row],[data]])</f>
        <v>2</v>
      </c>
      <c r="E1733">
        <f>IF(D1734&lt;&gt;cukier11[[#This Row],[miesiac]],1,0)</f>
        <v>0</v>
      </c>
      <c r="F1733">
        <f>IF(AND(H1732&lt;5000,cukier11[[#This Row],[czy_nastapiła_zmiana_mies]]=1),ROUNDUP((5000-H1732)/1000,0),0)</f>
        <v>0</v>
      </c>
      <c r="G1733">
        <f t="shared" si="27"/>
        <v>5149</v>
      </c>
      <c r="H1733">
        <f>cukier11[[#This Row],[stan_magazynu]]-cukier11[[#This Row],[sprzedany_cukier]]</f>
        <v>4708</v>
      </c>
      <c r="I1733" s="9">
        <f>cukier11[[#This Row],[stan_po_sprzedazy]]+cukier11[[#This Row],[ile_dokupic]]*1000</f>
        <v>4708</v>
      </c>
    </row>
    <row r="1734" spans="1:9" x14ac:dyDescent="0.25">
      <c r="A1734" s="1">
        <v>41310</v>
      </c>
      <c r="B1734" t="s">
        <v>45</v>
      </c>
      <c r="C1734">
        <v>487</v>
      </c>
      <c r="D1734">
        <f>MONTH(cukier11[[#This Row],[data]])</f>
        <v>2</v>
      </c>
      <c r="E1734">
        <f>IF(D1735&lt;&gt;cukier11[[#This Row],[miesiac]],1,0)</f>
        <v>0</v>
      </c>
      <c r="F1734">
        <f>IF(AND(H1733&lt;5000,cukier11[[#This Row],[czy_nastapiła_zmiana_mies]]=1),ROUNDUP((5000-H1733)/1000,0),0)</f>
        <v>0</v>
      </c>
      <c r="G1734">
        <f t="shared" si="27"/>
        <v>4708</v>
      </c>
      <c r="H1734">
        <f>cukier11[[#This Row],[stan_magazynu]]-cukier11[[#This Row],[sprzedany_cukier]]</f>
        <v>4221</v>
      </c>
      <c r="I1734" s="9">
        <f>cukier11[[#This Row],[stan_po_sprzedazy]]+cukier11[[#This Row],[ile_dokupic]]*1000</f>
        <v>4221</v>
      </c>
    </row>
    <row r="1735" spans="1:9" x14ac:dyDescent="0.25">
      <c r="A1735" s="1">
        <v>41310</v>
      </c>
      <c r="B1735" t="s">
        <v>52</v>
      </c>
      <c r="C1735">
        <v>56</v>
      </c>
      <c r="D1735">
        <f>MONTH(cukier11[[#This Row],[data]])</f>
        <v>2</v>
      </c>
      <c r="E1735">
        <f>IF(D1736&lt;&gt;cukier11[[#This Row],[miesiac]],1,0)</f>
        <v>0</v>
      </c>
      <c r="F1735">
        <f>IF(AND(H1734&lt;5000,cukier11[[#This Row],[czy_nastapiła_zmiana_mies]]=1),ROUNDUP((5000-H1734)/1000,0),0)</f>
        <v>0</v>
      </c>
      <c r="G1735">
        <f t="shared" si="27"/>
        <v>4221</v>
      </c>
      <c r="H1735">
        <f>cukier11[[#This Row],[stan_magazynu]]-cukier11[[#This Row],[sprzedany_cukier]]</f>
        <v>4165</v>
      </c>
      <c r="I1735" s="9">
        <f>cukier11[[#This Row],[stan_po_sprzedazy]]+cukier11[[#This Row],[ile_dokupic]]*1000</f>
        <v>4165</v>
      </c>
    </row>
    <row r="1736" spans="1:9" x14ac:dyDescent="0.25">
      <c r="A1736" s="1">
        <v>41314</v>
      </c>
      <c r="B1736" t="s">
        <v>12</v>
      </c>
      <c r="C1736">
        <v>23</v>
      </c>
      <c r="D1736">
        <f>MONTH(cukier11[[#This Row],[data]])</f>
        <v>2</v>
      </c>
      <c r="E1736">
        <f>IF(D1737&lt;&gt;cukier11[[#This Row],[miesiac]],1,0)</f>
        <v>0</v>
      </c>
      <c r="F1736">
        <f>IF(AND(H1735&lt;5000,cukier11[[#This Row],[czy_nastapiła_zmiana_mies]]=1),ROUNDUP((5000-H1735)/1000,0),0)</f>
        <v>0</v>
      </c>
      <c r="G1736">
        <f t="shared" si="27"/>
        <v>4165</v>
      </c>
      <c r="H1736">
        <f>cukier11[[#This Row],[stan_magazynu]]-cukier11[[#This Row],[sprzedany_cukier]]</f>
        <v>4142</v>
      </c>
      <c r="I1736" s="9">
        <f>cukier11[[#This Row],[stan_po_sprzedazy]]+cukier11[[#This Row],[ile_dokupic]]*1000</f>
        <v>4142</v>
      </c>
    </row>
    <row r="1737" spans="1:9" x14ac:dyDescent="0.25">
      <c r="A1737" s="1">
        <v>41314</v>
      </c>
      <c r="B1737" t="s">
        <v>131</v>
      </c>
      <c r="C1737">
        <v>113</v>
      </c>
      <c r="D1737">
        <f>MONTH(cukier11[[#This Row],[data]])</f>
        <v>2</v>
      </c>
      <c r="E1737">
        <f>IF(D1738&lt;&gt;cukier11[[#This Row],[miesiac]],1,0)</f>
        <v>0</v>
      </c>
      <c r="F1737">
        <f>IF(AND(H1736&lt;5000,cukier11[[#This Row],[czy_nastapiła_zmiana_mies]]=1),ROUNDUP((5000-H1736)/1000,0),0)</f>
        <v>0</v>
      </c>
      <c r="G1737">
        <f t="shared" si="27"/>
        <v>4142</v>
      </c>
      <c r="H1737">
        <f>cukier11[[#This Row],[stan_magazynu]]-cukier11[[#This Row],[sprzedany_cukier]]</f>
        <v>4029</v>
      </c>
      <c r="I1737" s="9">
        <f>cukier11[[#This Row],[stan_po_sprzedazy]]+cukier11[[#This Row],[ile_dokupic]]*1000</f>
        <v>4029</v>
      </c>
    </row>
    <row r="1738" spans="1:9" x14ac:dyDescent="0.25">
      <c r="A1738" s="1">
        <v>41315</v>
      </c>
      <c r="B1738" t="s">
        <v>200</v>
      </c>
      <c r="C1738">
        <v>19</v>
      </c>
      <c r="D1738">
        <f>MONTH(cukier11[[#This Row],[data]])</f>
        <v>2</v>
      </c>
      <c r="E1738">
        <f>IF(D1739&lt;&gt;cukier11[[#This Row],[miesiac]],1,0)</f>
        <v>0</v>
      </c>
      <c r="F1738">
        <f>IF(AND(H1737&lt;5000,cukier11[[#This Row],[czy_nastapiła_zmiana_mies]]=1),ROUNDUP((5000-H1737)/1000,0),0)</f>
        <v>0</v>
      </c>
      <c r="G1738">
        <f t="shared" si="27"/>
        <v>4029</v>
      </c>
      <c r="H1738">
        <f>cukier11[[#This Row],[stan_magazynu]]-cukier11[[#This Row],[sprzedany_cukier]]</f>
        <v>4010</v>
      </c>
      <c r="I1738" s="9">
        <f>cukier11[[#This Row],[stan_po_sprzedazy]]+cukier11[[#This Row],[ile_dokupic]]*1000</f>
        <v>4010</v>
      </c>
    </row>
    <row r="1739" spans="1:9" x14ac:dyDescent="0.25">
      <c r="A1739" s="1">
        <v>41316</v>
      </c>
      <c r="B1739" t="s">
        <v>78</v>
      </c>
      <c r="C1739">
        <v>188</v>
      </c>
      <c r="D1739">
        <f>MONTH(cukier11[[#This Row],[data]])</f>
        <v>2</v>
      </c>
      <c r="E1739">
        <f>IF(D1740&lt;&gt;cukier11[[#This Row],[miesiac]],1,0)</f>
        <v>0</v>
      </c>
      <c r="F1739">
        <f>IF(AND(H1738&lt;5000,cukier11[[#This Row],[czy_nastapiła_zmiana_mies]]=1),ROUNDUP((5000-H1738)/1000,0),0)</f>
        <v>0</v>
      </c>
      <c r="G1739">
        <f t="shared" si="27"/>
        <v>4010</v>
      </c>
      <c r="H1739">
        <f>cukier11[[#This Row],[stan_magazynu]]-cukier11[[#This Row],[sprzedany_cukier]]</f>
        <v>3822</v>
      </c>
      <c r="I1739" s="9">
        <f>cukier11[[#This Row],[stan_po_sprzedazy]]+cukier11[[#This Row],[ile_dokupic]]*1000</f>
        <v>3822</v>
      </c>
    </row>
    <row r="1740" spans="1:9" x14ac:dyDescent="0.25">
      <c r="A1740" s="1">
        <v>41316</v>
      </c>
      <c r="B1740" t="s">
        <v>7</v>
      </c>
      <c r="C1740">
        <v>338</v>
      </c>
      <c r="D1740">
        <f>MONTH(cukier11[[#This Row],[data]])</f>
        <v>2</v>
      </c>
      <c r="E1740">
        <f>IF(D1741&lt;&gt;cukier11[[#This Row],[miesiac]],1,0)</f>
        <v>0</v>
      </c>
      <c r="F1740">
        <f>IF(AND(H1739&lt;5000,cukier11[[#This Row],[czy_nastapiła_zmiana_mies]]=1),ROUNDUP((5000-H1739)/1000,0),0)</f>
        <v>0</v>
      </c>
      <c r="G1740">
        <f t="shared" si="27"/>
        <v>3822</v>
      </c>
      <c r="H1740">
        <f>cukier11[[#This Row],[stan_magazynu]]-cukier11[[#This Row],[sprzedany_cukier]]</f>
        <v>3484</v>
      </c>
      <c r="I1740" s="9">
        <f>cukier11[[#This Row],[stan_po_sprzedazy]]+cukier11[[#This Row],[ile_dokupic]]*1000</f>
        <v>3484</v>
      </c>
    </row>
    <row r="1741" spans="1:9" x14ac:dyDescent="0.25">
      <c r="A1741" s="1">
        <v>41317</v>
      </c>
      <c r="B1741" t="s">
        <v>31</v>
      </c>
      <c r="C1741">
        <v>80</v>
      </c>
      <c r="D1741">
        <f>MONTH(cukier11[[#This Row],[data]])</f>
        <v>2</v>
      </c>
      <c r="E1741">
        <f>IF(D1742&lt;&gt;cukier11[[#This Row],[miesiac]],1,0)</f>
        <v>0</v>
      </c>
      <c r="F1741">
        <f>IF(AND(H1740&lt;5000,cukier11[[#This Row],[czy_nastapiła_zmiana_mies]]=1),ROUNDUP((5000-H1740)/1000,0),0)</f>
        <v>0</v>
      </c>
      <c r="G1741">
        <f t="shared" si="27"/>
        <v>3484</v>
      </c>
      <c r="H1741">
        <f>cukier11[[#This Row],[stan_magazynu]]-cukier11[[#This Row],[sprzedany_cukier]]</f>
        <v>3404</v>
      </c>
      <c r="I1741" s="9">
        <f>cukier11[[#This Row],[stan_po_sprzedazy]]+cukier11[[#This Row],[ile_dokupic]]*1000</f>
        <v>3404</v>
      </c>
    </row>
    <row r="1742" spans="1:9" x14ac:dyDescent="0.25">
      <c r="A1742" s="1">
        <v>41318</v>
      </c>
      <c r="B1742" t="s">
        <v>171</v>
      </c>
      <c r="C1742">
        <v>20</v>
      </c>
      <c r="D1742">
        <f>MONTH(cukier11[[#This Row],[data]])</f>
        <v>2</v>
      </c>
      <c r="E1742">
        <f>IF(D1743&lt;&gt;cukier11[[#This Row],[miesiac]],1,0)</f>
        <v>0</v>
      </c>
      <c r="F1742">
        <f>IF(AND(H1741&lt;5000,cukier11[[#This Row],[czy_nastapiła_zmiana_mies]]=1),ROUNDUP((5000-H1741)/1000,0),0)</f>
        <v>0</v>
      </c>
      <c r="G1742">
        <f t="shared" si="27"/>
        <v>3404</v>
      </c>
      <c r="H1742">
        <f>cukier11[[#This Row],[stan_magazynu]]-cukier11[[#This Row],[sprzedany_cukier]]</f>
        <v>3384</v>
      </c>
      <c r="I1742" s="9">
        <f>cukier11[[#This Row],[stan_po_sprzedazy]]+cukier11[[#This Row],[ile_dokupic]]*1000</f>
        <v>3384</v>
      </c>
    </row>
    <row r="1743" spans="1:9" x14ac:dyDescent="0.25">
      <c r="A1743" s="1">
        <v>41321</v>
      </c>
      <c r="B1743" t="s">
        <v>159</v>
      </c>
      <c r="C1743">
        <v>1</v>
      </c>
      <c r="D1743">
        <f>MONTH(cukier11[[#This Row],[data]])</f>
        <v>2</v>
      </c>
      <c r="E1743">
        <f>IF(D1744&lt;&gt;cukier11[[#This Row],[miesiac]],1,0)</f>
        <v>0</v>
      </c>
      <c r="F1743">
        <f>IF(AND(H1742&lt;5000,cukier11[[#This Row],[czy_nastapiła_zmiana_mies]]=1),ROUNDUP((5000-H1742)/1000,0),0)</f>
        <v>0</v>
      </c>
      <c r="G1743">
        <f t="shared" si="27"/>
        <v>3384</v>
      </c>
      <c r="H1743">
        <f>cukier11[[#This Row],[stan_magazynu]]-cukier11[[#This Row],[sprzedany_cukier]]</f>
        <v>3383</v>
      </c>
      <c r="I1743" s="9">
        <f>cukier11[[#This Row],[stan_po_sprzedazy]]+cukier11[[#This Row],[ile_dokupic]]*1000</f>
        <v>3383</v>
      </c>
    </row>
    <row r="1744" spans="1:9" x14ac:dyDescent="0.25">
      <c r="A1744" s="1">
        <v>41322</v>
      </c>
      <c r="B1744" t="s">
        <v>52</v>
      </c>
      <c r="C1744">
        <v>200</v>
      </c>
      <c r="D1744">
        <f>MONTH(cukier11[[#This Row],[data]])</f>
        <v>2</v>
      </c>
      <c r="E1744">
        <f>IF(D1745&lt;&gt;cukier11[[#This Row],[miesiac]],1,0)</f>
        <v>0</v>
      </c>
      <c r="F1744">
        <f>IF(AND(H1743&lt;5000,cukier11[[#This Row],[czy_nastapiła_zmiana_mies]]=1),ROUNDUP((5000-H1743)/1000,0),0)</f>
        <v>0</v>
      </c>
      <c r="G1744">
        <f t="shared" si="27"/>
        <v>3383</v>
      </c>
      <c r="H1744">
        <f>cukier11[[#This Row],[stan_magazynu]]-cukier11[[#This Row],[sprzedany_cukier]]</f>
        <v>3183</v>
      </c>
      <c r="I1744" s="9">
        <f>cukier11[[#This Row],[stan_po_sprzedazy]]+cukier11[[#This Row],[ile_dokupic]]*1000</f>
        <v>3183</v>
      </c>
    </row>
    <row r="1745" spans="1:9" x14ac:dyDescent="0.25">
      <c r="A1745" s="1">
        <v>41323</v>
      </c>
      <c r="B1745" t="s">
        <v>5</v>
      </c>
      <c r="C1745">
        <v>429</v>
      </c>
      <c r="D1745">
        <f>MONTH(cukier11[[#This Row],[data]])</f>
        <v>2</v>
      </c>
      <c r="E1745">
        <f>IF(D1746&lt;&gt;cukier11[[#This Row],[miesiac]],1,0)</f>
        <v>0</v>
      </c>
      <c r="F1745">
        <f>IF(AND(H1744&lt;5000,cukier11[[#This Row],[czy_nastapiła_zmiana_mies]]=1),ROUNDUP((5000-H1744)/1000,0),0)</f>
        <v>0</v>
      </c>
      <c r="G1745">
        <f t="shared" si="27"/>
        <v>3183</v>
      </c>
      <c r="H1745">
        <f>cukier11[[#This Row],[stan_magazynu]]-cukier11[[#This Row],[sprzedany_cukier]]</f>
        <v>2754</v>
      </c>
      <c r="I1745" s="9">
        <f>cukier11[[#This Row],[stan_po_sprzedazy]]+cukier11[[#This Row],[ile_dokupic]]*1000</f>
        <v>2754</v>
      </c>
    </row>
    <row r="1746" spans="1:9" x14ac:dyDescent="0.25">
      <c r="A1746" s="1">
        <v>41324</v>
      </c>
      <c r="B1746" t="s">
        <v>12</v>
      </c>
      <c r="C1746">
        <v>183</v>
      </c>
      <c r="D1746">
        <f>MONTH(cukier11[[#This Row],[data]])</f>
        <v>2</v>
      </c>
      <c r="E1746">
        <f>IF(D1747&lt;&gt;cukier11[[#This Row],[miesiac]],1,0)</f>
        <v>0</v>
      </c>
      <c r="F1746">
        <f>IF(AND(H1745&lt;5000,cukier11[[#This Row],[czy_nastapiła_zmiana_mies]]=1),ROUNDUP((5000-H1745)/1000,0),0)</f>
        <v>0</v>
      </c>
      <c r="G1746">
        <f t="shared" si="27"/>
        <v>2754</v>
      </c>
      <c r="H1746">
        <f>cukier11[[#This Row],[stan_magazynu]]-cukier11[[#This Row],[sprzedany_cukier]]</f>
        <v>2571</v>
      </c>
      <c r="I1746" s="9">
        <f>cukier11[[#This Row],[stan_po_sprzedazy]]+cukier11[[#This Row],[ile_dokupic]]*1000</f>
        <v>2571</v>
      </c>
    </row>
    <row r="1747" spans="1:9" x14ac:dyDescent="0.25">
      <c r="A1747" s="1">
        <v>41325</v>
      </c>
      <c r="B1747" t="s">
        <v>10</v>
      </c>
      <c r="C1747">
        <v>26</v>
      </c>
      <c r="D1747">
        <f>MONTH(cukier11[[#This Row],[data]])</f>
        <v>2</v>
      </c>
      <c r="E1747">
        <f>IF(D1748&lt;&gt;cukier11[[#This Row],[miesiac]],1,0)</f>
        <v>0</v>
      </c>
      <c r="F1747">
        <f>IF(AND(H1746&lt;5000,cukier11[[#This Row],[czy_nastapiła_zmiana_mies]]=1),ROUNDUP((5000-H1746)/1000,0),0)</f>
        <v>0</v>
      </c>
      <c r="G1747">
        <f t="shared" si="27"/>
        <v>2571</v>
      </c>
      <c r="H1747">
        <f>cukier11[[#This Row],[stan_magazynu]]-cukier11[[#This Row],[sprzedany_cukier]]</f>
        <v>2545</v>
      </c>
      <c r="I1747" s="9">
        <f>cukier11[[#This Row],[stan_po_sprzedazy]]+cukier11[[#This Row],[ile_dokupic]]*1000</f>
        <v>2545</v>
      </c>
    </row>
    <row r="1748" spans="1:9" x14ac:dyDescent="0.25">
      <c r="A1748" s="1">
        <v>41326</v>
      </c>
      <c r="B1748" t="s">
        <v>180</v>
      </c>
      <c r="C1748">
        <v>2</v>
      </c>
      <c r="D1748">
        <f>MONTH(cukier11[[#This Row],[data]])</f>
        <v>2</v>
      </c>
      <c r="E1748">
        <f>IF(D1749&lt;&gt;cukier11[[#This Row],[miesiac]],1,0)</f>
        <v>0</v>
      </c>
      <c r="F1748">
        <f>IF(AND(H1747&lt;5000,cukier11[[#This Row],[czy_nastapiła_zmiana_mies]]=1),ROUNDUP((5000-H1747)/1000,0),0)</f>
        <v>0</v>
      </c>
      <c r="G1748">
        <f t="shared" si="27"/>
        <v>2545</v>
      </c>
      <c r="H1748">
        <f>cukier11[[#This Row],[stan_magazynu]]-cukier11[[#This Row],[sprzedany_cukier]]</f>
        <v>2543</v>
      </c>
      <c r="I1748" s="9">
        <f>cukier11[[#This Row],[stan_po_sprzedazy]]+cukier11[[#This Row],[ile_dokupic]]*1000</f>
        <v>2543</v>
      </c>
    </row>
    <row r="1749" spans="1:9" x14ac:dyDescent="0.25">
      <c r="A1749" s="1">
        <v>41328</v>
      </c>
      <c r="B1749" t="s">
        <v>7</v>
      </c>
      <c r="C1749">
        <v>174</v>
      </c>
      <c r="D1749">
        <f>MONTH(cukier11[[#This Row],[data]])</f>
        <v>2</v>
      </c>
      <c r="E1749">
        <f>IF(D1750&lt;&gt;cukier11[[#This Row],[miesiac]],1,0)</f>
        <v>0</v>
      </c>
      <c r="F1749">
        <f>IF(AND(H1748&lt;5000,cukier11[[#This Row],[czy_nastapiła_zmiana_mies]]=1),ROUNDUP((5000-H1748)/1000,0),0)</f>
        <v>0</v>
      </c>
      <c r="G1749">
        <f t="shared" si="27"/>
        <v>2543</v>
      </c>
      <c r="H1749">
        <f>cukier11[[#This Row],[stan_magazynu]]-cukier11[[#This Row],[sprzedany_cukier]]</f>
        <v>2369</v>
      </c>
      <c r="I1749" s="9">
        <f>cukier11[[#This Row],[stan_po_sprzedazy]]+cukier11[[#This Row],[ile_dokupic]]*1000</f>
        <v>2369</v>
      </c>
    </row>
    <row r="1750" spans="1:9" x14ac:dyDescent="0.25">
      <c r="A1750" s="1">
        <v>41329</v>
      </c>
      <c r="B1750" t="s">
        <v>52</v>
      </c>
      <c r="C1750">
        <v>98</v>
      </c>
      <c r="D1750">
        <f>MONTH(cukier11[[#This Row],[data]])</f>
        <v>2</v>
      </c>
      <c r="E1750">
        <f>IF(D1751&lt;&gt;cukier11[[#This Row],[miesiac]],1,0)</f>
        <v>0</v>
      </c>
      <c r="F1750">
        <f>IF(AND(H1749&lt;5000,cukier11[[#This Row],[czy_nastapiła_zmiana_mies]]=1),ROUNDUP((5000-H1749)/1000,0),0)</f>
        <v>0</v>
      </c>
      <c r="G1750">
        <f t="shared" si="27"/>
        <v>2369</v>
      </c>
      <c r="H1750">
        <f>cukier11[[#This Row],[stan_magazynu]]-cukier11[[#This Row],[sprzedany_cukier]]</f>
        <v>2271</v>
      </c>
      <c r="I1750" s="9">
        <f>cukier11[[#This Row],[stan_po_sprzedazy]]+cukier11[[#This Row],[ile_dokupic]]*1000</f>
        <v>2271</v>
      </c>
    </row>
    <row r="1751" spans="1:9" x14ac:dyDescent="0.25">
      <c r="A1751" s="1">
        <v>41329</v>
      </c>
      <c r="B1751" t="s">
        <v>185</v>
      </c>
      <c r="C1751">
        <v>11</v>
      </c>
      <c r="D1751">
        <f>MONTH(cukier11[[#This Row],[data]])</f>
        <v>2</v>
      </c>
      <c r="E1751">
        <f>IF(D1752&lt;&gt;cukier11[[#This Row],[miesiac]],1,0)</f>
        <v>0</v>
      </c>
      <c r="F1751">
        <f>IF(AND(H1750&lt;5000,cukier11[[#This Row],[czy_nastapiła_zmiana_mies]]=1),ROUNDUP((5000-H1750)/1000,0),0)</f>
        <v>0</v>
      </c>
      <c r="G1751">
        <f t="shared" si="27"/>
        <v>2271</v>
      </c>
      <c r="H1751">
        <f>cukier11[[#This Row],[stan_magazynu]]-cukier11[[#This Row],[sprzedany_cukier]]</f>
        <v>2260</v>
      </c>
      <c r="I1751" s="9">
        <f>cukier11[[#This Row],[stan_po_sprzedazy]]+cukier11[[#This Row],[ile_dokupic]]*1000</f>
        <v>2260</v>
      </c>
    </row>
    <row r="1752" spans="1:9" x14ac:dyDescent="0.25">
      <c r="A1752" s="1">
        <v>41332</v>
      </c>
      <c r="B1752" t="s">
        <v>28</v>
      </c>
      <c r="C1752">
        <v>58</v>
      </c>
      <c r="D1752">
        <f>MONTH(cukier11[[#This Row],[data]])</f>
        <v>2</v>
      </c>
      <c r="E1752">
        <f>IF(D1753&lt;&gt;cukier11[[#This Row],[miesiac]],1,0)</f>
        <v>1</v>
      </c>
      <c r="F1752">
        <f>IF(AND(H1751&lt;5000,cukier11[[#This Row],[czy_nastapiła_zmiana_mies]]=1),ROUNDUP((5000-H1751)/1000,0),0)</f>
        <v>3</v>
      </c>
      <c r="G1752">
        <f t="shared" si="27"/>
        <v>2260</v>
      </c>
      <c r="H1752">
        <f>cukier11[[#This Row],[stan_magazynu]]-cukier11[[#This Row],[sprzedany_cukier]]</f>
        <v>2202</v>
      </c>
      <c r="I1752" s="9">
        <f>cukier11[[#This Row],[stan_po_sprzedazy]]+cukier11[[#This Row],[ile_dokupic]]*1000</f>
        <v>5202</v>
      </c>
    </row>
    <row r="1753" spans="1:9" x14ac:dyDescent="0.25">
      <c r="A1753" s="1">
        <v>41336</v>
      </c>
      <c r="B1753" t="s">
        <v>15</v>
      </c>
      <c r="C1753">
        <v>17</v>
      </c>
      <c r="D1753">
        <f>MONTH(cukier11[[#This Row],[data]])</f>
        <v>3</v>
      </c>
      <c r="E1753">
        <f>IF(D1754&lt;&gt;cukier11[[#This Row],[miesiac]],1,0)</f>
        <v>0</v>
      </c>
      <c r="F1753">
        <f>IF(AND(H1752&lt;5000,cukier11[[#This Row],[czy_nastapiła_zmiana_mies]]=1),ROUNDUP((5000-H1752)/1000,0),0)</f>
        <v>0</v>
      </c>
      <c r="G1753">
        <f t="shared" si="27"/>
        <v>5202</v>
      </c>
      <c r="H1753">
        <f>cukier11[[#This Row],[stan_magazynu]]-cukier11[[#This Row],[sprzedany_cukier]]</f>
        <v>5185</v>
      </c>
      <c r="I1753" s="9">
        <f>cukier11[[#This Row],[stan_po_sprzedazy]]+cukier11[[#This Row],[ile_dokupic]]*1000</f>
        <v>5185</v>
      </c>
    </row>
    <row r="1754" spans="1:9" x14ac:dyDescent="0.25">
      <c r="A1754" s="1">
        <v>41337</v>
      </c>
      <c r="B1754" t="s">
        <v>17</v>
      </c>
      <c r="C1754">
        <v>143</v>
      </c>
      <c r="D1754">
        <f>MONTH(cukier11[[#This Row],[data]])</f>
        <v>3</v>
      </c>
      <c r="E1754">
        <f>IF(D1755&lt;&gt;cukier11[[#This Row],[miesiac]],1,0)</f>
        <v>0</v>
      </c>
      <c r="F1754">
        <f>IF(AND(H1753&lt;5000,cukier11[[#This Row],[czy_nastapiła_zmiana_mies]]=1),ROUNDUP((5000-H1753)/1000,0),0)</f>
        <v>0</v>
      </c>
      <c r="G1754">
        <f t="shared" si="27"/>
        <v>5185</v>
      </c>
      <c r="H1754">
        <f>cukier11[[#This Row],[stan_magazynu]]-cukier11[[#This Row],[sprzedany_cukier]]</f>
        <v>5042</v>
      </c>
      <c r="I1754" s="9">
        <f>cukier11[[#This Row],[stan_po_sprzedazy]]+cukier11[[#This Row],[ile_dokupic]]*1000</f>
        <v>5042</v>
      </c>
    </row>
    <row r="1755" spans="1:9" x14ac:dyDescent="0.25">
      <c r="A1755" s="1">
        <v>41339</v>
      </c>
      <c r="B1755" t="s">
        <v>52</v>
      </c>
      <c r="C1755">
        <v>108</v>
      </c>
      <c r="D1755">
        <f>MONTH(cukier11[[#This Row],[data]])</f>
        <v>3</v>
      </c>
      <c r="E1755">
        <f>IF(D1756&lt;&gt;cukier11[[#This Row],[miesiac]],1,0)</f>
        <v>0</v>
      </c>
      <c r="F1755">
        <f>IF(AND(H1754&lt;5000,cukier11[[#This Row],[czy_nastapiła_zmiana_mies]]=1),ROUNDUP((5000-H1754)/1000,0),0)</f>
        <v>0</v>
      </c>
      <c r="G1755">
        <f t="shared" si="27"/>
        <v>5042</v>
      </c>
      <c r="H1755">
        <f>cukier11[[#This Row],[stan_magazynu]]-cukier11[[#This Row],[sprzedany_cukier]]</f>
        <v>4934</v>
      </c>
      <c r="I1755" s="9">
        <f>cukier11[[#This Row],[stan_po_sprzedazy]]+cukier11[[#This Row],[ile_dokupic]]*1000</f>
        <v>4934</v>
      </c>
    </row>
    <row r="1756" spans="1:9" x14ac:dyDescent="0.25">
      <c r="A1756" s="1">
        <v>41346</v>
      </c>
      <c r="B1756" t="s">
        <v>102</v>
      </c>
      <c r="C1756">
        <v>424</v>
      </c>
      <c r="D1756">
        <f>MONTH(cukier11[[#This Row],[data]])</f>
        <v>3</v>
      </c>
      <c r="E1756">
        <f>IF(D1757&lt;&gt;cukier11[[#This Row],[miesiac]],1,0)</f>
        <v>0</v>
      </c>
      <c r="F1756">
        <f>IF(AND(H1755&lt;5000,cukier11[[#This Row],[czy_nastapiła_zmiana_mies]]=1),ROUNDUP((5000-H1755)/1000,0),0)</f>
        <v>0</v>
      </c>
      <c r="G1756">
        <f t="shared" si="27"/>
        <v>4934</v>
      </c>
      <c r="H1756">
        <f>cukier11[[#This Row],[stan_magazynu]]-cukier11[[#This Row],[sprzedany_cukier]]</f>
        <v>4510</v>
      </c>
      <c r="I1756" s="9">
        <f>cukier11[[#This Row],[stan_po_sprzedazy]]+cukier11[[#This Row],[ile_dokupic]]*1000</f>
        <v>4510</v>
      </c>
    </row>
    <row r="1757" spans="1:9" x14ac:dyDescent="0.25">
      <c r="A1757" s="1">
        <v>41351</v>
      </c>
      <c r="B1757" t="s">
        <v>221</v>
      </c>
      <c r="C1757">
        <v>9</v>
      </c>
      <c r="D1757">
        <f>MONTH(cukier11[[#This Row],[data]])</f>
        <v>3</v>
      </c>
      <c r="E1757">
        <f>IF(D1758&lt;&gt;cukier11[[#This Row],[miesiac]],1,0)</f>
        <v>0</v>
      </c>
      <c r="F1757">
        <f>IF(AND(H1756&lt;5000,cukier11[[#This Row],[czy_nastapiła_zmiana_mies]]=1),ROUNDUP((5000-H1756)/1000,0),0)</f>
        <v>0</v>
      </c>
      <c r="G1757">
        <f t="shared" si="27"/>
        <v>4510</v>
      </c>
      <c r="H1757">
        <f>cukier11[[#This Row],[stan_magazynu]]-cukier11[[#This Row],[sprzedany_cukier]]</f>
        <v>4501</v>
      </c>
      <c r="I1757" s="9">
        <f>cukier11[[#This Row],[stan_po_sprzedazy]]+cukier11[[#This Row],[ile_dokupic]]*1000</f>
        <v>4501</v>
      </c>
    </row>
    <row r="1758" spans="1:9" x14ac:dyDescent="0.25">
      <c r="A1758" s="1">
        <v>41352</v>
      </c>
      <c r="B1758" t="s">
        <v>28</v>
      </c>
      <c r="C1758">
        <v>135</v>
      </c>
      <c r="D1758">
        <f>MONTH(cukier11[[#This Row],[data]])</f>
        <v>3</v>
      </c>
      <c r="E1758">
        <f>IF(D1759&lt;&gt;cukier11[[#This Row],[miesiac]],1,0)</f>
        <v>0</v>
      </c>
      <c r="F1758">
        <f>IF(AND(H1757&lt;5000,cukier11[[#This Row],[czy_nastapiła_zmiana_mies]]=1),ROUNDUP((5000-H1757)/1000,0),0)</f>
        <v>0</v>
      </c>
      <c r="G1758">
        <f t="shared" si="27"/>
        <v>4501</v>
      </c>
      <c r="H1758">
        <f>cukier11[[#This Row],[stan_magazynu]]-cukier11[[#This Row],[sprzedany_cukier]]</f>
        <v>4366</v>
      </c>
      <c r="I1758" s="9">
        <f>cukier11[[#This Row],[stan_po_sprzedazy]]+cukier11[[#This Row],[ile_dokupic]]*1000</f>
        <v>4366</v>
      </c>
    </row>
    <row r="1759" spans="1:9" x14ac:dyDescent="0.25">
      <c r="A1759" s="1">
        <v>41356</v>
      </c>
      <c r="B1759" t="s">
        <v>14</v>
      </c>
      <c r="C1759">
        <v>202</v>
      </c>
      <c r="D1759">
        <f>MONTH(cukier11[[#This Row],[data]])</f>
        <v>3</v>
      </c>
      <c r="E1759">
        <f>IF(D1760&lt;&gt;cukier11[[#This Row],[miesiac]],1,0)</f>
        <v>0</v>
      </c>
      <c r="F1759">
        <f>IF(AND(H1758&lt;5000,cukier11[[#This Row],[czy_nastapiła_zmiana_mies]]=1),ROUNDUP((5000-H1758)/1000,0),0)</f>
        <v>0</v>
      </c>
      <c r="G1759">
        <f t="shared" si="27"/>
        <v>4366</v>
      </c>
      <c r="H1759">
        <f>cukier11[[#This Row],[stan_magazynu]]-cukier11[[#This Row],[sprzedany_cukier]]</f>
        <v>4164</v>
      </c>
      <c r="I1759" s="9">
        <f>cukier11[[#This Row],[stan_po_sprzedazy]]+cukier11[[#This Row],[ile_dokupic]]*1000</f>
        <v>4164</v>
      </c>
    </row>
    <row r="1760" spans="1:9" x14ac:dyDescent="0.25">
      <c r="A1760" s="1">
        <v>41357</v>
      </c>
      <c r="B1760" t="s">
        <v>45</v>
      </c>
      <c r="C1760">
        <v>459</v>
      </c>
      <c r="D1760">
        <f>MONTH(cukier11[[#This Row],[data]])</f>
        <v>3</v>
      </c>
      <c r="E1760">
        <f>IF(D1761&lt;&gt;cukier11[[#This Row],[miesiac]],1,0)</f>
        <v>0</v>
      </c>
      <c r="F1760">
        <f>IF(AND(H1759&lt;5000,cukier11[[#This Row],[czy_nastapiła_zmiana_mies]]=1),ROUNDUP((5000-H1759)/1000,0),0)</f>
        <v>0</v>
      </c>
      <c r="G1760">
        <f t="shared" si="27"/>
        <v>4164</v>
      </c>
      <c r="H1760">
        <f>cukier11[[#This Row],[stan_magazynu]]-cukier11[[#This Row],[sprzedany_cukier]]</f>
        <v>3705</v>
      </c>
      <c r="I1760" s="9">
        <f>cukier11[[#This Row],[stan_po_sprzedazy]]+cukier11[[#This Row],[ile_dokupic]]*1000</f>
        <v>3705</v>
      </c>
    </row>
    <row r="1761" spans="1:9" x14ac:dyDescent="0.25">
      <c r="A1761" s="1">
        <v>41361</v>
      </c>
      <c r="B1761" t="s">
        <v>58</v>
      </c>
      <c r="C1761">
        <v>107</v>
      </c>
      <c r="D1761">
        <f>MONTH(cukier11[[#This Row],[data]])</f>
        <v>3</v>
      </c>
      <c r="E1761">
        <f>IF(D1762&lt;&gt;cukier11[[#This Row],[miesiac]],1,0)</f>
        <v>0</v>
      </c>
      <c r="F1761">
        <f>IF(AND(H1760&lt;5000,cukier11[[#This Row],[czy_nastapiła_zmiana_mies]]=1),ROUNDUP((5000-H1760)/1000,0),0)</f>
        <v>0</v>
      </c>
      <c r="G1761">
        <f t="shared" si="27"/>
        <v>3705</v>
      </c>
      <c r="H1761">
        <f>cukier11[[#This Row],[stan_magazynu]]-cukier11[[#This Row],[sprzedany_cukier]]</f>
        <v>3598</v>
      </c>
      <c r="I1761" s="9">
        <f>cukier11[[#This Row],[stan_po_sprzedazy]]+cukier11[[#This Row],[ile_dokupic]]*1000</f>
        <v>3598</v>
      </c>
    </row>
    <row r="1762" spans="1:9" x14ac:dyDescent="0.25">
      <c r="A1762" s="1">
        <v>41362</v>
      </c>
      <c r="B1762" t="s">
        <v>35</v>
      </c>
      <c r="C1762">
        <v>37</v>
      </c>
      <c r="D1762">
        <f>MONTH(cukier11[[#This Row],[data]])</f>
        <v>3</v>
      </c>
      <c r="E1762">
        <f>IF(D1763&lt;&gt;cukier11[[#This Row],[miesiac]],1,0)</f>
        <v>0</v>
      </c>
      <c r="F1762">
        <f>IF(AND(H1761&lt;5000,cukier11[[#This Row],[czy_nastapiła_zmiana_mies]]=1),ROUNDUP((5000-H1761)/1000,0),0)</f>
        <v>0</v>
      </c>
      <c r="G1762">
        <f t="shared" si="27"/>
        <v>3598</v>
      </c>
      <c r="H1762">
        <f>cukier11[[#This Row],[stan_magazynu]]-cukier11[[#This Row],[sprzedany_cukier]]</f>
        <v>3561</v>
      </c>
      <c r="I1762" s="9">
        <f>cukier11[[#This Row],[stan_po_sprzedazy]]+cukier11[[#This Row],[ile_dokupic]]*1000</f>
        <v>3561</v>
      </c>
    </row>
    <row r="1763" spans="1:9" x14ac:dyDescent="0.25">
      <c r="A1763" s="1">
        <v>41363</v>
      </c>
      <c r="B1763" t="s">
        <v>61</v>
      </c>
      <c r="C1763">
        <v>43</v>
      </c>
      <c r="D1763">
        <f>MONTH(cukier11[[#This Row],[data]])</f>
        <v>3</v>
      </c>
      <c r="E1763">
        <f>IF(D1764&lt;&gt;cukier11[[#This Row],[miesiac]],1,0)</f>
        <v>1</v>
      </c>
      <c r="F1763">
        <f>IF(AND(H1762&lt;5000,cukier11[[#This Row],[czy_nastapiła_zmiana_mies]]=1),ROUNDUP((5000-H1762)/1000,0),0)</f>
        <v>2</v>
      </c>
      <c r="G1763">
        <f t="shared" si="27"/>
        <v>3561</v>
      </c>
      <c r="H1763">
        <f>cukier11[[#This Row],[stan_magazynu]]-cukier11[[#This Row],[sprzedany_cukier]]</f>
        <v>3518</v>
      </c>
      <c r="I1763" s="9">
        <f>cukier11[[#This Row],[stan_po_sprzedazy]]+cukier11[[#This Row],[ile_dokupic]]*1000</f>
        <v>5518</v>
      </c>
    </row>
    <row r="1764" spans="1:9" x14ac:dyDescent="0.25">
      <c r="A1764" s="1">
        <v>41365</v>
      </c>
      <c r="B1764" t="s">
        <v>9</v>
      </c>
      <c r="C1764">
        <v>352</v>
      </c>
      <c r="D1764">
        <f>MONTH(cukier11[[#This Row],[data]])</f>
        <v>4</v>
      </c>
      <c r="E1764">
        <f>IF(D1765&lt;&gt;cukier11[[#This Row],[miesiac]],1,0)</f>
        <v>0</v>
      </c>
      <c r="F1764">
        <f>IF(AND(H1763&lt;5000,cukier11[[#This Row],[czy_nastapiła_zmiana_mies]]=1),ROUNDUP((5000-H1763)/1000,0),0)</f>
        <v>0</v>
      </c>
      <c r="G1764">
        <f t="shared" si="27"/>
        <v>5518</v>
      </c>
      <c r="H1764">
        <f>cukier11[[#This Row],[stan_magazynu]]-cukier11[[#This Row],[sprzedany_cukier]]</f>
        <v>5166</v>
      </c>
      <c r="I1764" s="9">
        <f>cukier11[[#This Row],[stan_po_sprzedazy]]+cukier11[[#This Row],[ile_dokupic]]*1000</f>
        <v>5166</v>
      </c>
    </row>
    <row r="1765" spans="1:9" x14ac:dyDescent="0.25">
      <c r="A1765" s="1">
        <v>41368</v>
      </c>
      <c r="B1765" t="s">
        <v>18</v>
      </c>
      <c r="C1765">
        <v>94</v>
      </c>
      <c r="D1765">
        <f>MONTH(cukier11[[#This Row],[data]])</f>
        <v>4</v>
      </c>
      <c r="E1765">
        <f>IF(D1766&lt;&gt;cukier11[[#This Row],[miesiac]],1,0)</f>
        <v>0</v>
      </c>
      <c r="F1765">
        <f>IF(AND(H1764&lt;5000,cukier11[[#This Row],[czy_nastapiła_zmiana_mies]]=1),ROUNDUP((5000-H1764)/1000,0),0)</f>
        <v>0</v>
      </c>
      <c r="G1765">
        <f t="shared" si="27"/>
        <v>5166</v>
      </c>
      <c r="H1765">
        <f>cukier11[[#This Row],[stan_magazynu]]-cukier11[[#This Row],[sprzedany_cukier]]</f>
        <v>5072</v>
      </c>
      <c r="I1765" s="9">
        <f>cukier11[[#This Row],[stan_po_sprzedazy]]+cukier11[[#This Row],[ile_dokupic]]*1000</f>
        <v>5072</v>
      </c>
    </row>
    <row r="1766" spans="1:9" x14ac:dyDescent="0.25">
      <c r="A1766" s="1">
        <v>41368</v>
      </c>
      <c r="B1766" t="s">
        <v>66</v>
      </c>
      <c r="C1766">
        <v>112</v>
      </c>
      <c r="D1766">
        <f>MONTH(cukier11[[#This Row],[data]])</f>
        <v>4</v>
      </c>
      <c r="E1766">
        <f>IF(D1767&lt;&gt;cukier11[[#This Row],[miesiac]],1,0)</f>
        <v>0</v>
      </c>
      <c r="F1766">
        <f>IF(AND(H1765&lt;5000,cukier11[[#This Row],[czy_nastapiła_zmiana_mies]]=1),ROUNDUP((5000-H1765)/1000,0),0)</f>
        <v>0</v>
      </c>
      <c r="G1766">
        <f t="shared" si="27"/>
        <v>5072</v>
      </c>
      <c r="H1766">
        <f>cukier11[[#This Row],[stan_magazynu]]-cukier11[[#This Row],[sprzedany_cukier]]</f>
        <v>4960</v>
      </c>
      <c r="I1766" s="9">
        <f>cukier11[[#This Row],[stan_po_sprzedazy]]+cukier11[[#This Row],[ile_dokupic]]*1000</f>
        <v>4960</v>
      </c>
    </row>
    <row r="1767" spans="1:9" x14ac:dyDescent="0.25">
      <c r="A1767" s="1">
        <v>41369</v>
      </c>
      <c r="B1767" t="s">
        <v>61</v>
      </c>
      <c r="C1767">
        <v>136</v>
      </c>
      <c r="D1767">
        <f>MONTH(cukier11[[#This Row],[data]])</f>
        <v>4</v>
      </c>
      <c r="E1767">
        <f>IF(D1768&lt;&gt;cukier11[[#This Row],[miesiac]],1,0)</f>
        <v>0</v>
      </c>
      <c r="F1767">
        <f>IF(AND(H1766&lt;5000,cukier11[[#This Row],[czy_nastapiła_zmiana_mies]]=1),ROUNDUP((5000-H1766)/1000,0),0)</f>
        <v>0</v>
      </c>
      <c r="G1767">
        <f t="shared" si="27"/>
        <v>4960</v>
      </c>
      <c r="H1767">
        <f>cukier11[[#This Row],[stan_magazynu]]-cukier11[[#This Row],[sprzedany_cukier]]</f>
        <v>4824</v>
      </c>
      <c r="I1767" s="9">
        <f>cukier11[[#This Row],[stan_po_sprzedazy]]+cukier11[[#This Row],[ile_dokupic]]*1000</f>
        <v>4824</v>
      </c>
    </row>
    <row r="1768" spans="1:9" x14ac:dyDescent="0.25">
      <c r="A1768" s="1">
        <v>41370</v>
      </c>
      <c r="B1768" t="s">
        <v>78</v>
      </c>
      <c r="C1768">
        <v>56</v>
      </c>
      <c r="D1768">
        <f>MONTH(cukier11[[#This Row],[data]])</f>
        <v>4</v>
      </c>
      <c r="E1768">
        <f>IF(D1769&lt;&gt;cukier11[[#This Row],[miesiac]],1,0)</f>
        <v>0</v>
      </c>
      <c r="F1768">
        <f>IF(AND(H1767&lt;5000,cukier11[[#This Row],[czy_nastapiła_zmiana_mies]]=1),ROUNDUP((5000-H1767)/1000,0),0)</f>
        <v>0</v>
      </c>
      <c r="G1768">
        <f t="shared" si="27"/>
        <v>4824</v>
      </c>
      <c r="H1768">
        <f>cukier11[[#This Row],[stan_magazynu]]-cukier11[[#This Row],[sprzedany_cukier]]</f>
        <v>4768</v>
      </c>
      <c r="I1768" s="9">
        <f>cukier11[[#This Row],[stan_po_sprzedazy]]+cukier11[[#This Row],[ile_dokupic]]*1000</f>
        <v>4768</v>
      </c>
    </row>
    <row r="1769" spans="1:9" x14ac:dyDescent="0.25">
      <c r="A1769" s="1">
        <v>41372</v>
      </c>
      <c r="B1769" t="s">
        <v>14</v>
      </c>
      <c r="C1769">
        <v>286</v>
      </c>
      <c r="D1769">
        <f>MONTH(cukier11[[#This Row],[data]])</f>
        <v>4</v>
      </c>
      <c r="E1769">
        <f>IF(D1770&lt;&gt;cukier11[[#This Row],[miesiac]],1,0)</f>
        <v>0</v>
      </c>
      <c r="F1769">
        <f>IF(AND(H1768&lt;5000,cukier11[[#This Row],[czy_nastapiła_zmiana_mies]]=1),ROUNDUP((5000-H1768)/1000,0),0)</f>
        <v>0</v>
      </c>
      <c r="G1769">
        <f t="shared" si="27"/>
        <v>4768</v>
      </c>
      <c r="H1769">
        <f>cukier11[[#This Row],[stan_magazynu]]-cukier11[[#This Row],[sprzedany_cukier]]</f>
        <v>4482</v>
      </c>
      <c r="I1769" s="9">
        <f>cukier11[[#This Row],[stan_po_sprzedazy]]+cukier11[[#This Row],[ile_dokupic]]*1000</f>
        <v>4482</v>
      </c>
    </row>
    <row r="1770" spans="1:9" x14ac:dyDescent="0.25">
      <c r="A1770" s="1">
        <v>41373</v>
      </c>
      <c r="B1770" t="s">
        <v>7</v>
      </c>
      <c r="C1770">
        <v>296</v>
      </c>
      <c r="D1770">
        <f>MONTH(cukier11[[#This Row],[data]])</f>
        <v>4</v>
      </c>
      <c r="E1770">
        <f>IF(D1771&lt;&gt;cukier11[[#This Row],[miesiac]],1,0)</f>
        <v>0</v>
      </c>
      <c r="F1770">
        <f>IF(AND(H1769&lt;5000,cukier11[[#This Row],[czy_nastapiła_zmiana_mies]]=1),ROUNDUP((5000-H1769)/1000,0),0)</f>
        <v>0</v>
      </c>
      <c r="G1770">
        <f t="shared" si="27"/>
        <v>4482</v>
      </c>
      <c r="H1770">
        <f>cukier11[[#This Row],[stan_magazynu]]-cukier11[[#This Row],[sprzedany_cukier]]</f>
        <v>4186</v>
      </c>
      <c r="I1770" s="9">
        <f>cukier11[[#This Row],[stan_po_sprzedazy]]+cukier11[[#This Row],[ile_dokupic]]*1000</f>
        <v>4186</v>
      </c>
    </row>
    <row r="1771" spans="1:9" x14ac:dyDescent="0.25">
      <c r="A1771" s="1">
        <v>41373</v>
      </c>
      <c r="B1771" t="s">
        <v>25</v>
      </c>
      <c r="C1771">
        <v>81</v>
      </c>
      <c r="D1771">
        <f>MONTH(cukier11[[#This Row],[data]])</f>
        <v>4</v>
      </c>
      <c r="E1771">
        <f>IF(D1772&lt;&gt;cukier11[[#This Row],[miesiac]],1,0)</f>
        <v>0</v>
      </c>
      <c r="F1771">
        <f>IF(AND(H1770&lt;5000,cukier11[[#This Row],[czy_nastapiła_zmiana_mies]]=1),ROUNDUP((5000-H1770)/1000,0),0)</f>
        <v>0</v>
      </c>
      <c r="G1771">
        <f t="shared" si="27"/>
        <v>4186</v>
      </c>
      <c r="H1771">
        <f>cukier11[[#This Row],[stan_magazynu]]-cukier11[[#This Row],[sprzedany_cukier]]</f>
        <v>4105</v>
      </c>
      <c r="I1771" s="9">
        <f>cukier11[[#This Row],[stan_po_sprzedazy]]+cukier11[[#This Row],[ile_dokupic]]*1000</f>
        <v>4105</v>
      </c>
    </row>
    <row r="1772" spans="1:9" x14ac:dyDescent="0.25">
      <c r="A1772" s="1">
        <v>41374</v>
      </c>
      <c r="B1772" t="s">
        <v>14</v>
      </c>
      <c r="C1772">
        <v>231</v>
      </c>
      <c r="D1772">
        <f>MONTH(cukier11[[#This Row],[data]])</f>
        <v>4</v>
      </c>
      <c r="E1772">
        <f>IF(D1773&lt;&gt;cukier11[[#This Row],[miesiac]],1,0)</f>
        <v>0</v>
      </c>
      <c r="F1772">
        <f>IF(AND(H1771&lt;5000,cukier11[[#This Row],[czy_nastapiła_zmiana_mies]]=1),ROUNDUP((5000-H1771)/1000,0),0)</f>
        <v>0</v>
      </c>
      <c r="G1772">
        <f t="shared" si="27"/>
        <v>4105</v>
      </c>
      <c r="H1772">
        <f>cukier11[[#This Row],[stan_magazynu]]-cukier11[[#This Row],[sprzedany_cukier]]</f>
        <v>3874</v>
      </c>
      <c r="I1772" s="9">
        <f>cukier11[[#This Row],[stan_po_sprzedazy]]+cukier11[[#This Row],[ile_dokupic]]*1000</f>
        <v>3874</v>
      </c>
    </row>
    <row r="1773" spans="1:9" x14ac:dyDescent="0.25">
      <c r="A1773" s="1">
        <v>41375</v>
      </c>
      <c r="B1773" t="s">
        <v>17</v>
      </c>
      <c r="C1773">
        <v>149</v>
      </c>
      <c r="D1773">
        <f>MONTH(cukier11[[#This Row],[data]])</f>
        <v>4</v>
      </c>
      <c r="E1773">
        <f>IF(D1774&lt;&gt;cukier11[[#This Row],[miesiac]],1,0)</f>
        <v>0</v>
      </c>
      <c r="F1773">
        <f>IF(AND(H1772&lt;5000,cukier11[[#This Row],[czy_nastapiła_zmiana_mies]]=1),ROUNDUP((5000-H1772)/1000,0),0)</f>
        <v>0</v>
      </c>
      <c r="G1773">
        <f t="shared" si="27"/>
        <v>3874</v>
      </c>
      <c r="H1773">
        <f>cukier11[[#This Row],[stan_magazynu]]-cukier11[[#This Row],[sprzedany_cukier]]</f>
        <v>3725</v>
      </c>
      <c r="I1773" s="9">
        <f>cukier11[[#This Row],[stan_po_sprzedazy]]+cukier11[[#This Row],[ile_dokupic]]*1000</f>
        <v>3725</v>
      </c>
    </row>
    <row r="1774" spans="1:9" x14ac:dyDescent="0.25">
      <c r="A1774" s="1">
        <v>41375</v>
      </c>
      <c r="B1774" t="s">
        <v>132</v>
      </c>
      <c r="C1774">
        <v>3</v>
      </c>
      <c r="D1774">
        <f>MONTH(cukier11[[#This Row],[data]])</f>
        <v>4</v>
      </c>
      <c r="E1774">
        <f>IF(D1775&lt;&gt;cukier11[[#This Row],[miesiac]],1,0)</f>
        <v>0</v>
      </c>
      <c r="F1774">
        <f>IF(AND(H1773&lt;5000,cukier11[[#This Row],[czy_nastapiła_zmiana_mies]]=1),ROUNDUP((5000-H1773)/1000,0),0)</f>
        <v>0</v>
      </c>
      <c r="G1774">
        <f t="shared" si="27"/>
        <v>3725</v>
      </c>
      <c r="H1774">
        <f>cukier11[[#This Row],[stan_magazynu]]-cukier11[[#This Row],[sprzedany_cukier]]</f>
        <v>3722</v>
      </c>
      <c r="I1774" s="9">
        <f>cukier11[[#This Row],[stan_po_sprzedazy]]+cukier11[[#This Row],[ile_dokupic]]*1000</f>
        <v>3722</v>
      </c>
    </row>
    <row r="1775" spans="1:9" x14ac:dyDescent="0.25">
      <c r="A1775" s="1">
        <v>41376</v>
      </c>
      <c r="B1775" t="s">
        <v>14</v>
      </c>
      <c r="C1775">
        <v>311</v>
      </c>
      <c r="D1775">
        <f>MONTH(cukier11[[#This Row],[data]])</f>
        <v>4</v>
      </c>
      <c r="E1775">
        <f>IF(D1776&lt;&gt;cukier11[[#This Row],[miesiac]],1,0)</f>
        <v>0</v>
      </c>
      <c r="F1775">
        <f>IF(AND(H1774&lt;5000,cukier11[[#This Row],[czy_nastapiła_zmiana_mies]]=1),ROUNDUP((5000-H1774)/1000,0),0)</f>
        <v>0</v>
      </c>
      <c r="G1775">
        <f t="shared" si="27"/>
        <v>3722</v>
      </c>
      <c r="H1775">
        <f>cukier11[[#This Row],[stan_magazynu]]-cukier11[[#This Row],[sprzedany_cukier]]</f>
        <v>3411</v>
      </c>
      <c r="I1775" s="9">
        <f>cukier11[[#This Row],[stan_po_sprzedazy]]+cukier11[[#This Row],[ile_dokupic]]*1000</f>
        <v>3411</v>
      </c>
    </row>
    <row r="1776" spans="1:9" x14ac:dyDescent="0.25">
      <c r="A1776" s="1">
        <v>41379</v>
      </c>
      <c r="B1776" t="s">
        <v>66</v>
      </c>
      <c r="C1776">
        <v>121</v>
      </c>
      <c r="D1776">
        <f>MONTH(cukier11[[#This Row],[data]])</f>
        <v>4</v>
      </c>
      <c r="E1776">
        <f>IF(D1777&lt;&gt;cukier11[[#This Row],[miesiac]],1,0)</f>
        <v>0</v>
      </c>
      <c r="F1776">
        <f>IF(AND(H1775&lt;5000,cukier11[[#This Row],[czy_nastapiła_zmiana_mies]]=1),ROUNDUP((5000-H1775)/1000,0),0)</f>
        <v>0</v>
      </c>
      <c r="G1776">
        <f t="shared" si="27"/>
        <v>3411</v>
      </c>
      <c r="H1776">
        <f>cukier11[[#This Row],[stan_magazynu]]-cukier11[[#This Row],[sprzedany_cukier]]</f>
        <v>3290</v>
      </c>
      <c r="I1776" s="9">
        <f>cukier11[[#This Row],[stan_po_sprzedazy]]+cukier11[[#This Row],[ile_dokupic]]*1000</f>
        <v>3290</v>
      </c>
    </row>
    <row r="1777" spans="1:9" x14ac:dyDescent="0.25">
      <c r="A1777" s="1">
        <v>41380</v>
      </c>
      <c r="B1777" t="s">
        <v>153</v>
      </c>
      <c r="C1777">
        <v>15</v>
      </c>
      <c r="D1777">
        <f>MONTH(cukier11[[#This Row],[data]])</f>
        <v>4</v>
      </c>
      <c r="E1777">
        <f>IF(D1778&lt;&gt;cukier11[[#This Row],[miesiac]],1,0)</f>
        <v>0</v>
      </c>
      <c r="F1777">
        <f>IF(AND(H1776&lt;5000,cukier11[[#This Row],[czy_nastapiła_zmiana_mies]]=1),ROUNDUP((5000-H1776)/1000,0),0)</f>
        <v>0</v>
      </c>
      <c r="G1777">
        <f t="shared" si="27"/>
        <v>3290</v>
      </c>
      <c r="H1777">
        <f>cukier11[[#This Row],[stan_magazynu]]-cukier11[[#This Row],[sprzedany_cukier]]</f>
        <v>3275</v>
      </c>
      <c r="I1777" s="9">
        <f>cukier11[[#This Row],[stan_po_sprzedazy]]+cukier11[[#This Row],[ile_dokupic]]*1000</f>
        <v>3275</v>
      </c>
    </row>
    <row r="1778" spans="1:9" x14ac:dyDescent="0.25">
      <c r="A1778" s="1">
        <v>41381</v>
      </c>
      <c r="B1778" t="s">
        <v>136</v>
      </c>
      <c r="C1778">
        <v>14</v>
      </c>
      <c r="D1778">
        <f>MONTH(cukier11[[#This Row],[data]])</f>
        <v>4</v>
      </c>
      <c r="E1778">
        <f>IF(D1779&lt;&gt;cukier11[[#This Row],[miesiac]],1,0)</f>
        <v>0</v>
      </c>
      <c r="F1778">
        <f>IF(AND(H1777&lt;5000,cukier11[[#This Row],[czy_nastapiła_zmiana_mies]]=1),ROUNDUP((5000-H1777)/1000,0),0)</f>
        <v>0</v>
      </c>
      <c r="G1778">
        <f t="shared" si="27"/>
        <v>3275</v>
      </c>
      <c r="H1778">
        <f>cukier11[[#This Row],[stan_magazynu]]-cukier11[[#This Row],[sprzedany_cukier]]</f>
        <v>3261</v>
      </c>
      <c r="I1778" s="9">
        <f>cukier11[[#This Row],[stan_po_sprzedazy]]+cukier11[[#This Row],[ile_dokupic]]*1000</f>
        <v>3261</v>
      </c>
    </row>
    <row r="1779" spans="1:9" x14ac:dyDescent="0.25">
      <c r="A1779" s="1">
        <v>41381</v>
      </c>
      <c r="B1779" t="s">
        <v>7</v>
      </c>
      <c r="C1779">
        <v>240</v>
      </c>
      <c r="D1779">
        <f>MONTH(cukier11[[#This Row],[data]])</f>
        <v>4</v>
      </c>
      <c r="E1779">
        <f>IF(D1780&lt;&gt;cukier11[[#This Row],[miesiac]],1,0)</f>
        <v>0</v>
      </c>
      <c r="F1779">
        <f>IF(AND(H1778&lt;5000,cukier11[[#This Row],[czy_nastapiła_zmiana_mies]]=1),ROUNDUP((5000-H1778)/1000,0),0)</f>
        <v>0</v>
      </c>
      <c r="G1779">
        <f t="shared" si="27"/>
        <v>3261</v>
      </c>
      <c r="H1779">
        <f>cukier11[[#This Row],[stan_magazynu]]-cukier11[[#This Row],[sprzedany_cukier]]</f>
        <v>3021</v>
      </c>
      <c r="I1779" s="9">
        <f>cukier11[[#This Row],[stan_po_sprzedazy]]+cukier11[[#This Row],[ile_dokupic]]*1000</f>
        <v>3021</v>
      </c>
    </row>
    <row r="1780" spans="1:9" x14ac:dyDescent="0.25">
      <c r="A1780" s="1">
        <v>41383</v>
      </c>
      <c r="B1780" t="s">
        <v>56</v>
      </c>
      <c r="C1780">
        <v>12</v>
      </c>
      <c r="D1780">
        <f>MONTH(cukier11[[#This Row],[data]])</f>
        <v>4</v>
      </c>
      <c r="E1780">
        <f>IF(D1781&lt;&gt;cukier11[[#This Row],[miesiac]],1,0)</f>
        <v>0</v>
      </c>
      <c r="F1780">
        <f>IF(AND(H1779&lt;5000,cukier11[[#This Row],[czy_nastapiła_zmiana_mies]]=1),ROUNDUP((5000-H1779)/1000,0),0)</f>
        <v>0</v>
      </c>
      <c r="G1780">
        <f t="shared" si="27"/>
        <v>3021</v>
      </c>
      <c r="H1780">
        <f>cukier11[[#This Row],[stan_magazynu]]-cukier11[[#This Row],[sprzedany_cukier]]</f>
        <v>3009</v>
      </c>
      <c r="I1780" s="9">
        <f>cukier11[[#This Row],[stan_po_sprzedazy]]+cukier11[[#This Row],[ile_dokupic]]*1000</f>
        <v>3009</v>
      </c>
    </row>
    <row r="1781" spans="1:9" x14ac:dyDescent="0.25">
      <c r="A1781" s="1">
        <v>41385</v>
      </c>
      <c r="B1781" t="s">
        <v>199</v>
      </c>
      <c r="C1781">
        <v>1</v>
      </c>
      <c r="D1781">
        <f>MONTH(cukier11[[#This Row],[data]])</f>
        <v>4</v>
      </c>
      <c r="E1781">
        <f>IF(D1782&lt;&gt;cukier11[[#This Row],[miesiac]],1,0)</f>
        <v>0</v>
      </c>
      <c r="F1781">
        <f>IF(AND(H1780&lt;5000,cukier11[[#This Row],[czy_nastapiła_zmiana_mies]]=1),ROUNDUP((5000-H1780)/1000,0),0)</f>
        <v>0</v>
      </c>
      <c r="G1781">
        <f t="shared" si="27"/>
        <v>3009</v>
      </c>
      <c r="H1781">
        <f>cukier11[[#This Row],[stan_magazynu]]-cukier11[[#This Row],[sprzedany_cukier]]</f>
        <v>3008</v>
      </c>
      <c r="I1781" s="9">
        <f>cukier11[[#This Row],[stan_po_sprzedazy]]+cukier11[[#This Row],[ile_dokupic]]*1000</f>
        <v>3008</v>
      </c>
    </row>
    <row r="1782" spans="1:9" x14ac:dyDescent="0.25">
      <c r="A1782" s="1">
        <v>41388</v>
      </c>
      <c r="B1782" t="s">
        <v>232</v>
      </c>
      <c r="C1782">
        <v>12</v>
      </c>
      <c r="D1782">
        <f>MONTH(cukier11[[#This Row],[data]])</f>
        <v>4</v>
      </c>
      <c r="E1782">
        <f>IF(D1783&lt;&gt;cukier11[[#This Row],[miesiac]],1,0)</f>
        <v>0</v>
      </c>
      <c r="F1782">
        <f>IF(AND(H1781&lt;5000,cukier11[[#This Row],[czy_nastapiła_zmiana_mies]]=1),ROUNDUP((5000-H1781)/1000,0),0)</f>
        <v>0</v>
      </c>
      <c r="G1782">
        <f t="shared" si="27"/>
        <v>3008</v>
      </c>
      <c r="H1782">
        <f>cukier11[[#This Row],[stan_magazynu]]-cukier11[[#This Row],[sprzedany_cukier]]</f>
        <v>2996</v>
      </c>
      <c r="I1782" s="9">
        <f>cukier11[[#This Row],[stan_po_sprzedazy]]+cukier11[[#This Row],[ile_dokupic]]*1000</f>
        <v>2996</v>
      </c>
    </row>
    <row r="1783" spans="1:9" x14ac:dyDescent="0.25">
      <c r="A1783" s="1">
        <v>41391</v>
      </c>
      <c r="B1783" t="s">
        <v>18</v>
      </c>
      <c r="C1783">
        <v>190</v>
      </c>
      <c r="D1783">
        <f>MONTH(cukier11[[#This Row],[data]])</f>
        <v>4</v>
      </c>
      <c r="E1783">
        <f>IF(D1784&lt;&gt;cukier11[[#This Row],[miesiac]],1,0)</f>
        <v>0</v>
      </c>
      <c r="F1783">
        <f>IF(AND(H1782&lt;5000,cukier11[[#This Row],[czy_nastapiła_zmiana_mies]]=1),ROUNDUP((5000-H1782)/1000,0),0)</f>
        <v>0</v>
      </c>
      <c r="G1783">
        <f t="shared" si="27"/>
        <v>2996</v>
      </c>
      <c r="H1783">
        <f>cukier11[[#This Row],[stan_magazynu]]-cukier11[[#This Row],[sprzedany_cukier]]</f>
        <v>2806</v>
      </c>
      <c r="I1783" s="9">
        <f>cukier11[[#This Row],[stan_po_sprzedazy]]+cukier11[[#This Row],[ile_dokupic]]*1000</f>
        <v>2806</v>
      </c>
    </row>
    <row r="1784" spans="1:9" x14ac:dyDescent="0.25">
      <c r="A1784" s="1">
        <v>41392</v>
      </c>
      <c r="B1784" t="s">
        <v>63</v>
      </c>
      <c r="C1784">
        <v>179</v>
      </c>
      <c r="D1784">
        <f>MONTH(cukier11[[#This Row],[data]])</f>
        <v>4</v>
      </c>
      <c r="E1784">
        <f>IF(D1785&lt;&gt;cukier11[[#This Row],[miesiac]],1,0)</f>
        <v>0</v>
      </c>
      <c r="F1784">
        <f>IF(AND(H1783&lt;5000,cukier11[[#This Row],[czy_nastapiła_zmiana_mies]]=1),ROUNDUP((5000-H1783)/1000,0),0)</f>
        <v>0</v>
      </c>
      <c r="G1784">
        <f t="shared" si="27"/>
        <v>2806</v>
      </c>
      <c r="H1784">
        <f>cukier11[[#This Row],[stan_magazynu]]-cukier11[[#This Row],[sprzedany_cukier]]</f>
        <v>2627</v>
      </c>
      <c r="I1784" s="9">
        <f>cukier11[[#This Row],[stan_po_sprzedazy]]+cukier11[[#This Row],[ile_dokupic]]*1000</f>
        <v>2627</v>
      </c>
    </row>
    <row r="1785" spans="1:9" x14ac:dyDescent="0.25">
      <c r="A1785" s="1">
        <v>41394</v>
      </c>
      <c r="B1785" t="s">
        <v>22</v>
      </c>
      <c r="C1785">
        <v>106</v>
      </c>
      <c r="D1785">
        <f>MONTH(cukier11[[#This Row],[data]])</f>
        <v>4</v>
      </c>
      <c r="E1785">
        <f>IF(D1786&lt;&gt;cukier11[[#This Row],[miesiac]],1,0)</f>
        <v>1</v>
      </c>
      <c r="F1785">
        <f>IF(AND(H1784&lt;5000,cukier11[[#This Row],[czy_nastapiła_zmiana_mies]]=1),ROUNDUP((5000-H1784)/1000,0),0)</f>
        <v>3</v>
      </c>
      <c r="G1785">
        <f t="shared" si="27"/>
        <v>2627</v>
      </c>
      <c r="H1785">
        <f>cukier11[[#This Row],[stan_magazynu]]-cukier11[[#This Row],[sprzedany_cukier]]</f>
        <v>2521</v>
      </c>
      <c r="I1785" s="9">
        <f>cukier11[[#This Row],[stan_po_sprzedazy]]+cukier11[[#This Row],[ile_dokupic]]*1000</f>
        <v>5521</v>
      </c>
    </row>
    <row r="1786" spans="1:9" x14ac:dyDescent="0.25">
      <c r="A1786" s="1">
        <v>41396</v>
      </c>
      <c r="B1786" t="s">
        <v>7</v>
      </c>
      <c r="C1786">
        <v>267</v>
      </c>
      <c r="D1786">
        <f>MONTH(cukier11[[#This Row],[data]])</f>
        <v>5</v>
      </c>
      <c r="E1786">
        <f>IF(D1787&lt;&gt;cukier11[[#This Row],[miesiac]],1,0)</f>
        <v>0</v>
      </c>
      <c r="F1786">
        <f>IF(AND(H1785&lt;5000,cukier11[[#This Row],[czy_nastapiła_zmiana_mies]]=1),ROUNDUP((5000-H1785)/1000,0),0)</f>
        <v>0</v>
      </c>
      <c r="G1786">
        <f t="shared" si="27"/>
        <v>5521</v>
      </c>
      <c r="H1786">
        <f>cukier11[[#This Row],[stan_magazynu]]-cukier11[[#This Row],[sprzedany_cukier]]</f>
        <v>5254</v>
      </c>
      <c r="I1786" s="9">
        <f>cukier11[[#This Row],[stan_po_sprzedazy]]+cukier11[[#This Row],[ile_dokupic]]*1000</f>
        <v>5254</v>
      </c>
    </row>
    <row r="1787" spans="1:9" x14ac:dyDescent="0.25">
      <c r="A1787" s="1">
        <v>41396</v>
      </c>
      <c r="B1787" t="s">
        <v>123</v>
      </c>
      <c r="C1787">
        <v>66</v>
      </c>
      <c r="D1787">
        <f>MONTH(cukier11[[#This Row],[data]])</f>
        <v>5</v>
      </c>
      <c r="E1787">
        <f>IF(D1788&lt;&gt;cukier11[[#This Row],[miesiac]],1,0)</f>
        <v>0</v>
      </c>
      <c r="F1787">
        <f>IF(AND(H1786&lt;5000,cukier11[[#This Row],[czy_nastapiła_zmiana_mies]]=1),ROUNDUP((5000-H1786)/1000,0),0)</f>
        <v>0</v>
      </c>
      <c r="G1787">
        <f t="shared" si="27"/>
        <v>5254</v>
      </c>
      <c r="H1787">
        <f>cukier11[[#This Row],[stan_magazynu]]-cukier11[[#This Row],[sprzedany_cukier]]</f>
        <v>5188</v>
      </c>
      <c r="I1787" s="9">
        <f>cukier11[[#This Row],[stan_po_sprzedazy]]+cukier11[[#This Row],[ile_dokupic]]*1000</f>
        <v>5188</v>
      </c>
    </row>
    <row r="1788" spans="1:9" x14ac:dyDescent="0.25">
      <c r="A1788" s="1">
        <v>41398</v>
      </c>
      <c r="B1788" t="s">
        <v>14</v>
      </c>
      <c r="C1788">
        <v>471</v>
      </c>
      <c r="D1788">
        <f>MONTH(cukier11[[#This Row],[data]])</f>
        <v>5</v>
      </c>
      <c r="E1788">
        <f>IF(D1789&lt;&gt;cukier11[[#This Row],[miesiac]],1,0)</f>
        <v>0</v>
      </c>
      <c r="F1788">
        <f>IF(AND(H1787&lt;5000,cukier11[[#This Row],[czy_nastapiła_zmiana_mies]]=1),ROUNDUP((5000-H1787)/1000,0),0)</f>
        <v>0</v>
      </c>
      <c r="G1788">
        <f t="shared" si="27"/>
        <v>5188</v>
      </c>
      <c r="H1788">
        <f>cukier11[[#This Row],[stan_magazynu]]-cukier11[[#This Row],[sprzedany_cukier]]</f>
        <v>4717</v>
      </c>
      <c r="I1788" s="9">
        <f>cukier11[[#This Row],[stan_po_sprzedazy]]+cukier11[[#This Row],[ile_dokupic]]*1000</f>
        <v>4717</v>
      </c>
    </row>
    <row r="1789" spans="1:9" x14ac:dyDescent="0.25">
      <c r="A1789" s="1">
        <v>41399</v>
      </c>
      <c r="B1789" t="s">
        <v>60</v>
      </c>
      <c r="C1789">
        <v>5</v>
      </c>
      <c r="D1789">
        <f>MONTH(cukier11[[#This Row],[data]])</f>
        <v>5</v>
      </c>
      <c r="E1789">
        <f>IF(D1790&lt;&gt;cukier11[[#This Row],[miesiac]],1,0)</f>
        <v>0</v>
      </c>
      <c r="F1789">
        <f>IF(AND(H1788&lt;5000,cukier11[[#This Row],[czy_nastapiła_zmiana_mies]]=1),ROUNDUP((5000-H1788)/1000,0),0)</f>
        <v>0</v>
      </c>
      <c r="G1789">
        <f t="shared" si="27"/>
        <v>4717</v>
      </c>
      <c r="H1789">
        <f>cukier11[[#This Row],[stan_magazynu]]-cukier11[[#This Row],[sprzedany_cukier]]</f>
        <v>4712</v>
      </c>
      <c r="I1789" s="9">
        <f>cukier11[[#This Row],[stan_po_sprzedazy]]+cukier11[[#This Row],[ile_dokupic]]*1000</f>
        <v>4712</v>
      </c>
    </row>
    <row r="1790" spans="1:9" x14ac:dyDescent="0.25">
      <c r="A1790" s="1">
        <v>41401</v>
      </c>
      <c r="B1790" t="s">
        <v>221</v>
      </c>
      <c r="C1790">
        <v>11</v>
      </c>
      <c r="D1790">
        <f>MONTH(cukier11[[#This Row],[data]])</f>
        <v>5</v>
      </c>
      <c r="E1790">
        <f>IF(D1791&lt;&gt;cukier11[[#This Row],[miesiac]],1,0)</f>
        <v>0</v>
      </c>
      <c r="F1790">
        <f>IF(AND(H1789&lt;5000,cukier11[[#This Row],[czy_nastapiła_zmiana_mies]]=1),ROUNDUP((5000-H1789)/1000,0),0)</f>
        <v>0</v>
      </c>
      <c r="G1790">
        <f t="shared" si="27"/>
        <v>4712</v>
      </c>
      <c r="H1790">
        <f>cukier11[[#This Row],[stan_magazynu]]-cukier11[[#This Row],[sprzedany_cukier]]</f>
        <v>4701</v>
      </c>
      <c r="I1790" s="9">
        <f>cukier11[[#This Row],[stan_po_sprzedazy]]+cukier11[[#This Row],[ile_dokupic]]*1000</f>
        <v>4701</v>
      </c>
    </row>
    <row r="1791" spans="1:9" x14ac:dyDescent="0.25">
      <c r="A1791" s="1">
        <v>41403</v>
      </c>
      <c r="B1791" t="s">
        <v>71</v>
      </c>
      <c r="C1791">
        <v>103</v>
      </c>
      <c r="D1791">
        <f>MONTH(cukier11[[#This Row],[data]])</f>
        <v>5</v>
      </c>
      <c r="E1791">
        <f>IF(D1792&lt;&gt;cukier11[[#This Row],[miesiac]],1,0)</f>
        <v>0</v>
      </c>
      <c r="F1791">
        <f>IF(AND(H1790&lt;5000,cukier11[[#This Row],[czy_nastapiła_zmiana_mies]]=1),ROUNDUP((5000-H1790)/1000,0),0)</f>
        <v>0</v>
      </c>
      <c r="G1791">
        <f t="shared" si="27"/>
        <v>4701</v>
      </c>
      <c r="H1791">
        <f>cukier11[[#This Row],[stan_magazynu]]-cukier11[[#This Row],[sprzedany_cukier]]</f>
        <v>4598</v>
      </c>
      <c r="I1791" s="9">
        <f>cukier11[[#This Row],[stan_po_sprzedazy]]+cukier11[[#This Row],[ile_dokupic]]*1000</f>
        <v>4598</v>
      </c>
    </row>
    <row r="1792" spans="1:9" x14ac:dyDescent="0.25">
      <c r="A1792" s="1">
        <v>41403</v>
      </c>
      <c r="B1792" t="s">
        <v>19</v>
      </c>
      <c r="C1792">
        <v>92</v>
      </c>
      <c r="D1792">
        <f>MONTH(cukier11[[#This Row],[data]])</f>
        <v>5</v>
      </c>
      <c r="E1792">
        <f>IF(D1793&lt;&gt;cukier11[[#This Row],[miesiac]],1,0)</f>
        <v>0</v>
      </c>
      <c r="F1792">
        <f>IF(AND(H1791&lt;5000,cukier11[[#This Row],[czy_nastapiła_zmiana_mies]]=1),ROUNDUP((5000-H1791)/1000,0),0)</f>
        <v>0</v>
      </c>
      <c r="G1792">
        <f t="shared" si="27"/>
        <v>4598</v>
      </c>
      <c r="H1792">
        <f>cukier11[[#This Row],[stan_magazynu]]-cukier11[[#This Row],[sprzedany_cukier]]</f>
        <v>4506</v>
      </c>
      <c r="I1792" s="9">
        <f>cukier11[[#This Row],[stan_po_sprzedazy]]+cukier11[[#This Row],[ile_dokupic]]*1000</f>
        <v>4506</v>
      </c>
    </row>
    <row r="1793" spans="1:9" x14ac:dyDescent="0.25">
      <c r="A1793" s="1">
        <v>41405</v>
      </c>
      <c r="B1793" t="s">
        <v>10</v>
      </c>
      <c r="C1793">
        <v>115</v>
      </c>
      <c r="D1793">
        <f>MONTH(cukier11[[#This Row],[data]])</f>
        <v>5</v>
      </c>
      <c r="E1793">
        <f>IF(D1794&lt;&gt;cukier11[[#This Row],[miesiac]],1,0)</f>
        <v>0</v>
      </c>
      <c r="F1793">
        <f>IF(AND(H1792&lt;5000,cukier11[[#This Row],[czy_nastapiła_zmiana_mies]]=1),ROUNDUP((5000-H1792)/1000,0),0)</f>
        <v>0</v>
      </c>
      <c r="G1793">
        <f t="shared" si="27"/>
        <v>4506</v>
      </c>
      <c r="H1793">
        <f>cukier11[[#This Row],[stan_magazynu]]-cukier11[[#This Row],[sprzedany_cukier]]</f>
        <v>4391</v>
      </c>
      <c r="I1793" s="9">
        <f>cukier11[[#This Row],[stan_po_sprzedazy]]+cukier11[[#This Row],[ile_dokupic]]*1000</f>
        <v>4391</v>
      </c>
    </row>
    <row r="1794" spans="1:9" x14ac:dyDescent="0.25">
      <c r="A1794" s="1">
        <v>41406</v>
      </c>
      <c r="B1794" t="s">
        <v>52</v>
      </c>
      <c r="C1794">
        <v>62</v>
      </c>
      <c r="D1794">
        <f>MONTH(cukier11[[#This Row],[data]])</f>
        <v>5</v>
      </c>
      <c r="E1794">
        <f>IF(D1795&lt;&gt;cukier11[[#This Row],[miesiac]],1,0)</f>
        <v>0</v>
      </c>
      <c r="F1794">
        <f>IF(AND(H1793&lt;5000,cukier11[[#This Row],[czy_nastapiła_zmiana_mies]]=1),ROUNDUP((5000-H1793)/1000,0),0)</f>
        <v>0</v>
      </c>
      <c r="G1794">
        <f t="shared" si="27"/>
        <v>4391</v>
      </c>
      <c r="H1794">
        <f>cukier11[[#This Row],[stan_magazynu]]-cukier11[[#This Row],[sprzedany_cukier]]</f>
        <v>4329</v>
      </c>
      <c r="I1794" s="9">
        <f>cukier11[[#This Row],[stan_po_sprzedazy]]+cukier11[[#This Row],[ile_dokupic]]*1000</f>
        <v>4329</v>
      </c>
    </row>
    <row r="1795" spans="1:9" x14ac:dyDescent="0.25">
      <c r="A1795" s="1">
        <v>41406</v>
      </c>
      <c r="B1795" t="s">
        <v>5</v>
      </c>
      <c r="C1795">
        <v>420</v>
      </c>
      <c r="D1795">
        <f>MONTH(cukier11[[#This Row],[data]])</f>
        <v>5</v>
      </c>
      <c r="E1795">
        <f>IF(D1796&lt;&gt;cukier11[[#This Row],[miesiac]],1,0)</f>
        <v>0</v>
      </c>
      <c r="F1795">
        <f>IF(AND(H1794&lt;5000,cukier11[[#This Row],[czy_nastapiła_zmiana_mies]]=1),ROUNDUP((5000-H1794)/1000,0),0)</f>
        <v>0</v>
      </c>
      <c r="G1795">
        <f t="shared" si="27"/>
        <v>4329</v>
      </c>
      <c r="H1795">
        <f>cukier11[[#This Row],[stan_magazynu]]-cukier11[[#This Row],[sprzedany_cukier]]</f>
        <v>3909</v>
      </c>
      <c r="I1795" s="9">
        <f>cukier11[[#This Row],[stan_po_sprzedazy]]+cukier11[[#This Row],[ile_dokupic]]*1000</f>
        <v>3909</v>
      </c>
    </row>
    <row r="1796" spans="1:9" x14ac:dyDescent="0.25">
      <c r="A1796" s="1">
        <v>41406</v>
      </c>
      <c r="B1796" t="s">
        <v>30</v>
      </c>
      <c r="C1796">
        <v>81</v>
      </c>
      <c r="D1796">
        <f>MONTH(cukier11[[#This Row],[data]])</f>
        <v>5</v>
      </c>
      <c r="E1796">
        <f>IF(D1797&lt;&gt;cukier11[[#This Row],[miesiac]],1,0)</f>
        <v>0</v>
      </c>
      <c r="F1796">
        <f>IF(AND(H1795&lt;5000,cukier11[[#This Row],[czy_nastapiła_zmiana_mies]]=1),ROUNDUP((5000-H1795)/1000,0),0)</f>
        <v>0</v>
      </c>
      <c r="G1796">
        <f t="shared" ref="G1796:G1859" si="28">I1795</f>
        <v>3909</v>
      </c>
      <c r="H1796">
        <f>cukier11[[#This Row],[stan_magazynu]]-cukier11[[#This Row],[sprzedany_cukier]]</f>
        <v>3828</v>
      </c>
      <c r="I1796" s="9">
        <f>cukier11[[#This Row],[stan_po_sprzedazy]]+cukier11[[#This Row],[ile_dokupic]]*1000</f>
        <v>3828</v>
      </c>
    </row>
    <row r="1797" spans="1:9" x14ac:dyDescent="0.25">
      <c r="A1797" s="1">
        <v>41407</v>
      </c>
      <c r="B1797" t="s">
        <v>9</v>
      </c>
      <c r="C1797">
        <v>412</v>
      </c>
      <c r="D1797">
        <f>MONTH(cukier11[[#This Row],[data]])</f>
        <v>5</v>
      </c>
      <c r="E1797">
        <f>IF(D1798&lt;&gt;cukier11[[#This Row],[miesiac]],1,0)</f>
        <v>0</v>
      </c>
      <c r="F1797">
        <f>IF(AND(H1796&lt;5000,cukier11[[#This Row],[czy_nastapiła_zmiana_mies]]=1),ROUNDUP((5000-H1796)/1000,0),0)</f>
        <v>0</v>
      </c>
      <c r="G1797">
        <f t="shared" si="28"/>
        <v>3828</v>
      </c>
      <c r="H1797">
        <f>cukier11[[#This Row],[stan_magazynu]]-cukier11[[#This Row],[sprzedany_cukier]]</f>
        <v>3416</v>
      </c>
      <c r="I1797" s="9">
        <f>cukier11[[#This Row],[stan_po_sprzedazy]]+cukier11[[#This Row],[ile_dokupic]]*1000</f>
        <v>3416</v>
      </c>
    </row>
    <row r="1798" spans="1:9" x14ac:dyDescent="0.25">
      <c r="A1798" s="1">
        <v>41409</v>
      </c>
      <c r="B1798" t="s">
        <v>45</v>
      </c>
      <c r="C1798">
        <v>377</v>
      </c>
      <c r="D1798">
        <f>MONTH(cukier11[[#This Row],[data]])</f>
        <v>5</v>
      </c>
      <c r="E1798">
        <f>IF(D1799&lt;&gt;cukier11[[#This Row],[miesiac]],1,0)</f>
        <v>0</v>
      </c>
      <c r="F1798">
        <f>IF(AND(H1797&lt;5000,cukier11[[#This Row],[czy_nastapiła_zmiana_mies]]=1),ROUNDUP((5000-H1797)/1000,0),0)</f>
        <v>0</v>
      </c>
      <c r="G1798">
        <f t="shared" si="28"/>
        <v>3416</v>
      </c>
      <c r="H1798">
        <f>cukier11[[#This Row],[stan_magazynu]]-cukier11[[#This Row],[sprzedany_cukier]]</f>
        <v>3039</v>
      </c>
      <c r="I1798" s="9">
        <f>cukier11[[#This Row],[stan_po_sprzedazy]]+cukier11[[#This Row],[ile_dokupic]]*1000</f>
        <v>3039</v>
      </c>
    </row>
    <row r="1799" spans="1:9" x14ac:dyDescent="0.25">
      <c r="A1799" s="1">
        <v>41414</v>
      </c>
      <c r="B1799" t="s">
        <v>45</v>
      </c>
      <c r="C1799">
        <v>461</v>
      </c>
      <c r="D1799">
        <f>MONTH(cukier11[[#This Row],[data]])</f>
        <v>5</v>
      </c>
      <c r="E1799">
        <f>IF(D1800&lt;&gt;cukier11[[#This Row],[miesiac]],1,0)</f>
        <v>0</v>
      </c>
      <c r="F1799">
        <f>IF(AND(H1798&lt;5000,cukier11[[#This Row],[czy_nastapiła_zmiana_mies]]=1),ROUNDUP((5000-H1798)/1000,0),0)</f>
        <v>0</v>
      </c>
      <c r="G1799">
        <f t="shared" si="28"/>
        <v>3039</v>
      </c>
      <c r="H1799">
        <f>cukier11[[#This Row],[stan_magazynu]]-cukier11[[#This Row],[sprzedany_cukier]]</f>
        <v>2578</v>
      </c>
      <c r="I1799" s="9">
        <f>cukier11[[#This Row],[stan_po_sprzedazy]]+cukier11[[#This Row],[ile_dokupic]]*1000</f>
        <v>2578</v>
      </c>
    </row>
    <row r="1800" spans="1:9" x14ac:dyDescent="0.25">
      <c r="A1800" s="1">
        <v>41414</v>
      </c>
      <c r="B1800" t="s">
        <v>71</v>
      </c>
      <c r="C1800">
        <v>138</v>
      </c>
      <c r="D1800">
        <f>MONTH(cukier11[[#This Row],[data]])</f>
        <v>5</v>
      </c>
      <c r="E1800">
        <f>IF(D1801&lt;&gt;cukier11[[#This Row],[miesiac]],1,0)</f>
        <v>0</v>
      </c>
      <c r="F1800">
        <f>IF(AND(H1799&lt;5000,cukier11[[#This Row],[czy_nastapiła_zmiana_mies]]=1),ROUNDUP((5000-H1799)/1000,0),0)</f>
        <v>0</v>
      </c>
      <c r="G1800">
        <f t="shared" si="28"/>
        <v>2578</v>
      </c>
      <c r="H1800">
        <f>cukier11[[#This Row],[stan_magazynu]]-cukier11[[#This Row],[sprzedany_cukier]]</f>
        <v>2440</v>
      </c>
      <c r="I1800" s="9">
        <f>cukier11[[#This Row],[stan_po_sprzedazy]]+cukier11[[#This Row],[ile_dokupic]]*1000</f>
        <v>2440</v>
      </c>
    </row>
    <row r="1801" spans="1:9" x14ac:dyDescent="0.25">
      <c r="A1801" s="1">
        <v>41418</v>
      </c>
      <c r="B1801" t="s">
        <v>47</v>
      </c>
      <c r="C1801">
        <v>17</v>
      </c>
      <c r="D1801">
        <f>MONTH(cukier11[[#This Row],[data]])</f>
        <v>5</v>
      </c>
      <c r="E1801">
        <f>IF(D1802&lt;&gt;cukier11[[#This Row],[miesiac]],1,0)</f>
        <v>0</v>
      </c>
      <c r="F1801">
        <f>IF(AND(H1800&lt;5000,cukier11[[#This Row],[czy_nastapiła_zmiana_mies]]=1),ROUNDUP((5000-H1800)/1000,0),0)</f>
        <v>0</v>
      </c>
      <c r="G1801">
        <f t="shared" si="28"/>
        <v>2440</v>
      </c>
      <c r="H1801">
        <f>cukier11[[#This Row],[stan_magazynu]]-cukier11[[#This Row],[sprzedany_cukier]]</f>
        <v>2423</v>
      </c>
      <c r="I1801" s="9">
        <f>cukier11[[#This Row],[stan_po_sprzedazy]]+cukier11[[#This Row],[ile_dokupic]]*1000</f>
        <v>2423</v>
      </c>
    </row>
    <row r="1802" spans="1:9" x14ac:dyDescent="0.25">
      <c r="A1802" s="1">
        <v>41422</v>
      </c>
      <c r="B1802" t="s">
        <v>197</v>
      </c>
      <c r="C1802">
        <v>8</v>
      </c>
      <c r="D1802">
        <f>MONTH(cukier11[[#This Row],[data]])</f>
        <v>5</v>
      </c>
      <c r="E1802">
        <f>IF(D1803&lt;&gt;cukier11[[#This Row],[miesiac]],1,0)</f>
        <v>0</v>
      </c>
      <c r="F1802">
        <f>IF(AND(H1801&lt;5000,cukier11[[#This Row],[czy_nastapiła_zmiana_mies]]=1),ROUNDUP((5000-H1801)/1000,0),0)</f>
        <v>0</v>
      </c>
      <c r="G1802">
        <f t="shared" si="28"/>
        <v>2423</v>
      </c>
      <c r="H1802">
        <f>cukier11[[#This Row],[stan_magazynu]]-cukier11[[#This Row],[sprzedany_cukier]]</f>
        <v>2415</v>
      </c>
      <c r="I1802" s="9">
        <f>cukier11[[#This Row],[stan_po_sprzedazy]]+cukier11[[#This Row],[ile_dokupic]]*1000</f>
        <v>2415</v>
      </c>
    </row>
    <row r="1803" spans="1:9" x14ac:dyDescent="0.25">
      <c r="A1803" s="1">
        <v>41424</v>
      </c>
      <c r="B1803" t="s">
        <v>9</v>
      </c>
      <c r="C1803">
        <v>448</v>
      </c>
      <c r="D1803">
        <f>MONTH(cukier11[[#This Row],[data]])</f>
        <v>5</v>
      </c>
      <c r="E1803">
        <f>IF(D1804&lt;&gt;cukier11[[#This Row],[miesiac]],1,0)</f>
        <v>1</v>
      </c>
      <c r="F1803">
        <f>IF(AND(H1802&lt;5000,cukier11[[#This Row],[czy_nastapiła_zmiana_mies]]=1),ROUNDUP((5000-H1802)/1000,0),0)</f>
        <v>3</v>
      </c>
      <c r="G1803">
        <f t="shared" si="28"/>
        <v>2415</v>
      </c>
      <c r="H1803">
        <f>cukier11[[#This Row],[stan_magazynu]]-cukier11[[#This Row],[sprzedany_cukier]]</f>
        <v>1967</v>
      </c>
      <c r="I1803" s="9">
        <f>cukier11[[#This Row],[stan_po_sprzedazy]]+cukier11[[#This Row],[ile_dokupic]]*1000</f>
        <v>4967</v>
      </c>
    </row>
    <row r="1804" spans="1:9" x14ac:dyDescent="0.25">
      <c r="A1804" s="1">
        <v>41426</v>
      </c>
      <c r="B1804" t="s">
        <v>9</v>
      </c>
      <c r="C1804">
        <v>240</v>
      </c>
      <c r="D1804">
        <f>MONTH(cukier11[[#This Row],[data]])</f>
        <v>6</v>
      </c>
      <c r="E1804">
        <f>IF(D1805&lt;&gt;cukier11[[#This Row],[miesiac]],1,0)</f>
        <v>0</v>
      </c>
      <c r="F1804">
        <f>IF(AND(H1803&lt;5000,cukier11[[#This Row],[czy_nastapiła_zmiana_mies]]=1),ROUNDUP((5000-H1803)/1000,0),0)</f>
        <v>0</v>
      </c>
      <c r="G1804">
        <f t="shared" si="28"/>
        <v>4967</v>
      </c>
      <c r="H1804">
        <f>cukier11[[#This Row],[stan_magazynu]]-cukier11[[#This Row],[sprzedany_cukier]]</f>
        <v>4727</v>
      </c>
      <c r="I1804" s="9">
        <f>cukier11[[#This Row],[stan_po_sprzedazy]]+cukier11[[#This Row],[ile_dokupic]]*1000</f>
        <v>4727</v>
      </c>
    </row>
    <row r="1805" spans="1:9" x14ac:dyDescent="0.25">
      <c r="A1805" s="1">
        <v>41427</v>
      </c>
      <c r="B1805" t="s">
        <v>22</v>
      </c>
      <c r="C1805">
        <v>388</v>
      </c>
      <c r="D1805">
        <f>MONTH(cukier11[[#This Row],[data]])</f>
        <v>6</v>
      </c>
      <c r="E1805">
        <f>IF(D1806&lt;&gt;cukier11[[#This Row],[miesiac]],1,0)</f>
        <v>0</v>
      </c>
      <c r="F1805">
        <f>IF(AND(H1804&lt;5000,cukier11[[#This Row],[czy_nastapiła_zmiana_mies]]=1),ROUNDUP((5000-H1804)/1000,0),0)</f>
        <v>0</v>
      </c>
      <c r="G1805">
        <f t="shared" si="28"/>
        <v>4727</v>
      </c>
      <c r="H1805">
        <f>cukier11[[#This Row],[stan_magazynu]]-cukier11[[#This Row],[sprzedany_cukier]]</f>
        <v>4339</v>
      </c>
      <c r="I1805" s="9">
        <f>cukier11[[#This Row],[stan_po_sprzedazy]]+cukier11[[#This Row],[ile_dokupic]]*1000</f>
        <v>4339</v>
      </c>
    </row>
    <row r="1806" spans="1:9" x14ac:dyDescent="0.25">
      <c r="A1806" s="1">
        <v>41429</v>
      </c>
      <c r="B1806" t="s">
        <v>7</v>
      </c>
      <c r="C1806">
        <v>455</v>
      </c>
      <c r="D1806">
        <f>MONTH(cukier11[[#This Row],[data]])</f>
        <v>6</v>
      </c>
      <c r="E1806">
        <f>IF(D1807&lt;&gt;cukier11[[#This Row],[miesiac]],1,0)</f>
        <v>0</v>
      </c>
      <c r="F1806">
        <f>IF(AND(H1805&lt;5000,cukier11[[#This Row],[czy_nastapiła_zmiana_mies]]=1),ROUNDUP((5000-H1805)/1000,0),0)</f>
        <v>0</v>
      </c>
      <c r="G1806">
        <f t="shared" si="28"/>
        <v>4339</v>
      </c>
      <c r="H1806">
        <f>cukier11[[#This Row],[stan_magazynu]]-cukier11[[#This Row],[sprzedany_cukier]]</f>
        <v>3884</v>
      </c>
      <c r="I1806" s="9">
        <f>cukier11[[#This Row],[stan_po_sprzedazy]]+cukier11[[#This Row],[ile_dokupic]]*1000</f>
        <v>3884</v>
      </c>
    </row>
    <row r="1807" spans="1:9" x14ac:dyDescent="0.25">
      <c r="A1807" s="1">
        <v>41429</v>
      </c>
      <c r="B1807" t="s">
        <v>17</v>
      </c>
      <c r="C1807">
        <v>269</v>
      </c>
      <c r="D1807">
        <f>MONTH(cukier11[[#This Row],[data]])</f>
        <v>6</v>
      </c>
      <c r="E1807">
        <f>IF(D1808&lt;&gt;cukier11[[#This Row],[miesiac]],1,0)</f>
        <v>0</v>
      </c>
      <c r="F1807">
        <f>IF(AND(H1806&lt;5000,cukier11[[#This Row],[czy_nastapiła_zmiana_mies]]=1),ROUNDUP((5000-H1806)/1000,0),0)</f>
        <v>0</v>
      </c>
      <c r="G1807">
        <f t="shared" si="28"/>
        <v>3884</v>
      </c>
      <c r="H1807">
        <f>cukier11[[#This Row],[stan_magazynu]]-cukier11[[#This Row],[sprzedany_cukier]]</f>
        <v>3615</v>
      </c>
      <c r="I1807" s="9">
        <f>cukier11[[#This Row],[stan_po_sprzedazy]]+cukier11[[#This Row],[ile_dokupic]]*1000</f>
        <v>3615</v>
      </c>
    </row>
    <row r="1808" spans="1:9" x14ac:dyDescent="0.25">
      <c r="A1808" s="1">
        <v>41432</v>
      </c>
      <c r="B1808" t="s">
        <v>6</v>
      </c>
      <c r="C1808">
        <v>81</v>
      </c>
      <c r="D1808">
        <f>MONTH(cukier11[[#This Row],[data]])</f>
        <v>6</v>
      </c>
      <c r="E1808">
        <f>IF(D1809&lt;&gt;cukier11[[#This Row],[miesiac]],1,0)</f>
        <v>0</v>
      </c>
      <c r="F1808">
        <f>IF(AND(H1807&lt;5000,cukier11[[#This Row],[czy_nastapiła_zmiana_mies]]=1),ROUNDUP((5000-H1807)/1000,0),0)</f>
        <v>0</v>
      </c>
      <c r="G1808">
        <f t="shared" si="28"/>
        <v>3615</v>
      </c>
      <c r="H1808">
        <f>cukier11[[#This Row],[stan_magazynu]]-cukier11[[#This Row],[sprzedany_cukier]]</f>
        <v>3534</v>
      </c>
      <c r="I1808" s="9">
        <f>cukier11[[#This Row],[stan_po_sprzedazy]]+cukier11[[#This Row],[ile_dokupic]]*1000</f>
        <v>3534</v>
      </c>
    </row>
    <row r="1809" spans="1:9" x14ac:dyDescent="0.25">
      <c r="A1809" s="1">
        <v>41432</v>
      </c>
      <c r="B1809" t="s">
        <v>10</v>
      </c>
      <c r="C1809">
        <v>99</v>
      </c>
      <c r="D1809">
        <f>MONTH(cukier11[[#This Row],[data]])</f>
        <v>6</v>
      </c>
      <c r="E1809">
        <f>IF(D1810&lt;&gt;cukier11[[#This Row],[miesiac]],1,0)</f>
        <v>0</v>
      </c>
      <c r="F1809">
        <f>IF(AND(H1808&lt;5000,cukier11[[#This Row],[czy_nastapiła_zmiana_mies]]=1),ROUNDUP((5000-H1808)/1000,0),0)</f>
        <v>0</v>
      </c>
      <c r="G1809">
        <f t="shared" si="28"/>
        <v>3534</v>
      </c>
      <c r="H1809">
        <f>cukier11[[#This Row],[stan_magazynu]]-cukier11[[#This Row],[sprzedany_cukier]]</f>
        <v>3435</v>
      </c>
      <c r="I1809" s="9">
        <f>cukier11[[#This Row],[stan_po_sprzedazy]]+cukier11[[#This Row],[ile_dokupic]]*1000</f>
        <v>3435</v>
      </c>
    </row>
    <row r="1810" spans="1:9" x14ac:dyDescent="0.25">
      <c r="A1810" s="1">
        <v>41437</v>
      </c>
      <c r="B1810" t="s">
        <v>170</v>
      </c>
      <c r="C1810">
        <v>12</v>
      </c>
      <c r="D1810">
        <f>MONTH(cukier11[[#This Row],[data]])</f>
        <v>6</v>
      </c>
      <c r="E1810">
        <f>IF(D1811&lt;&gt;cukier11[[#This Row],[miesiac]],1,0)</f>
        <v>0</v>
      </c>
      <c r="F1810">
        <f>IF(AND(H1809&lt;5000,cukier11[[#This Row],[czy_nastapiła_zmiana_mies]]=1),ROUNDUP((5000-H1809)/1000,0),0)</f>
        <v>0</v>
      </c>
      <c r="G1810">
        <f t="shared" si="28"/>
        <v>3435</v>
      </c>
      <c r="H1810">
        <f>cukier11[[#This Row],[stan_magazynu]]-cukier11[[#This Row],[sprzedany_cukier]]</f>
        <v>3423</v>
      </c>
      <c r="I1810" s="9">
        <f>cukier11[[#This Row],[stan_po_sprzedazy]]+cukier11[[#This Row],[ile_dokupic]]*1000</f>
        <v>3423</v>
      </c>
    </row>
    <row r="1811" spans="1:9" x14ac:dyDescent="0.25">
      <c r="A1811" s="1">
        <v>41439</v>
      </c>
      <c r="B1811" t="s">
        <v>233</v>
      </c>
      <c r="C1811">
        <v>4</v>
      </c>
      <c r="D1811">
        <f>MONTH(cukier11[[#This Row],[data]])</f>
        <v>6</v>
      </c>
      <c r="E1811">
        <f>IF(D1812&lt;&gt;cukier11[[#This Row],[miesiac]],1,0)</f>
        <v>0</v>
      </c>
      <c r="F1811">
        <f>IF(AND(H1810&lt;5000,cukier11[[#This Row],[czy_nastapiła_zmiana_mies]]=1),ROUNDUP((5000-H1810)/1000,0),0)</f>
        <v>0</v>
      </c>
      <c r="G1811">
        <f t="shared" si="28"/>
        <v>3423</v>
      </c>
      <c r="H1811">
        <f>cukier11[[#This Row],[stan_magazynu]]-cukier11[[#This Row],[sprzedany_cukier]]</f>
        <v>3419</v>
      </c>
      <c r="I1811" s="9">
        <f>cukier11[[#This Row],[stan_po_sprzedazy]]+cukier11[[#This Row],[ile_dokupic]]*1000</f>
        <v>3419</v>
      </c>
    </row>
    <row r="1812" spans="1:9" x14ac:dyDescent="0.25">
      <c r="A1812" s="1">
        <v>41440</v>
      </c>
      <c r="B1812" t="s">
        <v>30</v>
      </c>
      <c r="C1812">
        <v>132</v>
      </c>
      <c r="D1812">
        <f>MONTH(cukier11[[#This Row],[data]])</f>
        <v>6</v>
      </c>
      <c r="E1812">
        <f>IF(D1813&lt;&gt;cukier11[[#This Row],[miesiac]],1,0)</f>
        <v>0</v>
      </c>
      <c r="F1812">
        <f>IF(AND(H1811&lt;5000,cukier11[[#This Row],[czy_nastapiła_zmiana_mies]]=1),ROUNDUP((5000-H1811)/1000,0),0)</f>
        <v>0</v>
      </c>
      <c r="G1812">
        <f t="shared" si="28"/>
        <v>3419</v>
      </c>
      <c r="H1812">
        <f>cukier11[[#This Row],[stan_magazynu]]-cukier11[[#This Row],[sprzedany_cukier]]</f>
        <v>3287</v>
      </c>
      <c r="I1812" s="9">
        <f>cukier11[[#This Row],[stan_po_sprzedazy]]+cukier11[[#This Row],[ile_dokupic]]*1000</f>
        <v>3287</v>
      </c>
    </row>
    <row r="1813" spans="1:9" x14ac:dyDescent="0.25">
      <c r="A1813" s="1">
        <v>41441</v>
      </c>
      <c r="B1813" t="s">
        <v>131</v>
      </c>
      <c r="C1813">
        <v>83</v>
      </c>
      <c r="D1813">
        <f>MONTH(cukier11[[#This Row],[data]])</f>
        <v>6</v>
      </c>
      <c r="E1813">
        <f>IF(D1814&lt;&gt;cukier11[[#This Row],[miesiac]],1,0)</f>
        <v>0</v>
      </c>
      <c r="F1813">
        <f>IF(AND(H1812&lt;5000,cukier11[[#This Row],[czy_nastapiła_zmiana_mies]]=1),ROUNDUP((5000-H1812)/1000,0),0)</f>
        <v>0</v>
      </c>
      <c r="G1813">
        <f t="shared" si="28"/>
        <v>3287</v>
      </c>
      <c r="H1813">
        <f>cukier11[[#This Row],[stan_magazynu]]-cukier11[[#This Row],[sprzedany_cukier]]</f>
        <v>3204</v>
      </c>
      <c r="I1813" s="9">
        <f>cukier11[[#This Row],[stan_po_sprzedazy]]+cukier11[[#This Row],[ile_dokupic]]*1000</f>
        <v>3204</v>
      </c>
    </row>
    <row r="1814" spans="1:9" x14ac:dyDescent="0.25">
      <c r="A1814" s="1">
        <v>41446</v>
      </c>
      <c r="B1814" t="s">
        <v>205</v>
      </c>
      <c r="C1814">
        <v>7</v>
      </c>
      <c r="D1814">
        <f>MONTH(cukier11[[#This Row],[data]])</f>
        <v>6</v>
      </c>
      <c r="E1814">
        <f>IF(D1815&lt;&gt;cukier11[[#This Row],[miesiac]],1,0)</f>
        <v>0</v>
      </c>
      <c r="F1814">
        <f>IF(AND(H1813&lt;5000,cukier11[[#This Row],[czy_nastapiła_zmiana_mies]]=1),ROUNDUP((5000-H1813)/1000,0),0)</f>
        <v>0</v>
      </c>
      <c r="G1814">
        <f t="shared" si="28"/>
        <v>3204</v>
      </c>
      <c r="H1814">
        <f>cukier11[[#This Row],[stan_magazynu]]-cukier11[[#This Row],[sprzedany_cukier]]</f>
        <v>3197</v>
      </c>
      <c r="I1814" s="9">
        <f>cukier11[[#This Row],[stan_po_sprzedazy]]+cukier11[[#This Row],[ile_dokupic]]*1000</f>
        <v>3197</v>
      </c>
    </row>
    <row r="1815" spans="1:9" x14ac:dyDescent="0.25">
      <c r="A1815" s="1">
        <v>41447</v>
      </c>
      <c r="B1815" t="s">
        <v>154</v>
      </c>
      <c r="C1815">
        <v>9</v>
      </c>
      <c r="D1815">
        <f>MONTH(cukier11[[#This Row],[data]])</f>
        <v>6</v>
      </c>
      <c r="E1815">
        <f>IF(D1816&lt;&gt;cukier11[[#This Row],[miesiac]],1,0)</f>
        <v>0</v>
      </c>
      <c r="F1815">
        <f>IF(AND(H1814&lt;5000,cukier11[[#This Row],[czy_nastapiła_zmiana_mies]]=1),ROUNDUP((5000-H1814)/1000,0),0)</f>
        <v>0</v>
      </c>
      <c r="G1815">
        <f t="shared" si="28"/>
        <v>3197</v>
      </c>
      <c r="H1815">
        <f>cukier11[[#This Row],[stan_magazynu]]-cukier11[[#This Row],[sprzedany_cukier]]</f>
        <v>3188</v>
      </c>
      <c r="I1815" s="9">
        <f>cukier11[[#This Row],[stan_po_sprzedazy]]+cukier11[[#This Row],[ile_dokupic]]*1000</f>
        <v>3188</v>
      </c>
    </row>
    <row r="1816" spans="1:9" x14ac:dyDescent="0.25">
      <c r="A1816" s="1">
        <v>41448</v>
      </c>
      <c r="B1816" t="s">
        <v>159</v>
      </c>
      <c r="C1816">
        <v>20</v>
      </c>
      <c r="D1816">
        <f>MONTH(cukier11[[#This Row],[data]])</f>
        <v>6</v>
      </c>
      <c r="E1816">
        <f>IF(D1817&lt;&gt;cukier11[[#This Row],[miesiac]],1,0)</f>
        <v>0</v>
      </c>
      <c r="F1816">
        <f>IF(AND(H1815&lt;5000,cukier11[[#This Row],[czy_nastapiła_zmiana_mies]]=1),ROUNDUP((5000-H1815)/1000,0),0)</f>
        <v>0</v>
      </c>
      <c r="G1816">
        <f t="shared" si="28"/>
        <v>3188</v>
      </c>
      <c r="H1816">
        <f>cukier11[[#This Row],[stan_magazynu]]-cukier11[[#This Row],[sprzedany_cukier]]</f>
        <v>3168</v>
      </c>
      <c r="I1816" s="9">
        <f>cukier11[[#This Row],[stan_po_sprzedazy]]+cukier11[[#This Row],[ile_dokupic]]*1000</f>
        <v>3168</v>
      </c>
    </row>
    <row r="1817" spans="1:9" x14ac:dyDescent="0.25">
      <c r="A1817" s="1">
        <v>41449</v>
      </c>
      <c r="B1817" t="s">
        <v>10</v>
      </c>
      <c r="C1817">
        <v>98</v>
      </c>
      <c r="D1817">
        <f>MONTH(cukier11[[#This Row],[data]])</f>
        <v>6</v>
      </c>
      <c r="E1817">
        <f>IF(D1818&lt;&gt;cukier11[[#This Row],[miesiac]],1,0)</f>
        <v>0</v>
      </c>
      <c r="F1817">
        <f>IF(AND(H1816&lt;5000,cukier11[[#This Row],[czy_nastapiła_zmiana_mies]]=1),ROUNDUP((5000-H1816)/1000,0),0)</f>
        <v>0</v>
      </c>
      <c r="G1817">
        <f t="shared" si="28"/>
        <v>3168</v>
      </c>
      <c r="H1817">
        <f>cukier11[[#This Row],[stan_magazynu]]-cukier11[[#This Row],[sprzedany_cukier]]</f>
        <v>3070</v>
      </c>
      <c r="I1817" s="9">
        <f>cukier11[[#This Row],[stan_po_sprzedazy]]+cukier11[[#This Row],[ile_dokupic]]*1000</f>
        <v>3070</v>
      </c>
    </row>
    <row r="1818" spans="1:9" x14ac:dyDescent="0.25">
      <c r="A1818" s="1">
        <v>41451</v>
      </c>
      <c r="B1818" t="s">
        <v>137</v>
      </c>
      <c r="C1818">
        <v>9</v>
      </c>
      <c r="D1818">
        <f>MONTH(cukier11[[#This Row],[data]])</f>
        <v>6</v>
      </c>
      <c r="E1818">
        <f>IF(D1819&lt;&gt;cukier11[[#This Row],[miesiac]],1,0)</f>
        <v>0</v>
      </c>
      <c r="F1818">
        <f>IF(AND(H1817&lt;5000,cukier11[[#This Row],[czy_nastapiła_zmiana_mies]]=1),ROUNDUP((5000-H1817)/1000,0),0)</f>
        <v>0</v>
      </c>
      <c r="G1818">
        <f t="shared" si="28"/>
        <v>3070</v>
      </c>
      <c r="H1818">
        <f>cukier11[[#This Row],[stan_magazynu]]-cukier11[[#This Row],[sprzedany_cukier]]</f>
        <v>3061</v>
      </c>
      <c r="I1818" s="9">
        <f>cukier11[[#This Row],[stan_po_sprzedazy]]+cukier11[[#This Row],[ile_dokupic]]*1000</f>
        <v>3061</v>
      </c>
    </row>
    <row r="1819" spans="1:9" x14ac:dyDescent="0.25">
      <c r="A1819" s="1">
        <v>41453</v>
      </c>
      <c r="B1819" t="s">
        <v>64</v>
      </c>
      <c r="C1819">
        <v>13</v>
      </c>
      <c r="D1819">
        <f>MONTH(cukier11[[#This Row],[data]])</f>
        <v>6</v>
      </c>
      <c r="E1819">
        <f>IF(D1820&lt;&gt;cukier11[[#This Row],[miesiac]],1,0)</f>
        <v>1</v>
      </c>
      <c r="F1819">
        <f>IF(AND(H1818&lt;5000,cukier11[[#This Row],[czy_nastapiła_zmiana_mies]]=1),ROUNDUP((5000-H1818)/1000,0),0)</f>
        <v>2</v>
      </c>
      <c r="G1819">
        <f t="shared" si="28"/>
        <v>3061</v>
      </c>
      <c r="H1819">
        <f>cukier11[[#This Row],[stan_magazynu]]-cukier11[[#This Row],[sprzedany_cukier]]</f>
        <v>3048</v>
      </c>
      <c r="I1819" s="9">
        <f>cukier11[[#This Row],[stan_po_sprzedazy]]+cukier11[[#This Row],[ile_dokupic]]*1000</f>
        <v>5048</v>
      </c>
    </row>
    <row r="1820" spans="1:9" x14ac:dyDescent="0.25">
      <c r="A1820" s="1">
        <v>41456</v>
      </c>
      <c r="B1820" t="s">
        <v>50</v>
      </c>
      <c r="C1820">
        <v>424</v>
      </c>
      <c r="D1820">
        <f>MONTH(cukier11[[#This Row],[data]])</f>
        <v>7</v>
      </c>
      <c r="E1820">
        <f>IF(D1821&lt;&gt;cukier11[[#This Row],[miesiac]],1,0)</f>
        <v>0</v>
      </c>
      <c r="F1820">
        <f>IF(AND(H1819&lt;5000,cukier11[[#This Row],[czy_nastapiła_zmiana_mies]]=1),ROUNDUP((5000-H1819)/1000,0),0)</f>
        <v>0</v>
      </c>
      <c r="G1820">
        <f t="shared" si="28"/>
        <v>5048</v>
      </c>
      <c r="H1820">
        <f>cukier11[[#This Row],[stan_magazynu]]-cukier11[[#This Row],[sprzedany_cukier]]</f>
        <v>4624</v>
      </c>
      <c r="I1820" s="9">
        <f>cukier11[[#This Row],[stan_po_sprzedazy]]+cukier11[[#This Row],[ile_dokupic]]*1000</f>
        <v>4624</v>
      </c>
    </row>
    <row r="1821" spans="1:9" x14ac:dyDescent="0.25">
      <c r="A1821" s="1">
        <v>41461</v>
      </c>
      <c r="B1821" t="s">
        <v>39</v>
      </c>
      <c r="C1821">
        <v>31</v>
      </c>
      <c r="D1821">
        <f>MONTH(cukier11[[#This Row],[data]])</f>
        <v>7</v>
      </c>
      <c r="E1821">
        <f>IF(D1822&lt;&gt;cukier11[[#This Row],[miesiac]],1,0)</f>
        <v>0</v>
      </c>
      <c r="F1821">
        <f>IF(AND(H1820&lt;5000,cukier11[[#This Row],[czy_nastapiła_zmiana_mies]]=1),ROUNDUP((5000-H1820)/1000,0),0)</f>
        <v>0</v>
      </c>
      <c r="G1821">
        <f t="shared" si="28"/>
        <v>4624</v>
      </c>
      <c r="H1821">
        <f>cukier11[[#This Row],[stan_magazynu]]-cukier11[[#This Row],[sprzedany_cukier]]</f>
        <v>4593</v>
      </c>
      <c r="I1821" s="9">
        <f>cukier11[[#This Row],[stan_po_sprzedazy]]+cukier11[[#This Row],[ile_dokupic]]*1000</f>
        <v>4593</v>
      </c>
    </row>
    <row r="1822" spans="1:9" x14ac:dyDescent="0.25">
      <c r="A1822" s="1">
        <v>41462</v>
      </c>
      <c r="B1822" t="s">
        <v>57</v>
      </c>
      <c r="C1822">
        <v>18</v>
      </c>
      <c r="D1822">
        <f>MONTH(cukier11[[#This Row],[data]])</f>
        <v>7</v>
      </c>
      <c r="E1822">
        <f>IF(D1823&lt;&gt;cukier11[[#This Row],[miesiac]],1,0)</f>
        <v>0</v>
      </c>
      <c r="F1822">
        <f>IF(AND(H1821&lt;5000,cukier11[[#This Row],[czy_nastapiła_zmiana_mies]]=1),ROUNDUP((5000-H1821)/1000,0),0)</f>
        <v>0</v>
      </c>
      <c r="G1822">
        <f t="shared" si="28"/>
        <v>4593</v>
      </c>
      <c r="H1822">
        <f>cukier11[[#This Row],[stan_magazynu]]-cukier11[[#This Row],[sprzedany_cukier]]</f>
        <v>4575</v>
      </c>
      <c r="I1822" s="9">
        <f>cukier11[[#This Row],[stan_po_sprzedazy]]+cukier11[[#This Row],[ile_dokupic]]*1000</f>
        <v>4575</v>
      </c>
    </row>
    <row r="1823" spans="1:9" x14ac:dyDescent="0.25">
      <c r="A1823" s="1">
        <v>41464</v>
      </c>
      <c r="B1823" t="s">
        <v>6</v>
      </c>
      <c r="C1823">
        <v>172</v>
      </c>
      <c r="D1823">
        <f>MONTH(cukier11[[#This Row],[data]])</f>
        <v>7</v>
      </c>
      <c r="E1823">
        <f>IF(D1824&lt;&gt;cukier11[[#This Row],[miesiac]],1,0)</f>
        <v>0</v>
      </c>
      <c r="F1823">
        <f>IF(AND(H1822&lt;5000,cukier11[[#This Row],[czy_nastapiła_zmiana_mies]]=1),ROUNDUP((5000-H1822)/1000,0),0)</f>
        <v>0</v>
      </c>
      <c r="G1823">
        <f t="shared" si="28"/>
        <v>4575</v>
      </c>
      <c r="H1823">
        <f>cukier11[[#This Row],[stan_magazynu]]-cukier11[[#This Row],[sprzedany_cukier]]</f>
        <v>4403</v>
      </c>
      <c r="I1823" s="9">
        <f>cukier11[[#This Row],[stan_po_sprzedazy]]+cukier11[[#This Row],[ile_dokupic]]*1000</f>
        <v>4403</v>
      </c>
    </row>
    <row r="1824" spans="1:9" x14ac:dyDescent="0.25">
      <c r="A1824" s="1">
        <v>41464</v>
      </c>
      <c r="B1824" t="s">
        <v>45</v>
      </c>
      <c r="C1824">
        <v>373</v>
      </c>
      <c r="D1824">
        <f>MONTH(cukier11[[#This Row],[data]])</f>
        <v>7</v>
      </c>
      <c r="E1824">
        <f>IF(D1825&lt;&gt;cukier11[[#This Row],[miesiac]],1,0)</f>
        <v>0</v>
      </c>
      <c r="F1824">
        <f>IF(AND(H1823&lt;5000,cukier11[[#This Row],[czy_nastapiła_zmiana_mies]]=1),ROUNDUP((5000-H1823)/1000,0),0)</f>
        <v>0</v>
      </c>
      <c r="G1824">
        <f t="shared" si="28"/>
        <v>4403</v>
      </c>
      <c r="H1824">
        <f>cukier11[[#This Row],[stan_magazynu]]-cukier11[[#This Row],[sprzedany_cukier]]</f>
        <v>4030</v>
      </c>
      <c r="I1824" s="9">
        <f>cukier11[[#This Row],[stan_po_sprzedazy]]+cukier11[[#This Row],[ile_dokupic]]*1000</f>
        <v>4030</v>
      </c>
    </row>
    <row r="1825" spans="1:9" x14ac:dyDescent="0.25">
      <c r="A1825" s="1">
        <v>41465</v>
      </c>
      <c r="B1825" t="s">
        <v>17</v>
      </c>
      <c r="C1825">
        <v>299</v>
      </c>
      <c r="D1825">
        <f>MONTH(cukier11[[#This Row],[data]])</f>
        <v>7</v>
      </c>
      <c r="E1825">
        <f>IF(D1826&lt;&gt;cukier11[[#This Row],[miesiac]],1,0)</f>
        <v>0</v>
      </c>
      <c r="F1825">
        <f>IF(AND(H1824&lt;5000,cukier11[[#This Row],[czy_nastapiła_zmiana_mies]]=1),ROUNDUP((5000-H1824)/1000,0),0)</f>
        <v>0</v>
      </c>
      <c r="G1825">
        <f t="shared" si="28"/>
        <v>4030</v>
      </c>
      <c r="H1825">
        <f>cukier11[[#This Row],[stan_magazynu]]-cukier11[[#This Row],[sprzedany_cukier]]</f>
        <v>3731</v>
      </c>
      <c r="I1825" s="9">
        <f>cukier11[[#This Row],[stan_po_sprzedazy]]+cukier11[[#This Row],[ile_dokupic]]*1000</f>
        <v>3731</v>
      </c>
    </row>
    <row r="1826" spans="1:9" x14ac:dyDescent="0.25">
      <c r="A1826" s="1">
        <v>41471</v>
      </c>
      <c r="B1826" t="s">
        <v>37</v>
      </c>
      <c r="C1826">
        <v>20</v>
      </c>
      <c r="D1826">
        <f>MONTH(cukier11[[#This Row],[data]])</f>
        <v>7</v>
      </c>
      <c r="E1826">
        <f>IF(D1827&lt;&gt;cukier11[[#This Row],[miesiac]],1,0)</f>
        <v>0</v>
      </c>
      <c r="F1826">
        <f>IF(AND(H1825&lt;5000,cukier11[[#This Row],[czy_nastapiła_zmiana_mies]]=1),ROUNDUP((5000-H1825)/1000,0),0)</f>
        <v>0</v>
      </c>
      <c r="G1826">
        <f t="shared" si="28"/>
        <v>3731</v>
      </c>
      <c r="H1826">
        <f>cukier11[[#This Row],[stan_magazynu]]-cukier11[[#This Row],[sprzedany_cukier]]</f>
        <v>3711</v>
      </c>
      <c r="I1826" s="9">
        <f>cukier11[[#This Row],[stan_po_sprzedazy]]+cukier11[[#This Row],[ile_dokupic]]*1000</f>
        <v>3711</v>
      </c>
    </row>
    <row r="1827" spans="1:9" x14ac:dyDescent="0.25">
      <c r="A1827" s="1">
        <v>41472</v>
      </c>
      <c r="B1827" t="s">
        <v>69</v>
      </c>
      <c r="C1827">
        <v>89</v>
      </c>
      <c r="D1827">
        <f>MONTH(cukier11[[#This Row],[data]])</f>
        <v>7</v>
      </c>
      <c r="E1827">
        <f>IF(D1828&lt;&gt;cukier11[[#This Row],[miesiac]],1,0)</f>
        <v>0</v>
      </c>
      <c r="F1827">
        <f>IF(AND(H1826&lt;5000,cukier11[[#This Row],[czy_nastapiła_zmiana_mies]]=1),ROUNDUP((5000-H1826)/1000,0),0)</f>
        <v>0</v>
      </c>
      <c r="G1827">
        <f t="shared" si="28"/>
        <v>3711</v>
      </c>
      <c r="H1827">
        <f>cukier11[[#This Row],[stan_magazynu]]-cukier11[[#This Row],[sprzedany_cukier]]</f>
        <v>3622</v>
      </c>
      <c r="I1827" s="9">
        <f>cukier11[[#This Row],[stan_po_sprzedazy]]+cukier11[[#This Row],[ile_dokupic]]*1000</f>
        <v>3622</v>
      </c>
    </row>
    <row r="1828" spans="1:9" x14ac:dyDescent="0.25">
      <c r="A1828" s="1">
        <v>41472</v>
      </c>
      <c r="B1828" t="s">
        <v>35</v>
      </c>
      <c r="C1828">
        <v>60</v>
      </c>
      <c r="D1828">
        <f>MONTH(cukier11[[#This Row],[data]])</f>
        <v>7</v>
      </c>
      <c r="E1828">
        <f>IF(D1829&lt;&gt;cukier11[[#This Row],[miesiac]],1,0)</f>
        <v>0</v>
      </c>
      <c r="F1828">
        <f>IF(AND(H1827&lt;5000,cukier11[[#This Row],[czy_nastapiła_zmiana_mies]]=1),ROUNDUP((5000-H1827)/1000,0),0)</f>
        <v>0</v>
      </c>
      <c r="G1828">
        <f t="shared" si="28"/>
        <v>3622</v>
      </c>
      <c r="H1828">
        <f>cukier11[[#This Row],[stan_magazynu]]-cukier11[[#This Row],[sprzedany_cukier]]</f>
        <v>3562</v>
      </c>
      <c r="I1828" s="9">
        <f>cukier11[[#This Row],[stan_po_sprzedazy]]+cukier11[[#This Row],[ile_dokupic]]*1000</f>
        <v>3562</v>
      </c>
    </row>
    <row r="1829" spans="1:9" x14ac:dyDescent="0.25">
      <c r="A1829" s="1">
        <v>41475</v>
      </c>
      <c r="B1829" t="s">
        <v>3</v>
      </c>
      <c r="C1829">
        <v>5</v>
      </c>
      <c r="D1829">
        <f>MONTH(cukier11[[#This Row],[data]])</f>
        <v>7</v>
      </c>
      <c r="E1829">
        <f>IF(D1830&lt;&gt;cukier11[[#This Row],[miesiac]],1,0)</f>
        <v>0</v>
      </c>
      <c r="F1829">
        <f>IF(AND(H1828&lt;5000,cukier11[[#This Row],[czy_nastapiła_zmiana_mies]]=1),ROUNDUP((5000-H1828)/1000,0),0)</f>
        <v>0</v>
      </c>
      <c r="G1829">
        <f t="shared" si="28"/>
        <v>3562</v>
      </c>
      <c r="H1829">
        <f>cukier11[[#This Row],[stan_magazynu]]-cukier11[[#This Row],[sprzedany_cukier]]</f>
        <v>3557</v>
      </c>
      <c r="I1829" s="9">
        <f>cukier11[[#This Row],[stan_po_sprzedazy]]+cukier11[[#This Row],[ile_dokupic]]*1000</f>
        <v>3557</v>
      </c>
    </row>
    <row r="1830" spans="1:9" x14ac:dyDescent="0.25">
      <c r="A1830" s="1">
        <v>41476</v>
      </c>
      <c r="B1830" t="s">
        <v>102</v>
      </c>
      <c r="C1830">
        <v>125</v>
      </c>
      <c r="D1830">
        <f>MONTH(cukier11[[#This Row],[data]])</f>
        <v>7</v>
      </c>
      <c r="E1830">
        <f>IF(D1831&lt;&gt;cukier11[[#This Row],[miesiac]],1,0)</f>
        <v>0</v>
      </c>
      <c r="F1830">
        <f>IF(AND(H1829&lt;5000,cukier11[[#This Row],[czy_nastapiła_zmiana_mies]]=1),ROUNDUP((5000-H1829)/1000,0),0)</f>
        <v>0</v>
      </c>
      <c r="G1830">
        <f t="shared" si="28"/>
        <v>3557</v>
      </c>
      <c r="H1830">
        <f>cukier11[[#This Row],[stan_magazynu]]-cukier11[[#This Row],[sprzedany_cukier]]</f>
        <v>3432</v>
      </c>
      <c r="I1830" s="9">
        <f>cukier11[[#This Row],[stan_po_sprzedazy]]+cukier11[[#This Row],[ile_dokupic]]*1000</f>
        <v>3432</v>
      </c>
    </row>
    <row r="1831" spans="1:9" x14ac:dyDescent="0.25">
      <c r="A1831" s="1">
        <v>41476</v>
      </c>
      <c r="B1831" t="s">
        <v>12</v>
      </c>
      <c r="C1831">
        <v>177</v>
      </c>
      <c r="D1831">
        <f>MONTH(cukier11[[#This Row],[data]])</f>
        <v>7</v>
      </c>
      <c r="E1831">
        <f>IF(D1832&lt;&gt;cukier11[[#This Row],[miesiac]],1,0)</f>
        <v>0</v>
      </c>
      <c r="F1831">
        <f>IF(AND(H1830&lt;5000,cukier11[[#This Row],[czy_nastapiła_zmiana_mies]]=1),ROUNDUP((5000-H1830)/1000,0),0)</f>
        <v>0</v>
      </c>
      <c r="G1831">
        <f t="shared" si="28"/>
        <v>3432</v>
      </c>
      <c r="H1831">
        <f>cukier11[[#This Row],[stan_magazynu]]-cukier11[[#This Row],[sprzedany_cukier]]</f>
        <v>3255</v>
      </c>
      <c r="I1831" s="9">
        <f>cukier11[[#This Row],[stan_po_sprzedazy]]+cukier11[[#This Row],[ile_dokupic]]*1000</f>
        <v>3255</v>
      </c>
    </row>
    <row r="1832" spans="1:9" x14ac:dyDescent="0.25">
      <c r="A1832" s="1">
        <v>41477</v>
      </c>
      <c r="B1832" t="s">
        <v>20</v>
      </c>
      <c r="C1832">
        <v>58</v>
      </c>
      <c r="D1832">
        <f>MONTH(cukier11[[#This Row],[data]])</f>
        <v>7</v>
      </c>
      <c r="E1832">
        <f>IF(D1833&lt;&gt;cukier11[[#This Row],[miesiac]],1,0)</f>
        <v>0</v>
      </c>
      <c r="F1832">
        <f>IF(AND(H1831&lt;5000,cukier11[[#This Row],[czy_nastapiła_zmiana_mies]]=1),ROUNDUP((5000-H1831)/1000,0),0)</f>
        <v>0</v>
      </c>
      <c r="G1832">
        <f t="shared" si="28"/>
        <v>3255</v>
      </c>
      <c r="H1832">
        <f>cukier11[[#This Row],[stan_magazynu]]-cukier11[[#This Row],[sprzedany_cukier]]</f>
        <v>3197</v>
      </c>
      <c r="I1832" s="9">
        <f>cukier11[[#This Row],[stan_po_sprzedazy]]+cukier11[[#This Row],[ile_dokupic]]*1000</f>
        <v>3197</v>
      </c>
    </row>
    <row r="1833" spans="1:9" x14ac:dyDescent="0.25">
      <c r="A1833" s="1">
        <v>41478</v>
      </c>
      <c r="B1833" t="s">
        <v>19</v>
      </c>
      <c r="C1833">
        <v>174</v>
      </c>
      <c r="D1833">
        <f>MONTH(cukier11[[#This Row],[data]])</f>
        <v>7</v>
      </c>
      <c r="E1833">
        <f>IF(D1834&lt;&gt;cukier11[[#This Row],[miesiac]],1,0)</f>
        <v>0</v>
      </c>
      <c r="F1833">
        <f>IF(AND(H1832&lt;5000,cukier11[[#This Row],[czy_nastapiła_zmiana_mies]]=1),ROUNDUP((5000-H1832)/1000,0),0)</f>
        <v>0</v>
      </c>
      <c r="G1833">
        <f t="shared" si="28"/>
        <v>3197</v>
      </c>
      <c r="H1833">
        <f>cukier11[[#This Row],[stan_magazynu]]-cukier11[[#This Row],[sprzedany_cukier]]</f>
        <v>3023</v>
      </c>
      <c r="I1833" s="9">
        <f>cukier11[[#This Row],[stan_po_sprzedazy]]+cukier11[[#This Row],[ile_dokupic]]*1000</f>
        <v>3023</v>
      </c>
    </row>
    <row r="1834" spans="1:9" x14ac:dyDescent="0.25">
      <c r="A1834" s="1">
        <v>41479</v>
      </c>
      <c r="B1834" t="s">
        <v>7</v>
      </c>
      <c r="C1834">
        <v>485</v>
      </c>
      <c r="D1834">
        <f>MONTH(cukier11[[#This Row],[data]])</f>
        <v>7</v>
      </c>
      <c r="E1834">
        <f>IF(D1835&lt;&gt;cukier11[[#This Row],[miesiac]],1,0)</f>
        <v>0</v>
      </c>
      <c r="F1834">
        <f>IF(AND(H1833&lt;5000,cukier11[[#This Row],[czy_nastapiła_zmiana_mies]]=1),ROUNDUP((5000-H1833)/1000,0),0)</f>
        <v>0</v>
      </c>
      <c r="G1834">
        <f t="shared" si="28"/>
        <v>3023</v>
      </c>
      <c r="H1834">
        <f>cukier11[[#This Row],[stan_magazynu]]-cukier11[[#This Row],[sprzedany_cukier]]</f>
        <v>2538</v>
      </c>
      <c r="I1834" s="9">
        <f>cukier11[[#This Row],[stan_po_sprzedazy]]+cukier11[[#This Row],[ile_dokupic]]*1000</f>
        <v>2538</v>
      </c>
    </row>
    <row r="1835" spans="1:9" x14ac:dyDescent="0.25">
      <c r="A1835" s="1">
        <v>41481</v>
      </c>
      <c r="B1835" t="s">
        <v>232</v>
      </c>
      <c r="C1835">
        <v>7</v>
      </c>
      <c r="D1835">
        <f>MONTH(cukier11[[#This Row],[data]])</f>
        <v>7</v>
      </c>
      <c r="E1835">
        <f>IF(D1836&lt;&gt;cukier11[[#This Row],[miesiac]],1,0)</f>
        <v>0</v>
      </c>
      <c r="F1835">
        <f>IF(AND(H1834&lt;5000,cukier11[[#This Row],[czy_nastapiła_zmiana_mies]]=1),ROUNDUP((5000-H1834)/1000,0),0)</f>
        <v>0</v>
      </c>
      <c r="G1835">
        <f t="shared" si="28"/>
        <v>2538</v>
      </c>
      <c r="H1835">
        <f>cukier11[[#This Row],[stan_magazynu]]-cukier11[[#This Row],[sprzedany_cukier]]</f>
        <v>2531</v>
      </c>
      <c r="I1835" s="9">
        <f>cukier11[[#This Row],[stan_po_sprzedazy]]+cukier11[[#This Row],[ile_dokupic]]*1000</f>
        <v>2531</v>
      </c>
    </row>
    <row r="1836" spans="1:9" x14ac:dyDescent="0.25">
      <c r="A1836" s="1">
        <v>41482</v>
      </c>
      <c r="B1836" t="s">
        <v>9</v>
      </c>
      <c r="C1836">
        <v>109</v>
      </c>
      <c r="D1836">
        <f>MONTH(cukier11[[#This Row],[data]])</f>
        <v>7</v>
      </c>
      <c r="E1836">
        <f>IF(D1837&lt;&gt;cukier11[[#This Row],[miesiac]],1,0)</f>
        <v>0</v>
      </c>
      <c r="F1836">
        <f>IF(AND(H1835&lt;5000,cukier11[[#This Row],[czy_nastapiła_zmiana_mies]]=1),ROUNDUP((5000-H1835)/1000,0),0)</f>
        <v>0</v>
      </c>
      <c r="G1836">
        <f t="shared" si="28"/>
        <v>2531</v>
      </c>
      <c r="H1836">
        <f>cukier11[[#This Row],[stan_magazynu]]-cukier11[[#This Row],[sprzedany_cukier]]</f>
        <v>2422</v>
      </c>
      <c r="I1836" s="9">
        <f>cukier11[[#This Row],[stan_po_sprzedazy]]+cukier11[[#This Row],[ile_dokupic]]*1000</f>
        <v>2422</v>
      </c>
    </row>
    <row r="1837" spans="1:9" x14ac:dyDescent="0.25">
      <c r="A1837" s="1">
        <v>41485</v>
      </c>
      <c r="B1837" t="s">
        <v>6</v>
      </c>
      <c r="C1837">
        <v>116</v>
      </c>
      <c r="D1837">
        <f>MONTH(cukier11[[#This Row],[data]])</f>
        <v>7</v>
      </c>
      <c r="E1837">
        <f>IF(D1838&lt;&gt;cukier11[[#This Row],[miesiac]],1,0)</f>
        <v>0</v>
      </c>
      <c r="F1837">
        <f>IF(AND(H1836&lt;5000,cukier11[[#This Row],[czy_nastapiła_zmiana_mies]]=1),ROUNDUP((5000-H1836)/1000,0),0)</f>
        <v>0</v>
      </c>
      <c r="G1837">
        <f t="shared" si="28"/>
        <v>2422</v>
      </c>
      <c r="H1837">
        <f>cukier11[[#This Row],[stan_magazynu]]-cukier11[[#This Row],[sprzedany_cukier]]</f>
        <v>2306</v>
      </c>
      <c r="I1837" s="9">
        <f>cukier11[[#This Row],[stan_po_sprzedazy]]+cukier11[[#This Row],[ile_dokupic]]*1000</f>
        <v>2306</v>
      </c>
    </row>
    <row r="1838" spans="1:9" x14ac:dyDescent="0.25">
      <c r="A1838" s="1">
        <v>41486</v>
      </c>
      <c r="B1838" t="s">
        <v>39</v>
      </c>
      <c r="C1838">
        <v>125</v>
      </c>
      <c r="D1838">
        <f>MONTH(cukier11[[#This Row],[data]])</f>
        <v>7</v>
      </c>
      <c r="E1838">
        <f>IF(D1839&lt;&gt;cukier11[[#This Row],[miesiac]],1,0)</f>
        <v>0</v>
      </c>
      <c r="F1838">
        <f>IF(AND(H1837&lt;5000,cukier11[[#This Row],[czy_nastapiła_zmiana_mies]]=1),ROUNDUP((5000-H1837)/1000,0),0)</f>
        <v>0</v>
      </c>
      <c r="G1838">
        <f t="shared" si="28"/>
        <v>2306</v>
      </c>
      <c r="H1838">
        <f>cukier11[[#This Row],[stan_magazynu]]-cukier11[[#This Row],[sprzedany_cukier]]</f>
        <v>2181</v>
      </c>
      <c r="I1838" s="9">
        <f>cukier11[[#This Row],[stan_po_sprzedazy]]+cukier11[[#This Row],[ile_dokupic]]*1000</f>
        <v>2181</v>
      </c>
    </row>
    <row r="1839" spans="1:9" x14ac:dyDescent="0.25">
      <c r="A1839" s="1">
        <v>41486</v>
      </c>
      <c r="B1839" t="s">
        <v>222</v>
      </c>
      <c r="C1839">
        <v>15</v>
      </c>
      <c r="D1839">
        <f>MONTH(cukier11[[#This Row],[data]])</f>
        <v>7</v>
      </c>
      <c r="E1839">
        <f>IF(D1840&lt;&gt;cukier11[[#This Row],[miesiac]],1,0)</f>
        <v>1</v>
      </c>
      <c r="F1839">
        <f>IF(AND(H1838&lt;5000,cukier11[[#This Row],[czy_nastapiła_zmiana_mies]]=1),ROUNDUP((5000-H1838)/1000,0),0)</f>
        <v>3</v>
      </c>
      <c r="G1839">
        <f t="shared" si="28"/>
        <v>2181</v>
      </c>
      <c r="H1839">
        <f>cukier11[[#This Row],[stan_magazynu]]-cukier11[[#This Row],[sprzedany_cukier]]</f>
        <v>2166</v>
      </c>
      <c r="I1839" s="9">
        <f>cukier11[[#This Row],[stan_po_sprzedazy]]+cukier11[[#This Row],[ile_dokupic]]*1000</f>
        <v>5166</v>
      </c>
    </row>
    <row r="1840" spans="1:9" x14ac:dyDescent="0.25">
      <c r="A1840" s="1">
        <v>41488</v>
      </c>
      <c r="B1840" t="s">
        <v>177</v>
      </c>
      <c r="C1840">
        <v>4</v>
      </c>
      <c r="D1840">
        <f>MONTH(cukier11[[#This Row],[data]])</f>
        <v>8</v>
      </c>
      <c r="E1840">
        <f>IF(D1841&lt;&gt;cukier11[[#This Row],[miesiac]],1,0)</f>
        <v>0</v>
      </c>
      <c r="F1840">
        <f>IF(AND(H1839&lt;5000,cukier11[[#This Row],[czy_nastapiła_zmiana_mies]]=1),ROUNDUP((5000-H1839)/1000,0),0)</f>
        <v>0</v>
      </c>
      <c r="G1840">
        <f t="shared" si="28"/>
        <v>5166</v>
      </c>
      <c r="H1840">
        <f>cukier11[[#This Row],[stan_magazynu]]-cukier11[[#This Row],[sprzedany_cukier]]</f>
        <v>5162</v>
      </c>
      <c r="I1840" s="9">
        <f>cukier11[[#This Row],[stan_po_sprzedazy]]+cukier11[[#This Row],[ile_dokupic]]*1000</f>
        <v>5162</v>
      </c>
    </row>
    <row r="1841" spans="1:9" x14ac:dyDescent="0.25">
      <c r="A1841" s="1">
        <v>41489</v>
      </c>
      <c r="B1841" t="s">
        <v>144</v>
      </c>
      <c r="C1841">
        <v>13</v>
      </c>
      <c r="D1841">
        <f>MONTH(cukier11[[#This Row],[data]])</f>
        <v>8</v>
      </c>
      <c r="E1841">
        <f>IF(D1842&lt;&gt;cukier11[[#This Row],[miesiac]],1,0)</f>
        <v>0</v>
      </c>
      <c r="F1841">
        <f>IF(AND(H1840&lt;5000,cukier11[[#This Row],[czy_nastapiła_zmiana_mies]]=1),ROUNDUP((5000-H1840)/1000,0),0)</f>
        <v>0</v>
      </c>
      <c r="G1841">
        <f t="shared" si="28"/>
        <v>5162</v>
      </c>
      <c r="H1841">
        <f>cukier11[[#This Row],[stan_magazynu]]-cukier11[[#This Row],[sprzedany_cukier]]</f>
        <v>5149</v>
      </c>
      <c r="I1841" s="9">
        <f>cukier11[[#This Row],[stan_po_sprzedazy]]+cukier11[[#This Row],[ile_dokupic]]*1000</f>
        <v>5149</v>
      </c>
    </row>
    <row r="1842" spans="1:9" x14ac:dyDescent="0.25">
      <c r="A1842" s="1">
        <v>41491</v>
      </c>
      <c r="B1842" t="s">
        <v>102</v>
      </c>
      <c r="C1842">
        <v>338</v>
      </c>
      <c r="D1842">
        <f>MONTH(cukier11[[#This Row],[data]])</f>
        <v>8</v>
      </c>
      <c r="E1842">
        <f>IF(D1843&lt;&gt;cukier11[[#This Row],[miesiac]],1,0)</f>
        <v>0</v>
      </c>
      <c r="F1842">
        <f>IF(AND(H1841&lt;5000,cukier11[[#This Row],[czy_nastapiła_zmiana_mies]]=1),ROUNDUP((5000-H1841)/1000,0),0)</f>
        <v>0</v>
      </c>
      <c r="G1842">
        <f t="shared" si="28"/>
        <v>5149</v>
      </c>
      <c r="H1842">
        <f>cukier11[[#This Row],[stan_magazynu]]-cukier11[[#This Row],[sprzedany_cukier]]</f>
        <v>4811</v>
      </c>
      <c r="I1842" s="9">
        <f>cukier11[[#This Row],[stan_po_sprzedazy]]+cukier11[[#This Row],[ile_dokupic]]*1000</f>
        <v>4811</v>
      </c>
    </row>
    <row r="1843" spans="1:9" x14ac:dyDescent="0.25">
      <c r="A1843" s="1">
        <v>41492</v>
      </c>
      <c r="B1843" t="s">
        <v>167</v>
      </c>
      <c r="C1843">
        <v>2</v>
      </c>
      <c r="D1843">
        <f>MONTH(cukier11[[#This Row],[data]])</f>
        <v>8</v>
      </c>
      <c r="E1843">
        <f>IF(D1844&lt;&gt;cukier11[[#This Row],[miesiac]],1,0)</f>
        <v>0</v>
      </c>
      <c r="F1843">
        <f>IF(AND(H1842&lt;5000,cukier11[[#This Row],[czy_nastapiła_zmiana_mies]]=1),ROUNDUP((5000-H1842)/1000,0),0)</f>
        <v>0</v>
      </c>
      <c r="G1843">
        <f t="shared" si="28"/>
        <v>4811</v>
      </c>
      <c r="H1843">
        <f>cukier11[[#This Row],[stan_magazynu]]-cukier11[[#This Row],[sprzedany_cukier]]</f>
        <v>4809</v>
      </c>
      <c r="I1843" s="9">
        <f>cukier11[[#This Row],[stan_po_sprzedazy]]+cukier11[[#This Row],[ile_dokupic]]*1000</f>
        <v>4809</v>
      </c>
    </row>
    <row r="1844" spans="1:9" x14ac:dyDescent="0.25">
      <c r="A1844" s="1">
        <v>41493</v>
      </c>
      <c r="B1844" t="s">
        <v>37</v>
      </c>
      <c r="C1844">
        <v>108</v>
      </c>
      <c r="D1844">
        <f>MONTH(cukier11[[#This Row],[data]])</f>
        <v>8</v>
      </c>
      <c r="E1844">
        <f>IF(D1845&lt;&gt;cukier11[[#This Row],[miesiac]],1,0)</f>
        <v>0</v>
      </c>
      <c r="F1844">
        <f>IF(AND(H1843&lt;5000,cukier11[[#This Row],[czy_nastapiła_zmiana_mies]]=1),ROUNDUP((5000-H1843)/1000,0),0)</f>
        <v>0</v>
      </c>
      <c r="G1844">
        <f t="shared" si="28"/>
        <v>4809</v>
      </c>
      <c r="H1844">
        <f>cukier11[[#This Row],[stan_magazynu]]-cukier11[[#This Row],[sprzedany_cukier]]</f>
        <v>4701</v>
      </c>
      <c r="I1844" s="9">
        <f>cukier11[[#This Row],[stan_po_sprzedazy]]+cukier11[[#This Row],[ile_dokupic]]*1000</f>
        <v>4701</v>
      </c>
    </row>
    <row r="1845" spans="1:9" x14ac:dyDescent="0.25">
      <c r="A1845" s="1">
        <v>41494</v>
      </c>
      <c r="B1845" t="s">
        <v>61</v>
      </c>
      <c r="C1845">
        <v>119</v>
      </c>
      <c r="D1845">
        <f>MONTH(cukier11[[#This Row],[data]])</f>
        <v>8</v>
      </c>
      <c r="E1845">
        <f>IF(D1846&lt;&gt;cukier11[[#This Row],[miesiac]],1,0)</f>
        <v>0</v>
      </c>
      <c r="F1845">
        <f>IF(AND(H1844&lt;5000,cukier11[[#This Row],[czy_nastapiła_zmiana_mies]]=1),ROUNDUP((5000-H1844)/1000,0),0)</f>
        <v>0</v>
      </c>
      <c r="G1845">
        <f t="shared" si="28"/>
        <v>4701</v>
      </c>
      <c r="H1845">
        <f>cukier11[[#This Row],[stan_magazynu]]-cukier11[[#This Row],[sprzedany_cukier]]</f>
        <v>4582</v>
      </c>
      <c r="I1845" s="9">
        <f>cukier11[[#This Row],[stan_po_sprzedazy]]+cukier11[[#This Row],[ile_dokupic]]*1000</f>
        <v>4582</v>
      </c>
    </row>
    <row r="1846" spans="1:9" x14ac:dyDescent="0.25">
      <c r="A1846" s="1">
        <v>41495</v>
      </c>
      <c r="B1846" t="s">
        <v>7</v>
      </c>
      <c r="C1846">
        <v>385</v>
      </c>
      <c r="D1846">
        <f>MONTH(cukier11[[#This Row],[data]])</f>
        <v>8</v>
      </c>
      <c r="E1846">
        <f>IF(D1847&lt;&gt;cukier11[[#This Row],[miesiac]],1,0)</f>
        <v>0</v>
      </c>
      <c r="F1846">
        <f>IF(AND(H1845&lt;5000,cukier11[[#This Row],[czy_nastapiła_zmiana_mies]]=1),ROUNDUP((5000-H1845)/1000,0),0)</f>
        <v>0</v>
      </c>
      <c r="G1846">
        <f t="shared" si="28"/>
        <v>4582</v>
      </c>
      <c r="H1846">
        <f>cukier11[[#This Row],[stan_magazynu]]-cukier11[[#This Row],[sprzedany_cukier]]</f>
        <v>4197</v>
      </c>
      <c r="I1846" s="9">
        <f>cukier11[[#This Row],[stan_po_sprzedazy]]+cukier11[[#This Row],[ile_dokupic]]*1000</f>
        <v>4197</v>
      </c>
    </row>
    <row r="1847" spans="1:9" x14ac:dyDescent="0.25">
      <c r="A1847" s="1">
        <v>41495</v>
      </c>
      <c r="B1847" t="s">
        <v>45</v>
      </c>
      <c r="C1847">
        <v>239</v>
      </c>
      <c r="D1847">
        <f>MONTH(cukier11[[#This Row],[data]])</f>
        <v>8</v>
      </c>
      <c r="E1847">
        <f>IF(D1848&lt;&gt;cukier11[[#This Row],[miesiac]],1,0)</f>
        <v>0</v>
      </c>
      <c r="F1847">
        <f>IF(AND(H1846&lt;5000,cukier11[[#This Row],[czy_nastapiła_zmiana_mies]]=1),ROUNDUP((5000-H1846)/1000,0),0)</f>
        <v>0</v>
      </c>
      <c r="G1847">
        <f t="shared" si="28"/>
        <v>4197</v>
      </c>
      <c r="H1847">
        <f>cukier11[[#This Row],[stan_magazynu]]-cukier11[[#This Row],[sprzedany_cukier]]</f>
        <v>3958</v>
      </c>
      <c r="I1847" s="9">
        <f>cukier11[[#This Row],[stan_po_sprzedazy]]+cukier11[[#This Row],[ile_dokupic]]*1000</f>
        <v>3958</v>
      </c>
    </row>
    <row r="1848" spans="1:9" x14ac:dyDescent="0.25">
      <c r="A1848" s="1">
        <v>41498</v>
      </c>
      <c r="B1848" t="s">
        <v>229</v>
      </c>
      <c r="C1848">
        <v>8</v>
      </c>
      <c r="D1848">
        <f>MONTH(cukier11[[#This Row],[data]])</f>
        <v>8</v>
      </c>
      <c r="E1848">
        <f>IF(D1849&lt;&gt;cukier11[[#This Row],[miesiac]],1,0)</f>
        <v>0</v>
      </c>
      <c r="F1848">
        <f>IF(AND(H1847&lt;5000,cukier11[[#This Row],[czy_nastapiła_zmiana_mies]]=1),ROUNDUP((5000-H1847)/1000,0),0)</f>
        <v>0</v>
      </c>
      <c r="G1848">
        <f t="shared" si="28"/>
        <v>3958</v>
      </c>
      <c r="H1848">
        <f>cukier11[[#This Row],[stan_magazynu]]-cukier11[[#This Row],[sprzedany_cukier]]</f>
        <v>3950</v>
      </c>
      <c r="I1848" s="9">
        <f>cukier11[[#This Row],[stan_po_sprzedazy]]+cukier11[[#This Row],[ile_dokupic]]*1000</f>
        <v>3950</v>
      </c>
    </row>
    <row r="1849" spans="1:9" x14ac:dyDescent="0.25">
      <c r="A1849" s="1">
        <v>41499</v>
      </c>
      <c r="B1849" t="s">
        <v>17</v>
      </c>
      <c r="C1849">
        <v>219</v>
      </c>
      <c r="D1849">
        <f>MONTH(cukier11[[#This Row],[data]])</f>
        <v>8</v>
      </c>
      <c r="E1849">
        <f>IF(D1850&lt;&gt;cukier11[[#This Row],[miesiac]],1,0)</f>
        <v>0</v>
      </c>
      <c r="F1849">
        <f>IF(AND(H1848&lt;5000,cukier11[[#This Row],[czy_nastapiła_zmiana_mies]]=1),ROUNDUP((5000-H1848)/1000,0),0)</f>
        <v>0</v>
      </c>
      <c r="G1849">
        <f t="shared" si="28"/>
        <v>3950</v>
      </c>
      <c r="H1849">
        <f>cukier11[[#This Row],[stan_magazynu]]-cukier11[[#This Row],[sprzedany_cukier]]</f>
        <v>3731</v>
      </c>
      <c r="I1849" s="9">
        <f>cukier11[[#This Row],[stan_po_sprzedazy]]+cukier11[[#This Row],[ile_dokupic]]*1000</f>
        <v>3731</v>
      </c>
    </row>
    <row r="1850" spans="1:9" x14ac:dyDescent="0.25">
      <c r="A1850" s="1">
        <v>41503</v>
      </c>
      <c r="B1850" t="s">
        <v>25</v>
      </c>
      <c r="C1850">
        <v>40</v>
      </c>
      <c r="D1850">
        <f>MONTH(cukier11[[#This Row],[data]])</f>
        <v>8</v>
      </c>
      <c r="E1850">
        <f>IF(D1851&lt;&gt;cukier11[[#This Row],[miesiac]],1,0)</f>
        <v>0</v>
      </c>
      <c r="F1850">
        <f>IF(AND(H1849&lt;5000,cukier11[[#This Row],[czy_nastapiła_zmiana_mies]]=1),ROUNDUP((5000-H1849)/1000,0),0)</f>
        <v>0</v>
      </c>
      <c r="G1850">
        <f t="shared" si="28"/>
        <v>3731</v>
      </c>
      <c r="H1850">
        <f>cukier11[[#This Row],[stan_magazynu]]-cukier11[[#This Row],[sprzedany_cukier]]</f>
        <v>3691</v>
      </c>
      <c r="I1850" s="9">
        <f>cukier11[[#This Row],[stan_po_sprzedazy]]+cukier11[[#This Row],[ile_dokupic]]*1000</f>
        <v>3691</v>
      </c>
    </row>
    <row r="1851" spans="1:9" x14ac:dyDescent="0.25">
      <c r="A1851" s="1">
        <v>41503</v>
      </c>
      <c r="B1851" t="s">
        <v>102</v>
      </c>
      <c r="C1851">
        <v>166</v>
      </c>
      <c r="D1851">
        <f>MONTH(cukier11[[#This Row],[data]])</f>
        <v>8</v>
      </c>
      <c r="E1851">
        <f>IF(D1852&lt;&gt;cukier11[[#This Row],[miesiac]],1,0)</f>
        <v>0</v>
      </c>
      <c r="F1851">
        <f>IF(AND(H1850&lt;5000,cukier11[[#This Row],[czy_nastapiła_zmiana_mies]]=1),ROUNDUP((5000-H1850)/1000,0),0)</f>
        <v>0</v>
      </c>
      <c r="G1851">
        <f t="shared" si="28"/>
        <v>3691</v>
      </c>
      <c r="H1851">
        <f>cukier11[[#This Row],[stan_magazynu]]-cukier11[[#This Row],[sprzedany_cukier]]</f>
        <v>3525</v>
      </c>
      <c r="I1851" s="9">
        <f>cukier11[[#This Row],[stan_po_sprzedazy]]+cukier11[[#This Row],[ile_dokupic]]*1000</f>
        <v>3525</v>
      </c>
    </row>
    <row r="1852" spans="1:9" x14ac:dyDescent="0.25">
      <c r="A1852" s="1">
        <v>41504</v>
      </c>
      <c r="B1852" t="s">
        <v>66</v>
      </c>
      <c r="C1852">
        <v>168</v>
      </c>
      <c r="D1852">
        <f>MONTH(cukier11[[#This Row],[data]])</f>
        <v>8</v>
      </c>
      <c r="E1852">
        <f>IF(D1853&lt;&gt;cukier11[[#This Row],[miesiac]],1,0)</f>
        <v>0</v>
      </c>
      <c r="F1852">
        <f>IF(AND(H1851&lt;5000,cukier11[[#This Row],[czy_nastapiła_zmiana_mies]]=1),ROUNDUP((5000-H1851)/1000,0),0)</f>
        <v>0</v>
      </c>
      <c r="G1852">
        <f t="shared" si="28"/>
        <v>3525</v>
      </c>
      <c r="H1852">
        <f>cukier11[[#This Row],[stan_magazynu]]-cukier11[[#This Row],[sprzedany_cukier]]</f>
        <v>3357</v>
      </c>
      <c r="I1852" s="9">
        <f>cukier11[[#This Row],[stan_po_sprzedazy]]+cukier11[[#This Row],[ile_dokupic]]*1000</f>
        <v>3357</v>
      </c>
    </row>
    <row r="1853" spans="1:9" x14ac:dyDescent="0.25">
      <c r="A1853" s="1">
        <v>41505</v>
      </c>
      <c r="B1853" t="s">
        <v>131</v>
      </c>
      <c r="C1853">
        <v>96</v>
      </c>
      <c r="D1853">
        <f>MONTH(cukier11[[#This Row],[data]])</f>
        <v>8</v>
      </c>
      <c r="E1853">
        <f>IF(D1854&lt;&gt;cukier11[[#This Row],[miesiac]],1,0)</f>
        <v>0</v>
      </c>
      <c r="F1853">
        <f>IF(AND(H1852&lt;5000,cukier11[[#This Row],[czy_nastapiła_zmiana_mies]]=1),ROUNDUP((5000-H1852)/1000,0),0)</f>
        <v>0</v>
      </c>
      <c r="G1853">
        <f t="shared" si="28"/>
        <v>3357</v>
      </c>
      <c r="H1853">
        <f>cukier11[[#This Row],[stan_magazynu]]-cukier11[[#This Row],[sprzedany_cukier]]</f>
        <v>3261</v>
      </c>
      <c r="I1853" s="9">
        <f>cukier11[[#This Row],[stan_po_sprzedazy]]+cukier11[[#This Row],[ile_dokupic]]*1000</f>
        <v>3261</v>
      </c>
    </row>
    <row r="1854" spans="1:9" x14ac:dyDescent="0.25">
      <c r="A1854" s="1">
        <v>41506</v>
      </c>
      <c r="B1854" t="s">
        <v>10</v>
      </c>
      <c r="C1854">
        <v>23</v>
      </c>
      <c r="D1854">
        <f>MONTH(cukier11[[#This Row],[data]])</f>
        <v>8</v>
      </c>
      <c r="E1854">
        <f>IF(D1855&lt;&gt;cukier11[[#This Row],[miesiac]],1,0)</f>
        <v>0</v>
      </c>
      <c r="F1854">
        <f>IF(AND(H1853&lt;5000,cukier11[[#This Row],[czy_nastapiła_zmiana_mies]]=1),ROUNDUP((5000-H1853)/1000,0),0)</f>
        <v>0</v>
      </c>
      <c r="G1854">
        <f t="shared" si="28"/>
        <v>3261</v>
      </c>
      <c r="H1854">
        <f>cukier11[[#This Row],[stan_magazynu]]-cukier11[[#This Row],[sprzedany_cukier]]</f>
        <v>3238</v>
      </c>
      <c r="I1854" s="9">
        <f>cukier11[[#This Row],[stan_po_sprzedazy]]+cukier11[[#This Row],[ile_dokupic]]*1000</f>
        <v>3238</v>
      </c>
    </row>
    <row r="1855" spans="1:9" x14ac:dyDescent="0.25">
      <c r="A1855" s="1">
        <v>41509</v>
      </c>
      <c r="B1855" t="s">
        <v>177</v>
      </c>
      <c r="C1855">
        <v>8</v>
      </c>
      <c r="D1855">
        <f>MONTH(cukier11[[#This Row],[data]])</f>
        <v>8</v>
      </c>
      <c r="E1855">
        <f>IF(D1856&lt;&gt;cukier11[[#This Row],[miesiac]],1,0)</f>
        <v>0</v>
      </c>
      <c r="F1855">
        <f>IF(AND(H1854&lt;5000,cukier11[[#This Row],[czy_nastapiła_zmiana_mies]]=1),ROUNDUP((5000-H1854)/1000,0),0)</f>
        <v>0</v>
      </c>
      <c r="G1855">
        <f t="shared" si="28"/>
        <v>3238</v>
      </c>
      <c r="H1855">
        <f>cukier11[[#This Row],[stan_magazynu]]-cukier11[[#This Row],[sprzedany_cukier]]</f>
        <v>3230</v>
      </c>
      <c r="I1855" s="9">
        <f>cukier11[[#This Row],[stan_po_sprzedazy]]+cukier11[[#This Row],[ile_dokupic]]*1000</f>
        <v>3230</v>
      </c>
    </row>
    <row r="1856" spans="1:9" x14ac:dyDescent="0.25">
      <c r="A1856" s="1">
        <v>41509</v>
      </c>
      <c r="B1856" t="s">
        <v>106</v>
      </c>
      <c r="C1856">
        <v>1</v>
      </c>
      <c r="D1856">
        <f>MONTH(cukier11[[#This Row],[data]])</f>
        <v>8</v>
      </c>
      <c r="E1856">
        <f>IF(D1857&lt;&gt;cukier11[[#This Row],[miesiac]],1,0)</f>
        <v>0</v>
      </c>
      <c r="F1856">
        <f>IF(AND(H1855&lt;5000,cukier11[[#This Row],[czy_nastapiła_zmiana_mies]]=1),ROUNDUP((5000-H1855)/1000,0),0)</f>
        <v>0</v>
      </c>
      <c r="G1856">
        <f t="shared" si="28"/>
        <v>3230</v>
      </c>
      <c r="H1856">
        <f>cukier11[[#This Row],[stan_magazynu]]-cukier11[[#This Row],[sprzedany_cukier]]</f>
        <v>3229</v>
      </c>
      <c r="I1856" s="9">
        <f>cukier11[[#This Row],[stan_po_sprzedazy]]+cukier11[[#This Row],[ile_dokupic]]*1000</f>
        <v>3229</v>
      </c>
    </row>
    <row r="1857" spans="1:9" x14ac:dyDescent="0.25">
      <c r="A1857" s="1">
        <v>41509</v>
      </c>
      <c r="B1857" t="s">
        <v>15</v>
      </c>
      <c r="C1857">
        <v>4</v>
      </c>
      <c r="D1857">
        <f>MONTH(cukier11[[#This Row],[data]])</f>
        <v>8</v>
      </c>
      <c r="E1857">
        <f>IF(D1858&lt;&gt;cukier11[[#This Row],[miesiac]],1,0)</f>
        <v>0</v>
      </c>
      <c r="F1857">
        <f>IF(AND(H1856&lt;5000,cukier11[[#This Row],[czy_nastapiła_zmiana_mies]]=1),ROUNDUP((5000-H1856)/1000,0),0)</f>
        <v>0</v>
      </c>
      <c r="G1857">
        <f t="shared" si="28"/>
        <v>3229</v>
      </c>
      <c r="H1857">
        <f>cukier11[[#This Row],[stan_magazynu]]-cukier11[[#This Row],[sprzedany_cukier]]</f>
        <v>3225</v>
      </c>
      <c r="I1857" s="9">
        <f>cukier11[[#This Row],[stan_po_sprzedazy]]+cukier11[[#This Row],[ile_dokupic]]*1000</f>
        <v>3225</v>
      </c>
    </row>
    <row r="1858" spans="1:9" x14ac:dyDescent="0.25">
      <c r="A1858" s="1">
        <v>41512</v>
      </c>
      <c r="B1858" t="s">
        <v>120</v>
      </c>
      <c r="C1858">
        <v>170</v>
      </c>
      <c r="D1858">
        <f>MONTH(cukier11[[#This Row],[data]])</f>
        <v>8</v>
      </c>
      <c r="E1858">
        <f>IF(D1859&lt;&gt;cukier11[[#This Row],[miesiac]],1,0)</f>
        <v>0</v>
      </c>
      <c r="F1858">
        <f>IF(AND(H1857&lt;5000,cukier11[[#This Row],[czy_nastapiła_zmiana_mies]]=1),ROUNDUP((5000-H1857)/1000,0),0)</f>
        <v>0</v>
      </c>
      <c r="G1858">
        <f t="shared" si="28"/>
        <v>3225</v>
      </c>
      <c r="H1858">
        <f>cukier11[[#This Row],[stan_magazynu]]-cukier11[[#This Row],[sprzedany_cukier]]</f>
        <v>3055</v>
      </c>
      <c r="I1858" s="9">
        <f>cukier11[[#This Row],[stan_po_sprzedazy]]+cukier11[[#This Row],[ile_dokupic]]*1000</f>
        <v>3055</v>
      </c>
    </row>
    <row r="1859" spans="1:9" x14ac:dyDescent="0.25">
      <c r="A1859" s="1">
        <v>41514</v>
      </c>
      <c r="B1859" t="s">
        <v>45</v>
      </c>
      <c r="C1859">
        <v>193</v>
      </c>
      <c r="D1859">
        <f>MONTH(cukier11[[#This Row],[data]])</f>
        <v>8</v>
      </c>
      <c r="E1859">
        <f>IF(D1860&lt;&gt;cukier11[[#This Row],[miesiac]],1,0)</f>
        <v>0</v>
      </c>
      <c r="F1859">
        <f>IF(AND(H1858&lt;5000,cukier11[[#This Row],[czy_nastapiła_zmiana_mies]]=1),ROUNDUP((5000-H1858)/1000,0),0)</f>
        <v>0</v>
      </c>
      <c r="G1859">
        <f t="shared" si="28"/>
        <v>3055</v>
      </c>
      <c r="H1859">
        <f>cukier11[[#This Row],[stan_magazynu]]-cukier11[[#This Row],[sprzedany_cukier]]</f>
        <v>2862</v>
      </c>
      <c r="I1859" s="9">
        <f>cukier11[[#This Row],[stan_po_sprzedazy]]+cukier11[[#This Row],[ile_dokupic]]*1000</f>
        <v>2862</v>
      </c>
    </row>
    <row r="1860" spans="1:9" x14ac:dyDescent="0.25">
      <c r="A1860" s="1">
        <v>41517</v>
      </c>
      <c r="B1860" t="s">
        <v>234</v>
      </c>
      <c r="C1860">
        <v>5</v>
      </c>
      <c r="D1860">
        <f>MONTH(cukier11[[#This Row],[data]])</f>
        <v>8</v>
      </c>
      <c r="E1860">
        <f>IF(D1861&lt;&gt;cukier11[[#This Row],[miesiac]],1,0)</f>
        <v>1</v>
      </c>
      <c r="F1860">
        <f>IF(AND(H1859&lt;5000,cukier11[[#This Row],[czy_nastapiła_zmiana_mies]]=1),ROUNDUP((5000-H1859)/1000,0),0)</f>
        <v>3</v>
      </c>
      <c r="G1860">
        <f t="shared" ref="G1860:G1923" si="29">I1859</f>
        <v>2862</v>
      </c>
      <c r="H1860">
        <f>cukier11[[#This Row],[stan_magazynu]]-cukier11[[#This Row],[sprzedany_cukier]]</f>
        <v>2857</v>
      </c>
      <c r="I1860" s="9">
        <f>cukier11[[#This Row],[stan_po_sprzedazy]]+cukier11[[#This Row],[ile_dokupic]]*1000</f>
        <v>5857</v>
      </c>
    </row>
    <row r="1861" spans="1:9" x14ac:dyDescent="0.25">
      <c r="A1861" s="1">
        <v>41520</v>
      </c>
      <c r="B1861" t="s">
        <v>62</v>
      </c>
      <c r="C1861">
        <v>5</v>
      </c>
      <c r="D1861">
        <f>MONTH(cukier11[[#This Row],[data]])</f>
        <v>9</v>
      </c>
      <c r="E1861">
        <f>IF(D1862&lt;&gt;cukier11[[#This Row],[miesiac]],1,0)</f>
        <v>0</v>
      </c>
      <c r="F1861">
        <f>IF(AND(H1860&lt;5000,cukier11[[#This Row],[czy_nastapiła_zmiana_mies]]=1),ROUNDUP((5000-H1860)/1000,0),0)</f>
        <v>0</v>
      </c>
      <c r="G1861">
        <f t="shared" si="29"/>
        <v>5857</v>
      </c>
      <c r="H1861">
        <f>cukier11[[#This Row],[stan_magazynu]]-cukier11[[#This Row],[sprzedany_cukier]]</f>
        <v>5852</v>
      </c>
      <c r="I1861" s="9">
        <f>cukier11[[#This Row],[stan_po_sprzedazy]]+cukier11[[#This Row],[ile_dokupic]]*1000</f>
        <v>5852</v>
      </c>
    </row>
    <row r="1862" spans="1:9" x14ac:dyDescent="0.25">
      <c r="A1862" s="1">
        <v>41520</v>
      </c>
      <c r="B1862" t="s">
        <v>64</v>
      </c>
      <c r="C1862">
        <v>15</v>
      </c>
      <c r="D1862">
        <f>MONTH(cukier11[[#This Row],[data]])</f>
        <v>9</v>
      </c>
      <c r="E1862">
        <f>IF(D1863&lt;&gt;cukier11[[#This Row],[miesiac]],1,0)</f>
        <v>0</v>
      </c>
      <c r="F1862">
        <f>IF(AND(H1861&lt;5000,cukier11[[#This Row],[czy_nastapiła_zmiana_mies]]=1),ROUNDUP((5000-H1861)/1000,0),0)</f>
        <v>0</v>
      </c>
      <c r="G1862">
        <f t="shared" si="29"/>
        <v>5852</v>
      </c>
      <c r="H1862">
        <f>cukier11[[#This Row],[stan_magazynu]]-cukier11[[#This Row],[sprzedany_cukier]]</f>
        <v>5837</v>
      </c>
      <c r="I1862" s="9">
        <f>cukier11[[#This Row],[stan_po_sprzedazy]]+cukier11[[#This Row],[ile_dokupic]]*1000</f>
        <v>5837</v>
      </c>
    </row>
    <row r="1863" spans="1:9" x14ac:dyDescent="0.25">
      <c r="A1863" s="1">
        <v>41525</v>
      </c>
      <c r="B1863" t="s">
        <v>109</v>
      </c>
      <c r="C1863">
        <v>14</v>
      </c>
      <c r="D1863">
        <f>MONTH(cukier11[[#This Row],[data]])</f>
        <v>9</v>
      </c>
      <c r="E1863">
        <f>IF(D1864&lt;&gt;cukier11[[#This Row],[miesiac]],1,0)</f>
        <v>0</v>
      </c>
      <c r="F1863">
        <f>IF(AND(H1862&lt;5000,cukier11[[#This Row],[czy_nastapiła_zmiana_mies]]=1),ROUNDUP((5000-H1862)/1000,0),0)</f>
        <v>0</v>
      </c>
      <c r="G1863">
        <f t="shared" si="29"/>
        <v>5837</v>
      </c>
      <c r="H1863">
        <f>cukier11[[#This Row],[stan_magazynu]]-cukier11[[#This Row],[sprzedany_cukier]]</f>
        <v>5823</v>
      </c>
      <c r="I1863" s="9">
        <f>cukier11[[#This Row],[stan_po_sprzedazy]]+cukier11[[#This Row],[ile_dokupic]]*1000</f>
        <v>5823</v>
      </c>
    </row>
    <row r="1864" spans="1:9" x14ac:dyDescent="0.25">
      <c r="A1864" s="1">
        <v>41525</v>
      </c>
      <c r="B1864" t="s">
        <v>37</v>
      </c>
      <c r="C1864">
        <v>96</v>
      </c>
      <c r="D1864">
        <f>MONTH(cukier11[[#This Row],[data]])</f>
        <v>9</v>
      </c>
      <c r="E1864">
        <f>IF(D1865&lt;&gt;cukier11[[#This Row],[miesiac]],1,0)</f>
        <v>0</v>
      </c>
      <c r="F1864">
        <f>IF(AND(H1863&lt;5000,cukier11[[#This Row],[czy_nastapiła_zmiana_mies]]=1),ROUNDUP((5000-H1863)/1000,0),0)</f>
        <v>0</v>
      </c>
      <c r="G1864">
        <f t="shared" si="29"/>
        <v>5823</v>
      </c>
      <c r="H1864">
        <f>cukier11[[#This Row],[stan_magazynu]]-cukier11[[#This Row],[sprzedany_cukier]]</f>
        <v>5727</v>
      </c>
      <c r="I1864" s="9">
        <f>cukier11[[#This Row],[stan_po_sprzedazy]]+cukier11[[#This Row],[ile_dokupic]]*1000</f>
        <v>5727</v>
      </c>
    </row>
    <row r="1865" spans="1:9" x14ac:dyDescent="0.25">
      <c r="A1865" s="1">
        <v>41529</v>
      </c>
      <c r="B1865" t="s">
        <v>162</v>
      </c>
      <c r="C1865">
        <v>1</v>
      </c>
      <c r="D1865">
        <f>MONTH(cukier11[[#This Row],[data]])</f>
        <v>9</v>
      </c>
      <c r="E1865">
        <f>IF(D1866&lt;&gt;cukier11[[#This Row],[miesiac]],1,0)</f>
        <v>0</v>
      </c>
      <c r="F1865">
        <f>IF(AND(H1864&lt;5000,cukier11[[#This Row],[czy_nastapiła_zmiana_mies]]=1),ROUNDUP((5000-H1864)/1000,0),0)</f>
        <v>0</v>
      </c>
      <c r="G1865">
        <f t="shared" si="29"/>
        <v>5727</v>
      </c>
      <c r="H1865">
        <f>cukier11[[#This Row],[stan_magazynu]]-cukier11[[#This Row],[sprzedany_cukier]]</f>
        <v>5726</v>
      </c>
      <c r="I1865" s="9">
        <f>cukier11[[#This Row],[stan_po_sprzedazy]]+cukier11[[#This Row],[ile_dokupic]]*1000</f>
        <v>5726</v>
      </c>
    </row>
    <row r="1866" spans="1:9" x14ac:dyDescent="0.25">
      <c r="A1866" s="1">
        <v>41533</v>
      </c>
      <c r="B1866" t="s">
        <v>69</v>
      </c>
      <c r="C1866">
        <v>164</v>
      </c>
      <c r="D1866">
        <f>MONTH(cukier11[[#This Row],[data]])</f>
        <v>9</v>
      </c>
      <c r="E1866">
        <f>IF(D1867&lt;&gt;cukier11[[#This Row],[miesiac]],1,0)</f>
        <v>0</v>
      </c>
      <c r="F1866">
        <f>IF(AND(H1865&lt;5000,cukier11[[#This Row],[czy_nastapiła_zmiana_mies]]=1),ROUNDUP((5000-H1865)/1000,0),0)</f>
        <v>0</v>
      </c>
      <c r="G1866">
        <f t="shared" si="29"/>
        <v>5726</v>
      </c>
      <c r="H1866">
        <f>cukier11[[#This Row],[stan_magazynu]]-cukier11[[#This Row],[sprzedany_cukier]]</f>
        <v>5562</v>
      </c>
      <c r="I1866" s="9">
        <f>cukier11[[#This Row],[stan_po_sprzedazy]]+cukier11[[#This Row],[ile_dokupic]]*1000</f>
        <v>5562</v>
      </c>
    </row>
    <row r="1867" spans="1:9" x14ac:dyDescent="0.25">
      <c r="A1867" s="1">
        <v>41534</v>
      </c>
      <c r="B1867" t="s">
        <v>22</v>
      </c>
      <c r="C1867">
        <v>105</v>
      </c>
      <c r="D1867">
        <f>MONTH(cukier11[[#This Row],[data]])</f>
        <v>9</v>
      </c>
      <c r="E1867">
        <f>IF(D1868&lt;&gt;cukier11[[#This Row],[miesiac]],1,0)</f>
        <v>0</v>
      </c>
      <c r="F1867">
        <f>IF(AND(H1866&lt;5000,cukier11[[#This Row],[czy_nastapiła_zmiana_mies]]=1),ROUNDUP((5000-H1866)/1000,0),0)</f>
        <v>0</v>
      </c>
      <c r="G1867">
        <f t="shared" si="29"/>
        <v>5562</v>
      </c>
      <c r="H1867">
        <f>cukier11[[#This Row],[stan_magazynu]]-cukier11[[#This Row],[sprzedany_cukier]]</f>
        <v>5457</v>
      </c>
      <c r="I1867" s="9">
        <f>cukier11[[#This Row],[stan_po_sprzedazy]]+cukier11[[#This Row],[ile_dokupic]]*1000</f>
        <v>5457</v>
      </c>
    </row>
    <row r="1868" spans="1:9" x14ac:dyDescent="0.25">
      <c r="A1868" s="1">
        <v>41536</v>
      </c>
      <c r="B1868" t="s">
        <v>210</v>
      </c>
      <c r="C1868">
        <v>17</v>
      </c>
      <c r="D1868">
        <f>MONTH(cukier11[[#This Row],[data]])</f>
        <v>9</v>
      </c>
      <c r="E1868">
        <f>IF(D1869&lt;&gt;cukier11[[#This Row],[miesiac]],1,0)</f>
        <v>0</v>
      </c>
      <c r="F1868">
        <f>IF(AND(H1867&lt;5000,cukier11[[#This Row],[czy_nastapiła_zmiana_mies]]=1),ROUNDUP((5000-H1867)/1000,0),0)</f>
        <v>0</v>
      </c>
      <c r="G1868">
        <f t="shared" si="29"/>
        <v>5457</v>
      </c>
      <c r="H1868">
        <f>cukier11[[#This Row],[stan_magazynu]]-cukier11[[#This Row],[sprzedany_cukier]]</f>
        <v>5440</v>
      </c>
      <c r="I1868" s="9">
        <f>cukier11[[#This Row],[stan_po_sprzedazy]]+cukier11[[#This Row],[ile_dokupic]]*1000</f>
        <v>5440</v>
      </c>
    </row>
    <row r="1869" spans="1:9" x14ac:dyDescent="0.25">
      <c r="A1869" s="1">
        <v>41538</v>
      </c>
      <c r="B1869" t="s">
        <v>200</v>
      </c>
      <c r="C1869">
        <v>5</v>
      </c>
      <c r="D1869">
        <f>MONTH(cukier11[[#This Row],[data]])</f>
        <v>9</v>
      </c>
      <c r="E1869">
        <f>IF(D1870&lt;&gt;cukier11[[#This Row],[miesiac]],1,0)</f>
        <v>0</v>
      </c>
      <c r="F1869">
        <f>IF(AND(H1868&lt;5000,cukier11[[#This Row],[czy_nastapiła_zmiana_mies]]=1),ROUNDUP((5000-H1868)/1000,0),0)</f>
        <v>0</v>
      </c>
      <c r="G1869">
        <f t="shared" si="29"/>
        <v>5440</v>
      </c>
      <c r="H1869">
        <f>cukier11[[#This Row],[stan_magazynu]]-cukier11[[#This Row],[sprzedany_cukier]]</f>
        <v>5435</v>
      </c>
      <c r="I1869" s="9">
        <f>cukier11[[#This Row],[stan_po_sprzedazy]]+cukier11[[#This Row],[ile_dokupic]]*1000</f>
        <v>5435</v>
      </c>
    </row>
    <row r="1870" spans="1:9" x14ac:dyDescent="0.25">
      <c r="A1870" s="1">
        <v>41543</v>
      </c>
      <c r="B1870" t="s">
        <v>45</v>
      </c>
      <c r="C1870">
        <v>212</v>
      </c>
      <c r="D1870">
        <f>MONTH(cukier11[[#This Row],[data]])</f>
        <v>9</v>
      </c>
      <c r="E1870">
        <f>IF(D1871&lt;&gt;cukier11[[#This Row],[miesiac]],1,0)</f>
        <v>0</v>
      </c>
      <c r="F1870">
        <f>IF(AND(H1869&lt;5000,cukier11[[#This Row],[czy_nastapiła_zmiana_mies]]=1),ROUNDUP((5000-H1869)/1000,0),0)</f>
        <v>0</v>
      </c>
      <c r="G1870">
        <f t="shared" si="29"/>
        <v>5435</v>
      </c>
      <c r="H1870">
        <f>cukier11[[#This Row],[stan_magazynu]]-cukier11[[#This Row],[sprzedany_cukier]]</f>
        <v>5223</v>
      </c>
      <c r="I1870" s="9">
        <f>cukier11[[#This Row],[stan_po_sprzedazy]]+cukier11[[#This Row],[ile_dokupic]]*1000</f>
        <v>5223</v>
      </c>
    </row>
    <row r="1871" spans="1:9" x14ac:dyDescent="0.25">
      <c r="A1871" s="1">
        <v>41543</v>
      </c>
      <c r="B1871" t="s">
        <v>9</v>
      </c>
      <c r="C1871">
        <v>128</v>
      </c>
      <c r="D1871">
        <f>MONTH(cukier11[[#This Row],[data]])</f>
        <v>9</v>
      </c>
      <c r="E1871">
        <f>IF(D1872&lt;&gt;cukier11[[#This Row],[miesiac]],1,0)</f>
        <v>0</v>
      </c>
      <c r="F1871">
        <f>IF(AND(H1870&lt;5000,cukier11[[#This Row],[czy_nastapiła_zmiana_mies]]=1),ROUNDUP((5000-H1870)/1000,0),0)</f>
        <v>0</v>
      </c>
      <c r="G1871">
        <f t="shared" si="29"/>
        <v>5223</v>
      </c>
      <c r="H1871">
        <f>cukier11[[#This Row],[stan_magazynu]]-cukier11[[#This Row],[sprzedany_cukier]]</f>
        <v>5095</v>
      </c>
      <c r="I1871" s="9">
        <f>cukier11[[#This Row],[stan_po_sprzedazy]]+cukier11[[#This Row],[ile_dokupic]]*1000</f>
        <v>5095</v>
      </c>
    </row>
    <row r="1872" spans="1:9" x14ac:dyDescent="0.25">
      <c r="A1872" s="1">
        <v>41543</v>
      </c>
      <c r="B1872" t="s">
        <v>28</v>
      </c>
      <c r="C1872">
        <v>147</v>
      </c>
      <c r="D1872">
        <f>MONTH(cukier11[[#This Row],[data]])</f>
        <v>9</v>
      </c>
      <c r="E1872">
        <f>IF(D1873&lt;&gt;cukier11[[#This Row],[miesiac]],1,0)</f>
        <v>0</v>
      </c>
      <c r="F1872">
        <f>IF(AND(H1871&lt;5000,cukier11[[#This Row],[czy_nastapiła_zmiana_mies]]=1),ROUNDUP((5000-H1871)/1000,0),0)</f>
        <v>0</v>
      </c>
      <c r="G1872">
        <f t="shared" si="29"/>
        <v>5095</v>
      </c>
      <c r="H1872">
        <f>cukier11[[#This Row],[stan_magazynu]]-cukier11[[#This Row],[sprzedany_cukier]]</f>
        <v>4948</v>
      </c>
      <c r="I1872" s="9">
        <f>cukier11[[#This Row],[stan_po_sprzedazy]]+cukier11[[#This Row],[ile_dokupic]]*1000</f>
        <v>4948</v>
      </c>
    </row>
    <row r="1873" spans="1:9" x14ac:dyDescent="0.25">
      <c r="A1873" s="1">
        <v>41544</v>
      </c>
      <c r="B1873" t="s">
        <v>14</v>
      </c>
      <c r="C1873">
        <v>436</v>
      </c>
      <c r="D1873">
        <f>MONTH(cukier11[[#This Row],[data]])</f>
        <v>9</v>
      </c>
      <c r="E1873">
        <f>IF(D1874&lt;&gt;cukier11[[#This Row],[miesiac]],1,0)</f>
        <v>0</v>
      </c>
      <c r="F1873">
        <f>IF(AND(H1872&lt;5000,cukier11[[#This Row],[czy_nastapiła_zmiana_mies]]=1),ROUNDUP((5000-H1872)/1000,0),0)</f>
        <v>0</v>
      </c>
      <c r="G1873">
        <f t="shared" si="29"/>
        <v>4948</v>
      </c>
      <c r="H1873">
        <f>cukier11[[#This Row],[stan_magazynu]]-cukier11[[#This Row],[sprzedany_cukier]]</f>
        <v>4512</v>
      </c>
      <c r="I1873" s="9">
        <f>cukier11[[#This Row],[stan_po_sprzedazy]]+cukier11[[#This Row],[ile_dokupic]]*1000</f>
        <v>4512</v>
      </c>
    </row>
    <row r="1874" spans="1:9" x14ac:dyDescent="0.25">
      <c r="A1874" s="1">
        <v>41545</v>
      </c>
      <c r="B1874" t="s">
        <v>235</v>
      </c>
      <c r="C1874">
        <v>4</v>
      </c>
      <c r="D1874">
        <f>MONTH(cukier11[[#This Row],[data]])</f>
        <v>9</v>
      </c>
      <c r="E1874">
        <f>IF(D1875&lt;&gt;cukier11[[#This Row],[miesiac]],1,0)</f>
        <v>0</v>
      </c>
      <c r="F1874">
        <f>IF(AND(H1873&lt;5000,cukier11[[#This Row],[czy_nastapiła_zmiana_mies]]=1),ROUNDUP((5000-H1873)/1000,0),0)</f>
        <v>0</v>
      </c>
      <c r="G1874">
        <f t="shared" si="29"/>
        <v>4512</v>
      </c>
      <c r="H1874">
        <f>cukier11[[#This Row],[stan_magazynu]]-cukier11[[#This Row],[sprzedany_cukier]]</f>
        <v>4508</v>
      </c>
      <c r="I1874" s="9">
        <f>cukier11[[#This Row],[stan_po_sprzedazy]]+cukier11[[#This Row],[ile_dokupic]]*1000</f>
        <v>4508</v>
      </c>
    </row>
    <row r="1875" spans="1:9" x14ac:dyDescent="0.25">
      <c r="A1875" s="1">
        <v>41545</v>
      </c>
      <c r="B1875" t="s">
        <v>154</v>
      </c>
      <c r="C1875">
        <v>4</v>
      </c>
      <c r="D1875">
        <f>MONTH(cukier11[[#This Row],[data]])</f>
        <v>9</v>
      </c>
      <c r="E1875">
        <f>IF(D1876&lt;&gt;cukier11[[#This Row],[miesiac]],1,0)</f>
        <v>1</v>
      </c>
      <c r="F1875">
        <f>IF(AND(H1874&lt;5000,cukier11[[#This Row],[czy_nastapiła_zmiana_mies]]=1),ROUNDUP((5000-H1874)/1000,0),0)</f>
        <v>1</v>
      </c>
      <c r="G1875">
        <f t="shared" si="29"/>
        <v>4508</v>
      </c>
      <c r="H1875">
        <f>cukier11[[#This Row],[stan_magazynu]]-cukier11[[#This Row],[sprzedany_cukier]]</f>
        <v>4504</v>
      </c>
      <c r="I1875" s="9">
        <f>cukier11[[#This Row],[stan_po_sprzedazy]]+cukier11[[#This Row],[ile_dokupic]]*1000</f>
        <v>5504</v>
      </c>
    </row>
    <row r="1876" spans="1:9" x14ac:dyDescent="0.25">
      <c r="A1876" s="1">
        <v>41551</v>
      </c>
      <c r="B1876" t="s">
        <v>131</v>
      </c>
      <c r="C1876">
        <v>78</v>
      </c>
      <c r="D1876">
        <f>MONTH(cukier11[[#This Row],[data]])</f>
        <v>10</v>
      </c>
      <c r="E1876">
        <f>IF(D1877&lt;&gt;cukier11[[#This Row],[miesiac]],1,0)</f>
        <v>0</v>
      </c>
      <c r="F1876">
        <f>IF(AND(H1875&lt;5000,cukier11[[#This Row],[czy_nastapiła_zmiana_mies]]=1),ROUNDUP((5000-H1875)/1000,0),0)</f>
        <v>0</v>
      </c>
      <c r="G1876">
        <f t="shared" si="29"/>
        <v>5504</v>
      </c>
      <c r="H1876">
        <f>cukier11[[#This Row],[stan_magazynu]]-cukier11[[#This Row],[sprzedany_cukier]]</f>
        <v>5426</v>
      </c>
      <c r="I1876" s="9">
        <f>cukier11[[#This Row],[stan_po_sprzedazy]]+cukier11[[#This Row],[ile_dokupic]]*1000</f>
        <v>5426</v>
      </c>
    </row>
    <row r="1877" spans="1:9" x14ac:dyDescent="0.25">
      <c r="A1877" s="1">
        <v>41558</v>
      </c>
      <c r="B1877" t="s">
        <v>10</v>
      </c>
      <c r="C1877">
        <v>159</v>
      </c>
      <c r="D1877">
        <f>MONTH(cukier11[[#This Row],[data]])</f>
        <v>10</v>
      </c>
      <c r="E1877">
        <f>IF(D1878&lt;&gt;cukier11[[#This Row],[miesiac]],1,0)</f>
        <v>0</v>
      </c>
      <c r="F1877">
        <f>IF(AND(H1876&lt;5000,cukier11[[#This Row],[czy_nastapiła_zmiana_mies]]=1),ROUNDUP((5000-H1876)/1000,0),0)</f>
        <v>0</v>
      </c>
      <c r="G1877">
        <f t="shared" si="29"/>
        <v>5426</v>
      </c>
      <c r="H1877">
        <f>cukier11[[#This Row],[stan_magazynu]]-cukier11[[#This Row],[sprzedany_cukier]]</f>
        <v>5267</v>
      </c>
      <c r="I1877" s="9">
        <f>cukier11[[#This Row],[stan_po_sprzedazy]]+cukier11[[#This Row],[ile_dokupic]]*1000</f>
        <v>5267</v>
      </c>
    </row>
    <row r="1878" spans="1:9" x14ac:dyDescent="0.25">
      <c r="A1878" s="1">
        <v>41558</v>
      </c>
      <c r="B1878" t="s">
        <v>8</v>
      </c>
      <c r="C1878">
        <v>103</v>
      </c>
      <c r="D1878">
        <f>MONTH(cukier11[[#This Row],[data]])</f>
        <v>10</v>
      </c>
      <c r="E1878">
        <f>IF(D1879&lt;&gt;cukier11[[#This Row],[miesiac]],1,0)</f>
        <v>0</v>
      </c>
      <c r="F1878">
        <f>IF(AND(H1877&lt;5000,cukier11[[#This Row],[czy_nastapiła_zmiana_mies]]=1),ROUNDUP((5000-H1877)/1000,0),0)</f>
        <v>0</v>
      </c>
      <c r="G1878">
        <f t="shared" si="29"/>
        <v>5267</v>
      </c>
      <c r="H1878">
        <f>cukier11[[#This Row],[stan_magazynu]]-cukier11[[#This Row],[sprzedany_cukier]]</f>
        <v>5164</v>
      </c>
      <c r="I1878" s="9">
        <f>cukier11[[#This Row],[stan_po_sprzedazy]]+cukier11[[#This Row],[ile_dokupic]]*1000</f>
        <v>5164</v>
      </c>
    </row>
    <row r="1879" spans="1:9" x14ac:dyDescent="0.25">
      <c r="A1879" s="1">
        <v>41559</v>
      </c>
      <c r="B1879" t="s">
        <v>52</v>
      </c>
      <c r="C1879">
        <v>57</v>
      </c>
      <c r="D1879">
        <f>MONTH(cukier11[[#This Row],[data]])</f>
        <v>10</v>
      </c>
      <c r="E1879">
        <f>IF(D1880&lt;&gt;cukier11[[#This Row],[miesiac]],1,0)</f>
        <v>0</v>
      </c>
      <c r="F1879">
        <f>IF(AND(H1878&lt;5000,cukier11[[#This Row],[czy_nastapiła_zmiana_mies]]=1),ROUNDUP((5000-H1878)/1000,0),0)</f>
        <v>0</v>
      </c>
      <c r="G1879">
        <f t="shared" si="29"/>
        <v>5164</v>
      </c>
      <c r="H1879">
        <f>cukier11[[#This Row],[stan_magazynu]]-cukier11[[#This Row],[sprzedany_cukier]]</f>
        <v>5107</v>
      </c>
      <c r="I1879" s="9">
        <f>cukier11[[#This Row],[stan_po_sprzedazy]]+cukier11[[#This Row],[ile_dokupic]]*1000</f>
        <v>5107</v>
      </c>
    </row>
    <row r="1880" spans="1:9" x14ac:dyDescent="0.25">
      <c r="A1880" s="1">
        <v>41559</v>
      </c>
      <c r="B1880" t="s">
        <v>20</v>
      </c>
      <c r="C1880">
        <v>121</v>
      </c>
      <c r="D1880">
        <f>MONTH(cukier11[[#This Row],[data]])</f>
        <v>10</v>
      </c>
      <c r="E1880">
        <f>IF(D1881&lt;&gt;cukier11[[#This Row],[miesiac]],1,0)</f>
        <v>0</v>
      </c>
      <c r="F1880">
        <f>IF(AND(H1879&lt;5000,cukier11[[#This Row],[czy_nastapiła_zmiana_mies]]=1),ROUNDUP((5000-H1879)/1000,0),0)</f>
        <v>0</v>
      </c>
      <c r="G1880">
        <f t="shared" si="29"/>
        <v>5107</v>
      </c>
      <c r="H1880">
        <f>cukier11[[#This Row],[stan_magazynu]]-cukier11[[#This Row],[sprzedany_cukier]]</f>
        <v>4986</v>
      </c>
      <c r="I1880" s="9">
        <f>cukier11[[#This Row],[stan_po_sprzedazy]]+cukier11[[#This Row],[ile_dokupic]]*1000</f>
        <v>4986</v>
      </c>
    </row>
    <row r="1881" spans="1:9" x14ac:dyDescent="0.25">
      <c r="A1881" s="1">
        <v>41559</v>
      </c>
      <c r="B1881" t="s">
        <v>77</v>
      </c>
      <c r="C1881">
        <v>14</v>
      </c>
      <c r="D1881">
        <f>MONTH(cukier11[[#This Row],[data]])</f>
        <v>10</v>
      </c>
      <c r="E1881">
        <f>IF(D1882&lt;&gt;cukier11[[#This Row],[miesiac]],1,0)</f>
        <v>0</v>
      </c>
      <c r="F1881">
        <f>IF(AND(H1880&lt;5000,cukier11[[#This Row],[czy_nastapiła_zmiana_mies]]=1),ROUNDUP((5000-H1880)/1000,0),0)</f>
        <v>0</v>
      </c>
      <c r="G1881">
        <f t="shared" si="29"/>
        <v>4986</v>
      </c>
      <c r="H1881">
        <f>cukier11[[#This Row],[stan_magazynu]]-cukier11[[#This Row],[sprzedany_cukier]]</f>
        <v>4972</v>
      </c>
      <c r="I1881" s="9">
        <f>cukier11[[#This Row],[stan_po_sprzedazy]]+cukier11[[#This Row],[ile_dokupic]]*1000</f>
        <v>4972</v>
      </c>
    </row>
    <row r="1882" spans="1:9" x14ac:dyDescent="0.25">
      <c r="A1882" s="1">
        <v>41560</v>
      </c>
      <c r="B1882" t="s">
        <v>44</v>
      </c>
      <c r="C1882">
        <v>2</v>
      </c>
      <c r="D1882">
        <f>MONTH(cukier11[[#This Row],[data]])</f>
        <v>10</v>
      </c>
      <c r="E1882">
        <f>IF(D1883&lt;&gt;cukier11[[#This Row],[miesiac]],1,0)</f>
        <v>0</v>
      </c>
      <c r="F1882">
        <f>IF(AND(H1881&lt;5000,cukier11[[#This Row],[czy_nastapiła_zmiana_mies]]=1),ROUNDUP((5000-H1881)/1000,0),0)</f>
        <v>0</v>
      </c>
      <c r="G1882">
        <f t="shared" si="29"/>
        <v>4972</v>
      </c>
      <c r="H1882">
        <f>cukier11[[#This Row],[stan_magazynu]]-cukier11[[#This Row],[sprzedany_cukier]]</f>
        <v>4970</v>
      </c>
      <c r="I1882" s="9">
        <f>cukier11[[#This Row],[stan_po_sprzedazy]]+cukier11[[#This Row],[ile_dokupic]]*1000</f>
        <v>4970</v>
      </c>
    </row>
    <row r="1883" spans="1:9" x14ac:dyDescent="0.25">
      <c r="A1883" s="1">
        <v>41560</v>
      </c>
      <c r="B1883" t="s">
        <v>53</v>
      </c>
      <c r="C1883">
        <v>19</v>
      </c>
      <c r="D1883">
        <f>MONTH(cukier11[[#This Row],[data]])</f>
        <v>10</v>
      </c>
      <c r="E1883">
        <f>IF(D1884&lt;&gt;cukier11[[#This Row],[miesiac]],1,0)</f>
        <v>0</v>
      </c>
      <c r="F1883">
        <f>IF(AND(H1882&lt;5000,cukier11[[#This Row],[czy_nastapiła_zmiana_mies]]=1),ROUNDUP((5000-H1882)/1000,0),0)</f>
        <v>0</v>
      </c>
      <c r="G1883">
        <f t="shared" si="29"/>
        <v>4970</v>
      </c>
      <c r="H1883">
        <f>cukier11[[#This Row],[stan_magazynu]]-cukier11[[#This Row],[sprzedany_cukier]]</f>
        <v>4951</v>
      </c>
      <c r="I1883" s="9">
        <f>cukier11[[#This Row],[stan_po_sprzedazy]]+cukier11[[#This Row],[ile_dokupic]]*1000</f>
        <v>4951</v>
      </c>
    </row>
    <row r="1884" spans="1:9" x14ac:dyDescent="0.25">
      <c r="A1884" s="1">
        <v>41561</v>
      </c>
      <c r="B1884" t="s">
        <v>236</v>
      </c>
      <c r="C1884">
        <v>20</v>
      </c>
      <c r="D1884">
        <f>MONTH(cukier11[[#This Row],[data]])</f>
        <v>10</v>
      </c>
      <c r="E1884">
        <f>IF(D1885&lt;&gt;cukier11[[#This Row],[miesiac]],1,0)</f>
        <v>0</v>
      </c>
      <c r="F1884">
        <f>IF(AND(H1883&lt;5000,cukier11[[#This Row],[czy_nastapiła_zmiana_mies]]=1),ROUNDUP((5000-H1883)/1000,0),0)</f>
        <v>0</v>
      </c>
      <c r="G1884">
        <f t="shared" si="29"/>
        <v>4951</v>
      </c>
      <c r="H1884">
        <f>cukier11[[#This Row],[stan_magazynu]]-cukier11[[#This Row],[sprzedany_cukier]]</f>
        <v>4931</v>
      </c>
      <c r="I1884" s="9">
        <f>cukier11[[#This Row],[stan_po_sprzedazy]]+cukier11[[#This Row],[ile_dokupic]]*1000</f>
        <v>4931</v>
      </c>
    </row>
    <row r="1885" spans="1:9" x14ac:dyDescent="0.25">
      <c r="A1885" s="1">
        <v>41562</v>
      </c>
      <c r="B1885" t="s">
        <v>14</v>
      </c>
      <c r="C1885">
        <v>367</v>
      </c>
      <c r="D1885">
        <f>MONTH(cukier11[[#This Row],[data]])</f>
        <v>10</v>
      </c>
      <c r="E1885">
        <f>IF(D1886&lt;&gt;cukier11[[#This Row],[miesiac]],1,0)</f>
        <v>0</v>
      </c>
      <c r="F1885">
        <f>IF(AND(H1884&lt;5000,cukier11[[#This Row],[czy_nastapiła_zmiana_mies]]=1),ROUNDUP((5000-H1884)/1000,0),0)</f>
        <v>0</v>
      </c>
      <c r="G1885">
        <f t="shared" si="29"/>
        <v>4931</v>
      </c>
      <c r="H1885">
        <f>cukier11[[#This Row],[stan_magazynu]]-cukier11[[#This Row],[sprzedany_cukier]]</f>
        <v>4564</v>
      </c>
      <c r="I1885" s="9">
        <f>cukier11[[#This Row],[stan_po_sprzedazy]]+cukier11[[#This Row],[ile_dokupic]]*1000</f>
        <v>4564</v>
      </c>
    </row>
    <row r="1886" spans="1:9" x14ac:dyDescent="0.25">
      <c r="A1886" s="1">
        <v>41562</v>
      </c>
      <c r="B1886" t="s">
        <v>9</v>
      </c>
      <c r="C1886">
        <v>458</v>
      </c>
      <c r="D1886">
        <f>MONTH(cukier11[[#This Row],[data]])</f>
        <v>10</v>
      </c>
      <c r="E1886">
        <f>IF(D1887&lt;&gt;cukier11[[#This Row],[miesiac]],1,0)</f>
        <v>0</v>
      </c>
      <c r="F1886">
        <f>IF(AND(H1885&lt;5000,cukier11[[#This Row],[czy_nastapiła_zmiana_mies]]=1),ROUNDUP((5000-H1885)/1000,0),0)</f>
        <v>0</v>
      </c>
      <c r="G1886">
        <f t="shared" si="29"/>
        <v>4564</v>
      </c>
      <c r="H1886">
        <f>cukier11[[#This Row],[stan_magazynu]]-cukier11[[#This Row],[sprzedany_cukier]]</f>
        <v>4106</v>
      </c>
      <c r="I1886" s="9">
        <f>cukier11[[#This Row],[stan_po_sprzedazy]]+cukier11[[#This Row],[ile_dokupic]]*1000</f>
        <v>4106</v>
      </c>
    </row>
    <row r="1887" spans="1:9" x14ac:dyDescent="0.25">
      <c r="A1887" s="1">
        <v>41563</v>
      </c>
      <c r="B1887" t="s">
        <v>45</v>
      </c>
      <c r="C1887">
        <v>100</v>
      </c>
      <c r="D1887">
        <f>MONTH(cukier11[[#This Row],[data]])</f>
        <v>10</v>
      </c>
      <c r="E1887">
        <f>IF(D1888&lt;&gt;cukier11[[#This Row],[miesiac]],1,0)</f>
        <v>0</v>
      </c>
      <c r="F1887">
        <f>IF(AND(H1886&lt;5000,cukier11[[#This Row],[czy_nastapiła_zmiana_mies]]=1),ROUNDUP((5000-H1886)/1000,0),0)</f>
        <v>0</v>
      </c>
      <c r="G1887">
        <f t="shared" si="29"/>
        <v>4106</v>
      </c>
      <c r="H1887">
        <f>cukier11[[#This Row],[stan_magazynu]]-cukier11[[#This Row],[sprzedany_cukier]]</f>
        <v>4006</v>
      </c>
      <c r="I1887" s="9">
        <f>cukier11[[#This Row],[stan_po_sprzedazy]]+cukier11[[#This Row],[ile_dokupic]]*1000</f>
        <v>4006</v>
      </c>
    </row>
    <row r="1888" spans="1:9" x14ac:dyDescent="0.25">
      <c r="A1888" s="1">
        <v>41563</v>
      </c>
      <c r="B1888" t="s">
        <v>6</v>
      </c>
      <c r="C1888">
        <v>62</v>
      </c>
      <c r="D1888">
        <f>MONTH(cukier11[[#This Row],[data]])</f>
        <v>10</v>
      </c>
      <c r="E1888">
        <f>IF(D1889&lt;&gt;cukier11[[#This Row],[miesiac]],1,0)</f>
        <v>0</v>
      </c>
      <c r="F1888">
        <f>IF(AND(H1887&lt;5000,cukier11[[#This Row],[czy_nastapiła_zmiana_mies]]=1),ROUNDUP((5000-H1887)/1000,0),0)</f>
        <v>0</v>
      </c>
      <c r="G1888">
        <f t="shared" si="29"/>
        <v>4006</v>
      </c>
      <c r="H1888">
        <f>cukier11[[#This Row],[stan_magazynu]]-cukier11[[#This Row],[sprzedany_cukier]]</f>
        <v>3944</v>
      </c>
      <c r="I1888" s="9">
        <f>cukier11[[#This Row],[stan_po_sprzedazy]]+cukier11[[#This Row],[ile_dokupic]]*1000</f>
        <v>3944</v>
      </c>
    </row>
    <row r="1889" spans="1:9" x14ac:dyDescent="0.25">
      <c r="A1889" s="1">
        <v>41567</v>
      </c>
      <c r="B1889" t="s">
        <v>6</v>
      </c>
      <c r="C1889">
        <v>184</v>
      </c>
      <c r="D1889">
        <f>MONTH(cukier11[[#This Row],[data]])</f>
        <v>10</v>
      </c>
      <c r="E1889">
        <f>IF(D1890&lt;&gt;cukier11[[#This Row],[miesiac]],1,0)</f>
        <v>0</v>
      </c>
      <c r="F1889">
        <f>IF(AND(H1888&lt;5000,cukier11[[#This Row],[czy_nastapiła_zmiana_mies]]=1),ROUNDUP((5000-H1888)/1000,0),0)</f>
        <v>0</v>
      </c>
      <c r="G1889">
        <f t="shared" si="29"/>
        <v>3944</v>
      </c>
      <c r="H1889">
        <f>cukier11[[#This Row],[stan_magazynu]]-cukier11[[#This Row],[sprzedany_cukier]]</f>
        <v>3760</v>
      </c>
      <c r="I1889" s="9">
        <f>cukier11[[#This Row],[stan_po_sprzedazy]]+cukier11[[#This Row],[ile_dokupic]]*1000</f>
        <v>3760</v>
      </c>
    </row>
    <row r="1890" spans="1:9" x14ac:dyDescent="0.25">
      <c r="A1890" s="1">
        <v>41568</v>
      </c>
      <c r="B1890" t="s">
        <v>19</v>
      </c>
      <c r="C1890">
        <v>156</v>
      </c>
      <c r="D1890">
        <f>MONTH(cukier11[[#This Row],[data]])</f>
        <v>10</v>
      </c>
      <c r="E1890">
        <f>IF(D1891&lt;&gt;cukier11[[#This Row],[miesiac]],1,0)</f>
        <v>0</v>
      </c>
      <c r="F1890">
        <f>IF(AND(H1889&lt;5000,cukier11[[#This Row],[czy_nastapiła_zmiana_mies]]=1),ROUNDUP((5000-H1889)/1000,0),0)</f>
        <v>0</v>
      </c>
      <c r="G1890">
        <f t="shared" si="29"/>
        <v>3760</v>
      </c>
      <c r="H1890">
        <f>cukier11[[#This Row],[stan_magazynu]]-cukier11[[#This Row],[sprzedany_cukier]]</f>
        <v>3604</v>
      </c>
      <c r="I1890" s="9">
        <f>cukier11[[#This Row],[stan_po_sprzedazy]]+cukier11[[#This Row],[ile_dokupic]]*1000</f>
        <v>3604</v>
      </c>
    </row>
    <row r="1891" spans="1:9" x14ac:dyDescent="0.25">
      <c r="A1891" s="1">
        <v>41569</v>
      </c>
      <c r="B1891" t="s">
        <v>7</v>
      </c>
      <c r="C1891">
        <v>142</v>
      </c>
      <c r="D1891">
        <f>MONTH(cukier11[[#This Row],[data]])</f>
        <v>10</v>
      </c>
      <c r="E1891">
        <f>IF(D1892&lt;&gt;cukier11[[#This Row],[miesiac]],1,0)</f>
        <v>0</v>
      </c>
      <c r="F1891">
        <f>IF(AND(H1890&lt;5000,cukier11[[#This Row],[czy_nastapiła_zmiana_mies]]=1),ROUNDUP((5000-H1890)/1000,0),0)</f>
        <v>0</v>
      </c>
      <c r="G1891">
        <f t="shared" si="29"/>
        <v>3604</v>
      </c>
      <c r="H1891">
        <f>cukier11[[#This Row],[stan_magazynu]]-cukier11[[#This Row],[sprzedany_cukier]]</f>
        <v>3462</v>
      </c>
      <c r="I1891" s="9">
        <f>cukier11[[#This Row],[stan_po_sprzedazy]]+cukier11[[#This Row],[ile_dokupic]]*1000</f>
        <v>3462</v>
      </c>
    </row>
    <row r="1892" spans="1:9" x14ac:dyDescent="0.25">
      <c r="A1892" s="1">
        <v>41570</v>
      </c>
      <c r="B1892" t="s">
        <v>6</v>
      </c>
      <c r="C1892">
        <v>97</v>
      </c>
      <c r="D1892">
        <f>MONTH(cukier11[[#This Row],[data]])</f>
        <v>10</v>
      </c>
      <c r="E1892">
        <f>IF(D1893&lt;&gt;cukier11[[#This Row],[miesiac]],1,0)</f>
        <v>0</v>
      </c>
      <c r="F1892">
        <f>IF(AND(H1891&lt;5000,cukier11[[#This Row],[czy_nastapiła_zmiana_mies]]=1),ROUNDUP((5000-H1891)/1000,0),0)</f>
        <v>0</v>
      </c>
      <c r="G1892">
        <f t="shared" si="29"/>
        <v>3462</v>
      </c>
      <c r="H1892">
        <f>cukier11[[#This Row],[stan_magazynu]]-cukier11[[#This Row],[sprzedany_cukier]]</f>
        <v>3365</v>
      </c>
      <c r="I1892" s="9">
        <f>cukier11[[#This Row],[stan_po_sprzedazy]]+cukier11[[#This Row],[ile_dokupic]]*1000</f>
        <v>3365</v>
      </c>
    </row>
    <row r="1893" spans="1:9" x14ac:dyDescent="0.25">
      <c r="A1893" s="1">
        <v>41570</v>
      </c>
      <c r="B1893" t="s">
        <v>7</v>
      </c>
      <c r="C1893">
        <v>136</v>
      </c>
      <c r="D1893">
        <f>MONTH(cukier11[[#This Row],[data]])</f>
        <v>10</v>
      </c>
      <c r="E1893">
        <f>IF(D1894&lt;&gt;cukier11[[#This Row],[miesiac]],1,0)</f>
        <v>0</v>
      </c>
      <c r="F1893">
        <f>IF(AND(H1892&lt;5000,cukier11[[#This Row],[czy_nastapiła_zmiana_mies]]=1),ROUNDUP((5000-H1892)/1000,0),0)</f>
        <v>0</v>
      </c>
      <c r="G1893">
        <f t="shared" si="29"/>
        <v>3365</v>
      </c>
      <c r="H1893">
        <f>cukier11[[#This Row],[stan_magazynu]]-cukier11[[#This Row],[sprzedany_cukier]]</f>
        <v>3229</v>
      </c>
      <c r="I1893" s="9">
        <f>cukier11[[#This Row],[stan_po_sprzedazy]]+cukier11[[#This Row],[ile_dokupic]]*1000</f>
        <v>3229</v>
      </c>
    </row>
    <row r="1894" spans="1:9" x14ac:dyDescent="0.25">
      <c r="A1894" s="1">
        <v>41570</v>
      </c>
      <c r="B1894" t="s">
        <v>131</v>
      </c>
      <c r="C1894">
        <v>108</v>
      </c>
      <c r="D1894">
        <f>MONTH(cukier11[[#This Row],[data]])</f>
        <v>10</v>
      </c>
      <c r="E1894">
        <f>IF(D1895&lt;&gt;cukier11[[#This Row],[miesiac]],1,0)</f>
        <v>0</v>
      </c>
      <c r="F1894">
        <f>IF(AND(H1893&lt;5000,cukier11[[#This Row],[czy_nastapiła_zmiana_mies]]=1),ROUNDUP((5000-H1893)/1000,0),0)</f>
        <v>0</v>
      </c>
      <c r="G1894">
        <f t="shared" si="29"/>
        <v>3229</v>
      </c>
      <c r="H1894">
        <f>cukier11[[#This Row],[stan_magazynu]]-cukier11[[#This Row],[sprzedany_cukier]]</f>
        <v>3121</v>
      </c>
      <c r="I1894" s="9">
        <f>cukier11[[#This Row],[stan_po_sprzedazy]]+cukier11[[#This Row],[ile_dokupic]]*1000</f>
        <v>3121</v>
      </c>
    </row>
    <row r="1895" spans="1:9" x14ac:dyDescent="0.25">
      <c r="A1895" s="1">
        <v>41572</v>
      </c>
      <c r="B1895" t="s">
        <v>25</v>
      </c>
      <c r="C1895">
        <v>51</v>
      </c>
      <c r="D1895">
        <f>MONTH(cukier11[[#This Row],[data]])</f>
        <v>10</v>
      </c>
      <c r="E1895">
        <f>IF(D1896&lt;&gt;cukier11[[#This Row],[miesiac]],1,0)</f>
        <v>0</v>
      </c>
      <c r="F1895">
        <f>IF(AND(H1894&lt;5000,cukier11[[#This Row],[czy_nastapiła_zmiana_mies]]=1),ROUNDUP((5000-H1894)/1000,0),0)</f>
        <v>0</v>
      </c>
      <c r="G1895">
        <f t="shared" si="29"/>
        <v>3121</v>
      </c>
      <c r="H1895">
        <f>cukier11[[#This Row],[stan_magazynu]]-cukier11[[#This Row],[sprzedany_cukier]]</f>
        <v>3070</v>
      </c>
      <c r="I1895" s="9">
        <f>cukier11[[#This Row],[stan_po_sprzedazy]]+cukier11[[#This Row],[ile_dokupic]]*1000</f>
        <v>3070</v>
      </c>
    </row>
    <row r="1896" spans="1:9" x14ac:dyDescent="0.25">
      <c r="A1896" s="1">
        <v>41574</v>
      </c>
      <c r="B1896" t="s">
        <v>130</v>
      </c>
      <c r="C1896">
        <v>7</v>
      </c>
      <c r="D1896">
        <f>MONTH(cukier11[[#This Row],[data]])</f>
        <v>10</v>
      </c>
      <c r="E1896">
        <f>IF(D1897&lt;&gt;cukier11[[#This Row],[miesiac]],1,0)</f>
        <v>0</v>
      </c>
      <c r="F1896">
        <f>IF(AND(H1895&lt;5000,cukier11[[#This Row],[czy_nastapiła_zmiana_mies]]=1),ROUNDUP((5000-H1895)/1000,0),0)</f>
        <v>0</v>
      </c>
      <c r="G1896">
        <f t="shared" si="29"/>
        <v>3070</v>
      </c>
      <c r="H1896">
        <f>cukier11[[#This Row],[stan_magazynu]]-cukier11[[#This Row],[sprzedany_cukier]]</f>
        <v>3063</v>
      </c>
      <c r="I1896" s="9">
        <f>cukier11[[#This Row],[stan_po_sprzedazy]]+cukier11[[#This Row],[ile_dokupic]]*1000</f>
        <v>3063</v>
      </c>
    </row>
    <row r="1897" spans="1:9" x14ac:dyDescent="0.25">
      <c r="A1897" s="1">
        <v>41576</v>
      </c>
      <c r="B1897" t="s">
        <v>99</v>
      </c>
      <c r="C1897">
        <v>19</v>
      </c>
      <c r="D1897">
        <f>MONTH(cukier11[[#This Row],[data]])</f>
        <v>10</v>
      </c>
      <c r="E1897">
        <f>IF(D1898&lt;&gt;cukier11[[#This Row],[miesiac]],1,0)</f>
        <v>0</v>
      </c>
      <c r="F1897">
        <f>IF(AND(H1896&lt;5000,cukier11[[#This Row],[czy_nastapiła_zmiana_mies]]=1),ROUNDUP((5000-H1896)/1000,0),0)</f>
        <v>0</v>
      </c>
      <c r="G1897">
        <f t="shared" si="29"/>
        <v>3063</v>
      </c>
      <c r="H1897">
        <f>cukier11[[#This Row],[stan_magazynu]]-cukier11[[#This Row],[sprzedany_cukier]]</f>
        <v>3044</v>
      </c>
      <c r="I1897" s="9">
        <f>cukier11[[#This Row],[stan_po_sprzedazy]]+cukier11[[#This Row],[ile_dokupic]]*1000</f>
        <v>3044</v>
      </c>
    </row>
    <row r="1898" spans="1:9" x14ac:dyDescent="0.25">
      <c r="A1898" s="1">
        <v>41577</v>
      </c>
      <c r="B1898" t="s">
        <v>75</v>
      </c>
      <c r="C1898">
        <v>4</v>
      </c>
      <c r="D1898">
        <f>MONTH(cukier11[[#This Row],[data]])</f>
        <v>10</v>
      </c>
      <c r="E1898">
        <f>IF(D1899&lt;&gt;cukier11[[#This Row],[miesiac]],1,0)</f>
        <v>1</v>
      </c>
      <c r="F1898">
        <f>IF(AND(H1897&lt;5000,cukier11[[#This Row],[czy_nastapiła_zmiana_mies]]=1),ROUNDUP((5000-H1897)/1000,0),0)</f>
        <v>2</v>
      </c>
      <c r="G1898">
        <f t="shared" si="29"/>
        <v>3044</v>
      </c>
      <c r="H1898">
        <f>cukier11[[#This Row],[stan_magazynu]]-cukier11[[#This Row],[sprzedany_cukier]]</f>
        <v>3040</v>
      </c>
      <c r="I1898" s="9">
        <f>cukier11[[#This Row],[stan_po_sprzedazy]]+cukier11[[#This Row],[ile_dokupic]]*1000</f>
        <v>5040</v>
      </c>
    </row>
    <row r="1899" spans="1:9" x14ac:dyDescent="0.25">
      <c r="A1899" s="1">
        <v>41580</v>
      </c>
      <c r="B1899" t="s">
        <v>45</v>
      </c>
      <c r="C1899">
        <v>163</v>
      </c>
      <c r="D1899">
        <f>MONTH(cukier11[[#This Row],[data]])</f>
        <v>11</v>
      </c>
      <c r="E1899">
        <f>IF(D1900&lt;&gt;cukier11[[#This Row],[miesiac]],1,0)</f>
        <v>0</v>
      </c>
      <c r="F1899">
        <f>IF(AND(H1898&lt;5000,cukier11[[#This Row],[czy_nastapiła_zmiana_mies]]=1),ROUNDUP((5000-H1898)/1000,0),0)</f>
        <v>0</v>
      </c>
      <c r="G1899">
        <f t="shared" si="29"/>
        <v>5040</v>
      </c>
      <c r="H1899">
        <f>cukier11[[#This Row],[stan_magazynu]]-cukier11[[#This Row],[sprzedany_cukier]]</f>
        <v>4877</v>
      </c>
      <c r="I1899" s="9">
        <f>cukier11[[#This Row],[stan_po_sprzedazy]]+cukier11[[#This Row],[ile_dokupic]]*1000</f>
        <v>4877</v>
      </c>
    </row>
    <row r="1900" spans="1:9" x14ac:dyDescent="0.25">
      <c r="A1900" s="1">
        <v>41580</v>
      </c>
      <c r="B1900" t="s">
        <v>30</v>
      </c>
      <c r="C1900">
        <v>165</v>
      </c>
      <c r="D1900">
        <f>MONTH(cukier11[[#This Row],[data]])</f>
        <v>11</v>
      </c>
      <c r="E1900">
        <f>IF(D1901&lt;&gt;cukier11[[#This Row],[miesiac]],1,0)</f>
        <v>0</v>
      </c>
      <c r="F1900">
        <f>IF(AND(H1899&lt;5000,cukier11[[#This Row],[czy_nastapiła_zmiana_mies]]=1),ROUNDUP((5000-H1899)/1000,0),0)</f>
        <v>0</v>
      </c>
      <c r="G1900">
        <f t="shared" si="29"/>
        <v>4877</v>
      </c>
      <c r="H1900">
        <f>cukier11[[#This Row],[stan_magazynu]]-cukier11[[#This Row],[sprzedany_cukier]]</f>
        <v>4712</v>
      </c>
      <c r="I1900" s="9">
        <f>cukier11[[#This Row],[stan_po_sprzedazy]]+cukier11[[#This Row],[ile_dokupic]]*1000</f>
        <v>4712</v>
      </c>
    </row>
    <row r="1901" spans="1:9" x14ac:dyDescent="0.25">
      <c r="A1901" s="1">
        <v>41581</v>
      </c>
      <c r="B1901" t="s">
        <v>210</v>
      </c>
      <c r="C1901">
        <v>14</v>
      </c>
      <c r="D1901">
        <f>MONTH(cukier11[[#This Row],[data]])</f>
        <v>11</v>
      </c>
      <c r="E1901">
        <f>IF(D1902&lt;&gt;cukier11[[#This Row],[miesiac]],1,0)</f>
        <v>0</v>
      </c>
      <c r="F1901">
        <f>IF(AND(H1900&lt;5000,cukier11[[#This Row],[czy_nastapiła_zmiana_mies]]=1),ROUNDUP((5000-H1900)/1000,0),0)</f>
        <v>0</v>
      </c>
      <c r="G1901">
        <f t="shared" si="29"/>
        <v>4712</v>
      </c>
      <c r="H1901">
        <f>cukier11[[#This Row],[stan_magazynu]]-cukier11[[#This Row],[sprzedany_cukier]]</f>
        <v>4698</v>
      </c>
      <c r="I1901" s="9">
        <f>cukier11[[#This Row],[stan_po_sprzedazy]]+cukier11[[#This Row],[ile_dokupic]]*1000</f>
        <v>4698</v>
      </c>
    </row>
    <row r="1902" spans="1:9" x14ac:dyDescent="0.25">
      <c r="A1902" s="1">
        <v>41583</v>
      </c>
      <c r="B1902" t="s">
        <v>28</v>
      </c>
      <c r="C1902">
        <v>177</v>
      </c>
      <c r="D1902">
        <f>MONTH(cukier11[[#This Row],[data]])</f>
        <v>11</v>
      </c>
      <c r="E1902">
        <f>IF(D1903&lt;&gt;cukier11[[#This Row],[miesiac]],1,0)</f>
        <v>0</v>
      </c>
      <c r="F1902">
        <f>IF(AND(H1901&lt;5000,cukier11[[#This Row],[czy_nastapiła_zmiana_mies]]=1),ROUNDUP((5000-H1901)/1000,0),0)</f>
        <v>0</v>
      </c>
      <c r="G1902">
        <f t="shared" si="29"/>
        <v>4698</v>
      </c>
      <c r="H1902">
        <f>cukier11[[#This Row],[stan_magazynu]]-cukier11[[#This Row],[sprzedany_cukier]]</f>
        <v>4521</v>
      </c>
      <c r="I1902" s="9">
        <f>cukier11[[#This Row],[stan_po_sprzedazy]]+cukier11[[#This Row],[ile_dokupic]]*1000</f>
        <v>4521</v>
      </c>
    </row>
    <row r="1903" spans="1:9" x14ac:dyDescent="0.25">
      <c r="A1903" s="1">
        <v>41584</v>
      </c>
      <c r="B1903" t="s">
        <v>147</v>
      </c>
      <c r="C1903">
        <v>1</v>
      </c>
      <c r="D1903">
        <f>MONTH(cukier11[[#This Row],[data]])</f>
        <v>11</v>
      </c>
      <c r="E1903">
        <f>IF(D1904&lt;&gt;cukier11[[#This Row],[miesiac]],1,0)</f>
        <v>0</v>
      </c>
      <c r="F1903">
        <f>IF(AND(H1902&lt;5000,cukier11[[#This Row],[czy_nastapiła_zmiana_mies]]=1),ROUNDUP((5000-H1902)/1000,0),0)</f>
        <v>0</v>
      </c>
      <c r="G1903">
        <f t="shared" si="29"/>
        <v>4521</v>
      </c>
      <c r="H1903">
        <f>cukier11[[#This Row],[stan_magazynu]]-cukier11[[#This Row],[sprzedany_cukier]]</f>
        <v>4520</v>
      </c>
      <c r="I1903" s="9">
        <f>cukier11[[#This Row],[stan_po_sprzedazy]]+cukier11[[#This Row],[ile_dokupic]]*1000</f>
        <v>4520</v>
      </c>
    </row>
    <row r="1904" spans="1:9" x14ac:dyDescent="0.25">
      <c r="A1904" s="1">
        <v>41585</v>
      </c>
      <c r="B1904" t="s">
        <v>131</v>
      </c>
      <c r="C1904">
        <v>193</v>
      </c>
      <c r="D1904">
        <f>MONTH(cukier11[[#This Row],[data]])</f>
        <v>11</v>
      </c>
      <c r="E1904">
        <f>IF(D1905&lt;&gt;cukier11[[#This Row],[miesiac]],1,0)</f>
        <v>0</v>
      </c>
      <c r="F1904">
        <f>IF(AND(H1903&lt;5000,cukier11[[#This Row],[czy_nastapiła_zmiana_mies]]=1),ROUNDUP((5000-H1903)/1000,0),0)</f>
        <v>0</v>
      </c>
      <c r="G1904">
        <f t="shared" si="29"/>
        <v>4520</v>
      </c>
      <c r="H1904">
        <f>cukier11[[#This Row],[stan_magazynu]]-cukier11[[#This Row],[sprzedany_cukier]]</f>
        <v>4327</v>
      </c>
      <c r="I1904" s="9">
        <f>cukier11[[#This Row],[stan_po_sprzedazy]]+cukier11[[#This Row],[ile_dokupic]]*1000</f>
        <v>4327</v>
      </c>
    </row>
    <row r="1905" spans="1:9" x14ac:dyDescent="0.25">
      <c r="A1905" s="1">
        <v>41585</v>
      </c>
      <c r="B1905" t="s">
        <v>110</v>
      </c>
      <c r="C1905">
        <v>8</v>
      </c>
      <c r="D1905">
        <f>MONTH(cukier11[[#This Row],[data]])</f>
        <v>11</v>
      </c>
      <c r="E1905">
        <f>IF(D1906&lt;&gt;cukier11[[#This Row],[miesiac]],1,0)</f>
        <v>0</v>
      </c>
      <c r="F1905">
        <f>IF(AND(H1904&lt;5000,cukier11[[#This Row],[czy_nastapiła_zmiana_mies]]=1),ROUNDUP((5000-H1904)/1000,0),0)</f>
        <v>0</v>
      </c>
      <c r="G1905">
        <f t="shared" si="29"/>
        <v>4327</v>
      </c>
      <c r="H1905">
        <f>cukier11[[#This Row],[stan_magazynu]]-cukier11[[#This Row],[sprzedany_cukier]]</f>
        <v>4319</v>
      </c>
      <c r="I1905" s="9">
        <f>cukier11[[#This Row],[stan_po_sprzedazy]]+cukier11[[#This Row],[ile_dokupic]]*1000</f>
        <v>4319</v>
      </c>
    </row>
    <row r="1906" spans="1:9" x14ac:dyDescent="0.25">
      <c r="A1906" s="1">
        <v>41588</v>
      </c>
      <c r="B1906" t="s">
        <v>233</v>
      </c>
      <c r="C1906">
        <v>11</v>
      </c>
      <c r="D1906">
        <f>MONTH(cukier11[[#This Row],[data]])</f>
        <v>11</v>
      </c>
      <c r="E1906">
        <f>IF(D1907&lt;&gt;cukier11[[#This Row],[miesiac]],1,0)</f>
        <v>0</v>
      </c>
      <c r="F1906">
        <f>IF(AND(H1905&lt;5000,cukier11[[#This Row],[czy_nastapiła_zmiana_mies]]=1),ROUNDUP((5000-H1905)/1000,0),0)</f>
        <v>0</v>
      </c>
      <c r="G1906">
        <f t="shared" si="29"/>
        <v>4319</v>
      </c>
      <c r="H1906">
        <f>cukier11[[#This Row],[stan_magazynu]]-cukier11[[#This Row],[sprzedany_cukier]]</f>
        <v>4308</v>
      </c>
      <c r="I1906" s="9">
        <f>cukier11[[#This Row],[stan_po_sprzedazy]]+cukier11[[#This Row],[ile_dokupic]]*1000</f>
        <v>4308</v>
      </c>
    </row>
    <row r="1907" spans="1:9" x14ac:dyDescent="0.25">
      <c r="A1907" s="1">
        <v>41594</v>
      </c>
      <c r="B1907" t="s">
        <v>22</v>
      </c>
      <c r="C1907">
        <v>249</v>
      </c>
      <c r="D1907">
        <f>MONTH(cukier11[[#This Row],[data]])</f>
        <v>11</v>
      </c>
      <c r="E1907">
        <f>IF(D1908&lt;&gt;cukier11[[#This Row],[miesiac]],1,0)</f>
        <v>0</v>
      </c>
      <c r="F1907">
        <f>IF(AND(H1906&lt;5000,cukier11[[#This Row],[czy_nastapiła_zmiana_mies]]=1),ROUNDUP((5000-H1906)/1000,0),0)</f>
        <v>0</v>
      </c>
      <c r="G1907">
        <f t="shared" si="29"/>
        <v>4308</v>
      </c>
      <c r="H1907">
        <f>cukier11[[#This Row],[stan_magazynu]]-cukier11[[#This Row],[sprzedany_cukier]]</f>
        <v>4059</v>
      </c>
      <c r="I1907" s="9">
        <f>cukier11[[#This Row],[stan_po_sprzedazy]]+cukier11[[#This Row],[ile_dokupic]]*1000</f>
        <v>4059</v>
      </c>
    </row>
    <row r="1908" spans="1:9" x14ac:dyDescent="0.25">
      <c r="A1908" s="1">
        <v>41598</v>
      </c>
      <c r="B1908" t="s">
        <v>5</v>
      </c>
      <c r="C1908">
        <v>360</v>
      </c>
      <c r="D1908">
        <f>MONTH(cukier11[[#This Row],[data]])</f>
        <v>11</v>
      </c>
      <c r="E1908">
        <f>IF(D1909&lt;&gt;cukier11[[#This Row],[miesiac]],1,0)</f>
        <v>0</v>
      </c>
      <c r="F1908">
        <f>IF(AND(H1907&lt;5000,cukier11[[#This Row],[czy_nastapiła_zmiana_mies]]=1),ROUNDUP((5000-H1907)/1000,0),0)</f>
        <v>0</v>
      </c>
      <c r="G1908">
        <f t="shared" si="29"/>
        <v>4059</v>
      </c>
      <c r="H1908">
        <f>cukier11[[#This Row],[stan_magazynu]]-cukier11[[#This Row],[sprzedany_cukier]]</f>
        <v>3699</v>
      </c>
      <c r="I1908" s="9">
        <f>cukier11[[#This Row],[stan_po_sprzedazy]]+cukier11[[#This Row],[ile_dokupic]]*1000</f>
        <v>3699</v>
      </c>
    </row>
    <row r="1909" spans="1:9" x14ac:dyDescent="0.25">
      <c r="A1909" s="1">
        <v>41602</v>
      </c>
      <c r="B1909" t="s">
        <v>26</v>
      </c>
      <c r="C1909">
        <v>186</v>
      </c>
      <c r="D1909">
        <f>MONTH(cukier11[[#This Row],[data]])</f>
        <v>11</v>
      </c>
      <c r="E1909">
        <f>IF(D1910&lt;&gt;cukier11[[#This Row],[miesiac]],1,0)</f>
        <v>0</v>
      </c>
      <c r="F1909">
        <f>IF(AND(H1908&lt;5000,cukier11[[#This Row],[czy_nastapiła_zmiana_mies]]=1),ROUNDUP((5000-H1908)/1000,0),0)</f>
        <v>0</v>
      </c>
      <c r="G1909">
        <f t="shared" si="29"/>
        <v>3699</v>
      </c>
      <c r="H1909">
        <f>cukier11[[#This Row],[stan_magazynu]]-cukier11[[#This Row],[sprzedany_cukier]]</f>
        <v>3513</v>
      </c>
      <c r="I1909" s="9">
        <f>cukier11[[#This Row],[stan_po_sprzedazy]]+cukier11[[#This Row],[ile_dokupic]]*1000</f>
        <v>3513</v>
      </c>
    </row>
    <row r="1910" spans="1:9" x14ac:dyDescent="0.25">
      <c r="A1910" s="1">
        <v>41603</v>
      </c>
      <c r="B1910" t="s">
        <v>52</v>
      </c>
      <c r="C1910">
        <v>29</v>
      </c>
      <c r="D1910">
        <f>MONTH(cukier11[[#This Row],[data]])</f>
        <v>11</v>
      </c>
      <c r="E1910">
        <f>IF(D1911&lt;&gt;cukier11[[#This Row],[miesiac]],1,0)</f>
        <v>0</v>
      </c>
      <c r="F1910">
        <f>IF(AND(H1909&lt;5000,cukier11[[#This Row],[czy_nastapiła_zmiana_mies]]=1),ROUNDUP((5000-H1909)/1000,0),0)</f>
        <v>0</v>
      </c>
      <c r="G1910">
        <f t="shared" si="29"/>
        <v>3513</v>
      </c>
      <c r="H1910">
        <f>cukier11[[#This Row],[stan_magazynu]]-cukier11[[#This Row],[sprzedany_cukier]]</f>
        <v>3484</v>
      </c>
      <c r="I1910" s="9">
        <f>cukier11[[#This Row],[stan_po_sprzedazy]]+cukier11[[#This Row],[ile_dokupic]]*1000</f>
        <v>3484</v>
      </c>
    </row>
    <row r="1911" spans="1:9" x14ac:dyDescent="0.25">
      <c r="A1911" s="1">
        <v>41606</v>
      </c>
      <c r="B1911" t="s">
        <v>30</v>
      </c>
      <c r="C1911">
        <v>174</v>
      </c>
      <c r="D1911">
        <f>MONTH(cukier11[[#This Row],[data]])</f>
        <v>11</v>
      </c>
      <c r="E1911">
        <f>IF(D1912&lt;&gt;cukier11[[#This Row],[miesiac]],1,0)</f>
        <v>0</v>
      </c>
      <c r="F1911">
        <f>IF(AND(H1910&lt;5000,cukier11[[#This Row],[czy_nastapiła_zmiana_mies]]=1),ROUNDUP((5000-H1910)/1000,0),0)</f>
        <v>0</v>
      </c>
      <c r="G1911">
        <f t="shared" si="29"/>
        <v>3484</v>
      </c>
      <c r="H1911">
        <f>cukier11[[#This Row],[stan_magazynu]]-cukier11[[#This Row],[sprzedany_cukier]]</f>
        <v>3310</v>
      </c>
      <c r="I1911" s="9">
        <f>cukier11[[#This Row],[stan_po_sprzedazy]]+cukier11[[#This Row],[ile_dokupic]]*1000</f>
        <v>3310</v>
      </c>
    </row>
    <row r="1912" spans="1:9" x14ac:dyDescent="0.25">
      <c r="A1912" s="1">
        <v>41607</v>
      </c>
      <c r="B1912" t="s">
        <v>7</v>
      </c>
      <c r="C1912">
        <v>131</v>
      </c>
      <c r="D1912">
        <f>MONTH(cukier11[[#This Row],[data]])</f>
        <v>11</v>
      </c>
      <c r="E1912">
        <f>IF(D1913&lt;&gt;cukier11[[#This Row],[miesiac]],1,0)</f>
        <v>1</v>
      </c>
      <c r="F1912">
        <f>IF(AND(H1911&lt;5000,cukier11[[#This Row],[czy_nastapiła_zmiana_mies]]=1),ROUNDUP((5000-H1911)/1000,0),0)</f>
        <v>2</v>
      </c>
      <c r="G1912">
        <f t="shared" si="29"/>
        <v>3310</v>
      </c>
      <c r="H1912">
        <f>cukier11[[#This Row],[stan_magazynu]]-cukier11[[#This Row],[sprzedany_cukier]]</f>
        <v>3179</v>
      </c>
      <c r="I1912" s="9">
        <f>cukier11[[#This Row],[stan_po_sprzedazy]]+cukier11[[#This Row],[ile_dokupic]]*1000</f>
        <v>5179</v>
      </c>
    </row>
    <row r="1913" spans="1:9" x14ac:dyDescent="0.25">
      <c r="A1913" s="1">
        <v>41609</v>
      </c>
      <c r="B1913" t="s">
        <v>7</v>
      </c>
      <c r="C1913">
        <v>157</v>
      </c>
      <c r="D1913">
        <f>MONTH(cukier11[[#This Row],[data]])</f>
        <v>12</v>
      </c>
      <c r="E1913">
        <f>IF(D1914&lt;&gt;cukier11[[#This Row],[miesiac]],1,0)</f>
        <v>0</v>
      </c>
      <c r="F1913">
        <f>IF(AND(H1912&lt;5000,cukier11[[#This Row],[czy_nastapiła_zmiana_mies]]=1),ROUNDUP((5000-H1912)/1000,0),0)</f>
        <v>0</v>
      </c>
      <c r="G1913">
        <f t="shared" si="29"/>
        <v>5179</v>
      </c>
      <c r="H1913">
        <f>cukier11[[#This Row],[stan_magazynu]]-cukier11[[#This Row],[sprzedany_cukier]]</f>
        <v>5022</v>
      </c>
      <c r="I1913" s="9">
        <f>cukier11[[#This Row],[stan_po_sprzedazy]]+cukier11[[#This Row],[ile_dokupic]]*1000</f>
        <v>5022</v>
      </c>
    </row>
    <row r="1914" spans="1:9" x14ac:dyDescent="0.25">
      <c r="A1914" s="1">
        <v>41609</v>
      </c>
      <c r="B1914" t="s">
        <v>14</v>
      </c>
      <c r="C1914">
        <v>284</v>
      </c>
      <c r="D1914">
        <f>MONTH(cukier11[[#This Row],[data]])</f>
        <v>12</v>
      </c>
      <c r="E1914">
        <f>IF(D1915&lt;&gt;cukier11[[#This Row],[miesiac]],1,0)</f>
        <v>0</v>
      </c>
      <c r="F1914">
        <f>IF(AND(H1913&lt;5000,cukier11[[#This Row],[czy_nastapiła_zmiana_mies]]=1),ROUNDUP((5000-H1913)/1000,0),0)</f>
        <v>0</v>
      </c>
      <c r="G1914">
        <f t="shared" si="29"/>
        <v>5022</v>
      </c>
      <c r="H1914">
        <f>cukier11[[#This Row],[stan_magazynu]]-cukier11[[#This Row],[sprzedany_cukier]]</f>
        <v>4738</v>
      </c>
      <c r="I1914" s="9">
        <f>cukier11[[#This Row],[stan_po_sprzedazy]]+cukier11[[#This Row],[ile_dokupic]]*1000</f>
        <v>4738</v>
      </c>
    </row>
    <row r="1915" spans="1:9" x14ac:dyDescent="0.25">
      <c r="A1915" s="1">
        <v>41610</v>
      </c>
      <c r="B1915" t="s">
        <v>17</v>
      </c>
      <c r="C1915">
        <v>292</v>
      </c>
      <c r="D1915">
        <f>MONTH(cukier11[[#This Row],[data]])</f>
        <v>12</v>
      </c>
      <c r="E1915">
        <f>IF(D1916&lt;&gt;cukier11[[#This Row],[miesiac]],1,0)</f>
        <v>0</v>
      </c>
      <c r="F1915">
        <f>IF(AND(H1914&lt;5000,cukier11[[#This Row],[czy_nastapiła_zmiana_mies]]=1),ROUNDUP((5000-H1914)/1000,0),0)</f>
        <v>0</v>
      </c>
      <c r="G1915">
        <f t="shared" si="29"/>
        <v>4738</v>
      </c>
      <c r="H1915">
        <f>cukier11[[#This Row],[stan_magazynu]]-cukier11[[#This Row],[sprzedany_cukier]]</f>
        <v>4446</v>
      </c>
      <c r="I1915" s="9">
        <f>cukier11[[#This Row],[stan_po_sprzedazy]]+cukier11[[#This Row],[ile_dokupic]]*1000</f>
        <v>4446</v>
      </c>
    </row>
    <row r="1916" spans="1:9" x14ac:dyDescent="0.25">
      <c r="A1916" s="1">
        <v>41612</v>
      </c>
      <c r="B1916" t="s">
        <v>81</v>
      </c>
      <c r="C1916">
        <v>13</v>
      </c>
      <c r="D1916">
        <f>MONTH(cukier11[[#This Row],[data]])</f>
        <v>12</v>
      </c>
      <c r="E1916">
        <f>IF(D1917&lt;&gt;cukier11[[#This Row],[miesiac]],1,0)</f>
        <v>0</v>
      </c>
      <c r="F1916">
        <f>IF(AND(H1915&lt;5000,cukier11[[#This Row],[czy_nastapiła_zmiana_mies]]=1),ROUNDUP((5000-H1915)/1000,0),0)</f>
        <v>0</v>
      </c>
      <c r="G1916">
        <f t="shared" si="29"/>
        <v>4446</v>
      </c>
      <c r="H1916">
        <f>cukier11[[#This Row],[stan_magazynu]]-cukier11[[#This Row],[sprzedany_cukier]]</f>
        <v>4433</v>
      </c>
      <c r="I1916" s="9">
        <f>cukier11[[#This Row],[stan_po_sprzedazy]]+cukier11[[#This Row],[ile_dokupic]]*1000</f>
        <v>4433</v>
      </c>
    </row>
    <row r="1917" spans="1:9" x14ac:dyDescent="0.25">
      <c r="A1917" s="1">
        <v>41614</v>
      </c>
      <c r="B1917" t="s">
        <v>85</v>
      </c>
      <c r="C1917">
        <v>16</v>
      </c>
      <c r="D1917">
        <f>MONTH(cukier11[[#This Row],[data]])</f>
        <v>12</v>
      </c>
      <c r="E1917">
        <f>IF(D1918&lt;&gt;cukier11[[#This Row],[miesiac]],1,0)</f>
        <v>0</v>
      </c>
      <c r="F1917">
        <f>IF(AND(H1916&lt;5000,cukier11[[#This Row],[czy_nastapiła_zmiana_mies]]=1),ROUNDUP((5000-H1916)/1000,0),0)</f>
        <v>0</v>
      </c>
      <c r="G1917">
        <f t="shared" si="29"/>
        <v>4433</v>
      </c>
      <c r="H1917">
        <f>cukier11[[#This Row],[stan_magazynu]]-cukier11[[#This Row],[sprzedany_cukier]]</f>
        <v>4417</v>
      </c>
      <c r="I1917" s="9">
        <f>cukier11[[#This Row],[stan_po_sprzedazy]]+cukier11[[#This Row],[ile_dokupic]]*1000</f>
        <v>4417</v>
      </c>
    </row>
    <row r="1918" spans="1:9" x14ac:dyDescent="0.25">
      <c r="A1918" s="1">
        <v>41614</v>
      </c>
      <c r="B1918" t="s">
        <v>22</v>
      </c>
      <c r="C1918">
        <v>364</v>
      </c>
      <c r="D1918">
        <f>MONTH(cukier11[[#This Row],[data]])</f>
        <v>12</v>
      </c>
      <c r="E1918">
        <f>IF(D1919&lt;&gt;cukier11[[#This Row],[miesiac]],1,0)</f>
        <v>0</v>
      </c>
      <c r="F1918">
        <f>IF(AND(H1917&lt;5000,cukier11[[#This Row],[czy_nastapiła_zmiana_mies]]=1),ROUNDUP((5000-H1917)/1000,0),0)</f>
        <v>0</v>
      </c>
      <c r="G1918">
        <f t="shared" si="29"/>
        <v>4417</v>
      </c>
      <c r="H1918">
        <f>cukier11[[#This Row],[stan_magazynu]]-cukier11[[#This Row],[sprzedany_cukier]]</f>
        <v>4053</v>
      </c>
      <c r="I1918" s="9">
        <f>cukier11[[#This Row],[stan_po_sprzedazy]]+cukier11[[#This Row],[ile_dokupic]]*1000</f>
        <v>4053</v>
      </c>
    </row>
    <row r="1919" spans="1:9" x14ac:dyDescent="0.25">
      <c r="A1919" s="1">
        <v>41615</v>
      </c>
      <c r="B1919" t="s">
        <v>44</v>
      </c>
      <c r="C1919">
        <v>16</v>
      </c>
      <c r="D1919">
        <f>MONTH(cukier11[[#This Row],[data]])</f>
        <v>12</v>
      </c>
      <c r="E1919">
        <f>IF(D1920&lt;&gt;cukier11[[#This Row],[miesiac]],1,0)</f>
        <v>0</v>
      </c>
      <c r="F1919">
        <f>IF(AND(H1918&lt;5000,cukier11[[#This Row],[czy_nastapiła_zmiana_mies]]=1),ROUNDUP((5000-H1918)/1000,0),0)</f>
        <v>0</v>
      </c>
      <c r="G1919">
        <f t="shared" si="29"/>
        <v>4053</v>
      </c>
      <c r="H1919">
        <f>cukier11[[#This Row],[stan_magazynu]]-cukier11[[#This Row],[sprzedany_cukier]]</f>
        <v>4037</v>
      </c>
      <c r="I1919" s="9">
        <f>cukier11[[#This Row],[stan_po_sprzedazy]]+cukier11[[#This Row],[ile_dokupic]]*1000</f>
        <v>4037</v>
      </c>
    </row>
    <row r="1920" spans="1:9" x14ac:dyDescent="0.25">
      <c r="A1920" s="1">
        <v>41615</v>
      </c>
      <c r="B1920" t="s">
        <v>49</v>
      </c>
      <c r="C1920">
        <v>3</v>
      </c>
      <c r="D1920">
        <f>MONTH(cukier11[[#This Row],[data]])</f>
        <v>12</v>
      </c>
      <c r="E1920">
        <f>IF(D1921&lt;&gt;cukier11[[#This Row],[miesiac]],1,0)</f>
        <v>0</v>
      </c>
      <c r="F1920">
        <f>IF(AND(H1919&lt;5000,cukier11[[#This Row],[czy_nastapiła_zmiana_mies]]=1),ROUNDUP((5000-H1919)/1000,0),0)</f>
        <v>0</v>
      </c>
      <c r="G1920">
        <f t="shared" si="29"/>
        <v>4037</v>
      </c>
      <c r="H1920">
        <f>cukier11[[#This Row],[stan_magazynu]]-cukier11[[#This Row],[sprzedany_cukier]]</f>
        <v>4034</v>
      </c>
      <c r="I1920" s="9">
        <f>cukier11[[#This Row],[stan_po_sprzedazy]]+cukier11[[#This Row],[ile_dokupic]]*1000</f>
        <v>4034</v>
      </c>
    </row>
    <row r="1921" spans="1:9" x14ac:dyDescent="0.25">
      <c r="A1921" s="1">
        <v>41616</v>
      </c>
      <c r="B1921" t="s">
        <v>207</v>
      </c>
      <c r="C1921">
        <v>9</v>
      </c>
      <c r="D1921">
        <f>MONTH(cukier11[[#This Row],[data]])</f>
        <v>12</v>
      </c>
      <c r="E1921">
        <f>IF(D1922&lt;&gt;cukier11[[#This Row],[miesiac]],1,0)</f>
        <v>0</v>
      </c>
      <c r="F1921">
        <f>IF(AND(H1920&lt;5000,cukier11[[#This Row],[czy_nastapiła_zmiana_mies]]=1),ROUNDUP((5000-H1920)/1000,0),0)</f>
        <v>0</v>
      </c>
      <c r="G1921">
        <f t="shared" si="29"/>
        <v>4034</v>
      </c>
      <c r="H1921">
        <f>cukier11[[#This Row],[stan_magazynu]]-cukier11[[#This Row],[sprzedany_cukier]]</f>
        <v>4025</v>
      </c>
      <c r="I1921" s="9">
        <f>cukier11[[#This Row],[stan_po_sprzedazy]]+cukier11[[#This Row],[ile_dokupic]]*1000</f>
        <v>4025</v>
      </c>
    </row>
    <row r="1922" spans="1:9" x14ac:dyDescent="0.25">
      <c r="A1922" s="1">
        <v>41617</v>
      </c>
      <c r="B1922" t="s">
        <v>206</v>
      </c>
      <c r="C1922">
        <v>6</v>
      </c>
      <c r="D1922">
        <f>MONTH(cukier11[[#This Row],[data]])</f>
        <v>12</v>
      </c>
      <c r="E1922">
        <f>IF(D1923&lt;&gt;cukier11[[#This Row],[miesiac]],1,0)</f>
        <v>0</v>
      </c>
      <c r="F1922">
        <f>IF(AND(H1921&lt;5000,cukier11[[#This Row],[czy_nastapiła_zmiana_mies]]=1),ROUNDUP((5000-H1921)/1000,0),0)</f>
        <v>0</v>
      </c>
      <c r="G1922">
        <f t="shared" si="29"/>
        <v>4025</v>
      </c>
      <c r="H1922">
        <f>cukier11[[#This Row],[stan_magazynu]]-cukier11[[#This Row],[sprzedany_cukier]]</f>
        <v>4019</v>
      </c>
      <c r="I1922" s="9">
        <f>cukier11[[#This Row],[stan_po_sprzedazy]]+cukier11[[#This Row],[ile_dokupic]]*1000</f>
        <v>4019</v>
      </c>
    </row>
    <row r="1923" spans="1:9" x14ac:dyDescent="0.25">
      <c r="A1923" s="1">
        <v>41621</v>
      </c>
      <c r="B1923" t="s">
        <v>71</v>
      </c>
      <c r="C1923">
        <v>117</v>
      </c>
      <c r="D1923">
        <f>MONTH(cukier11[[#This Row],[data]])</f>
        <v>12</v>
      </c>
      <c r="E1923">
        <f>IF(D1924&lt;&gt;cukier11[[#This Row],[miesiac]],1,0)</f>
        <v>0</v>
      </c>
      <c r="F1923">
        <f>IF(AND(H1922&lt;5000,cukier11[[#This Row],[czy_nastapiła_zmiana_mies]]=1),ROUNDUP((5000-H1922)/1000,0),0)</f>
        <v>0</v>
      </c>
      <c r="G1923">
        <f t="shared" si="29"/>
        <v>4019</v>
      </c>
      <c r="H1923">
        <f>cukier11[[#This Row],[stan_magazynu]]-cukier11[[#This Row],[sprzedany_cukier]]</f>
        <v>3902</v>
      </c>
      <c r="I1923" s="9">
        <f>cukier11[[#This Row],[stan_po_sprzedazy]]+cukier11[[#This Row],[ile_dokupic]]*1000</f>
        <v>3902</v>
      </c>
    </row>
    <row r="1924" spans="1:9" x14ac:dyDescent="0.25">
      <c r="A1924" s="1">
        <v>41622</v>
      </c>
      <c r="B1924" t="s">
        <v>42</v>
      </c>
      <c r="C1924">
        <v>6</v>
      </c>
      <c r="D1924">
        <f>MONTH(cukier11[[#This Row],[data]])</f>
        <v>12</v>
      </c>
      <c r="E1924">
        <f>IF(D1925&lt;&gt;cukier11[[#This Row],[miesiac]],1,0)</f>
        <v>0</v>
      </c>
      <c r="F1924">
        <f>IF(AND(H1923&lt;5000,cukier11[[#This Row],[czy_nastapiła_zmiana_mies]]=1),ROUNDUP((5000-H1923)/1000,0),0)</f>
        <v>0</v>
      </c>
      <c r="G1924">
        <f t="shared" ref="G1924:G1987" si="30">I1923</f>
        <v>3902</v>
      </c>
      <c r="H1924">
        <f>cukier11[[#This Row],[stan_magazynu]]-cukier11[[#This Row],[sprzedany_cukier]]</f>
        <v>3896</v>
      </c>
      <c r="I1924" s="9">
        <f>cukier11[[#This Row],[stan_po_sprzedazy]]+cukier11[[#This Row],[ile_dokupic]]*1000</f>
        <v>3896</v>
      </c>
    </row>
    <row r="1925" spans="1:9" x14ac:dyDescent="0.25">
      <c r="A1925" s="1">
        <v>41623</v>
      </c>
      <c r="B1925" t="s">
        <v>9</v>
      </c>
      <c r="C1925">
        <v>186</v>
      </c>
      <c r="D1925">
        <f>MONTH(cukier11[[#This Row],[data]])</f>
        <v>12</v>
      </c>
      <c r="E1925">
        <f>IF(D1926&lt;&gt;cukier11[[#This Row],[miesiac]],1,0)</f>
        <v>0</v>
      </c>
      <c r="F1925">
        <f>IF(AND(H1924&lt;5000,cukier11[[#This Row],[czy_nastapiła_zmiana_mies]]=1),ROUNDUP((5000-H1924)/1000,0),0)</f>
        <v>0</v>
      </c>
      <c r="G1925">
        <f t="shared" si="30"/>
        <v>3896</v>
      </c>
      <c r="H1925">
        <f>cukier11[[#This Row],[stan_magazynu]]-cukier11[[#This Row],[sprzedany_cukier]]</f>
        <v>3710</v>
      </c>
      <c r="I1925" s="9">
        <f>cukier11[[#This Row],[stan_po_sprzedazy]]+cukier11[[#This Row],[ile_dokupic]]*1000</f>
        <v>3710</v>
      </c>
    </row>
    <row r="1926" spans="1:9" x14ac:dyDescent="0.25">
      <c r="A1926" s="1">
        <v>41623</v>
      </c>
      <c r="B1926" t="s">
        <v>42</v>
      </c>
      <c r="C1926">
        <v>16</v>
      </c>
      <c r="D1926">
        <f>MONTH(cukier11[[#This Row],[data]])</f>
        <v>12</v>
      </c>
      <c r="E1926">
        <f>IF(D1927&lt;&gt;cukier11[[#This Row],[miesiac]],1,0)</f>
        <v>0</v>
      </c>
      <c r="F1926">
        <f>IF(AND(H1925&lt;5000,cukier11[[#This Row],[czy_nastapiła_zmiana_mies]]=1),ROUNDUP((5000-H1925)/1000,0),0)</f>
        <v>0</v>
      </c>
      <c r="G1926">
        <f t="shared" si="30"/>
        <v>3710</v>
      </c>
      <c r="H1926">
        <f>cukier11[[#This Row],[stan_magazynu]]-cukier11[[#This Row],[sprzedany_cukier]]</f>
        <v>3694</v>
      </c>
      <c r="I1926" s="9">
        <f>cukier11[[#This Row],[stan_po_sprzedazy]]+cukier11[[#This Row],[ile_dokupic]]*1000</f>
        <v>3694</v>
      </c>
    </row>
    <row r="1927" spans="1:9" x14ac:dyDescent="0.25">
      <c r="A1927" s="1">
        <v>41624</v>
      </c>
      <c r="B1927" t="s">
        <v>6</v>
      </c>
      <c r="C1927">
        <v>100</v>
      </c>
      <c r="D1927">
        <f>MONTH(cukier11[[#This Row],[data]])</f>
        <v>12</v>
      </c>
      <c r="E1927">
        <f>IF(D1928&lt;&gt;cukier11[[#This Row],[miesiac]],1,0)</f>
        <v>0</v>
      </c>
      <c r="F1927">
        <f>IF(AND(H1926&lt;5000,cukier11[[#This Row],[czy_nastapiła_zmiana_mies]]=1),ROUNDUP((5000-H1926)/1000,0),0)</f>
        <v>0</v>
      </c>
      <c r="G1927">
        <f t="shared" si="30"/>
        <v>3694</v>
      </c>
      <c r="H1927">
        <f>cukier11[[#This Row],[stan_magazynu]]-cukier11[[#This Row],[sprzedany_cukier]]</f>
        <v>3594</v>
      </c>
      <c r="I1927" s="9">
        <f>cukier11[[#This Row],[stan_po_sprzedazy]]+cukier11[[#This Row],[ile_dokupic]]*1000</f>
        <v>3594</v>
      </c>
    </row>
    <row r="1928" spans="1:9" x14ac:dyDescent="0.25">
      <c r="A1928" s="1">
        <v>41629</v>
      </c>
      <c r="B1928" t="s">
        <v>1</v>
      </c>
      <c r="C1928">
        <v>20</v>
      </c>
      <c r="D1928">
        <f>MONTH(cukier11[[#This Row],[data]])</f>
        <v>12</v>
      </c>
      <c r="E1928">
        <f>IF(D1929&lt;&gt;cukier11[[#This Row],[miesiac]],1,0)</f>
        <v>0</v>
      </c>
      <c r="F1928">
        <f>IF(AND(H1927&lt;5000,cukier11[[#This Row],[czy_nastapiła_zmiana_mies]]=1),ROUNDUP((5000-H1927)/1000,0),0)</f>
        <v>0</v>
      </c>
      <c r="G1928">
        <f t="shared" si="30"/>
        <v>3594</v>
      </c>
      <c r="H1928">
        <f>cukier11[[#This Row],[stan_magazynu]]-cukier11[[#This Row],[sprzedany_cukier]]</f>
        <v>3574</v>
      </c>
      <c r="I1928" s="9">
        <f>cukier11[[#This Row],[stan_po_sprzedazy]]+cukier11[[#This Row],[ile_dokupic]]*1000</f>
        <v>3574</v>
      </c>
    </row>
    <row r="1929" spans="1:9" x14ac:dyDescent="0.25">
      <c r="A1929" s="1">
        <v>41629</v>
      </c>
      <c r="B1929" t="s">
        <v>35</v>
      </c>
      <c r="C1929">
        <v>192</v>
      </c>
      <c r="D1929">
        <f>MONTH(cukier11[[#This Row],[data]])</f>
        <v>12</v>
      </c>
      <c r="E1929">
        <f>IF(D1930&lt;&gt;cukier11[[#This Row],[miesiac]],1,0)</f>
        <v>0</v>
      </c>
      <c r="F1929">
        <f>IF(AND(H1928&lt;5000,cukier11[[#This Row],[czy_nastapiła_zmiana_mies]]=1),ROUNDUP((5000-H1928)/1000,0),0)</f>
        <v>0</v>
      </c>
      <c r="G1929">
        <f t="shared" si="30"/>
        <v>3574</v>
      </c>
      <c r="H1929">
        <f>cukier11[[#This Row],[stan_magazynu]]-cukier11[[#This Row],[sprzedany_cukier]]</f>
        <v>3382</v>
      </c>
      <c r="I1929" s="9">
        <f>cukier11[[#This Row],[stan_po_sprzedazy]]+cukier11[[#This Row],[ile_dokupic]]*1000</f>
        <v>3382</v>
      </c>
    </row>
    <row r="1930" spans="1:9" x14ac:dyDescent="0.25">
      <c r="A1930" s="1">
        <v>41630</v>
      </c>
      <c r="B1930" t="s">
        <v>35</v>
      </c>
      <c r="C1930">
        <v>92</v>
      </c>
      <c r="D1930">
        <f>MONTH(cukier11[[#This Row],[data]])</f>
        <v>12</v>
      </c>
      <c r="E1930">
        <f>IF(D1931&lt;&gt;cukier11[[#This Row],[miesiac]],1,0)</f>
        <v>0</v>
      </c>
      <c r="F1930">
        <f>IF(AND(H1929&lt;5000,cukier11[[#This Row],[czy_nastapiła_zmiana_mies]]=1),ROUNDUP((5000-H1929)/1000,0),0)</f>
        <v>0</v>
      </c>
      <c r="G1930">
        <f t="shared" si="30"/>
        <v>3382</v>
      </c>
      <c r="H1930">
        <f>cukier11[[#This Row],[stan_magazynu]]-cukier11[[#This Row],[sprzedany_cukier]]</f>
        <v>3290</v>
      </c>
      <c r="I1930" s="9">
        <f>cukier11[[#This Row],[stan_po_sprzedazy]]+cukier11[[#This Row],[ile_dokupic]]*1000</f>
        <v>3290</v>
      </c>
    </row>
    <row r="1931" spans="1:9" x14ac:dyDescent="0.25">
      <c r="A1931" s="1">
        <v>41631</v>
      </c>
      <c r="B1931" t="s">
        <v>118</v>
      </c>
      <c r="C1931">
        <v>11</v>
      </c>
      <c r="D1931">
        <f>MONTH(cukier11[[#This Row],[data]])</f>
        <v>12</v>
      </c>
      <c r="E1931">
        <f>IF(D1932&lt;&gt;cukier11[[#This Row],[miesiac]],1,0)</f>
        <v>0</v>
      </c>
      <c r="F1931">
        <f>IF(AND(H1930&lt;5000,cukier11[[#This Row],[czy_nastapiła_zmiana_mies]]=1),ROUNDUP((5000-H1930)/1000,0),0)</f>
        <v>0</v>
      </c>
      <c r="G1931">
        <f t="shared" si="30"/>
        <v>3290</v>
      </c>
      <c r="H1931">
        <f>cukier11[[#This Row],[stan_magazynu]]-cukier11[[#This Row],[sprzedany_cukier]]</f>
        <v>3279</v>
      </c>
      <c r="I1931" s="9">
        <f>cukier11[[#This Row],[stan_po_sprzedazy]]+cukier11[[#This Row],[ile_dokupic]]*1000</f>
        <v>3279</v>
      </c>
    </row>
    <row r="1932" spans="1:9" x14ac:dyDescent="0.25">
      <c r="A1932" s="1">
        <v>41633</v>
      </c>
      <c r="B1932" t="s">
        <v>237</v>
      </c>
      <c r="C1932">
        <v>10</v>
      </c>
      <c r="D1932">
        <f>MONTH(cukier11[[#This Row],[data]])</f>
        <v>12</v>
      </c>
      <c r="E1932">
        <f>IF(D1933&lt;&gt;cukier11[[#This Row],[miesiac]],1,0)</f>
        <v>0</v>
      </c>
      <c r="F1932">
        <f>IF(AND(H1931&lt;5000,cukier11[[#This Row],[czy_nastapiła_zmiana_mies]]=1),ROUNDUP((5000-H1931)/1000,0),0)</f>
        <v>0</v>
      </c>
      <c r="G1932">
        <f t="shared" si="30"/>
        <v>3279</v>
      </c>
      <c r="H1932">
        <f>cukier11[[#This Row],[stan_magazynu]]-cukier11[[#This Row],[sprzedany_cukier]]</f>
        <v>3269</v>
      </c>
      <c r="I1932" s="9">
        <f>cukier11[[#This Row],[stan_po_sprzedazy]]+cukier11[[#This Row],[ile_dokupic]]*1000</f>
        <v>3269</v>
      </c>
    </row>
    <row r="1933" spans="1:9" x14ac:dyDescent="0.25">
      <c r="A1933" s="1">
        <v>41634</v>
      </c>
      <c r="B1933" t="s">
        <v>71</v>
      </c>
      <c r="C1933">
        <v>180</v>
      </c>
      <c r="D1933">
        <f>MONTH(cukier11[[#This Row],[data]])</f>
        <v>12</v>
      </c>
      <c r="E1933">
        <f>IF(D1934&lt;&gt;cukier11[[#This Row],[miesiac]],1,0)</f>
        <v>0</v>
      </c>
      <c r="F1933">
        <f>IF(AND(H1932&lt;5000,cukier11[[#This Row],[czy_nastapiła_zmiana_mies]]=1),ROUNDUP((5000-H1932)/1000,0),0)</f>
        <v>0</v>
      </c>
      <c r="G1933">
        <f t="shared" si="30"/>
        <v>3269</v>
      </c>
      <c r="H1933">
        <f>cukier11[[#This Row],[stan_magazynu]]-cukier11[[#This Row],[sprzedany_cukier]]</f>
        <v>3089</v>
      </c>
      <c r="I1933" s="9">
        <f>cukier11[[#This Row],[stan_po_sprzedazy]]+cukier11[[#This Row],[ile_dokupic]]*1000</f>
        <v>3089</v>
      </c>
    </row>
    <row r="1934" spans="1:9" x14ac:dyDescent="0.25">
      <c r="A1934" s="1">
        <v>41637</v>
      </c>
      <c r="B1934" t="s">
        <v>38</v>
      </c>
      <c r="C1934">
        <v>12</v>
      </c>
      <c r="D1934">
        <f>MONTH(cukier11[[#This Row],[data]])</f>
        <v>12</v>
      </c>
      <c r="E1934">
        <f>IF(D1935&lt;&gt;cukier11[[#This Row],[miesiac]],1,0)</f>
        <v>0</v>
      </c>
      <c r="F1934">
        <f>IF(AND(H1933&lt;5000,cukier11[[#This Row],[czy_nastapiła_zmiana_mies]]=1),ROUNDUP((5000-H1933)/1000,0),0)</f>
        <v>0</v>
      </c>
      <c r="G1934">
        <f t="shared" si="30"/>
        <v>3089</v>
      </c>
      <c r="H1934">
        <f>cukier11[[#This Row],[stan_magazynu]]-cukier11[[#This Row],[sprzedany_cukier]]</f>
        <v>3077</v>
      </c>
      <c r="I1934" s="9">
        <f>cukier11[[#This Row],[stan_po_sprzedazy]]+cukier11[[#This Row],[ile_dokupic]]*1000</f>
        <v>3077</v>
      </c>
    </row>
    <row r="1935" spans="1:9" x14ac:dyDescent="0.25">
      <c r="A1935" s="1">
        <v>41638</v>
      </c>
      <c r="B1935" t="s">
        <v>222</v>
      </c>
      <c r="C1935">
        <v>12</v>
      </c>
      <c r="D1935">
        <f>MONTH(cukier11[[#This Row],[data]])</f>
        <v>12</v>
      </c>
      <c r="E1935">
        <f>IF(D1936&lt;&gt;cukier11[[#This Row],[miesiac]],1,0)</f>
        <v>0</v>
      </c>
      <c r="F1935">
        <f>IF(AND(H1934&lt;5000,cukier11[[#This Row],[czy_nastapiła_zmiana_mies]]=1),ROUNDUP((5000-H1934)/1000,0),0)</f>
        <v>0</v>
      </c>
      <c r="G1935">
        <f t="shared" si="30"/>
        <v>3077</v>
      </c>
      <c r="H1935">
        <f>cukier11[[#This Row],[stan_magazynu]]-cukier11[[#This Row],[sprzedany_cukier]]</f>
        <v>3065</v>
      </c>
      <c r="I1935" s="9">
        <f>cukier11[[#This Row],[stan_po_sprzedazy]]+cukier11[[#This Row],[ile_dokupic]]*1000</f>
        <v>3065</v>
      </c>
    </row>
    <row r="1936" spans="1:9" x14ac:dyDescent="0.25">
      <c r="A1936" s="1">
        <v>41639</v>
      </c>
      <c r="B1936" t="s">
        <v>97</v>
      </c>
      <c r="C1936">
        <v>8</v>
      </c>
      <c r="D1936">
        <f>MONTH(cukier11[[#This Row],[data]])</f>
        <v>12</v>
      </c>
      <c r="E1936">
        <f>IF(D1937&lt;&gt;cukier11[[#This Row],[miesiac]],1,0)</f>
        <v>1</v>
      </c>
      <c r="F1936">
        <f>IF(AND(H1935&lt;5000,cukier11[[#This Row],[czy_nastapiła_zmiana_mies]]=1),ROUNDUP((5000-H1935)/1000,0),0)</f>
        <v>2</v>
      </c>
      <c r="G1936">
        <f t="shared" si="30"/>
        <v>3065</v>
      </c>
      <c r="H1936">
        <f>cukier11[[#This Row],[stan_magazynu]]-cukier11[[#This Row],[sprzedany_cukier]]</f>
        <v>3057</v>
      </c>
      <c r="I1936" s="9">
        <f>cukier11[[#This Row],[stan_po_sprzedazy]]+cukier11[[#This Row],[ile_dokupic]]*1000</f>
        <v>5057</v>
      </c>
    </row>
    <row r="1937" spans="1:9" x14ac:dyDescent="0.25">
      <c r="A1937" s="1">
        <v>41641</v>
      </c>
      <c r="B1937" t="s">
        <v>12</v>
      </c>
      <c r="C1937">
        <v>56</v>
      </c>
      <c r="D1937">
        <f>MONTH(cukier11[[#This Row],[data]])</f>
        <v>1</v>
      </c>
      <c r="E1937">
        <f>IF(D1938&lt;&gt;cukier11[[#This Row],[miesiac]],1,0)</f>
        <v>0</v>
      </c>
      <c r="F1937">
        <f>IF(AND(H1936&lt;5000,cukier11[[#This Row],[czy_nastapiła_zmiana_mies]]=1),ROUNDUP((5000-H1936)/1000,0),0)</f>
        <v>0</v>
      </c>
      <c r="G1937">
        <f t="shared" si="30"/>
        <v>5057</v>
      </c>
      <c r="H1937">
        <f>cukier11[[#This Row],[stan_magazynu]]-cukier11[[#This Row],[sprzedany_cukier]]</f>
        <v>5001</v>
      </c>
      <c r="I1937" s="9">
        <f>cukier11[[#This Row],[stan_po_sprzedazy]]+cukier11[[#This Row],[ile_dokupic]]*1000</f>
        <v>5001</v>
      </c>
    </row>
    <row r="1938" spans="1:9" x14ac:dyDescent="0.25">
      <c r="A1938" s="1">
        <v>41642</v>
      </c>
      <c r="B1938" t="s">
        <v>82</v>
      </c>
      <c r="C1938">
        <v>18</v>
      </c>
      <c r="D1938">
        <f>MONTH(cukier11[[#This Row],[data]])</f>
        <v>1</v>
      </c>
      <c r="E1938">
        <f>IF(D1939&lt;&gt;cukier11[[#This Row],[miesiac]],1,0)</f>
        <v>0</v>
      </c>
      <c r="F1938">
        <f>IF(AND(H1937&lt;5000,cukier11[[#This Row],[czy_nastapiła_zmiana_mies]]=1),ROUNDUP((5000-H1937)/1000,0),0)</f>
        <v>0</v>
      </c>
      <c r="G1938">
        <f t="shared" si="30"/>
        <v>5001</v>
      </c>
      <c r="H1938">
        <f>cukier11[[#This Row],[stan_magazynu]]-cukier11[[#This Row],[sprzedany_cukier]]</f>
        <v>4983</v>
      </c>
      <c r="I1938" s="9">
        <f>cukier11[[#This Row],[stan_po_sprzedazy]]+cukier11[[#This Row],[ile_dokupic]]*1000</f>
        <v>4983</v>
      </c>
    </row>
    <row r="1939" spans="1:9" x14ac:dyDescent="0.25">
      <c r="A1939" s="1">
        <v>41642</v>
      </c>
      <c r="B1939" t="s">
        <v>14</v>
      </c>
      <c r="C1939">
        <v>164</v>
      </c>
      <c r="D1939">
        <f>MONTH(cukier11[[#This Row],[data]])</f>
        <v>1</v>
      </c>
      <c r="E1939">
        <f>IF(D1940&lt;&gt;cukier11[[#This Row],[miesiac]],1,0)</f>
        <v>0</v>
      </c>
      <c r="F1939">
        <f>IF(AND(H1938&lt;5000,cukier11[[#This Row],[czy_nastapiła_zmiana_mies]]=1),ROUNDUP((5000-H1938)/1000,0),0)</f>
        <v>0</v>
      </c>
      <c r="G1939">
        <f t="shared" si="30"/>
        <v>4983</v>
      </c>
      <c r="H1939">
        <f>cukier11[[#This Row],[stan_magazynu]]-cukier11[[#This Row],[sprzedany_cukier]]</f>
        <v>4819</v>
      </c>
      <c r="I1939" s="9">
        <f>cukier11[[#This Row],[stan_po_sprzedazy]]+cukier11[[#This Row],[ile_dokupic]]*1000</f>
        <v>4819</v>
      </c>
    </row>
    <row r="1940" spans="1:9" x14ac:dyDescent="0.25">
      <c r="A1940" s="1">
        <v>41645</v>
      </c>
      <c r="B1940" t="s">
        <v>30</v>
      </c>
      <c r="C1940">
        <v>111</v>
      </c>
      <c r="D1940">
        <f>MONTH(cukier11[[#This Row],[data]])</f>
        <v>1</v>
      </c>
      <c r="E1940">
        <f>IF(D1941&lt;&gt;cukier11[[#This Row],[miesiac]],1,0)</f>
        <v>0</v>
      </c>
      <c r="F1940">
        <f>IF(AND(H1939&lt;5000,cukier11[[#This Row],[czy_nastapiła_zmiana_mies]]=1),ROUNDUP((5000-H1939)/1000,0),0)</f>
        <v>0</v>
      </c>
      <c r="G1940">
        <f t="shared" si="30"/>
        <v>4819</v>
      </c>
      <c r="H1940">
        <f>cukier11[[#This Row],[stan_magazynu]]-cukier11[[#This Row],[sprzedany_cukier]]</f>
        <v>4708</v>
      </c>
      <c r="I1940" s="9">
        <f>cukier11[[#This Row],[stan_po_sprzedazy]]+cukier11[[#This Row],[ile_dokupic]]*1000</f>
        <v>4708</v>
      </c>
    </row>
    <row r="1941" spans="1:9" x14ac:dyDescent="0.25">
      <c r="A1941" s="1">
        <v>41646</v>
      </c>
      <c r="B1941" t="s">
        <v>190</v>
      </c>
      <c r="C1941">
        <v>14</v>
      </c>
      <c r="D1941">
        <f>MONTH(cukier11[[#This Row],[data]])</f>
        <v>1</v>
      </c>
      <c r="E1941">
        <f>IF(D1942&lt;&gt;cukier11[[#This Row],[miesiac]],1,0)</f>
        <v>0</v>
      </c>
      <c r="F1941">
        <f>IF(AND(H1940&lt;5000,cukier11[[#This Row],[czy_nastapiła_zmiana_mies]]=1),ROUNDUP((5000-H1940)/1000,0),0)</f>
        <v>0</v>
      </c>
      <c r="G1941">
        <f t="shared" si="30"/>
        <v>4708</v>
      </c>
      <c r="H1941">
        <f>cukier11[[#This Row],[stan_magazynu]]-cukier11[[#This Row],[sprzedany_cukier]]</f>
        <v>4694</v>
      </c>
      <c r="I1941" s="9">
        <f>cukier11[[#This Row],[stan_po_sprzedazy]]+cukier11[[#This Row],[ile_dokupic]]*1000</f>
        <v>4694</v>
      </c>
    </row>
    <row r="1942" spans="1:9" x14ac:dyDescent="0.25">
      <c r="A1942" s="1">
        <v>41647</v>
      </c>
      <c r="B1942" t="s">
        <v>102</v>
      </c>
      <c r="C1942">
        <v>143</v>
      </c>
      <c r="D1942">
        <f>MONTH(cukier11[[#This Row],[data]])</f>
        <v>1</v>
      </c>
      <c r="E1942">
        <f>IF(D1943&lt;&gt;cukier11[[#This Row],[miesiac]],1,0)</f>
        <v>0</v>
      </c>
      <c r="F1942">
        <f>IF(AND(H1941&lt;5000,cukier11[[#This Row],[czy_nastapiła_zmiana_mies]]=1),ROUNDUP((5000-H1941)/1000,0),0)</f>
        <v>0</v>
      </c>
      <c r="G1942">
        <f t="shared" si="30"/>
        <v>4694</v>
      </c>
      <c r="H1942">
        <f>cukier11[[#This Row],[stan_magazynu]]-cukier11[[#This Row],[sprzedany_cukier]]</f>
        <v>4551</v>
      </c>
      <c r="I1942" s="9">
        <f>cukier11[[#This Row],[stan_po_sprzedazy]]+cukier11[[#This Row],[ile_dokupic]]*1000</f>
        <v>4551</v>
      </c>
    </row>
    <row r="1943" spans="1:9" x14ac:dyDescent="0.25">
      <c r="A1943" s="1">
        <v>41648</v>
      </c>
      <c r="B1943" t="s">
        <v>10</v>
      </c>
      <c r="C1943">
        <v>64</v>
      </c>
      <c r="D1943">
        <f>MONTH(cukier11[[#This Row],[data]])</f>
        <v>1</v>
      </c>
      <c r="E1943">
        <f>IF(D1944&lt;&gt;cukier11[[#This Row],[miesiac]],1,0)</f>
        <v>0</v>
      </c>
      <c r="F1943">
        <f>IF(AND(H1942&lt;5000,cukier11[[#This Row],[czy_nastapiła_zmiana_mies]]=1),ROUNDUP((5000-H1942)/1000,0),0)</f>
        <v>0</v>
      </c>
      <c r="G1943">
        <f t="shared" si="30"/>
        <v>4551</v>
      </c>
      <c r="H1943">
        <f>cukier11[[#This Row],[stan_magazynu]]-cukier11[[#This Row],[sprzedany_cukier]]</f>
        <v>4487</v>
      </c>
      <c r="I1943" s="9">
        <f>cukier11[[#This Row],[stan_po_sprzedazy]]+cukier11[[#This Row],[ile_dokupic]]*1000</f>
        <v>4487</v>
      </c>
    </row>
    <row r="1944" spans="1:9" x14ac:dyDescent="0.25">
      <c r="A1944" s="1">
        <v>41651</v>
      </c>
      <c r="B1944" t="s">
        <v>234</v>
      </c>
      <c r="C1944">
        <v>3</v>
      </c>
      <c r="D1944">
        <f>MONTH(cukier11[[#This Row],[data]])</f>
        <v>1</v>
      </c>
      <c r="E1944">
        <f>IF(D1945&lt;&gt;cukier11[[#This Row],[miesiac]],1,0)</f>
        <v>0</v>
      </c>
      <c r="F1944">
        <f>IF(AND(H1943&lt;5000,cukier11[[#This Row],[czy_nastapiła_zmiana_mies]]=1),ROUNDUP((5000-H1943)/1000,0),0)</f>
        <v>0</v>
      </c>
      <c r="G1944">
        <f t="shared" si="30"/>
        <v>4487</v>
      </c>
      <c r="H1944">
        <f>cukier11[[#This Row],[stan_magazynu]]-cukier11[[#This Row],[sprzedany_cukier]]</f>
        <v>4484</v>
      </c>
      <c r="I1944" s="9">
        <f>cukier11[[#This Row],[stan_po_sprzedazy]]+cukier11[[#This Row],[ile_dokupic]]*1000</f>
        <v>4484</v>
      </c>
    </row>
    <row r="1945" spans="1:9" x14ac:dyDescent="0.25">
      <c r="A1945" s="1">
        <v>41652</v>
      </c>
      <c r="B1945" t="s">
        <v>45</v>
      </c>
      <c r="C1945">
        <v>152</v>
      </c>
      <c r="D1945">
        <f>MONTH(cukier11[[#This Row],[data]])</f>
        <v>1</v>
      </c>
      <c r="E1945">
        <f>IF(D1946&lt;&gt;cukier11[[#This Row],[miesiac]],1,0)</f>
        <v>0</v>
      </c>
      <c r="F1945">
        <f>IF(AND(H1944&lt;5000,cukier11[[#This Row],[czy_nastapiła_zmiana_mies]]=1),ROUNDUP((5000-H1944)/1000,0),0)</f>
        <v>0</v>
      </c>
      <c r="G1945">
        <f t="shared" si="30"/>
        <v>4484</v>
      </c>
      <c r="H1945">
        <f>cukier11[[#This Row],[stan_magazynu]]-cukier11[[#This Row],[sprzedany_cukier]]</f>
        <v>4332</v>
      </c>
      <c r="I1945" s="9">
        <f>cukier11[[#This Row],[stan_po_sprzedazy]]+cukier11[[#This Row],[ile_dokupic]]*1000</f>
        <v>4332</v>
      </c>
    </row>
    <row r="1946" spans="1:9" x14ac:dyDescent="0.25">
      <c r="A1946" s="1">
        <v>41653</v>
      </c>
      <c r="B1946" t="s">
        <v>10</v>
      </c>
      <c r="C1946">
        <v>152</v>
      </c>
      <c r="D1946">
        <f>MONTH(cukier11[[#This Row],[data]])</f>
        <v>1</v>
      </c>
      <c r="E1946">
        <f>IF(D1947&lt;&gt;cukier11[[#This Row],[miesiac]],1,0)</f>
        <v>0</v>
      </c>
      <c r="F1946">
        <f>IF(AND(H1945&lt;5000,cukier11[[#This Row],[czy_nastapiła_zmiana_mies]]=1),ROUNDUP((5000-H1945)/1000,0),0)</f>
        <v>0</v>
      </c>
      <c r="G1946">
        <f t="shared" si="30"/>
        <v>4332</v>
      </c>
      <c r="H1946">
        <f>cukier11[[#This Row],[stan_magazynu]]-cukier11[[#This Row],[sprzedany_cukier]]</f>
        <v>4180</v>
      </c>
      <c r="I1946" s="9">
        <f>cukier11[[#This Row],[stan_po_sprzedazy]]+cukier11[[#This Row],[ile_dokupic]]*1000</f>
        <v>4180</v>
      </c>
    </row>
    <row r="1947" spans="1:9" x14ac:dyDescent="0.25">
      <c r="A1947" s="1">
        <v>41655</v>
      </c>
      <c r="B1947" t="s">
        <v>221</v>
      </c>
      <c r="C1947">
        <v>15</v>
      </c>
      <c r="D1947">
        <f>MONTH(cukier11[[#This Row],[data]])</f>
        <v>1</v>
      </c>
      <c r="E1947">
        <f>IF(D1948&lt;&gt;cukier11[[#This Row],[miesiac]],1,0)</f>
        <v>0</v>
      </c>
      <c r="F1947">
        <f>IF(AND(H1946&lt;5000,cukier11[[#This Row],[czy_nastapiła_zmiana_mies]]=1),ROUNDUP((5000-H1946)/1000,0),0)</f>
        <v>0</v>
      </c>
      <c r="G1947">
        <f t="shared" si="30"/>
        <v>4180</v>
      </c>
      <c r="H1947">
        <f>cukier11[[#This Row],[stan_magazynu]]-cukier11[[#This Row],[sprzedany_cukier]]</f>
        <v>4165</v>
      </c>
      <c r="I1947" s="9">
        <f>cukier11[[#This Row],[stan_po_sprzedazy]]+cukier11[[#This Row],[ile_dokupic]]*1000</f>
        <v>4165</v>
      </c>
    </row>
    <row r="1948" spans="1:9" x14ac:dyDescent="0.25">
      <c r="A1948" s="1">
        <v>41656</v>
      </c>
      <c r="B1948" t="s">
        <v>71</v>
      </c>
      <c r="C1948">
        <v>117</v>
      </c>
      <c r="D1948">
        <f>MONTH(cukier11[[#This Row],[data]])</f>
        <v>1</v>
      </c>
      <c r="E1948">
        <f>IF(D1949&lt;&gt;cukier11[[#This Row],[miesiac]],1,0)</f>
        <v>0</v>
      </c>
      <c r="F1948">
        <f>IF(AND(H1947&lt;5000,cukier11[[#This Row],[czy_nastapiła_zmiana_mies]]=1),ROUNDUP((5000-H1947)/1000,0),0)</f>
        <v>0</v>
      </c>
      <c r="G1948">
        <f t="shared" si="30"/>
        <v>4165</v>
      </c>
      <c r="H1948">
        <f>cukier11[[#This Row],[stan_magazynu]]-cukier11[[#This Row],[sprzedany_cukier]]</f>
        <v>4048</v>
      </c>
      <c r="I1948" s="9">
        <f>cukier11[[#This Row],[stan_po_sprzedazy]]+cukier11[[#This Row],[ile_dokupic]]*1000</f>
        <v>4048</v>
      </c>
    </row>
    <row r="1949" spans="1:9" x14ac:dyDescent="0.25">
      <c r="A1949" s="1">
        <v>41656</v>
      </c>
      <c r="B1949" t="s">
        <v>215</v>
      </c>
      <c r="C1949">
        <v>14</v>
      </c>
      <c r="D1949">
        <f>MONTH(cukier11[[#This Row],[data]])</f>
        <v>1</v>
      </c>
      <c r="E1949">
        <f>IF(D1950&lt;&gt;cukier11[[#This Row],[miesiac]],1,0)</f>
        <v>0</v>
      </c>
      <c r="F1949">
        <f>IF(AND(H1948&lt;5000,cukier11[[#This Row],[czy_nastapiła_zmiana_mies]]=1),ROUNDUP((5000-H1948)/1000,0),0)</f>
        <v>0</v>
      </c>
      <c r="G1949">
        <f t="shared" si="30"/>
        <v>4048</v>
      </c>
      <c r="H1949">
        <f>cukier11[[#This Row],[stan_magazynu]]-cukier11[[#This Row],[sprzedany_cukier]]</f>
        <v>4034</v>
      </c>
      <c r="I1949" s="9">
        <f>cukier11[[#This Row],[stan_po_sprzedazy]]+cukier11[[#This Row],[ile_dokupic]]*1000</f>
        <v>4034</v>
      </c>
    </row>
    <row r="1950" spans="1:9" x14ac:dyDescent="0.25">
      <c r="A1950" s="1">
        <v>41656</v>
      </c>
      <c r="B1950" t="s">
        <v>45</v>
      </c>
      <c r="C1950">
        <v>431</v>
      </c>
      <c r="D1950">
        <f>MONTH(cukier11[[#This Row],[data]])</f>
        <v>1</v>
      </c>
      <c r="E1950">
        <f>IF(D1951&lt;&gt;cukier11[[#This Row],[miesiac]],1,0)</f>
        <v>0</v>
      </c>
      <c r="F1950">
        <f>IF(AND(H1949&lt;5000,cukier11[[#This Row],[czy_nastapiła_zmiana_mies]]=1),ROUNDUP((5000-H1949)/1000,0),0)</f>
        <v>0</v>
      </c>
      <c r="G1950">
        <f t="shared" si="30"/>
        <v>4034</v>
      </c>
      <c r="H1950">
        <f>cukier11[[#This Row],[stan_magazynu]]-cukier11[[#This Row],[sprzedany_cukier]]</f>
        <v>3603</v>
      </c>
      <c r="I1950" s="9">
        <f>cukier11[[#This Row],[stan_po_sprzedazy]]+cukier11[[#This Row],[ile_dokupic]]*1000</f>
        <v>3603</v>
      </c>
    </row>
    <row r="1951" spans="1:9" x14ac:dyDescent="0.25">
      <c r="A1951" s="1">
        <v>41658</v>
      </c>
      <c r="B1951" t="s">
        <v>22</v>
      </c>
      <c r="C1951">
        <v>390</v>
      </c>
      <c r="D1951">
        <f>MONTH(cukier11[[#This Row],[data]])</f>
        <v>1</v>
      </c>
      <c r="E1951">
        <f>IF(D1952&lt;&gt;cukier11[[#This Row],[miesiac]],1,0)</f>
        <v>0</v>
      </c>
      <c r="F1951">
        <f>IF(AND(H1950&lt;5000,cukier11[[#This Row],[czy_nastapiła_zmiana_mies]]=1),ROUNDUP((5000-H1950)/1000,0),0)</f>
        <v>0</v>
      </c>
      <c r="G1951">
        <f t="shared" si="30"/>
        <v>3603</v>
      </c>
      <c r="H1951">
        <f>cukier11[[#This Row],[stan_magazynu]]-cukier11[[#This Row],[sprzedany_cukier]]</f>
        <v>3213</v>
      </c>
      <c r="I1951" s="9">
        <f>cukier11[[#This Row],[stan_po_sprzedazy]]+cukier11[[#This Row],[ile_dokupic]]*1000</f>
        <v>3213</v>
      </c>
    </row>
    <row r="1952" spans="1:9" x14ac:dyDescent="0.25">
      <c r="A1952" s="1">
        <v>41663</v>
      </c>
      <c r="B1952" t="s">
        <v>222</v>
      </c>
      <c r="C1952">
        <v>1</v>
      </c>
      <c r="D1952">
        <f>MONTH(cukier11[[#This Row],[data]])</f>
        <v>1</v>
      </c>
      <c r="E1952">
        <f>IF(D1953&lt;&gt;cukier11[[#This Row],[miesiac]],1,0)</f>
        <v>0</v>
      </c>
      <c r="F1952">
        <f>IF(AND(H1951&lt;5000,cukier11[[#This Row],[czy_nastapiła_zmiana_mies]]=1),ROUNDUP((5000-H1951)/1000,0),0)</f>
        <v>0</v>
      </c>
      <c r="G1952">
        <f t="shared" si="30"/>
        <v>3213</v>
      </c>
      <c r="H1952">
        <f>cukier11[[#This Row],[stan_magazynu]]-cukier11[[#This Row],[sprzedany_cukier]]</f>
        <v>3212</v>
      </c>
      <c r="I1952" s="9">
        <f>cukier11[[#This Row],[stan_po_sprzedazy]]+cukier11[[#This Row],[ile_dokupic]]*1000</f>
        <v>3212</v>
      </c>
    </row>
    <row r="1953" spans="1:9" x14ac:dyDescent="0.25">
      <c r="A1953" s="1">
        <v>41666</v>
      </c>
      <c r="B1953" t="s">
        <v>17</v>
      </c>
      <c r="C1953">
        <v>392</v>
      </c>
      <c r="D1953">
        <f>MONTH(cukier11[[#This Row],[data]])</f>
        <v>1</v>
      </c>
      <c r="E1953">
        <f>IF(D1954&lt;&gt;cukier11[[#This Row],[miesiac]],1,0)</f>
        <v>0</v>
      </c>
      <c r="F1953">
        <f>IF(AND(H1952&lt;5000,cukier11[[#This Row],[czy_nastapiła_zmiana_mies]]=1),ROUNDUP((5000-H1952)/1000,0),0)</f>
        <v>0</v>
      </c>
      <c r="G1953">
        <f t="shared" si="30"/>
        <v>3212</v>
      </c>
      <c r="H1953">
        <f>cukier11[[#This Row],[stan_magazynu]]-cukier11[[#This Row],[sprzedany_cukier]]</f>
        <v>2820</v>
      </c>
      <c r="I1953" s="9">
        <f>cukier11[[#This Row],[stan_po_sprzedazy]]+cukier11[[#This Row],[ile_dokupic]]*1000</f>
        <v>2820</v>
      </c>
    </row>
    <row r="1954" spans="1:9" x14ac:dyDescent="0.25">
      <c r="A1954" s="1">
        <v>41668</v>
      </c>
      <c r="B1954" t="s">
        <v>37</v>
      </c>
      <c r="C1954">
        <v>175</v>
      </c>
      <c r="D1954">
        <f>MONTH(cukier11[[#This Row],[data]])</f>
        <v>1</v>
      </c>
      <c r="E1954">
        <f>IF(D1955&lt;&gt;cukier11[[#This Row],[miesiac]],1,0)</f>
        <v>0</v>
      </c>
      <c r="F1954">
        <f>IF(AND(H1953&lt;5000,cukier11[[#This Row],[czy_nastapiła_zmiana_mies]]=1),ROUNDUP((5000-H1953)/1000,0),0)</f>
        <v>0</v>
      </c>
      <c r="G1954">
        <f t="shared" si="30"/>
        <v>2820</v>
      </c>
      <c r="H1954">
        <f>cukier11[[#This Row],[stan_magazynu]]-cukier11[[#This Row],[sprzedany_cukier]]</f>
        <v>2645</v>
      </c>
      <c r="I1954" s="9">
        <f>cukier11[[#This Row],[stan_po_sprzedazy]]+cukier11[[#This Row],[ile_dokupic]]*1000</f>
        <v>2645</v>
      </c>
    </row>
    <row r="1955" spans="1:9" x14ac:dyDescent="0.25">
      <c r="A1955" s="1">
        <v>41668</v>
      </c>
      <c r="B1955" t="s">
        <v>55</v>
      </c>
      <c r="C1955">
        <v>118</v>
      </c>
      <c r="D1955">
        <f>MONTH(cukier11[[#This Row],[data]])</f>
        <v>1</v>
      </c>
      <c r="E1955">
        <f>IF(D1956&lt;&gt;cukier11[[#This Row],[miesiac]],1,0)</f>
        <v>1</v>
      </c>
      <c r="F1955">
        <f>IF(AND(H1954&lt;5000,cukier11[[#This Row],[czy_nastapiła_zmiana_mies]]=1),ROUNDUP((5000-H1954)/1000,0),0)</f>
        <v>3</v>
      </c>
      <c r="G1955">
        <f t="shared" si="30"/>
        <v>2645</v>
      </c>
      <c r="H1955">
        <f>cukier11[[#This Row],[stan_magazynu]]-cukier11[[#This Row],[sprzedany_cukier]]</f>
        <v>2527</v>
      </c>
      <c r="I1955" s="9">
        <f>cukier11[[#This Row],[stan_po_sprzedazy]]+cukier11[[#This Row],[ile_dokupic]]*1000</f>
        <v>5527</v>
      </c>
    </row>
    <row r="1956" spans="1:9" x14ac:dyDescent="0.25">
      <c r="A1956" s="1">
        <v>41672</v>
      </c>
      <c r="B1956" t="s">
        <v>9</v>
      </c>
      <c r="C1956">
        <v>297</v>
      </c>
      <c r="D1956">
        <f>MONTH(cukier11[[#This Row],[data]])</f>
        <v>2</v>
      </c>
      <c r="E1956">
        <f>IF(D1957&lt;&gt;cukier11[[#This Row],[miesiac]],1,0)</f>
        <v>0</v>
      </c>
      <c r="F1956">
        <f>IF(AND(H1955&lt;5000,cukier11[[#This Row],[czy_nastapiła_zmiana_mies]]=1),ROUNDUP((5000-H1955)/1000,0),0)</f>
        <v>0</v>
      </c>
      <c r="G1956">
        <f t="shared" si="30"/>
        <v>5527</v>
      </c>
      <c r="H1956">
        <f>cukier11[[#This Row],[stan_magazynu]]-cukier11[[#This Row],[sprzedany_cukier]]</f>
        <v>5230</v>
      </c>
      <c r="I1956" s="9">
        <f>cukier11[[#This Row],[stan_po_sprzedazy]]+cukier11[[#This Row],[ile_dokupic]]*1000</f>
        <v>5230</v>
      </c>
    </row>
    <row r="1957" spans="1:9" x14ac:dyDescent="0.25">
      <c r="A1957" s="1">
        <v>41676</v>
      </c>
      <c r="B1957" t="s">
        <v>23</v>
      </c>
      <c r="C1957">
        <v>89</v>
      </c>
      <c r="D1957">
        <f>MONTH(cukier11[[#This Row],[data]])</f>
        <v>2</v>
      </c>
      <c r="E1957">
        <f>IF(D1958&lt;&gt;cukier11[[#This Row],[miesiac]],1,0)</f>
        <v>0</v>
      </c>
      <c r="F1957">
        <f>IF(AND(H1956&lt;5000,cukier11[[#This Row],[czy_nastapiła_zmiana_mies]]=1),ROUNDUP((5000-H1956)/1000,0),0)</f>
        <v>0</v>
      </c>
      <c r="G1957">
        <f t="shared" si="30"/>
        <v>5230</v>
      </c>
      <c r="H1957">
        <f>cukier11[[#This Row],[stan_magazynu]]-cukier11[[#This Row],[sprzedany_cukier]]</f>
        <v>5141</v>
      </c>
      <c r="I1957" s="9">
        <f>cukier11[[#This Row],[stan_po_sprzedazy]]+cukier11[[#This Row],[ile_dokupic]]*1000</f>
        <v>5141</v>
      </c>
    </row>
    <row r="1958" spans="1:9" x14ac:dyDescent="0.25">
      <c r="A1958" s="1">
        <v>41676</v>
      </c>
      <c r="B1958" t="s">
        <v>22</v>
      </c>
      <c r="C1958">
        <v>182</v>
      </c>
      <c r="D1958">
        <f>MONTH(cukier11[[#This Row],[data]])</f>
        <v>2</v>
      </c>
      <c r="E1958">
        <f>IF(D1959&lt;&gt;cukier11[[#This Row],[miesiac]],1,0)</f>
        <v>0</v>
      </c>
      <c r="F1958">
        <f>IF(AND(H1957&lt;5000,cukier11[[#This Row],[czy_nastapiła_zmiana_mies]]=1),ROUNDUP((5000-H1957)/1000,0),0)</f>
        <v>0</v>
      </c>
      <c r="G1958">
        <f t="shared" si="30"/>
        <v>5141</v>
      </c>
      <c r="H1958">
        <f>cukier11[[#This Row],[stan_magazynu]]-cukier11[[#This Row],[sprzedany_cukier]]</f>
        <v>4959</v>
      </c>
      <c r="I1958" s="9">
        <f>cukier11[[#This Row],[stan_po_sprzedazy]]+cukier11[[#This Row],[ile_dokupic]]*1000</f>
        <v>4959</v>
      </c>
    </row>
    <row r="1959" spans="1:9" x14ac:dyDescent="0.25">
      <c r="A1959" s="1">
        <v>41677</v>
      </c>
      <c r="B1959" t="s">
        <v>10</v>
      </c>
      <c r="C1959">
        <v>130</v>
      </c>
      <c r="D1959">
        <f>MONTH(cukier11[[#This Row],[data]])</f>
        <v>2</v>
      </c>
      <c r="E1959">
        <f>IF(D1960&lt;&gt;cukier11[[#This Row],[miesiac]],1,0)</f>
        <v>0</v>
      </c>
      <c r="F1959">
        <f>IF(AND(H1958&lt;5000,cukier11[[#This Row],[czy_nastapiła_zmiana_mies]]=1),ROUNDUP((5000-H1958)/1000,0),0)</f>
        <v>0</v>
      </c>
      <c r="G1959">
        <f t="shared" si="30"/>
        <v>4959</v>
      </c>
      <c r="H1959">
        <f>cukier11[[#This Row],[stan_magazynu]]-cukier11[[#This Row],[sprzedany_cukier]]</f>
        <v>4829</v>
      </c>
      <c r="I1959" s="9">
        <f>cukier11[[#This Row],[stan_po_sprzedazy]]+cukier11[[#This Row],[ile_dokupic]]*1000</f>
        <v>4829</v>
      </c>
    </row>
    <row r="1960" spans="1:9" x14ac:dyDescent="0.25">
      <c r="A1960" s="1">
        <v>41680</v>
      </c>
      <c r="B1960" t="s">
        <v>26</v>
      </c>
      <c r="C1960">
        <v>187</v>
      </c>
      <c r="D1960">
        <f>MONTH(cukier11[[#This Row],[data]])</f>
        <v>2</v>
      </c>
      <c r="E1960">
        <f>IF(D1961&lt;&gt;cukier11[[#This Row],[miesiac]],1,0)</f>
        <v>0</v>
      </c>
      <c r="F1960">
        <f>IF(AND(H1959&lt;5000,cukier11[[#This Row],[czy_nastapiła_zmiana_mies]]=1),ROUNDUP((5000-H1959)/1000,0),0)</f>
        <v>0</v>
      </c>
      <c r="G1960">
        <f t="shared" si="30"/>
        <v>4829</v>
      </c>
      <c r="H1960">
        <f>cukier11[[#This Row],[stan_magazynu]]-cukier11[[#This Row],[sprzedany_cukier]]</f>
        <v>4642</v>
      </c>
      <c r="I1960" s="9">
        <f>cukier11[[#This Row],[stan_po_sprzedazy]]+cukier11[[#This Row],[ile_dokupic]]*1000</f>
        <v>4642</v>
      </c>
    </row>
    <row r="1961" spans="1:9" x14ac:dyDescent="0.25">
      <c r="A1961" s="1">
        <v>41681</v>
      </c>
      <c r="B1961" t="s">
        <v>50</v>
      </c>
      <c r="C1961">
        <v>166</v>
      </c>
      <c r="D1961">
        <f>MONTH(cukier11[[#This Row],[data]])</f>
        <v>2</v>
      </c>
      <c r="E1961">
        <f>IF(D1962&lt;&gt;cukier11[[#This Row],[miesiac]],1,0)</f>
        <v>0</v>
      </c>
      <c r="F1961">
        <f>IF(AND(H1960&lt;5000,cukier11[[#This Row],[czy_nastapiła_zmiana_mies]]=1),ROUNDUP((5000-H1960)/1000,0),0)</f>
        <v>0</v>
      </c>
      <c r="G1961">
        <f t="shared" si="30"/>
        <v>4642</v>
      </c>
      <c r="H1961">
        <f>cukier11[[#This Row],[stan_magazynu]]-cukier11[[#This Row],[sprzedany_cukier]]</f>
        <v>4476</v>
      </c>
      <c r="I1961" s="9">
        <f>cukier11[[#This Row],[stan_po_sprzedazy]]+cukier11[[#This Row],[ile_dokupic]]*1000</f>
        <v>4476</v>
      </c>
    </row>
    <row r="1962" spans="1:9" x14ac:dyDescent="0.25">
      <c r="A1962" s="1">
        <v>41682</v>
      </c>
      <c r="B1962" t="s">
        <v>23</v>
      </c>
      <c r="C1962">
        <v>58</v>
      </c>
      <c r="D1962">
        <f>MONTH(cukier11[[#This Row],[data]])</f>
        <v>2</v>
      </c>
      <c r="E1962">
        <f>IF(D1963&lt;&gt;cukier11[[#This Row],[miesiac]],1,0)</f>
        <v>0</v>
      </c>
      <c r="F1962">
        <f>IF(AND(H1961&lt;5000,cukier11[[#This Row],[czy_nastapiła_zmiana_mies]]=1),ROUNDUP((5000-H1961)/1000,0),0)</f>
        <v>0</v>
      </c>
      <c r="G1962">
        <f t="shared" si="30"/>
        <v>4476</v>
      </c>
      <c r="H1962">
        <f>cukier11[[#This Row],[stan_magazynu]]-cukier11[[#This Row],[sprzedany_cukier]]</f>
        <v>4418</v>
      </c>
      <c r="I1962" s="9">
        <f>cukier11[[#This Row],[stan_po_sprzedazy]]+cukier11[[#This Row],[ile_dokupic]]*1000</f>
        <v>4418</v>
      </c>
    </row>
    <row r="1963" spans="1:9" x14ac:dyDescent="0.25">
      <c r="A1963" s="1">
        <v>41686</v>
      </c>
      <c r="B1963" t="s">
        <v>25</v>
      </c>
      <c r="C1963">
        <v>187</v>
      </c>
      <c r="D1963">
        <f>MONTH(cukier11[[#This Row],[data]])</f>
        <v>2</v>
      </c>
      <c r="E1963">
        <f>IF(D1964&lt;&gt;cukier11[[#This Row],[miesiac]],1,0)</f>
        <v>0</v>
      </c>
      <c r="F1963">
        <f>IF(AND(H1962&lt;5000,cukier11[[#This Row],[czy_nastapiła_zmiana_mies]]=1),ROUNDUP((5000-H1962)/1000,0),0)</f>
        <v>0</v>
      </c>
      <c r="G1963">
        <f t="shared" si="30"/>
        <v>4418</v>
      </c>
      <c r="H1963">
        <f>cukier11[[#This Row],[stan_magazynu]]-cukier11[[#This Row],[sprzedany_cukier]]</f>
        <v>4231</v>
      </c>
      <c r="I1963" s="9">
        <f>cukier11[[#This Row],[stan_po_sprzedazy]]+cukier11[[#This Row],[ile_dokupic]]*1000</f>
        <v>4231</v>
      </c>
    </row>
    <row r="1964" spans="1:9" x14ac:dyDescent="0.25">
      <c r="A1964" s="1">
        <v>41687</v>
      </c>
      <c r="B1964" t="s">
        <v>23</v>
      </c>
      <c r="C1964">
        <v>58</v>
      </c>
      <c r="D1964">
        <f>MONTH(cukier11[[#This Row],[data]])</f>
        <v>2</v>
      </c>
      <c r="E1964">
        <f>IF(D1965&lt;&gt;cukier11[[#This Row],[miesiac]],1,0)</f>
        <v>0</v>
      </c>
      <c r="F1964">
        <f>IF(AND(H1963&lt;5000,cukier11[[#This Row],[czy_nastapiła_zmiana_mies]]=1),ROUNDUP((5000-H1963)/1000,0),0)</f>
        <v>0</v>
      </c>
      <c r="G1964">
        <f t="shared" si="30"/>
        <v>4231</v>
      </c>
      <c r="H1964">
        <f>cukier11[[#This Row],[stan_magazynu]]-cukier11[[#This Row],[sprzedany_cukier]]</f>
        <v>4173</v>
      </c>
      <c r="I1964" s="9">
        <f>cukier11[[#This Row],[stan_po_sprzedazy]]+cukier11[[#This Row],[ile_dokupic]]*1000</f>
        <v>4173</v>
      </c>
    </row>
    <row r="1965" spans="1:9" x14ac:dyDescent="0.25">
      <c r="A1965" s="1">
        <v>41689</v>
      </c>
      <c r="B1965" t="s">
        <v>60</v>
      </c>
      <c r="C1965">
        <v>19</v>
      </c>
      <c r="D1965">
        <f>MONTH(cukier11[[#This Row],[data]])</f>
        <v>2</v>
      </c>
      <c r="E1965">
        <f>IF(D1966&lt;&gt;cukier11[[#This Row],[miesiac]],1,0)</f>
        <v>0</v>
      </c>
      <c r="F1965">
        <f>IF(AND(H1964&lt;5000,cukier11[[#This Row],[czy_nastapiła_zmiana_mies]]=1),ROUNDUP((5000-H1964)/1000,0),0)</f>
        <v>0</v>
      </c>
      <c r="G1965">
        <f t="shared" si="30"/>
        <v>4173</v>
      </c>
      <c r="H1965">
        <f>cukier11[[#This Row],[stan_magazynu]]-cukier11[[#This Row],[sprzedany_cukier]]</f>
        <v>4154</v>
      </c>
      <c r="I1965" s="9">
        <f>cukier11[[#This Row],[stan_po_sprzedazy]]+cukier11[[#This Row],[ile_dokupic]]*1000</f>
        <v>4154</v>
      </c>
    </row>
    <row r="1966" spans="1:9" x14ac:dyDescent="0.25">
      <c r="A1966" s="1">
        <v>41689</v>
      </c>
      <c r="B1966" t="s">
        <v>9</v>
      </c>
      <c r="C1966">
        <v>388</v>
      </c>
      <c r="D1966">
        <f>MONTH(cukier11[[#This Row],[data]])</f>
        <v>2</v>
      </c>
      <c r="E1966">
        <f>IF(D1967&lt;&gt;cukier11[[#This Row],[miesiac]],1,0)</f>
        <v>0</v>
      </c>
      <c r="F1966">
        <f>IF(AND(H1965&lt;5000,cukier11[[#This Row],[czy_nastapiła_zmiana_mies]]=1),ROUNDUP((5000-H1965)/1000,0),0)</f>
        <v>0</v>
      </c>
      <c r="G1966">
        <f t="shared" si="30"/>
        <v>4154</v>
      </c>
      <c r="H1966">
        <f>cukier11[[#This Row],[stan_magazynu]]-cukier11[[#This Row],[sprzedany_cukier]]</f>
        <v>3766</v>
      </c>
      <c r="I1966" s="9">
        <f>cukier11[[#This Row],[stan_po_sprzedazy]]+cukier11[[#This Row],[ile_dokupic]]*1000</f>
        <v>3766</v>
      </c>
    </row>
    <row r="1967" spans="1:9" x14ac:dyDescent="0.25">
      <c r="A1967" s="1">
        <v>41690</v>
      </c>
      <c r="B1967" t="s">
        <v>105</v>
      </c>
      <c r="C1967">
        <v>20</v>
      </c>
      <c r="D1967">
        <f>MONTH(cukier11[[#This Row],[data]])</f>
        <v>2</v>
      </c>
      <c r="E1967">
        <f>IF(D1968&lt;&gt;cukier11[[#This Row],[miesiac]],1,0)</f>
        <v>0</v>
      </c>
      <c r="F1967">
        <f>IF(AND(H1966&lt;5000,cukier11[[#This Row],[czy_nastapiła_zmiana_mies]]=1),ROUNDUP((5000-H1966)/1000,0),0)</f>
        <v>0</v>
      </c>
      <c r="G1967">
        <f t="shared" si="30"/>
        <v>3766</v>
      </c>
      <c r="H1967">
        <f>cukier11[[#This Row],[stan_magazynu]]-cukier11[[#This Row],[sprzedany_cukier]]</f>
        <v>3746</v>
      </c>
      <c r="I1967" s="9">
        <f>cukier11[[#This Row],[stan_po_sprzedazy]]+cukier11[[#This Row],[ile_dokupic]]*1000</f>
        <v>3746</v>
      </c>
    </row>
    <row r="1968" spans="1:9" x14ac:dyDescent="0.25">
      <c r="A1968" s="1">
        <v>41690</v>
      </c>
      <c r="B1968" t="s">
        <v>6</v>
      </c>
      <c r="C1968">
        <v>185</v>
      </c>
      <c r="D1968">
        <f>MONTH(cukier11[[#This Row],[data]])</f>
        <v>2</v>
      </c>
      <c r="E1968">
        <f>IF(D1969&lt;&gt;cukier11[[#This Row],[miesiac]],1,0)</f>
        <v>0</v>
      </c>
      <c r="F1968">
        <f>IF(AND(H1967&lt;5000,cukier11[[#This Row],[czy_nastapiła_zmiana_mies]]=1),ROUNDUP((5000-H1967)/1000,0),0)</f>
        <v>0</v>
      </c>
      <c r="G1968">
        <f t="shared" si="30"/>
        <v>3746</v>
      </c>
      <c r="H1968">
        <f>cukier11[[#This Row],[stan_magazynu]]-cukier11[[#This Row],[sprzedany_cukier]]</f>
        <v>3561</v>
      </c>
      <c r="I1968" s="9">
        <f>cukier11[[#This Row],[stan_po_sprzedazy]]+cukier11[[#This Row],[ile_dokupic]]*1000</f>
        <v>3561</v>
      </c>
    </row>
    <row r="1969" spans="1:9" x14ac:dyDescent="0.25">
      <c r="A1969" s="1">
        <v>41690</v>
      </c>
      <c r="B1969" t="s">
        <v>66</v>
      </c>
      <c r="C1969">
        <v>191</v>
      </c>
      <c r="D1969">
        <f>MONTH(cukier11[[#This Row],[data]])</f>
        <v>2</v>
      </c>
      <c r="E1969">
        <f>IF(D1970&lt;&gt;cukier11[[#This Row],[miesiac]],1,0)</f>
        <v>0</v>
      </c>
      <c r="F1969">
        <f>IF(AND(H1968&lt;5000,cukier11[[#This Row],[czy_nastapiła_zmiana_mies]]=1),ROUNDUP((5000-H1968)/1000,0),0)</f>
        <v>0</v>
      </c>
      <c r="G1969">
        <f t="shared" si="30"/>
        <v>3561</v>
      </c>
      <c r="H1969">
        <f>cukier11[[#This Row],[stan_magazynu]]-cukier11[[#This Row],[sprzedany_cukier]]</f>
        <v>3370</v>
      </c>
      <c r="I1969" s="9">
        <f>cukier11[[#This Row],[stan_po_sprzedazy]]+cukier11[[#This Row],[ile_dokupic]]*1000</f>
        <v>3370</v>
      </c>
    </row>
    <row r="1970" spans="1:9" x14ac:dyDescent="0.25">
      <c r="A1970" s="1">
        <v>41691</v>
      </c>
      <c r="B1970" t="s">
        <v>87</v>
      </c>
      <c r="C1970">
        <v>1</v>
      </c>
      <c r="D1970">
        <f>MONTH(cukier11[[#This Row],[data]])</f>
        <v>2</v>
      </c>
      <c r="E1970">
        <f>IF(D1971&lt;&gt;cukier11[[#This Row],[miesiac]],1,0)</f>
        <v>0</v>
      </c>
      <c r="F1970">
        <f>IF(AND(H1969&lt;5000,cukier11[[#This Row],[czy_nastapiła_zmiana_mies]]=1),ROUNDUP((5000-H1969)/1000,0),0)</f>
        <v>0</v>
      </c>
      <c r="G1970">
        <f t="shared" si="30"/>
        <v>3370</v>
      </c>
      <c r="H1970">
        <f>cukier11[[#This Row],[stan_magazynu]]-cukier11[[#This Row],[sprzedany_cukier]]</f>
        <v>3369</v>
      </c>
      <c r="I1970" s="9">
        <f>cukier11[[#This Row],[stan_po_sprzedazy]]+cukier11[[#This Row],[ile_dokupic]]*1000</f>
        <v>3369</v>
      </c>
    </row>
    <row r="1971" spans="1:9" x14ac:dyDescent="0.25">
      <c r="A1971" s="1">
        <v>41692</v>
      </c>
      <c r="B1971" t="s">
        <v>71</v>
      </c>
      <c r="C1971">
        <v>90</v>
      </c>
      <c r="D1971">
        <f>MONTH(cukier11[[#This Row],[data]])</f>
        <v>2</v>
      </c>
      <c r="E1971">
        <f>IF(D1972&lt;&gt;cukier11[[#This Row],[miesiac]],1,0)</f>
        <v>0</v>
      </c>
      <c r="F1971">
        <f>IF(AND(H1970&lt;5000,cukier11[[#This Row],[czy_nastapiła_zmiana_mies]]=1),ROUNDUP((5000-H1970)/1000,0),0)</f>
        <v>0</v>
      </c>
      <c r="G1971">
        <f t="shared" si="30"/>
        <v>3369</v>
      </c>
      <c r="H1971">
        <f>cukier11[[#This Row],[stan_magazynu]]-cukier11[[#This Row],[sprzedany_cukier]]</f>
        <v>3279</v>
      </c>
      <c r="I1971" s="9">
        <f>cukier11[[#This Row],[stan_po_sprzedazy]]+cukier11[[#This Row],[ile_dokupic]]*1000</f>
        <v>3279</v>
      </c>
    </row>
    <row r="1972" spans="1:9" x14ac:dyDescent="0.25">
      <c r="A1972" s="1">
        <v>41696</v>
      </c>
      <c r="B1972" t="s">
        <v>9</v>
      </c>
      <c r="C1972">
        <v>234</v>
      </c>
      <c r="D1972">
        <f>MONTH(cukier11[[#This Row],[data]])</f>
        <v>2</v>
      </c>
      <c r="E1972">
        <f>IF(D1973&lt;&gt;cukier11[[#This Row],[miesiac]],1,0)</f>
        <v>1</v>
      </c>
      <c r="F1972">
        <f>IF(AND(H1971&lt;5000,cukier11[[#This Row],[czy_nastapiła_zmiana_mies]]=1),ROUNDUP((5000-H1971)/1000,0),0)</f>
        <v>2</v>
      </c>
      <c r="G1972">
        <f t="shared" si="30"/>
        <v>3279</v>
      </c>
      <c r="H1972">
        <f>cukier11[[#This Row],[stan_magazynu]]-cukier11[[#This Row],[sprzedany_cukier]]</f>
        <v>3045</v>
      </c>
      <c r="I1972" s="9">
        <f>cukier11[[#This Row],[stan_po_sprzedazy]]+cukier11[[#This Row],[ile_dokupic]]*1000</f>
        <v>5045</v>
      </c>
    </row>
    <row r="1973" spans="1:9" x14ac:dyDescent="0.25">
      <c r="A1973" s="1">
        <v>41699</v>
      </c>
      <c r="B1973" t="s">
        <v>45</v>
      </c>
      <c r="C1973">
        <v>212</v>
      </c>
      <c r="D1973">
        <f>MONTH(cukier11[[#This Row],[data]])</f>
        <v>3</v>
      </c>
      <c r="E1973">
        <f>IF(D1974&lt;&gt;cukier11[[#This Row],[miesiac]],1,0)</f>
        <v>0</v>
      </c>
      <c r="F1973">
        <f>IF(AND(H1972&lt;5000,cukier11[[#This Row],[czy_nastapiła_zmiana_mies]]=1),ROUNDUP((5000-H1972)/1000,0),0)</f>
        <v>0</v>
      </c>
      <c r="G1973">
        <f t="shared" si="30"/>
        <v>5045</v>
      </c>
      <c r="H1973">
        <f>cukier11[[#This Row],[stan_magazynu]]-cukier11[[#This Row],[sprzedany_cukier]]</f>
        <v>4833</v>
      </c>
      <c r="I1973" s="9">
        <f>cukier11[[#This Row],[stan_po_sprzedazy]]+cukier11[[#This Row],[ile_dokupic]]*1000</f>
        <v>4833</v>
      </c>
    </row>
    <row r="1974" spans="1:9" x14ac:dyDescent="0.25">
      <c r="A1974" s="1">
        <v>41701</v>
      </c>
      <c r="B1974" t="s">
        <v>45</v>
      </c>
      <c r="C1974">
        <v>372</v>
      </c>
      <c r="D1974">
        <f>MONTH(cukier11[[#This Row],[data]])</f>
        <v>3</v>
      </c>
      <c r="E1974">
        <f>IF(D1975&lt;&gt;cukier11[[#This Row],[miesiac]],1,0)</f>
        <v>0</v>
      </c>
      <c r="F1974">
        <f>IF(AND(H1973&lt;5000,cukier11[[#This Row],[czy_nastapiła_zmiana_mies]]=1),ROUNDUP((5000-H1973)/1000,0),0)</f>
        <v>0</v>
      </c>
      <c r="G1974">
        <f t="shared" si="30"/>
        <v>4833</v>
      </c>
      <c r="H1974">
        <f>cukier11[[#This Row],[stan_magazynu]]-cukier11[[#This Row],[sprzedany_cukier]]</f>
        <v>4461</v>
      </c>
      <c r="I1974" s="9">
        <f>cukier11[[#This Row],[stan_po_sprzedazy]]+cukier11[[#This Row],[ile_dokupic]]*1000</f>
        <v>4461</v>
      </c>
    </row>
    <row r="1975" spans="1:9" x14ac:dyDescent="0.25">
      <c r="A1975" s="1">
        <v>41701</v>
      </c>
      <c r="B1975" t="s">
        <v>35</v>
      </c>
      <c r="C1975">
        <v>102</v>
      </c>
      <c r="D1975">
        <f>MONTH(cukier11[[#This Row],[data]])</f>
        <v>3</v>
      </c>
      <c r="E1975">
        <f>IF(D1976&lt;&gt;cukier11[[#This Row],[miesiac]],1,0)</f>
        <v>0</v>
      </c>
      <c r="F1975">
        <f>IF(AND(H1974&lt;5000,cukier11[[#This Row],[czy_nastapiła_zmiana_mies]]=1),ROUNDUP((5000-H1974)/1000,0),0)</f>
        <v>0</v>
      </c>
      <c r="G1975">
        <f t="shared" si="30"/>
        <v>4461</v>
      </c>
      <c r="H1975">
        <f>cukier11[[#This Row],[stan_magazynu]]-cukier11[[#This Row],[sprzedany_cukier]]</f>
        <v>4359</v>
      </c>
      <c r="I1975" s="9">
        <f>cukier11[[#This Row],[stan_po_sprzedazy]]+cukier11[[#This Row],[ile_dokupic]]*1000</f>
        <v>4359</v>
      </c>
    </row>
    <row r="1976" spans="1:9" x14ac:dyDescent="0.25">
      <c r="A1976" s="1">
        <v>41701</v>
      </c>
      <c r="B1976" t="s">
        <v>10</v>
      </c>
      <c r="C1976">
        <v>69</v>
      </c>
      <c r="D1976">
        <f>MONTH(cukier11[[#This Row],[data]])</f>
        <v>3</v>
      </c>
      <c r="E1976">
        <f>IF(D1977&lt;&gt;cukier11[[#This Row],[miesiac]],1,0)</f>
        <v>0</v>
      </c>
      <c r="F1976">
        <f>IF(AND(H1975&lt;5000,cukier11[[#This Row],[czy_nastapiła_zmiana_mies]]=1),ROUNDUP((5000-H1975)/1000,0),0)</f>
        <v>0</v>
      </c>
      <c r="G1976">
        <f t="shared" si="30"/>
        <v>4359</v>
      </c>
      <c r="H1976">
        <f>cukier11[[#This Row],[stan_magazynu]]-cukier11[[#This Row],[sprzedany_cukier]]</f>
        <v>4290</v>
      </c>
      <c r="I1976" s="9">
        <f>cukier11[[#This Row],[stan_po_sprzedazy]]+cukier11[[#This Row],[ile_dokupic]]*1000</f>
        <v>4290</v>
      </c>
    </row>
    <row r="1977" spans="1:9" x14ac:dyDescent="0.25">
      <c r="A1977" s="1">
        <v>41708</v>
      </c>
      <c r="B1977" t="s">
        <v>175</v>
      </c>
      <c r="C1977">
        <v>5</v>
      </c>
      <c r="D1977">
        <f>MONTH(cukier11[[#This Row],[data]])</f>
        <v>3</v>
      </c>
      <c r="E1977">
        <f>IF(D1978&lt;&gt;cukier11[[#This Row],[miesiac]],1,0)</f>
        <v>0</v>
      </c>
      <c r="F1977">
        <f>IF(AND(H1976&lt;5000,cukier11[[#This Row],[czy_nastapiła_zmiana_mies]]=1),ROUNDUP((5000-H1976)/1000,0),0)</f>
        <v>0</v>
      </c>
      <c r="G1977">
        <f t="shared" si="30"/>
        <v>4290</v>
      </c>
      <c r="H1977">
        <f>cukier11[[#This Row],[stan_magazynu]]-cukier11[[#This Row],[sprzedany_cukier]]</f>
        <v>4285</v>
      </c>
      <c r="I1977" s="9">
        <f>cukier11[[#This Row],[stan_po_sprzedazy]]+cukier11[[#This Row],[ile_dokupic]]*1000</f>
        <v>4285</v>
      </c>
    </row>
    <row r="1978" spans="1:9" x14ac:dyDescent="0.25">
      <c r="A1978" s="1">
        <v>41713</v>
      </c>
      <c r="B1978" t="s">
        <v>69</v>
      </c>
      <c r="C1978">
        <v>146</v>
      </c>
      <c r="D1978">
        <f>MONTH(cukier11[[#This Row],[data]])</f>
        <v>3</v>
      </c>
      <c r="E1978">
        <f>IF(D1979&lt;&gt;cukier11[[#This Row],[miesiac]],1,0)</f>
        <v>0</v>
      </c>
      <c r="F1978">
        <f>IF(AND(H1977&lt;5000,cukier11[[#This Row],[czy_nastapiła_zmiana_mies]]=1),ROUNDUP((5000-H1977)/1000,0),0)</f>
        <v>0</v>
      </c>
      <c r="G1978">
        <f t="shared" si="30"/>
        <v>4285</v>
      </c>
      <c r="H1978">
        <f>cukier11[[#This Row],[stan_magazynu]]-cukier11[[#This Row],[sprzedany_cukier]]</f>
        <v>4139</v>
      </c>
      <c r="I1978" s="9">
        <f>cukier11[[#This Row],[stan_po_sprzedazy]]+cukier11[[#This Row],[ile_dokupic]]*1000</f>
        <v>4139</v>
      </c>
    </row>
    <row r="1979" spans="1:9" x14ac:dyDescent="0.25">
      <c r="A1979" s="1">
        <v>41714</v>
      </c>
      <c r="B1979" t="s">
        <v>20</v>
      </c>
      <c r="C1979">
        <v>114</v>
      </c>
      <c r="D1979">
        <f>MONTH(cukier11[[#This Row],[data]])</f>
        <v>3</v>
      </c>
      <c r="E1979">
        <f>IF(D1980&lt;&gt;cukier11[[#This Row],[miesiac]],1,0)</f>
        <v>0</v>
      </c>
      <c r="F1979">
        <f>IF(AND(H1978&lt;5000,cukier11[[#This Row],[czy_nastapiła_zmiana_mies]]=1),ROUNDUP((5000-H1978)/1000,0),0)</f>
        <v>0</v>
      </c>
      <c r="G1979">
        <f t="shared" si="30"/>
        <v>4139</v>
      </c>
      <c r="H1979">
        <f>cukier11[[#This Row],[stan_magazynu]]-cukier11[[#This Row],[sprzedany_cukier]]</f>
        <v>4025</v>
      </c>
      <c r="I1979" s="9">
        <f>cukier11[[#This Row],[stan_po_sprzedazy]]+cukier11[[#This Row],[ile_dokupic]]*1000</f>
        <v>4025</v>
      </c>
    </row>
    <row r="1980" spans="1:9" x14ac:dyDescent="0.25">
      <c r="A1980" s="1">
        <v>41716</v>
      </c>
      <c r="B1980" t="s">
        <v>14</v>
      </c>
      <c r="C1980">
        <v>265</v>
      </c>
      <c r="D1980">
        <f>MONTH(cukier11[[#This Row],[data]])</f>
        <v>3</v>
      </c>
      <c r="E1980">
        <f>IF(D1981&lt;&gt;cukier11[[#This Row],[miesiac]],1,0)</f>
        <v>0</v>
      </c>
      <c r="F1980">
        <f>IF(AND(H1979&lt;5000,cukier11[[#This Row],[czy_nastapiła_zmiana_mies]]=1),ROUNDUP((5000-H1979)/1000,0),0)</f>
        <v>0</v>
      </c>
      <c r="G1980">
        <f t="shared" si="30"/>
        <v>4025</v>
      </c>
      <c r="H1980">
        <f>cukier11[[#This Row],[stan_magazynu]]-cukier11[[#This Row],[sprzedany_cukier]]</f>
        <v>3760</v>
      </c>
      <c r="I1980" s="9">
        <f>cukier11[[#This Row],[stan_po_sprzedazy]]+cukier11[[#This Row],[ile_dokupic]]*1000</f>
        <v>3760</v>
      </c>
    </row>
    <row r="1981" spans="1:9" x14ac:dyDescent="0.25">
      <c r="A1981" s="1">
        <v>41716</v>
      </c>
      <c r="B1981" t="s">
        <v>128</v>
      </c>
      <c r="C1981">
        <v>1</v>
      </c>
      <c r="D1981">
        <f>MONTH(cukier11[[#This Row],[data]])</f>
        <v>3</v>
      </c>
      <c r="E1981">
        <f>IF(D1982&lt;&gt;cukier11[[#This Row],[miesiac]],1,0)</f>
        <v>0</v>
      </c>
      <c r="F1981">
        <f>IF(AND(H1980&lt;5000,cukier11[[#This Row],[czy_nastapiła_zmiana_mies]]=1),ROUNDUP((5000-H1980)/1000,0),0)</f>
        <v>0</v>
      </c>
      <c r="G1981">
        <f t="shared" si="30"/>
        <v>3760</v>
      </c>
      <c r="H1981">
        <f>cukier11[[#This Row],[stan_magazynu]]-cukier11[[#This Row],[sprzedany_cukier]]</f>
        <v>3759</v>
      </c>
      <c r="I1981" s="9">
        <f>cukier11[[#This Row],[stan_po_sprzedazy]]+cukier11[[#This Row],[ile_dokupic]]*1000</f>
        <v>3759</v>
      </c>
    </row>
    <row r="1982" spans="1:9" x14ac:dyDescent="0.25">
      <c r="A1982" s="1">
        <v>41719</v>
      </c>
      <c r="B1982" t="s">
        <v>156</v>
      </c>
      <c r="C1982">
        <v>16</v>
      </c>
      <c r="D1982">
        <f>MONTH(cukier11[[#This Row],[data]])</f>
        <v>3</v>
      </c>
      <c r="E1982">
        <f>IF(D1983&lt;&gt;cukier11[[#This Row],[miesiac]],1,0)</f>
        <v>0</v>
      </c>
      <c r="F1982">
        <f>IF(AND(H1981&lt;5000,cukier11[[#This Row],[czy_nastapiła_zmiana_mies]]=1),ROUNDUP((5000-H1981)/1000,0),0)</f>
        <v>0</v>
      </c>
      <c r="G1982">
        <f t="shared" si="30"/>
        <v>3759</v>
      </c>
      <c r="H1982">
        <f>cukier11[[#This Row],[stan_magazynu]]-cukier11[[#This Row],[sprzedany_cukier]]</f>
        <v>3743</v>
      </c>
      <c r="I1982" s="9">
        <f>cukier11[[#This Row],[stan_po_sprzedazy]]+cukier11[[#This Row],[ile_dokupic]]*1000</f>
        <v>3743</v>
      </c>
    </row>
    <row r="1983" spans="1:9" x14ac:dyDescent="0.25">
      <c r="A1983" s="1">
        <v>41721</v>
      </c>
      <c r="B1983" t="s">
        <v>191</v>
      </c>
      <c r="C1983">
        <v>11</v>
      </c>
      <c r="D1983">
        <f>MONTH(cukier11[[#This Row],[data]])</f>
        <v>3</v>
      </c>
      <c r="E1983">
        <f>IF(D1984&lt;&gt;cukier11[[#This Row],[miesiac]],1,0)</f>
        <v>0</v>
      </c>
      <c r="F1983">
        <f>IF(AND(H1982&lt;5000,cukier11[[#This Row],[czy_nastapiła_zmiana_mies]]=1),ROUNDUP((5000-H1982)/1000,0),0)</f>
        <v>0</v>
      </c>
      <c r="G1983">
        <f t="shared" si="30"/>
        <v>3743</v>
      </c>
      <c r="H1983">
        <f>cukier11[[#This Row],[stan_magazynu]]-cukier11[[#This Row],[sprzedany_cukier]]</f>
        <v>3732</v>
      </c>
      <c r="I1983" s="9">
        <f>cukier11[[#This Row],[stan_po_sprzedazy]]+cukier11[[#This Row],[ile_dokupic]]*1000</f>
        <v>3732</v>
      </c>
    </row>
    <row r="1984" spans="1:9" x14ac:dyDescent="0.25">
      <c r="A1984" s="1">
        <v>41721</v>
      </c>
      <c r="B1984" t="s">
        <v>22</v>
      </c>
      <c r="C1984">
        <v>118</v>
      </c>
      <c r="D1984">
        <f>MONTH(cukier11[[#This Row],[data]])</f>
        <v>3</v>
      </c>
      <c r="E1984">
        <f>IF(D1985&lt;&gt;cukier11[[#This Row],[miesiac]],1,0)</f>
        <v>0</v>
      </c>
      <c r="F1984">
        <f>IF(AND(H1983&lt;5000,cukier11[[#This Row],[czy_nastapiła_zmiana_mies]]=1),ROUNDUP((5000-H1983)/1000,0),0)</f>
        <v>0</v>
      </c>
      <c r="G1984">
        <f t="shared" si="30"/>
        <v>3732</v>
      </c>
      <c r="H1984">
        <f>cukier11[[#This Row],[stan_magazynu]]-cukier11[[#This Row],[sprzedany_cukier]]</f>
        <v>3614</v>
      </c>
      <c r="I1984" s="9">
        <f>cukier11[[#This Row],[stan_po_sprzedazy]]+cukier11[[#This Row],[ile_dokupic]]*1000</f>
        <v>3614</v>
      </c>
    </row>
    <row r="1985" spans="1:9" x14ac:dyDescent="0.25">
      <c r="A1985" s="1">
        <v>41728</v>
      </c>
      <c r="B1985" t="s">
        <v>45</v>
      </c>
      <c r="C1985">
        <v>213</v>
      </c>
      <c r="D1985">
        <f>MONTH(cukier11[[#This Row],[data]])</f>
        <v>3</v>
      </c>
      <c r="E1985">
        <f>IF(D1986&lt;&gt;cukier11[[#This Row],[miesiac]],1,0)</f>
        <v>1</v>
      </c>
      <c r="F1985">
        <f>IF(AND(H1984&lt;5000,cukier11[[#This Row],[czy_nastapiła_zmiana_mies]]=1),ROUNDUP((5000-H1984)/1000,0),0)</f>
        <v>2</v>
      </c>
      <c r="G1985">
        <f t="shared" si="30"/>
        <v>3614</v>
      </c>
      <c r="H1985">
        <f>cukier11[[#This Row],[stan_magazynu]]-cukier11[[#This Row],[sprzedany_cukier]]</f>
        <v>3401</v>
      </c>
      <c r="I1985" s="9">
        <f>cukier11[[#This Row],[stan_po_sprzedazy]]+cukier11[[#This Row],[ile_dokupic]]*1000</f>
        <v>5401</v>
      </c>
    </row>
    <row r="1986" spans="1:9" x14ac:dyDescent="0.25">
      <c r="A1986" s="1">
        <v>41732</v>
      </c>
      <c r="B1986" t="s">
        <v>9</v>
      </c>
      <c r="C1986">
        <v>146</v>
      </c>
      <c r="D1986">
        <f>MONTH(cukier11[[#This Row],[data]])</f>
        <v>4</v>
      </c>
      <c r="E1986">
        <f>IF(D1987&lt;&gt;cukier11[[#This Row],[miesiac]],1,0)</f>
        <v>0</v>
      </c>
      <c r="F1986">
        <f>IF(AND(H1985&lt;5000,cukier11[[#This Row],[czy_nastapiła_zmiana_mies]]=1),ROUNDUP((5000-H1985)/1000,0),0)</f>
        <v>0</v>
      </c>
      <c r="G1986">
        <f t="shared" si="30"/>
        <v>5401</v>
      </c>
      <c r="H1986">
        <f>cukier11[[#This Row],[stan_magazynu]]-cukier11[[#This Row],[sprzedany_cukier]]</f>
        <v>5255</v>
      </c>
      <c r="I1986" s="9">
        <f>cukier11[[#This Row],[stan_po_sprzedazy]]+cukier11[[#This Row],[ile_dokupic]]*1000</f>
        <v>5255</v>
      </c>
    </row>
    <row r="1987" spans="1:9" x14ac:dyDescent="0.25">
      <c r="A1987" s="1">
        <v>41734</v>
      </c>
      <c r="B1987" t="s">
        <v>124</v>
      </c>
      <c r="C1987">
        <v>6</v>
      </c>
      <c r="D1987">
        <f>MONTH(cukier11[[#This Row],[data]])</f>
        <v>4</v>
      </c>
      <c r="E1987">
        <f>IF(D1988&lt;&gt;cukier11[[#This Row],[miesiac]],1,0)</f>
        <v>0</v>
      </c>
      <c r="F1987">
        <f>IF(AND(H1986&lt;5000,cukier11[[#This Row],[czy_nastapiła_zmiana_mies]]=1),ROUNDUP((5000-H1986)/1000,0),0)</f>
        <v>0</v>
      </c>
      <c r="G1987">
        <f t="shared" si="30"/>
        <v>5255</v>
      </c>
      <c r="H1987">
        <f>cukier11[[#This Row],[stan_magazynu]]-cukier11[[#This Row],[sprzedany_cukier]]</f>
        <v>5249</v>
      </c>
      <c r="I1987" s="9">
        <f>cukier11[[#This Row],[stan_po_sprzedazy]]+cukier11[[#This Row],[ile_dokupic]]*1000</f>
        <v>5249</v>
      </c>
    </row>
    <row r="1988" spans="1:9" x14ac:dyDescent="0.25">
      <c r="A1988" s="1">
        <v>41736</v>
      </c>
      <c r="B1988" t="s">
        <v>45</v>
      </c>
      <c r="C1988">
        <v>392</v>
      </c>
      <c r="D1988">
        <f>MONTH(cukier11[[#This Row],[data]])</f>
        <v>4</v>
      </c>
      <c r="E1988">
        <f>IF(D1989&lt;&gt;cukier11[[#This Row],[miesiac]],1,0)</f>
        <v>0</v>
      </c>
      <c r="F1988">
        <f>IF(AND(H1987&lt;5000,cukier11[[#This Row],[czy_nastapiła_zmiana_mies]]=1),ROUNDUP((5000-H1987)/1000,0),0)</f>
        <v>0</v>
      </c>
      <c r="G1988">
        <f t="shared" ref="G1988:G2051" si="31">I1987</f>
        <v>5249</v>
      </c>
      <c r="H1988">
        <f>cukier11[[#This Row],[stan_magazynu]]-cukier11[[#This Row],[sprzedany_cukier]]</f>
        <v>4857</v>
      </c>
      <c r="I1988" s="9">
        <f>cukier11[[#This Row],[stan_po_sprzedazy]]+cukier11[[#This Row],[ile_dokupic]]*1000</f>
        <v>4857</v>
      </c>
    </row>
    <row r="1989" spans="1:9" x14ac:dyDescent="0.25">
      <c r="A1989" s="1">
        <v>41736</v>
      </c>
      <c r="B1989" t="s">
        <v>102</v>
      </c>
      <c r="C1989">
        <v>422</v>
      </c>
      <c r="D1989">
        <f>MONTH(cukier11[[#This Row],[data]])</f>
        <v>4</v>
      </c>
      <c r="E1989">
        <f>IF(D1990&lt;&gt;cukier11[[#This Row],[miesiac]],1,0)</f>
        <v>0</v>
      </c>
      <c r="F1989">
        <f>IF(AND(H1988&lt;5000,cukier11[[#This Row],[czy_nastapiła_zmiana_mies]]=1),ROUNDUP((5000-H1988)/1000,0),0)</f>
        <v>0</v>
      </c>
      <c r="G1989">
        <f t="shared" si="31"/>
        <v>4857</v>
      </c>
      <c r="H1989">
        <f>cukier11[[#This Row],[stan_magazynu]]-cukier11[[#This Row],[sprzedany_cukier]]</f>
        <v>4435</v>
      </c>
      <c r="I1989" s="9">
        <f>cukier11[[#This Row],[stan_po_sprzedazy]]+cukier11[[#This Row],[ile_dokupic]]*1000</f>
        <v>4435</v>
      </c>
    </row>
    <row r="1990" spans="1:9" x14ac:dyDescent="0.25">
      <c r="A1990" s="1">
        <v>41740</v>
      </c>
      <c r="B1990" t="s">
        <v>22</v>
      </c>
      <c r="C1990">
        <v>474</v>
      </c>
      <c r="D1990">
        <f>MONTH(cukier11[[#This Row],[data]])</f>
        <v>4</v>
      </c>
      <c r="E1990">
        <f>IF(D1991&lt;&gt;cukier11[[#This Row],[miesiac]],1,0)</f>
        <v>0</v>
      </c>
      <c r="F1990">
        <f>IF(AND(H1989&lt;5000,cukier11[[#This Row],[czy_nastapiła_zmiana_mies]]=1),ROUNDUP((5000-H1989)/1000,0),0)</f>
        <v>0</v>
      </c>
      <c r="G1990">
        <f t="shared" si="31"/>
        <v>4435</v>
      </c>
      <c r="H1990">
        <f>cukier11[[#This Row],[stan_magazynu]]-cukier11[[#This Row],[sprzedany_cukier]]</f>
        <v>3961</v>
      </c>
      <c r="I1990" s="9">
        <f>cukier11[[#This Row],[stan_po_sprzedazy]]+cukier11[[#This Row],[ile_dokupic]]*1000</f>
        <v>3961</v>
      </c>
    </row>
    <row r="1991" spans="1:9" x14ac:dyDescent="0.25">
      <c r="A1991" s="1">
        <v>41741</v>
      </c>
      <c r="B1991" t="s">
        <v>55</v>
      </c>
      <c r="C1991">
        <v>166</v>
      </c>
      <c r="D1991">
        <f>MONTH(cukier11[[#This Row],[data]])</f>
        <v>4</v>
      </c>
      <c r="E1991">
        <f>IF(D1992&lt;&gt;cukier11[[#This Row],[miesiac]],1,0)</f>
        <v>0</v>
      </c>
      <c r="F1991">
        <f>IF(AND(H1990&lt;5000,cukier11[[#This Row],[czy_nastapiła_zmiana_mies]]=1),ROUNDUP((5000-H1990)/1000,0),0)</f>
        <v>0</v>
      </c>
      <c r="G1991">
        <f t="shared" si="31"/>
        <v>3961</v>
      </c>
      <c r="H1991">
        <f>cukier11[[#This Row],[stan_magazynu]]-cukier11[[#This Row],[sprzedany_cukier]]</f>
        <v>3795</v>
      </c>
      <c r="I1991" s="9">
        <f>cukier11[[#This Row],[stan_po_sprzedazy]]+cukier11[[#This Row],[ile_dokupic]]*1000</f>
        <v>3795</v>
      </c>
    </row>
    <row r="1992" spans="1:9" x14ac:dyDescent="0.25">
      <c r="A1992" s="1">
        <v>41743</v>
      </c>
      <c r="B1992" t="s">
        <v>55</v>
      </c>
      <c r="C1992">
        <v>121</v>
      </c>
      <c r="D1992">
        <f>MONTH(cukier11[[#This Row],[data]])</f>
        <v>4</v>
      </c>
      <c r="E1992">
        <f>IF(D1993&lt;&gt;cukier11[[#This Row],[miesiac]],1,0)</f>
        <v>0</v>
      </c>
      <c r="F1992">
        <f>IF(AND(H1991&lt;5000,cukier11[[#This Row],[czy_nastapiła_zmiana_mies]]=1),ROUNDUP((5000-H1991)/1000,0),0)</f>
        <v>0</v>
      </c>
      <c r="G1992">
        <f t="shared" si="31"/>
        <v>3795</v>
      </c>
      <c r="H1992">
        <f>cukier11[[#This Row],[stan_magazynu]]-cukier11[[#This Row],[sprzedany_cukier]]</f>
        <v>3674</v>
      </c>
      <c r="I1992" s="9">
        <f>cukier11[[#This Row],[stan_po_sprzedazy]]+cukier11[[#This Row],[ile_dokupic]]*1000</f>
        <v>3674</v>
      </c>
    </row>
    <row r="1993" spans="1:9" x14ac:dyDescent="0.25">
      <c r="A1993" s="1">
        <v>41744</v>
      </c>
      <c r="B1993" t="s">
        <v>17</v>
      </c>
      <c r="C1993">
        <v>406</v>
      </c>
      <c r="D1993">
        <f>MONTH(cukier11[[#This Row],[data]])</f>
        <v>4</v>
      </c>
      <c r="E1993">
        <f>IF(D1994&lt;&gt;cukier11[[#This Row],[miesiac]],1,0)</f>
        <v>0</v>
      </c>
      <c r="F1993">
        <f>IF(AND(H1992&lt;5000,cukier11[[#This Row],[czy_nastapiła_zmiana_mies]]=1),ROUNDUP((5000-H1992)/1000,0),0)</f>
        <v>0</v>
      </c>
      <c r="G1993">
        <f t="shared" si="31"/>
        <v>3674</v>
      </c>
      <c r="H1993">
        <f>cukier11[[#This Row],[stan_magazynu]]-cukier11[[#This Row],[sprzedany_cukier]]</f>
        <v>3268</v>
      </c>
      <c r="I1993" s="9">
        <f>cukier11[[#This Row],[stan_po_sprzedazy]]+cukier11[[#This Row],[ile_dokupic]]*1000</f>
        <v>3268</v>
      </c>
    </row>
    <row r="1994" spans="1:9" x14ac:dyDescent="0.25">
      <c r="A1994" s="1">
        <v>41746</v>
      </c>
      <c r="B1994" t="s">
        <v>26</v>
      </c>
      <c r="C1994">
        <v>41</v>
      </c>
      <c r="D1994">
        <f>MONTH(cukier11[[#This Row],[data]])</f>
        <v>4</v>
      </c>
      <c r="E1994">
        <f>IF(D1995&lt;&gt;cukier11[[#This Row],[miesiac]],1,0)</f>
        <v>0</v>
      </c>
      <c r="F1994">
        <f>IF(AND(H1993&lt;5000,cukier11[[#This Row],[czy_nastapiła_zmiana_mies]]=1),ROUNDUP((5000-H1993)/1000,0),0)</f>
        <v>0</v>
      </c>
      <c r="G1994">
        <f t="shared" si="31"/>
        <v>3268</v>
      </c>
      <c r="H1994">
        <f>cukier11[[#This Row],[stan_magazynu]]-cukier11[[#This Row],[sprzedany_cukier]]</f>
        <v>3227</v>
      </c>
      <c r="I1994" s="9">
        <f>cukier11[[#This Row],[stan_po_sprzedazy]]+cukier11[[#This Row],[ile_dokupic]]*1000</f>
        <v>3227</v>
      </c>
    </row>
    <row r="1995" spans="1:9" x14ac:dyDescent="0.25">
      <c r="A1995" s="1">
        <v>41750</v>
      </c>
      <c r="B1995" t="s">
        <v>50</v>
      </c>
      <c r="C1995">
        <v>254</v>
      </c>
      <c r="D1995">
        <f>MONTH(cukier11[[#This Row],[data]])</f>
        <v>4</v>
      </c>
      <c r="E1995">
        <f>IF(D1996&lt;&gt;cukier11[[#This Row],[miesiac]],1,0)</f>
        <v>0</v>
      </c>
      <c r="F1995">
        <f>IF(AND(H1994&lt;5000,cukier11[[#This Row],[czy_nastapiła_zmiana_mies]]=1),ROUNDUP((5000-H1994)/1000,0),0)</f>
        <v>0</v>
      </c>
      <c r="G1995">
        <f t="shared" si="31"/>
        <v>3227</v>
      </c>
      <c r="H1995">
        <f>cukier11[[#This Row],[stan_magazynu]]-cukier11[[#This Row],[sprzedany_cukier]]</f>
        <v>2973</v>
      </c>
      <c r="I1995" s="9">
        <f>cukier11[[#This Row],[stan_po_sprzedazy]]+cukier11[[#This Row],[ile_dokupic]]*1000</f>
        <v>2973</v>
      </c>
    </row>
    <row r="1996" spans="1:9" x14ac:dyDescent="0.25">
      <c r="A1996" s="1">
        <v>41750</v>
      </c>
      <c r="B1996" t="s">
        <v>9</v>
      </c>
      <c r="C1996">
        <v>246</v>
      </c>
      <c r="D1996">
        <f>MONTH(cukier11[[#This Row],[data]])</f>
        <v>4</v>
      </c>
      <c r="E1996">
        <f>IF(D1997&lt;&gt;cukier11[[#This Row],[miesiac]],1,0)</f>
        <v>0</v>
      </c>
      <c r="F1996">
        <f>IF(AND(H1995&lt;5000,cukier11[[#This Row],[czy_nastapiła_zmiana_mies]]=1),ROUNDUP((5000-H1995)/1000,0),0)</f>
        <v>0</v>
      </c>
      <c r="G1996">
        <f t="shared" si="31"/>
        <v>2973</v>
      </c>
      <c r="H1996">
        <f>cukier11[[#This Row],[stan_magazynu]]-cukier11[[#This Row],[sprzedany_cukier]]</f>
        <v>2727</v>
      </c>
      <c r="I1996" s="9">
        <f>cukier11[[#This Row],[stan_po_sprzedazy]]+cukier11[[#This Row],[ile_dokupic]]*1000</f>
        <v>2727</v>
      </c>
    </row>
    <row r="1997" spans="1:9" x14ac:dyDescent="0.25">
      <c r="A1997" s="1">
        <v>41755</v>
      </c>
      <c r="B1997" t="s">
        <v>19</v>
      </c>
      <c r="C1997">
        <v>148</v>
      </c>
      <c r="D1997">
        <f>MONTH(cukier11[[#This Row],[data]])</f>
        <v>4</v>
      </c>
      <c r="E1997">
        <f>IF(D1998&lt;&gt;cukier11[[#This Row],[miesiac]],1,0)</f>
        <v>0</v>
      </c>
      <c r="F1997">
        <f>IF(AND(H1996&lt;5000,cukier11[[#This Row],[czy_nastapiła_zmiana_mies]]=1),ROUNDUP((5000-H1996)/1000,0),0)</f>
        <v>0</v>
      </c>
      <c r="G1997">
        <f t="shared" si="31"/>
        <v>2727</v>
      </c>
      <c r="H1997">
        <f>cukier11[[#This Row],[stan_magazynu]]-cukier11[[#This Row],[sprzedany_cukier]]</f>
        <v>2579</v>
      </c>
      <c r="I1997" s="9">
        <f>cukier11[[#This Row],[stan_po_sprzedazy]]+cukier11[[#This Row],[ile_dokupic]]*1000</f>
        <v>2579</v>
      </c>
    </row>
    <row r="1998" spans="1:9" x14ac:dyDescent="0.25">
      <c r="A1998" s="1">
        <v>41755</v>
      </c>
      <c r="B1998" t="s">
        <v>5</v>
      </c>
      <c r="C1998">
        <v>365</v>
      </c>
      <c r="D1998">
        <f>MONTH(cukier11[[#This Row],[data]])</f>
        <v>4</v>
      </c>
      <c r="E1998">
        <f>IF(D1999&lt;&gt;cukier11[[#This Row],[miesiac]],1,0)</f>
        <v>0</v>
      </c>
      <c r="F1998">
        <f>IF(AND(H1997&lt;5000,cukier11[[#This Row],[czy_nastapiła_zmiana_mies]]=1),ROUNDUP((5000-H1997)/1000,0),0)</f>
        <v>0</v>
      </c>
      <c r="G1998">
        <f t="shared" si="31"/>
        <v>2579</v>
      </c>
      <c r="H1998">
        <f>cukier11[[#This Row],[stan_magazynu]]-cukier11[[#This Row],[sprzedany_cukier]]</f>
        <v>2214</v>
      </c>
      <c r="I1998" s="9">
        <f>cukier11[[#This Row],[stan_po_sprzedazy]]+cukier11[[#This Row],[ile_dokupic]]*1000</f>
        <v>2214</v>
      </c>
    </row>
    <row r="1999" spans="1:9" x14ac:dyDescent="0.25">
      <c r="A1999" s="1">
        <v>41756</v>
      </c>
      <c r="B1999" t="s">
        <v>20</v>
      </c>
      <c r="C1999">
        <v>20</v>
      </c>
      <c r="D1999">
        <f>MONTH(cukier11[[#This Row],[data]])</f>
        <v>4</v>
      </c>
      <c r="E1999">
        <f>IF(D2000&lt;&gt;cukier11[[#This Row],[miesiac]],1,0)</f>
        <v>1</v>
      </c>
      <c r="F1999">
        <f>IF(AND(H1998&lt;5000,cukier11[[#This Row],[czy_nastapiła_zmiana_mies]]=1),ROUNDUP((5000-H1998)/1000,0),0)</f>
        <v>3</v>
      </c>
      <c r="G1999">
        <f t="shared" si="31"/>
        <v>2214</v>
      </c>
      <c r="H1999">
        <f>cukier11[[#This Row],[stan_magazynu]]-cukier11[[#This Row],[sprzedany_cukier]]</f>
        <v>2194</v>
      </c>
      <c r="I1999" s="9">
        <f>cukier11[[#This Row],[stan_po_sprzedazy]]+cukier11[[#This Row],[ile_dokupic]]*1000</f>
        <v>5194</v>
      </c>
    </row>
    <row r="2000" spans="1:9" x14ac:dyDescent="0.25">
      <c r="A2000" s="1">
        <v>41761</v>
      </c>
      <c r="B2000" t="s">
        <v>137</v>
      </c>
      <c r="C2000">
        <v>4</v>
      </c>
      <c r="D2000">
        <f>MONTH(cukier11[[#This Row],[data]])</f>
        <v>5</v>
      </c>
      <c r="E2000">
        <f>IF(D2001&lt;&gt;cukier11[[#This Row],[miesiac]],1,0)</f>
        <v>0</v>
      </c>
      <c r="F2000">
        <f>IF(AND(H1999&lt;5000,cukier11[[#This Row],[czy_nastapiła_zmiana_mies]]=1),ROUNDUP((5000-H1999)/1000,0),0)</f>
        <v>0</v>
      </c>
      <c r="G2000">
        <f t="shared" si="31"/>
        <v>5194</v>
      </c>
      <c r="H2000">
        <f>cukier11[[#This Row],[stan_magazynu]]-cukier11[[#This Row],[sprzedany_cukier]]</f>
        <v>5190</v>
      </c>
      <c r="I2000" s="9">
        <f>cukier11[[#This Row],[stan_po_sprzedazy]]+cukier11[[#This Row],[ile_dokupic]]*1000</f>
        <v>5190</v>
      </c>
    </row>
    <row r="2001" spans="1:9" x14ac:dyDescent="0.25">
      <c r="A2001" s="1">
        <v>41764</v>
      </c>
      <c r="B2001" t="s">
        <v>45</v>
      </c>
      <c r="C2001">
        <v>215</v>
      </c>
      <c r="D2001">
        <f>MONTH(cukier11[[#This Row],[data]])</f>
        <v>5</v>
      </c>
      <c r="E2001">
        <f>IF(D2002&lt;&gt;cukier11[[#This Row],[miesiac]],1,0)</f>
        <v>0</v>
      </c>
      <c r="F2001">
        <f>IF(AND(H2000&lt;5000,cukier11[[#This Row],[czy_nastapiła_zmiana_mies]]=1),ROUNDUP((5000-H2000)/1000,0),0)</f>
        <v>0</v>
      </c>
      <c r="G2001">
        <f t="shared" si="31"/>
        <v>5190</v>
      </c>
      <c r="H2001">
        <f>cukier11[[#This Row],[stan_magazynu]]-cukier11[[#This Row],[sprzedany_cukier]]</f>
        <v>4975</v>
      </c>
      <c r="I2001" s="9">
        <f>cukier11[[#This Row],[stan_po_sprzedazy]]+cukier11[[#This Row],[ile_dokupic]]*1000</f>
        <v>4975</v>
      </c>
    </row>
    <row r="2002" spans="1:9" x14ac:dyDescent="0.25">
      <c r="A2002" s="1">
        <v>41766</v>
      </c>
      <c r="B2002" t="s">
        <v>12</v>
      </c>
      <c r="C2002">
        <v>138</v>
      </c>
      <c r="D2002">
        <f>MONTH(cukier11[[#This Row],[data]])</f>
        <v>5</v>
      </c>
      <c r="E2002">
        <f>IF(D2003&lt;&gt;cukier11[[#This Row],[miesiac]],1,0)</f>
        <v>0</v>
      </c>
      <c r="F2002">
        <f>IF(AND(H2001&lt;5000,cukier11[[#This Row],[czy_nastapiła_zmiana_mies]]=1),ROUNDUP((5000-H2001)/1000,0),0)</f>
        <v>0</v>
      </c>
      <c r="G2002">
        <f t="shared" si="31"/>
        <v>4975</v>
      </c>
      <c r="H2002">
        <f>cukier11[[#This Row],[stan_magazynu]]-cukier11[[#This Row],[sprzedany_cukier]]</f>
        <v>4837</v>
      </c>
      <c r="I2002" s="9">
        <f>cukier11[[#This Row],[stan_po_sprzedazy]]+cukier11[[#This Row],[ile_dokupic]]*1000</f>
        <v>4837</v>
      </c>
    </row>
    <row r="2003" spans="1:9" x14ac:dyDescent="0.25">
      <c r="A2003" s="1">
        <v>41766</v>
      </c>
      <c r="B2003" t="s">
        <v>7</v>
      </c>
      <c r="C2003">
        <v>496</v>
      </c>
      <c r="D2003">
        <f>MONTH(cukier11[[#This Row],[data]])</f>
        <v>5</v>
      </c>
      <c r="E2003">
        <f>IF(D2004&lt;&gt;cukier11[[#This Row],[miesiac]],1,0)</f>
        <v>0</v>
      </c>
      <c r="F2003">
        <f>IF(AND(H2002&lt;5000,cukier11[[#This Row],[czy_nastapiła_zmiana_mies]]=1),ROUNDUP((5000-H2002)/1000,0),0)</f>
        <v>0</v>
      </c>
      <c r="G2003">
        <f t="shared" si="31"/>
        <v>4837</v>
      </c>
      <c r="H2003">
        <f>cukier11[[#This Row],[stan_magazynu]]-cukier11[[#This Row],[sprzedany_cukier]]</f>
        <v>4341</v>
      </c>
      <c r="I2003" s="9">
        <f>cukier11[[#This Row],[stan_po_sprzedazy]]+cukier11[[#This Row],[ile_dokupic]]*1000</f>
        <v>4341</v>
      </c>
    </row>
    <row r="2004" spans="1:9" x14ac:dyDescent="0.25">
      <c r="A2004" s="1">
        <v>41767</v>
      </c>
      <c r="B2004" t="s">
        <v>37</v>
      </c>
      <c r="C2004">
        <v>155</v>
      </c>
      <c r="D2004">
        <f>MONTH(cukier11[[#This Row],[data]])</f>
        <v>5</v>
      </c>
      <c r="E2004">
        <f>IF(D2005&lt;&gt;cukier11[[#This Row],[miesiac]],1,0)</f>
        <v>0</v>
      </c>
      <c r="F2004">
        <f>IF(AND(H2003&lt;5000,cukier11[[#This Row],[czy_nastapiła_zmiana_mies]]=1),ROUNDUP((5000-H2003)/1000,0),0)</f>
        <v>0</v>
      </c>
      <c r="G2004">
        <f t="shared" si="31"/>
        <v>4341</v>
      </c>
      <c r="H2004">
        <f>cukier11[[#This Row],[stan_magazynu]]-cukier11[[#This Row],[sprzedany_cukier]]</f>
        <v>4186</v>
      </c>
      <c r="I2004" s="9">
        <f>cukier11[[#This Row],[stan_po_sprzedazy]]+cukier11[[#This Row],[ile_dokupic]]*1000</f>
        <v>4186</v>
      </c>
    </row>
    <row r="2005" spans="1:9" x14ac:dyDescent="0.25">
      <c r="A2005" s="1">
        <v>41770</v>
      </c>
      <c r="B2005" t="s">
        <v>24</v>
      </c>
      <c r="C2005">
        <v>386</v>
      </c>
      <c r="D2005">
        <f>MONTH(cukier11[[#This Row],[data]])</f>
        <v>5</v>
      </c>
      <c r="E2005">
        <f>IF(D2006&lt;&gt;cukier11[[#This Row],[miesiac]],1,0)</f>
        <v>0</v>
      </c>
      <c r="F2005">
        <f>IF(AND(H2004&lt;5000,cukier11[[#This Row],[czy_nastapiła_zmiana_mies]]=1),ROUNDUP((5000-H2004)/1000,0),0)</f>
        <v>0</v>
      </c>
      <c r="G2005">
        <f t="shared" si="31"/>
        <v>4186</v>
      </c>
      <c r="H2005">
        <f>cukier11[[#This Row],[stan_magazynu]]-cukier11[[#This Row],[sprzedany_cukier]]</f>
        <v>3800</v>
      </c>
      <c r="I2005" s="9">
        <f>cukier11[[#This Row],[stan_po_sprzedazy]]+cukier11[[#This Row],[ile_dokupic]]*1000</f>
        <v>3800</v>
      </c>
    </row>
    <row r="2006" spans="1:9" x14ac:dyDescent="0.25">
      <c r="A2006" s="1">
        <v>41773</v>
      </c>
      <c r="B2006" t="s">
        <v>71</v>
      </c>
      <c r="C2006">
        <v>124</v>
      </c>
      <c r="D2006">
        <f>MONTH(cukier11[[#This Row],[data]])</f>
        <v>5</v>
      </c>
      <c r="E2006">
        <f>IF(D2007&lt;&gt;cukier11[[#This Row],[miesiac]],1,0)</f>
        <v>0</v>
      </c>
      <c r="F2006">
        <f>IF(AND(H2005&lt;5000,cukier11[[#This Row],[czy_nastapiła_zmiana_mies]]=1),ROUNDUP((5000-H2005)/1000,0),0)</f>
        <v>0</v>
      </c>
      <c r="G2006">
        <f t="shared" si="31"/>
        <v>3800</v>
      </c>
      <c r="H2006">
        <f>cukier11[[#This Row],[stan_magazynu]]-cukier11[[#This Row],[sprzedany_cukier]]</f>
        <v>3676</v>
      </c>
      <c r="I2006" s="9">
        <f>cukier11[[#This Row],[stan_po_sprzedazy]]+cukier11[[#This Row],[ile_dokupic]]*1000</f>
        <v>3676</v>
      </c>
    </row>
    <row r="2007" spans="1:9" x14ac:dyDescent="0.25">
      <c r="A2007" s="1">
        <v>41774</v>
      </c>
      <c r="B2007" t="s">
        <v>14</v>
      </c>
      <c r="C2007">
        <v>173</v>
      </c>
      <c r="D2007">
        <f>MONTH(cukier11[[#This Row],[data]])</f>
        <v>5</v>
      </c>
      <c r="E2007">
        <f>IF(D2008&lt;&gt;cukier11[[#This Row],[miesiac]],1,0)</f>
        <v>0</v>
      </c>
      <c r="F2007">
        <f>IF(AND(H2006&lt;5000,cukier11[[#This Row],[czy_nastapiła_zmiana_mies]]=1),ROUNDUP((5000-H2006)/1000,0),0)</f>
        <v>0</v>
      </c>
      <c r="G2007">
        <f t="shared" si="31"/>
        <v>3676</v>
      </c>
      <c r="H2007">
        <f>cukier11[[#This Row],[stan_magazynu]]-cukier11[[#This Row],[sprzedany_cukier]]</f>
        <v>3503</v>
      </c>
      <c r="I2007" s="9">
        <f>cukier11[[#This Row],[stan_po_sprzedazy]]+cukier11[[#This Row],[ile_dokupic]]*1000</f>
        <v>3503</v>
      </c>
    </row>
    <row r="2008" spans="1:9" x14ac:dyDescent="0.25">
      <c r="A2008" s="1">
        <v>41776</v>
      </c>
      <c r="B2008" t="s">
        <v>35</v>
      </c>
      <c r="C2008">
        <v>161</v>
      </c>
      <c r="D2008">
        <f>MONTH(cukier11[[#This Row],[data]])</f>
        <v>5</v>
      </c>
      <c r="E2008">
        <f>IF(D2009&lt;&gt;cukier11[[#This Row],[miesiac]],1,0)</f>
        <v>0</v>
      </c>
      <c r="F2008">
        <f>IF(AND(H2007&lt;5000,cukier11[[#This Row],[czy_nastapiła_zmiana_mies]]=1),ROUNDUP((5000-H2007)/1000,0),0)</f>
        <v>0</v>
      </c>
      <c r="G2008">
        <f t="shared" si="31"/>
        <v>3503</v>
      </c>
      <c r="H2008">
        <f>cukier11[[#This Row],[stan_magazynu]]-cukier11[[#This Row],[sprzedany_cukier]]</f>
        <v>3342</v>
      </c>
      <c r="I2008" s="9">
        <f>cukier11[[#This Row],[stan_po_sprzedazy]]+cukier11[[#This Row],[ile_dokupic]]*1000</f>
        <v>3342</v>
      </c>
    </row>
    <row r="2009" spans="1:9" x14ac:dyDescent="0.25">
      <c r="A2009" s="1">
        <v>41778</v>
      </c>
      <c r="B2009" t="s">
        <v>69</v>
      </c>
      <c r="C2009">
        <v>147</v>
      </c>
      <c r="D2009">
        <f>MONTH(cukier11[[#This Row],[data]])</f>
        <v>5</v>
      </c>
      <c r="E2009">
        <f>IF(D2010&lt;&gt;cukier11[[#This Row],[miesiac]],1,0)</f>
        <v>0</v>
      </c>
      <c r="F2009">
        <f>IF(AND(H2008&lt;5000,cukier11[[#This Row],[czy_nastapiła_zmiana_mies]]=1),ROUNDUP((5000-H2008)/1000,0),0)</f>
        <v>0</v>
      </c>
      <c r="G2009">
        <f t="shared" si="31"/>
        <v>3342</v>
      </c>
      <c r="H2009">
        <f>cukier11[[#This Row],[stan_magazynu]]-cukier11[[#This Row],[sprzedany_cukier]]</f>
        <v>3195</v>
      </c>
      <c r="I2009" s="9">
        <f>cukier11[[#This Row],[stan_po_sprzedazy]]+cukier11[[#This Row],[ile_dokupic]]*1000</f>
        <v>3195</v>
      </c>
    </row>
    <row r="2010" spans="1:9" x14ac:dyDescent="0.25">
      <c r="A2010" s="1">
        <v>41784</v>
      </c>
      <c r="B2010" t="s">
        <v>22</v>
      </c>
      <c r="C2010">
        <v>401</v>
      </c>
      <c r="D2010">
        <f>MONTH(cukier11[[#This Row],[data]])</f>
        <v>5</v>
      </c>
      <c r="E2010">
        <f>IF(D2011&lt;&gt;cukier11[[#This Row],[miesiac]],1,0)</f>
        <v>0</v>
      </c>
      <c r="F2010">
        <f>IF(AND(H2009&lt;5000,cukier11[[#This Row],[czy_nastapiła_zmiana_mies]]=1),ROUNDUP((5000-H2009)/1000,0),0)</f>
        <v>0</v>
      </c>
      <c r="G2010">
        <f t="shared" si="31"/>
        <v>3195</v>
      </c>
      <c r="H2010">
        <f>cukier11[[#This Row],[stan_magazynu]]-cukier11[[#This Row],[sprzedany_cukier]]</f>
        <v>2794</v>
      </c>
      <c r="I2010" s="9">
        <f>cukier11[[#This Row],[stan_po_sprzedazy]]+cukier11[[#This Row],[ile_dokupic]]*1000</f>
        <v>2794</v>
      </c>
    </row>
    <row r="2011" spans="1:9" x14ac:dyDescent="0.25">
      <c r="A2011" s="1">
        <v>41784</v>
      </c>
      <c r="B2011" t="s">
        <v>50</v>
      </c>
      <c r="C2011">
        <v>101</v>
      </c>
      <c r="D2011">
        <f>MONTH(cukier11[[#This Row],[data]])</f>
        <v>5</v>
      </c>
      <c r="E2011">
        <f>IF(D2012&lt;&gt;cukier11[[#This Row],[miesiac]],1,0)</f>
        <v>0</v>
      </c>
      <c r="F2011">
        <f>IF(AND(H2010&lt;5000,cukier11[[#This Row],[czy_nastapiła_zmiana_mies]]=1),ROUNDUP((5000-H2010)/1000,0),0)</f>
        <v>0</v>
      </c>
      <c r="G2011">
        <f t="shared" si="31"/>
        <v>2794</v>
      </c>
      <c r="H2011">
        <f>cukier11[[#This Row],[stan_magazynu]]-cukier11[[#This Row],[sprzedany_cukier]]</f>
        <v>2693</v>
      </c>
      <c r="I2011" s="9">
        <f>cukier11[[#This Row],[stan_po_sprzedazy]]+cukier11[[#This Row],[ile_dokupic]]*1000</f>
        <v>2693</v>
      </c>
    </row>
    <row r="2012" spans="1:9" x14ac:dyDescent="0.25">
      <c r="A2012" s="1">
        <v>41785</v>
      </c>
      <c r="B2012" t="s">
        <v>22</v>
      </c>
      <c r="C2012">
        <v>169</v>
      </c>
      <c r="D2012">
        <f>MONTH(cukier11[[#This Row],[data]])</f>
        <v>5</v>
      </c>
      <c r="E2012">
        <f>IF(D2013&lt;&gt;cukier11[[#This Row],[miesiac]],1,0)</f>
        <v>0</v>
      </c>
      <c r="F2012">
        <f>IF(AND(H2011&lt;5000,cukier11[[#This Row],[czy_nastapiła_zmiana_mies]]=1),ROUNDUP((5000-H2011)/1000,0),0)</f>
        <v>0</v>
      </c>
      <c r="G2012">
        <f t="shared" si="31"/>
        <v>2693</v>
      </c>
      <c r="H2012">
        <f>cukier11[[#This Row],[stan_magazynu]]-cukier11[[#This Row],[sprzedany_cukier]]</f>
        <v>2524</v>
      </c>
      <c r="I2012" s="9">
        <f>cukier11[[#This Row],[stan_po_sprzedazy]]+cukier11[[#This Row],[ile_dokupic]]*1000</f>
        <v>2524</v>
      </c>
    </row>
    <row r="2013" spans="1:9" x14ac:dyDescent="0.25">
      <c r="A2013" s="1">
        <v>41786</v>
      </c>
      <c r="B2013" t="s">
        <v>14</v>
      </c>
      <c r="C2013">
        <v>324</v>
      </c>
      <c r="D2013">
        <f>MONTH(cukier11[[#This Row],[data]])</f>
        <v>5</v>
      </c>
      <c r="E2013">
        <f>IF(D2014&lt;&gt;cukier11[[#This Row],[miesiac]],1,0)</f>
        <v>0</v>
      </c>
      <c r="F2013">
        <f>IF(AND(H2012&lt;5000,cukier11[[#This Row],[czy_nastapiła_zmiana_mies]]=1),ROUNDUP((5000-H2012)/1000,0),0)</f>
        <v>0</v>
      </c>
      <c r="G2013">
        <f t="shared" si="31"/>
        <v>2524</v>
      </c>
      <c r="H2013">
        <f>cukier11[[#This Row],[stan_magazynu]]-cukier11[[#This Row],[sprzedany_cukier]]</f>
        <v>2200</v>
      </c>
      <c r="I2013" s="9">
        <f>cukier11[[#This Row],[stan_po_sprzedazy]]+cukier11[[#This Row],[ile_dokupic]]*1000</f>
        <v>2200</v>
      </c>
    </row>
    <row r="2014" spans="1:9" x14ac:dyDescent="0.25">
      <c r="A2014" s="1">
        <v>41787</v>
      </c>
      <c r="B2014" t="s">
        <v>219</v>
      </c>
      <c r="C2014">
        <v>16</v>
      </c>
      <c r="D2014">
        <f>MONTH(cukier11[[#This Row],[data]])</f>
        <v>5</v>
      </c>
      <c r="E2014">
        <f>IF(D2015&lt;&gt;cukier11[[#This Row],[miesiac]],1,0)</f>
        <v>0</v>
      </c>
      <c r="F2014">
        <f>IF(AND(H2013&lt;5000,cukier11[[#This Row],[czy_nastapiła_zmiana_mies]]=1),ROUNDUP((5000-H2013)/1000,0),0)</f>
        <v>0</v>
      </c>
      <c r="G2014">
        <f t="shared" si="31"/>
        <v>2200</v>
      </c>
      <c r="H2014">
        <f>cukier11[[#This Row],[stan_magazynu]]-cukier11[[#This Row],[sprzedany_cukier]]</f>
        <v>2184</v>
      </c>
      <c r="I2014" s="9">
        <f>cukier11[[#This Row],[stan_po_sprzedazy]]+cukier11[[#This Row],[ile_dokupic]]*1000</f>
        <v>2184</v>
      </c>
    </row>
    <row r="2015" spans="1:9" x14ac:dyDescent="0.25">
      <c r="A2015" s="1">
        <v>41788</v>
      </c>
      <c r="B2015" t="s">
        <v>71</v>
      </c>
      <c r="C2015">
        <v>194</v>
      </c>
      <c r="D2015">
        <f>MONTH(cukier11[[#This Row],[data]])</f>
        <v>5</v>
      </c>
      <c r="E2015">
        <f>IF(D2016&lt;&gt;cukier11[[#This Row],[miesiac]],1,0)</f>
        <v>0</v>
      </c>
      <c r="F2015">
        <f>IF(AND(H2014&lt;5000,cukier11[[#This Row],[czy_nastapiła_zmiana_mies]]=1),ROUNDUP((5000-H2014)/1000,0),0)</f>
        <v>0</v>
      </c>
      <c r="G2015">
        <f t="shared" si="31"/>
        <v>2184</v>
      </c>
      <c r="H2015">
        <f>cukier11[[#This Row],[stan_magazynu]]-cukier11[[#This Row],[sprzedany_cukier]]</f>
        <v>1990</v>
      </c>
      <c r="I2015" s="9">
        <f>cukier11[[#This Row],[stan_po_sprzedazy]]+cukier11[[#This Row],[ile_dokupic]]*1000</f>
        <v>1990</v>
      </c>
    </row>
    <row r="2016" spans="1:9" x14ac:dyDescent="0.25">
      <c r="A2016" s="1">
        <v>41789</v>
      </c>
      <c r="B2016" t="s">
        <v>102</v>
      </c>
      <c r="C2016">
        <v>197</v>
      </c>
      <c r="D2016">
        <f>MONTH(cukier11[[#This Row],[data]])</f>
        <v>5</v>
      </c>
      <c r="E2016">
        <f>IF(D2017&lt;&gt;cukier11[[#This Row],[miesiac]],1,0)</f>
        <v>0</v>
      </c>
      <c r="F2016">
        <f>IF(AND(H2015&lt;5000,cukier11[[#This Row],[czy_nastapiła_zmiana_mies]]=1),ROUNDUP((5000-H2015)/1000,0),0)</f>
        <v>0</v>
      </c>
      <c r="G2016">
        <f t="shared" si="31"/>
        <v>1990</v>
      </c>
      <c r="H2016">
        <f>cukier11[[#This Row],[stan_magazynu]]-cukier11[[#This Row],[sprzedany_cukier]]</f>
        <v>1793</v>
      </c>
      <c r="I2016" s="9">
        <f>cukier11[[#This Row],[stan_po_sprzedazy]]+cukier11[[#This Row],[ile_dokupic]]*1000</f>
        <v>1793</v>
      </c>
    </row>
    <row r="2017" spans="1:9" x14ac:dyDescent="0.25">
      <c r="A2017" s="1">
        <v>41789</v>
      </c>
      <c r="B2017" t="s">
        <v>23</v>
      </c>
      <c r="C2017">
        <v>23</v>
      </c>
      <c r="D2017">
        <f>MONTH(cukier11[[#This Row],[data]])</f>
        <v>5</v>
      </c>
      <c r="E2017">
        <f>IF(D2018&lt;&gt;cukier11[[#This Row],[miesiac]],1,0)</f>
        <v>0</v>
      </c>
      <c r="F2017">
        <f>IF(AND(H2016&lt;5000,cukier11[[#This Row],[czy_nastapiła_zmiana_mies]]=1),ROUNDUP((5000-H2016)/1000,0),0)</f>
        <v>0</v>
      </c>
      <c r="G2017">
        <f t="shared" si="31"/>
        <v>1793</v>
      </c>
      <c r="H2017">
        <f>cukier11[[#This Row],[stan_magazynu]]-cukier11[[#This Row],[sprzedany_cukier]]</f>
        <v>1770</v>
      </c>
      <c r="I2017" s="9">
        <f>cukier11[[#This Row],[stan_po_sprzedazy]]+cukier11[[#This Row],[ile_dokupic]]*1000</f>
        <v>1770</v>
      </c>
    </row>
    <row r="2018" spans="1:9" x14ac:dyDescent="0.25">
      <c r="A2018" s="1">
        <v>41790</v>
      </c>
      <c r="B2018" t="s">
        <v>12</v>
      </c>
      <c r="C2018">
        <v>138</v>
      </c>
      <c r="D2018">
        <f>MONTH(cukier11[[#This Row],[data]])</f>
        <v>5</v>
      </c>
      <c r="E2018">
        <f>IF(D2019&lt;&gt;cukier11[[#This Row],[miesiac]],1,0)</f>
        <v>1</v>
      </c>
      <c r="F2018">
        <f>IF(AND(H2017&lt;5000,cukier11[[#This Row],[czy_nastapiła_zmiana_mies]]=1),ROUNDUP((5000-H2017)/1000,0),0)</f>
        <v>4</v>
      </c>
      <c r="G2018">
        <f t="shared" si="31"/>
        <v>1770</v>
      </c>
      <c r="H2018">
        <f>cukier11[[#This Row],[stan_magazynu]]-cukier11[[#This Row],[sprzedany_cukier]]</f>
        <v>1632</v>
      </c>
      <c r="I2018" s="9">
        <f>cukier11[[#This Row],[stan_po_sprzedazy]]+cukier11[[#This Row],[ile_dokupic]]*1000</f>
        <v>5632</v>
      </c>
    </row>
    <row r="2019" spans="1:9" x14ac:dyDescent="0.25">
      <c r="A2019" s="1">
        <v>41791</v>
      </c>
      <c r="B2019" t="s">
        <v>61</v>
      </c>
      <c r="C2019">
        <v>121</v>
      </c>
      <c r="D2019">
        <f>MONTH(cukier11[[#This Row],[data]])</f>
        <v>6</v>
      </c>
      <c r="E2019">
        <f>IF(D2020&lt;&gt;cukier11[[#This Row],[miesiac]],1,0)</f>
        <v>0</v>
      </c>
      <c r="F2019">
        <f>IF(AND(H2018&lt;5000,cukier11[[#This Row],[czy_nastapiła_zmiana_mies]]=1),ROUNDUP((5000-H2018)/1000,0),0)</f>
        <v>0</v>
      </c>
      <c r="G2019">
        <f t="shared" si="31"/>
        <v>5632</v>
      </c>
      <c r="H2019">
        <f>cukier11[[#This Row],[stan_magazynu]]-cukier11[[#This Row],[sprzedany_cukier]]</f>
        <v>5511</v>
      </c>
      <c r="I2019" s="9">
        <f>cukier11[[#This Row],[stan_po_sprzedazy]]+cukier11[[#This Row],[ile_dokupic]]*1000</f>
        <v>5511</v>
      </c>
    </row>
    <row r="2020" spans="1:9" x14ac:dyDescent="0.25">
      <c r="A2020" s="1">
        <v>41793</v>
      </c>
      <c r="B2020" t="s">
        <v>204</v>
      </c>
      <c r="C2020">
        <v>10</v>
      </c>
      <c r="D2020">
        <f>MONTH(cukier11[[#This Row],[data]])</f>
        <v>6</v>
      </c>
      <c r="E2020">
        <f>IF(D2021&lt;&gt;cukier11[[#This Row],[miesiac]],1,0)</f>
        <v>0</v>
      </c>
      <c r="F2020">
        <f>IF(AND(H2019&lt;5000,cukier11[[#This Row],[czy_nastapiła_zmiana_mies]]=1),ROUNDUP((5000-H2019)/1000,0),0)</f>
        <v>0</v>
      </c>
      <c r="G2020">
        <f t="shared" si="31"/>
        <v>5511</v>
      </c>
      <c r="H2020">
        <f>cukier11[[#This Row],[stan_magazynu]]-cukier11[[#This Row],[sprzedany_cukier]]</f>
        <v>5501</v>
      </c>
      <c r="I2020" s="9">
        <f>cukier11[[#This Row],[stan_po_sprzedazy]]+cukier11[[#This Row],[ile_dokupic]]*1000</f>
        <v>5501</v>
      </c>
    </row>
    <row r="2021" spans="1:9" x14ac:dyDescent="0.25">
      <c r="A2021" s="1">
        <v>41795</v>
      </c>
      <c r="B2021" t="s">
        <v>130</v>
      </c>
      <c r="C2021">
        <v>9</v>
      </c>
      <c r="D2021">
        <f>MONTH(cukier11[[#This Row],[data]])</f>
        <v>6</v>
      </c>
      <c r="E2021">
        <f>IF(D2022&lt;&gt;cukier11[[#This Row],[miesiac]],1,0)</f>
        <v>0</v>
      </c>
      <c r="F2021">
        <f>IF(AND(H2020&lt;5000,cukier11[[#This Row],[czy_nastapiła_zmiana_mies]]=1),ROUNDUP((5000-H2020)/1000,0),0)</f>
        <v>0</v>
      </c>
      <c r="G2021">
        <f t="shared" si="31"/>
        <v>5501</v>
      </c>
      <c r="H2021">
        <f>cukier11[[#This Row],[stan_magazynu]]-cukier11[[#This Row],[sprzedany_cukier]]</f>
        <v>5492</v>
      </c>
      <c r="I2021" s="9">
        <f>cukier11[[#This Row],[stan_po_sprzedazy]]+cukier11[[#This Row],[ile_dokupic]]*1000</f>
        <v>5492</v>
      </c>
    </row>
    <row r="2022" spans="1:9" x14ac:dyDescent="0.25">
      <c r="A2022" s="1">
        <v>41798</v>
      </c>
      <c r="B2022" t="s">
        <v>52</v>
      </c>
      <c r="C2022">
        <v>35</v>
      </c>
      <c r="D2022">
        <f>MONTH(cukier11[[#This Row],[data]])</f>
        <v>6</v>
      </c>
      <c r="E2022">
        <f>IF(D2023&lt;&gt;cukier11[[#This Row],[miesiac]],1,0)</f>
        <v>0</v>
      </c>
      <c r="F2022">
        <f>IF(AND(H2021&lt;5000,cukier11[[#This Row],[czy_nastapiła_zmiana_mies]]=1),ROUNDUP((5000-H2021)/1000,0),0)</f>
        <v>0</v>
      </c>
      <c r="G2022">
        <f t="shared" si="31"/>
        <v>5492</v>
      </c>
      <c r="H2022">
        <f>cukier11[[#This Row],[stan_magazynu]]-cukier11[[#This Row],[sprzedany_cukier]]</f>
        <v>5457</v>
      </c>
      <c r="I2022" s="9">
        <f>cukier11[[#This Row],[stan_po_sprzedazy]]+cukier11[[#This Row],[ile_dokupic]]*1000</f>
        <v>5457</v>
      </c>
    </row>
    <row r="2023" spans="1:9" x14ac:dyDescent="0.25">
      <c r="A2023" s="1">
        <v>41802</v>
      </c>
      <c r="B2023" t="s">
        <v>35</v>
      </c>
      <c r="C2023">
        <v>154</v>
      </c>
      <c r="D2023">
        <f>MONTH(cukier11[[#This Row],[data]])</f>
        <v>6</v>
      </c>
      <c r="E2023">
        <f>IF(D2024&lt;&gt;cukier11[[#This Row],[miesiac]],1,0)</f>
        <v>0</v>
      </c>
      <c r="F2023">
        <f>IF(AND(H2022&lt;5000,cukier11[[#This Row],[czy_nastapiła_zmiana_mies]]=1),ROUNDUP((5000-H2022)/1000,0),0)</f>
        <v>0</v>
      </c>
      <c r="G2023">
        <f t="shared" si="31"/>
        <v>5457</v>
      </c>
      <c r="H2023">
        <f>cukier11[[#This Row],[stan_magazynu]]-cukier11[[#This Row],[sprzedany_cukier]]</f>
        <v>5303</v>
      </c>
      <c r="I2023" s="9">
        <f>cukier11[[#This Row],[stan_po_sprzedazy]]+cukier11[[#This Row],[ile_dokupic]]*1000</f>
        <v>5303</v>
      </c>
    </row>
    <row r="2024" spans="1:9" x14ac:dyDescent="0.25">
      <c r="A2024" s="1">
        <v>41806</v>
      </c>
      <c r="B2024" t="s">
        <v>113</v>
      </c>
      <c r="C2024">
        <v>1</v>
      </c>
      <c r="D2024">
        <f>MONTH(cukier11[[#This Row],[data]])</f>
        <v>6</v>
      </c>
      <c r="E2024">
        <f>IF(D2025&lt;&gt;cukier11[[#This Row],[miesiac]],1,0)</f>
        <v>0</v>
      </c>
      <c r="F2024">
        <f>IF(AND(H2023&lt;5000,cukier11[[#This Row],[czy_nastapiła_zmiana_mies]]=1),ROUNDUP((5000-H2023)/1000,0),0)</f>
        <v>0</v>
      </c>
      <c r="G2024">
        <f t="shared" si="31"/>
        <v>5303</v>
      </c>
      <c r="H2024">
        <f>cukier11[[#This Row],[stan_magazynu]]-cukier11[[#This Row],[sprzedany_cukier]]</f>
        <v>5302</v>
      </c>
      <c r="I2024" s="9">
        <f>cukier11[[#This Row],[stan_po_sprzedazy]]+cukier11[[#This Row],[ile_dokupic]]*1000</f>
        <v>5302</v>
      </c>
    </row>
    <row r="2025" spans="1:9" x14ac:dyDescent="0.25">
      <c r="A2025" s="1">
        <v>41807</v>
      </c>
      <c r="B2025" t="s">
        <v>14</v>
      </c>
      <c r="C2025">
        <v>249</v>
      </c>
      <c r="D2025">
        <f>MONTH(cukier11[[#This Row],[data]])</f>
        <v>6</v>
      </c>
      <c r="E2025">
        <f>IF(D2026&lt;&gt;cukier11[[#This Row],[miesiac]],1,0)</f>
        <v>0</v>
      </c>
      <c r="F2025">
        <f>IF(AND(H2024&lt;5000,cukier11[[#This Row],[czy_nastapiła_zmiana_mies]]=1),ROUNDUP((5000-H2024)/1000,0),0)</f>
        <v>0</v>
      </c>
      <c r="G2025">
        <f t="shared" si="31"/>
        <v>5302</v>
      </c>
      <c r="H2025">
        <f>cukier11[[#This Row],[stan_magazynu]]-cukier11[[#This Row],[sprzedany_cukier]]</f>
        <v>5053</v>
      </c>
      <c r="I2025" s="9">
        <f>cukier11[[#This Row],[stan_po_sprzedazy]]+cukier11[[#This Row],[ile_dokupic]]*1000</f>
        <v>5053</v>
      </c>
    </row>
    <row r="2026" spans="1:9" x14ac:dyDescent="0.25">
      <c r="A2026" s="1">
        <v>41807</v>
      </c>
      <c r="B2026" t="s">
        <v>37</v>
      </c>
      <c r="C2026">
        <v>27</v>
      </c>
      <c r="D2026">
        <f>MONTH(cukier11[[#This Row],[data]])</f>
        <v>6</v>
      </c>
      <c r="E2026">
        <f>IF(D2027&lt;&gt;cukier11[[#This Row],[miesiac]],1,0)</f>
        <v>0</v>
      </c>
      <c r="F2026">
        <f>IF(AND(H2025&lt;5000,cukier11[[#This Row],[czy_nastapiła_zmiana_mies]]=1),ROUNDUP((5000-H2025)/1000,0),0)</f>
        <v>0</v>
      </c>
      <c r="G2026">
        <f t="shared" si="31"/>
        <v>5053</v>
      </c>
      <c r="H2026">
        <f>cukier11[[#This Row],[stan_magazynu]]-cukier11[[#This Row],[sprzedany_cukier]]</f>
        <v>5026</v>
      </c>
      <c r="I2026" s="9">
        <f>cukier11[[#This Row],[stan_po_sprzedazy]]+cukier11[[#This Row],[ile_dokupic]]*1000</f>
        <v>5026</v>
      </c>
    </row>
    <row r="2027" spans="1:9" x14ac:dyDescent="0.25">
      <c r="A2027" s="1">
        <v>41809</v>
      </c>
      <c r="B2027" t="s">
        <v>12</v>
      </c>
      <c r="C2027">
        <v>167</v>
      </c>
      <c r="D2027">
        <f>MONTH(cukier11[[#This Row],[data]])</f>
        <v>6</v>
      </c>
      <c r="E2027">
        <f>IF(D2028&lt;&gt;cukier11[[#This Row],[miesiac]],1,0)</f>
        <v>0</v>
      </c>
      <c r="F2027">
        <f>IF(AND(H2026&lt;5000,cukier11[[#This Row],[czy_nastapiła_zmiana_mies]]=1),ROUNDUP((5000-H2026)/1000,0),0)</f>
        <v>0</v>
      </c>
      <c r="G2027">
        <f t="shared" si="31"/>
        <v>5026</v>
      </c>
      <c r="H2027">
        <f>cukier11[[#This Row],[stan_magazynu]]-cukier11[[#This Row],[sprzedany_cukier]]</f>
        <v>4859</v>
      </c>
      <c r="I2027" s="9">
        <f>cukier11[[#This Row],[stan_po_sprzedazy]]+cukier11[[#This Row],[ile_dokupic]]*1000</f>
        <v>4859</v>
      </c>
    </row>
    <row r="2028" spans="1:9" x14ac:dyDescent="0.25">
      <c r="A2028" s="1">
        <v>41810</v>
      </c>
      <c r="B2028" t="s">
        <v>12</v>
      </c>
      <c r="C2028">
        <v>71</v>
      </c>
      <c r="D2028">
        <f>MONTH(cukier11[[#This Row],[data]])</f>
        <v>6</v>
      </c>
      <c r="E2028">
        <f>IF(D2029&lt;&gt;cukier11[[#This Row],[miesiac]],1,0)</f>
        <v>0</v>
      </c>
      <c r="F2028">
        <f>IF(AND(H2027&lt;5000,cukier11[[#This Row],[czy_nastapiła_zmiana_mies]]=1),ROUNDUP((5000-H2027)/1000,0),0)</f>
        <v>0</v>
      </c>
      <c r="G2028">
        <f t="shared" si="31"/>
        <v>4859</v>
      </c>
      <c r="H2028">
        <f>cukier11[[#This Row],[stan_magazynu]]-cukier11[[#This Row],[sprzedany_cukier]]</f>
        <v>4788</v>
      </c>
      <c r="I2028" s="9">
        <f>cukier11[[#This Row],[stan_po_sprzedazy]]+cukier11[[#This Row],[ile_dokupic]]*1000</f>
        <v>4788</v>
      </c>
    </row>
    <row r="2029" spans="1:9" x14ac:dyDescent="0.25">
      <c r="A2029" s="1">
        <v>41810</v>
      </c>
      <c r="B2029" t="s">
        <v>83</v>
      </c>
      <c r="C2029">
        <v>13</v>
      </c>
      <c r="D2029">
        <f>MONTH(cukier11[[#This Row],[data]])</f>
        <v>6</v>
      </c>
      <c r="E2029">
        <f>IF(D2030&lt;&gt;cukier11[[#This Row],[miesiac]],1,0)</f>
        <v>0</v>
      </c>
      <c r="F2029">
        <f>IF(AND(H2028&lt;5000,cukier11[[#This Row],[czy_nastapiła_zmiana_mies]]=1),ROUNDUP((5000-H2028)/1000,0),0)</f>
        <v>0</v>
      </c>
      <c r="G2029">
        <f t="shared" si="31"/>
        <v>4788</v>
      </c>
      <c r="H2029">
        <f>cukier11[[#This Row],[stan_magazynu]]-cukier11[[#This Row],[sprzedany_cukier]]</f>
        <v>4775</v>
      </c>
      <c r="I2029" s="9">
        <f>cukier11[[#This Row],[stan_po_sprzedazy]]+cukier11[[#This Row],[ile_dokupic]]*1000</f>
        <v>4775</v>
      </c>
    </row>
    <row r="2030" spans="1:9" x14ac:dyDescent="0.25">
      <c r="A2030" s="1">
        <v>41811</v>
      </c>
      <c r="B2030" t="s">
        <v>30</v>
      </c>
      <c r="C2030">
        <v>90</v>
      </c>
      <c r="D2030">
        <f>MONTH(cukier11[[#This Row],[data]])</f>
        <v>6</v>
      </c>
      <c r="E2030">
        <f>IF(D2031&lt;&gt;cukier11[[#This Row],[miesiac]],1,0)</f>
        <v>0</v>
      </c>
      <c r="F2030">
        <f>IF(AND(H2029&lt;5000,cukier11[[#This Row],[czy_nastapiła_zmiana_mies]]=1),ROUNDUP((5000-H2029)/1000,0),0)</f>
        <v>0</v>
      </c>
      <c r="G2030">
        <f t="shared" si="31"/>
        <v>4775</v>
      </c>
      <c r="H2030">
        <f>cukier11[[#This Row],[stan_magazynu]]-cukier11[[#This Row],[sprzedany_cukier]]</f>
        <v>4685</v>
      </c>
      <c r="I2030" s="9">
        <f>cukier11[[#This Row],[stan_po_sprzedazy]]+cukier11[[#This Row],[ile_dokupic]]*1000</f>
        <v>4685</v>
      </c>
    </row>
    <row r="2031" spans="1:9" x14ac:dyDescent="0.25">
      <c r="A2031" s="1">
        <v>41814</v>
      </c>
      <c r="B2031" t="s">
        <v>9</v>
      </c>
      <c r="C2031">
        <v>106</v>
      </c>
      <c r="D2031">
        <f>MONTH(cukier11[[#This Row],[data]])</f>
        <v>6</v>
      </c>
      <c r="E2031">
        <f>IF(D2032&lt;&gt;cukier11[[#This Row],[miesiac]],1,0)</f>
        <v>0</v>
      </c>
      <c r="F2031">
        <f>IF(AND(H2030&lt;5000,cukier11[[#This Row],[czy_nastapiła_zmiana_mies]]=1),ROUNDUP((5000-H2030)/1000,0),0)</f>
        <v>0</v>
      </c>
      <c r="G2031">
        <f t="shared" si="31"/>
        <v>4685</v>
      </c>
      <c r="H2031">
        <f>cukier11[[#This Row],[stan_magazynu]]-cukier11[[#This Row],[sprzedany_cukier]]</f>
        <v>4579</v>
      </c>
      <c r="I2031" s="9">
        <f>cukier11[[#This Row],[stan_po_sprzedazy]]+cukier11[[#This Row],[ile_dokupic]]*1000</f>
        <v>4579</v>
      </c>
    </row>
    <row r="2032" spans="1:9" x14ac:dyDescent="0.25">
      <c r="A2032" s="1">
        <v>41815</v>
      </c>
      <c r="B2032" t="s">
        <v>66</v>
      </c>
      <c r="C2032">
        <v>57</v>
      </c>
      <c r="D2032">
        <f>MONTH(cukier11[[#This Row],[data]])</f>
        <v>6</v>
      </c>
      <c r="E2032">
        <f>IF(D2033&lt;&gt;cukier11[[#This Row],[miesiac]],1,0)</f>
        <v>0</v>
      </c>
      <c r="F2032">
        <f>IF(AND(H2031&lt;5000,cukier11[[#This Row],[czy_nastapiła_zmiana_mies]]=1),ROUNDUP((5000-H2031)/1000,0),0)</f>
        <v>0</v>
      </c>
      <c r="G2032">
        <f t="shared" si="31"/>
        <v>4579</v>
      </c>
      <c r="H2032">
        <f>cukier11[[#This Row],[stan_magazynu]]-cukier11[[#This Row],[sprzedany_cukier]]</f>
        <v>4522</v>
      </c>
      <c r="I2032" s="9">
        <f>cukier11[[#This Row],[stan_po_sprzedazy]]+cukier11[[#This Row],[ile_dokupic]]*1000</f>
        <v>4522</v>
      </c>
    </row>
    <row r="2033" spans="1:9" x14ac:dyDescent="0.25">
      <c r="A2033" s="1">
        <v>41815</v>
      </c>
      <c r="B2033" t="s">
        <v>18</v>
      </c>
      <c r="C2033">
        <v>59</v>
      </c>
      <c r="D2033">
        <f>MONTH(cukier11[[#This Row],[data]])</f>
        <v>6</v>
      </c>
      <c r="E2033">
        <f>IF(D2034&lt;&gt;cukier11[[#This Row],[miesiac]],1,0)</f>
        <v>0</v>
      </c>
      <c r="F2033">
        <f>IF(AND(H2032&lt;5000,cukier11[[#This Row],[czy_nastapiła_zmiana_mies]]=1),ROUNDUP((5000-H2032)/1000,0),0)</f>
        <v>0</v>
      </c>
      <c r="G2033">
        <f t="shared" si="31"/>
        <v>4522</v>
      </c>
      <c r="H2033">
        <f>cukier11[[#This Row],[stan_magazynu]]-cukier11[[#This Row],[sprzedany_cukier]]</f>
        <v>4463</v>
      </c>
      <c r="I2033" s="9">
        <f>cukier11[[#This Row],[stan_po_sprzedazy]]+cukier11[[#This Row],[ile_dokupic]]*1000</f>
        <v>4463</v>
      </c>
    </row>
    <row r="2034" spans="1:9" x14ac:dyDescent="0.25">
      <c r="A2034" s="1">
        <v>41817</v>
      </c>
      <c r="B2034" t="s">
        <v>79</v>
      </c>
      <c r="C2034">
        <v>11</v>
      </c>
      <c r="D2034">
        <f>MONTH(cukier11[[#This Row],[data]])</f>
        <v>6</v>
      </c>
      <c r="E2034">
        <f>IF(D2035&lt;&gt;cukier11[[#This Row],[miesiac]],1,0)</f>
        <v>0</v>
      </c>
      <c r="F2034">
        <f>IF(AND(H2033&lt;5000,cukier11[[#This Row],[czy_nastapiła_zmiana_mies]]=1),ROUNDUP((5000-H2033)/1000,0),0)</f>
        <v>0</v>
      </c>
      <c r="G2034">
        <f t="shared" si="31"/>
        <v>4463</v>
      </c>
      <c r="H2034">
        <f>cukier11[[#This Row],[stan_magazynu]]-cukier11[[#This Row],[sprzedany_cukier]]</f>
        <v>4452</v>
      </c>
      <c r="I2034" s="9">
        <f>cukier11[[#This Row],[stan_po_sprzedazy]]+cukier11[[#This Row],[ile_dokupic]]*1000</f>
        <v>4452</v>
      </c>
    </row>
    <row r="2035" spans="1:9" x14ac:dyDescent="0.25">
      <c r="A2035" s="1">
        <v>41818</v>
      </c>
      <c r="B2035" t="s">
        <v>102</v>
      </c>
      <c r="C2035">
        <v>361</v>
      </c>
      <c r="D2035">
        <f>MONTH(cukier11[[#This Row],[data]])</f>
        <v>6</v>
      </c>
      <c r="E2035">
        <f>IF(D2036&lt;&gt;cukier11[[#This Row],[miesiac]],1,0)</f>
        <v>0</v>
      </c>
      <c r="F2035">
        <f>IF(AND(H2034&lt;5000,cukier11[[#This Row],[czy_nastapiła_zmiana_mies]]=1),ROUNDUP((5000-H2034)/1000,0),0)</f>
        <v>0</v>
      </c>
      <c r="G2035">
        <f t="shared" si="31"/>
        <v>4452</v>
      </c>
      <c r="H2035">
        <f>cukier11[[#This Row],[stan_magazynu]]-cukier11[[#This Row],[sprzedany_cukier]]</f>
        <v>4091</v>
      </c>
      <c r="I2035" s="9">
        <f>cukier11[[#This Row],[stan_po_sprzedazy]]+cukier11[[#This Row],[ile_dokupic]]*1000</f>
        <v>4091</v>
      </c>
    </row>
    <row r="2036" spans="1:9" x14ac:dyDescent="0.25">
      <c r="A2036" s="1">
        <v>41819</v>
      </c>
      <c r="B2036" t="s">
        <v>8</v>
      </c>
      <c r="C2036">
        <v>153</v>
      </c>
      <c r="D2036">
        <f>MONTH(cukier11[[#This Row],[data]])</f>
        <v>6</v>
      </c>
      <c r="E2036">
        <f>IF(D2037&lt;&gt;cukier11[[#This Row],[miesiac]],1,0)</f>
        <v>0</v>
      </c>
      <c r="F2036">
        <f>IF(AND(H2035&lt;5000,cukier11[[#This Row],[czy_nastapiła_zmiana_mies]]=1),ROUNDUP((5000-H2035)/1000,0),0)</f>
        <v>0</v>
      </c>
      <c r="G2036">
        <f t="shared" si="31"/>
        <v>4091</v>
      </c>
      <c r="H2036">
        <f>cukier11[[#This Row],[stan_magazynu]]-cukier11[[#This Row],[sprzedany_cukier]]</f>
        <v>3938</v>
      </c>
      <c r="I2036" s="9">
        <f>cukier11[[#This Row],[stan_po_sprzedazy]]+cukier11[[#This Row],[ile_dokupic]]*1000</f>
        <v>3938</v>
      </c>
    </row>
    <row r="2037" spans="1:9" x14ac:dyDescent="0.25">
      <c r="A2037" s="1">
        <v>41820</v>
      </c>
      <c r="B2037" t="s">
        <v>147</v>
      </c>
      <c r="C2037">
        <v>7</v>
      </c>
      <c r="D2037">
        <f>MONTH(cukier11[[#This Row],[data]])</f>
        <v>6</v>
      </c>
      <c r="E2037">
        <f>IF(D2038&lt;&gt;cukier11[[#This Row],[miesiac]],1,0)</f>
        <v>1</v>
      </c>
      <c r="F2037">
        <f>IF(AND(H2036&lt;5000,cukier11[[#This Row],[czy_nastapiła_zmiana_mies]]=1),ROUNDUP((5000-H2036)/1000,0),0)</f>
        <v>2</v>
      </c>
      <c r="G2037">
        <f t="shared" si="31"/>
        <v>3938</v>
      </c>
      <c r="H2037">
        <f>cukier11[[#This Row],[stan_magazynu]]-cukier11[[#This Row],[sprzedany_cukier]]</f>
        <v>3931</v>
      </c>
      <c r="I2037" s="9">
        <f>cukier11[[#This Row],[stan_po_sprzedazy]]+cukier11[[#This Row],[ile_dokupic]]*1000</f>
        <v>5931</v>
      </c>
    </row>
    <row r="2038" spans="1:9" x14ac:dyDescent="0.25">
      <c r="A2038" s="1">
        <v>41821</v>
      </c>
      <c r="B2038" t="s">
        <v>71</v>
      </c>
      <c r="C2038">
        <v>65</v>
      </c>
      <c r="D2038">
        <f>MONTH(cukier11[[#This Row],[data]])</f>
        <v>7</v>
      </c>
      <c r="E2038">
        <f>IF(D2039&lt;&gt;cukier11[[#This Row],[miesiac]],1,0)</f>
        <v>0</v>
      </c>
      <c r="F2038">
        <f>IF(AND(H2037&lt;5000,cukier11[[#This Row],[czy_nastapiła_zmiana_mies]]=1),ROUNDUP((5000-H2037)/1000,0),0)</f>
        <v>0</v>
      </c>
      <c r="G2038">
        <f t="shared" si="31"/>
        <v>5931</v>
      </c>
      <c r="H2038">
        <f>cukier11[[#This Row],[stan_magazynu]]-cukier11[[#This Row],[sprzedany_cukier]]</f>
        <v>5866</v>
      </c>
      <c r="I2038" s="9">
        <f>cukier11[[#This Row],[stan_po_sprzedazy]]+cukier11[[#This Row],[ile_dokupic]]*1000</f>
        <v>5866</v>
      </c>
    </row>
    <row r="2039" spans="1:9" x14ac:dyDescent="0.25">
      <c r="A2039" s="1">
        <v>41823</v>
      </c>
      <c r="B2039" t="s">
        <v>9</v>
      </c>
      <c r="C2039">
        <v>409</v>
      </c>
      <c r="D2039">
        <f>MONTH(cukier11[[#This Row],[data]])</f>
        <v>7</v>
      </c>
      <c r="E2039">
        <f>IF(D2040&lt;&gt;cukier11[[#This Row],[miesiac]],1,0)</f>
        <v>0</v>
      </c>
      <c r="F2039">
        <f>IF(AND(H2038&lt;5000,cukier11[[#This Row],[czy_nastapiła_zmiana_mies]]=1),ROUNDUP((5000-H2038)/1000,0),0)</f>
        <v>0</v>
      </c>
      <c r="G2039">
        <f t="shared" si="31"/>
        <v>5866</v>
      </c>
      <c r="H2039">
        <f>cukier11[[#This Row],[stan_magazynu]]-cukier11[[#This Row],[sprzedany_cukier]]</f>
        <v>5457</v>
      </c>
      <c r="I2039" s="9">
        <f>cukier11[[#This Row],[stan_po_sprzedazy]]+cukier11[[#This Row],[ile_dokupic]]*1000</f>
        <v>5457</v>
      </c>
    </row>
    <row r="2040" spans="1:9" x14ac:dyDescent="0.25">
      <c r="A2040" s="1">
        <v>41825</v>
      </c>
      <c r="B2040" t="s">
        <v>63</v>
      </c>
      <c r="C2040">
        <v>63</v>
      </c>
      <c r="D2040">
        <f>MONTH(cukier11[[#This Row],[data]])</f>
        <v>7</v>
      </c>
      <c r="E2040">
        <f>IF(D2041&lt;&gt;cukier11[[#This Row],[miesiac]],1,0)</f>
        <v>0</v>
      </c>
      <c r="F2040">
        <f>IF(AND(H2039&lt;5000,cukier11[[#This Row],[czy_nastapiła_zmiana_mies]]=1),ROUNDUP((5000-H2039)/1000,0),0)</f>
        <v>0</v>
      </c>
      <c r="G2040">
        <f t="shared" si="31"/>
        <v>5457</v>
      </c>
      <c r="H2040">
        <f>cukier11[[#This Row],[stan_magazynu]]-cukier11[[#This Row],[sprzedany_cukier]]</f>
        <v>5394</v>
      </c>
      <c r="I2040" s="9">
        <f>cukier11[[#This Row],[stan_po_sprzedazy]]+cukier11[[#This Row],[ile_dokupic]]*1000</f>
        <v>5394</v>
      </c>
    </row>
    <row r="2041" spans="1:9" x14ac:dyDescent="0.25">
      <c r="A2041" s="1">
        <v>41826</v>
      </c>
      <c r="B2041" t="s">
        <v>7</v>
      </c>
      <c r="C2041">
        <v>441</v>
      </c>
      <c r="D2041">
        <f>MONTH(cukier11[[#This Row],[data]])</f>
        <v>7</v>
      </c>
      <c r="E2041">
        <f>IF(D2042&lt;&gt;cukier11[[#This Row],[miesiac]],1,0)</f>
        <v>0</v>
      </c>
      <c r="F2041">
        <f>IF(AND(H2040&lt;5000,cukier11[[#This Row],[czy_nastapiła_zmiana_mies]]=1),ROUNDUP((5000-H2040)/1000,0),0)</f>
        <v>0</v>
      </c>
      <c r="G2041">
        <f t="shared" si="31"/>
        <v>5394</v>
      </c>
      <c r="H2041">
        <f>cukier11[[#This Row],[stan_magazynu]]-cukier11[[#This Row],[sprzedany_cukier]]</f>
        <v>4953</v>
      </c>
      <c r="I2041" s="9">
        <f>cukier11[[#This Row],[stan_po_sprzedazy]]+cukier11[[#This Row],[ile_dokupic]]*1000</f>
        <v>4953</v>
      </c>
    </row>
    <row r="2042" spans="1:9" x14ac:dyDescent="0.25">
      <c r="A2042" s="1">
        <v>41830</v>
      </c>
      <c r="B2042" t="s">
        <v>52</v>
      </c>
      <c r="C2042">
        <v>91</v>
      </c>
      <c r="D2042">
        <f>MONTH(cukier11[[#This Row],[data]])</f>
        <v>7</v>
      </c>
      <c r="E2042">
        <f>IF(D2043&lt;&gt;cukier11[[#This Row],[miesiac]],1,0)</f>
        <v>0</v>
      </c>
      <c r="F2042">
        <f>IF(AND(H2041&lt;5000,cukier11[[#This Row],[czy_nastapiła_zmiana_mies]]=1),ROUNDUP((5000-H2041)/1000,0),0)</f>
        <v>0</v>
      </c>
      <c r="G2042">
        <f t="shared" si="31"/>
        <v>4953</v>
      </c>
      <c r="H2042">
        <f>cukier11[[#This Row],[stan_magazynu]]-cukier11[[#This Row],[sprzedany_cukier]]</f>
        <v>4862</v>
      </c>
      <c r="I2042" s="9">
        <f>cukier11[[#This Row],[stan_po_sprzedazy]]+cukier11[[#This Row],[ile_dokupic]]*1000</f>
        <v>4862</v>
      </c>
    </row>
    <row r="2043" spans="1:9" x14ac:dyDescent="0.25">
      <c r="A2043" s="1">
        <v>41831</v>
      </c>
      <c r="B2043" t="s">
        <v>12</v>
      </c>
      <c r="C2043">
        <v>73</v>
      </c>
      <c r="D2043">
        <f>MONTH(cukier11[[#This Row],[data]])</f>
        <v>7</v>
      </c>
      <c r="E2043">
        <f>IF(D2044&lt;&gt;cukier11[[#This Row],[miesiac]],1,0)</f>
        <v>0</v>
      </c>
      <c r="F2043">
        <f>IF(AND(H2042&lt;5000,cukier11[[#This Row],[czy_nastapiła_zmiana_mies]]=1),ROUNDUP((5000-H2042)/1000,0),0)</f>
        <v>0</v>
      </c>
      <c r="G2043">
        <f t="shared" si="31"/>
        <v>4862</v>
      </c>
      <c r="H2043">
        <f>cukier11[[#This Row],[stan_magazynu]]-cukier11[[#This Row],[sprzedany_cukier]]</f>
        <v>4789</v>
      </c>
      <c r="I2043" s="9">
        <f>cukier11[[#This Row],[stan_po_sprzedazy]]+cukier11[[#This Row],[ile_dokupic]]*1000</f>
        <v>4789</v>
      </c>
    </row>
    <row r="2044" spans="1:9" x14ac:dyDescent="0.25">
      <c r="A2044" s="1">
        <v>41832</v>
      </c>
      <c r="B2044" t="s">
        <v>6</v>
      </c>
      <c r="C2044">
        <v>184</v>
      </c>
      <c r="D2044">
        <f>MONTH(cukier11[[#This Row],[data]])</f>
        <v>7</v>
      </c>
      <c r="E2044">
        <f>IF(D2045&lt;&gt;cukier11[[#This Row],[miesiac]],1,0)</f>
        <v>0</v>
      </c>
      <c r="F2044">
        <f>IF(AND(H2043&lt;5000,cukier11[[#This Row],[czy_nastapiła_zmiana_mies]]=1),ROUNDUP((5000-H2043)/1000,0),0)</f>
        <v>0</v>
      </c>
      <c r="G2044">
        <f t="shared" si="31"/>
        <v>4789</v>
      </c>
      <c r="H2044">
        <f>cukier11[[#This Row],[stan_magazynu]]-cukier11[[#This Row],[sprzedany_cukier]]</f>
        <v>4605</v>
      </c>
      <c r="I2044" s="9">
        <f>cukier11[[#This Row],[stan_po_sprzedazy]]+cukier11[[#This Row],[ile_dokupic]]*1000</f>
        <v>4605</v>
      </c>
    </row>
    <row r="2045" spans="1:9" x14ac:dyDescent="0.25">
      <c r="A2045" s="1">
        <v>41836</v>
      </c>
      <c r="B2045" t="s">
        <v>61</v>
      </c>
      <c r="C2045">
        <v>191</v>
      </c>
      <c r="D2045">
        <f>MONTH(cukier11[[#This Row],[data]])</f>
        <v>7</v>
      </c>
      <c r="E2045">
        <f>IF(D2046&lt;&gt;cukier11[[#This Row],[miesiac]],1,0)</f>
        <v>0</v>
      </c>
      <c r="F2045">
        <f>IF(AND(H2044&lt;5000,cukier11[[#This Row],[czy_nastapiła_zmiana_mies]]=1),ROUNDUP((5000-H2044)/1000,0),0)</f>
        <v>0</v>
      </c>
      <c r="G2045">
        <f t="shared" si="31"/>
        <v>4605</v>
      </c>
      <c r="H2045">
        <f>cukier11[[#This Row],[stan_magazynu]]-cukier11[[#This Row],[sprzedany_cukier]]</f>
        <v>4414</v>
      </c>
      <c r="I2045" s="9">
        <f>cukier11[[#This Row],[stan_po_sprzedazy]]+cukier11[[#This Row],[ile_dokupic]]*1000</f>
        <v>4414</v>
      </c>
    </row>
    <row r="2046" spans="1:9" x14ac:dyDescent="0.25">
      <c r="A2046" s="1">
        <v>41837</v>
      </c>
      <c r="B2046" t="s">
        <v>17</v>
      </c>
      <c r="C2046">
        <v>371</v>
      </c>
      <c r="D2046">
        <f>MONTH(cukier11[[#This Row],[data]])</f>
        <v>7</v>
      </c>
      <c r="E2046">
        <f>IF(D2047&lt;&gt;cukier11[[#This Row],[miesiac]],1,0)</f>
        <v>0</v>
      </c>
      <c r="F2046">
        <f>IF(AND(H2045&lt;5000,cukier11[[#This Row],[czy_nastapiła_zmiana_mies]]=1),ROUNDUP((5000-H2045)/1000,0),0)</f>
        <v>0</v>
      </c>
      <c r="G2046">
        <f t="shared" si="31"/>
        <v>4414</v>
      </c>
      <c r="H2046">
        <f>cukier11[[#This Row],[stan_magazynu]]-cukier11[[#This Row],[sprzedany_cukier]]</f>
        <v>4043</v>
      </c>
      <c r="I2046" s="9">
        <f>cukier11[[#This Row],[stan_po_sprzedazy]]+cukier11[[#This Row],[ile_dokupic]]*1000</f>
        <v>4043</v>
      </c>
    </row>
    <row r="2047" spans="1:9" x14ac:dyDescent="0.25">
      <c r="A2047" s="1">
        <v>41838</v>
      </c>
      <c r="B2047" t="s">
        <v>22</v>
      </c>
      <c r="C2047">
        <v>485</v>
      </c>
      <c r="D2047">
        <f>MONTH(cukier11[[#This Row],[data]])</f>
        <v>7</v>
      </c>
      <c r="E2047">
        <f>IF(D2048&lt;&gt;cukier11[[#This Row],[miesiac]],1,0)</f>
        <v>0</v>
      </c>
      <c r="F2047">
        <f>IF(AND(H2046&lt;5000,cukier11[[#This Row],[czy_nastapiła_zmiana_mies]]=1),ROUNDUP((5000-H2046)/1000,0),0)</f>
        <v>0</v>
      </c>
      <c r="G2047">
        <f t="shared" si="31"/>
        <v>4043</v>
      </c>
      <c r="H2047">
        <f>cukier11[[#This Row],[stan_magazynu]]-cukier11[[#This Row],[sprzedany_cukier]]</f>
        <v>3558</v>
      </c>
      <c r="I2047" s="9">
        <f>cukier11[[#This Row],[stan_po_sprzedazy]]+cukier11[[#This Row],[ile_dokupic]]*1000</f>
        <v>3558</v>
      </c>
    </row>
    <row r="2048" spans="1:9" x14ac:dyDescent="0.25">
      <c r="A2048" s="1">
        <v>41838</v>
      </c>
      <c r="B2048" t="s">
        <v>37</v>
      </c>
      <c r="C2048">
        <v>92</v>
      </c>
      <c r="D2048">
        <f>MONTH(cukier11[[#This Row],[data]])</f>
        <v>7</v>
      </c>
      <c r="E2048">
        <f>IF(D2049&lt;&gt;cukier11[[#This Row],[miesiac]],1,0)</f>
        <v>0</v>
      </c>
      <c r="F2048">
        <f>IF(AND(H2047&lt;5000,cukier11[[#This Row],[czy_nastapiła_zmiana_mies]]=1),ROUNDUP((5000-H2047)/1000,0),0)</f>
        <v>0</v>
      </c>
      <c r="G2048">
        <f t="shared" si="31"/>
        <v>3558</v>
      </c>
      <c r="H2048">
        <f>cukier11[[#This Row],[stan_magazynu]]-cukier11[[#This Row],[sprzedany_cukier]]</f>
        <v>3466</v>
      </c>
      <c r="I2048" s="9">
        <f>cukier11[[#This Row],[stan_po_sprzedazy]]+cukier11[[#This Row],[ile_dokupic]]*1000</f>
        <v>3466</v>
      </c>
    </row>
    <row r="2049" spans="1:9" x14ac:dyDescent="0.25">
      <c r="A2049" s="1">
        <v>41840</v>
      </c>
      <c r="B2049" t="s">
        <v>17</v>
      </c>
      <c r="C2049">
        <v>442</v>
      </c>
      <c r="D2049">
        <f>MONTH(cukier11[[#This Row],[data]])</f>
        <v>7</v>
      </c>
      <c r="E2049">
        <f>IF(D2050&lt;&gt;cukier11[[#This Row],[miesiac]],1,0)</f>
        <v>0</v>
      </c>
      <c r="F2049">
        <f>IF(AND(H2048&lt;5000,cukier11[[#This Row],[czy_nastapiła_zmiana_mies]]=1),ROUNDUP((5000-H2048)/1000,0),0)</f>
        <v>0</v>
      </c>
      <c r="G2049">
        <f t="shared" si="31"/>
        <v>3466</v>
      </c>
      <c r="H2049">
        <f>cukier11[[#This Row],[stan_magazynu]]-cukier11[[#This Row],[sprzedany_cukier]]</f>
        <v>3024</v>
      </c>
      <c r="I2049" s="9">
        <f>cukier11[[#This Row],[stan_po_sprzedazy]]+cukier11[[#This Row],[ile_dokupic]]*1000</f>
        <v>3024</v>
      </c>
    </row>
    <row r="2050" spans="1:9" x14ac:dyDescent="0.25">
      <c r="A2050" s="1">
        <v>41841</v>
      </c>
      <c r="B2050" t="s">
        <v>8</v>
      </c>
      <c r="C2050">
        <v>44</v>
      </c>
      <c r="D2050">
        <f>MONTH(cukier11[[#This Row],[data]])</f>
        <v>7</v>
      </c>
      <c r="E2050">
        <f>IF(D2051&lt;&gt;cukier11[[#This Row],[miesiac]],1,0)</f>
        <v>0</v>
      </c>
      <c r="F2050">
        <f>IF(AND(H2049&lt;5000,cukier11[[#This Row],[czy_nastapiła_zmiana_mies]]=1),ROUNDUP((5000-H2049)/1000,0),0)</f>
        <v>0</v>
      </c>
      <c r="G2050">
        <f t="shared" si="31"/>
        <v>3024</v>
      </c>
      <c r="H2050">
        <f>cukier11[[#This Row],[stan_magazynu]]-cukier11[[#This Row],[sprzedany_cukier]]</f>
        <v>2980</v>
      </c>
      <c r="I2050" s="9">
        <f>cukier11[[#This Row],[stan_po_sprzedazy]]+cukier11[[#This Row],[ile_dokupic]]*1000</f>
        <v>2980</v>
      </c>
    </row>
    <row r="2051" spans="1:9" x14ac:dyDescent="0.25">
      <c r="A2051" s="1">
        <v>41843</v>
      </c>
      <c r="B2051" t="s">
        <v>39</v>
      </c>
      <c r="C2051">
        <v>39</v>
      </c>
      <c r="D2051">
        <f>MONTH(cukier11[[#This Row],[data]])</f>
        <v>7</v>
      </c>
      <c r="E2051">
        <f>IF(D2052&lt;&gt;cukier11[[#This Row],[miesiac]],1,0)</f>
        <v>0</v>
      </c>
      <c r="F2051">
        <f>IF(AND(H2050&lt;5000,cukier11[[#This Row],[czy_nastapiła_zmiana_mies]]=1),ROUNDUP((5000-H2050)/1000,0),0)</f>
        <v>0</v>
      </c>
      <c r="G2051">
        <f t="shared" si="31"/>
        <v>2980</v>
      </c>
      <c r="H2051">
        <f>cukier11[[#This Row],[stan_magazynu]]-cukier11[[#This Row],[sprzedany_cukier]]</f>
        <v>2941</v>
      </c>
      <c r="I2051" s="9">
        <f>cukier11[[#This Row],[stan_po_sprzedazy]]+cukier11[[#This Row],[ile_dokupic]]*1000</f>
        <v>2941</v>
      </c>
    </row>
    <row r="2052" spans="1:9" x14ac:dyDescent="0.25">
      <c r="A2052" s="1">
        <v>41848</v>
      </c>
      <c r="B2052" t="s">
        <v>17</v>
      </c>
      <c r="C2052">
        <v>288</v>
      </c>
      <c r="D2052">
        <f>MONTH(cukier11[[#This Row],[data]])</f>
        <v>7</v>
      </c>
      <c r="E2052">
        <f>IF(D2053&lt;&gt;cukier11[[#This Row],[miesiac]],1,0)</f>
        <v>0</v>
      </c>
      <c r="F2052">
        <f>IF(AND(H2051&lt;5000,cukier11[[#This Row],[czy_nastapiła_zmiana_mies]]=1),ROUNDUP((5000-H2051)/1000,0),0)</f>
        <v>0</v>
      </c>
      <c r="G2052">
        <f t="shared" ref="G2052:G2115" si="32">I2051</f>
        <v>2941</v>
      </c>
      <c r="H2052">
        <f>cukier11[[#This Row],[stan_magazynu]]-cukier11[[#This Row],[sprzedany_cukier]]</f>
        <v>2653</v>
      </c>
      <c r="I2052" s="9">
        <f>cukier11[[#This Row],[stan_po_sprzedazy]]+cukier11[[#This Row],[ile_dokupic]]*1000</f>
        <v>2653</v>
      </c>
    </row>
    <row r="2053" spans="1:9" x14ac:dyDescent="0.25">
      <c r="A2053" s="1">
        <v>41848</v>
      </c>
      <c r="B2053" t="s">
        <v>190</v>
      </c>
      <c r="C2053">
        <v>4</v>
      </c>
      <c r="D2053">
        <f>MONTH(cukier11[[#This Row],[data]])</f>
        <v>7</v>
      </c>
      <c r="E2053">
        <f>IF(D2054&lt;&gt;cukier11[[#This Row],[miesiac]],1,0)</f>
        <v>0</v>
      </c>
      <c r="F2053">
        <f>IF(AND(H2052&lt;5000,cukier11[[#This Row],[czy_nastapiła_zmiana_mies]]=1),ROUNDUP((5000-H2052)/1000,0),0)</f>
        <v>0</v>
      </c>
      <c r="G2053">
        <f t="shared" si="32"/>
        <v>2653</v>
      </c>
      <c r="H2053">
        <f>cukier11[[#This Row],[stan_magazynu]]-cukier11[[#This Row],[sprzedany_cukier]]</f>
        <v>2649</v>
      </c>
      <c r="I2053" s="9">
        <f>cukier11[[#This Row],[stan_po_sprzedazy]]+cukier11[[#This Row],[ile_dokupic]]*1000</f>
        <v>2649</v>
      </c>
    </row>
    <row r="2054" spans="1:9" x14ac:dyDescent="0.25">
      <c r="A2054" s="1">
        <v>41851</v>
      </c>
      <c r="B2054" t="s">
        <v>238</v>
      </c>
      <c r="C2054">
        <v>6</v>
      </c>
      <c r="D2054">
        <f>MONTH(cukier11[[#This Row],[data]])</f>
        <v>7</v>
      </c>
      <c r="E2054">
        <f>IF(D2055&lt;&gt;cukier11[[#This Row],[miesiac]],1,0)</f>
        <v>0</v>
      </c>
      <c r="F2054">
        <f>IF(AND(H2053&lt;5000,cukier11[[#This Row],[czy_nastapiła_zmiana_mies]]=1),ROUNDUP((5000-H2053)/1000,0),0)</f>
        <v>0</v>
      </c>
      <c r="G2054">
        <f t="shared" si="32"/>
        <v>2649</v>
      </c>
      <c r="H2054">
        <f>cukier11[[#This Row],[stan_magazynu]]-cukier11[[#This Row],[sprzedany_cukier]]</f>
        <v>2643</v>
      </c>
      <c r="I2054" s="9">
        <f>cukier11[[#This Row],[stan_po_sprzedazy]]+cukier11[[#This Row],[ile_dokupic]]*1000</f>
        <v>2643</v>
      </c>
    </row>
    <row r="2055" spans="1:9" x14ac:dyDescent="0.25">
      <c r="A2055" s="1">
        <v>41851</v>
      </c>
      <c r="B2055" t="s">
        <v>116</v>
      </c>
      <c r="C2055">
        <v>9</v>
      </c>
      <c r="D2055">
        <f>MONTH(cukier11[[#This Row],[data]])</f>
        <v>7</v>
      </c>
      <c r="E2055">
        <f>IF(D2056&lt;&gt;cukier11[[#This Row],[miesiac]],1,0)</f>
        <v>1</v>
      </c>
      <c r="F2055">
        <f>IF(AND(H2054&lt;5000,cukier11[[#This Row],[czy_nastapiła_zmiana_mies]]=1),ROUNDUP((5000-H2054)/1000,0),0)</f>
        <v>3</v>
      </c>
      <c r="G2055">
        <f t="shared" si="32"/>
        <v>2643</v>
      </c>
      <c r="H2055">
        <f>cukier11[[#This Row],[stan_magazynu]]-cukier11[[#This Row],[sprzedany_cukier]]</f>
        <v>2634</v>
      </c>
      <c r="I2055" s="9">
        <f>cukier11[[#This Row],[stan_po_sprzedazy]]+cukier11[[#This Row],[ile_dokupic]]*1000</f>
        <v>5634</v>
      </c>
    </row>
    <row r="2056" spans="1:9" x14ac:dyDescent="0.25">
      <c r="A2056" s="1">
        <v>41852</v>
      </c>
      <c r="B2056" t="s">
        <v>37</v>
      </c>
      <c r="C2056">
        <v>178</v>
      </c>
      <c r="D2056">
        <f>MONTH(cukier11[[#This Row],[data]])</f>
        <v>8</v>
      </c>
      <c r="E2056">
        <f>IF(D2057&lt;&gt;cukier11[[#This Row],[miesiac]],1,0)</f>
        <v>0</v>
      </c>
      <c r="F2056">
        <f>IF(AND(H2055&lt;5000,cukier11[[#This Row],[czy_nastapiła_zmiana_mies]]=1),ROUNDUP((5000-H2055)/1000,0),0)</f>
        <v>0</v>
      </c>
      <c r="G2056">
        <f t="shared" si="32"/>
        <v>5634</v>
      </c>
      <c r="H2056">
        <f>cukier11[[#This Row],[stan_magazynu]]-cukier11[[#This Row],[sprzedany_cukier]]</f>
        <v>5456</v>
      </c>
      <c r="I2056" s="9">
        <f>cukier11[[#This Row],[stan_po_sprzedazy]]+cukier11[[#This Row],[ile_dokupic]]*1000</f>
        <v>5456</v>
      </c>
    </row>
    <row r="2057" spans="1:9" x14ac:dyDescent="0.25">
      <c r="A2057" s="1">
        <v>41853</v>
      </c>
      <c r="B2057" t="s">
        <v>50</v>
      </c>
      <c r="C2057">
        <v>455</v>
      </c>
      <c r="D2057">
        <f>MONTH(cukier11[[#This Row],[data]])</f>
        <v>8</v>
      </c>
      <c r="E2057">
        <f>IF(D2058&lt;&gt;cukier11[[#This Row],[miesiac]],1,0)</f>
        <v>0</v>
      </c>
      <c r="F2057">
        <f>IF(AND(H2056&lt;5000,cukier11[[#This Row],[czy_nastapiła_zmiana_mies]]=1),ROUNDUP((5000-H2056)/1000,0),0)</f>
        <v>0</v>
      </c>
      <c r="G2057">
        <f t="shared" si="32"/>
        <v>5456</v>
      </c>
      <c r="H2057">
        <f>cukier11[[#This Row],[stan_magazynu]]-cukier11[[#This Row],[sprzedany_cukier]]</f>
        <v>5001</v>
      </c>
      <c r="I2057" s="9">
        <f>cukier11[[#This Row],[stan_po_sprzedazy]]+cukier11[[#This Row],[ile_dokupic]]*1000</f>
        <v>5001</v>
      </c>
    </row>
    <row r="2058" spans="1:9" x14ac:dyDescent="0.25">
      <c r="A2058" s="1">
        <v>41854</v>
      </c>
      <c r="B2058" t="s">
        <v>78</v>
      </c>
      <c r="C2058">
        <v>56</v>
      </c>
      <c r="D2058">
        <f>MONTH(cukier11[[#This Row],[data]])</f>
        <v>8</v>
      </c>
      <c r="E2058">
        <f>IF(D2059&lt;&gt;cukier11[[#This Row],[miesiac]],1,0)</f>
        <v>0</v>
      </c>
      <c r="F2058">
        <f>IF(AND(H2057&lt;5000,cukier11[[#This Row],[czy_nastapiła_zmiana_mies]]=1),ROUNDUP((5000-H2057)/1000,0),0)</f>
        <v>0</v>
      </c>
      <c r="G2058">
        <f t="shared" si="32"/>
        <v>5001</v>
      </c>
      <c r="H2058">
        <f>cukier11[[#This Row],[stan_magazynu]]-cukier11[[#This Row],[sprzedany_cukier]]</f>
        <v>4945</v>
      </c>
      <c r="I2058" s="9">
        <f>cukier11[[#This Row],[stan_po_sprzedazy]]+cukier11[[#This Row],[ile_dokupic]]*1000</f>
        <v>4945</v>
      </c>
    </row>
    <row r="2059" spans="1:9" x14ac:dyDescent="0.25">
      <c r="A2059" s="1">
        <v>41858</v>
      </c>
      <c r="B2059" t="s">
        <v>61</v>
      </c>
      <c r="C2059">
        <v>46</v>
      </c>
      <c r="D2059">
        <f>MONTH(cukier11[[#This Row],[data]])</f>
        <v>8</v>
      </c>
      <c r="E2059">
        <f>IF(D2060&lt;&gt;cukier11[[#This Row],[miesiac]],1,0)</f>
        <v>0</v>
      </c>
      <c r="F2059">
        <f>IF(AND(H2058&lt;5000,cukier11[[#This Row],[czy_nastapiła_zmiana_mies]]=1),ROUNDUP((5000-H2058)/1000,0),0)</f>
        <v>0</v>
      </c>
      <c r="G2059">
        <f t="shared" si="32"/>
        <v>4945</v>
      </c>
      <c r="H2059">
        <f>cukier11[[#This Row],[stan_magazynu]]-cukier11[[#This Row],[sprzedany_cukier]]</f>
        <v>4899</v>
      </c>
      <c r="I2059" s="9">
        <f>cukier11[[#This Row],[stan_po_sprzedazy]]+cukier11[[#This Row],[ile_dokupic]]*1000</f>
        <v>4899</v>
      </c>
    </row>
    <row r="2060" spans="1:9" x14ac:dyDescent="0.25">
      <c r="A2060" s="1">
        <v>41859</v>
      </c>
      <c r="B2060" t="s">
        <v>124</v>
      </c>
      <c r="C2060">
        <v>15</v>
      </c>
      <c r="D2060">
        <f>MONTH(cukier11[[#This Row],[data]])</f>
        <v>8</v>
      </c>
      <c r="E2060">
        <f>IF(D2061&lt;&gt;cukier11[[#This Row],[miesiac]],1,0)</f>
        <v>0</v>
      </c>
      <c r="F2060">
        <f>IF(AND(H2059&lt;5000,cukier11[[#This Row],[czy_nastapiła_zmiana_mies]]=1),ROUNDUP((5000-H2059)/1000,0),0)</f>
        <v>0</v>
      </c>
      <c r="G2060">
        <f t="shared" si="32"/>
        <v>4899</v>
      </c>
      <c r="H2060">
        <f>cukier11[[#This Row],[stan_magazynu]]-cukier11[[#This Row],[sprzedany_cukier]]</f>
        <v>4884</v>
      </c>
      <c r="I2060" s="9">
        <f>cukier11[[#This Row],[stan_po_sprzedazy]]+cukier11[[#This Row],[ile_dokupic]]*1000</f>
        <v>4884</v>
      </c>
    </row>
    <row r="2061" spans="1:9" x14ac:dyDescent="0.25">
      <c r="A2061" s="1">
        <v>41860</v>
      </c>
      <c r="B2061" t="s">
        <v>8</v>
      </c>
      <c r="C2061">
        <v>130</v>
      </c>
      <c r="D2061">
        <f>MONTH(cukier11[[#This Row],[data]])</f>
        <v>8</v>
      </c>
      <c r="E2061">
        <f>IF(D2062&lt;&gt;cukier11[[#This Row],[miesiac]],1,0)</f>
        <v>0</v>
      </c>
      <c r="F2061">
        <f>IF(AND(H2060&lt;5000,cukier11[[#This Row],[czy_nastapiła_zmiana_mies]]=1),ROUNDUP((5000-H2060)/1000,0),0)</f>
        <v>0</v>
      </c>
      <c r="G2061">
        <f t="shared" si="32"/>
        <v>4884</v>
      </c>
      <c r="H2061">
        <f>cukier11[[#This Row],[stan_magazynu]]-cukier11[[#This Row],[sprzedany_cukier]]</f>
        <v>4754</v>
      </c>
      <c r="I2061" s="9">
        <f>cukier11[[#This Row],[stan_po_sprzedazy]]+cukier11[[#This Row],[ile_dokupic]]*1000</f>
        <v>4754</v>
      </c>
    </row>
    <row r="2062" spans="1:9" x14ac:dyDescent="0.25">
      <c r="A2062" s="1">
        <v>41861</v>
      </c>
      <c r="B2062" t="s">
        <v>20</v>
      </c>
      <c r="C2062">
        <v>154</v>
      </c>
      <c r="D2062">
        <f>MONTH(cukier11[[#This Row],[data]])</f>
        <v>8</v>
      </c>
      <c r="E2062">
        <f>IF(D2063&lt;&gt;cukier11[[#This Row],[miesiac]],1,0)</f>
        <v>0</v>
      </c>
      <c r="F2062">
        <f>IF(AND(H2061&lt;5000,cukier11[[#This Row],[czy_nastapiła_zmiana_mies]]=1),ROUNDUP((5000-H2061)/1000,0),0)</f>
        <v>0</v>
      </c>
      <c r="G2062">
        <f t="shared" si="32"/>
        <v>4754</v>
      </c>
      <c r="H2062">
        <f>cukier11[[#This Row],[stan_magazynu]]-cukier11[[#This Row],[sprzedany_cukier]]</f>
        <v>4600</v>
      </c>
      <c r="I2062" s="9">
        <f>cukier11[[#This Row],[stan_po_sprzedazy]]+cukier11[[#This Row],[ile_dokupic]]*1000</f>
        <v>4600</v>
      </c>
    </row>
    <row r="2063" spans="1:9" x14ac:dyDescent="0.25">
      <c r="A2063" s="1">
        <v>41861</v>
      </c>
      <c r="B2063" t="s">
        <v>8</v>
      </c>
      <c r="C2063">
        <v>137</v>
      </c>
      <c r="D2063">
        <f>MONTH(cukier11[[#This Row],[data]])</f>
        <v>8</v>
      </c>
      <c r="E2063">
        <f>IF(D2064&lt;&gt;cukier11[[#This Row],[miesiac]],1,0)</f>
        <v>0</v>
      </c>
      <c r="F2063">
        <f>IF(AND(H2062&lt;5000,cukier11[[#This Row],[czy_nastapiła_zmiana_mies]]=1),ROUNDUP((5000-H2062)/1000,0),0)</f>
        <v>0</v>
      </c>
      <c r="G2063">
        <f t="shared" si="32"/>
        <v>4600</v>
      </c>
      <c r="H2063">
        <f>cukier11[[#This Row],[stan_magazynu]]-cukier11[[#This Row],[sprzedany_cukier]]</f>
        <v>4463</v>
      </c>
      <c r="I2063" s="9">
        <f>cukier11[[#This Row],[stan_po_sprzedazy]]+cukier11[[#This Row],[ile_dokupic]]*1000</f>
        <v>4463</v>
      </c>
    </row>
    <row r="2064" spans="1:9" x14ac:dyDescent="0.25">
      <c r="A2064" s="1">
        <v>41863</v>
      </c>
      <c r="B2064" t="s">
        <v>58</v>
      </c>
      <c r="C2064">
        <v>119</v>
      </c>
      <c r="D2064">
        <f>MONTH(cukier11[[#This Row],[data]])</f>
        <v>8</v>
      </c>
      <c r="E2064">
        <f>IF(D2065&lt;&gt;cukier11[[#This Row],[miesiac]],1,0)</f>
        <v>0</v>
      </c>
      <c r="F2064">
        <f>IF(AND(H2063&lt;5000,cukier11[[#This Row],[czy_nastapiła_zmiana_mies]]=1),ROUNDUP((5000-H2063)/1000,0),0)</f>
        <v>0</v>
      </c>
      <c r="G2064">
        <f t="shared" si="32"/>
        <v>4463</v>
      </c>
      <c r="H2064">
        <f>cukier11[[#This Row],[stan_magazynu]]-cukier11[[#This Row],[sprzedany_cukier]]</f>
        <v>4344</v>
      </c>
      <c r="I2064" s="9">
        <f>cukier11[[#This Row],[stan_po_sprzedazy]]+cukier11[[#This Row],[ile_dokupic]]*1000</f>
        <v>4344</v>
      </c>
    </row>
    <row r="2065" spans="1:9" x14ac:dyDescent="0.25">
      <c r="A2065" s="1">
        <v>41863</v>
      </c>
      <c r="B2065" t="s">
        <v>50</v>
      </c>
      <c r="C2065">
        <v>138</v>
      </c>
      <c r="D2065">
        <f>MONTH(cukier11[[#This Row],[data]])</f>
        <v>8</v>
      </c>
      <c r="E2065">
        <f>IF(D2066&lt;&gt;cukier11[[#This Row],[miesiac]],1,0)</f>
        <v>0</v>
      </c>
      <c r="F2065">
        <f>IF(AND(H2064&lt;5000,cukier11[[#This Row],[czy_nastapiła_zmiana_mies]]=1),ROUNDUP((5000-H2064)/1000,0),0)</f>
        <v>0</v>
      </c>
      <c r="G2065">
        <f t="shared" si="32"/>
        <v>4344</v>
      </c>
      <c r="H2065">
        <f>cukier11[[#This Row],[stan_magazynu]]-cukier11[[#This Row],[sprzedany_cukier]]</f>
        <v>4206</v>
      </c>
      <c r="I2065" s="9">
        <f>cukier11[[#This Row],[stan_po_sprzedazy]]+cukier11[[#This Row],[ile_dokupic]]*1000</f>
        <v>4206</v>
      </c>
    </row>
    <row r="2066" spans="1:9" x14ac:dyDescent="0.25">
      <c r="A2066" s="1">
        <v>41864</v>
      </c>
      <c r="B2066" t="s">
        <v>50</v>
      </c>
      <c r="C2066">
        <v>303</v>
      </c>
      <c r="D2066">
        <f>MONTH(cukier11[[#This Row],[data]])</f>
        <v>8</v>
      </c>
      <c r="E2066">
        <f>IF(D2067&lt;&gt;cukier11[[#This Row],[miesiac]],1,0)</f>
        <v>0</v>
      </c>
      <c r="F2066">
        <f>IF(AND(H2065&lt;5000,cukier11[[#This Row],[czy_nastapiła_zmiana_mies]]=1),ROUNDUP((5000-H2065)/1000,0),0)</f>
        <v>0</v>
      </c>
      <c r="G2066">
        <f t="shared" si="32"/>
        <v>4206</v>
      </c>
      <c r="H2066">
        <f>cukier11[[#This Row],[stan_magazynu]]-cukier11[[#This Row],[sprzedany_cukier]]</f>
        <v>3903</v>
      </c>
      <c r="I2066" s="9">
        <f>cukier11[[#This Row],[stan_po_sprzedazy]]+cukier11[[#This Row],[ile_dokupic]]*1000</f>
        <v>3903</v>
      </c>
    </row>
    <row r="2067" spans="1:9" x14ac:dyDescent="0.25">
      <c r="A2067" s="1">
        <v>41866</v>
      </c>
      <c r="B2067" t="s">
        <v>18</v>
      </c>
      <c r="C2067">
        <v>73</v>
      </c>
      <c r="D2067">
        <f>MONTH(cukier11[[#This Row],[data]])</f>
        <v>8</v>
      </c>
      <c r="E2067">
        <f>IF(D2068&lt;&gt;cukier11[[#This Row],[miesiac]],1,0)</f>
        <v>0</v>
      </c>
      <c r="F2067">
        <f>IF(AND(H2066&lt;5000,cukier11[[#This Row],[czy_nastapiła_zmiana_mies]]=1),ROUNDUP((5000-H2066)/1000,0),0)</f>
        <v>0</v>
      </c>
      <c r="G2067">
        <f t="shared" si="32"/>
        <v>3903</v>
      </c>
      <c r="H2067">
        <f>cukier11[[#This Row],[stan_magazynu]]-cukier11[[#This Row],[sprzedany_cukier]]</f>
        <v>3830</v>
      </c>
      <c r="I2067" s="9">
        <f>cukier11[[#This Row],[stan_po_sprzedazy]]+cukier11[[#This Row],[ile_dokupic]]*1000</f>
        <v>3830</v>
      </c>
    </row>
    <row r="2068" spans="1:9" x14ac:dyDescent="0.25">
      <c r="A2068" s="1">
        <v>41868</v>
      </c>
      <c r="B2068" t="s">
        <v>55</v>
      </c>
      <c r="C2068">
        <v>35</v>
      </c>
      <c r="D2068">
        <f>MONTH(cukier11[[#This Row],[data]])</f>
        <v>8</v>
      </c>
      <c r="E2068">
        <f>IF(D2069&lt;&gt;cukier11[[#This Row],[miesiac]],1,0)</f>
        <v>0</v>
      </c>
      <c r="F2068">
        <f>IF(AND(H2067&lt;5000,cukier11[[#This Row],[czy_nastapiła_zmiana_mies]]=1),ROUNDUP((5000-H2067)/1000,0),0)</f>
        <v>0</v>
      </c>
      <c r="G2068">
        <f t="shared" si="32"/>
        <v>3830</v>
      </c>
      <c r="H2068">
        <f>cukier11[[#This Row],[stan_magazynu]]-cukier11[[#This Row],[sprzedany_cukier]]</f>
        <v>3795</v>
      </c>
      <c r="I2068" s="9">
        <f>cukier11[[#This Row],[stan_po_sprzedazy]]+cukier11[[#This Row],[ile_dokupic]]*1000</f>
        <v>3795</v>
      </c>
    </row>
    <row r="2069" spans="1:9" x14ac:dyDescent="0.25">
      <c r="A2069" s="1">
        <v>41868</v>
      </c>
      <c r="B2069" t="s">
        <v>14</v>
      </c>
      <c r="C2069">
        <v>435</v>
      </c>
      <c r="D2069">
        <f>MONTH(cukier11[[#This Row],[data]])</f>
        <v>8</v>
      </c>
      <c r="E2069">
        <f>IF(D2070&lt;&gt;cukier11[[#This Row],[miesiac]],1,0)</f>
        <v>0</v>
      </c>
      <c r="F2069">
        <f>IF(AND(H2068&lt;5000,cukier11[[#This Row],[czy_nastapiła_zmiana_mies]]=1),ROUNDUP((5000-H2068)/1000,0),0)</f>
        <v>0</v>
      </c>
      <c r="G2069">
        <f t="shared" si="32"/>
        <v>3795</v>
      </c>
      <c r="H2069">
        <f>cukier11[[#This Row],[stan_magazynu]]-cukier11[[#This Row],[sprzedany_cukier]]</f>
        <v>3360</v>
      </c>
      <c r="I2069" s="9">
        <f>cukier11[[#This Row],[stan_po_sprzedazy]]+cukier11[[#This Row],[ile_dokupic]]*1000</f>
        <v>3360</v>
      </c>
    </row>
    <row r="2070" spans="1:9" x14ac:dyDescent="0.25">
      <c r="A2070" s="1">
        <v>41871</v>
      </c>
      <c r="B2070" t="s">
        <v>9</v>
      </c>
      <c r="C2070">
        <v>476</v>
      </c>
      <c r="D2070">
        <f>MONTH(cukier11[[#This Row],[data]])</f>
        <v>8</v>
      </c>
      <c r="E2070">
        <f>IF(D2071&lt;&gt;cukier11[[#This Row],[miesiac]],1,0)</f>
        <v>0</v>
      </c>
      <c r="F2070">
        <f>IF(AND(H2069&lt;5000,cukier11[[#This Row],[czy_nastapiła_zmiana_mies]]=1),ROUNDUP((5000-H2069)/1000,0),0)</f>
        <v>0</v>
      </c>
      <c r="G2070">
        <f t="shared" si="32"/>
        <v>3360</v>
      </c>
      <c r="H2070">
        <f>cukier11[[#This Row],[stan_magazynu]]-cukier11[[#This Row],[sprzedany_cukier]]</f>
        <v>2884</v>
      </c>
      <c r="I2070" s="9">
        <f>cukier11[[#This Row],[stan_po_sprzedazy]]+cukier11[[#This Row],[ile_dokupic]]*1000</f>
        <v>2884</v>
      </c>
    </row>
    <row r="2071" spans="1:9" x14ac:dyDescent="0.25">
      <c r="A2071" s="1">
        <v>41874</v>
      </c>
      <c r="B2071" t="s">
        <v>7</v>
      </c>
      <c r="C2071">
        <v>386</v>
      </c>
      <c r="D2071">
        <f>MONTH(cukier11[[#This Row],[data]])</f>
        <v>8</v>
      </c>
      <c r="E2071">
        <f>IF(D2072&lt;&gt;cukier11[[#This Row],[miesiac]],1,0)</f>
        <v>0</v>
      </c>
      <c r="F2071">
        <f>IF(AND(H2070&lt;5000,cukier11[[#This Row],[czy_nastapiła_zmiana_mies]]=1),ROUNDUP((5000-H2070)/1000,0),0)</f>
        <v>0</v>
      </c>
      <c r="G2071">
        <f t="shared" si="32"/>
        <v>2884</v>
      </c>
      <c r="H2071">
        <f>cukier11[[#This Row],[stan_magazynu]]-cukier11[[#This Row],[sprzedany_cukier]]</f>
        <v>2498</v>
      </c>
      <c r="I2071" s="9">
        <f>cukier11[[#This Row],[stan_po_sprzedazy]]+cukier11[[#This Row],[ile_dokupic]]*1000</f>
        <v>2498</v>
      </c>
    </row>
    <row r="2072" spans="1:9" x14ac:dyDescent="0.25">
      <c r="A2072" s="1">
        <v>41877</v>
      </c>
      <c r="B2072" t="s">
        <v>10</v>
      </c>
      <c r="C2072">
        <v>147</v>
      </c>
      <c r="D2072">
        <f>MONTH(cukier11[[#This Row],[data]])</f>
        <v>8</v>
      </c>
      <c r="E2072">
        <f>IF(D2073&lt;&gt;cukier11[[#This Row],[miesiac]],1,0)</f>
        <v>0</v>
      </c>
      <c r="F2072">
        <f>IF(AND(H2071&lt;5000,cukier11[[#This Row],[czy_nastapiła_zmiana_mies]]=1),ROUNDUP((5000-H2071)/1000,0),0)</f>
        <v>0</v>
      </c>
      <c r="G2072">
        <f t="shared" si="32"/>
        <v>2498</v>
      </c>
      <c r="H2072">
        <f>cukier11[[#This Row],[stan_magazynu]]-cukier11[[#This Row],[sprzedany_cukier]]</f>
        <v>2351</v>
      </c>
      <c r="I2072" s="9">
        <f>cukier11[[#This Row],[stan_po_sprzedazy]]+cukier11[[#This Row],[ile_dokupic]]*1000</f>
        <v>2351</v>
      </c>
    </row>
    <row r="2073" spans="1:9" x14ac:dyDescent="0.25">
      <c r="A2073" s="1">
        <v>41880</v>
      </c>
      <c r="B2073" t="s">
        <v>14</v>
      </c>
      <c r="C2073">
        <v>112</v>
      </c>
      <c r="D2073">
        <f>MONTH(cukier11[[#This Row],[data]])</f>
        <v>8</v>
      </c>
      <c r="E2073">
        <f>IF(D2074&lt;&gt;cukier11[[#This Row],[miesiac]],1,0)</f>
        <v>1</v>
      </c>
      <c r="F2073">
        <f>IF(AND(H2072&lt;5000,cukier11[[#This Row],[czy_nastapiła_zmiana_mies]]=1),ROUNDUP((5000-H2072)/1000,0),0)</f>
        <v>3</v>
      </c>
      <c r="G2073">
        <f t="shared" si="32"/>
        <v>2351</v>
      </c>
      <c r="H2073">
        <f>cukier11[[#This Row],[stan_magazynu]]-cukier11[[#This Row],[sprzedany_cukier]]</f>
        <v>2239</v>
      </c>
      <c r="I2073" s="9">
        <f>cukier11[[#This Row],[stan_po_sprzedazy]]+cukier11[[#This Row],[ile_dokupic]]*1000</f>
        <v>5239</v>
      </c>
    </row>
    <row r="2074" spans="1:9" x14ac:dyDescent="0.25">
      <c r="A2074" s="1">
        <v>41885</v>
      </c>
      <c r="B2074" t="s">
        <v>61</v>
      </c>
      <c r="C2074">
        <v>156</v>
      </c>
      <c r="D2074">
        <f>MONTH(cukier11[[#This Row],[data]])</f>
        <v>9</v>
      </c>
      <c r="E2074">
        <f>IF(D2075&lt;&gt;cukier11[[#This Row],[miesiac]],1,0)</f>
        <v>0</v>
      </c>
      <c r="F2074">
        <f>IF(AND(H2073&lt;5000,cukier11[[#This Row],[czy_nastapiła_zmiana_mies]]=1),ROUNDUP((5000-H2073)/1000,0),0)</f>
        <v>0</v>
      </c>
      <c r="G2074">
        <f t="shared" si="32"/>
        <v>5239</v>
      </c>
      <c r="H2074">
        <f>cukier11[[#This Row],[stan_magazynu]]-cukier11[[#This Row],[sprzedany_cukier]]</f>
        <v>5083</v>
      </c>
      <c r="I2074" s="9">
        <f>cukier11[[#This Row],[stan_po_sprzedazy]]+cukier11[[#This Row],[ile_dokupic]]*1000</f>
        <v>5083</v>
      </c>
    </row>
    <row r="2075" spans="1:9" x14ac:dyDescent="0.25">
      <c r="A2075" s="1">
        <v>41886</v>
      </c>
      <c r="B2075" t="s">
        <v>102</v>
      </c>
      <c r="C2075">
        <v>106</v>
      </c>
      <c r="D2075">
        <f>MONTH(cukier11[[#This Row],[data]])</f>
        <v>9</v>
      </c>
      <c r="E2075">
        <f>IF(D2076&lt;&gt;cukier11[[#This Row],[miesiac]],1,0)</f>
        <v>0</v>
      </c>
      <c r="F2075">
        <f>IF(AND(H2074&lt;5000,cukier11[[#This Row],[czy_nastapiła_zmiana_mies]]=1),ROUNDUP((5000-H2074)/1000,0),0)</f>
        <v>0</v>
      </c>
      <c r="G2075">
        <f t="shared" si="32"/>
        <v>5083</v>
      </c>
      <c r="H2075">
        <f>cukier11[[#This Row],[stan_magazynu]]-cukier11[[#This Row],[sprzedany_cukier]]</f>
        <v>4977</v>
      </c>
      <c r="I2075" s="9">
        <f>cukier11[[#This Row],[stan_po_sprzedazy]]+cukier11[[#This Row],[ile_dokupic]]*1000</f>
        <v>4977</v>
      </c>
    </row>
    <row r="2076" spans="1:9" x14ac:dyDescent="0.25">
      <c r="A2076" s="1">
        <v>41888</v>
      </c>
      <c r="B2076" t="s">
        <v>139</v>
      </c>
      <c r="C2076">
        <v>2</v>
      </c>
      <c r="D2076">
        <f>MONTH(cukier11[[#This Row],[data]])</f>
        <v>9</v>
      </c>
      <c r="E2076">
        <f>IF(D2077&lt;&gt;cukier11[[#This Row],[miesiac]],1,0)</f>
        <v>0</v>
      </c>
      <c r="F2076">
        <f>IF(AND(H2075&lt;5000,cukier11[[#This Row],[czy_nastapiła_zmiana_mies]]=1),ROUNDUP((5000-H2075)/1000,0),0)</f>
        <v>0</v>
      </c>
      <c r="G2076">
        <f t="shared" si="32"/>
        <v>4977</v>
      </c>
      <c r="H2076">
        <f>cukier11[[#This Row],[stan_magazynu]]-cukier11[[#This Row],[sprzedany_cukier]]</f>
        <v>4975</v>
      </c>
      <c r="I2076" s="9">
        <f>cukier11[[#This Row],[stan_po_sprzedazy]]+cukier11[[#This Row],[ile_dokupic]]*1000</f>
        <v>4975</v>
      </c>
    </row>
    <row r="2077" spans="1:9" x14ac:dyDescent="0.25">
      <c r="A2077" s="1">
        <v>41888</v>
      </c>
      <c r="B2077" t="s">
        <v>86</v>
      </c>
      <c r="C2077">
        <v>19</v>
      </c>
      <c r="D2077">
        <f>MONTH(cukier11[[#This Row],[data]])</f>
        <v>9</v>
      </c>
      <c r="E2077">
        <f>IF(D2078&lt;&gt;cukier11[[#This Row],[miesiac]],1,0)</f>
        <v>0</v>
      </c>
      <c r="F2077">
        <f>IF(AND(H2076&lt;5000,cukier11[[#This Row],[czy_nastapiła_zmiana_mies]]=1),ROUNDUP((5000-H2076)/1000,0),0)</f>
        <v>0</v>
      </c>
      <c r="G2077">
        <f t="shared" si="32"/>
        <v>4975</v>
      </c>
      <c r="H2077">
        <f>cukier11[[#This Row],[stan_magazynu]]-cukier11[[#This Row],[sprzedany_cukier]]</f>
        <v>4956</v>
      </c>
      <c r="I2077" s="9">
        <f>cukier11[[#This Row],[stan_po_sprzedazy]]+cukier11[[#This Row],[ile_dokupic]]*1000</f>
        <v>4956</v>
      </c>
    </row>
    <row r="2078" spans="1:9" x14ac:dyDescent="0.25">
      <c r="A2078" s="1">
        <v>41889</v>
      </c>
      <c r="B2078" t="s">
        <v>59</v>
      </c>
      <c r="C2078">
        <v>18</v>
      </c>
      <c r="D2078">
        <f>MONTH(cukier11[[#This Row],[data]])</f>
        <v>9</v>
      </c>
      <c r="E2078">
        <f>IF(D2079&lt;&gt;cukier11[[#This Row],[miesiac]],1,0)</f>
        <v>0</v>
      </c>
      <c r="F2078">
        <f>IF(AND(H2077&lt;5000,cukier11[[#This Row],[czy_nastapiła_zmiana_mies]]=1),ROUNDUP((5000-H2077)/1000,0),0)</f>
        <v>0</v>
      </c>
      <c r="G2078">
        <f t="shared" si="32"/>
        <v>4956</v>
      </c>
      <c r="H2078">
        <f>cukier11[[#This Row],[stan_magazynu]]-cukier11[[#This Row],[sprzedany_cukier]]</f>
        <v>4938</v>
      </c>
      <c r="I2078" s="9">
        <f>cukier11[[#This Row],[stan_po_sprzedazy]]+cukier11[[#This Row],[ile_dokupic]]*1000</f>
        <v>4938</v>
      </c>
    </row>
    <row r="2079" spans="1:9" x14ac:dyDescent="0.25">
      <c r="A2079" s="1">
        <v>41892</v>
      </c>
      <c r="B2079" t="s">
        <v>102</v>
      </c>
      <c r="C2079">
        <v>332</v>
      </c>
      <c r="D2079">
        <f>MONTH(cukier11[[#This Row],[data]])</f>
        <v>9</v>
      </c>
      <c r="E2079">
        <f>IF(D2080&lt;&gt;cukier11[[#This Row],[miesiac]],1,0)</f>
        <v>0</v>
      </c>
      <c r="F2079">
        <f>IF(AND(H2078&lt;5000,cukier11[[#This Row],[czy_nastapiła_zmiana_mies]]=1),ROUNDUP((5000-H2078)/1000,0),0)</f>
        <v>0</v>
      </c>
      <c r="G2079">
        <f t="shared" si="32"/>
        <v>4938</v>
      </c>
      <c r="H2079">
        <f>cukier11[[#This Row],[stan_magazynu]]-cukier11[[#This Row],[sprzedany_cukier]]</f>
        <v>4606</v>
      </c>
      <c r="I2079" s="9">
        <f>cukier11[[#This Row],[stan_po_sprzedazy]]+cukier11[[#This Row],[ile_dokupic]]*1000</f>
        <v>4606</v>
      </c>
    </row>
    <row r="2080" spans="1:9" x14ac:dyDescent="0.25">
      <c r="A2080" s="1">
        <v>41893</v>
      </c>
      <c r="B2080" t="s">
        <v>110</v>
      </c>
      <c r="C2080">
        <v>1</v>
      </c>
      <c r="D2080">
        <f>MONTH(cukier11[[#This Row],[data]])</f>
        <v>9</v>
      </c>
      <c r="E2080">
        <f>IF(D2081&lt;&gt;cukier11[[#This Row],[miesiac]],1,0)</f>
        <v>0</v>
      </c>
      <c r="F2080">
        <f>IF(AND(H2079&lt;5000,cukier11[[#This Row],[czy_nastapiła_zmiana_mies]]=1),ROUNDUP((5000-H2079)/1000,0),0)</f>
        <v>0</v>
      </c>
      <c r="G2080">
        <f t="shared" si="32"/>
        <v>4606</v>
      </c>
      <c r="H2080">
        <f>cukier11[[#This Row],[stan_magazynu]]-cukier11[[#This Row],[sprzedany_cukier]]</f>
        <v>4605</v>
      </c>
      <c r="I2080" s="9">
        <f>cukier11[[#This Row],[stan_po_sprzedazy]]+cukier11[[#This Row],[ile_dokupic]]*1000</f>
        <v>4605</v>
      </c>
    </row>
    <row r="2081" spans="1:9" x14ac:dyDescent="0.25">
      <c r="A2081" s="1">
        <v>41894</v>
      </c>
      <c r="B2081" t="s">
        <v>17</v>
      </c>
      <c r="C2081">
        <v>438</v>
      </c>
      <c r="D2081">
        <f>MONTH(cukier11[[#This Row],[data]])</f>
        <v>9</v>
      </c>
      <c r="E2081">
        <f>IF(D2082&lt;&gt;cukier11[[#This Row],[miesiac]],1,0)</f>
        <v>0</v>
      </c>
      <c r="F2081">
        <f>IF(AND(H2080&lt;5000,cukier11[[#This Row],[czy_nastapiła_zmiana_mies]]=1),ROUNDUP((5000-H2080)/1000,0),0)</f>
        <v>0</v>
      </c>
      <c r="G2081">
        <f t="shared" si="32"/>
        <v>4605</v>
      </c>
      <c r="H2081">
        <f>cukier11[[#This Row],[stan_magazynu]]-cukier11[[#This Row],[sprzedany_cukier]]</f>
        <v>4167</v>
      </c>
      <c r="I2081" s="9">
        <f>cukier11[[#This Row],[stan_po_sprzedazy]]+cukier11[[#This Row],[ile_dokupic]]*1000</f>
        <v>4167</v>
      </c>
    </row>
    <row r="2082" spans="1:9" x14ac:dyDescent="0.25">
      <c r="A2082" s="1">
        <v>41895</v>
      </c>
      <c r="B2082" t="s">
        <v>19</v>
      </c>
      <c r="C2082">
        <v>25</v>
      </c>
      <c r="D2082">
        <f>MONTH(cukier11[[#This Row],[data]])</f>
        <v>9</v>
      </c>
      <c r="E2082">
        <f>IF(D2083&lt;&gt;cukier11[[#This Row],[miesiac]],1,0)</f>
        <v>0</v>
      </c>
      <c r="F2082">
        <f>IF(AND(H2081&lt;5000,cukier11[[#This Row],[czy_nastapiła_zmiana_mies]]=1),ROUNDUP((5000-H2081)/1000,0),0)</f>
        <v>0</v>
      </c>
      <c r="G2082">
        <f t="shared" si="32"/>
        <v>4167</v>
      </c>
      <c r="H2082">
        <f>cukier11[[#This Row],[stan_magazynu]]-cukier11[[#This Row],[sprzedany_cukier]]</f>
        <v>4142</v>
      </c>
      <c r="I2082" s="9">
        <f>cukier11[[#This Row],[stan_po_sprzedazy]]+cukier11[[#This Row],[ile_dokupic]]*1000</f>
        <v>4142</v>
      </c>
    </row>
    <row r="2083" spans="1:9" x14ac:dyDescent="0.25">
      <c r="A2083" s="1">
        <v>41897</v>
      </c>
      <c r="B2083" t="s">
        <v>14</v>
      </c>
      <c r="C2083">
        <v>220</v>
      </c>
      <c r="D2083">
        <f>MONTH(cukier11[[#This Row],[data]])</f>
        <v>9</v>
      </c>
      <c r="E2083">
        <f>IF(D2084&lt;&gt;cukier11[[#This Row],[miesiac]],1,0)</f>
        <v>0</v>
      </c>
      <c r="F2083">
        <f>IF(AND(H2082&lt;5000,cukier11[[#This Row],[czy_nastapiła_zmiana_mies]]=1),ROUNDUP((5000-H2082)/1000,0),0)</f>
        <v>0</v>
      </c>
      <c r="G2083">
        <f t="shared" si="32"/>
        <v>4142</v>
      </c>
      <c r="H2083">
        <f>cukier11[[#This Row],[stan_magazynu]]-cukier11[[#This Row],[sprzedany_cukier]]</f>
        <v>3922</v>
      </c>
      <c r="I2083" s="9">
        <f>cukier11[[#This Row],[stan_po_sprzedazy]]+cukier11[[#This Row],[ile_dokupic]]*1000</f>
        <v>3922</v>
      </c>
    </row>
    <row r="2084" spans="1:9" x14ac:dyDescent="0.25">
      <c r="A2084" s="1">
        <v>41897</v>
      </c>
      <c r="B2084" t="s">
        <v>39</v>
      </c>
      <c r="C2084">
        <v>47</v>
      </c>
      <c r="D2084">
        <f>MONTH(cukier11[[#This Row],[data]])</f>
        <v>9</v>
      </c>
      <c r="E2084">
        <f>IF(D2085&lt;&gt;cukier11[[#This Row],[miesiac]],1,0)</f>
        <v>0</v>
      </c>
      <c r="F2084">
        <f>IF(AND(H2083&lt;5000,cukier11[[#This Row],[czy_nastapiła_zmiana_mies]]=1),ROUNDUP((5000-H2083)/1000,0),0)</f>
        <v>0</v>
      </c>
      <c r="G2084">
        <f t="shared" si="32"/>
        <v>3922</v>
      </c>
      <c r="H2084">
        <f>cukier11[[#This Row],[stan_magazynu]]-cukier11[[#This Row],[sprzedany_cukier]]</f>
        <v>3875</v>
      </c>
      <c r="I2084" s="9">
        <f>cukier11[[#This Row],[stan_po_sprzedazy]]+cukier11[[#This Row],[ile_dokupic]]*1000</f>
        <v>3875</v>
      </c>
    </row>
    <row r="2085" spans="1:9" x14ac:dyDescent="0.25">
      <c r="A2085" s="1">
        <v>41897</v>
      </c>
      <c r="B2085" t="s">
        <v>239</v>
      </c>
      <c r="C2085">
        <v>1</v>
      </c>
      <c r="D2085">
        <f>MONTH(cukier11[[#This Row],[data]])</f>
        <v>9</v>
      </c>
      <c r="E2085">
        <f>IF(D2086&lt;&gt;cukier11[[#This Row],[miesiac]],1,0)</f>
        <v>0</v>
      </c>
      <c r="F2085">
        <f>IF(AND(H2084&lt;5000,cukier11[[#This Row],[czy_nastapiła_zmiana_mies]]=1),ROUNDUP((5000-H2084)/1000,0),0)</f>
        <v>0</v>
      </c>
      <c r="G2085">
        <f t="shared" si="32"/>
        <v>3875</v>
      </c>
      <c r="H2085">
        <f>cukier11[[#This Row],[stan_magazynu]]-cukier11[[#This Row],[sprzedany_cukier]]</f>
        <v>3874</v>
      </c>
      <c r="I2085" s="9">
        <f>cukier11[[#This Row],[stan_po_sprzedazy]]+cukier11[[#This Row],[ile_dokupic]]*1000</f>
        <v>3874</v>
      </c>
    </row>
    <row r="2086" spans="1:9" x14ac:dyDescent="0.25">
      <c r="A2086" s="1">
        <v>41898</v>
      </c>
      <c r="B2086" t="s">
        <v>186</v>
      </c>
      <c r="C2086">
        <v>14</v>
      </c>
      <c r="D2086">
        <f>MONTH(cukier11[[#This Row],[data]])</f>
        <v>9</v>
      </c>
      <c r="E2086">
        <f>IF(D2087&lt;&gt;cukier11[[#This Row],[miesiac]],1,0)</f>
        <v>0</v>
      </c>
      <c r="F2086">
        <f>IF(AND(H2085&lt;5000,cukier11[[#This Row],[czy_nastapiła_zmiana_mies]]=1),ROUNDUP((5000-H2085)/1000,0),0)</f>
        <v>0</v>
      </c>
      <c r="G2086">
        <f t="shared" si="32"/>
        <v>3874</v>
      </c>
      <c r="H2086">
        <f>cukier11[[#This Row],[stan_magazynu]]-cukier11[[#This Row],[sprzedany_cukier]]</f>
        <v>3860</v>
      </c>
      <c r="I2086" s="9">
        <f>cukier11[[#This Row],[stan_po_sprzedazy]]+cukier11[[#This Row],[ile_dokupic]]*1000</f>
        <v>3860</v>
      </c>
    </row>
    <row r="2087" spans="1:9" x14ac:dyDescent="0.25">
      <c r="A2087" s="1">
        <v>41899</v>
      </c>
      <c r="B2087" t="s">
        <v>9</v>
      </c>
      <c r="C2087">
        <v>132</v>
      </c>
      <c r="D2087">
        <f>MONTH(cukier11[[#This Row],[data]])</f>
        <v>9</v>
      </c>
      <c r="E2087">
        <f>IF(D2088&lt;&gt;cukier11[[#This Row],[miesiac]],1,0)</f>
        <v>0</v>
      </c>
      <c r="F2087">
        <f>IF(AND(H2086&lt;5000,cukier11[[#This Row],[czy_nastapiła_zmiana_mies]]=1),ROUNDUP((5000-H2086)/1000,0),0)</f>
        <v>0</v>
      </c>
      <c r="G2087">
        <f t="shared" si="32"/>
        <v>3860</v>
      </c>
      <c r="H2087">
        <f>cukier11[[#This Row],[stan_magazynu]]-cukier11[[#This Row],[sprzedany_cukier]]</f>
        <v>3728</v>
      </c>
      <c r="I2087" s="9">
        <f>cukier11[[#This Row],[stan_po_sprzedazy]]+cukier11[[#This Row],[ile_dokupic]]*1000</f>
        <v>3728</v>
      </c>
    </row>
    <row r="2088" spans="1:9" x14ac:dyDescent="0.25">
      <c r="A2088" s="1">
        <v>41904</v>
      </c>
      <c r="B2088" t="s">
        <v>146</v>
      </c>
      <c r="C2088">
        <v>18</v>
      </c>
      <c r="D2088">
        <f>MONTH(cukier11[[#This Row],[data]])</f>
        <v>9</v>
      </c>
      <c r="E2088">
        <f>IF(D2089&lt;&gt;cukier11[[#This Row],[miesiac]],1,0)</f>
        <v>0</v>
      </c>
      <c r="F2088">
        <f>IF(AND(H2087&lt;5000,cukier11[[#This Row],[czy_nastapiła_zmiana_mies]]=1),ROUNDUP((5000-H2087)/1000,0),0)</f>
        <v>0</v>
      </c>
      <c r="G2088">
        <f t="shared" si="32"/>
        <v>3728</v>
      </c>
      <c r="H2088">
        <f>cukier11[[#This Row],[stan_magazynu]]-cukier11[[#This Row],[sprzedany_cukier]]</f>
        <v>3710</v>
      </c>
      <c r="I2088" s="9">
        <f>cukier11[[#This Row],[stan_po_sprzedazy]]+cukier11[[#This Row],[ile_dokupic]]*1000</f>
        <v>3710</v>
      </c>
    </row>
    <row r="2089" spans="1:9" x14ac:dyDescent="0.25">
      <c r="A2089" s="1">
        <v>41906</v>
      </c>
      <c r="B2089" t="s">
        <v>9</v>
      </c>
      <c r="C2089">
        <v>266</v>
      </c>
      <c r="D2089">
        <f>MONTH(cukier11[[#This Row],[data]])</f>
        <v>9</v>
      </c>
      <c r="E2089">
        <f>IF(D2090&lt;&gt;cukier11[[#This Row],[miesiac]],1,0)</f>
        <v>0</v>
      </c>
      <c r="F2089">
        <f>IF(AND(H2088&lt;5000,cukier11[[#This Row],[czy_nastapiła_zmiana_mies]]=1),ROUNDUP((5000-H2088)/1000,0),0)</f>
        <v>0</v>
      </c>
      <c r="G2089">
        <f t="shared" si="32"/>
        <v>3710</v>
      </c>
      <c r="H2089">
        <f>cukier11[[#This Row],[stan_magazynu]]-cukier11[[#This Row],[sprzedany_cukier]]</f>
        <v>3444</v>
      </c>
      <c r="I2089" s="9">
        <f>cukier11[[#This Row],[stan_po_sprzedazy]]+cukier11[[#This Row],[ile_dokupic]]*1000</f>
        <v>3444</v>
      </c>
    </row>
    <row r="2090" spans="1:9" x14ac:dyDescent="0.25">
      <c r="A2090" s="1">
        <v>41907</v>
      </c>
      <c r="B2090" t="s">
        <v>8</v>
      </c>
      <c r="C2090">
        <v>30</v>
      </c>
      <c r="D2090">
        <f>MONTH(cukier11[[#This Row],[data]])</f>
        <v>9</v>
      </c>
      <c r="E2090">
        <f>IF(D2091&lt;&gt;cukier11[[#This Row],[miesiac]],1,0)</f>
        <v>0</v>
      </c>
      <c r="F2090">
        <f>IF(AND(H2089&lt;5000,cukier11[[#This Row],[czy_nastapiła_zmiana_mies]]=1),ROUNDUP((5000-H2089)/1000,0),0)</f>
        <v>0</v>
      </c>
      <c r="G2090">
        <f t="shared" si="32"/>
        <v>3444</v>
      </c>
      <c r="H2090">
        <f>cukier11[[#This Row],[stan_magazynu]]-cukier11[[#This Row],[sprzedany_cukier]]</f>
        <v>3414</v>
      </c>
      <c r="I2090" s="9">
        <f>cukier11[[#This Row],[stan_po_sprzedazy]]+cukier11[[#This Row],[ile_dokupic]]*1000</f>
        <v>3414</v>
      </c>
    </row>
    <row r="2091" spans="1:9" x14ac:dyDescent="0.25">
      <c r="A2091" s="1">
        <v>41909</v>
      </c>
      <c r="B2091" t="s">
        <v>45</v>
      </c>
      <c r="C2091">
        <v>452</v>
      </c>
      <c r="D2091">
        <f>MONTH(cukier11[[#This Row],[data]])</f>
        <v>9</v>
      </c>
      <c r="E2091">
        <f>IF(D2092&lt;&gt;cukier11[[#This Row],[miesiac]],1,0)</f>
        <v>0</v>
      </c>
      <c r="F2091">
        <f>IF(AND(H2090&lt;5000,cukier11[[#This Row],[czy_nastapiła_zmiana_mies]]=1),ROUNDUP((5000-H2090)/1000,0),0)</f>
        <v>0</v>
      </c>
      <c r="G2091">
        <f t="shared" si="32"/>
        <v>3414</v>
      </c>
      <c r="H2091">
        <f>cukier11[[#This Row],[stan_magazynu]]-cukier11[[#This Row],[sprzedany_cukier]]</f>
        <v>2962</v>
      </c>
      <c r="I2091" s="9">
        <f>cukier11[[#This Row],[stan_po_sprzedazy]]+cukier11[[#This Row],[ile_dokupic]]*1000</f>
        <v>2962</v>
      </c>
    </row>
    <row r="2092" spans="1:9" x14ac:dyDescent="0.25">
      <c r="A2092" s="1">
        <v>41911</v>
      </c>
      <c r="B2092" t="s">
        <v>5</v>
      </c>
      <c r="C2092">
        <v>306</v>
      </c>
      <c r="D2092">
        <f>MONTH(cukier11[[#This Row],[data]])</f>
        <v>9</v>
      </c>
      <c r="E2092">
        <f>IF(D2093&lt;&gt;cukier11[[#This Row],[miesiac]],1,0)</f>
        <v>0</v>
      </c>
      <c r="F2092">
        <f>IF(AND(H2091&lt;5000,cukier11[[#This Row],[czy_nastapiła_zmiana_mies]]=1),ROUNDUP((5000-H2091)/1000,0),0)</f>
        <v>0</v>
      </c>
      <c r="G2092">
        <f t="shared" si="32"/>
        <v>2962</v>
      </c>
      <c r="H2092">
        <f>cukier11[[#This Row],[stan_magazynu]]-cukier11[[#This Row],[sprzedany_cukier]]</f>
        <v>2656</v>
      </c>
      <c r="I2092" s="9">
        <f>cukier11[[#This Row],[stan_po_sprzedazy]]+cukier11[[#This Row],[ile_dokupic]]*1000</f>
        <v>2656</v>
      </c>
    </row>
    <row r="2093" spans="1:9" x14ac:dyDescent="0.25">
      <c r="A2093" s="1">
        <v>41912</v>
      </c>
      <c r="B2093" t="s">
        <v>61</v>
      </c>
      <c r="C2093">
        <v>98</v>
      </c>
      <c r="D2093">
        <f>MONTH(cukier11[[#This Row],[data]])</f>
        <v>9</v>
      </c>
      <c r="E2093">
        <f>IF(D2094&lt;&gt;cukier11[[#This Row],[miesiac]],1,0)</f>
        <v>1</v>
      </c>
      <c r="F2093">
        <f>IF(AND(H2092&lt;5000,cukier11[[#This Row],[czy_nastapiła_zmiana_mies]]=1),ROUNDUP((5000-H2092)/1000,0),0)</f>
        <v>3</v>
      </c>
      <c r="G2093">
        <f t="shared" si="32"/>
        <v>2656</v>
      </c>
      <c r="H2093">
        <f>cukier11[[#This Row],[stan_magazynu]]-cukier11[[#This Row],[sprzedany_cukier]]</f>
        <v>2558</v>
      </c>
      <c r="I2093" s="9">
        <f>cukier11[[#This Row],[stan_po_sprzedazy]]+cukier11[[#This Row],[ile_dokupic]]*1000</f>
        <v>5558</v>
      </c>
    </row>
    <row r="2094" spans="1:9" x14ac:dyDescent="0.25">
      <c r="A2094" s="1">
        <v>41913</v>
      </c>
      <c r="B2094" t="s">
        <v>58</v>
      </c>
      <c r="C2094">
        <v>110</v>
      </c>
      <c r="D2094">
        <f>MONTH(cukier11[[#This Row],[data]])</f>
        <v>10</v>
      </c>
      <c r="E2094">
        <f>IF(D2095&lt;&gt;cukier11[[#This Row],[miesiac]],1,0)</f>
        <v>0</v>
      </c>
      <c r="F2094">
        <f>IF(AND(H2093&lt;5000,cukier11[[#This Row],[czy_nastapiła_zmiana_mies]]=1),ROUNDUP((5000-H2093)/1000,0),0)</f>
        <v>0</v>
      </c>
      <c r="G2094">
        <f t="shared" si="32"/>
        <v>5558</v>
      </c>
      <c r="H2094">
        <f>cukier11[[#This Row],[stan_magazynu]]-cukier11[[#This Row],[sprzedany_cukier]]</f>
        <v>5448</v>
      </c>
      <c r="I2094" s="9">
        <f>cukier11[[#This Row],[stan_po_sprzedazy]]+cukier11[[#This Row],[ile_dokupic]]*1000</f>
        <v>5448</v>
      </c>
    </row>
    <row r="2095" spans="1:9" x14ac:dyDescent="0.25">
      <c r="A2095" s="1">
        <v>41913</v>
      </c>
      <c r="B2095" t="s">
        <v>8</v>
      </c>
      <c r="C2095">
        <v>57</v>
      </c>
      <c r="D2095">
        <f>MONTH(cukier11[[#This Row],[data]])</f>
        <v>10</v>
      </c>
      <c r="E2095">
        <f>IF(D2096&lt;&gt;cukier11[[#This Row],[miesiac]],1,0)</f>
        <v>0</v>
      </c>
      <c r="F2095">
        <f>IF(AND(H2094&lt;5000,cukier11[[#This Row],[czy_nastapiła_zmiana_mies]]=1),ROUNDUP((5000-H2094)/1000,0),0)</f>
        <v>0</v>
      </c>
      <c r="G2095">
        <f t="shared" si="32"/>
        <v>5448</v>
      </c>
      <c r="H2095">
        <f>cukier11[[#This Row],[stan_magazynu]]-cukier11[[#This Row],[sprzedany_cukier]]</f>
        <v>5391</v>
      </c>
      <c r="I2095" s="9">
        <f>cukier11[[#This Row],[stan_po_sprzedazy]]+cukier11[[#This Row],[ile_dokupic]]*1000</f>
        <v>5391</v>
      </c>
    </row>
    <row r="2096" spans="1:9" x14ac:dyDescent="0.25">
      <c r="A2096" s="1">
        <v>41913</v>
      </c>
      <c r="B2096" t="s">
        <v>157</v>
      </c>
      <c r="C2096">
        <v>16</v>
      </c>
      <c r="D2096">
        <f>MONTH(cukier11[[#This Row],[data]])</f>
        <v>10</v>
      </c>
      <c r="E2096">
        <f>IF(D2097&lt;&gt;cukier11[[#This Row],[miesiac]],1,0)</f>
        <v>0</v>
      </c>
      <c r="F2096">
        <f>IF(AND(H2095&lt;5000,cukier11[[#This Row],[czy_nastapiła_zmiana_mies]]=1),ROUNDUP((5000-H2095)/1000,0),0)</f>
        <v>0</v>
      </c>
      <c r="G2096">
        <f t="shared" si="32"/>
        <v>5391</v>
      </c>
      <c r="H2096">
        <f>cukier11[[#This Row],[stan_magazynu]]-cukier11[[#This Row],[sprzedany_cukier]]</f>
        <v>5375</v>
      </c>
      <c r="I2096" s="9">
        <f>cukier11[[#This Row],[stan_po_sprzedazy]]+cukier11[[#This Row],[ile_dokupic]]*1000</f>
        <v>5375</v>
      </c>
    </row>
    <row r="2097" spans="1:9" x14ac:dyDescent="0.25">
      <c r="A2097" s="1">
        <v>41916</v>
      </c>
      <c r="B2097" t="s">
        <v>104</v>
      </c>
      <c r="C2097">
        <v>5</v>
      </c>
      <c r="D2097">
        <f>MONTH(cukier11[[#This Row],[data]])</f>
        <v>10</v>
      </c>
      <c r="E2097">
        <f>IF(D2098&lt;&gt;cukier11[[#This Row],[miesiac]],1,0)</f>
        <v>0</v>
      </c>
      <c r="F2097">
        <f>IF(AND(H2096&lt;5000,cukier11[[#This Row],[czy_nastapiła_zmiana_mies]]=1),ROUNDUP((5000-H2096)/1000,0),0)</f>
        <v>0</v>
      </c>
      <c r="G2097">
        <f t="shared" si="32"/>
        <v>5375</v>
      </c>
      <c r="H2097">
        <f>cukier11[[#This Row],[stan_magazynu]]-cukier11[[#This Row],[sprzedany_cukier]]</f>
        <v>5370</v>
      </c>
      <c r="I2097" s="9">
        <f>cukier11[[#This Row],[stan_po_sprzedazy]]+cukier11[[#This Row],[ile_dokupic]]*1000</f>
        <v>5370</v>
      </c>
    </row>
    <row r="2098" spans="1:9" x14ac:dyDescent="0.25">
      <c r="A2098" s="1">
        <v>41919</v>
      </c>
      <c r="B2098" t="s">
        <v>22</v>
      </c>
      <c r="C2098">
        <v>433</v>
      </c>
      <c r="D2098">
        <f>MONTH(cukier11[[#This Row],[data]])</f>
        <v>10</v>
      </c>
      <c r="E2098">
        <f>IF(D2099&lt;&gt;cukier11[[#This Row],[miesiac]],1,0)</f>
        <v>0</v>
      </c>
      <c r="F2098">
        <f>IF(AND(H2097&lt;5000,cukier11[[#This Row],[czy_nastapiła_zmiana_mies]]=1),ROUNDUP((5000-H2097)/1000,0),0)</f>
        <v>0</v>
      </c>
      <c r="G2098">
        <f t="shared" si="32"/>
        <v>5370</v>
      </c>
      <c r="H2098">
        <f>cukier11[[#This Row],[stan_magazynu]]-cukier11[[#This Row],[sprzedany_cukier]]</f>
        <v>4937</v>
      </c>
      <c r="I2098" s="9">
        <f>cukier11[[#This Row],[stan_po_sprzedazy]]+cukier11[[#This Row],[ile_dokupic]]*1000</f>
        <v>4937</v>
      </c>
    </row>
    <row r="2099" spans="1:9" x14ac:dyDescent="0.25">
      <c r="A2099" s="1">
        <v>41920</v>
      </c>
      <c r="B2099" t="s">
        <v>69</v>
      </c>
      <c r="C2099">
        <v>180</v>
      </c>
      <c r="D2099">
        <f>MONTH(cukier11[[#This Row],[data]])</f>
        <v>10</v>
      </c>
      <c r="E2099">
        <f>IF(D2100&lt;&gt;cukier11[[#This Row],[miesiac]],1,0)</f>
        <v>0</v>
      </c>
      <c r="F2099">
        <f>IF(AND(H2098&lt;5000,cukier11[[#This Row],[czy_nastapiła_zmiana_mies]]=1),ROUNDUP((5000-H2098)/1000,0),0)</f>
        <v>0</v>
      </c>
      <c r="G2099">
        <f t="shared" si="32"/>
        <v>4937</v>
      </c>
      <c r="H2099">
        <f>cukier11[[#This Row],[stan_magazynu]]-cukier11[[#This Row],[sprzedany_cukier]]</f>
        <v>4757</v>
      </c>
      <c r="I2099" s="9">
        <f>cukier11[[#This Row],[stan_po_sprzedazy]]+cukier11[[#This Row],[ile_dokupic]]*1000</f>
        <v>4757</v>
      </c>
    </row>
    <row r="2100" spans="1:9" x14ac:dyDescent="0.25">
      <c r="A2100" s="1">
        <v>41920</v>
      </c>
      <c r="B2100" t="s">
        <v>22</v>
      </c>
      <c r="C2100">
        <v>381</v>
      </c>
      <c r="D2100">
        <f>MONTH(cukier11[[#This Row],[data]])</f>
        <v>10</v>
      </c>
      <c r="E2100">
        <f>IF(D2101&lt;&gt;cukier11[[#This Row],[miesiac]],1,0)</f>
        <v>0</v>
      </c>
      <c r="F2100">
        <f>IF(AND(H2099&lt;5000,cukier11[[#This Row],[czy_nastapiła_zmiana_mies]]=1),ROUNDUP((5000-H2099)/1000,0),0)</f>
        <v>0</v>
      </c>
      <c r="G2100">
        <f t="shared" si="32"/>
        <v>4757</v>
      </c>
      <c r="H2100">
        <f>cukier11[[#This Row],[stan_magazynu]]-cukier11[[#This Row],[sprzedany_cukier]]</f>
        <v>4376</v>
      </c>
      <c r="I2100" s="9">
        <f>cukier11[[#This Row],[stan_po_sprzedazy]]+cukier11[[#This Row],[ile_dokupic]]*1000</f>
        <v>4376</v>
      </c>
    </row>
    <row r="2101" spans="1:9" x14ac:dyDescent="0.25">
      <c r="A2101" s="1">
        <v>41921</v>
      </c>
      <c r="B2101" t="s">
        <v>70</v>
      </c>
      <c r="C2101">
        <v>16</v>
      </c>
      <c r="D2101">
        <f>MONTH(cukier11[[#This Row],[data]])</f>
        <v>10</v>
      </c>
      <c r="E2101">
        <f>IF(D2102&lt;&gt;cukier11[[#This Row],[miesiac]],1,0)</f>
        <v>0</v>
      </c>
      <c r="F2101">
        <f>IF(AND(H2100&lt;5000,cukier11[[#This Row],[czy_nastapiła_zmiana_mies]]=1),ROUNDUP((5000-H2100)/1000,0),0)</f>
        <v>0</v>
      </c>
      <c r="G2101">
        <f t="shared" si="32"/>
        <v>4376</v>
      </c>
      <c r="H2101">
        <f>cukier11[[#This Row],[stan_magazynu]]-cukier11[[#This Row],[sprzedany_cukier]]</f>
        <v>4360</v>
      </c>
      <c r="I2101" s="9">
        <f>cukier11[[#This Row],[stan_po_sprzedazy]]+cukier11[[#This Row],[ile_dokupic]]*1000</f>
        <v>4360</v>
      </c>
    </row>
    <row r="2102" spans="1:9" x14ac:dyDescent="0.25">
      <c r="A2102" s="1">
        <v>41921</v>
      </c>
      <c r="B2102" t="s">
        <v>28</v>
      </c>
      <c r="C2102">
        <v>85</v>
      </c>
      <c r="D2102">
        <f>MONTH(cukier11[[#This Row],[data]])</f>
        <v>10</v>
      </c>
      <c r="E2102">
        <f>IF(D2103&lt;&gt;cukier11[[#This Row],[miesiac]],1,0)</f>
        <v>0</v>
      </c>
      <c r="F2102">
        <f>IF(AND(H2101&lt;5000,cukier11[[#This Row],[czy_nastapiła_zmiana_mies]]=1),ROUNDUP((5000-H2101)/1000,0),0)</f>
        <v>0</v>
      </c>
      <c r="G2102">
        <f t="shared" si="32"/>
        <v>4360</v>
      </c>
      <c r="H2102">
        <f>cukier11[[#This Row],[stan_magazynu]]-cukier11[[#This Row],[sprzedany_cukier]]</f>
        <v>4275</v>
      </c>
      <c r="I2102" s="9">
        <f>cukier11[[#This Row],[stan_po_sprzedazy]]+cukier11[[#This Row],[ile_dokupic]]*1000</f>
        <v>4275</v>
      </c>
    </row>
    <row r="2103" spans="1:9" x14ac:dyDescent="0.25">
      <c r="A2103" s="1">
        <v>41921</v>
      </c>
      <c r="B2103" t="s">
        <v>25</v>
      </c>
      <c r="C2103">
        <v>37</v>
      </c>
      <c r="D2103">
        <f>MONTH(cukier11[[#This Row],[data]])</f>
        <v>10</v>
      </c>
      <c r="E2103">
        <f>IF(D2104&lt;&gt;cukier11[[#This Row],[miesiac]],1,0)</f>
        <v>0</v>
      </c>
      <c r="F2103">
        <f>IF(AND(H2102&lt;5000,cukier11[[#This Row],[czy_nastapiła_zmiana_mies]]=1),ROUNDUP((5000-H2102)/1000,0),0)</f>
        <v>0</v>
      </c>
      <c r="G2103">
        <f t="shared" si="32"/>
        <v>4275</v>
      </c>
      <c r="H2103">
        <f>cukier11[[#This Row],[stan_magazynu]]-cukier11[[#This Row],[sprzedany_cukier]]</f>
        <v>4238</v>
      </c>
      <c r="I2103" s="9">
        <f>cukier11[[#This Row],[stan_po_sprzedazy]]+cukier11[[#This Row],[ile_dokupic]]*1000</f>
        <v>4238</v>
      </c>
    </row>
    <row r="2104" spans="1:9" x14ac:dyDescent="0.25">
      <c r="A2104" s="1">
        <v>41924</v>
      </c>
      <c r="B2104" t="s">
        <v>20</v>
      </c>
      <c r="C2104">
        <v>69</v>
      </c>
      <c r="D2104">
        <f>MONTH(cukier11[[#This Row],[data]])</f>
        <v>10</v>
      </c>
      <c r="E2104">
        <f>IF(D2105&lt;&gt;cukier11[[#This Row],[miesiac]],1,0)</f>
        <v>0</v>
      </c>
      <c r="F2104">
        <f>IF(AND(H2103&lt;5000,cukier11[[#This Row],[czy_nastapiła_zmiana_mies]]=1),ROUNDUP((5000-H2103)/1000,0),0)</f>
        <v>0</v>
      </c>
      <c r="G2104">
        <f t="shared" si="32"/>
        <v>4238</v>
      </c>
      <c r="H2104">
        <f>cukier11[[#This Row],[stan_magazynu]]-cukier11[[#This Row],[sprzedany_cukier]]</f>
        <v>4169</v>
      </c>
      <c r="I2104" s="9">
        <f>cukier11[[#This Row],[stan_po_sprzedazy]]+cukier11[[#This Row],[ile_dokupic]]*1000</f>
        <v>4169</v>
      </c>
    </row>
    <row r="2105" spans="1:9" x14ac:dyDescent="0.25">
      <c r="A2105" s="1">
        <v>41925</v>
      </c>
      <c r="B2105" t="s">
        <v>7</v>
      </c>
      <c r="C2105">
        <v>304</v>
      </c>
      <c r="D2105">
        <f>MONTH(cukier11[[#This Row],[data]])</f>
        <v>10</v>
      </c>
      <c r="E2105">
        <f>IF(D2106&lt;&gt;cukier11[[#This Row],[miesiac]],1,0)</f>
        <v>0</v>
      </c>
      <c r="F2105">
        <f>IF(AND(H2104&lt;5000,cukier11[[#This Row],[czy_nastapiła_zmiana_mies]]=1),ROUNDUP((5000-H2104)/1000,0),0)</f>
        <v>0</v>
      </c>
      <c r="G2105">
        <f t="shared" si="32"/>
        <v>4169</v>
      </c>
      <c r="H2105">
        <f>cukier11[[#This Row],[stan_magazynu]]-cukier11[[#This Row],[sprzedany_cukier]]</f>
        <v>3865</v>
      </c>
      <c r="I2105" s="9">
        <f>cukier11[[#This Row],[stan_po_sprzedazy]]+cukier11[[#This Row],[ile_dokupic]]*1000</f>
        <v>3865</v>
      </c>
    </row>
    <row r="2106" spans="1:9" x14ac:dyDescent="0.25">
      <c r="A2106" s="1">
        <v>41928</v>
      </c>
      <c r="B2106" t="s">
        <v>22</v>
      </c>
      <c r="C2106">
        <v>491</v>
      </c>
      <c r="D2106">
        <f>MONTH(cukier11[[#This Row],[data]])</f>
        <v>10</v>
      </c>
      <c r="E2106">
        <f>IF(D2107&lt;&gt;cukier11[[#This Row],[miesiac]],1,0)</f>
        <v>0</v>
      </c>
      <c r="F2106">
        <f>IF(AND(H2105&lt;5000,cukier11[[#This Row],[czy_nastapiła_zmiana_mies]]=1),ROUNDUP((5000-H2105)/1000,0),0)</f>
        <v>0</v>
      </c>
      <c r="G2106">
        <f t="shared" si="32"/>
        <v>3865</v>
      </c>
      <c r="H2106">
        <f>cukier11[[#This Row],[stan_magazynu]]-cukier11[[#This Row],[sprzedany_cukier]]</f>
        <v>3374</v>
      </c>
      <c r="I2106" s="9">
        <f>cukier11[[#This Row],[stan_po_sprzedazy]]+cukier11[[#This Row],[ile_dokupic]]*1000</f>
        <v>3374</v>
      </c>
    </row>
    <row r="2107" spans="1:9" x14ac:dyDescent="0.25">
      <c r="A2107" s="1">
        <v>41931</v>
      </c>
      <c r="B2107" t="s">
        <v>23</v>
      </c>
      <c r="C2107">
        <v>106</v>
      </c>
      <c r="D2107">
        <f>MONTH(cukier11[[#This Row],[data]])</f>
        <v>10</v>
      </c>
      <c r="E2107">
        <f>IF(D2108&lt;&gt;cukier11[[#This Row],[miesiac]],1,0)</f>
        <v>0</v>
      </c>
      <c r="F2107">
        <f>IF(AND(H2106&lt;5000,cukier11[[#This Row],[czy_nastapiła_zmiana_mies]]=1),ROUNDUP((5000-H2106)/1000,0),0)</f>
        <v>0</v>
      </c>
      <c r="G2107">
        <f t="shared" si="32"/>
        <v>3374</v>
      </c>
      <c r="H2107">
        <f>cukier11[[#This Row],[stan_magazynu]]-cukier11[[#This Row],[sprzedany_cukier]]</f>
        <v>3268</v>
      </c>
      <c r="I2107" s="9">
        <f>cukier11[[#This Row],[stan_po_sprzedazy]]+cukier11[[#This Row],[ile_dokupic]]*1000</f>
        <v>3268</v>
      </c>
    </row>
    <row r="2108" spans="1:9" x14ac:dyDescent="0.25">
      <c r="A2108" s="1">
        <v>41935</v>
      </c>
      <c r="B2108" t="s">
        <v>52</v>
      </c>
      <c r="C2108">
        <v>188</v>
      </c>
      <c r="D2108">
        <f>MONTH(cukier11[[#This Row],[data]])</f>
        <v>10</v>
      </c>
      <c r="E2108">
        <f>IF(D2109&lt;&gt;cukier11[[#This Row],[miesiac]],1,0)</f>
        <v>0</v>
      </c>
      <c r="F2108">
        <f>IF(AND(H2107&lt;5000,cukier11[[#This Row],[czy_nastapiła_zmiana_mies]]=1),ROUNDUP((5000-H2107)/1000,0),0)</f>
        <v>0</v>
      </c>
      <c r="G2108">
        <f t="shared" si="32"/>
        <v>3268</v>
      </c>
      <c r="H2108">
        <f>cukier11[[#This Row],[stan_magazynu]]-cukier11[[#This Row],[sprzedany_cukier]]</f>
        <v>3080</v>
      </c>
      <c r="I2108" s="9">
        <f>cukier11[[#This Row],[stan_po_sprzedazy]]+cukier11[[#This Row],[ile_dokupic]]*1000</f>
        <v>3080</v>
      </c>
    </row>
    <row r="2109" spans="1:9" x14ac:dyDescent="0.25">
      <c r="A2109" s="1">
        <v>41935</v>
      </c>
      <c r="B2109" t="s">
        <v>8</v>
      </c>
      <c r="C2109">
        <v>131</v>
      </c>
      <c r="D2109">
        <f>MONTH(cukier11[[#This Row],[data]])</f>
        <v>10</v>
      </c>
      <c r="E2109">
        <f>IF(D2110&lt;&gt;cukier11[[#This Row],[miesiac]],1,0)</f>
        <v>0</v>
      </c>
      <c r="F2109">
        <f>IF(AND(H2108&lt;5000,cukier11[[#This Row],[czy_nastapiła_zmiana_mies]]=1),ROUNDUP((5000-H2108)/1000,0),0)</f>
        <v>0</v>
      </c>
      <c r="G2109">
        <f t="shared" si="32"/>
        <v>3080</v>
      </c>
      <c r="H2109">
        <f>cukier11[[#This Row],[stan_magazynu]]-cukier11[[#This Row],[sprzedany_cukier]]</f>
        <v>2949</v>
      </c>
      <c r="I2109" s="9">
        <f>cukier11[[#This Row],[stan_po_sprzedazy]]+cukier11[[#This Row],[ile_dokupic]]*1000</f>
        <v>2949</v>
      </c>
    </row>
    <row r="2110" spans="1:9" x14ac:dyDescent="0.25">
      <c r="A2110" s="1">
        <v>41936</v>
      </c>
      <c r="B2110" t="s">
        <v>148</v>
      </c>
      <c r="C2110">
        <v>9</v>
      </c>
      <c r="D2110">
        <f>MONTH(cukier11[[#This Row],[data]])</f>
        <v>10</v>
      </c>
      <c r="E2110">
        <f>IF(D2111&lt;&gt;cukier11[[#This Row],[miesiac]],1,0)</f>
        <v>0</v>
      </c>
      <c r="F2110">
        <f>IF(AND(H2109&lt;5000,cukier11[[#This Row],[czy_nastapiła_zmiana_mies]]=1),ROUNDUP((5000-H2109)/1000,0),0)</f>
        <v>0</v>
      </c>
      <c r="G2110">
        <f t="shared" si="32"/>
        <v>2949</v>
      </c>
      <c r="H2110">
        <f>cukier11[[#This Row],[stan_magazynu]]-cukier11[[#This Row],[sprzedany_cukier]]</f>
        <v>2940</v>
      </c>
      <c r="I2110" s="9">
        <f>cukier11[[#This Row],[stan_po_sprzedazy]]+cukier11[[#This Row],[ile_dokupic]]*1000</f>
        <v>2940</v>
      </c>
    </row>
    <row r="2111" spans="1:9" x14ac:dyDescent="0.25">
      <c r="A2111" s="1">
        <v>41938</v>
      </c>
      <c r="B2111" t="s">
        <v>45</v>
      </c>
      <c r="C2111">
        <v>245</v>
      </c>
      <c r="D2111">
        <f>MONTH(cukier11[[#This Row],[data]])</f>
        <v>10</v>
      </c>
      <c r="E2111">
        <f>IF(D2112&lt;&gt;cukier11[[#This Row],[miesiac]],1,0)</f>
        <v>0</v>
      </c>
      <c r="F2111">
        <f>IF(AND(H2110&lt;5000,cukier11[[#This Row],[czy_nastapiła_zmiana_mies]]=1),ROUNDUP((5000-H2110)/1000,0),0)</f>
        <v>0</v>
      </c>
      <c r="G2111">
        <f t="shared" si="32"/>
        <v>2940</v>
      </c>
      <c r="H2111">
        <f>cukier11[[#This Row],[stan_magazynu]]-cukier11[[#This Row],[sprzedany_cukier]]</f>
        <v>2695</v>
      </c>
      <c r="I2111" s="9">
        <f>cukier11[[#This Row],[stan_po_sprzedazy]]+cukier11[[#This Row],[ile_dokupic]]*1000</f>
        <v>2695</v>
      </c>
    </row>
    <row r="2112" spans="1:9" x14ac:dyDescent="0.25">
      <c r="A2112" s="1">
        <v>41943</v>
      </c>
      <c r="B2112" t="s">
        <v>22</v>
      </c>
      <c r="C2112">
        <v>166</v>
      </c>
      <c r="D2112">
        <f>MONTH(cukier11[[#This Row],[data]])</f>
        <v>10</v>
      </c>
      <c r="E2112">
        <f>IF(D2113&lt;&gt;cukier11[[#This Row],[miesiac]],1,0)</f>
        <v>1</v>
      </c>
      <c r="F2112">
        <f>IF(AND(H2111&lt;5000,cukier11[[#This Row],[czy_nastapiła_zmiana_mies]]=1),ROUNDUP((5000-H2111)/1000,0),0)</f>
        <v>3</v>
      </c>
      <c r="G2112">
        <f t="shared" si="32"/>
        <v>2695</v>
      </c>
      <c r="H2112">
        <f>cukier11[[#This Row],[stan_magazynu]]-cukier11[[#This Row],[sprzedany_cukier]]</f>
        <v>2529</v>
      </c>
      <c r="I2112" s="9">
        <f>cukier11[[#This Row],[stan_po_sprzedazy]]+cukier11[[#This Row],[ile_dokupic]]*1000</f>
        <v>5529</v>
      </c>
    </row>
    <row r="2113" spans="1:9" x14ac:dyDescent="0.25">
      <c r="A2113" s="1">
        <v>41945</v>
      </c>
      <c r="B2113" t="s">
        <v>55</v>
      </c>
      <c r="C2113">
        <v>171</v>
      </c>
      <c r="D2113">
        <f>MONTH(cukier11[[#This Row],[data]])</f>
        <v>11</v>
      </c>
      <c r="E2113">
        <f>IF(D2114&lt;&gt;cukier11[[#This Row],[miesiac]],1,0)</f>
        <v>0</v>
      </c>
      <c r="F2113">
        <f>IF(AND(H2112&lt;5000,cukier11[[#This Row],[czy_nastapiła_zmiana_mies]]=1),ROUNDUP((5000-H2112)/1000,0),0)</f>
        <v>0</v>
      </c>
      <c r="G2113">
        <f t="shared" si="32"/>
        <v>5529</v>
      </c>
      <c r="H2113">
        <f>cukier11[[#This Row],[stan_magazynu]]-cukier11[[#This Row],[sprzedany_cukier]]</f>
        <v>5358</v>
      </c>
      <c r="I2113" s="9">
        <f>cukier11[[#This Row],[stan_po_sprzedazy]]+cukier11[[#This Row],[ile_dokupic]]*1000</f>
        <v>5358</v>
      </c>
    </row>
    <row r="2114" spans="1:9" x14ac:dyDescent="0.25">
      <c r="A2114" s="1">
        <v>41945</v>
      </c>
      <c r="B2114" t="s">
        <v>119</v>
      </c>
      <c r="C2114">
        <v>11</v>
      </c>
      <c r="D2114">
        <f>MONTH(cukier11[[#This Row],[data]])</f>
        <v>11</v>
      </c>
      <c r="E2114">
        <f>IF(D2115&lt;&gt;cukier11[[#This Row],[miesiac]],1,0)</f>
        <v>0</v>
      </c>
      <c r="F2114">
        <f>IF(AND(H2113&lt;5000,cukier11[[#This Row],[czy_nastapiła_zmiana_mies]]=1),ROUNDUP((5000-H2113)/1000,0),0)</f>
        <v>0</v>
      </c>
      <c r="G2114">
        <f t="shared" si="32"/>
        <v>5358</v>
      </c>
      <c r="H2114">
        <f>cukier11[[#This Row],[stan_magazynu]]-cukier11[[#This Row],[sprzedany_cukier]]</f>
        <v>5347</v>
      </c>
      <c r="I2114" s="9">
        <f>cukier11[[#This Row],[stan_po_sprzedazy]]+cukier11[[#This Row],[ile_dokupic]]*1000</f>
        <v>5347</v>
      </c>
    </row>
    <row r="2115" spans="1:9" x14ac:dyDescent="0.25">
      <c r="A2115" s="1">
        <v>41946</v>
      </c>
      <c r="B2115" t="s">
        <v>20</v>
      </c>
      <c r="C2115">
        <v>52</v>
      </c>
      <c r="D2115">
        <f>MONTH(cukier11[[#This Row],[data]])</f>
        <v>11</v>
      </c>
      <c r="E2115">
        <f>IF(D2116&lt;&gt;cukier11[[#This Row],[miesiac]],1,0)</f>
        <v>0</v>
      </c>
      <c r="F2115">
        <f>IF(AND(H2114&lt;5000,cukier11[[#This Row],[czy_nastapiła_zmiana_mies]]=1),ROUNDUP((5000-H2114)/1000,0),0)</f>
        <v>0</v>
      </c>
      <c r="G2115">
        <f t="shared" si="32"/>
        <v>5347</v>
      </c>
      <c r="H2115">
        <f>cukier11[[#This Row],[stan_magazynu]]-cukier11[[#This Row],[sprzedany_cukier]]</f>
        <v>5295</v>
      </c>
      <c r="I2115" s="9">
        <f>cukier11[[#This Row],[stan_po_sprzedazy]]+cukier11[[#This Row],[ile_dokupic]]*1000</f>
        <v>5295</v>
      </c>
    </row>
    <row r="2116" spans="1:9" x14ac:dyDescent="0.25">
      <c r="A2116" s="1">
        <v>41949</v>
      </c>
      <c r="B2116" t="s">
        <v>120</v>
      </c>
      <c r="C2116">
        <v>56</v>
      </c>
      <c r="D2116">
        <f>MONTH(cukier11[[#This Row],[data]])</f>
        <v>11</v>
      </c>
      <c r="E2116">
        <f>IF(D2117&lt;&gt;cukier11[[#This Row],[miesiac]],1,0)</f>
        <v>0</v>
      </c>
      <c r="F2116">
        <f>IF(AND(H2115&lt;5000,cukier11[[#This Row],[czy_nastapiła_zmiana_mies]]=1),ROUNDUP((5000-H2115)/1000,0),0)</f>
        <v>0</v>
      </c>
      <c r="G2116">
        <f t="shared" ref="G2116:G2163" si="33">I2115</f>
        <v>5295</v>
      </c>
      <c r="H2116">
        <f>cukier11[[#This Row],[stan_magazynu]]-cukier11[[#This Row],[sprzedany_cukier]]</f>
        <v>5239</v>
      </c>
      <c r="I2116" s="9">
        <f>cukier11[[#This Row],[stan_po_sprzedazy]]+cukier11[[#This Row],[ile_dokupic]]*1000</f>
        <v>5239</v>
      </c>
    </row>
    <row r="2117" spans="1:9" x14ac:dyDescent="0.25">
      <c r="A2117" s="1">
        <v>41950</v>
      </c>
      <c r="B2117" t="s">
        <v>54</v>
      </c>
      <c r="C2117">
        <v>6</v>
      </c>
      <c r="D2117">
        <f>MONTH(cukier11[[#This Row],[data]])</f>
        <v>11</v>
      </c>
      <c r="E2117">
        <f>IF(D2118&lt;&gt;cukier11[[#This Row],[miesiac]],1,0)</f>
        <v>0</v>
      </c>
      <c r="F2117">
        <f>IF(AND(H2116&lt;5000,cukier11[[#This Row],[czy_nastapiła_zmiana_mies]]=1),ROUNDUP((5000-H2116)/1000,0),0)</f>
        <v>0</v>
      </c>
      <c r="G2117">
        <f t="shared" si="33"/>
        <v>5239</v>
      </c>
      <c r="H2117">
        <f>cukier11[[#This Row],[stan_magazynu]]-cukier11[[#This Row],[sprzedany_cukier]]</f>
        <v>5233</v>
      </c>
      <c r="I2117" s="9">
        <f>cukier11[[#This Row],[stan_po_sprzedazy]]+cukier11[[#This Row],[ile_dokupic]]*1000</f>
        <v>5233</v>
      </c>
    </row>
    <row r="2118" spans="1:9" x14ac:dyDescent="0.25">
      <c r="A2118" s="1">
        <v>41950</v>
      </c>
      <c r="B2118" t="s">
        <v>55</v>
      </c>
      <c r="C2118">
        <v>179</v>
      </c>
      <c r="D2118">
        <f>MONTH(cukier11[[#This Row],[data]])</f>
        <v>11</v>
      </c>
      <c r="E2118">
        <f>IF(D2119&lt;&gt;cukier11[[#This Row],[miesiac]],1,0)</f>
        <v>0</v>
      </c>
      <c r="F2118">
        <f>IF(AND(H2117&lt;5000,cukier11[[#This Row],[czy_nastapiła_zmiana_mies]]=1),ROUNDUP((5000-H2117)/1000,0),0)</f>
        <v>0</v>
      </c>
      <c r="G2118">
        <f t="shared" si="33"/>
        <v>5233</v>
      </c>
      <c r="H2118">
        <f>cukier11[[#This Row],[stan_magazynu]]-cukier11[[#This Row],[sprzedany_cukier]]</f>
        <v>5054</v>
      </c>
      <c r="I2118" s="9">
        <f>cukier11[[#This Row],[stan_po_sprzedazy]]+cukier11[[#This Row],[ile_dokupic]]*1000</f>
        <v>5054</v>
      </c>
    </row>
    <row r="2119" spans="1:9" x14ac:dyDescent="0.25">
      <c r="A2119" s="1">
        <v>41951</v>
      </c>
      <c r="B2119" t="s">
        <v>22</v>
      </c>
      <c r="C2119">
        <v>398</v>
      </c>
      <c r="D2119">
        <f>MONTH(cukier11[[#This Row],[data]])</f>
        <v>11</v>
      </c>
      <c r="E2119">
        <f>IF(D2120&lt;&gt;cukier11[[#This Row],[miesiac]],1,0)</f>
        <v>0</v>
      </c>
      <c r="F2119">
        <f>IF(AND(H2118&lt;5000,cukier11[[#This Row],[czy_nastapiła_zmiana_mies]]=1),ROUNDUP((5000-H2118)/1000,0),0)</f>
        <v>0</v>
      </c>
      <c r="G2119">
        <f t="shared" si="33"/>
        <v>5054</v>
      </c>
      <c r="H2119">
        <f>cukier11[[#This Row],[stan_magazynu]]-cukier11[[#This Row],[sprzedany_cukier]]</f>
        <v>4656</v>
      </c>
      <c r="I2119" s="9">
        <f>cukier11[[#This Row],[stan_po_sprzedazy]]+cukier11[[#This Row],[ile_dokupic]]*1000</f>
        <v>4656</v>
      </c>
    </row>
    <row r="2120" spans="1:9" x14ac:dyDescent="0.25">
      <c r="A2120" s="1">
        <v>41952</v>
      </c>
      <c r="B2120" t="s">
        <v>69</v>
      </c>
      <c r="C2120">
        <v>68</v>
      </c>
      <c r="D2120">
        <f>MONTH(cukier11[[#This Row],[data]])</f>
        <v>11</v>
      </c>
      <c r="E2120">
        <f>IF(D2121&lt;&gt;cukier11[[#This Row],[miesiac]],1,0)</f>
        <v>0</v>
      </c>
      <c r="F2120">
        <f>IF(AND(H2119&lt;5000,cukier11[[#This Row],[czy_nastapiła_zmiana_mies]]=1),ROUNDUP((5000-H2119)/1000,0),0)</f>
        <v>0</v>
      </c>
      <c r="G2120">
        <f t="shared" si="33"/>
        <v>4656</v>
      </c>
      <c r="H2120">
        <f>cukier11[[#This Row],[stan_magazynu]]-cukier11[[#This Row],[sprzedany_cukier]]</f>
        <v>4588</v>
      </c>
      <c r="I2120" s="9">
        <f>cukier11[[#This Row],[stan_po_sprzedazy]]+cukier11[[#This Row],[ile_dokupic]]*1000</f>
        <v>4588</v>
      </c>
    </row>
    <row r="2121" spans="1:9" x14ac:dyDescent="0.25">
      <c r="A2121" s="1">
        <v>41952</v>
      </c>
      <c r="B2121" t="s">
        <v>12</v>
      </c>
      <c r="C2121">
        <v>160</v>
      </c>
      <c r="D2121">
        <f>MONTH(cukier11[[#This Row],[data]])</f>
        <v>11</v>
      </c>
      <c r="E2121">
        <f>IF(D2122&lt;&gt;cukier11[[#This Row],[miesiac]],1,0)</f>
        <v>0</v>
      </c>
      <c r="F2121">
        <f>IF(AND(H2120&lt;5000,cukier11[[#This Row],[czy_nastapiła_zmiana_mies]]=1),ROUNDUP((5000-H2120)/1000,0),0)</f>
        <v>0</v>
      </c>
      <c r="G2121">
        <f t="shared" si="33"/>
        <v>4588</v>
      </c>
      <c r="H2121">
        <f>cukier11[[#This Row],[stan_magazynu]]-cukier11[[#This Row],[sprzedany_cukier]]</f>
        <v>4428</v>
      </c>
      <c r="I2121" s="9">
        <f>cukier11[[#This Row],[stan_po_sprzedazy]]+cukier11[[#This Row],[ile_dokupic]]*1000</f>
        <v>4428</v>
      </c>
    </row>
    <row r="2122" spans="1:9" x14ac:dyDescent="0.25">
      <c r="A2122" s="1">
        <v>41953</v>
      </c>
      <c r="B2122" t="s">
        <v>12</v>
      </c>
      <c r="C2122">
        <v>183</v>
      </c>
      <c r="D2122">
        <f>MONTH(cukier11[[#This Row],[data]])</f>
        <v>11</v>
      </c>
      <c r="E2122">
        <f>IF(D2123&lt;&gt;cukier11[[#This Row],[miesiac]],1,0)</f>
        <v>0</v>
      </c>
      <c r="F2122">
        <f>IF(AND(H2121&lt;5000,cukier11[[#This Row],[czy_nastapiła_zmiana_mies]]=1),ROUNDUP((5000-H2121)/1000,0),0)</f>
        <v>0</v>
      </c>
      <c r="G2122">
        <f t="shared" si="33"/>
        <v>4428</v>
      </c>
      <c r="H2122">
        <f>cukier11[[#This Row],[stan_magazynu]]-cukier11[[#This Row],[sprzedany_cukier]]</f>
        <v>4245</v>
      </c>
      <c r="I2122" s="9">
        <f>cukier11[[#This Row],[stan_po_sprzedazy]]+cukier11[[#This Row],[ile_dokupic]]*1000</f>
        <v>4245</v>
      </c>
    </row>
    <row r="2123" spans="1:9" x14ac:dyDescent="0.25">
      <c r="A2123" s="1">
        <v>41954</v>
      </c>
      <c r="B2123" t="s">
        <v>22</v>
      </c>
      <c r="C2123">
        <v>178</v>
      </c>
      <c r="D2123">
        <f>MONTH(cukier11[[#This Row],[data]])</f>
        <v>11</v>
      </c>
      <c r="E2123">
        <f>IF(D2124&lt;&gt;cukier11[[#This Row],[miesiac]],1,0)</f>
        <v>0</v>
      </c>
      <c r="F2123">
        <f>IF(AND(H2122&lt;5000,cukier11[[#This Row],[czy_nastapiła_zmiana_mies]]=1),ROUNDUP((5000-H2122)/1000,0),0)</f>
        <v>0</v>
      </c>
      <c r="G2123">
        <f t="shared" si="33"/>
        <v>4245</v>
      </c>
      <c r="H2123">
        <f>cukier11[[#This Row],[stan_magazynu]]-cukier11[[#This Row],[sprzedany_cukier]]</f>
        <v>4067</v>
      </c>
      <c r="I2123" s="9">
        <f>cukier11[[#This Row],[stan_po_sprzedazy]]+cukier11[[#This Row],[ile_dokupic]]*1000</f>
        <v>4067</v>
      </c>
    </row>
    <row r="2124" spans="1:9" x14ac:dyDescent="0.25">
      <c r="A2124" s="1">
        <v>41955</v>
      </c>
      <c r="B2124" t="s">
        <v>7</v>
      </c>
      <c r="C2124">
        <v>381</v>
      </c>
      <c r="D2124">
        <f>MONTH(cukier11[[#This Row],[data]])</f>
        <v>11</v>
      </c>
      <c r="E2124">
        <f>IF(D2125&lt;&gt;cukier11[[#This Row],[miesiac]],1,0)</f>
        <v>0</v>
      </c>
      <c r="F2124">
        <f>IF(AND(H2123&lt;5000,cukier11[[#This Row],[czy_nastapiła_zmiana_mies]]=1),ROUNDUP((5000-H2123)/1000,0),0)</f>
        <v>0</v>
      </c>
      <c r="G2124">
        <f t="shared" si="33"/>
        <v>4067</v>
      </c>
      <c r="H2124">
        <f>cukier11[[#This Row],[stan_magazynu]]-cukier11[[#This Row],[sprzedany_cukier]]</f>
        <v>3686</v>
      </c>
      <c r="I2124" s="9">
        <f>cukier11[[#This Row],[stan_po_sprzedazy]]+cukier11[[#This Row],[ile_dokupic]]*1000</f>
        <v>3686</v>
      </c>
    </row>
    <row r="2125" spans="1:9" x14ac:dyDescent="0.25">
      <c r="A2125" s="1">
        <v>41957</v>
      </c>
      <c r="B2125" t="s">
        <v>62</v>
      </c>
      <c r="C2125">
        <v>12</v>
      </c>
      <c r="D2125">
        <f>MONTH(cukier11[[#This Row],[data]])</f>
        <v>11</v>
      </c>
      <c r="E2125">
        <f>IF(D2126&lt;&gt;cukier11[[#This Row],[miesiac]],1,0)</f>
        <v>0</v>
      </c>
      <c r="F2125">
        <f>IF(AND(H2124&lt;5000,cukier11[[#This Row],[czy_nastapiła_zmiana_mies]]=1),ROUNDUP((5000-H2124)/1000,0),0)</f>
        <v>0</v>
      </c>
      <c r="G2125">
        <f t="shared" si="33"/>
        <v>3686</v>
      </c>
      <c r="H2125">
        <f>cukier11[[#This Row],[stan_magazynu]]-cukier11[[#This Row],[sprzedany_cukier]]</f>
        <v>3674</v>
      </c>
      <c r="I2125" s="9">
        <f>cukier11[[#This Row],[stan_po_sprzedazy]]+cukier11[[#This Row],[ile_dokupic]]*1000</f>
        <v>3674</v>
      </c>
    </row>
    <row r="2126" spans="1:9" x14ac:dyDescent="0.25">
      <c r="A2126" s="1">
        <v>41959</v>
      </c>
      <c r="B2126" t="s">
        <v>28</v>
      </c>
      <c r="C2126">
        <v>116</v>
      </c>
      <c r="D2126">
        <f>MONTH(cukier11[[#This Row],[data]])</f>
        <v>11</v>
      </c>
      <c r="E2126">
        <f>IF(D2127&lt;&gt;cukier11[[#This Row],[miesiac]],1,0)</f>
        <v>0</v>
      </c>
      <c r="F2126">
        <f>IF(AND(H2125&lt;5000,cukier11[[#This Row],[czy_nastapiła_zmiana_mies]]=1),ROUNDUP((5000-H2125)/1000,0),0)</f>
        <v>0</v>
      </c>
      <c r="G2126">
        <f t="shared" si="33"/>
        <v>3674</v>
      </c>
      <c r="H2126">
        <f>cukier11[[#This Row],[stan_magazynu]]-cukier11[[#This Row],[sprzedany_cukier]]</f>
        <v>3558</v>
      </c>
      <c r="I2126" s="9">
        <f>cukier11[[#This Row],[stan_po_sprzedazy]]+cukier11[[#This Row],[ile_dokupic]]*1000</f>
        <v>3558</v>
      </c>
    </row>
    <row r="2127" spans="1:9" x14ac:dyDescent="0.25">
      <c r="A2127" s="1">
        <v>41961</v>
      </c>
      <c r="B2127" t="s">
        <v>7</v>
      </c>
      <c r="C2127">
        <v>117</v>
      </c>
      <c r="D2127">
        <f>MONTH(cukier11[[#This Row],[data]])</f>
        <v>11</v>
      </c>
      <c r="E2127">
        <f>IF(D2128&lt;&gt;cukier11[[#This Row],[miesiac]],1,0)</f>
        <v>0</v>
      </c>
      <c r="F2127">
        <f>IF(AND(H2126&lt;5000,cukier11[[#This Row],[czy_nastapiła_zmiana_mies]]=1),ROUNDUP((5000-H2126)/1000,0),0)</f>
        <v>0</v>
      </c>
      <c r="G2127">
        <f t="shared" si="33"/>
        <v>3558</v>
      </c>
      <c r="H2127">
        <f>cukier11[[#This Row],[stan_magazynu]]-cukier11[[#This Row],[sprzedany_cukier]]</f>
        <v>3441</v>
      </c>
      <c r="I2127" s="9">
        <f>cukier11[[#This Row],[stan_po_sprzedazy]]+cukier11[[#This Row],[ile_dokupic]]*1000</f>
        <v>3441</v>
      </c>
    </row>
    <row r="2128" spans="1:9" x14ac:dyDescent="0.25">
      <c r="A2128" s="1">
        <v>41961</v>
      </c>
      <c r="B2128" t="s">
        <v>69</v>
      </c>
      <c r="C2128">
        <v>31</v>
      </c>
      <c r="D2128">
        <f>MONTH(cukier11[[#This Row],[data]])</f>
        <v>11</v>
      </c>
      <c r="E2128">
        <f>IF(D2129&lt;&gt;cukier11[[#This Row],[miesiac]],1,0)</f>
        <v>0</v>
      </c>
      <c r="F2128">
        <f>IF(AND(H2127&lt;5000,cukier11[[#This Row],[czy_nastapiła_zmiana_mies]]=1),ROUNDUP((5000-H2127)/1000,0),0)</f>
        <v>0</v>
      </c>
      <c r="G2128">
        <f t="shared" si="33"/>
        <v>3441</v>
      </c>
      <c r="H2128">
        <f>cukier11[[#This Row],[stan_magazynu]]-cukier11[[#This Row],[sprzedany_cukier]]</f>
        <v>3410</v>
      </c>
      <c r="I2128" s="9">
        <f>cukier11[[#This Row],[stan_po_sprzedazy]]+cukier11[[#This Row],[ile_dokupic]]*1000</f>
        <v>3410</v>
      </c>
    </row>
    <row r="2129" spans="1:9" x14ac:dyDescent="0.25">
      <c r="A2129" s="1">
        <v>41962</v>
      </c>
      <c r="B2129" t="s">
        <v>8</v>
      </c>
      <c r="C2129">
        <v>131</v>
      </c>
      <c r="D2129">
        <f>MONTH(cukier11[[#This Row],[data]])</f>
        <v>11</v>
      </c>
      <c r="E2129">
        <f>IF(D2130&lt;&gt;cukier11[[#This Row],[miesiac]],1,0)</f>
        <v>0</v>
      </c>
      <c r="F2129">
        <f>IF(AND(H2128&lt;5000,cukier11[[#This Row],[czy_nastapiła_zmiana_mies]]=1),ROUNDUP((5000-H2128)/1000,0),0)</f>
        <v>0</v>
      </c>
      <c r="G2129">
        <f t="shared" si="33"/>
        <v>3410</v>
      </c>
      <c r="H2129">
        <f>cukier11[[#This Row],[stan_magazynu]]-cukier11[[#This Row],[sprzedany_cukier]]</f>
        <v>3279</v>
      </c>
      <c r="I2129" s="9">
        <f>cukier11[[#This Row],[stan_po_sprzedazy]]+cukier11[[#This Row],[ile_dokupic]]*1000</f>
        <v>3279</v>
      </c>
    </row>
    <row r="2130" spans="1:9" x14ac:dyDescent="0.25">
      <c r="A2130" s="1">
        <v>41962</v>
      </c>
      <c r="B2130" t="s">
        <v>10</v>
      </c>
      <c r="C2130">
        <v>21</v>
      </c>
      <c r="D2130">
        <f>MONTH(cukier11[[#This Row],[data]])</f>
        <v>11</v>
      </c>
      <c r="E2130">
        <f>IF(D2131&lt;&gt;cukier11[[#This Row],[miesiac]],1,0)</f>
        <v>0</v>
      </c>
      <c r="F2130">
        <f>IF(AND(H2129&lt;5000,cukier11[[#This Row],[czy_nastapiła_zmiana_mies]]=1),ROUNDUP((5000-H2129)/1000,0),0)</f>
        <v>0</v>
      </c>
      <c r="G2130">
        <f t="shared" si="33"/>
        <v>3279</v>
      </c>
      <c r="H2130">
        <f>cukier11[[#This Row],[stan_magazynu]]-cukier11[[#This Row],[sprzedany_cukier]]</f>
        <v>3258</v>
      </c>
      <c r="I2130" s="9">
        <f>cukier11[[#This Row],[stan_po_sprzedazy]]+cukier11[[#This Row],[ile_dokupic]]*1000</f>
        <v>3258</v>
      </c>
    </row>
    <row r="2131" spans="1:9" x14ac:dyDescent="0.25">
      <c r="A2131" s="1">
        <v>41963</v>
      </c>
      <c r="B2131" t="s">
        <v>9</v>
      </c>
      <c r="C2131">
        <v>300</v>
      </c>
      <c r="D2131">
        <f>MONTH(cukier11[[#This Row],[data]])</f>
        <v>11</v>
      </c>
      <c r="E2131">
        <f>IF(D2132&lt;&gt;cukier11[[#This Row],[miesiac]],1,0)</f>
        <v>0</v>
      </c>
      <c r="F2131">
        <f>IF(AND(H2130&lt;5000,cukier11[[#This Row],[czy_nastapiła_zmiana_mies]]=1),ROUNDUP((5000-H2130)/1000,0),0)</f>
        <v>0</v>
      </c>
      <c r="G2131">
        <f t="shared" si="33"/>
        <v>3258</v>
      </c>
      <c r="H2131">
        <f>cukier11[[#This Row],[stan_magazynu]]-cukier11[[#This Row],[sprzedany_cukier]]</f>
        <v>2958</v>
      </c>
      <c r="I2131" s="9">
        <f>cukier11[[#This Row],[stan_po_sprzedazy]]+cukier11[[#This Row],[ile_dokupic]]*1000</f>
        <v>2958</v>
      </c>
    </row>
    <row r="2132" spans="1:9" x14ac:dyDescent="0.25">
      <c r="A2132" s="1">
        <v>41963</v>
      </c>
      <c r="B2132" t="s">
        <v>18</v>
      </c>
      <c r="C2132">
        <v>32</v>
      </c>
      <c r="D2132">
        <f>MONTH(cukier11[[#This Row],[data]])</f>
        <v>11</v>
      </c>
      <c r="E2132">
        <f>IF(D2133&lt;&gt;cukier11[[#This Row],[miesiac]],1,0)</f>
        <v>0</v>
      </c>
      <c r="F2132">
        <f>IF(AND(H2131&lt;5000,cukier11[[#This Row],[czy_nastapiła_zmiana_mies]]=1),ROUNDUP((5000-H2131)/1000,0),0)</f>
        <v>0</v>
      </c>
      <c r="G2132">
        <f t="shared" si="33"/>
        <v>2958</v>
      </c>
      <c r="H2132">
        <f>cukier11[[#This Row],[stan_magazynu]]-cukier11[[#This Row],[sprzedany_cukier]]</f>
        <v>2926</v>
      </c>
      <c r="I2132" s="9">
        <f>cukier11[[#This Row],[stan_po_sprzedazy]]+cukier11[[#This Row],[ile_dokupic]]*1000</f>
        <v>2926</v>
      </c>
    </row>
    <row r="2133" spans="1:9" x14ac:dyDescent="0.25">
      <c r="A2133" s="1">
        <v>41966</v>
      </c>
      <c r="B2133" t="s">
        <v>132</v>
      </c>
      <c r="C2133">
        <v>4</v>
      </c>
      <c r="D2133">
        <f>MONTH(cukier11[[#This Row],[data]])</f>
        <v>11</v>
      </c>
      <c r="E2133">
        <f>IF(D2134&lt;&gt;cukier11[[#This Row],[miesiac]],1,0)</f>
        <v>0</v>
      </c>
      <c r="F2133">
        <f>IF(AND(H2132&lt;5000,cukier11[[#This Row],[czy_nastapiła_zmiana_mies]]=1),ROUNDUP((5000-H2132)/1000,0),0)</f>
        <v>0</v>
      </c>
      <c r="G2133">
        <f t="shared" si="33"/>
        <v>2926</v>
      </c>
      <c r="H2133">
        <f>cukier11[[#This Row],[stan_magazynu]]-cukier11[[#This Row],[sprzedany_cukier]]</f>
        <v>2922</v>
      </c>
      <c r="I2133" s="9">
        <f>cukier11[[#This Row],[stan_po_sprzedazy]]+cukier11[[#This Row],[ile_dokupic]]*1000</f>
        <v>2922</v>
      </c>
    </row>
    <row r="2134" spans="1:9" x14ac:dyDescent="0.25">
      <c r="A2134" s="1">
        <v>41967</v>
      </c>
      <c r="B2134" t="s">
        <v>45</v>
      </c>
      <c r="C2134">
        <v>230</v>
      </c>
      <c r="D2134">
        <f>MONTH(cukier11[[#This Row],[data]])</f>
        <v>11</v>
      </c>
      <c r="E2134">
        <f>IF(D2135&lt;&gt;cukier11[[#This Row],[miesiac]],1,0)</f>
        <v>0</v>
      </c>
      <c r="F2134">
        <f>IF(AND(H2133&lt;5000,cukier11[[#This Row],[czy_nastapiła_zmiana_mies]]=1),ROUNDUP((5000-H2133)/1000,0),0)</f>
        <v>0</v>
      </c>
      <c r="G2134">
        <f t="shared" si="33"/>
        <v>2922</v>
      </c>
      <c r="H2134">
        <f>cukier11[[#This Row],[stan_magazynu]]-cukier11[[#This Row],[sprzedany_cukier]]</f>
        <v>2692</v>
      </c>
      <c r="I2134" s="9">
        <f>cukier11[[#This Row],[stan_po_sprzedazy]]+cukier11[[#This Row],[ile_dokupic]]*1000</f>
        <v>2692</v>
      </c>
    </row>
    <row r="2135" spans="1:9" x14ac:dyDescent="0.25">
      <c r="A2135" s="1">
        <v>41968</v>
      </c>
      <c r="B2135" t="s">
        <v>61</v>
      </c>
      <c r="C2135">
        <v>164</v>
      </c>
      <c r="D2135">
        <f>MONTH(cukier11[[#This Row],[data]])</f>
        <v>11</v>
      </c>
      <c r="E2135">
        <f>IF(D2136&lt;&gt;cukier11[[#This Row],[miesiac]],1,0)</f>
        <v>0</v>
      </c>
      <c r="F2135">
        <f>IF(AND(H2134&lt;5000,cukier11[[#This Row],[czy_nastapiła_zmiana_mies]]=1),ROUNDUP((5000-H2134)/1000,0),0)</f>
        <v>0</v>
      </c>
      <c r="G2135">
        <f t="shared" si="33"/>
        <v>2692</v>
      </c>
      <c r="H2135">
        <f>cukier11[[#This Row],[stan_magazynu]]-cukier11[[#This Row],[sprzedany_cukier]]</f>
        <v>2528</v>
      </c>
      <c r="I2135" s="9">
        <f>cukier11[[#This Row],[stan_po_sprzedazy]]+cukier11[[#This Row],[ile_dokupic]]*1000</f>
        <v>2528</v>
      </c>
    </row>
    <row r="2136" spans="1:9" x14ac:dyDescent="0.25">
      <c r="A2136" s="1">
        <v>41969</v>
      </c>
      <c r="B2136" t="s">
        <v>98</v>
      </c>
      <c r="C2136">
        <v>4</v>
      </c>
      <c r="D2136">
        <f>MONTH(cukier11[[#This Row],[data]])</f>
        <v>11</v>
      </c>
      <c r="E2136">
        <f>IF(D2137&lt;&gt;cukier11[[#This Row],[miesiac]],1,0)</f>
        <v>0</v>
      </c>
      <c r="F2136">
        <f>IF(AND(H2135&lt;5000,cukier11[[#This Row],[czy_nastapiła_zmiana_mies]]=1),ROUNDUP((5000-H2135)/1000,0),0)</f>
        <v>0</v>
      </c>
      <c r="G2136">
        <f t="shared" si="33"/>
        <v>2528</v>
      </c>
      <c r="H2136">
        <f>cukier11[[#This Row],[stan_magazynu]]-cukier11[[#This Row],[sprzedany_cukier]]</f>
        <v>2524</v>
      </c>
      <c r="I2136" s="9">
        <f>cukier11[[#This Row],[stan_po_sprzedazy]]+cukier11[[#This Row],[ile_dokupic]]*1000</f>
        <v>2524</v>
      </c>
    </row>
    <row r="2137" spans="1:9" x14ac:dyDescent="0.25">
      <c r="A2137" s="1">
        <v>41972</v>
      </c>
      <c r="B2137" t="s">
        <v>20</v>
      </c>
      <c r="C2137">
        <v>96</v>
      </c>
      <c r="D2137">
        <f>MONTH(cukier11[[#This Row],[data]])</f>
        <v>11</v>
      </c>
      <c r="E2137">
        <f>IF(D2138&lt;&gt;cukier11[[#This Row],[miesiac]],1,0)</f>
        <v>1</v>
      </c>
      <c r="F2137">
        <f>IF(AND(H2136&lt;5000,cukier11[[#This Row],[czy_nastapiła_zmiana_mies]]=1),ROUNDUP((5000-H2136)/1000,0),0)</f>
        <v>3</v>
      </c>
      <c r="G2137">
        <f t="shared" si="33"/>
        <v>2524</v>
      </c>
      <c r="H2137">
        <f>cukier11[[#This Row],[stan_magazynu]]-cukier11[[#This Row],[sprzedany_cukier]]</f>
        <v>2428</v>
      </c>
      <c r="I2137" s="9">
        <f>cukier11[[#This Row],[stan_po_sprzedazy]]+cukier11[[#This Row],[ile_dokupic]]*1000</f>
        <v>5428</v>
      </c>
    </row>
    <row r="2138" spans="1:9" x14ac:dyDescent="0.25">
      <c r="A2138" s="1">
        <v>41975</v>
      </c>
      <c r="B2138" t="s">
        <v>131</v>
      </c>
      <c r="C2138">
        <v>94</v>
      </c>
      <c r="D2138">
        <f>MONTH(cukier11[[#This Row],[data]])</f>
        <v>12</v>
      </c>
      <c r="E2138">
        <f>IF(D2139&lt;&gt;cukier11[[#This Row],[miesiac]],1,0)</f>
        <v>0</v>
      </c>
      <c r="F2138">
        <f>IF(AND(H2137&lt;5000,cukier11[[#This Row],[czy_nastapiła_zmiana_mies]]=1),ROUNDUP((5000-H2137)/1000,0),0)</f>
        <v>0</v>
      </c>
      <c r="G2138">
        <f t="shared" si="33"/>
        <v>5428</v>
      </c>
      <c r="H2138">
        <f>cukier11[[#This Row],[stan_magazynu]]-cukier11[[#This Row],[sprzedany_cukier]]</f>
        <v>5334</v>
      </c>
      <c r="I2138" s="9">
        <f>cukier11[[#This Row],[stan_po_sprzedazy]]+cukier11[[#This Row],[ile_dokupic]]*1000</f>
        <v>5334</v>
      </c>
    </row>
    <row r="2139" spans="1:9" x14ac:dyDescent="0.25">
      <c r="A2139" s="1">
        <v>41975</v>
      </c>
      <c r="B2139" t="s">
        <v>71</v>
      </c>
      <c r="C2139">
        <v>21</v>
      </c>
      <c r="D2139">
        <f>MONTH(cukier11[[#This Row],[data]])</f>
        <v>12</v>
      </c>
      <c r="E2139">
        <f>IF(D2140&lt;&gt;cukier11[[#This Row],[miesiac]],1,0)</f>
        <v>0</v>
      </c>
      <c r="F2139">
        <f>IF(AND(H2138&lt;5000,cukier11[[#This Row],[czy_nastapiła_zmiana_mies]]=1),ROUNDUP((5000-H2138)/1000,0),0)</f>
        <v>0</v>
      </c>
      <c r="G2139">
        <f t="shared" si="33"/>
        <v>5334</v>
      </c>
      <c r="H2139">
        <f>cukier11[[#This Row],[stan_magazynu]]-cukier11[[#This Row],[sprzedany_cukier]]</f>
        <v>5313</v>
      </c>
      <c r="I2139" s="9">
        <f>cukier11[[#This Row],[stan_po_sprzedazy]]+cukier11[[#This Row],[ile_dokupic]]*1000</f>
        <v>5313</v>
      </c>
    </row>
    <row r="2140" spans="1:9" x14ac:dyDescent="0.25">
      <c r="A2140" s="1">
        <v>41977</v>
      </c>
      <c r="B2140" t="s">
        <v>7</v>
      </c>
      <c r="C2140">
        <v>129</v>
      </c>
      <c r="D2140">
        <f>MONTH(cukier11[[#This Row],[data]])</f>
        <v>12</v>
      </c>
      <c r="E2140">
        <f>IF(D2141&lt;&gt;cukier11[[#This Row],[miesiac]],1,0)</f>
        <v>0</v>
      </c>
      <c r="F2140">
        <f>IF(AND(H2139&lt;5000,cukier11[[#This Row],[czy_nastapiła_zmiana_mies]]=1),ROUNDUP((5000-H2139)/1000,0),0)</f>
        <v>0</v>
      </c>
      <c r="G2140">
        <f t="shared" si="33"/>
        <v>5313</v>
      </c>
      <c r="H2140">
        <f>cukier11[[#This Row],[stan_magazynu]]-cukier11[[#This Row],[sprzedany_cukier]]</f>
        <v>5184</v>
      </c>
      <c r="I2140" s="9">
        <f>cukier11[[#This Row],[stan_po_sprzedazy]]+cukier11[[#This Row],[ile_dokupic]]*1000</f>
        <v>5184</v>
      </c>
    </row>
    <row r="2141" spans="1:9" x14ac:dyDescent="0.25">
      <c r="A2141" s="1">
        <v>41977</v>
      </c>
      <c r="B2141" t="s">
        <v>25</v>
      </c>
      <c r="C2141">
        <v>197</v>
      </c>
      <c r="D2141">
        <f>MONTH(cukier11[[#This Row],[data]])</f>
        <v>12</v>
      </c>
      <c r="E2141">
        <f>IF(D2142&lt;&gt;cukier11[[#This Row],[miesiac]],1,0)</f>
        <v>0</v>
      </c>
      <c r="F2141">
        <f>IF(AND(H2140&lt;5000,cukier11[[#This Row],[czy_nastapiła_zmiana_mies]]=1),ROUNDUP((5000-H2140)/1000,0),0)</f>
        <v>0</v>
      </c>
      <c r="G2141">
        <f t="shared" si="33"/>
        <v>5184</v>
      </c>
      <c r="H2141">
        <f>cukier11[[#This Row],[stan_magazynu]]-cukier11[[#This Row],[sprzedany_cukier]]</f>
        <v>4987</v>
      </c>
      <c r="I2141" s="9">
        <f>cukier11[[#This Row],[stan_po_sprzedazy]]+cukier11[[#This Row],[ile_dokupic]]*1000</f>
        <v>4987</v>
      </c>
    </row>
    <row r="2142" spans="1:9" x14ac:dyDescent="0.25">
      <c r="A2142" s="1">
        <v>41978</v>
      </c>
      <c r="B2142" t="s">
        <v>113</v>
      </c>
      <c r="C2142">
        <v>16</v>
      </c>
      <c r="D2142">
        <f>MONTH(cukier11[[#This Row],[data]])</f>
        <v>12</v>
      </c>
      <c r="E2142">
        <f>IF(D2143&lt;&gt;cukier11[[#This Row],[miesiac]],1,0)</f>
        <v>0</v>
      </c>
      <c r="F2142">
        <f>IF(AND(H2141&lt;5000,cukier11[[#This Row],[czy_nastapiła_zmiana_mies]]=1),ROUNDUP((5000-H2141)/1000,0),0)</f>
        <v>0</v>
      </c>
      <c r="G2142">
        <f t="shared" si="33"/>
        <v>4987</v>
      </c>
      <c r="H2142">
        <f>cukier11[[#This Row],[stan_magazynu]]-cukier11[[#This Row],[sprzedany_cukier]]</f>
        <v>4971</v>
      </c>
      <c r="I2142" s="9">
        <f>cukier11[[#This Row],[stan_po_sprzedazy]]+cukier11[[#This Row],[ile_dokupic]]*1000</f>
        <v>4971</v>
      </c>
    </row>
    <row r="2143" spans="1:9" x14ac:dyDescent="0.25">
      <c r="A2143" s="1">
        <v>41978</v>
      </c>
      <c r="B2143" t="s">
        <v>24</v>
      </c>
      <c r="C2143">
        <v>332</v>
      </c>
      <c r="D2143">
        <f>MONTH(cukier11[[#This Row],[data]])</f>
        <v>12</v>
      </c>
      <c r="E2143">
        <f>IF(D2144&lt;&gt;cukier11[[#This Row],[miesiac]],1,0)</f>
        <v>0</v>
      </c>
      <c r="F2143">
        <f>IF(AND(H2142&lt;5000,cukier11[[#This Row],[czy_nastapiła_zmiana_mies]]=1),ROUNDUP((5000-H2142)/1000,0),0)</f>
        <v>0</v>
      </c>
      <c r="G2143">
        <f t="shared" si="33"/>
        <v>4971</v>
      </c>
      <c r="H2143">
        <f>cukier11[[#This Row],[stan_magazynu]]-cukier11[[#This Row],[sprzedany_cukier]]</f>
        <v>4639</v>
      </c>
      <c r="I2143" s="9">
        <f>cukier11[[#This Row],[stan_po_sprzedazy]]+cukier11[[#This Row],[ile_dokupic]]*1000</f>
        <v>4639</v>
      </c>
    </row>
    <row r="2144" spans="1:9" x14ac:dyDescent="0.25">
      <c r="A2144" s="1">
        <v>41980</v>
      </c>
      <c r="B2144" t="s">
        <v>69</v>
      </c>
      <c r="C2144">
        <v>75</v>
      </c>
      <c r="D2144">
        <f>MONTH(cukier11[[#This Row],[data]])</f>
        <v>12</v>
      </c>
      <c r="E2144">
        <f>IF(D2145&lt;&gt;cukier11[[#This Row],[miesiac]],1,0)</f>
        <v>0</v>
      </c>
      <c r="F2144">
        <f>IF(AND(H2143&lt;5000,cukier11[[#This Row],[czy_nastapiła_zmiana_mies]]=1),ROUNDUP((5000-H2143)/1000,0),0)</f>
        <v>0</v>
      </c>
      <c r="G2144">
        <f t="shared" si="33"/>
        <v>4639</v>
      </c>
      <c r="H2144">
        <f>cukier11[[#This Row],[stan_magazynu]]-cukier11[[#This Row],[sprzedany_cukier]]</f>
        <v>4564</v>
      </c>
      <c r="I2144" s="9">
        <f>cukier11[[#This Row],[stan_po_sprzedazy]]+cukier11[[#This Row],[ile_dokupic]]*1000</f>
        <v>4564</v>
      </c>
    </row>
    <row r="2145" spans="1:9" x14ac:dyDescent="0.25">
      <c r="A2145" s="1">
        <v>41981</v>
      </c>
      <c r="B2145" t="s">
        <v>74</v>
      </c>
      <c r="C2145">
        <v>10</v>
      </c>
      <c r="D2145">
        <f>MONTH(cukier11[[#This Row],[data]])</f>
        <v>12</v>
      </c>
      <c r="E2145">
        <f>IF(D2146&lt;&gt;cukier11[[#This Row],[miesiac]],1,0)</f>
        <v>0</v>
      </c>
      <c r="F2145">
        <f>IF(AND(H2144&lt;5000,cukier11[[#This Row],[czy_nastapiła_zmiana_mies]]=1),ROUNDUP((5000-H2144)/1000,0),0)</f>
        <v>0</v>
      </c>
      <c r="G2145">
        <f t="shared" si="33"/>
        <v>4564</v>
      </c>
      <c r="H2145">
        <f>cukier11[[#This Row],[stan_magazynu]]-cukier11[[#This Row],[sprzedany_cukier]]</f>
        <v>4554</v>
      </c>
      <c r="I2145" s="9">
        <f>cukier11[[#This Row],[stan_po_sprzedazy]]+cukier11[[#This Row],[ile_dokupic]]*1000</f>
        <v>4554</v>
      </c>
    </row>
    <row r="2146" spans="1:9" x14ac:dyDescent="0.25">
      <c r="A2146" s="1">
        <v>41982</v>
      </c>
      <c r="B2146" t="s">
        <v>37</v>
      </c>
      <c r="C2146">
        <v>93</v>
      </c>
      <c r="D2146">
        <f>MONTH(cukier11[[#This Row],[data]])</f>
        <v>12</v>
      </c>
      <c r="E2146">
        <f>IF(D2147&lt;&gt;cukier11[[#This Row],[miesiac]],1,0)</f>
        <v>0</v>
      </c>
      <c r="F2146">
        <f>IF(AND(H2145&lt;5000,cukier11[[#This Row],[czy_nastapiła_zmiana_mies]]=1),ROUNDUP((5000-H2145)/1000,0),0)</f>
        <v>0</v>
      </c>
      <c r="G2146">
        <f t="shared" si="33"/>
        <v>4554</v>
      </c>
      <c r="H2146">
        <f>cukier11[[#This Row],[stan_magazynu]]-cukier11[[#This Row],[sprzedany_cukier]]</f>
        <v>4461</v>
      </c>
      <c r="I2146" s="9">
        <f>cukier11[[#This Row],[stan_po_sprzedazy]]+cukier11[[#This Row],[ile_dokupic]]*1000</f>
        <v>4461</v>
      </c>
    </row>
    <row r="2147" spans="1:9" x14ac:dyDescent="0.25">
      <c r="A2147" s="1">
        <v>41983</v>
      </c>
      <c r="B2147" t="s">
        <v>45</v>
      </c>
      <c r="C2147">
        <v>146</v>
      </c>
      <c r="D2147">
        <f>MONTH(cukier11[[#This Row],[data]])</f>
        <v>12</v>
      </c>
      <c r="E2147">
        <f>IF(D2148&lt;&gt;cukier11[[#This Row],[miesiac]],1,0)</f>
        <v>0</v>
      </c>
      <c r="F2147">
        <f>IF(AND(H2146&lt;5000,cukier11[[#This Row],[czy_nastapiła_zmiana_mies]]=1),ROUNDUP((5000-H2146)/1000,0),0)</f>
        <v>0</v>
      </c>
      <c r="G2147">
        <f t="shared" si="33"/>
        <v>4461</v>
      </c>
      <c r="H2147">
        <f>cukier11[[#This Row],[stan_magazynu]]-cukier11[[#This Row],[sprzedany_cukier]]</f>
        <v>4315</v>
      </c>
      <c r="I2147" s="9">
        <f>cukier11[[#This Row],[stan_po_sprzedazy]]+cukier11[[#This Row],[ile_dokupic]]*1000</f>
        <v>4315</v>
      </c>
    </row>
    <row r="2148" spans="1:9" x14ac:dyDescent="0.25">
      <c r="A2148" s="1">
        <v>41984</v>
      </c>
      <c r="B2148" t="s">
        <v>58</v>
      </c>
      <c r="C2148">
        <v>197</v>
      </c>
      <c r="D2148">
        <f>MONTH(cukier11[[#This Row],[data]])</f>
        <v>12</v>
      </c>
      <c r="E2148">
        <f>IF(D2149&lt;&gt;cukier11[[#This Row],[miesiac]],1,0)</f>
        <v>0</v>
      </c>
      <c r="F2148">
        <f>IF(AND(H2147&lt;5000,cukier11[[#This Row],[czy_nastapiła_zmiana_mies]]=1),ROUNDUP((5000-H2147)/1000,0),0)</f>
        <v>0</v>
      </c>
      <c r="G2148">
        <f t="shared" si="33"/>
        <v>4315</v>
      </c>
      <c r="H2148">
        <f>cukier11[[#This Row],[stan_magazynu]]-cukier11[[#This Row],[sprzedany_cukier]]</f>
        <v>4118</v>
      </c>
      <c r="I2148" s="9">
        <f>cukier11[[#This Row],[stan_po_sprzedazy]]+cukier11[[#This Row],[ile_dokupic]]*1000</f>
        <v>4118</v>
      </c>
    </row>
    <row r="2149" spans="1:9" x14ac:dyDescent="0.25">
      <c r="A2149" s="1">
        <v>41986</v>
      </c>
      <c r="B2149" t="s">
        <v>17</v>
      </c>
      <c r="C2149">
        <v>482</v>
      </c>
      <c r="D2149">
        <f>MONTH(cukier11[[#This Row],[data]])</f>
        <v>12</v>
      </c>
      <c r="E2149">
        <f>IF(D2150&lt;&gt;cukier11[[#This Row],[miesiac]],1,0)</f>
        <v>0</v>
      </c>
      <c r="F2149">
        <f>IF(AND(H2148&lt;5000,cukier11[[#This Row],[czy_nastapiła_zmiana_mies]]=1),ROUNDUP((5000-H2148)/1000,0),0)</f>
        <v>0</v>
      </c>
      <c r="G2149">
        <f t="shared" si="33"/>
        <v>4118</v>
      </c>
      <c r="H2149">
        <f>cukier11[[#This Row],[stan_magazynu]]-cukier11[[#This Row],[sprzedany_cukier]]</f>
        <v>3636</v>
      </c>
      <c r="I2149" s="9">
        <f>cukier11[[#This Row],[stan_po_sprzedazy]]+cukier11[[#This Row],[ile_dokupic]]*1000</f>
        <v>3636</v>
      </c>
    </row>
    <row r="2150" spans="1:9" x14ac:dyDescent="0.25">
      <c r="A2150" s="1">
        <v>41988</v>
      </c>
      <c r="B2150" t="s">
        <v>8</v>
      </c>
      <c r="C2150">
        <v>43</v>
      </c>
      <c r="D2150">
        <f>MONTH(cukier11[[#This Row],[data]])</f>
        <v>12</v>
      </c>
      <c r="E2150">
        <f>IF(D2151&lt;&gt;cukier11[[#This Row],[miesiac]],1,0)</f>
        <v>0</v>
      </c>
      <c r="F2150">
        <f>IF(AND(H2149&lt;5000,cukier11[[#This Row],[czy_nastapiła_zmiana_mies]]=1),ROUNDUP((5000-H2149)/1000,0),0)</f>
        <v>0</v>
      </c>
      <c r="G2150">
        <f t="shared" si="33"/>
        <v>3636</v>
      </c>
      <c r="H2150">
        <f>cukier11[[#This Row],[stan_magazynu]]-cukier11[[#This Row],[sprzedany_cukier]]</f>
        <v>3593</v>
      </c>
      <c r="I2150" s="9">
        <f>cukier11[[#This Row],[stan_po_sprzedazy]]+cukier11[[#This Row],[ile_dokupic]]*1000</f>
        <v>3593</v>
      </c>
    </row>
    <row r="2151" spans="1:9" x14ac:dyDescent="0.25">
      <c r="A2151" s="1">
        <v>41989</v>
      </c>
      <c r="B2151" t="s">
        <v>22</v>
      </c>
      <c r="C2151">
        <v>367</v>
      </c>
      <c r="D2151">
        <f>MONTH(cukier11[[#This Row],[data]])</f>
        <v>12</v>
      </c>
      <c r="E2151">
        <f>IF(D2152&lt;&gt;cukier11[[#This Row],[miesiac]],1,0)</f>
        <v>0</v>
      </c>
      <c r="F2151">
        <f>IF(AND(H2150&lt;5000,cukier11[[#This Row],[czy_nastapiła_zmiana_mies]]=1),ROUNDUP((5000-H2150)/1000,0),0)</f>
        <v>0</v>
      </c>
      <c r="G2151">
        <f t="shared" si="33"/>
        <v>3593</v>
      </c>
      <c r="H2151">
        <f>cukier11[[#This Row],[stan_magazynu]]-cukier11[[#This Row],[sprzedany_cukier]]</f>
        <v>3226</v>
      </c>
      <c r="I2151" s="9">
        <f>cukier11[[#This Row],[stan_po_sprzedazy]]+cukier11[[#This Row],[ile_dokupic]]*1000</f>
        <v>3226</v>
      </c>
    </row>
    <row r="2152" spans="1:9" x14ac:dyDescent="0.25">
      <c r="A2152" s="1">
        <v>41989</v>
      </c>
      <c r="B2152" t="s">
        <v>14</v>
      </c>
      <c r="C2152">
        <v>274</v>
      </c>
      <c r="D2152">
        <f>MONTH(cukier11[[#This Row],[data]])</f>
        <v>12</v>
      </c>
      <c r="E2152">
        <f>IF(D2153&lt;&gt;cukier11[[#This Row],[miesiac]],1,0)</f>
        <v>0</v>
      </c>
      <c r="F2152">
        <f>IF(AND(H2151&lt;5000,cukier11[[#This Row],[czy_nastapiła_zmiana_mies]]=1),ROUNDUP((5000-H2151)/1000,0),0)</f>
        <v>0</v>
      </c>
      <c r="G2152">
        <f t="shared" si="33"/>
        <v>3226</v>
      </c>
      <c r="H2152">
        <f>cukier11[[#This Row],[stan_magazynu]]-cukier11[[#This Row],[sprzedany_cukier]]</f>
        <v>2952</v>
      </c>
      <c r="I2152" s="9">
        <f>cukier11[[#This Row],[stan_po_sprzedazy]]+cukier11[[#This Row],[ile_dokupic]]*1000</f>
        <v>2952</v>
      </c>
    </row>
    <row r="2153" spans="1:9" x14ac:dyDescent="0.25">
      <c r="A2153" s="1">
        <v>41991</v>
      </c>
      <c r="B2153" t="s">
        <v>17</v>
      </c>
      <c r="C2153">
        <v>283</v>
      </c>
      <c r="D2153">
        <f>MONTH(cukier11[[#This Row],[data]])</f>
        <v>12</v>
      </c>
      <c r="E2153">
        <f>IF(D2154&lt;&gt;cukier11[[#This Row],[miesiac]],1,0)</f>
        <v>0</v>
      </c>
      <c r="F2153">
        <f>IF(AND(H2152&lt;5000,cukier11[[#This Row],[czy_nastapiła_zmiana_mies]]=1),ROUNDUP((5000-H2152)/1000,0),0)</f>
        <v>0</v>
      </c>
      <c r="G2153">
        <f t="shared" si="33"/>
        <v>2952</v>
      </c>
      <c r="H2153">
        <f>cukier11[[#This Row],[stan_magazynu]]-cukier11[[#This Row],[sprzedany_cukier]]</f>
        <v>2669</v>
      </c>
      <c r="I2153" s="9">
        <f>cukier11[[#This Row],[stan_po_sprzedazy]]+cukier11[[#This Row],[ile_dokupic]]*1000</f>
        <v>2669</v>
      </c>
    </row>
    <row r="2154" spans="1:9" x14ac:dyDescent="0.25">
      <c r="A2154" s="1">
        <v>41992</v>
      </c>
      <c r="B2154" t="s">
        <v>55</v>
      </c>
      <c r="C2154">
        <v>98</v>
      </c>
      <c r="D2154">
        <f>MONTH(cukier11[[#This Row],[data]])</f>
        <v>12</v>
      </c>
      <c r="E2154">
        <f>IF(D2155&lt;&gt;cukier11[[#This Row],[miesiac]],1,0)</f>
        <v>0</v>
      </c>
      <c r="F2154">
        <f>IF(AND(H2153&lt;5000,cukier11[[#This Row],[czy_nastapiła_zmiana_mies]]=1),ROUNDUP((5000-H2153)/1000,0),0)</f>
        <v>0</v>
      </c>
      <c r="G2154">
        <f t="shared" si="33"/>
        <v>2669</v>
      </c>
      <c r="H2154">
        <f>cukier11[[#This Row],[stan_magazynu]]-cukier11[[#This Row],[sprzedany_cukier]]</f>
        <v>2571</v>
      </c>
      <c r="I2154" s="9">
        <f>cukier11[[#This Row],[stan_po_sprzedazy]]+cukier11[[#This Row],[ile_dokupic]]*1000</f>
        <v>2571</v>
      </c>
    </row>
    <row r="2155" spans="1:9" x14ac:dyDescent="0.25">
      <c r="A2155" s="1">
        <v>41993</v>
      </c>
      <c r="B2155" t="s">
        <v>22</v>
      </c>
      <c r="C2155">
        <v>485</v>
      </c>
      <c r="D2155">
        <f>MONTH(cukier11[[#This Row],[data]])</f>
        <v>12</v>
      </c>
      <c r="E2155">
        <f>IF(D2156&lt;&gt;cukier11[[#This Row],[miesiac]],1,0)</f>
        <v>0</v>
      </c>
      <c r="F2155">
        <f>IF(AND(H2154&lt;5000,cukier11[[#This Row],[czy_nastapiła_zmiana_mies]]=1),ROUNDUP((5000-H2154)/1000,0),0)</f>
        <v>0</v>
      </c>
      <c r="G2155">
        <f t="shared" si="33"/>
        <v>2571</v>
      </c>
      <c r="H2155">
        <f>cukier11[[#This Row],[stan_magazynu]]-cukier11[[#This Row],[sprzedany_cukier]]</f>
        <v>2086</v>
      </c>
      <c r="I2155" s="9">
        <f>cukier11[[#This Row],[stan_po_sprzedazy]]+cukier11[[#This Row],[ile_dokupic]]*1000</f>
        <v>2086</v>
      </c>
    </row>
    <row r="2156" spans="1:9" x14ac:dyDescent="0.25">
      <c r="A2156" s="1">
        <v>41994</v>
      </c>
      <c r="B2156" t="s">
        <v>167</v>
      </c>
      <c r="C2156">
        <v>3</v>
      </c>
      <c r="D2156">
        <f>MONTH(cukier11[[#This Row],[data]])</f>
        <v>12</v>
      </c>
      <c r="E2156">
        <f>IF(D2157&lt;&gt;cukier11[[#This Row],[miesiac]],1,0)</f>
        <v>0</v>
      </c>
      <c r="F2156">
        <f>IF(AND(H2155&lt;5000,cukier11[[#This Row],[czy_nastapiła_zmiana_mies]]=1),ROUNDUP((5000-H2155)/1000,0),0)</f>
        <v>0</v>
      </c>
      <c r="G2156">
        <f t="shared" si="33"/>
        <v>2086</v>
      </c>
      <c r="H2156">
        <f>cukier11[[#This Row],[stan_magazynu]]-cukier11[[#This Row],[sprzedany_cukier]]</f>
        <v>2083</v>
      </c>
      <c r="I2156" s="9">
        <f>cukier11[[#This Row],[stan_po_sprzedazy]]+cukier11[[#This Row],[ile_dokupic]]*1000</f>
        <v>2083</v>
      </c>
    </row>
    <row r="2157" spans="1:9" x14ac:dyDescent="0.25">
      <c r="A2157" s="1">
        <v>41996</v>
      </c>
      <c r="B2157" t="s">
        <v>45</v>
      </c>
      <c r="C2157">
        <v>331</v>
      </c>
      <c r="D2157">
        <f>MONTH(cukier11[[#This Row],[data]])</f>
        <v>12</v>
      </c>
      <c r="E2157">
        <f>IF(D2158&lt;&gt;cukier11[[#This Row],[miesiac]],1,0)</f>
        <v>0</v>
      </c>
      <c r="F2157">
        <f>IF(AND(H2156&lt;5000,cukier11[[#This Row],[czy_nastapiła_zmiana_mies]]=1),ROUNDUP((5000-H2156)/1000,0),0)</f>
        <v>0</v>
      </c>
      <c r="G2157">
        <f t="shared" si="33"/>
        <v>2083</v>
      </c>
      <c r="H2157">
        <f>cukier11[[#This Row],[stan_magazynu]]-cukier11[[#This Row],[sprzedany_cukier]]</f>
        <v>1752</v>
      </c>
      <c r="I2157" s="9">
        <f>cukier11[[#This Row],[stan_po_sprzedazy]]+cukier11[[#This Row],[ile_dokupic]]*1000</f>
        <v>1752</v>
      </c>
    </row>
    <row r="2158" spans="1:9" x14ac:dyDescent="0.25">
      <c r="A2158" s="1">
        <v>41997</v>
      </c>
      <c r="B2158" t="s">
        <v>8</v>
      </c>
      <c r="C2158">
        <v>150</v>
      </c>
      <c r="D2158">
        <f>MONTH(cukier11[[#This Row],[data]])</f>
        <v>12</v>
      </c>
      <c r="E2158">
        <f>IF(D2159&lt;&gt;cukier11[[#This Row],[miesiac]],1,0)</f>
        <v>0</v>
      </c>
      <c r="F2158">
        <f>IF(AND(H2157&lt;5000,cukier11[[#This Row],[czy_nastapiła_zmiana_mies]]=1),ROUNDUP((5000-H2157)/1000,0),0)</f>
        <v>0</v>
      </c>
      <c r="G2158">
        <f t="shared" si="33"/>
        <v>1752</v>
      </c>
      <c r="H2158">
        <f>cukier11[[#This Row],[stan_magazynu]]-cukier11[[#This Row],[sprzedany_cukier]]</f>
        <v>1602</v>
      </c>
      <c r="I2158" s="9">
        <f>cukier11[[#This Row],[stan_po_sprzedazy]]+cukier11[[#This Row],[ile_dokupic]]*1000</f>
        <v>1602</v>
      </c>
    </row>
    <row r="2159" spans="1:9" x14ac:dyDescent="0.25">
      <c r="A2159" s="1">
        <v>41998</v>
      </c>
      <c r="B2159" t="s">
        <v>7</v>
      </c>
      <c r="C2159">
        <v>463</v>
      </c>
      <c r="D2159">
        <f>MONTH(cukier11[[#This Row],[data]])</f>
        <v>12</v>
      </c>
      <c r="E2159">
        <f>IF(D2160&lt;&gt;cukier11[[#This Row],[miesiac]],1,0)</f>
        <v>0</v>
      </c>
      <c r="F2159">
        <f>IF(AND(H2158&lt;5000,cukier11[[#This Row],[czy_nastapiła_zmiana_mies]]=1),ROUNDUP((5000-H2158)/1000,0),0)</f>
        <v>0</v>
      </c>
      <c r="G2159">
        <f t="shared" si="33"/>
        <v>1602</v>
      </c>
      <c r="H2159">
        <f>cukier11[[#This Row],[stan_magazynu]]-cukier11[[#This Row],[sprzedany_cukier]]</f>
        <v>1139</v>
      </c>
      <c r="I2159" s="9">
        <f>cukier11[[#This Row],[stan_po_sprzedazy]]+cukier11[[#This Row],[ile_dokupic]]*1000</f>
        <v>1139</v>
      </c>
    </row>
    <row r="2160" spans="1:9" x14ac:dyDescent="0.25">
      <c r="A2160" s="1">
        <v>41999</v>
      </c>
      <c r="B2160" t="s">
        <v>159</v>
      </c>
      <c r="C2160">
        <v>8</v>
      </c>
      <c r="D2160">
        <f>MONTH(cukier11[[#This Row],[data]])</f>
        <v>12</v>
      </c>
      <c r="E2160">
        <f>IF(D2161&lt;&gt;cukier11[[#This Row],[miesiac]],1,0)</f>
        <v>0</v>
      </c>
      <c r="F2160">
        <f>IF(AND(H2159&lt;5000,cukier11[[#This Row],[czy_nastapiła_zmiana_mies]]=1),ROUNDUP((5000-H2159)/1000,0),0)</f>
        <v>0</v>
      </c>
      <c r="G2160">
        <f t="shared" si="33"/>
        <v>1139</v>
      </c>
      <c r="H2160">
        <f>cukier11[[#This Row],[stan_magazynu]]-cukier11[[#This Row],[sprzedany_cukier]]</f>
        <v>1131</v>
      </c>
      <c r="I2160" s="9">
        <f>cukier11[[#This Row],[stan_po_sprzedazy]]+cukier11[[#This Row],[ile_dokupic]]*1000</f>
        <v>1131</v>
      </c>
    </row>
    <row r="2161" spans="1:9" x14ac:dyDescent="0.25">
      <c r="A2161" s="1">
        <v>41999</v>
      </c>
      <c r="B2161" t="s">
        <v>12</v>
      </c>
      <c r="C2161">
        <v>178</v>
      </c>
      <c r="D2161">
        <f>MONTH(cukier11[[#This Row],[data]])</f>
        <v>12</v>
      </c>
      <c r="E2161">
        <f>IF(D2162&lt;&gt;cukier11[[#This Row],[miesiac]],1,0)</f>
        <v>0</v>
      </c>
      <c r="F2161">
        <f>IF(AND(H2160&lt;5000,cukier11[[#This Row],[czy_nastapiła_zmiana_mies]]=1),ROUNDUP((5000-H2160)/1000,0),0)</f>
        <v>0</v>
      </c>
      <c r="G2161">
        <f t="shared" si="33"/>
        <v>1131</v>
      </c>
      <c r="H2161">
        <f>cukier11[[#This Row],[stan_magazynu]]-cukier11[[#This Row],[sprzedany_cukier]]</f>
        <v>953</v>
      </c>
      <c r="I2161" s="9">
        <f>cukier11[[#This Row],[stan_po_sprzedazy]]+cukier11[[#This Row],[ile_dokupic]]*1000</f>
        <v>953</v>
      </c>
    </row>
    <row r="2162" spans="1:9" x14ac:dyDescent="0.25">
      <c r="A2162" s="1">
        <v>42001</v>
      </c>
      <c r="B2162" t="s">
        <v>19</v>
      </c>
      <c r="C2162">
        <v>166</v>
      </c>
      <c r="D2162">
        <f>MONTH(cukier11[[#This Row],[data]])</f>
        <v>12</v>
      </c>
      <c r="E2162">
        <f>IF(D2163&lt;&gt;cukier11[[#This Row],[miesiac]],1,0)</f>
        <v>0</v>
      </c>
      <c r="F2162">
        <f>IF(AND(H2161&lt;5000,cukier11[[#This Row],[czy_nastapiła_zmiana_mies]]=1),ROUNDUP((5000-H2161)/1000,0),0)</f>
        <v>0</v>
      </c>
      <c r="G2162">
        <f t="shared" si="33"/>
        <v>953</v>
      </c>
      <c r="H2162">
        <f>cukier11[[#This Row],[stan_magazynu]]-cukier11[[#This Row],[sprzedany_cukier]]</f>
        <v>787</v>
      </c>
      <c r="I2162" s="9">
        <f>cukier11[[#This Row],[stan_po_sprzedazy]]+cukier11[[#This Row],[ile_dokupic]]*1000</f>
        <v>787</v>
      </c>
    </row>
    <row r="2163" spans="1:9" x14ac:dyDescent="0.25">
      <c r="A2163" s="1">
        <v>42002</v>
      </c>
      <c r="B2163" t="s">
        <v>232</v>
      </c>
      <c r="C2163">
        <v>14</v>
      </c>
      <c r="D2163">
        <f>MONTH(cukier11[[#This Row],[data]])</f>
        <v>12</v>
      </c>
      <c r="E2163">
        <f>IF(D2164&lt;&gt;cukier11[[#This Row],[miesiac]],1,0)</f>
        <v>1</v>
      </c>
      <c r="F2163">
        <f>IF(AND(H2162&lt;5000,cukier11[[#This Row],[czy_nastapiła_zmiana_mies]]=1),ROUNDUP((5000-H2162)/1000,0),0)</f>
        <v>5</v>
      </c>
      <c r="G2163">
        <f t="shared" si="33"/>
        <v>787</v>
      </c>
      <c r="H2163">
        <f>cukier11[[#This Row],[stan_magazynu]]-cukier11[[#This Row],[sprzedany_cukier]]</f>
        <v>773</v>
      </c>
      <c r="I2163" s="9">
        <f>cukier11[[#This Row],[stan_po_sprzedazy]]+cukier11[[#This Row],[ile_dokupic]]*1000</f>
        <v>5773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5BE6-304A-4A87-9E91-A6C516ED8CDB}">
  <dimension ref="A1:M2163"/>
  <sheetViews>
    <sheetView workbookViewId="0">
      <selection activeCell="L2" sqref="L2"/>
    </sheetView>
  </sheetViews>
  <sheetFormatPr defaultRowHeight="15" x14ac:dyDescent="0.25"/>
  <cols>
    <col min="1" max="1" width="11.140625" bestFit="1" customWidth="1"/>
    <col min="2" max="2" width="13.28515625" bestFit="1" customWidth="1"/>
    <col min="3" max="3" width="18.85546875" bestFit="1" customWidth="1"/>
    <col min="15" max="15" width="10.140625" bestFit="1" customWidth="1"/>
  </cols>
  <sheetData>
    <row r="1" spans="1:13" x14ac:dyDescent="0.25">
      <c r="A1" t="s">
        <v>240</v>
      </c>
      <c r="B1" t="s">
        <v>241</v>
      </c>
      <c r="C1" t="s">
        <v>242</v>
      </c>
      <c r="L1" t="s">
        <v>244</v>
      </c>
      <c r="M1" t="s">
        <v>243</v>
      </c>
    </row>
    <row r="2" spans="1:13" x14ac:dyDescent="0.25">
      <c r="A2" s="1">
        <v>38353</v>
      </c>
      <c r="B2" t="s">
        <v>0</v>
      </c>
      <c r="C2">
        <v>10</v>
      </c>
      <c r="L2" s="4">
        <v>2005</v>
      </c>
      <c r="M2" s="2">
        <v>2</v>
      </c>
    </row>
    <row r="3" spans="1:13" x14ac:dyDescent="0.25">
      <c r="A3" s="1">
        <v>38356</v>
      </c>
      <c r="B3" t="s">
        <v>1</v>
      </c>
      <c r="C3">
        <v>2</v>
      </c>
      <c r="L3" s="5">
        <v>2006</v>
      </c>
      <c r="M3" s="3">
        <v>2.0499999999999998</v>
      </c>
    </row>
    <row r="4" spans="1:13" x14ac:dyDescent="0.25">
      <c r="A4" s="1">
        <v>38357</v>
      </c>
      <c r="B4" t="s">
        <v>2</v>
      </c>
      <c r="C4">
        <v>2</v>
      </c>
      <c r="L4" s="4">
        <v>2007</v>
      </c>
      <c r="M4" s="2">
        <v>2.09</v>
      </c>
    </row>
    <row r="5" spans="1:13" x14ac:dyDescent="0.25">
      <c r="A5" s="1">
        <v>38362</v>
      </c>
      <c r="B5" t="s">
        <v>3</v>
      </c>
      <c r="C5">
        <v>5</v>
      </c>
      <c r="L5" s="5">
        <v>2008</v>
      </c>
      <c r="M5" s="3">
        <v>2.15</v>
      </c>
    </row>
    <row r="6" spans="1:13" x14ac:dyDescent="0.25">
      <c r="A6" s="1">
        <v>38363</v>
      </c>
      <c r="B6" t="s">
        <v>4</v>
      </c>
      <c r="C6">
        <v>14</v>
      </c>
      <c r="L6" s="4">
        <v>2009</v>
      </c>
      <c r="M6" s="2">
        <v>2.13</v>
      </c>
    </row>
    <row r="7" spans="1:13" x14ac:dyDescent="0.25">
      <c r="A7" s="1">
        <v>38365</v>
      </c>
      <c r="B7" t="s">
        <v>5</v>
      </c>
      <c r="C7">
        <v>436</v>
      </c>
      <c r="L7" s="5">
        <v>2010</v>
      </c>
      <c r="M7" s="3">
        <v>2.1</v>
      </c>
    </row>
    <row r="8" spans="1:13" x14ac:dyDescent="0.25">
      <c r="A8" s="1">
        <v>38366</v>
      </c>
      <c r="B8" t="s">
        <v>6</v>
      </c>
      <c r="C8">
        <v>95</v>
      </c>
      <c r="L8" s="4">
        <v>2011</v>
      </c>
      <c r="M8" s="2">
        <v>2.2000000000000002</v>
      </c>
    </row>
    <row r="9" spans="1:13" x14ac:dyDescent="0.25">
      <c r="A9" s="1">
        <v>38370</v>
      </c>
      <c r="B9" t="s">
        <v>7</v>
      </c>
      <c r="C9">
        <v>350</v>
      </c>
      <c r="L9" s="5">
        <v>2012</v>
      </c>
      <c r="M9" s="3">
        <v>2.25</v>
      </c>
    </row>
    <row r="10" spans="1:13" x14ac:dyDescent="0.25">
      <c r="A10" s="1">
        <v>38371</v>
      </c>
      <c r="B10" t="s">
        <v>7</v>
      </c>
      <c r="C10">
        <v>231</v>
      </c>
      <c r="L10" s="4">
        <v>2013</v>
      </c>
      <c r="M10" s="2">
        <v>2.2200000000000002</v>
      </c>
    </row>
    <row r="11" spans="1:13" x14ac:dyDescent="0.25">
      <c r="A11" s="1">
        <v>38372</v>
      </c>
      <c r="B11" t="s">
        <v>8</v>
      </c>
      <c r="C11">
        <v>38</v>
      </c>
      <c r="L11" s="5">
        <v>2014</v>
      </c>
      <c r="M11" s="3">
        <v>2.23</v>
      </c>
    </row>
    <row r="12" spans="1:13" x14ac:dyDescent="0.25">
      <c r="A12" s="1">
        <v>38374</v>
      </c>
      <c r="B12" t="s">
        <v>9</v>
      </c>
      <c r="C12">
        <v>440</v>
      </c>
    </row>
    <row r="13" spans="1:13" x14ac:dyDescent="0.25">
      <c r="A13" s="1">
        <v>38376</v>
      </c>
      <c r="B13" t="s">
        <v>10</v>
      </c>
      <c r="C13">
        <v>120</v>
      </c>
    </row>
    <row r="14" spans="1:13" x14ac:dyDescent="0.25">
      <c r="A14" s="1">
        <v>38377</v>
      </c>
      <c r="B14" t="s">
        <v>11</v>
      </c>
      <c r="C14">
        <v>11</v>
      </c>
    </row>
    <row r="15" spans="1:13" x14ac:dyDescent="0.25">
      <c r="A15" s="1">
        <v>38378</v>
      </c>
      <c r="B15" t="s">
        <v>12</v>
      </c>
      <c r="C15">
        <v>36</v>
      </c>
    </row>
    <row r="16" spans="1:13" x14ac:dyDescent="0.25">
      <c r="A16" s="1">
        <v>38379</v>
      </c>
      <c r="B16" t="s">
        <v>10</v>
      </c>
      <c r="C16">
        <v>51</v>
      </c>
    </row>
    <row r="17" spans="1:3" x14ac:dyDescent="0.25">
      <c r="A17" s="1">
        <v>38385</v>
      </c>
      <c r="B17" t="s">
        <v>7</v>
      </c>
      <c r="C17">
        <v>465</v>
      </c>
    </row>
    <row r="18" spans="1:3" x14ac:dyDescent="0.25">
      <c r="A18" s="1">
        <v>38386</v>
      </c>
      <c r="B18" t="s">
        <v>13</v>
      </c>
      <c r="C18">
        <v>8</v>
      </c>
    </row>
    <row r="19" spans="1:3" x14ac:dyDescent="0.25">
      <c r="A19" s="1">
        <v>38388</v>
      </c>
      <c r="B19" t="s">
        <v>14</v>
      </c>
      <c r="C19">
        <v>287</v>
      </c>
    </row>
    <row r="20" spans="1:3" x14ac:dyDescent="0.25">
      <c r="A20" s="1">
        <v>38388</v>
      </c>
      <c r="B20" t="s">
        <v>15</v>
      </c>
      <c r="C20">
        <v>12</v>
      </c>
    </row>
    <row r="21" spans="1:3" x14ac:dyDescent="0.25">
      <c r="A21" s="1">
        <v>38393</v>
      </c>
      <c r="B21" t="s">
        <v>16</v>
      </c>
      <c r="C21">
        <v>6</v>
      </c>
    </row>
    <row r="22" spans="1:3" x14ac:dyDescent="0.25">
      <c r="A22" s="1">
        <v>38397</v>
      </c>
      <c r="B22" t="s">
        <v>17</v>
      </c>
      <c r="C22">
        <v>321</v>
      </c>
    </row>
    <row r="23" spans="1:3" x14ac:dyDescent="0.25">
      <c r="A23" s="1">
        <v>38401</v>
      </c>
      <c r="B23" t="s">
        <v>18</v>
      </c>
      <c r="C23">
        <v>99</v>
      </c>
    </row>
    <row r="24" spans="1:3" x14ac:dyDescent="0.25">
      <c r="A24" s="1">
        <v>38401</v>
      </c>
      <c r="B24" t="s">
        <v>19</v>
      </c>
      <c r="C24">
        <v>91</v>
      </c>
    </row>
    <row r="25" spans="1:3" x14ac:dyDescent="0.25">
      <c r="A25" s="1">
        <v>38407</v>
      </c>
      <c r="B25" t="s">
        <v>14</v>
      </c>
      <c r="C25">
        <v>118</v>
      </c>
    </row>
    <row r="26" spans="1:3" x14ac:dyDescent="0.25">
      <c r="A26" s="1">
        <v>38408</v>
      </c>
      <c r="B26" t="s">
        <v>20</v>
      </c>
      <c r="C26">
        <v>58</v>
      </c>
    </row>
    <row r="27" spans="1:3" x14ac:dyDescent="0.25">
      <c r="A27" s="1">
        <v>38409</v>
      </c>
      <c r="B27" t="s">
        <v>21</v>
      </c>
      <c r="C27">
        <v>16</v>
      </c>
    </row>
    <row r="28" spans="1:3" x14ac:dyDescent="0.25">
      <c r="A28" s="1">
        <v>38409</v>
      </c>
      <c r="B28" t="s">
        <v>22</v>
      </c>
      <c r="C28">
        <v>348</v>
      </c>
    </row>
    <row r="29" spans="1:3" x14ac:dyDescent="0.25">
      <c r="A29" s="1">
        <v>38410</v>
      </c>
      <c r="B29" t="s">
        <v>5</v>
      </c>
      <c r="C29">
        <v>336</v>
      </c>
    </row>
    <row r="30" spans="1:3" x14ac:dyDescent="0.25">
      <c r="A30" s="1">
        <v>38410</v>
      </c>
      <c r="B30" t="s">
        <v>22</v>
      </c>
      <c r="C30">
        <v>435</v>
      </c>
    </row>
    <row r="31" spans="1:3" x14ac:dyDescent="0.25">
      <c r="A31" s="1">
        <v>38410</v>
      </c>
      <c r="B31" t="s">
        <v>23</v>
      </c>
      <c r="C31">
        <v>110</v>
      </c>
    </row>
    <row r="32" spans="1:3" x14ac:dyDescent="0.25">
      <c r="A32" s="1">
        <v>38412</v>
      </c>
      <c r="B32" t="s">
        <v>24</v>
      </c>
      <c r="C32">
        <v>204</v>
      </c>
    </row>
    <row r="33" spans="1:3" x14ac:dyDescent="0.25">
      <c r="A33" s="1">
        <v>38412</v>
      </c>
      <c r="B33" t="s">
        <v>18</v>
      </c>
      <c r="C33">
        <v>20</v>
      </c>
    </row>
    <row r="34" spans="1:3" x14ac:dyDescent="0.25">
      <c r="A34" s="1">
        <v>38414</v>
      </c>
      <c r="B34" t="s">
        <v>25</v>
      </c>
      <c r="C34">
        <v>102</v>
      </c>
    </row>
    <row r="35" spans="1:3" x14ac:dyDescent="0.25">
      <c r="A35" s="1">
        <v>38416</v>
      </c>
      <c r="B35" t="s">
        <v>26</v>
      </c>
      <c r="C35">
        <v>48</v>
      </c>
    </row>
    <row r="36" spans="1:3" x14ac:dyDescent="0.25">
      <c r="A36" s="1">
        <v>38418</v>
      </c>
      <c r="B36" t="s">
        <v>22</v>
      </c>
      <c r="C36">
        <v>329</v>
      </c>
    </row>
    <row r="37" spans="1:3" x14ac:dyDescent="0.25">
      <c r="A37" s="1">
        <v>38420</v>
      </c>
      <c r="B37" t="s">
        <v>27</v>
      </c>
      <c r="C37">
        <v>16</v>
      </c>
    </row>
    <row r="38" spans="1:3" x14ac:dyDescent="0.25">
      <c r="A38" s="1">
        <v>38421</v>
      </c>
      <c r="B38" t="s">
        <v>28</v>
      </c>
      <c r="C38">
        <v>102</v>
      </c>
    </row>
    <row r="39" spans="1:3" x14ac:dyDescent="0.25">
      <c r="A39" s="1">
        <v>38421</v>
      </c>
      <c r="B39" t="s">
        <v>14</v>
      </c>
      <c r="C39">
        <v>309</v>
      </c>
    </row>
    <row r="40" spans="1:3" x14ac:dyDescent="0.25">
      <c r="A40" s="1">
        <v>38423</v>
      </c>
      <c r="B40" t="s">
        <v>5</v>
      </c>
      <c r="C40">
        <v>331</v>
      </c>
    </row>
    <row r="41" spans="1:3" x14ac:dyDescent="0.25">
      <c r="A41" s="1">
        <v>38428</v>
      </c>
      <c r="B41" t="s">
        <v>29</v>
      </c>
      <c r="C41">
        <v>3</v>
      </c>
    </row>
    <row r="42" spans="1:3" x14ac:dyDescent="0.25">
      <c r="A42" s="1">
        <v>38429</v>
      </c>
      <c r="B42" t="s">
        <v>30</v>
      </c>
      <c r="C42">
        <v>76</v>
      </c>
    </row>
    <row r="43" spans="1:3" x14ac:dyDescent="0.25">
      <c r="A43" s="1">
        <v>38429</v>
      </c>
      <c r="B43" t="s">
        <v>31</v>
      </c>
      <c r="C43">
        <v>196</v>
      </c>
    </row>
    <row r="44" spans="1:3" x14ac:dyDescent="0.25">
      <c r="A44" s="1">
        <v>38431</v>
      </c>
      <c r="B44" t="s">
        <v>18</v>
      </c>
      <c r="C44">
        <v>54</v>
      </c>
    </row>
    <row r="45" spans="1:3" x14ac:dyDescent="0.25">
      <c r="A45" s="1">
        <v>38435</v>
      </c>
      <c r="B45" t="s">
        <v>9</v>
      </c>
      <c r="C45">
        <v>277</v>
      </c>
    </row>
    <row r="46" spans="1:3" x14ac:dyDescent="0.25">
      <c r="A46" s="1">
        <v>38437</v>
      </c>
      <c r="B46" t="s">
        <v>32</v>
      </c>
      <c r="C46">
        <v>7</v>
      </c>
    </row>
    <row r="47" spans="1:3" x14ac:dyDescent="0.25">
      <c r="A47" s="1">
        <v>38439</v>
      </c>
      <c r="B47" t="s">
        <v>33</v>
      </c>
      <c r="C47">
        <v>12</v>
      </c>
    </row>
    <row r="48" spans="1:3" x14ac:dyDescent="0.25">
      <c r="A48" s="1">
        <v>38440</v>
      </c>
      <c r="B48" t="s">
        <v>34</v>
      </c>
      <c r="C48">
        <v>7</v>
      </c>
    </row>
    <row r="49" spans="1:3" x14ac:dyDescent="0.25">
      <c r="A49" s="1">
        <v>38442</v>
      </c>
      <c r="B49" t="s">
        <v>7</v>
      </c>
      <c r="C49">
        <v>416</v>
      </c>
    </row>
    <row r="50" spans="1:3" x14ac:dyDescent="0.25">
      <c r="A50" s="1">
        <v>38445</v>
      </c>
      <c r="B50" t="s">
        <v>7</v>
      </c>
      <c r="C50">
        <v>263</v>
      </c>
    </row>
    <row r="51" spans="1:3" x14ac:dyDescent="0.25">
      <c r="A51" s="1">
        <v>38448</v>
      </c>
      <c r="B51" t="s">
        <v>1</v>
      </c>
      <c r="C51">
        <v>15</v>
      </c>
    </row>
    <row r="52" spans="1:3" x14ac:dyDescent="0.25">
      <c r="A52" s="1">
        <v>38452</v>
      </c>
      <c r="B52" t="s">
        <v>25</v>
      </c>
      <c r="C52">
        <v>194</v>
      </c>
    </row>
    <row r="53" spans="1:3" x14ac:dyDescent="0.25">
      <c r="A53" s="1">
        <v>38453</v>
      </c>
      <c r="B53" t="s">
        <v>35</v>
      </c>
      <c r="C53">
        <v>120</v>
      </c>
    </row>
    <row r="54" spans="1:3" x14ac:dyDescent="0.25">
      <c r="A54" s="1">
        <v>38454</v>
      </c>
      <c r="B54" t="s">
        <v>7</v>
      </c>
      <c r="C54">
        <v>175</v>
      </c>
    </row>
    <row r="55" spans="1:3" x14ac:dyDescent="0.25">
      <c r="A55" s="1">
        <v>38456</v>
      </c>
      <c r="B55" t="s">
        <v>36</v>
      </c>
      <c r="C55">
        <v>12</v>
      </c>
    </row>
    <row r="56" spans="1:3" x14ac:dyDescent="0.25">
      <c r="A56" s="1">
        <v>38457</v>
      </c>
      <c r="B56" t="s">
        <v>37</v>
      </c>
      <c r="C56">
        <v>174</v>
      </c>
    </row>
    <row r="57" spans="1:3" x14ac:dyDescent="0.25">
      <c r="A57" s="1">
        <v>38458</v>
      </c>
      <c r="B57" t="s">
        <v>38</v>
      </c>
      <c r="C57">
        <v>3</v>
      </c>
    </row>
    <row r="58" spans="1:3" x14ac:dyDescent="0.25">
      <c r="A58" s="1">
        <v>38459</v>
      </c>
      <c r="B58" t="s">
        <v>39</v>
      </c>
      <c r="C58">
        <v>149</v>
      </c>
    </row>
    <row r="59" spans="1:3" x14ac:dyDescent="0.25">
      <c r="A59" s="1">
        <v>38460</v>
      </c>
      <c r="B59" t="s">
        <v>17</v>
      </c>
      <c r="C59">
        <v>492</v>
      </c>
    </row>
    <row r="60" spans="1:3" x14ac:dyDescent="0.25">
      <c r="A60" s="1">
        <v>38460</v>
      </c>
      <c r="B60" t="s">
        <v>40</v>
      </c>
      <c r="C60">
        <v>2</v>
      </c>
    </row>
    <row r="61" spans="1:3" x14ac:dyDescent="0.25">
      <c r="A61" s="1">
        <v>38461</v>
      </c>
      <c r="B61" t="s">
        <v>14</v>
      </c>
      <c r="C61">
        <v>298</v>
      </c>
    </row>
    <row r="62" spans="1:3" x14ac:dyDescent="0.25">
      <c r="A62" s="1">
        <v>38472</v>
      </c>
      <c r="B62" t="s">
        <v>17</v>
      </c>
      <c r="C62">
        <v>201</v>
      </c>
    </row>
    <row r="63" spans="1:3" x14ac:dyDescent="0.25">
      <c r="A63" s="1">
        <v>38473</v>
      </c>
      <c r="B63" t="s">
        <v>41</v>
      </c>
      <c r="C63">
        <v>15</v>
      </c>
    </row>
    <row r="64" spans="1:3" x14ac:dyDescent="0.25">
      <c r="A64" s="1">
        <v>38473</v>
      </c>
      <c r="B64" t="s">
        <v>14</v>
      </c>
      <c r="C64">
        <v>319</v>
      </c>
    </row>
    <row r="65" spans="1:3" x14ac:dyDescent="0.25">
      <c r="A65" s="1">
        <v>38474</v>
      </c>
      <c r="B65" t="s">
        <v>42</v>
      </c>
      <c r="C65">
        <v>9</v>
      </c>
    </row>
    <row r="66" spans="1:3" x14ac:dyDescent="0.25">
      <c r="A66" s="1">
        <v>38476</v>
      </c>
      <c r="B66" t="s">
        <v>43</v>
      </c>
      <c r="C66">
        <v>15</v>
      </c>
    </row>
    <row r="67" spans="1:3" x14ac:dyDescent="0.25">
      <c r="A67" s="1">
        <v>38479</v>
      </c>
      <c r="B67" t="s">
        <v>22</v>
      </c>
      <c r="C67">
        <v>444</v>
      </c>
    </row>
    <row r="68" spans="1:3" x14ac:dyDescent="0.25">
      <c r="A68" s="1">
        <v>38479</v>
      </c>
      <c r="B68" t="s">
        <v>44</v>
      </c>
      <c r="C68">
        <v>13</v>
      </c>
    </row>
    <row r="69" spans="1:3" x14ac:dyDescent="0.25">
      <c r="A69" s="1">
        <v>38481</v>
      </c>
      <c r="B69" t="s">
        <v>45</v>
      </c>
      <c r="C69">
        <v>366</v>
      </c>
    </row>
    <row r="70" spans="1:3" x14ac:dyDescent="0.25">
      <c r="A70" s="1">
        <v>38492</v>
      </c>
      <c r="B70" t="s">
        <v>9</v>
      </c>
      <c r="C70">
        <v>259</v>
      </c>
    </row>
    <row r="71" spans="1:3" x14ac:dyDescent="0.25">
      <c r="A71" s="1">
        <v>38493</v>
      </c>
      <c r="B71" t="s">
        <v>46</v>
      </c>
      <c r="C71">
        <v>16</v>
      </c>
    </row>
    <row r="72" spans="1:3" x14ac:dyDescent="0.25">
      <c r="A72" s="1">
        <v>38496</v>
      </c>
      <c r="B72" t="s">
        <v>28</v>
      </c>
      <c r="C72">
        <v>49</v>
      </c>
    </row>
    <row r="73" spans="1:3" x14ac:dyDescent="0.25">
      <c r="A73" s="1">
        <v>38497</v>
      </c>
      <c r="B73" t="s">
        <v>47</v>
      </c>
      <c r="C73">
        <v>3</v>
      </c>
    </row>
    <row r="74" spans="1:3" x14ac:dyDescent="0.25">
      <c r="A74" s="1">
        <v>38497</v>
      </c>
      <c r="B74" t="s">
        <v>22</v>
      </c>
      <c r="C74">
        <v>251</v>
      </c>
    </row>
    <row r="75" spans="1:3" x14ac:dyDescent="0.25">
      <c r="A75" s="1">
        <v>38499</v>
      </c>
      <c r="B75" t="s">
        <v>30</v>
      </c>
      <c r="C75">
        <v>179</v>
      </c>
    </row>
    <row r="76" spans="1:3" x14ac:dyDescent="0.25">
      <c r="A76" s="1">
        <v>38501</v>
      </c>
      <c r="B76" t="s">
        <v>10</v>
      </c>
      <c r="C76">
        <v>116</v>
      </c>
    </row>
    <row r="77" spans="1:3" x14ac:dyDescent="0.25">
      <c r="A77" s="1">
        <v>38501</v>
      </c>
      <c r="B77" t="s">
        <v>48</v>
      </c>
      <c r="C77">
        <v>13</v>
      </c>
    </row>
    <row r="78" spans="1:3" x14ac:dyDescent="0.25">
      <c r="A78" s="1">
        <v>38503</v>
      </c>
      <c r="B78" t="s">
        <v>49</v>
      </c>
      <c r="C78">
        <v>3</v>
      </c>
    </row>
    <row r="79" spans="1:3" x14ac:dyDescent="0.25">
      <c r="A79" s="1">
        <v>38503</v>
      </c>
      <c r="B79" t="s">
        <v>50</v>
      </c>
      <c r="C79">
        <v>253</v>
      </c>
    </row>
    <row r="80" spans="1:3" x14ac:dyDescent="0.25">
      <c r="A80" s="1">
        <v>38510</v>
      </c>
      <c r="B80" t="s">
        <v>23</v>
      </c>
      <c r="C80">
        <v>83</v>
      </c>
    </row>
    <row r="81" spans="1:3" x14ac:dyDescent="0.25">
      <c r="A81" s="1">
        <v>38512</v>
      </c>
      <c r="B81" t="s">
        <v>18</v>
      </c>
      <c r="C81">
        <v>177</v>
      </c>
    </row>
    <row r="82" spans="1:3" x14ac:dyDescent="0.25">
      <c r="A82" s="1">
        <v>38512</v>
      </c>
      <c r="B82" t="s">
        <v>51</v>
      </c>
      <c r="C82">
        <v>7</v>
      </c>
    </row>
    <row r="83" spans="1:3" x14ac:dyDescent="0.25">
      <c r="A83" s="1">
        <v>38513</v>
      </c>
      <c r="B83" t="s">
        <v>52</v>
      </c>
      <c r="C83">
        <v>46</v>
      </c>
    </row>
    <row r="84" spans="1:3" x14ac:dyDescent="0.25">
      <c r="A84" s="1">
        <v>38514</v>
      </c>
      <c r="B84" t="s">
        <v>53</v>
      </c>
      <c r="C84">
        <v>2</v>
      </c>
    </row>
    <row r="85" spans="1:3" x14ac:dyDescent="0.25">
      <c r="A85" s="1">
        <v>38515</v>
      </c>
      <c r="B85" t="s">
        <v>3</v>
      </c>
      <c r="C85">
        <v>9</v>
      </c>
    </row>
    <row r="86" spans="1:3" x14ac:dyDescent="0.25">
      <c r="A86" s="1">
        <v>38517</v>
      </c>
      <c r="B86" t="s">
        <v>54</v>
      </c>
      <c r="C86">
        <v>3</v>
      </c>
    </row>
    <row r="87" spans="1:3" x14ac:dyDescent="0.25">
      <c r="A87" s="1">
        <v>38517</v>
      </c>
      <c r="B87" t="s">
        <v>55</v>
      </c>
      <c r="C87">
        <v>67</v>
      </c>
    </row>
    <row r="88" spans="1:3" x14ac:dyDescent="0.25">
      <c r="A88" s="1">
        <v>38517</v>
      </c>
      <c r="B88" t="s">
        <v>45</v>
      </c>
      <c r="C88">
        <v>425</v>
      </c>
    </row>
    <row r="89" spans="1:3" x14ac:dyDescent="0.25">
      <c r="A89" s="1">
        <v>38518</v>
      </c>
      <c r="B89" t="s">
        <v>5</v>
      </c>
      <c r="C89">
        <v>453</v>
      </c>
    </row>
    <row r="90" spans="1:3" x14ac:dyDescent="0.25">
      <c r="A90" s="1">
        <v>38523</v>
      </c>
      <c r="B90" t="s">
        <v>22</v>
      </c>
      <c r="C90">
        <v>212</v>
      </c>
    </row>
    <row r="91" spans="1:3" x14ac:dyDescent="0.25">
      <c r="A91" s="1">
        <v>38525</v>
      </c>
      <c r="B91" t="s">
        <v>56</v>
      </c>
      <c r="C91">
        <v>19</v>
      </c>
    </row>
    <row r="92" spans="1:3" x14ac:dyDescent="0.25">
      <c r="A92" s="1">
        <v>38526</v>
      </c>
      <c r="B92" t="s">
        <v>6</v>
      </c>
      <c r="C92">
        <v>81</v>
      </c>
    </row>
    <row r="93" spans="1:3" x14ac:dyDescent="0.25">
      <c r="A93" s="1">
        <v>38528</v>
      </c>
      <c r="B93" t="s">
        <v>57</v>
      </c>
      <c r="C93">
        <v>7</v>
      </c>
    </row>
    <row r="94" spans="1:3" x14ac:dyDescent="0.25">
      <c r="A94" s="1">
        <v>38529</v>
      </c>
      <c r="B94" t="s">
        <v>58</v>
      </c>
      <c r="C94">
        <v>179</v>
      </c>
    </row>
    <row r="95" spans="1:3" x14ac:dyDescent="0.25">
      <c r="A95" s="1">
        <v>38531</v>
      </c>
      <c r="B95" t="s">
        <v>14</v>
      </c>
      <c r="C95">
        <v>222</v>
      </c>
    </row>
    <row r="96" spans="1:3" x14ac:dyDescent="0.25">
      <c r="A96" s="1">
        <v>38532</v>
      </c>
      <c r="B96" t="s">
        <v>59</v>
      </c>
      <c r="C96">
        <v>14</v>
      </c>
    </row>
    <row r="97" spans="1:3" x14ac:dyDescent="0.25">
      <c r="A97" s="1">
        <v>38534</v>
      </c>
      <c r="B97" t="s">
        <v>60</v>
      </c>
      <c r="C97">
        <v>15</v>
      </c>
    </row>
    <row r="98" spans="1:3" x14ac:dyDescent="0.25">
      <c r="A98" s="1">
        <v>38536</v>
      </c>
      <c r="B98" t="s">
        <v>61</v>
      </c>
      <c r="C98">
        <v>97</v>
      </c>
    </row>
    <row r="99" spans="1:3" x14ac:dyDescent="0.25">
      <c r="A99" s="1">
        <v>38542</v>
      </c>
      <c r="B99" t="s">
        <v>20</v>
      </c>
      <c r="C99">
        <v>142</v>
      </c>
    </row>
    <row r="100" spans="1:3" x14ac:dyDescent="0.25">
      <c r="A100" s="1">
        <v>38546</v>
      </c>
      <c r="B100" t="s">
        <v>45</v>
      </c>
      <c r="C100">
        <v>214</v>
      </c>
    </row>
    <row r="101" spans="1:3" x14ac:dyDescent="0.25">
      <c r="A101" s="1">
        <v>38546</v>
      </c>
      <c r="B101" t="s">
        <v>14</v>
      </c>
      <c r="C101">
        <v>408</v>
      </c>
    </row>
    <row r="102" spans="1:3" x14ac:dyDescent="0.25">
      <c r="A102" s="1">
        <v>38547</v>
      </c>
      <c r="B102" t="s">
        <v>12</v>
      </c>
      <c r="C102">
        <v>144</v>
      </c>
    </row>
    <row r="103" spans="1:3" x14ac:dyDescent="0.25">
      <c r="A103" s="1">
        <v>38547</v>
      </c>
      <c r="B103" t="s">
        <v>6</v>
      </c>
      <c r="C103">
        <v>173</v>
      </c>
    </row>
    <row r="104" spans="1:3" x14ac:dyDescent="0.25">
      <c r="A104" s="1">
        <v>38549</v>
      </c>
      <c r="B104" t="s">
        <v>62</v>
      </c>
      <c r="C104">
        <v>15</v>
      </c>
    </row>
    <row r="105" spans="1:3" x14ac:dyDescent="0.25">
      <c r="A105" s="1">
        <v>38551</v>
      </c>
      <c r="B105" t="s">
        <v>50</v>
      </c>
      <c r="C105">
        <v>433</v>
      </c>
    </row>
    <row r="106" spans="1:3" x14ac:dyDescent="0.25">
      <c r="A106" s="1">
        <v>38555</v>
      </c>
      <c r="B106" t="s">
        <v>63</v>
      </c>
      <c r="C106">
        <v>137</v>
      </c>
    </row>
    <row r="107" spans="1:3" x14ac:dyDescent="0.25">
      <c r="A107" s="1">
        <v>38558</v>
      </c>
      <c r="B107" t="s">
        <v>50</v>
      </c>
      <c r="C107">
        <v>118</v>
      </c>
    </row>
    <row r="108" spans="1:3" x14ac:dyDescent="0.25">
      <c r="A108" s="1">
        <v>38558</v>
      </c>
      <c r="B108" t="s">
        <v>9</v>
      </c>
      <c r="C108">
        <v>158</v>
      </c>
    </row>
    <row r="109" spans="1:3" x14ac:dyDescent="0.25">
      <c r="A109" s="1">
        <v>38559</v>
      </c>
      <c r="B109" t="s">
        <v>44</v>
      </c>
      <c r="C109">
        <v>13</v>
      </c>
    </row>
    <row r="110" spans="1:3" x14ac:dyDescent="0.25">
      <c r="A110" s="1">
        <v>38560</v>
      </c>
      <c r="B110" t="s">
        <v>64</v>
      </c>
      <c r="C110">
        <v>2</v>
      </c>
    </row>
    <row r="111" spans="1:3" x14ac:dyDescent="0.25">
      <c r="A111" s="1">
        <v>38562</v>
      </c>
      <c r="B111" t="s">
        <v>50</v>
      </c>
      <c r="C111">
        <v>467</v>
      </c>
    </row>
    <row r="112" spans="1:3" x14ac:dyDescent="0.25">
      <c r="A112" s="1">
        <v>38563</v>
      </c>
      <c r="B112" t="s">
        <v>65</v>
      </c>
      <c r="C112">
        <v>9</v>
      </c>
    </row>
    <row r="113" spans="1:3" x14ac:dyDescent="0.25">
      <c r="A113" s="1">
        <v>38567</v>
      </c>
      <c r="B113" t="s">
        <v>66</v>
      </c>
      <c r="C113">
        <v>189</v>
      </c>
    </row>
    <row r="114" spans="1:3" x14ac:dyDescent="0.25">
      <c r="A114" s="1">
        <v>38568</v>
      </c>
      <c r="B114" t="s">
        <v>67</v>
      </c>
      <c r="C114">
        <v>19</v>
      </c>
    </row>
    <row r="115" spans="1:3" x14ac:dyDescent="0.25">
      <c r="A115" s="1">
        <v>38569</v>
      </c>
      <c r="B115" t="s">
        <v>9</v>
      </c>
      <c r="C115">
        <v>172</v>
      </c>
    </row>
    <row r="116" spans="1:3" x14ac:dyDescent="0.25">
      <c r="A116" s="1">
        <v>38570</v>
      </c>
      <c r="B116" t="s">
        <v>55</v>
      </c>
      <c r="C116">
        <v>84</v>
      </c>
    </row>
    <row r="117" spans="1:3" x14ac:dyDescent="0.25">
      <c r="A117" s="1">
        <v>38570</v>
      </c>
      <c r="B117" t="s">
        <v>68</v>
      </c>
      <c r="C117">
        <v>8</v>
      </c>
    </row>
    <row r="118" spans="1:3" x14ac:dyDescent="0.25">
      <c r="A118" s="1">
        <v>38570</v>
      </c>
      <c r="B118" t="s">
        <v>69</v>
      </c>
      <c r="C118">
        <v>66</v>
      </c>
    </row>
    <row r="119" spans="1:3" x14ac:dyDescent="0.25">
      <c r="A119" s="1">
        <v>38571</v>
      </c>
      <c r="B119" t="s">
        <v>37</v>
      </c>
      <c r="C119">
        <v>35</v>
      </c>
    </row>
    <row r="120" spans="1:3" x14ac:dyDescent="0.25">
      <c r="A120" s="1">
        <v>38572</v>
      </c>
      <c r="B120" t="s">
        <v>30</v>
      </c>
      <c r="C120">
        <v>91</v>
      </c>
    </row>
    <row r="121" spans="1:3" x14ac:dyDescent="0.25">
      <c r="A121" s="1">
        <v>38577</v>
      </c>
      <c r="B121" t="s">
        <v>7</v>
      </c>
      <c r="C121">
        <v>396</v>
      </c>
    </row>
    <row r="122" spans="1:3" x14ac:dyDescent="0.25">
      <c r="A122" s="1">
        <v>38577</v>
      </c>
      <c r="B122" t="s">
        <v>70</v>
      </c>
      <c r="C122">
        <v>6</v>
      </c>
    </row>
    <row r="123" spans="1:3" x14ac:dyDescent="0.25">
      <c r="A123" s="1">
        <v>38579</v>
      </c>
      <c r="B123" t="s">
        <v>28</v>
      </c>
      <c r="C123">
        <v>47</v>
      </c>
    </row>
    <row r="124" spans="1:3" x14ac:dyDescent="0.25">
      <c r="A124" s="1">
        <v>38581</v>
      </c>
      <c r="B124" t="s">
        <v>19</v>
      </c>
      <c r="C124">
        <v>41</v>
      </c>
    </row>
    <row r="125" spans="1:3" x14ac:dyDescent="0.25">
      <c r="A125" s="1">
        <v>38582</v>
      </c>
      <c r="B125" t="s">
        <v>71</v>
      </c>
      <c r="C125">
        <v>136</v>
      </c>
    </row>
    <row r="126" spans="1:3" x14ac:dyDescent="0.25">
      <c r="A126" s="1">
        <v>38583</v>
      </c>
      <c r="B126" t="s">
        <v>72</v>
      </c>
      <c r="C126">
        <v>16</v>
      </c>
    </row>
    <row r="127" spans="1:3" x14ac:dyDescent="0.25">
      <c r="A127" s="1">
        <v>38585</v>
      </c>
      <c r="B127" t="s">
        <v>73</v>
      </c>
      <c r="C127">
        <v>18</v>
      </c>
    </row>
    <row r="128" spans="1:3" x14ac:dyDescent="0.25">
      <c r="A128" s="1">
        <v>38589</v>
      </c>
      <c r="B128" t="s">
        <v>74</v>
      </c>
      <c r="C128">
        <v>11</v>
      </c>
    </row>
    <row r="129" spans="1:3" x14ac:dyDescent="0.25">
      <c r="A129" s="1">
        <v>38589</v>
      </c>
      <c r="B129" t="s">
        <v>75</v>
      </c>
      <c r="C129">
        <v>8</v>
      </c>
    </row>
    <row r="130" spans="1:3" x14ac:dyDescent="0.25">
      <c r="A130" s="1">
        <v>38589</v>
      </c>
      <c r="B130" t="s">
        <v>76</v>
      </c>
      <c r="C130">
        <v>16</v>
      </c>
    </row>
    <row r="131" spans="1:3" x14ac:dyDescent="0.25">
      <c r="A131" s="1">
        <v>38589</v>
      </c>
      <c r="B131" t="s">
        <v>28</v>
      </c>
      <c r="C131">
        <v>54</v>
      </c>
    </row>
    <row r="132" spans="1:3" x14ac:dyDescent="0.25">
      <c r="A132" s="1">
        <v>38590</v>
      </c>
      <c r="B132" t="s">
        <v>50</v>
      </c>
      <c r="C132">
        <v>299</v>
      </c>
    </row>
    <row r="133" spans="1:3" x14ac:dyDescent="0.25">
      <c r="A133" s="1">
        <v>38592</v>
      </c>
      <c r="B133" t="s">
        <v>69</v>
      </c>
      <c r="C133">
        <v>168</v>
      </c>
    </row>
    <row r="134" spans="1:3" x14ac:dyDescent="0.25">
      <c r="A134" s="1">
        <v>38593</v>
      </c>
      <c r="B134" t="s">
        <v>9</v>
      </c>
      <c r="C134">
        <v>106</v>
      </c>
    </row>
    <row r="135" spans="1:3" x14ac:dyDescent="0.25">
      <c r="A135" s="1">
        <v>38594</v>
      </c>
      <c r="B135" t="s">
        <v>12</v>
      </c>
      <c r="C135">
        <v>41</v>
      </c>
    </row>
    <row r="136" spans="1:3" x14ac:dyDescent="0.25">
      <c r="A136" s="1">
        <v>38594</v>
      </c>
      <c r="B136" t="s">
        <v>39</v>
      </c>
      <c r="C136">
        <v>31</v>
      </c>
    </row>
    <row r="137" spans="1:3" x14ac:dyDescent="0.25">
      <c r="A137" s="1">
        <v>38596</v>
      </c>
      <c r="B137" t="s">
        <v>77</v>
      </c>
      <c r="C137">
        <v>8</v>
      </c>
    </row>
    <row r="138" spans="1:3" x14ac:dyDescent="0.25">
      <c r="A138" s="1">
        <v>38599</v>
      </c>
      <c r="B138" t="s">
        <v>19</v>
      </c>
      <c r="C138">
        <v>63</v>
      </c>
    </row>
    <row r="139" spans="1:3" x14ac:dyDescent="0.25">
      <c r="A139" s="1">
        <v>38602</v>
      </c>
      <c r="B139" t="s">
        <v>5</v>
      </c>
      <c r="C139">
        <v>368</v>
      </c>
    </row>
    <row r="140" spans="1:3" x14ac:dyDescent="0.25">
      <c r="A140" s="1">
        <v>38603</v>
      </c>
      <c r="B140" t="s">
        <v>78</v>
      </c>
      <c r="C140">
        <v>106</v>
      </c>
    </row>
    <row r="141" spans="1:3" x14ac:dyDescent="0.25">
      <c r="A141" s="1">
        <v>38604</v>
      </c>
      <c r="B141" t="s">
        <v>8</v>
      </c>
      <c r="C141">
        <v>47</v>
      </c>
    </row>
    <row r="142" spans="1:3" x14ac:dyDescent="0.25">
      <c r="A142" s="1">
        <v>38604</v>
      </c>
      <c r="B142" t="s">
        <v>50</v>
      </c>
      <c r="C142">
        <v>447</v>
      </c>
    </row>
    <row r="143" spans="1:3" x14ac:dyDescent="0.25">
      <c r="A143" s="1">
        <v>38605</v>
      </c>
      <c r="B143" t="s">
        <v>69</v>
      </c>
      <c r="C143">
        <v>106</v>
      </c>
    </row>
    <row r="144" spans="1:3" x14ac:dyDescent="0.25">
      <c r="A144" s="1">
        <v>38606</v>
      </c>
      <c r="B144" t="s">
        <v>79</v>
      </c>
      <c r="C144">
        <v>13</v>
      </c>
    </row>
    <row r="145" spans="1:3" x14ac:dyDescent="0.25">
      <c r="A145" s="1">
        <v>38606</v>
      </c>
      <c r="B145" t="s">
        <v>52</v>
      </c>
      <c r="C145">
        <v>89</v>
      </c>
    </row>
    <row r="146" spans="1:3" x14ac:dyDescent="0.25">
      <c r="A146" s="1">
        <v>38606</v>
      </c>
      <c r="B146" t="s">
        <v>31</v>
      </c>
      <c r="C146">
        <v>105</v>
      </c>
    </row>
    <row r="147" spans="1:3" x14ac:dyDescent="0.25">
      <c r="A147" s="1">
        <v>38606</v>
      </c>
      <c r="B147" t="s">
        <v>7</v>
      </c>
      <c r="C147">
        <v>147</v>
      </c>
    </row>
    <row r="148" spans="1:3" x14ac:dyDescent="0.25">
      <c r="A148" s="1">
        <v>38608</v>
      </c>
      <c r="B148" t="s">
        <v>9</v>
      </c>
      <c r="C148">
        <v>309</v>
      </c>
    </row>
    <row r="149" spans="1:3" x14ac:dyDescent="0.25">
      <c r="A149" s="1">
        <v>38610</v>
      </c>
      <c r="B149" t="s">
        <v>28</v>
      </c>
      <c r="C149">
        <v>47</v>
      </c>
    </row>
    <row r="150" spans="1:3" x14ac:dyDescent="0.25">
      <c r="A150" s="1">
        <v>38612</v>
      </c>
      <c r="B150" t="s">
        <v>50</v>
      </c>
      <c r="C150">
        <v>404</v>
      </c>
    </row>
    <row r="151" spans="1:3" x14ac:dyDescent="0.25">
      <c r="A151" s="1">
        <v>38612</v>
      </c>
      <c r="B151" t="s">
        <v>80</v>
      </c>
      <c r="C151">
        <v>39</v>
      </c>
    </row>
    <row r="152" spans="1:3" x14ac:dyDescent="0.25">
      <c r="A152" s="1">
        <v>38612</v>
      </c>
      <c r="B152" t="s">
        <v>12</v>
      </c>
      <c r="C152">
        <v>61</v>
      </c>
    </row>
    <row r="153" spans="1:3" x14ac:dyDescent="0.25">
      <c r="A153" s="1">
        <v>38615</v>
      </c>
      <c r="B153" t="s">
        <v>66</v>
      </c>
      <c r="C153">
        <v>89</v>
      </c>
    </row>
    <row r="154" spans="1:3" x14ac:dyDescent="0.25">
      <c r="A154" s="1">
        <v>38617</v>
      </c>
      <c r="B154" t="s">
        <v>23</v>
      </c>
      <c r="C154">
        <v>127</v>
      </c>
    </row>
    <row r="155" spans="1:3" x14ac:dyDescent="0.25">
      <c r="A155" s="1">
        <v>38620</v>
      </c>
      <c r="B155" t="s">
        <v>18</v>
      </c>
      <c r="C155">
        <v>81</v>
      </c>
    </row>
    <row r="156" spans="1:3" x14ac:dyDescent="0.25">
      <c r="A156" s="1">
        <v>38623</v>
      </c>
      <c r="B156" t="s">
        <v>45</v>
      </c>
      <c r="C156">
        <v>433</v>
      </c>
    </row>
    <row r="157" spans="1:3" x14ac:dyDescent="0.25">
      <c r="A157" s="1">
        <v>38623</v>
      </c>
      <c r="B157" t="s">
        <v>9</v>
      </c>
      <c r="C157">
        <v>284</v>
      </c>
    </row>
    <row r="158" spans="1:3" x14ac:dyDescent="0.25">
      <c r="A158" s="1">
        <v>38624</v>
      </c>
      <c r="B158" t="s">
        <v>6</v>
      </c>
      <c r="C158">
        <v>122</v>
      </c>
    </row>
    <row r="159" spans="1:3" x14ac:dyDescent="0.25">
      <c r="A159" s="1">
        <v>38626</v>
      </c>
      <c r="B159" t="s">
        <v>80</v>
      </c>
      <c r="C159">
        <v>193</v>
      </c>
    </row>
    <row r="160" spans="1:3" x14ac:dyDescent="0.25">
      <c r="A160" s="1">
        <v>38628</v>
      </c>
      <c r="B160" t="s">
        <v>28</v>
      </c>
      <c r="C160">
        <v>118</v>
      </c>
    </row>
    <row r="161" spans="1:3" x14ac:dyDescent="0.25">
      <c r="A161" s="1">
        <v>38629</v>
      </c>
      <c r="B161" t="s">
        <v>5</v>
      </c>
      <c r="C161">
        <v>173</v>
      </c>
    </row>
    <row r="162" spans="1:3" x14ac:dyDescent="0.25">
      <c r="A162" s="1">
        <v>38632</v>
      </c>
      <c r="B162" t="s">
        <v>22</v>
      </c>
      <c r="C162">
        <v>392</v>
      </c>
    </row>
    <row r="163" spans="1:3" x14ac:dyDescent="0.25">
      <c r="A163" s="1">
        <v>38633</v>
      </c>
      <c r="B163" t="s">
        <v>16</v>
      </c>
      <c r="C163">
        <v>8</v>
      </c>
    </row>
    <row r="164" spans="1:3" x14ac:dyDescent="0.25">
      <c r="A164" s="1">
        <v>38638</v>
      </c>
      <c r="B164" t="s">
        <v>28</v>
      </c>
      <c r="C164">
        <v>132</v>
      </c>
    </row>
    <row r="165" spans="1:3" x14ac:dyDescent="0.25">
      <c r="A165" s="1">
        <v>38638</v>
      </c>
      <c r="B165" t="s">
        <v>8</v>
      </c>
      <c r="C165">
        <v>76</v>
      </c>
    </row>
    <row r="166" spans="1:3" x14ac:dyDescent="0.25">
      <c r="A166" s="1">
        <v>38639</v>
      </c>
      <c r="B166" t="s">
        <v>81</v>
      </c>
      <c r="C166">
        <v>17</v>
      </c>
    </row>
    <row r="167" spans="1:3" x14ac:dyDescent="0.25">
      <c r="A167" s="1">
        <v>38640</v>
      </c>
      <c r="B167" t="s">
        <v>82</v>
      </c>
      <c r="C167">
        <v>17</v>
      </c>
    </row>
    <row r="168" spans="1:3" x14ac:dyDescent="0.25">
      <c r="A168" s="1">
        <v>38643</v>
      </c>
      <c r="B168" t="s">
        <v>83</v>
      </c>
      <c r="C168">
        <v>2</v>
      </c>
    </row>
    <row r="169" spans="1:3" x14ac:dyDescent="0.25">
      <c r="A169" s="1">
        <v>38645</v>
      </c>
      <c r="B169" t="s">
        <v>19</v>
      </c>
      <c r="C169">
        <v>125</v>
      </c>
    </row>
    <row r="170" spans="1:3" x14ac:dyDescent="0.25">
      <c r="A170" s="1">
        <v>38646</v>
      </c>
      <c r="B170" t="s">
        <v>50</v>
      </c>
      <c r="C170">
        <v>234</v>
      </c>
    </row>
    <row r="171" spans="1:3" x14ac:dyDescent="0.25">
      <c r="A171" s="1">
        <v>38652</v>
      </c>
      <c r="B171" t="s">
        <v>69</v>
      </c>
      <c r="C171">
        <v>53</v>
      </c>
    </row>
    <row r="172" spans="1:3" x14ac:dyDescent="0.25">
      <c r="A172" s="1">
        <v>38653</v>
      </c>
      <c r="B172" t="s">
        <v>37</v>
      </c>
      <c r="C172">
        <v>165</v>
      </c>
    </row>
    <row r="173" spans="1:3" x14ac:dyDescent="0.25">
      <c r="A173" s="1">
        <v>38653</v>
      </c>
      <c r="B173" t="s">
        <v>10</v>
      </c>
      <c r="C173">
        <v>177</v>
      </c>
    </row>
    <row r="174" spans="1:3" x14ac:dyDescent="0.25">
      <c r="A174" s="1">
        <v>38655</v>
      </c>
      <c r="B174" t="s">
        <v>18</v>
      </c>
      <c r="C174">
        <v>103</v>
      </c>
    </row>
    <row r="175" spans="1:3" x14ac:dyDescent="0.25">
      <c r="A175" s="1">
        <v>38657</v>
      </c>
      <c r="B175" t="s">
        <v>84</v>
      </c>
      <c r="C175">
        <v>2</v>
      </c>
    </row>
    <row r="176" spans="1:3" x14ac:dyDescent="0.25">
      <c r="A176" s="1">
        <v>38657</v>
      </c>
      <c r="B176" t="s">
        <v>9</v>
      </c>
      <c r="C176">
        <v>279</v>
      </c>
    </row>
    <row r="177" spans="1:3" x14ac:dyDescent="0.25">
      <c r="A177" s="1">
        <v>38662</v>
      </c>
      <c r="B177" t="s">
        <v>30</v>
      </c>
      <c r="C177">
        <v>185</v>
      </c>
    </row>
    <row r="178" spans="1:3" x14ac:dyDescent="0.25">
      <c r="A178" s="1">
        <v>38663</v>
      </c>
      <c r="B178" t="s">
        <v>7</v>
      </c>
      <c r="C178">
        <v>434</v>
      </c>
    </row>
    <row r="179" spans="1:3" x14ac:dyDescent="0.25">
      <c r="A179" s="1">
        <v>38667</v>
      </c>
      <c r="B179" t="s">
        <v>85</v>
      </c>
      <c r="C179">
        <v>10</v>
      </c>
    </row>
    <row r="180" spans="1:3" x14ac:dyDescent="0.25">
      <c r="A180" s="1">
        <v>38669</v>
      </c>
      <c r="B180" t="s">
        <v>86</v>
      </c>
      <c r="C180">
        <v>9</v>
      </c>
    </row>
    <row r="181" spans="1:3" x14ac:dyDescent="0.25">
      <c r="A181" s="1">
        <v>38670</v>
      </c>
      <c r="B181" t="s">
        <v>24</v>
      </c>
      <c r="C181">
        <v>383</v>
      </c>
    </row>
    <row r="182" spans="1:3" x14ac:dyDescent="0.25">
      <c r="A182" s="1">
        <v>38670</v>
      </c>
      <c r="B182" t="s">
        <v>30</v>
      </c>
      <c r="C182">
        <v>189</v>
      </c>
    </row>
    <row r="183" spans="1:3" x14ac:dyDescent="0.25">
      <c r="A183" s="1">
        <v>38672</v>
      </c>
      <c r="B183" t="s">
        <v>12</v>
      </c>
      <c r="C183">
        <v>161</v>
      </c>
    </row>
    <row r="184" spans="1:3" x14ac:dyDescent="0.25">
      <c r="A184" s="1">
        <v>38672</v>
      </c>
      <c r="B184" t="s">
        <v>63</v>
      </c>
      <c r="C184">
        <v>115</v>
      </c>
    </row>
    <row r="185" spans="1:3" x14ac:dyDescent="0.25">
      <c r="A185" s="1">
        <v>38674</v>
      </c>
      <c r="B185" t="s">
        <v>69</v>
      </c>
      <c r="C185">
        <v>58</v>
      </c>
    </row>
    <row r="186" spans="1:3" x14ac:dyDescent="0.25">
      <c r="A186" s="1">
        <v>38674</v>
      </c>
      <c r="B186" t="s">
        <v>87</v>
      </c>
      <c r="C186">
        <v>16</v>
      </c>
    </row>
    <row r="187" spans="1:3" x14ac:dyDescent="0.25">
      <c r="A187" s="1">
        <v>38675</v>
      </c>
      <c r="B187" t="s">
        <v>53</v>
      </c>
      <c r="C187">
        <v>17</v>
      </c>
    </row>
    <row r="188" spans="1:3" x14ac:dyDescent="0.25">
      <c r="A188" s="1">
        <v>38676</v>
      </c>
      <c r="B188" t="s">
        <v>5</v>
      </c>
      <c r="C188">
        <v>177</v>
      </c>
    </row>
    <row r="189" spans="1:3" x14ac:dyDescent="0.25">
      <c r="A189" s="1">
        <v>38677</v>
      </c>
      <c r="B189" t="s">
        <v>78</v>
      </c>
      <c r="C189">
        <v>33</v>
      </c>
    </row>
    <row r="190" spans="1:3" x14ac:dyDescent="0.25">
      <c r="A190" s="1">
        <v>38680</v>
      </c>
      <c r="B190" t="s">
        <v>18</v>
      </c>
      <c r="C190">
        <v>60</v>
      </c>
    </row>
    <row r="191" spans="1:3" x14ac:dyDescent="0.25">
      <c r="A191" s="1">
        <v>38682</v>
      </c>
      <c r="B191" t="s">
        <v>88</v>
      </c>
      <c r="C191">
        <v>8</v>
      </c>
    </row>
    <row r="192" spans="1:3" x14ac:dyDescent="0.25">
      <c r="A192" s="1">
        <v>38687</v>
      </c>
      <c r="B192" t="s">
        <v>9</v>
      </c>
      <c r="C192">
        <v>317</v>
      </c>
    </row>
    <row r="193" spans="1:3" x14ac:dyDescent="0.25">
      <c r="A193" s="1">
        <v>38689</v>
      </c>
      <c r="B193" t="s">
        <v>89</v>
      </c>
      <c r="C193">
        <v>3</v>
      </c>
    </row>
    <row r="194" spans="1:3" x14ac:dyDescent="0.25">
      <c r="A194" s="1">
        <v>38691</v>
      </c>
      <c r="B194" t="s">
        <v>90</v>
      </c>
      <c r="C194">
        <v>16</v>
      </c>
    </row>
    <row r="195" spans="1:3" x14ac:dyDescent="0.25">
      <c r="A195" s="1">
        <v>38700</v>
      </c>
      <c r="B195" t="s">
        <v>65</v>
      </c>
      <c r="C195">
        <v>2</v>
      </c>
    </row>
    <row r="196" spans="1:3" x14ac:dyDescent="0.25">
      <c r="A196" s="1">
        <v>38705</v>
      </c>
      <c r="B196" t="s">
        <v>10</v>
      </c>
      <c r="C196">
        <v>161</v>
      </c>
    </row>
    <row r="197" spans="1:3" x14ac:dyDescent="0.25">
      <c r="A197" s="1">
        <v>38708</v>
      </c>
      <c r="B197" t="s">
        <v>37</v>
      </c>
      <c r="C197">
        <v>187</v>
      </c>
    </row>
    <row r="198" spans="1:3" x14ac:dyDescent="0.25">
      <c r="A198" s="1">
        <v>38708</v>
      </c>
      <c r="B198" t="s">
        <v>91</v>
      </c>
      <c r="C198">
        <v>17</v>
      </c>
    </row>
    <row r="199" spans="1:3" x14ac:dyDescent="0.25">
      <c r="A199" s="1">
        <v>38709</v>
      </c>
      <c r="B199" t="s">
        <v>92</v>
      </c>
      <c r="C199">
        <v>5</v>
      </c>
    </row>
    <row r="200" spans="1:3" x14ac:dyDescent="0.25">
      <c r="A200" s="1">
        <v>38711</v>
      </c>
      <c r="B200" t="s">
        <v>53</v>
      </c>
      <c r="C200">
        <v>10</v>
      </c>
    </row>
    <row r="201" spans="1:3" x14ac:dyDescent="0.25">
      <c r="A201" s="1">
        <v>38711</v>
      </c>
      <c r="B201" t="s">
        <v>14</v>
      </c>
      <c r="C201">
        <v>225</v>
      </c>
    </row>
    <row r="202" spans="1:3" x14ac:dyDescent="0.25">
      <c r="A202" s="1">
        <v>38716</v>
      </c>
      <c r="B202" t="s">
        <v>17</v>
      </c>
      <c r="C202">
        <v>367</v>
      </c>
    </row>
    <row r="203" spans="1:3" x14ac:dyDescent="0.25">
      <c r="A203" s="1">
        <v>38721</v>
      </c>
      <c r="B203" t="s">
        <v>14</v>
      </c>
      <c r="C203">
        <v>295</v>
      </c>
    </row>
    <row r="204" spans="1:3" x14ac:dyDescent="0.25">
      <c r="A204" s="1">
        <v>38725</v>
      </c>
      <c r="B204" t="s">
        <v>55</v>
      </c>
      <c r="C204">
        <v>26</v>
      </c>
    </row>
    <row r="205" spans="1:3" x14ac:dyDescent="0.25">
      <c r="A205" s="1">
        <v>38725</v>
      </c>
      <c r="B205" t="s">
        <v>93</v>
      </c>
      <c r="C205">
        <v>16</v>
      </c>
    </row>
    <row r="206" spans="1:3" x14ac:dyDescent="0.25">
      <c r="A206" s="1">
        <v>38729</v>
      </c>
      <c r="B206" t="s">
        <v>9</v>
      </c>
      <c r="C206">
        <v>165</v>
      </c>
    </row>
    <row r="207" spans="1:3" x14ac:dyDescent="0.25">
      <c r="A207" s="1">
        <v>38729</v>
      </c>
      <c r="B207" t="s">
        <v>94</v>
      </c>
      <c r="C207">
        <v>20</v>
      </c>
    </row>
    <row r="208" spans="1:3" x14ac:dyDescent="0.25">
      <c r="A208" s="1">
        <v>38734</v>
      </c>
      <c r="B208" t="s">
        <v>95</v>
      </c>
      <c r="C208">
        <v>2</v>
      </c>
    </row>
    <row r="209" spans="1:3" x14ac:dyDescent="0.25">
      <c r="A209" s="1">
        <v>38734</v>
      </c>
      <c r="B209" t="s">
        <v>96</v>
      </c>
      <c r="C209">
        <v>7</v>
      </c>
    </row>
    <row r="210" spans="1:3" x14ac:dyDescent="0.25">
      <c r="A210" s="1">
        <v>38734</v>
      </c>
      <c r="B210" t="s">
        <v>29</v>
      </c>
      <c r="C210">
        <v>7</v>
      </c>
    </row>
    <row r="211" spans="1:3" x14ac:dyDescent="0.25">
      <c r="A211" s="1">
        <v>38734</v>
      </c>
      <c r="B211" t="s">
        <v>78</v>
      </c>
      <c r="C211">
        <v>72</v>
      </c>
    </row>
    <row r="212" spans="1:3" x14ac:dyDescent="0.25">
      <c r="A212" s="1">
        <v>38735</v>
      </c>
      <c r="B212" t="s">
        <v>71</v>
      </c>
      <c r="C212">
        <v>59</v>
      </c>
    </row>
    <row r="213" spans="1:3" x14ac:dyDescent="0.25">
      <c r="A213" s="1">
        <v>38736</v>
      </c>
      <c r="B213" t="s">
        <v>45</v>
      </c>
      <c r="C213">
        <v>212</v>
      </c>
    </row>
    <row r="214" spans="1:3" x14ac:dyDescent="0.25">
      <c r="A214" s="1">
        <v>38741</v>
      </c>
      <c r="B214" t="s">
        <v>17</v>
      </c>
      <c r="C214">
        <v>195</v>
      </c>
    </row>
    <row r="215" spans="1:3" x14ac:dyDescent="0.25">
      <c r="A215" s="1">
        <v>38741</v>
      </c>
      <c r="B215" t="s">
        <v>57</v>
      </c>
      <c r="C215">
        <v>16</v>
      </c>
    </row>
    <row r="216" spans="1:3" x14ac:dyDescent="0.25">
      <c r="A216" s="1">
        <v>38745</v>
      </c>
      <c r="B216" t="s">
        <v>12</v>
      </c>
      <c r="C216">
        <v>187</v>
      </c>
    </row>
    <row r="217" spans="1:3" x14ac:dyDescent="0.25">
      <c r="A217" s="1">
        <v>38751</v>
      </c>
      <c r="B217" t="s">
        <v>17</v>
      </c>
      <c r="C217">
        <v>369</v>
      </c>
    </row>
    <row r="218" spans="1:3" x14ac:dyDescent="0.25">
      <c r="A218" s="1">
        <v>38754</v>
      </c>
      <c r="B218" t="s">
        <v>35</v>
      </c>
      <c r="C218">
        <v>190</v>
      </c>
    </row>
    <row r="219" spans="1:3" x14ac:dyDescent="0.25">
      <c r="A219" s="1">
        <v>38754</v>
      </c>
      <c r="B219" t="s">
        <v>14</v>
      </c>
      <c r="C219">
        <v>453</v>
      </c>
    </row>
    <row r="220" spans="1:3" x14ac:dyDescent="0.25">
      <c r="A220" s="1">
        <v>38754</v>
      </c>
      <c r="B220" t="s">
        <v>22</v>
      </c>
      <c r="C220">
        <v>223</v>
      </c>
    </row>
    <row r="221" spans="1:3" x14ac:dyDescent="0.25">
      <c r="A221" s="1">
        <v>38755</v>
      </c>
      <c r="B221" t="s">
        <v>64</v>
      </c>
      <c r="C221">
        <v>1</v>
      </c>
    </row>
    <row r="222" spans="1:3" x14ac:dyDescent="0.25">
      <c r="A222" s="1">
        <v>38757</v>
      </c>
      <c r="B222" t="s">
        <v>55</v>
      </c>
      <c r="C222">
        <v>170</v>
      </c>
    </row>
    <row r="223" spans="1:3" x14ac:dyDescent="0.25">
      <c r="A223" s="1">
        <v>38757</v>
      </c>
      <c r="B223" t="s">
        <v>86</v>
      </c>
      <c r="C223">
        <v>19</v>
      </c>
    </row>
    <row r="224" spans="1:3" x14ac:dyDescent="0.25">
      <c r="A224" s="1">
        <v>38757</v>
      </c>
      <c r="B224" t="s">
        <v>17</v>
      </c>
      <c r="C224">
        <v>464</v>
      </c>
    </row>
    <row r="225" spans="1:3" x14ac:dyDescent="0.25">
      <c r="A225" s="1">
        <v>38761</v>
      </c>
      <c r="B225" t="s">
        <v>7</v>
      </c>
      <c r="C225">
        <v>230</v>
      </c>
    </row>
    <row r="226" spans="1:3" x14ac:dyDescent="0.25">
      <c r="A226" s="1">
        <v>38765</v>
      </c>
      <c r="B226" t="s">
        <v>9</v>
      </c>
      <c r="C226">
        <v>387</v>
      </c>
    </row>
    <row r="227" spans="1:3" x14ac:dyDescent="0.25">
      <c r="A227" s="1">
        <v>38766</v>
      </c>
      <c r="B227" t="s">
        <v>45</v>
      </c>
      <c r="C227">
        <v>264</v>
      </c>
    </row>
    <row r="228" spans="1:3" x14ac:dyDescent="0.25">
      <c r="A228" s="1">
        <v>38767</v>
      </c>
      <c r="B228" t="s">
        <v>18</v>
      </c>
      <c r="C228">
        <v>163</v>
      </c>
    </row>
    <row r="229" spans="1:3" x14ac:dyDescent="0.25">
      <c r="A229" s="1">
        <v>38768</v>
      </c>
      <c r="B229" t="s">
        <v>36</v>
      </c>
      <c r="C229">
        <v>14</v>
      </c>
    </row>
    <row r="230" spans="1:3" x14ac:dyDescent="0.25">
      <c r="A230" s="1">
        <v>38769</v>
      </c>
      <c r="B230" t="s">
        <v>71</v>
      </c>
      <c r="C230">
        <v>98</v>
      </c>
    </row>
    <row r="231" spans="1:3" x14ac:dyDescent="0.25">
      <c r="A231" s="1">
        <v>38780</v>
      </c>
      <c r="B231" t="s">
        <v>97</v>
      </c>
      <c r="C231">
        <v>16</v>
      </c>
    </row>
    <row r="232" spans="1:3" x14ac:dyDescent="0.25">
      <c r="A232" s="1">
        <v>38780</v>
      </c>
      <c r="B232" t="s">
        <v>26</v>
      </c>
      <c r="C232">
        <v>80</v>
      </c>
    </row>
    <row r="233" spans="1:3" x14ac:dyDescent="0.25">
      <c r="A233" s="1">
        <v>38784</v>
      </c>
      <c r="B233" t="s">
        <v>39</v>
      </c>
      <c r="C233">
        <v>127</v>
      </c>
    </row>
    <row r="234" spans="1:3" x14ac:dyDescent="0.25">
      <c r="A234" s="1">
        <v>38786</v>
      </c>
      <c r="B234" t="s">
        <v>19</v>
      </c>
      <c r="C234">
        <v>170</v>
      </c>
    </row>
    <row r="235" spans="1:3" x14ac:dyDescent="0.25">
      <c r="A235" s="1">
        <v>38787</v>
      </c>
      <c r="B235" t="s">
        <v>61</v>
      </c>
      <c r="C235">
        <v>28</v>
      </c>
    </row>
    <row r="236" spans="1:3" x14ac:dyDescent="0.25">
      <c r="A236" s="1">
        <v>38788</v>
      </c>
      <c r="B236" t="s">
        <v>98</v>
      </c>
      <c r="C236">
        <v>12</v>
      </c>
    </row>
    <row r="237" spans="1:3" x14ac:dyDescent="0.25">
      <c r="A237" s="1">
        <v>38790</v>
      </c>
      <c r="B237" t="s">
        <v>99</v>
      </c>
      <c r="C237">
        <v>10</v>
      </c>
    </row>
    <row r="238" spans="1:3" x14ac:dyDescent="0.25">
      <c r="A238" s="1">
        <v>38791</v>
      </c>
      <c r="B238" t="s">
        <v>30</v>
      </c>
      <c r="C238">
        <v>65</v>
      </c>
    </row>
    <row r="239" spans="1:3" x14ac:dyDescent="0.25">
      <c r="A239" s="1">
        <v>38792</v>
      </c>
      <c r="B239" t="s">
        <v>100</v>
      </c>
      <c r="C239">
        <v>17</v>
      </c>
    </row>
    <row r="240" spans="1:3" x14ac:dyDescent="0.25">
      <c r="A240" s="1">
        <v>38792</v>
      </c>
      <c r="B240" t="s">
        <v>9</v>
      </c>
      <c r="C240">
        <v>262</v>
      </c>
    </row>
    <row r="241" spans="1:3" x14ac:dyDescent="0.25">
      <c r="A241" s="1">
        <v>38792</v>
      </c>
      <c r="B241" t="s">
        <v>101</v>
      </c>
      <c r="C241">
        <v>20</v>
      </c>
    </row>
    <row r="242" spans="1:3" x14ac:dyDescent="0.25">
      <c r="A242" s="1">
        <v>38801</v>
      </c>
      <c r="B242" t="s">
        <v>7</v>
      </c>
      <c r="C242">
        <v>224</v>
      </c>
    </row>
    <row r="243" spans="1:3" x14ac:dyDescent="0.25">
      <c r="A243" s="1">
        <v>38808</v>
      </c>
      <c r="B243" t="s">
        <v>52</v>
      </c>
      <c r="C243">
        <v>199</v>
      </c>
    </row>
    <row r="244" spans="1:3" x14ac:dyDescent="0.25">
      <c r="A244" s="1">
        <v>38813</v>
      </c>
      <c r="B244" t="s">
        <v>30</v>
      </c>
      <c r="C244">
        <v>70</v>
      </c>
    </row>
    <row r="245" spans="1:3" x14ac:dyDescent="0.25">
      <c r="A245" s="1">
        <v>38815</v>
      </c>
      <c r="B245" t="s">
        <v>102</v>
      </c>
      <c r="C245">
        <v>171</v>
      </c>
    </row>
    <row r="246" spans="1:3" x14ac:dyDescent="0.25">
      <c r="A246" s="1">
        <v>38815</v>
      </c>
      <c r="B246" t="s">
        <v>103</v>
      </c>
      <c r="C246">
        <v>1</v>
      </c>
    </row>
    <row r="247" spans="1:3" x14ac:dyDescent="0.25">
      <c r="A247" s="1">
        <v>38817</v>
      </c>
      <c r="B247" t="s">
        <v>94</v>
      </c>
      <c r="C247">
        <v>13</v>
      </c>
    </row>
    <row r="248" spans="1:3" x14ac:dyDescent="0.25">
      <c r="A248" s="1">
        <v>38818</v>
      </c>
      <c r="B248" t="s">
        <v>9</v>
      </c>
      <c r="C248">
        <v>293</v>
      </c>
    </row>
    <row r="249" spans="1:3" x14ac:dyDescent="0.25">
      <c r="A249" s="1">
        <v>38818</v>
      </c>
      <c r="B249" t="s">
        <v>87</v>
      </c>
      <c r="C249">
        <v>11</v>
      </c>
    </row>
    <row r="250" spans="1:3" x14ac:dyDescent="0.25">
      <c r="A250" s="1">
        <v>38820</v>
      </c>
      <c r="B250" t="s">
        <v>50</v>
      </c>
      <c r="C250">
        <v>162</v>
      </c>
    </row>
    <row r="251" spans="1:3" x14ac:dyDescent="0.25">
      <c r="A251" s="1">
        <v>38821</v>
      </c>
      <c r="B251" t="s">
        <v>58</v>
      </c>
      <c r="C251">
        <v>187</v>
      </c>
    </row>
    <row r="252" spans="1:3" x14ac:dyDescent="0.25">
      <c r="A252" s="1">
        <v>38822</v>
      </c>
      <c r="B252" t="s">
        <v>18</v>
      </c>
      <c r="C252">
        <v>192</v>
      </c>
    </row>
    <row r="253" spans="1:3" x14ac:dyDescent="0.25">
      <c r="A253" s="1">
        <v>38824</v>
      </c>
      <c r="B253" t="s">
        <v>24</v>
      </c>
      <c r="C253">
        <v>127</v>
      </c>
    </row>
    <row r="254" spans="1:3" x14ac:dyDescent="0.25">
      <c r="A254" s="1">
        <v>38826</v>
      </c>
      <c r="B254" t="s">
        <v>9</v>
      </c>
      <c r="C254">
        <v>198</v>
      </c>
    </row>
    <row r="255" spans="1:3" x14ac:dyDescent="0.25">
      <c r="A255" s="1">
        <v>38826</v>
      </c>
      <c r="B255" t="s">
        <v>104</v>
      </c>
      <c r="C255">
        <v>4</v>
      </c>
    </row>
    <row r="256" spans="1:3" x14ac:dyDescent="0.25">
      <c r="A256" s="1">
        <v>38826</v>
      </c>
      <c r="B256" t="s">
        <v>17</v>
      </c>
      <c r="C256">
        <v>110</v>
      </c>
    </row>
    <row r="257" spans="1:3" x14ac:dyDescent="0.25">
      <c r="A257" s="1">
        <v>38826</v>
      </c>
      <c r="B257" t="s">
        <v>18</v>
      </c>
      <c r="C257">
        <v>123</v>
      </c>
    </row>
    <row r="258" spans="1:3" x14ac:dyDescent="0.25">
      <c r="A258" s="1">
        <v>38827</v>
      </c>
      <c r="B258" t="s">
        <v>66</v>
      </c>
      <c r="C258">
        <v>159</v>
      </c>
    </row>
    <row r="259" spans="1:3" x14ac:dyDescent="0.25">
      <c r="A259" s="1">
        <v>38828</v>
      </c>
      <c r="B259" t="s">
        <v>105</v>
      </c>
      <c r="C259">
        <v>19</v>
      </c>
    </row>
    <row r="260" spans="1:3" x14ac:dyDescent="0.25">
      <c r="A260" s="1">
        <v>38834</v>
      </c>
      <c r="B260" t="s">
        <v>22</v>
      </c>
      <c r="C260">
        <v>289</v>
      </c>
    </row>
    <row r="261" spans="1:3" x14ac:dyDescent="0.25">
      <c r="A261" s="1">
        <v>38834</v>
      </c>
      <c r="B261" t="s">
        <v>23</v>
      </c>
      <c r="C261">
        <v>136</v>
      </c>
    </row>
    <row r="262" spans="1:3" x14ac:dyDescent="0.25">
      <c r="A262" s="1">
        <v>38845</v>
      </c>
      <c r="B262" t="s">
        <v>25</v>
      </c>
      <c r="C262">
        <v>41</v>
      </c>
    </row>
    <row r="263" spans="1:3" x14ac:dyDescent="0.25">
      <c r="A263" s="1">
        <v>38846</v>
      </c>
      <c r="B263" t="s">
        <v>45</v>
      </c>
      <c r="C263">
        <v>385</v>
      </c>
    </row>
    <row r="264" spans="1:3" x14ac:dyDescent="0.25">
      <c r="A264" s="1">
        <v>38847</v>
      </c>
      <c r="B264" t="s">
        <v>106</v>
      </c>
      <c r="C264">
        <v>17</v>
      </c>
    </row>
    <row r="265" spans="1:3" x14ac:dyDescent="0.25">
      <c r="A265" s="1">
        <v>38847</v>
      </c>
      <c r="B265" t="s">
        <v>107</v>
      </c>
      <c r="C265">
        <v>20</v>
      </c>
    </row>
    <row r="266" spans="1:3" x14ac:dyDescent="0.25">
      <c r="A266" s="1">
        <v>38851</v>
      </c>
      <c r="B266" t="s">
        <v>108</v>
      </c>
      <c r="C266">
        <v>19</v>
      </c>
    </row>
    <row r="267" spans="1:3" x14ac:dyDescent="0.25">
      <c r="A267" s="1">
        <v>38852</v>
      </c>
      <c r="B267" t="s">
        <v>43</v>
      </c>
      <c r="C267">
        <v>13</v>
      </c>
    </row>
    <row r="268" spans="1:3" x14ac:dyDescent="0.25">
      <c r="A268" s="1">
        <v>38853</v>
      </c>
      <c r="B268" t="s">
        <v>97</v>
      </c>
      <c r="C268">
        <v>13</v>
      </c>
    </row>
    <row r="269" spans="1:3" x14ac:dyDescent="0.25">
      <c r="A269" s="1">
        <v>38855</v>
      </c>
      <c r="B269" t="s">
        <v>80</v>
      </c>
      <c r="C269">
        <v>168</v>
      </c>
    </row>
    <row r="270" spans="1:3" x14ac:dyDescent="0.25">
      <c r="A270" s="1">
        <v>38855</v>
      </c>
      <c r="B270" t="s">
        <v>109</v>
      </c>
      <c r="C270">
        <v>18</v>
      </c>
    </row>
    <row r="271" spans="1:3" x14ac:dyDescent="0.25">
      <c r="A271" s="1">
        <v>38855</v>
      </c>
      <c r="B271" t="s">
        <v>14</v>
      </c>
      <c r="C271">
        <v>131</v>
      </c>
    </row>
    <row r="272" spans="1:3" x14ac:dyDescent="0.25">
      <c r="A272" s="1">
        <v>38856</v>
      </c>
      <c r="B272" t="s">
        <v>22</v>
      </c>
      <c r="C272">
        <v>187</v>
      </c>
    </row>
    <row r="273" spans="1:3" x14ac:dyDescent="0.25">
      <c r="A273" s="1">
        <v>38857</v>
      </c>
      <c r="B273" t="s">
        <v>24</v>
      </c>
      <c r="C273">
        <v>412</v>
      </c>
    </row>
    <row r="274" spans="1:3" x14ac:dyDescent="0.25">
      <c r="A274" s="1">
        <v>38859</v>
      </c>
      <c r="B274" t="s">
        <v>6</v>
      </c>
      <c r="C274">
        <v>40</v>
      </c>
    </row>
    <row r="275" spans="1:3" x14ac:dyDescent="0.25">
      <c r="A275" s="1">
        <v>38860</v>
      </c>
      <c r="B275" t="s">
        <v>37</v>
      </c>
      <c r="C275">
        <v>166</v>
      </c>
    </row>
    <row r="276" spans="1:3" x14ac:dyDescent="0.25">
      <c r="A276" s="1">
        <v>38861</v>
      </c>
      <c r="B276" t="s">
        <v>66</v>
      </c>
      <c r="C276">
        <v>173</v>
      </c>
    </row>
    <row r="277" spans="1:3" x14ac:dyDescent="0.25">
      <c r="A277" s="1">
        <v>38862</v>
      </c>
      <c r="B277" t="s">
        <v>110</v>
      </c>
      <c r="C277">
        <v>2</v>
      </c>
    </row>
    <row r="278" spans="1:3" x14ac:dyDescent="0.25">
      <c r="A278" s="1">
        <v>38862</v>
      </c>
      <c r="B278" t="s">
        <v>111</v>
      </c>
      <c r="C278">
        <v>18</v>
      </c>
    </row>
    <row r="279" spans="1:3" x14ac:dyDescent="0.25">
      <c r="A279" s="1">
        <v>38863</v>
      </c>
      <c r="B279" t="s">
        <v>112</v>
      </c>
      <c r="C279">
        <v>15</v>
      </c>
    </row>
    <row r="280" spans="1:3" x14ac:dyDescent="0.25">
      <c r="A280" s="1">
        <v>38864</v>
      </c>
      <c r="B280" t="s">
        <v>102</v>
      </c>
      <c r="C280">
        <v>243</v>
      </c>
    </row>
    <row r="281" spans="1:3" x14ac:dyDescent="0.25">
      <c r="A281" s="1">
        <v>38865</v>
      </c>
      <c r="B281" t="s">
        <v>17</v>
      </c>
      <c r="C281">
        <v>460</v>
      </c>
    </row>
    <row r="282" spans="1:3" x14ac:dyDescent="0.25">
      <c r="A282" s="1">
        <v>38865</v>
      </c>
      <c r="B282" t="s">
        <v>113</v>
      </c>
      <c r="C282">
        <v>8</v>
      </c>
    </row>
    <row r="283" spans="1:3" x14ac:dyDescent="0.25">
      <c r="A283" s="1">
        <v>38866</v>
      </c>
      <c r="B283" t="s">
        <v>8</v>
      </c>
      <c r="C283">
        <v>150</v>
      </c>
    </row>
    <row r="284" spans="1:3" x14ac:dyDescent="0.25">
      <c r="A284" s="1">
        <v>38867</v>
      </c>
      <c r="B284" t="s">
        <v>52</v>
      </c>
      <c r="C284">
        <v>72</v>
      </c>
    </row>
    <row r="285" spans="1:3" x14ac:dyDescent="0.25">
      <c r="A285" s="1">
        <v>38867</v>
      </c>
      <c r="B285" t="s">
        <v>9</v>
      </c>
      <c r="C285">
        <v>217</v>
      </c>
    </row>
    <row r="286" spans="1:3" x14ac:dyDescent="0.25">
      <c r="A286" s="1">
        <v>38870</v>
      </c>
      <c r="B286" t="s">
        <v>39</v>
      </c>
      <c r="C286">
        <v>164</v>
      </c>
    </row>
    <row r="287" spans="1:3" x14ac:dyDescent="0.25">
      <c r="A287" s="1">
        <v>38870</v>
      </c>
      <c r="B287" t="s">
        <v>45</v>
      </c>
      <c r="C287">
        <v>429</v>
      </c>
    </row>
    <row r="288" spans="1:3" x14ac:dyDescent="0.25">
      <c r="A288" s="1">
        <v>38875</v>
      </c>
      <c r="B288" t="s">
        <v>8</v>
      </c>
      <c r="C288">
        <v>63</v>
      </c>
    </row>
    <row r="289" spans="1:3" x14ac:dyDescent="0.25">
      <c r="A289" s="1">
        <v>38878</v>
      </c>
      <c r="B289" t="s">
        <v>30</v>
      </c>
      <c r="C289">
        <v>106</v>
      </c>
    </row>
    <row r="290" spans="1:3" x14ac:dyDescent="0.25">
      <c r="A290" s="1">
        <v>38886</v>
      </c>
      <c r="B290" t="s">
        <v>22</v>
      </c>
      <c r="C290">
        <v>136</v>
      </c>
    </row>
    <row r="291" spans="1:3" x14ac:dyDescent="0.25">
      <c r="A291" s="1">
        <v>38887</v>
      </c>
      <c r="B291" t="s">
        <v>114</v>
      </c>
      <c r="C291">
        <v>7</v>
      </c>
    </row>
    <row r="292" spans="1:3" x14ac:dyDescent="0.25">
      <c r="A292" s="1">
        <v>38896</v>
      </c>
      <c r="B292" t="s">
        <v>12</v>
      </c>
      <c r="C292">
        <v>114</v>
      </c>
    </row>
    <row r="293" spans="1:3" x14ac:dyDescent="0.25">
      <c r="A293" s="1">
        <v>38896</v>
      </c>
      <c r="B293" t="s">
        <v>115</v>
      </c>
      <c r="C293">
        <v>12</v>
      </c>
    </row>
    <row r="294" spans="1:3" x14ac:dyDescent="0.25">
      <c r="A294" s="1">
        <v>38902</v>
      </c>
      <c r="B294" t="s">
        <v>9</v>
      </c>
      <c r="C294">
        <v>443</v>
      </c>
    </row>
    <row r="295" spans="1:3" x14ac:dyDescent="0.25">
      <c r="A295" s="1">
        <v>38904</v>
      </c>
      <c r="B295" t="s">
        <v>52</v>
      </c>
      <c r="C295">
        <v>73</v>
      </c>
    </row>
    <row r="296" spans="1:3" x14ac:dyDescent="0.25">
      <c r="A296" s="1">
        <v>38907</v>
      </c>
      <c r="B296" t="s">
        <v>116</v>
      </c>
      <c r="C296">
        <v>15</v>
      </c>
    </row>
    <row r="297" spans="1:3" x14ac:dyDescent="0.25">
      <c r="A297" s="1">
        <v>38907</v>
      </c>
      <c r="B297" t="s">
        <v>117</v>
      </c>
      <c r="C297">
        <v>9</v>
      </c>
    </row>
    <row r="298" spans="1:3" x14ac:dyDescent="0.25">
      <c r="A298" s="1">
        <v>38908</v>
      </c>
      <c r="B298" t="s">
        <v>118</v>
      </c>
      <c r="C298">
        <v>20</v>
      </c>
    </row>
    <row r="299" spans="1:3" x14ac:dyDescent="0.25">
      <c r="A299" s="1">
        <v>38910</v>
      </c>
      <c r="B299" t="s">
        <v>119</v>
      </c>
      <c r="C299">
        <v>9</v>
      </c>
    </row>
    <row r="300" spans="1:3" x14ac:dyDescent="0.25">
      <c r="A300" s="1">
        <v>38911</v>
      </c>
      <c r="B300" t="s">
        <v>120</v>
      </c>
      <c r="C300">
        <v>88</v>
      </c>
    </row>
    <row r="301" spans="1:3" x14ac:dyDescent="0.25">
      <c r="A301" s="1">
        <v>38911</v>
      </c>
      <c r="B301" t="s">
        <v>7</v>
      </c>
      <c r="C301">
        <v>139</v>
      </c>
    </row>
    <row r="302" spans="1:3" x14ac:dyDescent="0.25">
      <c r="A302" s="1">
        <v>38912</v>
      </c>
      <c r="B302" t="s">
        <v>22</v>
      </c>
      <c r="C302">
        <v>346</v>
      </c>
    </row>
    <row r="303" spans="1:3" x14ac:dyDescent="0.25">
      <c r="A303" s="1">
        <v>38918</v>
      </c>
      <c r="B303" t="s">
        <v>121</v>
      </c>
      <c r="C303">
        <v>3</v>
      </c>
    </row>
    <row r="304" spans="1:3" x14ac:dyDescent="0.25">
      <c r="A304" s="1">
        <v>38918</v>
      </c>
      <c r="B304" t="s">
        <v>122</v>
      </c>
      <c r="C304">
        <v>9</v>
      </c>
    </row>
    <row r="305" spans="1:3" x14ac:dyDescent="0.25">
      <c r="A305" s="1">
        <v>38918</v>
      </c>
      <c r="B305" t="s">
        <v>9</v>
      </c>
      <c r="C305">
        <v>323</v>
      </c>
    </row>
    <row r="306" spans="1:3" x14ac:dyDescent="0.25">
      <c r="A306" s="1">
        <v>38919</v>
      </c>
      <c r="B306" t="s">
        <v>102</v>
      </c>
      <c r="C306">
        <v>382</v>
      </c>
    </row>
    <row r="307" spans="1:3" x14ac:dyDescent="0.25">
      <c r="A307" s="1">
        <v>38923</v>
      </c>
      <c r="B307" t="s">
        <v>17</v>
      </c>
      <c r="C307">
        <v>296</v>
      </c>
    </row>
    <row r="308" spans="1:3" x14ac:dyDescent="0.25">
      <c r="A308" s="1">
        <v>38924</v>
      </c>
      <c r="B308" t="s">
        <v>5</v>
      </c>
      <c r="C308">
        <v>121</v>
      </c>
    </row>
    <row r="309" spans="1:3" x14ac:dyDescent="0.25">
      <c r="A309" s="1">
        <v>38924</v>
      </c>
      <c r="B309" t="s">
        <v>25</v>
      </c>
      <c r="C309">
        <v>157</v>
      </c>
    </row>
    <row r="310" spans="1:3" x14ac:dyDescent="0.25">
      <c r="A310" s="1">
        <v>38926</v>
      </c>
      <c r="B310" t="s">
        <v>9</v>
      </c>
      <c r="C310">
        <v>497</v>
      </c>
    </row>
    <row r="311" spans="1:3" x14ac:dyDescent="0.25">
      <c r="A311" s="1">
        <v>38927</v>
      </c>
      <c r="B311" t="s">
        <v>9</v>
      </c>
      <c r="C311">
        <v>103</v>
      </c>
    </row>
    <row r="312" spans="1:3" x14ac:dyDescent="0.25">
      <c r="A312" s="1">
        <v>38928</v>
      </c>
      <c r="B312" t="s">
        <v>30</v>
      </c>
      <c r="C312">
        <v>142</v>
      </c>
    </row>
    <row r="313" spans="1:3" x14ac:dyDescent="0.25">
      <c r="A313" s="1">
        <v>38929</v>
      </c>
      <c r="B313" t="s">
        <v>23</v>
      </c>
      <c r="C313">
        <v>144</v>
      </c>
    </row>
    <row r="314" spans="1:3" x14ac:dyDescent="0.25">
      <c r="A314" s="1">
        <v>38931</v>
      </c>
      <c r="B314" t="s">
        <v>100</v>
      </c>
      <c r="C314">
        <v>8</v>
      </c>
    </row>
    <row r="315" spans="1:3" x14ac:dyDescent="0.25">
      <c r="A315" s="1">
        <v>38936</v>
      </c>
      <c r="B315" t="s">
        <v>55</v>
      </c>
      <c r="C315">
        <v>172</v>
      </c>
    </row>
    <row r="316" spans="1:3" x14ac:dyDescent="0.25">
      <c r="A316" s="1">
        <v>38940</v>
      </c>
      <c r="B316" t="s">
        <v>7</v>
      </c>
      <c r="C316">
        <v>290</v>
      </c>
    </row>
    <row r="317" spans="1:3" x14ac:dyDescent="0.25">
      <c r="A317" s="1">
        <v>38942</v>
      </c>
      <c r="B317" t="s">
        <v>14</v>
      </c>
      <c r="C317">
        <v>422</v>
      </c>
    </row>
    <row r="318" spans="1:3" x14ac:dyDescent="0.25">
      <c r="A318" s="1">
        <v>38945</v>
      </c>
      <c r="B318" t="s">
        <v>109</v>
      </c>
      <c r="C318">
        <v>12</v>
      </c>
    </row>
    <row r="319" spans="1:3" x14ac:dyDescent="0.25">
      <c r="A319" s="1">
        <v>38948</v>
      </c>
      <c r="B319" t="s">
        <v>55</v>
      </c>
      <c r="C319">
        <v>104</v>
      </c>
    </row>
    <row r="320" spans="1:3" x14ac:dyDescent="0.25">
      <c r="A320" s="1">
        <v>38949</v>
      </c>
      <c r="B320" t="s">
        <v>35</v>
      </c>
      <c r="C320">
        <v>97</v>
      </c>
    </row>
    <row r="321" spans="1:3" x14ac:dyDescent="0.25">
      <c r="A321" s="1">
        <v>38950</v>
      </c>
      <c r="B321" t="s">
        <v>26</v>
      </c>
      <c r="C321">
        <v>179</v>
      </c>
    </row>
    <row r="322" spans="1:3" x14ac:dyDescent="0.25">
      <c r="A322" s="1">
        <v>38953</v>
      </c>
      <c r="B322" t="s">
        <v>50</v>
      </c>
      <c r="C322">
        <v>256</v>
      </c>
    </row>
    <row r="323" spans="1:3" x14ac:dyDescent="0.25">
      <c r="A323" s="1">
        <v>38954</v>
      </c>
      <c r="B323" t="s">
        <v>113</v>
      </c>
      <c r="C323">
        <v>20</v>
      </c>
    </row>
    <row r="324" spans="1:3" x14ac:dyDescent="0.25">
      <c r="A324" s="1">
        <v>38954</v>
      </c>
      <c r="B324" t="s">
        <v>105</v>
      </c>
      <c r="C324">
        <v>10</v>
      </c>
    </row>
    <row r="325" spans="1:3" x14ac:dyDescent="0.25">
      <c r="A325" s="1">
        <v>38955</v>
      </c>
      <c r="B325" t="s">
        <v>7</v>
      </c>
      <c r="C325">
        <v>407</v>
      </c>
    </row>
    <row r="326" spans="1:3" x14ac:dyDescent="0.25">
      <c r="A326" s="1">
        <v>38956</v>
      </c>
      <c r="B326" t="s">
        <v>22</v>
      </c>
      <c r="C326">
        <v>297</v>
      </c>
    </row>
    <row r="327" spans="1:3" x14ac:dyDescent="0.25">
      <c r="A327" s="1">
        <v>38956</v>
      </c>
      <c r="B327" t="s">
        <v>71</v>
      </c>
      <c r="C327">
        <v>133</v>
      </c>
    </row>
    <row r="328" spans="1:3" x14ac:dyDescent="0.25">
      <c r="A328" s="1">
        <v>38956</v>
      </c>
      <c r="B328" t="s">
        <v>35</v>
      </c>
      <c r="C328">
        <v>33</v>
      </c>
    </row>
    <row r="329" spans="1:3" x14ac:dyDescent="0.25">
      <c r="A329" s="1">
        <v>38959</v>
      </c>
      <c r="B329" t="s">
        <v>14</v>
      </c>
      <c r="C329">
        <v>220</v>
      </c>
    </row>
    <row r="330" spans="1:3" x14ac:dyDescent="0.25">
      <c r="A330" s="1">
        <v>38959</v>
      </c>
      <c r="B330" t="s">
        <v>28</v>
      </c>
      <c r="C330">
        <v>114</v>
      </c>
    </row>
    <row r="331" spans="1:3" x14ac:dyDescent="0.25">
      <c r="A331" s="1">
        <v>38962</v>
      </c>
      <c r="B331" t="s">
        <v>8</v>
      </c>
      <c r="C331">
        <v>130</v>
      </c>
    </row>
    <row r="332" spans="1:3" x14ac:dyDescent="0.25">
      <c r="A332" s="1">
        <v>38962</v>
      </c>
      <c r="B332" t="s">
        <v>30</v>
      </c>
      <c r="C332">
        <v>52</v>
      </c>
    </row>
    <row r="333" spans="1:3" x14ac:dyDescent="0.25">
      <c r="A333" s="1">
        <v>38962</v>
      </c>
      <c r="B333" t="s">
        <v>28</v>
      </c>
      <c r="C333">
        <v>33</v>
      </c>
    </row>
    <row r="334" spans="1:3" x14ac:dyDescent="0.25">
      <c r="A334" s="1">
        <v>38963</v>
      </c>
      <c r="B334" t="s">
        <v>61</v>
      </c>
      <c r="C334">
        <v>57</v>
      </c>
    </row>
    <row r="335" spans="1:3" x14ac:dyDescent="0.25">
      <c r="A335" s="1">
        <v>38965</v>
      </c>
      <c r="B335" t="s">
        <v>123</v>
      </c>
      <c r="C335">
        <v>190</v>
      </c>
    </row>
    <row r="336" spans="1:3" x14ac:dyDescent="0.25">
      <c r="A336" s="1">
        <v>38965</v>
      </c>
      <c r="B336" t="s">
        <v>84</v>
      </c>
      <c r="C336">
        <v>8</v>
      </c>
    </row>
    <row r="337" spans="1:3" x14ac:dyDescent="0.25">
      <c r="A337" s="1">
        <v>38965</v>
      </c>
      <c r="B337" t="s">
        <v>7</v>
      </c>
      <c r="C337">
        <v>255</v>
      </c>
    </row>
    <row r="338" spans="1:3" x14ac:dyDescent="0.25">
      <c r="A338" s="1">
        <v>38967</v>
      </c>
      <c r="B338" t="s">
        <v>71</v>
      </c>
      <c r="C338">
        <v>108</v>
      </c>
    </row>
    <row r="339" spans="1:3" x14ac:dyDescent="0.25">
      <c r="A339" s="1">
        <v>38971</v>
      </c>
      <c r="B339" t="s">
        <v>18</v>
      </c>
      <c r="C339">
        <v>78</v>
      </c>
    </row>
    <row r="340" spans="1:3" x14ac:dyDescent="0.25">
      <c r="A340" s="1">
        <v>38972</v>
      </c>
      <c r="B340" t="s">
        <v>7</v>
      </c>
      <c r="C340">
        <v>364</v>
      </c>
    </row>
    <row r="341" spans="1:3" x14ac:dyDescent="0.25">
      <c r="A341" s="1">
        <v>38973</v>
      </c>
      <c r="B341" t="s">
        <v>66</v>
      </c>
      <c r="C341">
        <v>52</v>
      </c>
    </row>
    <row r="342" spans="1:3" x14ac:dyDescent="0.25">
      <c r="A342" s="1">
        <v>38974</v>
      </c>
      <c r="B342" t="s">
        <v>102</v>
      </c>
      <c r="C342">
        <v>343</v>
      </c>
    </row>
    <row r="343" spans="1:3" x14ac:dyDescent="0.25">
      <c r="A343" s="1">
        <v>38976</v>
      </c>
      <c r="B343" t="s">
        <v>52</v>
      </c>
      <c r="C343">
        <v>197</v>
      </c>
    </row>
    <row r="344" spans="1:3" x14ac:dyDescent="0.25">
      <c r="A344" s="1">
        <v>38977</v>
      </c>
      <c r="B344" t="s">
        <v>124</v>
      </c>
      <c r="C344">
        <v>4</v>
      </c>
    </row>
    <row r="345" spans="1:3" x14ac:dyDescent="0.25">
      <c r="A345" s="1">
        <v>38978</v>
      </c>
      <c r="B345" t="s">
        <v>125</v>
      </c>
      <c r="C345">
        <v>8</v>
      </c>
    </row>
    <row r="346" spans="1:3" x14ac:dyDescent="0.25">
      <c r="A346" s="1">
        <v>38978</v>
      </c>
      <c r="B346" t="s">
        <v>56</v>
      </c>
      <c r="C346">
        <v>11</v>
      </c>
    </row>
    <row r="347" spans="1:3" x14ac:dyDescent="0.25">
      <c r="A347" s="1">
        <v>38978</v>
      </c>
      <c r="B347" t="s">
        <v>72</v>
      </c>
      <c r="C347">
        <v>10</v>
      </c>
    </row>
    <row r="348" spans="1:3" x14ac:dyDescent="0.25">
      <c r="A348" s="1">
        <v>38981</v>
      </c>
      <c r="B348" t="s">
        <v>61</v>
      </c>
      <c r="C348">
        <v>96</v>
      </c>
    </row>
    <row r="349" spans="1:3" x14ac:dyDescent="0.25">
      <c r="A349" s="1">
        <v>38981</v>
      </c>
      <c r="B349" t="s">
        <v>55</v>
      </c>
      <c r="C349">
        <v>30</v>
      </c>
    </row>
    <row r="350" spans="1:3" x14ac:dyDescent="0.25">
      <c r="A350" s="1">
        <v>38982</v>
      </c>
      <c r="B350" t="s">
        <v>126</v>
      </c>
      <c r="C350">
        <v>17</v>
      </c>
    </row>
    <row r="351" spans="1:3" x14ac:dyDescent="0.25">
      <c r="A351" s="1">
        <v>38985</v>
      </c>
      <c r="B351" t="s">
        <v>122</v>
      </c>
      <c r="C351">
        <v>17</v>
      </c>
    </row>
    <row r="352" spans="1:3" x14ac:dyDescent="0.25">
      <c r="A352" s="1">
        <v>38985</v>
      </c>
      <c r="B352" t="s">
        <v>12</v>
      </c>
      <c r="C352">
        <v>180</v>
      </c>
    </row>
    <row r="353" spans="1:3" x14ac:dyDescent="0.25">
      <c r="A353" s="1">
        <v>38985</v>
      </c>
      <c r="B353" t="s">
        <v>31</v>
      </c>
      <c r="C353">
        <v>94</v>
      </c>
    </row>
    <row r="354" spans="1:3" x14ac:dyDescent="0.25">
      <c r="A354" s="1">
        <v>38986</v>
      </c>
      <c r="B354" t="s">
        <v>39</v>
      </c>
      <c r="C354">
        <v>45</v>
      </c>
    </row>
    <row r="355" spans="1:3" x14ac:dyDescent="0.25">
      <c r="A355" s="1">
        <v>38987</v>
      </c>
      <c r="B355" t="s">
        <v>7</v>
      </c>
      <c r="C355">
        <v>380</v>
      </c>
    </row>
    <row r="356" spans="1:3" x14ac:dyDescent="0.25">
      <c r="A356" s="1">
        <v>38987</v>
      </c>
      <c r="B356" t="s">
        <v>43</v>
      </c>
      <c r="C356">
        <v>5</v>
      </c>
    </row>
    <row r="357" spans="1:3" x14ac:dyDescent="0.25">
      <c r="A357" s="1">
        <v>38991</v>
      </c>
      <c r="B357" t="s">
        <v>37</v>
      </c>
      <c r="C357">
        <v>170</v>
      </c>
    </row>
    <row r="358" spans="1:3" x14ac:dyDescent="0.25">
      <c r="A358" s="1">
        <v>38995</v>
      </c>
      <c r="B358" t="s">
        <v>45</v>
      </c>
      <c r="C358">
        <v>198</v>
      </c>
    </row>
    <row r="359" spans="1:3" x14ac:dyDescent="0.25">
      <c r="A359" s="1">
        <v>38998</v>
      </c>
      <c r="B359" t="s">
        <v>17</v>
      </c>
      <c r="C359">
        <v>283</v>
      </c>
    </row>
    <row r="360" spans="1:3" x14ac:dyDescent="0.25">
      <c r="A360" s="1">
        <v>39001</v>
      </c>
      <c r="B360" t="s">
        <v>123</v>
      </c>
      <c r="C360">
        <v>42</v>
      </c>
    </row>
    <row r="361" spans="1:3" x14ac:dyDescent="0.25">
      <c r="A361" s="1">
        <v>39003</v>
      </c>
      <c r="B361" t="s">
        <v>6</v>
      </c>
      <c r="C361">
        <v>163</v>
      </c>
    </row>
    <row r="362" spans="1:3" x14ac:dyDescent="0.25">
      <c r="A362" s="1">
        <v>39009</v>
      </c>
      <c r="B362" t="s">
        <v>17</v>
      </c>
      <c r="C362">
        <v>115</v>
      </c>
    </row>
    <row r="363" spans="1:3" x14ac:dyDescent="0.25">
      <c r="A363" s="1">
        <v>39014</v>
      </c>
      <c r="B363" t="s">
        <v>71</v>
      </c>
      <c r="C363">
        <v>75</v>
      </c>
    </row>
    <row r="364" spans="1:3" x14ac:dyDescent="0.25">
      <c r="A364" s="1">
        <v>39015</v>
      </c>
      <c r="B364" t="s">
        <v>45</v>
      </c>
      <c r="C364">
        <v>403</v>
      </c>
    </row>
    <row r="365" spans="1:3" x14ac:dyDescent="0.25">
      <c r="A365" s="1">
        <v>39019</v>
      </c>
      <c r="B365" t="s">
        <v>17</v>
      </c>
      <c r="C365">
        <v>465</v>
      </c>
    </row>
    <row r="366" spans="1:3" x14ac:dyDescent="0.25">
      <c r="A366" s="1">
        <v>39021</v>
      </c>
      <c r="B366" t="s">
        <v>6</v>
      </c>
      <c r="C366">
        <v>194</v>
      </c>
    </row>
    <row r="367" spans="1:3" x14ac:dyDescent="0.25">
      <c r="A367" s="1">
        <v>39021</v>
      </c>
      <c r="B367" t="s">
        <v>69</v>
      </c>
      <c r="C367">
        <v>122</v>
      </c>
    </row>
    <row r="368" spans="1:3" x14ac:dyDescent="0.25">
      <c r="A368" s="1">
        <v>39021</v>
      </c>
      <c r="B368" t="s">
        <v>19</v>
      </c>
      <c r="C368">
        <v>186</v>
      </c>
    </row>
    <row r="369" spans="1:3" x14ac:dyDescent="0.25">
      <c r="A369" s="1">
        <v>39026</v>
      </c>
      <c r="B369" t="s">
        <v>12</v>
      </c>
      <c r="C369">
        <v>137</v>
      </c>
    </row>
    <row r="370" spans="1:3" x14ac:dyDescent="0.25">
      <c r="A370" s="1">
        <v>39029</v>
      </c>
      <c r="B370" t="s">
        <v>79</v>
      </c>
      <c r="C370">
        <v>10</v>
      </c>
    </row>
    <row r="371" spans="1:3" x14ac:dyDescent="0.25">
      <c r="A371" s="1">
        <v>39032</v>
      </c>
      <c r="B371" t="s">
        <v>50</v>
      </c>
      <c r="C371">
        <v>437</v>
      </c>
    </row>
    <row r="372" spans="1:3" x14ac:dyDescent="0.25">
      <c r="A372" s="1">
        <v>39034</v>
      </c>
      <c r="B372" t="s">
        <v>127</v>
      </c>
      <c r="C372">
        <v>20</v>
      </c>
    </row>
    <row r="373" spans="1:3" x14ac:dyDescent="0.25">
      <c r="A373" s="1">
        <v>39035</v>
      </c>
      <c r="B373" t="s">
        <v>14</v>
      </c>
      <c r="C373">
        <v>108</v>
      </c>
    </row>
    <row r="374" spans="1:3" x14ac:dyDescent="0.25">
      <c r="A374" s="1">
        <v>39040</v>
      </c>
      <c r="B374" t="s">
        <v>37</v>
      </c>
      <c r="C374">
        <v>62</v>
      </c>
    </row>
    <row r="375" spans="1:3" x14ac:dyDescent="0.25">
      <c r="A375" s="1">
        <v>39040</v>
      </c>
      <c r="B375" t="s">
        <v>7</v>
      </c>
      <c r="C375">
        <v>426</v>
      </c>
    </row>
    <row r="376" spans="1:3" x14ac:dyDescent="0.25">
      <c r="A376" s="1">
        <v>39043</v>
      </c>
      <c r="B376" t="s">
        <v>45</v>
      </c>
      <c r="C376">
        <v>303</v>
      </c>
    </row>
    <row r="377" spans="1:3" x14ac:dyDescent="0.25">
      <c r="A377" s="1">
        <v>39044</v>
      </c>
      <c r="B377" t="s">
        <v>0</v>
      </c>
      <c r="C377">
        <v>20</v>
      </c>
    </row>
    <row r="378" spans="1:3" x14ac:dyDescent="0.25">
      <c r="A378" s="1">
        <v>39047</v>
      </c>
      <c r="B378" t="s">
        <v>9</v>
      </c>
      <c r="C378">
        <v>237</v>
      </c>
    </row>
    <row r="379" spans="1:3" x14ac:dyDescent="0.25">
      <c r="A379" s="1">
        <v>39048</v>
      </c>
      <c r="B379" t="s">
        <v>23</v>
      </c>
      <c r="C379">
        <v>151</v>
      </c>
    </row>
    <row r="380" spans="1:3" x14ac:dyDescent="0.25">
      <c r="A380" s="1">
        <v>39049</v>
      </c>
      <c r="B380" t="s">
        <v>128</v>
      </c>
      <c r="C380">
        <v>6</v>
      </c>
    </row>
    <row r="381" spans="1:3" x14ac:dyDescent="0.25">
      <c r="A381" s="1">
        <v>39052</v>
      </c>
      <c r="B381" t="s">
        <v>6</v>
      </c>
      <c r="C381">
        <v>124</v>
      </c>
    </row>
    <row r="382" spans="1:3" x14ac:dyDescent="0.25">
      <c r="A382" s="1">
        <v>39054</v>
      </c>
      <c r="B382" t="s">
        <v>129</v>
      </c>
      <c r="C382">
        <v>7</v>
      </c>
    </row>
    <row r="383" spans="1:3" x14ac:dyDescent="0.25">
      <c r="A383" s="1">
        <v>39055</v>
      </c>
      <c r="B383" t="s">
        <v>130</v>
      </c>
      <c r="C383">
        <v>7</v>
      </c>
    </row>
    <row r="384" spans="1:3" x14ac:dyDescent="0.25">
      <c r="A384" s="1">
        <v>39057</v>
      </c>
      <c r="B384" t="s">
        <v>45</v>
      </c>
      <c r="C384">
        <v>105</v>
      </c>
    </row>
    <row r="385" spans="1:3" x14ac:dyDescent="0.25">
      <c r="A385" s="1">
        <v>39058</v>
      </c>
      <c r="B385" t="s">
        <v>69</v>
      </c>
      <c r="C385">
        <v>58</v>
      </c>
    </row>
    <row r="386" spans="1:3" x14ac:dyDescent="0.25">
      <c r="A386" s="1">
        <v>39058</v>
      </c>
      <c r="B386" t="s">
        <v>131</v>
      </c>
      <c r="C386">
        <v>182</v>
      </c>
    </row>
    <row r="387" spans="1:3" x14ac:dyDescent="0.25">
      <c r="A387" s="1">
        <v>39060</v>
      </c>
      <c r="B387" t="s">
        <v>50</v>
      </c>
      <c r="C387">
        <v>163</v>
      </c>
    </row>
    <row r="388" spans="1:3" x14ac:dyDescent="0.25">
      <c r="A388" s="1">
        <v>39060</v>
      </c>
      <c r="B388" t="s">
        <v>132</v>
      </c>
      <c r="C388">
        <v>14</v>
      </c>
    </row>
    <row r="389" spans="1:3" x14ac:dyDescent="0.25">
      <c r="A389" s="1">
        <v>39061</v>
      </c>
      <c r="B389" t="s">
        <v>133</v>
      </c>
      <c r="C389">
        <v>4</v>
      </c>
    </row>
    <row r="390" spans="1:3" x14ac:dyDescent="0.25">
      <c r="A390" s="1">
        <v>39062</v>
      </c>
      <c r="B390" t="s">
        <v>134</v>
      </c>
      <c r="C390">
        <v>13</v>
      </c>
    </row>
    <row r="391" spans="1:3" x14ac:dyDescent="0.25">
      <c r="A391" s="1">
        <v>39063</v>
      </c>
      <c r="B391" t="s">
        <v>7</v>
      </c>
      <c r="C391">
        <v>422</v>
      </c>
    </row>
    <row r="392" spans="1:3" x14ac:dyDescent="0.25">
      <c r="A392" s="1">
        <v>39064</v>
      </c>
      <c r="B392" t="s">
        <v>82</v>
      </c>
      <c r="C392">
        <v>6</v>
      </c>
    </row>
    <row r="393" spans="1:3" x14ac:dyDescent="0.25">
      <c r="A393" s="1">
        <v>39069</v>
      </c>
      <c r="B393" t="s">
        <v>135</v>
      </c>
      <c r="C393">
        <v>15</v>
      </c>
    </row>
    <row r="394" spans="1:3" x14ac:dyDescent="0.25">
      <c r="A394" s="1">
        <v>39070</v>
      </c>
      <c r="B394" t="s">
        <v>30</v>
      </c>
      <c r="C394">
        <v>168</v>
      </c>
    </row>
    <row r="395" spans="1:3" x14ac:dyDescent="0.25">
      <c r="A395" s="1">
        <v>39072</v>
      </c>
      <c r="B395" t="s">
        <v>50</v>
      </c>
      <c r="C395">
        <v>193</v>
      </c>
    </row>
    <row r="396" spans="1:3" x14ac:dyDescent="0.25">
      <c r="A396" s="1">
        <v>39078</v>
      </c>
      <c r="B396" t="s">
        <v>105</v>
      </c>
      <c r="C396">
        <v>15</v>
      </c>
    </row>
    <row r="397" spans="1:3" x14ac:dyDescent="0.25">
      <c r="A397" s="1">
        <v>39079</v>
      </c>
      <c r="B397" t="s">
        <v>23</v>
      </c>
      <c r="C397">
        <v>27</v>
      </c>
    </row>
    <row r="398" spans="1:3" x14ac:dyDescent="0.25">
      <c r="A398" s="1">
        <v>39080</v>
      </c>
      <c r="B398" t="s">
        <v>23</v>
      </c>
      <c r="C398">
        <v>116</v>
      </c>
    </row>
    <row r="399" spans="1:3" x14ac:dyDescent="0.25">
      <c r="A399" s="1">
        <v>39081</v>
      </c>
      <c r="B399" t="s">
        <v>61</v>
      </c>
      <c r="C399">
        <v>21</v>
      </c>
    </row>
    <row r="400" spans="1:3" x14ac:dyDescent="0.25">
      <c r="A400" s="1">
        <v>39081</v>
      </c>
      <c r="B400" t="s">
        <v>23</v>
      </c>
      <c r="C400">
        <v>61</v>
      </c>
    </row>
    <row r="401" spans="1:3" x14ac:dyDescent="0.25">
      <c r="A401" s="1">
        <v>39081</v>
      </c>
      <c r="B401" t="s">
        <v>17</v>
      </c>
      <c r="C401">
        <v>458</v>
      </c>
    </row>
    <row r="402" spans="1:3" x14ac:dyDescent="0.25">
      <c r="A402" s="1">
        <v>39082</v>
      </c>
      <c r="B402" t="s">
        <v>136</v>
      </c>
      <c r="C402">
        <v>19</v>
      </c>
    </row>
    <row r="403" spans="1:3" x14ac:dyDescent="0.25">
      <c r="A403" s="1">
        <v>39084</v>
      </c>
      <c r="B403" t="s">
        <v>55</v>
      </c>
      <c r="C403">
        <v>81</v>
      </c>
    </row>
    <row r="404" spans="1:3" x14ac:dyDescent="0.25">
      <c r="A404" s="1">
        <v>39085</v>
      </c>
      <c r="B404" t="s">
        <v>18</v>
      </c>
      <c r="C404">
        <v>86</v>
      </c>
    </row>
    <row r="405" spans="1:3" x14ac:dyDescent="0.25">
      <c r="A405" s="1">
        <v>39086</v>
      </c>
      <c r="B405" t="s">
        <v>7</v>
      </c>
      <c r="C405">
        <v>142</v>
      </c>
    </row>
    <row r="406" spans="1:3" x14ac:dyDescent="0.25">
      <c r="A406" s="1">
        <v>39092</v>
      </c>
      <c r="B406" t="s">
        <v>17</v>
      </c>
      <c r="C406">
        <v>459</v>
      </c>
    </row>
    <row r="407" spans="1:3" x14ac:dyDescent="0.25">
      <c r="A407" s="1">
        <v>39093</v>
      </c>
      <c r="B407" t="s">
        <v>40</v>
      </c>
      <c r="C407">
        <v>20</v>
      </c>
    </row>
    <row r="408" spans="1:3" x14ac:dyDescent="0.25">
      <c r="A408" s="1">
        <v>39095</v>
      </c>
      <c r="B408" t="s">
        <v>45</v>
      </c>
      <c r="C408">
        <v>245</v>
      </c>
    </row>
    <row r="409" spans="1:3" x14ac:dyDescent="0.25">
      <c r="A409" s="1">
        <v>39095</v>
      </c>
      <c r="B409" t="s">
        <v>100</v>
      </c>
      <c r="C409">
        <v>19</v>
      </c>
    </row>
    <row r="410" spans="1:3" x14ac:dyDescent="0.25">
      <c r="A410" s="1">
        <v>39096</v>
      </c>
      <c r="B410" t="s">
        <v>10</v>
      </c>
      <c r="C410">
        <v>159</v>
      </c>
    </row>
    <row r="411" spans="1:3" x14ac:dyDescent="0.25">
      <c r="A411" s="1">
        <v>39097</v>
      </c>
      <c r="B411" t="s">
        <v>23</v>
      </c>
      <c r="C411">
        <v>99</v>
      </c>
    </row>
    <row r="412" spans="1:3" x14ac:dyDescent="0.25">
      <c r="A412" s="1">
        <v>39099</v>
      </c>
      <c r="B412" t="s">
        <v>22</v>
      </c>
      <c r="C412">
        <v>213</v>
      </c>
    </row>
    <row r="413" spans="1:3" x14ac:dyDescent="0.25">
      <c r="A413" s="1">
        <v>39106</v>
      </c>
      <c r="B413" t="s">
        <v>14</v>
      </c>
      <c r="C413">
        <v>349</v>
      </c>
    </row>
    <row r="414" spans="1:3" x14ac:dyDescent="0.25">
      <c r="A414" s="1">
        <v>39109</v>
      </c>
      <c r="B414" t="s">
        <v>17</v>
      </c>
      <c r="C414">
        <v>114</v>
      </c>
    </row>
    <row r="415" spans="1:3" x14ac:dyDescent="0.25">
      <c r="A415" s="1">
        <v>39109</v>
      </c>
      <c r="B415" t="s">
        <v>27</v>
      </c>
      <c r="C415">
        <v>12</v>
      </c>
    </row>
    <row r="416" spans="1:3" x14ac:dyDescent="0.25">
      <c r="A416" s="1">
        <v>39111</v>
      </c>
      <c r="B416" t="s">
        <v>99</v>
      </c>
      <c r="C416">
        <v>12</v>
      </c>
    </row>
    <row r="417" spans="1:3" x14ac:dyDescent="0.25">
      <c r="A417" s="1">
        <v>39117</v>
      </c>
      <c r="B417" t="s">
        <v>12</v>
      </c>
      <c r="C417">
        <v>132</v>
      </c>
    </row>
    <row r="418" spans="1:3" x14ac:dyDescent="0.25">
      <c r="A418" s="1">
        <v>39120</v>
      </c>
      <c r="B418" t="s">
        <v>23</v>
      </c>
      <c r="C418">
        <v>197</v>
      </c>
    </row>
    <row r="419" spans="1:3" x14ac:dyDescent="0.25">
      <c r="A419" s="1">
        <v>39120</v>
      </c>
      <c r="B419" t="s">
        <v>15</v>
      </c>
      <c r="C419">
        <v>5</v>
      </c>
    </row>
    <row r="420" spans="1:3" x14ac:dyDescent="0.25">
      <c r="A420" s="1">
        <v>39120</v>
      </c>
      <c r="B420" t="s">
        <v>50</v>
      </c>
      <c r="C420">
        <v>403</v>
      </c>
    </row>
    <row r="421" spans="1:3" x14ac:dyDescent="0.25">
      <c r="A421" s="1">
        <v>39121</v>
      </c>
      <c r="B421" t="s">
        <v>10</v>
      </c>
      <c r="C421">
        <v>200</v>
      </c>
    </row>
    <row r="422" spans="1:3" x14ac:dyDescent="0.25">
      <c r="A422" s="1">
        <v>39124</v>
      </c>
      <c r="B422" t="s">
        <v>69</v>
      </c>
      <c r="C422">
        <v>23</v>
      </c>
    </row>
    <row r="423" spans="1:3" x14ac:dyDescent="0.25">
      <c r="A423" s="1">
        <v>39131</v>
      </c>
      <c r="B423" t="s">
        <v>45</v>
      </c>
      <c r="C423">
        <v>337</v>
      </c>
    </row>
    <row r="424" spans="1:3" x14ac:dyDescent="0.25">
      <c r="A424" s="1">
        <v>39132</v>
      </c>
      <c r="B424" t="s">
        <v>5</v>
      </c>
      <c r="C424">
        <v>500</v>
      </c>
    </row>
    <row r="425" spans="1:3" x14ac:dyDescent="0.25">
      <c r="A425" s="1">
        <v>39132</v>
      </c>
      <c r="B425" t="s">
        <v>90</v>
      </c>
      <c r="C425">
        <v>9</v>
      </c>
    </row>
    <row r="426" spans="1:3" x14ac:dyDescent="0.25">
      <c r="A426" s="1">
        <v>39134</v>
      </c>
      <c r="B426" t="s">
        <v>131</v>
      </c>
      <c r="C426">
        <v>39</v>
      </c>
    </row>
    <row r="427" spans="1:3" x14ac:dyDescent="0.25">
      <c r="A427" s="1">
        <v>39139</v>
      </c>
      <c r="B427" t="s">
        <v>78</v>
      </c>
      <c r="C427">
        <v>156</v>
      </c>
    </row>
    <row r="428" spans="1:3" x14ac:dyDescent="0.25">
      <c r="A428" s="1">
        <v>39140</v>
      </c>
      <c r="B428" t="s">
        <v>17</v>
      </c>
      <c r="C428">
        <v>258</v>
      </c>
    </row>
    <row r="429" spans="1:3" x14ac:dyDescent="0.25">
      <c r="A429" s="1">
        <v>39140</v>
      </c>
      <c r="B429" t="s">
        <v>94</v>
      </c>
      <c r="C429">
        <v>14</v>
      </c>
    </row>
    <row r="430" spans="1:3" x14ac:dyDescent="0.25">
      <c r="A430" s="1">
        <v>39142</v>
      </c>
      <c r="B430" t="s">
        <v>12</v>
      </c>
      <c r="C430">
        <v>91</v>
      </c>
    </row>
    <row r="431" spans="1:3" x14ac:dyDescent="0.25">
      <c r="A431" s="1">
        <v>39149</v>
      </c>
      <c r="B431" t="s">
        <v>12</v>
      </c>
      <c r="C431">
        <v>68</v>
      </c>
    </row>
    <row r="432" spans="1:3" x14ac:dyDescent="0.25">
      <c r="A432" s="1">
        <v>39150</v>
      </c>
      <c r="B432" t="s">
        <v>137</v>
      </c>
      <c r="C432">
        <v>13</v>
      </c>
    </row>
    <row r="433" spans="1:3" x14ac:dyDescent="0.25">
      <c r="A433" s="1">
        <v>39152</v>
      </c>
      <c r="B433" t="s">
        <v>28</v>
      </c>
      <c r="C433">
        <v>118</v>
      </c>
    </row>
    <row r="434" spans="1:3" x14ac:dyDescent="0.25">
      <c r="A434" s="1">
        <v>39154</v>
      </c>
      <c r="B434" t="s">
        <v>25</v>
      </c>
      <c r="C434">
        <v>54</v>
      </c>
    </row>
    <row r="435" spans="1:3" x14ac:dyDescent="0.25">
      <c r="A435" s="1">
        <v>39158</v>
      </c>
      <c r="B435" t="s">
        <v>138</v>
      </c>
      <c r="C435">
        <v>10</v>
      </c>
    </row>
    <row r="436" spans="1:3" x14ac:dyDescent="0.25">
      <c r="A436" s="1">
        <v>39162</v>
      </c>
      <c r="B436" t="s">
        <v>50</v>
      </c>
      <c r="C436">
        <v>339</v>
      </c>
    </row>
    <row r="437" spans="1:3" x14ac:dyDescent="0.25">
      <c r="A437" s="1">
        <v>39163</v>
      </c>
      <c r="B437" t="s">
        <v>30</v>
      </c>
      <c r="C437">
        <v>80</v>
      </c>
    </row>
    <row r="438" spans="1:3" x14ac:dyDescent="0.25">
      <c r="A438" s="1">
        <v>39165</v>
      </c>
      <c r="B438" t="s">
        <v>22</v>
      </c>
      <c r="C438">
        <v>431</v>
      </c>
    </row>
    <row r="439" spans="1:3" x14ac:dyDescent="0.25">
      <c r="A439" s="1">
        <v>39167</v>
      </c>
      <c r="B439" t="s">
        <v>50</v>
      </c>
      <c r="C439">
        <v>268</v>
      </c>
    </row>
    <row r="440" spans="1:3" x14ac:dyDescent="0.25">
      <c r="A440" s="1">
        <v>39167</v>
      </c>
      <c r="B440" t="s">
        <v>22</v>
      </c>
      <c r="C440">
        <v>440</v>
      </c>
    </row>
    <row r="441" spans="1:3" x14ac:dyDescent="0.25">
      <c r="A441" s="1">
        <v>39167</v>
      </c>
      <c r="B441" t="s">
        <v>5</v>
      </c>
      <c r="C441">
        <v>396</v>
      </c>
    </row>
    <row r="442" spans="1:3" x14ac:dyDescent="0.25">
      <c r="A442" s="1">
        <v>39167</v>
      </c>
      <c r="B442" t="s">
        <v>18</v>
      </c>
      <c r="C442">
        <v>157</v>
      </c>
    </row>
    <row r="443" spans="1:3" x14ac:dyDescent="0.25">
      <c r="A443" s="1">
        <v>39171</v>
      </c>
      <c r="B443" t="s">
        <v>12</v>
      </c>
      <c r="C443">
        <v>194</v>
      </c>
    </row>
    <row r="444" spans="1:3" x14ac:dyDescent="0.25">
      <c r="A444" s="1">
        <v>39172</v>
      </c>
      <c r="B444" t="s">
        <v>39</v>
      </c>
      <c r="C444">
        <v>156</v>
      </c>
    </row>
    <row r="445" spans="1:3" x14ac:dyDescent="0.25">
      <c r="A445" s="1">
        <v>39173</v>
      </c>
      <c r="B445" t="s">
        <v>112</v>
      </c>
      <c r="C445">
        <v>11</v>
      </c>
    </row>
    <row r="446" spans="1:3" x14ac:dyDescent="0.25">
      <c r="A446" s="1">
        <v>39174</v>
      </c>
      <c r="B446" t="s">
        <v>35</v>
      </c>
      <c r="C446">
        <v>110</v>
      </c>
    </row>
    <row r="447" spans="1:3" x14ac:dyDescent="0.25">
      <c r="A447" s="1">
        <v>39176</v>
      </c>
      <c r="B447" t="s">
        <v>139</v>
      </c>
      <c r="C447">
        <v>12</v>
      </c>
    </row>
    <row r="448" spans="1:3" x14ac:dyDescent="0.25">
      <c r="A448" s="1">
        <v>39177</v>
      </c>
      <c r="B448" t="s">
        <v>5</v>
      </c>
      <c r="C448">
        <v>464</v>
      </c>
    </row>
    <row r="449" spans="1:3" x14ac:dyDescent="0.25">
      <c r="A449" s="1">
        <v>39178</v>
      </c>
      <c r="B449" t="s">
        <v>66</v>
      </c>
      <c r="C449">
        <v>40</v>
      </c>
    </row>
    <row r="450" spans="1:3" x14ac:dyDescent="0.25">
      <c r="A450" s="1">
        <v>39179</v>
      </c>
      <c r="B450" t="s">
        <v>39</v>
      </c>
      <c r="C450">
        <v>52</v>
      </c>
    </row>
    <row r="451" spans="1:3" x14ac:dyDescent="0.25">
      <c r="A451" s="1">
        <v>39184</v>
      </c>
      <c r="B451" t="s">
        <v>75</v>
      </c>
      <c r="C451">
        <v>12</v>
      </c>
    </row>
    <row r="452" spans="1:3" x14ac:dyDescent="0.25">
      <c r="A452" s="1">
        <v>39186</v>
      </c>
      <c r="B452" t="s">
        <v>7</v>
      </c>
      <c r="C452">
        <v>412</v>
      </c>
    </row>
    <row r="453" spans="1:3" x14ac:dyDescent="0.25">
      <c r="A453" s="1">
        <v>39188</v>
      </c>
      <c r="B453" t="s">
        <v>17</v>
      </c>
      <c r="C453">
        <v>268</v>
      </c>
    </row>
    <row r="454" spans="1:3" x14ac:dyDescent="0.25">
      <c r="A454" s="1">
        <v>39188</v>
      </c>
      <c r="B454" t="s">
        <v>7</v>
      </c>
      <c r="C454">
        <v>495</v>
      </c>
    </row>
    <row r="455" spans="1:3" x14ac:dyDescent="0.25">
      <c r="A455" s="1">
        <v>39188</v>
      </c>
      <c r="B455" t="s">
        <v>35</v>
      </c>
      <c r="C455">
        <v>30</v>
      </c>
    </row>
    <row r="456" spans="1:3" x14ac:dyDescent="0.25">
      <c r="A456" s="1">
        <v>39191</v>
      </c>
      <c r="B456" t="s">
        <v>6</v>
      </c>
      <c r="C456">
        <v>67</v>
      </c>
    </row>
    <row r="457" spans="1:3" x14ac:dyDescent="0.25">
      <c r="A457" s="1">
        <v>39197</v>
      </c>
      <c r="B457" t="s">
        <v>14</v>
      </c>
      <c r="C457">
        <v>497</v>
      </c>
    </row>
    <row r="458" spans="1:3" x14ac:dyDescent="0.25">
      <c r="A458" s="1">
        <v>39200</v>
      </c>
      <c r="B458" t="s">
        <v>22</v>
      </c>
      <c r="C458">
        <v>102</v>
      </c>
    </row>
    <row r="459" spans="1:3" x14ac:dyDescent="0.25">
      <c r="A459" s="1">
        <v>39203</v>
      </c>
      <c r="B459" t="s">
        <v>7</v>
      </c>
      <c r="C459">
        <v>322</v>
      </c>
    </row>
    <row r="460" spans="1:3" x14ac:dyDescent="0.25">
      <c r="A460" s="1">
        <v>39204</v>
      </c>
      <c r="B460" t="s">
        <v>9</v>
      </c>
      <c r="C460">
        <v>297</v>
      </c>
    </row>
    <row r="461" spans="1:3" x14ac:dyDescent="0.25">
      <c r="A461" s="1">
        <v>39206</v>
      </c>
      <c r="B461" t="s">
        <v>12</v>
      </c>
      <c r="C461">
        <v>179</v>
      </c>
    </row>
    <row r="462" spans="1:3" x14ac:dyDescent="0.25">
      <c r="A462" s="1">
        <v>39208</v>
      </c>
      <c r="B462" t="s">
        <v>140</v>
      </c>
      <c r="C462">
        <v>15</v>
      </c>
    </row>
    <row r="463" spans="1:3" x14ac:dyDescent="0.25">
      <c r="A463" s="1">
        <v>39210</v>
      </c>
      <c r="B463" t="s">
        <v>61</v>
      </c>
      <c r="C463">
        <v>65</v>
      </c>
    </row>
    <row r="464" spans="1:3" x14ac:dyDescent="0.25">
      <c r="A464" s="1">
        <v>39212</v>
      </c>
      <c r="B464" t="s">
        <v>7</v>
      </c>
      <c r="C464">
        <v>297</v>
      </c>
    </row>
    <row r="465" spans="1:3" x14ac:dyDescent="0.25">
      <c r="A465" s="1">
        <v>39214</v>
      </c>
      <c r="B465" t="s">
        <v>8</v>
      </c>
      <c r="C465">
        <v>131</v>
      </c>
    </row>
    <row r="466" spans="1:3" x14ac:dyDescent="0.25">
      <c r="A466" s="1">
        <v>39215</v>
      </c>
      <c r="B466" t="s">
        <v>141</v>
      </c>
      <c r="C466">
        <v>12</v>
      </c>
    </row>
    <row r="467" spans="1:3" x14ac:dyDescent="0.25">
      <c r="A467" s="1">
        <v>39215</v>
      </c>
      <c r="B467" t="s">
        <v>18</v>
      </c>
      <c r="C467">
        <v>114</v>
      </c>
    </row>
    <row r="468" spans="1:3" x14ac:dyDescent="0.25">
      <c r="A468" s="1">
        <v>39218</v>
      </c>
      <c r="B468" t="s">
        <v>14</v>
      </c>
      <c r="C468">
        <v>293</v>
      </c>
    </row>
    <row r="469" spans="1:3" x14ac:dyDescent="0.25">
      <c r="A469" s="1">
        <v>39220</v>
      </c>
      <c r="B469" t="s">
        <v>142</v>
      </c>
      <c r="C469">
        <v>18</v>
      </c>
    </row>
    <row r="470" spans="1:3" x14ac:dyDescent="0.25">
      <c r="A470" s="1">
        <v>39220</v>
      </c>
      <c r="B470" t="s">
        <v>19</v>
      </c>
      <c r="C470">
        <v>186</v>
      </c>
    </row>
    <row r="471" spans="1:3" x14ac:dyDescent="0.25">
      <c r="A471" s="1">
        <v>39223</v>
      </c>
      <c r="B471" t="s">
        <v>28</v>
      </c>
      <c r="C471">
        <v>119</v>
      </c>
    </row>
    <row r="472" spans="1:3" x14ac:dyDescent="0.25">
      <c r="A472" s="1">
        <v>39227</v>
      </c>
      <c r="B472" t="s">
        <v>130</v>
      </c>
      <c r="C472">
        <v>4</v>
      </c>
    </row>
    <row r="473" spans="1:3" x14ac:dyDescent="0.25">
      <c r="A473" s="1">
        <v>39230</v>
      </c>
      <c r="B473" t="s">
        <v>14</v>
      </c>
      <c r="C473">
        <v>415</v>
      </c>
    </row>
    <row r="474" spans="1:3" x14ac:dyDescent="0.25">
      <c r="A474" s="1">
        <v>39230</v>
      </c>
      <c r="B474" t="s">
        <v>13</v>
      </c>
      <c r="C474">
        <v>10</v>
      </c>
    </row>
    <row r="475" spans="1:3" x14ac:dyDescent="0.25">
      <c r="A475" s="1">
        <v>39230</v>
      </c>
      <c r="B475" t="s">
        <v>18</v>
      </c>
      <c r="C475">
        <v>159</v>
      </c>
    </row>
    <row r="476" spans="1:3" x14ac:dyDescent="0.25">
      <c r="A476" s="1">
        <v>39231</v>
      </c>
      <c r="B476" t="s">
        <v>17</v>
      </c>
      <c r="C476">
        <v>140</v>
      </c>
    </row>
    <row r="477" spans="1:3" x14ac:dyDescent="0.25">
      <c r="A477" s="1">
        <v>39239</v>
      </c>
      <c r="B477" t="s">
        <v>19</v>
      </c>
      <c r="C477">
        <v>128</v>
      </c>
    </row>
    <row r="478" spans="1:3" x14ac:dyDescent="0.25">
      <c r="A478" s="1">
        <v>39247</v>
      </c>
      <c r="B478" t="s">
        <v>143</v>
      </c>
      <c r="C478">
        <v>9</v>
      </c>
    </row>
    <row r="479" spans="1:3" x14ac:dyDescent="0.25">
      <c r="A479" s="1">
        <v>39247</v>
      </c>
      <c r="B479" t="s">
        <v>17</v>
      </c>
      <c r="C479">
        <v>121</v>
      </c>
    </row>
    <row r="480" spans="1:3" x14ac:dyDescent="0.25">
      <c r="A480" s="1">
        <v>39248</v>
      </c>
      <c r="B480" t="s">
        <v>14</v>
      </c>
      <c r="C480">
        <v>169</v>
      </c>
    </row>
    <row r="481" spans="1:3" x14ac:dyDescent="0.25">
      <c r="A481" s="1">
        <v>39250</v>
      </c>
      <c r="B481" t="s">
        <v>55</v>
      </c>
      <c r="C481">
        <v>118</v>
      </c>
    </row>
    <row r="482" spans="1:3" x14ac:dyDescent="0.25">
      <c r="A482" s="1">
        <v>39250</v>
      </c>
      <c r="B482" t="s">
        <v>78</v>
      </c>
      <c r="C482">
        <v>37</v>
      </c>
    </row>
    <row r="483" spans="1:3" x14ac:dyDescent="0.25">
      <c r="A483" s="1">
        <v>39253</v>
      </c>
      <c r="B483" t="s">
        <v>35</v>
      </c>
      <c r="C483">
        <v>198</v>
      </c>
    </row>
    <row r="484" spans="1:3" x14ac:dyDescent="0.25">
      <c r="A484" s="1">
        <v>39254</v>
      </c>
      <c r="B484" t="s">
        <v>28</v>
      </c>
      <c r="C484">
        <v>74</v>
      </c>
    </row>
    <row r="485" spans="1:3" x14ac:dyDescent="0.25">
      <c r="A485" s="1">
        <v>39259</v>
      </c>
      <c r="B485" t="s">
        <v>144</v>
      </c>
      <c r="C485">
        <v>18</v>
      </c>
    </row>
    <row r="486" spans="1:3" x14ac:dyDescent="0.25">
      <c r="A486" s="1">
        <v>39263</v>
      </c>
      <c r="B486" t="s">
        <v>24</v>
      </c>
      <c r="C486">
        <v>291</v>
      </c>
    </row>
    <row r="487" spans="1:3" x14ac:dyDescent="0.25">
      <c r="A487" s="1">
        <v>39270</v>
      </c>
      <c r="B487" t="s">
        <v>9</v>
      </c>
      <c r="C487">
        <v>208</v>
      </c>
    </row>
    <row r="488" spans="1:3" x14ac:dyDescent="0.25">
      <c r="A488" s="1">
        <v>39270</v>
      </c>
      <c r="B488" t="s">
        <v>5</v>
      </c>
      <c r="C488">
        <v>354</v>
      </c>
    </row>
    <row r="489" spans="1:3" x14ac:dyDescent="0.25">
      <c r="A489" s="1">
        <v>39277</v>
      </c>
      <c r="B489" t="s">
        <v>25</v>
      </c>
      <c r="C489">
        <v>113</v>
      </c>
    </row>
    <row r="490" spans="1:3" x14ac:dyDescent="0.25">
      <c r="A490" s="1">
        <v>39278</v>
      </c>
      <c r="B490" t="s">
        <v>145</v>
      </c>
      <c r="C490">
        <v>3</v>
      </c>
    </row>
    <row r="491" spans="1:3" x14ac:dyDescent="0.25">
      <c r="A491" s="1">
        <v>39278</v>
      </c>
      <c r="B491" t="s">
        <v>45</v>
      </c>
      <c r="C491">
        <v>446</v>
      </c>
    </row>
    <row r="492" spans="1:3" x14ac:dyDescent="0.25">
      <c r="A492" s="1">
        <v>39278</v>
      </c>
      <c r="B492" t="s">
        <v>121</v>
      </c>
      <c r="C492">
        <v>9</v>
      </c>
    </row>
    <row r="493" spans="1:3" x14ac:dyDescent="0.25">
      <c r="A493" s="1">
        <v>39282</v>
      </c>
      <c r="B493" t="s">
        <v>50</v>
      </c>
      <c r="C493">
        <v>445</v>
      </c>
    </row>
    <row r="494" spans="1:3" x14ac:dyDescent="0.25">
      <c r="A494" s="1">
        <v>39283</v>
      </c>
      <c r="B494" t="s">
        <v>69</v>
      </c>
      <c r="C494">
        <v>47</v>
      </c>
    </row>
    <row r="495" spans="1:3" x14ac:dyDescent="0.25">
      <c r="A495" s="1">
        <v>39284</v>
      </c>
      <c r="B495" t="s">
        <v>146</v>
      </c>
      <c r="C495">
        <v>14</v>
      </c>
    </row>
    <row r="496" spans="1:3" x14ac:dyDescent="0.25">
      <c r="A496" s="1">
        <v>39289</v>
      </c>
      <c r="B496" t="s">
        <v>37</v>
      </c>
      <c r="C496">
        <v>187</v>
      </c>
    </row>
    <row r="497" spans="1:3" x14ac:dyDescent="0.25">
      <c r="A497" s="1">
        <v>39290</v>
      </c>
      <c r="B497" t="s">
        <v>45</v>
      </c>
      <c r="C497">
        <v>355</v>
      </c>
    </row>
    <row r="498" spans="1:3" x14ac:dyDescent="0.25">
      <c r="A498" s="1">
        <v>39291</v>
      </c>
      <c r="B498" t="s">
        <v>115</v>
      </c>
      <c r="C498">
        <v>6</v>
      </c>
    </row>
    <row r="499" spans="1:3" x14ac:dyDescent="0.25">
      <c r="A499" s="1">
        <v>39292</v>
      </c>
      <c r="B499" t="s">
        <v>68</v>
      </c>
      <c r="C499">
        <v>18</v>
      </c>
    </row>
    <row r="500" spans="1:3" x14ac:dyDescent="0.25">
      <c r="A500" s="1">
        <v>39294</v>
      </c>
      <c r="B500" t="s">
        <v>71</v>
      </c>
      <c r="C500">
        <v>111</v>
      </c>
    </row>
    <row r="501" spans="1:3" x14ac:dyDescent="0.25">
      <c r="A501" s="1">
        <v>39294</v>
      </c>
      <c r="B501" t="s">
        <v>8</v>
      </c>
      <c r="C501">
        <v>156</v>
      </c>
    </row>
    <row r="502" spans="1:3" x14ac:dyDescent="0.25">
      <c r="A502" s="1">
        <v>39295</v>
      </c>
      <c r="B502" t="s">
        <v>45</v>
      </c>
      <c r="C502">
        <v>396</v>
      </c>
    </row>
    <row r="503" spans="1:3" x14ac:dyDescent="0.25">
      <c r="A503" s="1">
        <v>39299</v>
      </c>
      <c r="B503" t="s">
        <v>60</v>
      </c>
      <c r="C503">
        <v>7</v>
      </c>
    </row>
    <row r="504" spans="1:3" x14ac:dyDescent="0.25">
      <c r="A504" s="1">
        <v>39301</v>
      </c>
      <c r="B504" t="s">
        <v>55</v>
      </c>
      <c r="C504">
        <v>98</v>
      </c>
    </row>
    <row r="505" spans="1:3" x14ac:dyDescent="0.25">
      <c r="A505" s="1">
        <v>39303</v>
      </c>
      <c r="B505" t="s">
        <v>45</v>
      </c>
      <c r="C505">
        <v>405</v>
      </c>
    </row>
    <row r="506" spans="1:3" x14ac:dyDescent="0.25">
      <c r="A506" s="1">
        <v>39305</v>
      </c>
      <c r="B506" t="s">
        <v>7</v>
      </c>
      <c r="C506">
        <v>220</v>
      </c>
    </row>
    <row r="507" spans="1:3" x14ac:dyDescent="0.25">
      <c r="A507" s="1">
        <v>39306</v>
      </c>
      <c r="B507" t="s">
        <v>30</v>
      </c>
      <c r="C507">
        <v>141</v>
      </c>
    </row>
    <row r="508" spans="1:3" x14ac:dyDescent="0.25">
      <c r="A508" s="1">
        <v>39307</v>
      </c>
      <c r="B508" t="s">
        <v>90</v>
      </c>
      <c r="C508">
        <v>17</v>
      </c>
    </row>
    <row r="509" spans="1:3" x14ac:dyDescent="0.25">
      <c r="A509" s="1">
        <v>39307</v>
      </c>
      <c r="B509" t="s">
        <v>9</v>
      </c>
      <c r="C509">
        <v>260</v>
      </c>
    </row>
    <row r="510" spans="1:3" x14ac:dyDescent="0.25">
      <c r="A510" s="1">
        <v>39308</v>
      </c>
      <c r="B510" t="s">
        <v>119</v>
      </c>
      <c r="C510">
        <v>11</v>
      </c>
    </row>
    <row r="511" spans="1:3" x14ac:dyDescent="0.25">
      <c r="A511" s="1">
        <v>39312</v>
      </c>
      <c r="B511" t="s">
        <v>52</v>
      </c>
      <c r="C511">
        <v>182</v>
      </c>
    </row>
    <row r="512" spans="1:3" x14ac:dyDescent="0.25">
      <c r="A512" s="1">
        <v>39314</v>
      </c>
      <c r="B512" t="s">
        <v>37</v>
      </c>
      <c r="C512">
        <v>59</v>
      </c>
    </row>
    <row r="513" spans="1:3" x14ac:dyDescent="0.25">
      <c r="A513" s="1">
        <v>39315</v>
      </c>
      <c r="B513" t="s">
        <v>66</v>
      </c>
      <c r="C513">
        <v>45</v>
      </c>
    </row>
    <row r="514" spans="1:3" x14ac:dyDescent="0.25">
      <c r="A514" s="1">
        <v>39315</v>
      </c>
      <c r="B514" t="s">
        <v>76</v>
      </c>
      <c r="C514">
        <v>3</v>
      </c>
    </row>
    <row r="515" spans="1:3" x14ac:dyDescent="0.25">
      <c r="A515" s="1">
        <v>39317</v>
      </c>
      <c r="B515" t="s">
        <v>61</v>
      </c>
      <c r="C515">
        <v>52</v>
      </c>
    </row>
    <row r="516" spans="1:3" x14ac:dyDescent="0.25">
      <c r="A516" s="1">
        <v>39317</v>
      </c>
      <c r="B516" t="s">
        <v>22</v>
      </c>
      <c r="C516">
        <v>373</v>
      </c>
    </row>
    <row r="517" spans="1:3" x14ac:dyDescent="0.25">
      <c r="A517" s="1">
        <v>39318</v>
      </c>
      <c r="B517" t="s">
        <v>34</v>
      </c>
      <c r="C517">
        <v>2</v>
      </c>
    </row>
    <row r="518" spans="1:3" x14ac:dyDescent="0.25">
      <c r="A518" s="1">
        <v>39318</v>
      </c>
      <c r="B518" t="s">
        <v>24</v>
      </c>
      <c r="C518">
        <v>445</v>
      </c>
    </row>
    <row r="519" spans="1:3" x14ac:dyDescent="0.25">
      <c r="A519" s="1">
        <v>39319</v>
      </c>
      <c r="B519" t="s">
        <v>52</v>
      </c>
      <c r="C519">
        <v>93</v>
      </c>
    </row>
    <row r="520" spans="1:3" x14ac:dyDescent="0.25">
      <c r="A520" s="1">
        <v>39324</v>
      </c>
      <c r="B520" t="s">
        <v>22</v>
      </c>
      <c r="C520">
        <v>329</v>
      </c>
    </row>
    <row r="521" spans="1:3" x14ac:dyDescent="0.25">
      <c r="A521" s="1">
        <v>39326</v>
      </c>
      <c r="B521" t="s">
        <v>22</v>
      </c>
      <c r="C521">
        <v>217</v>
      </c>
    </row>
    <row r="522" spans="1:3" x14ac:dyDescent="0.25">
      <c r="A522" s="1">
        <v>39326</v>
      </c>
      <c r="B522" t="s">
        <v>18</v>
      </c>
      <c r="C522">
        <v>165</v>
      </c>
    </row>
    <row r="523" spans="1:3" x14ac:dyDescent="0.25">
      <c r="A523" s="1">
        <v>39327</v>
      </c>
      <c r="B523" t="s">
        <v>41</v>
      </c>
      <c r="C523">
        <v>20</v>
      </c>
    </row>
    <row r="524" spans="1:3" x14ac:dyDescent="0.25">
      <c r="A524" s="1">
        <v>39328</v>
      </c>
      <c r="B524" t="s">
        <v>33</v>
      </c>
      <c r="C524">
        <v>11</v>
      </c>
    </row>
    <row r="525" spans="1:3" x14ac:dyDescent="0.25">
      <c r="A525" s="1">
        <v>39329</v>
      </c>
      <c r="B525" t="s">
        <v>14</v>
      </c>
      <c r="C525">
        <v>294</v>
      </c>
    </row>
    <row r="526" spans="1:3" x14ac:dyDescent="0.25">
      <c r="A526" s="1">
        <v>39331</v>
      </c>
      <c r="B526" t="s">
        <v>12</v>
      </c>
      <c r="C526">
        <v>82</v>
      </c>
    </row>
    <row r="527" spans="1:3" x14ac:dyDescent="0.25">
      <c r="A527" s="1">
        <v>39331</v>
      </c>
      <c r="B527" t="s">
        <v>23</v>
      </c>
      <c r="C527">
        <v>186</v>
      </c>
    </row>
    <row r="528" spans="1:3" x14ac:dyDescent="0.25">
      <c r="A528" s="1">
        <v>39333</v>
      </c>
      <c r="B528" t="s">
        <v>10</v>
      </c>
      <c r="C528">
        <v>163</v>
      </c>
    </row>
    <row r="529" spans="1:3" x14ac:dyDescent="0.25">
      <c r="A529" s="1">
        <v>39333</v>
      </c>
      <c r="B529" t="s">
        <v>30</v>
      </c>
      <c r="C529">
        <v>148</v>
      </c>
    </row>
    <row r="530" spans="1:3" x14ac:dyDescent="0.25">
      <c r="A530" s="1">
        <v>39334</v>
      </c>
      <c r="B530" t="s">
        <v>40</v>
      </c>
      <c r="C530">
        <v>2</v>
      </c>
    </row>
    <row r="531" spans="1:3" x14ac:dyDescent="0.25">
      <c r="A531" s="1">
        <v>39336</v>
      </c>
      <c r="B531" t="s">
        <v>22</v>
      </c>
      <c r="C531">
        <v>343</v>
      </c>
    </row>
    <row r="532" spans="1:3" x14ac:dyDescent="0.25">
      <c r="A532" s="1">
        <v>39336</v>
      </c>
      <c r="B532" t="s">
        <v>71</v>
      </c>
      <c r="C532">
        <v>51</v>
      </c>
    </row>
    <row r="533" spans="1:3" x14ac:dyDescent="0.25">
      <c r="A533" s="1">
        <v>39339</v>
      </c>
      <c r="B533" t="s">
        <v>10</v>
      </c>
      <c r="C533">
        <v>164</v>
      </c>
    </row>
    <row r="534" spans="1:3" x14ac:dyDescent="0.25">
      <c r="A534" s="1">
        <v>39339</v>
      </c>
      <c r="B534" t="s">
        <v>4</v>
      </c>
      <c r="C534">
        <v>5</v>
      </c>
    </row>
    <row r="535" spans="1:3" x14ac:dyDescent="0.25">
      <c r="A535" s="1">
        <v>39340</v>
      </c>
      <c r="B535" t="s">
        <v>7</v>
      </c>
      <c r="C535">
        <v>260</v>
      </c>
    </row>
    <row r="536" spans="1:3" x14ac:dyDescent="0.25">
      <c r="A536" s="1">
        <v>39340</v>
      </c>
      <c r="B536" t="s">
        <v>9</v>
      </c>
      <c r="C536">
        <v>415</v>
      </c>
    </row>
    <row r="537" spans="1:3" x14ac:dyDescent="0.25">
      <c r="A537" s="1">
        <v>39341</v>
      </c>
      <c r="B537" t="s">
        <v>9</v>
      </c>
      <c r="C537">
        <v>467</v>
      </c>
    </row>
    <row r="538" spans="1:3" x14ac:dyDescent="0.25">
      <c r="A538" s="1">
        <v>39341</v>
      </c>
      <c r="B538" t="s">
        <v>61</v>
      </c>
      <c r="C538">
        <v>43</v>
      </c>
    </row>
    <row r="539" spans="1:3" x14ac:dyDescent="0.25">
      <c r="A539" s="1">
        <v>39342</v>
      </c>
      <c r="B539" t="s">
        <v>8</v>
      </c>
      <c r="C539">
        <v>40</v>
      </c>
    </row>
    <row r="540" spans="1:3" x14ac:dyDescent="0.25">
      <c r="A540" s="1">
        <v>39344</v>
      </c>
      <c r="B540" t="s">
        <v>147</v>
      </c>
      <c r="C540">
        <v>10</v>
      </c>
    </row>
    <row r="541" spans="1:3" x14ac:dyDescent="0.25">
      <c r="A541" s="1">
        <v>39345</v>
      </c>
      <c r="B541" t="s">
        <v>9</v>
      </c>
      <c r="C541">
        <v>197</v>
      </c>
    </row>
    <row r="542" spans="1:3" x14ac:dyDescent="0.25">
      <c r="A542" s="1">
        <v>39348</v>
      </c>
      <c r="B542" t="s">
        <v>78</v>
      </c>
      <c r="C542">
        <v>145</v>
      </c>
    </row>
    <row r="543" spans="1:3" x14ac:dyDescent="0.25">
      <c r="A543" s="1">
        <v>39349</v>
      </c>
      <c r="B543" t="s">
        <v>55</v>
      </c>
      <c r="C543">
        <v>105</v>
      </c>
    </row>
    <row r="544" spans="1:3" x14ac:dyDescent="0.25">
      <c r="A544" s="1">
        <v>39350</v>
      </c>
      <c r="B544" t="s">
        <v>37</v>
      </c>
      <c r="C544">
        <v>33</v>
      </c>
    </row>
    <row r="545" spans="1:3" x14ac:dyDescent="0.25">
      <c r="A545" s="1">
        <v>39350</v>
      </c>
      <c r="B545" t="s">
        <v>120</v>
      </c>
      <c r="C545">
        <v>78</v>
      </c>
    </row>
    <row r="546" spans="1:3" x14ac:dyDescent="0.25">
      <c r="A546" s="1">
        <v>39351</v>
      </c>
      <c r="B546" t="s">
        <v>9</v>
      </c>
      <c r="C546">
        <v>466</v>
      </c>
    </row>
    <row r="547" spans="1:3" x14ac:dyDescent="0.25">
      <c r="A547" s="1">
        <v>39354</v>
      </c>
      <c r="B547" t="s">
        <v>45</v>
      </c>
      <c r="C547">
        <v>476</v>
      </c>
    </row>
    <row r="548" spans="1:3" x14ac:dyDescent="0.25">
      <c r="A548" s="1">
        <v>39357</v>
      </c>
      <c r="B548" t="s">
        <v>19</v>
      </c>
      <c r="C548">
        <v>151</v>
      </c>
    </row>
    <row r="549" spans="1:3" x14ac:dyDescent="0.25">
      <c r="A549" s="1">
        <v>39357</v>
      </c>
      <c r="B549" t="s">
        <v>148</v>
      </c>
      <c r="C549">
        <v>17</v>
      </c>
    </row>
    <row r="550" spans="1:3" x14ac:dyDescent="0.25">
      <c r="A550" s="1">
        <v>39361</v>
      </c>
      <c r="B550" t="s">
        <v>149</v>
      </c>
      <c r="C550">
        <v>4</v>
      </c>
    </row>
    <row r="551" spans="1:3" x14ac:dyDescent="0.25">
      <c r="A551" s="1">
        <v>39371</v>
      </c>
      <c r="B551" t="s">
        <v>5</v>
      </c>
      <c r="C551">
        <v>131</v>
      </c>
    </row>
    <row r="552" spans="1:3" x14ac:dyDescent="0.25">
      <c r="A552" s="1">
        <v>39371</v>
      </c>
      <c r="B552" t="s">
        <v>24</v>
      </c>
      <c r="C552">
        <v>369</v>
      </c>
    </row>
    <row r="553" spans="1:3" x14ac:dyDescent="0.25">
      <c r="A553" s="1">
        <v>39371</v>
      </c>
      <c r="B553" t="s">
        <v>131</v>
      </c>
      <c r="C553">
        <v>60</v>
      </c>
    </row>
    <row r="554" spans="1:3" x14ac:dyDescent="0.25">
      <c r="A554" s="1">
        <v>39375</v>
      </c>
      <c r="B554" t="s">
        <v>17</v>
      </c>
      <c r="C554">
        <v>405</v>
      </c>
    </row>
    <row r="555" spans="1:3" x14ac:dyDescent="0.25">
      <c r="A555" s="1">
        <v>39376</v>
      </c>
      <c r="B555" t="s">
        <v>21</v>
      </c>
      <c r="C555">
        <v>3</v>
      </c>
    </row>
    <row r="556" spans="1:3" x14ac:dyDescent="0.25">
      <c r="A556" s="1">
        <v>39380</v>
      </c>
      <c r="B556" t="s">
        <v>78</v>
      </c>
      <c r="C556">
        <v>35</v>
      </c>
    </row>
    <row r="557" spans="1:3" x14ac:dyDescent="0.25">
      <c r="A557" s="1">
        <v>39382</v>
      </c>
      <c r="B557" t="s">
        <v>50</v>
      </c>
      <c r="C557">
        <v>444</v>
      </c>
    </row>
    <row r="558" spans="1:3" x14ac:dyDescent="0.25">
      <c r="A558" s="1">
        <v>39382</v>
      </c>
      <c r="B558" t="s">
        <v>45</v>
      </c>
      <c r="C558">
        <v>424</v>
      </c>
    </row>
    <row r="559" spans="1:3" x14ac:dyDescent="0.25">
      <c r="A559" s="1">
        <v>39382</v>
      </c>
      <c r="B559" t="s">
        <v>150</v>
      </c>
      <c r="C559">
        <v>2</v>
      </c>
    </row>
    <row r="560" spans="1:3" x14ac:dyDescent="0.25">
      <c r="A560" s="1">
        <v>39385</v>
      </c>
      <c r="B560" t="s">
        <v>17</v>
      </c>
      <c r="C560">
        <v>480</v>
      </c>
    </row>
    <row r="561" spans="1:3" x14ac:dyDescent="0.25">
      <c r="A561" s="1">
        <v>39386</v>
      </c>
      <c r="B561" t="s">
        <v>37</v>
      </c>
      <c r="C561">
        <v>65</v>
      </c>
    </row>
    <row r="562" spans="1:3" x14ac:dyDescent="0.25">
      <c r="A562" s="1">
        <v>39388</v>
      </c>
      <c r="B562" t="s">
        <v>89</v>
      </c>
      <c r="C562">
        <v>8</v>
      </c>
    </row>
    <row r="563" spans="1:3" x14ac:dyDescent="0.25">
      <c r="A563" s="1">
        <v>39389</v>
      </c>
      <c r="B563" t="s">
        <v>52</v>
      </c>
      <c r="C563">
        <v>52</v>
      </c>
    </row>
    <row r="564" spans="1:3" x14ac:dyDescent="0.25">
      <c r="A564" s="1">
        <v>39392</v>
      </c>
      <c r="B564" t="s">
        <v>40</v>
      </c>
      <c r="C564">
        <v>8</v>
      </c>
    </row>
    <row r="565" spans="1:3" x14ac:dyDescent="0.25">
      <c r="A565" s="1">
        <v>39393</v>
      </c>
      <c r="B565" t="s">
        <v>7</v>
      </c>
      <c r="C565">
        <v>143</v>
      </c>
    </row>
    <row r="566" spans="1:3" x14ac:dyDescent="0.25">
      <c r="A566" s="1">
        <v>39394</v>
      </c>
      <c r="B566" t="s">
        <v>18</v>
      </c>
      <c r="C566">
        <v>20</v>
      </c>
    </row>
    <row r="567" spans="1:3" x14ac:dyDescent="0.25">
      <c r="A567" s="1">
        <v>39397</v>
      </c>
      <c r="B567" t="s">
        <v>14</v>
      </c>
      <c r="C567">
        <v>396</v>
      </c>
    </row>
    <row r="568" spans="1:3" x14ac:dyDescent="0.25">
      <c r="A568" s="1">
        <v>39398</v>
      </c>
      <c r="B568" t="s">
        <v>69</v>
      </c>
      <c r="C568">
        <v>168</v>
      </c>
    </row>
    <row r="569" spans="1:3" x14ac:dyDescent="0.25">
      <c r="A569" s="1">
        <v>39399</v>
      </c>
      <c r="B569" t="s">
        <v>69</v>
      </c>
      <c r="C569">
        <v>69</v>
      </c>
    </row>
    <row r="570" spans="1:3" x14ac:dyDescent="0.25">
      <c r="A570" s="1">
        <v>39407</v>
      </c>
      <c r="B570" t="s">
        <v>30</v>
      </c>
      <c r="C570">
        <v>99</v>
      </c>
    </row>
    <row r="571" spans="1:3" x14ac:dyDescent="0.25">
      <c r="A571" s="1">
        <v>39407</v>
      </c>
      <c r="B571" t="s">
        <v>123</v>
      </c>
      <c r="C571">
        <v>57</v>
      </c>
    </row>
    <row r="572" spans="1:3" x14ac:dyDescent="0.25">
      <c r="A572" s="1">
        <v>39408</v>
      </c>
      <c r="B572" t="s">
        <v>6</v>
      </c>
      <c r="C572">
        <v>103</v>
      </c>
    </row>
    <row r="573" spans="1:3" x14ac:dyDescent="0.25">
      <c r="A573" s="1">
        <v>39409</v>
      </c>
      <c r="B573" t="s">
        <v>124</v>
      </c>
      <c r="C573">
        <v>2</v>
      </c>
    </row>
    <row r="574" spans="1:3" x14ac:dyDescent="0.25">
      <c r="A574" s="1">
        <v>39412</v>
      </c>
      <c r="B574" t="s">
        <v>52</v>
      </c>
      <c r="C574">
        <v>88</v>
      </c>
    </row>
    <row r="575" spans="1:3" x14ac:dyDescent="0.25">
      <c r="A575" s="1">
        <v>39414</v>
      </c>
      <c r="B575" t="s">
        <v>37</v>
      </c>
      <c r="C575">
        <v>85</v>
      </c>
    </row>
    <row r="576" spans="1:3" x14ac:dyDescent="0.25">
      <c r="A576" s="1">
        <v>39414</v>
      </c>
      <c r="B576" t="s">
        <v>7</v>
      </c>
      <c r="C576">
        <v>216</v>
      </c>
    </row>
    <row r="577" spans="1:3" x14ac:dyDescent="0.25">
      <c r="A577" s="1">
        <v>39416</v>
      </c>
      <c r="B577" t="s">
        <v>7</v>
      </c>
      <c r="C577">
        <v>140</v>
      </c>
    </row>
    <row r="578" spans="1:3" x14ac:dyDescent="0.25">
      <c r="A578" s="1">
        <v>39421</v>
      </c>
      <c r="B578" t="s">
        <v>50</v>
      </c>
      <c r="C578">
        <v>377</v>
      </c>
    </row>
    <row r="579" spans="1:3" x14ac:dyDescent="0.25">
      <c r="A579" s="1">
        <v>39423</v>
      </c>
      <c r="B579" t="s">
        <v>35</v>
      </c>
      <c r="C579">
        <v>89</v>
      </c>
    </row>
    <row r="580" spans="1:3" x14ac:dyDescent="0.25">
      <c r="A580" s="1">
        <v>39425</v>
      </c>
      <c r="B580" t="s">
        <v>12</v>
      </c>
      <c r="C580">
        <v>181</v>
      </c>
    </row>
    <row r="581" spans="1:3" x14ac:dyDescent="0.25">
      <c r="A581" s="1">
        <v>39427</v>
      </c>
      <c r="B581" t="s">
        <v>69</v>
      </c>
      <c r="C581">
        <v>131</v>
      </c>
    </row>
    <row r="582" spans="1:3" x14ac:dyDescent="0.25">
      <c r="A582" s="1">
        <v>39427</v>
      </c>
      <c r="B582" t="s">
        <v>80</v>
      </c>
      <c r="C582">
        <v>43</v>
      </c>
    </row>
    <row r="583" spans="1:3" x14ac:dyDescent="0.25">
      <c r="A583" s="1">
        <v>39428</v>
      </c>
      <c r="B583" t="s">
        <v>30</v>
      </c>
      <c r="C583">
        <v>166</v>
      </c>
    </row>
    <row r="584" spans="1:3" x14ac:dyDescent="0.25">
      <c r="A584" s="1">
        <v>39428</v>
      </c>
      <c r="B584" t="s">
        <v>78</v>
      </c>
      <c r="C584">
        <v>192</v>
      </c>
    </row>
    <row r="585" spans="1:3" x14ac:dyDescent="0.25">
      <c r="A585" s="1">
        <v>39430</v>
      </c>
      <c r="B585" t="s">
        <v>16</v>
      </c>
      <c r="C585">
        <v>7</v>
      </c>
    </row>
    <row r="586" spans="1:3" x14ac:dyDescent="0.25">
      <c r="A586" s="1">
        <v>39432</v>
      </c>
      <c r="B586" t="s">
        <v>53</v>
      </c>
      <c r="C586">
        <v>11</v>
      </c>
    </row>
    <row r="587" spans="1:3" x14ac:dyDescent="0.25">
      <c r="A587" s="1">
        <v>39432</v>
      </c>
      <c r="B587" t="s">
        <v>19</v>
      </c>
      <c r="C587">
        <v>146</v>
      </c>
    </row>
    <row r="588" spans="1:3" x14ac:dyDescent="0.25">
      <c r="A588" s="1">
        <v>39433</v>
      </c>
      <c r="B588" t="s">
        <v>45</v>
      </c>
      <c r="C588">
        <v>138</v>
      </c>
    </row>
    <row r="589" spans="1:3" x14ac:dyDescent="0.25">
      <c r="A589" s="1">
        <v>39434</v>
      </c>
      <c r="B589" t="s">
        <v>23</v>
      </c>
      <c r="C589">
        <v>138</v>
      </c>
    </row>
    <row r="590" spans="1:3" x14ac:dyDescent="0.25">
      <c r="A590" s="1">
        <v>39434</v>
      </c>
      <c r="B590" t="s">
        <v>50</v>
      </c>
      <c r="C590">
        <v>482</v>
      </c>
    </row>
    <row r="591" spans="1:3" x14ac:dyDescent="0.25">
      <c r="A591" s="1">
        <v>39436</v>
      </c>
      <c r="B591" t="s">
        <v>50</v>
      </c>
      <c r="C591">
        <v>481</v>
      </c>
    </row>
    <row r="592" spans="1:3" x14ac:dyDescent="0.25">
      <c r="A592" s="1">
        <v>39438</v>
      </c>
      <c r="B592" t="s">
        <v>45</v>
      </c>
      <c r="C592">
        <v>258</v>
      </c>
    </row>
    <row r="593" spans="1:3" x14ac:dyDescent="0.25">
      <c r="A593" s="1">
        <v>39440</v>
      </c>
      <c r="B593" t="s">
        <v>19</v>
      </c>
      <c r="C593">
        <v>100</v>
      </c>
    </row>
    <row r="594" spans="1:3" x14ac:dyDescent="0.25">
      <c r="A594" s="1">
        <v>39440</v>
      </c>
      <c r="B594" t="s">
        <v>69</v>
      </c>
      <c r="C594">
        <v>86</v>
      </c>
    </row>
    <row r="595" spans="1:3" x14ac:dyDescent="0.25">
      <c r="A595" s="1">
        <v>39443</v>
      </c>
      <c r="B595" t="s">
        <v>28</v>
      </c>
      <c r="C595">
        <v>165</v>
      </c>
    </row>
    <row r="596" spans="1:3" x14ac:dyDescent="0.25">
      <c r="A596" s="1">
        <v>39444</v>
      </c>
      <c r="B596" t="s">
        <v>100</v>
      </c>
      <c r="C596">
        <v>4</v>
      </c>
    </row>
    <row r="597" spans="1:3" x14ac:dyDescent="0.25">
      <c r="A597" s="1">
        <v>39445</v>
      </c>
      <c r="B597" t="s">
        <v>23</v>
      </c>
      <c r="C597">
        <v>156</v>
      </c>
    </row>
    <row r="598" spans="1:3" x14ac:dyDescent="0.25">
      <c r="A598" s="1">
        <v>39446</v>
      </c>
      <c r="B598" t="s">
        <v>45</v>
      </c>
      <c r="C598">
        <v>320</v>
      </c>
    </row>
    <row r="599" spans="1:3" x14ac:dyDescent="0.25">
      <c r="A599" s="1">
        <v>39448</v>
      </c>
      <c r="B599" t="s">
        <v>15</v>
      </c>
      <c r="C599">
        <v>1</v>
      </c>
    </row>
    <row r="600" spans="1:3" x14ac:dyDescent="0.25">
      <c r="A600" s="1">
        <v>39448</v>
      </c>
      <c r="B600" t="s">
        <v>8</v>
      </c>
      <c r="C600">
        <v>81</v>
      </c>
    </row>
    <row r="601" spans="1:3" x14ac:dyDescent="0.25">
      <c r="A601" s="1">
        <v>39448</v>
      </c>
      <c r="B601" t="s">
        <v>50</v>
      </c>
      <c r="C601">
        <v>438</v>
      </c>
    </row>
    <row r="602" spans="1:3" x14ac:dyDescent="0.25">
      <c r="A602" s="1">
        <v>39449</v>
      </c>
      <c r="B602" t="s">
        <v>38</v>
      </c>
      <c r="C602">
        <v>1</v>
      </c>
    </row>
    <row r="603" spans="1:3" x14ac:dyDescent="0.25">
      <c r="A603" s="1">
        <v>39453</v>
      </c>
      <c r="B603" t="s">
        <v>78</v>
      </c>
      <c r="C603">
        <v>173</v>
      </c>
    </row>
    <row r="604" spans="1:3" x14ac:dyDescent="0.25">
      <c r="A604" s="1">
        <v>39456</v>
      </c>
      <c r="B604" t="s">
        <v>24</v>
      </c>
      <c r="C604">
        <v>412</v>
      </c>
    </row>
    <row r="605" spans="1:3" x14ac:dyDescent="0.25">
      <c r="A605" s="1">
        <v>39456</v>
      </c>
      <c r="B605" t="s">
        <v>151</v>
      </c>
      <c r="C605">
        <v>13</v>
      </c>
    </row>
    <row r="606" spans="1:3" x14ac:dyDescent="0.25">
      <c r="A606" s="1">
        <v>39457</v>
      </c>
      <c r="B606" t="s">
        <v>55</v>
      </c>
      <c r="C606">
        <v>130</v>
      </c>
    </row>
    <row r="607" spans="1:3" x14ac:dyDescent="0.25">
      <c r="A607" s="1">
        <v>39459</v>
      </c>
      <c r="B607" t="s">
        <v>152</v>
      </c>
      <c r="C607">
        <v>4</v>
      </c>
    </row>
    <row r="608" spans="1:3" x14ac:dyDescent="0.25">
      <c r="A608" s="1">
        <v>39462</v>
      </c>
      <c r="B608" t="s">
        <v>55</v>
      </c>
      <c r="C608">
        <v>176</v>
      </c>
    </row>
    <row r="609" spans="1:3" x14ac:dyDescent="0.25">
      <c r="A609" s="1">
        <v>39464</v>
      </c>
      <c r="B609" t="s">
        <v>89</v>
      </c>
      <c r="C609">
        <v>14</v>
      </c>
    </row>
    <row r="610" spans="1:3" x14ac:dyDescent="0.25">
      <c r="A610" s="1">
        <v>39465</v>
      </c>
      <c r="B610" t="s">
        <v>55</v>
      </c>
      <c r="C610">
        <v>97</v>
      </c>
    </row>
    <row r="611" spans="1:3" x14ac:dyDescent="0.25">
      <c r="A611" s="1">
        <v>39468</v>
      </c>
      <c r="B611" t="s">
        <v>61</v>
      </c>
      <c r="C611">
        <v>81</v>
      </c>
    </row>
    <row r="612" spans="1:3" x14ac:dyDescent="0.25">
      <c r="A612" s="1">
        <v>39469</v>
      </c>
      <c r="B612" t="s">
        <v>23</v>
      </c>
      <c r="C612">
        <v>179</v>
      </c>
    </row>
    <row r="613" spans="1:3" x14ac:dyDescent="0.25">
      <c r="A613" s="1">
        <v>39470</v>
      </c>
      <c r="B613" t="s">
        <v>37</v>
      </c>
      <c r="C613">
        <v>132</v>
      </c>
    </row>
    <row r="614" spans="1:3" x14ac:dyDescent="0.25">
      <c r="A614" s="1">
        <v>39470</v>
      </c>
      <c r="B614" t="s">
        <v>153</v>
      </c>
      <c r="C614">
        <v>5</v>
      </c>
    </row>
    <row r="615" spans="1:3" x14ac:dyDescent="0.25">
      <c r="A615" s="1">
        <v>39470</v>
      </c>
      <c r="B615" t="s">
        <v>18</v>
      </c>
      <c r="C615">
        <v>100</v>
      </c>
    </row>
    <row r="616" spans="1:3" x14ac:dyDescent="0.25">
      <c r="A616" s="1">
        <v>39474</v>
      </c>
      <c r="B616" t="s">
        <v>154</v>
      </c>
      <c r="C616">
        <v>6</v>
      </c>
    </row>
    <row r="617" spans="1:3" x14ac:dyDescent="0.25">
      <c r="A617" s="1">
        <v>39481</v>
      </c>
      <c r="B617" t="s">
        <v>24</v>
      </c>
      <c r="C617">
        <v>171</v>
      </c>
    </row>
    <row r="618" spans="1:3" x14ac:dyDescent="0.25">
      <c r="A618" s="1">
        <v>39483</v>
      </c>
      <c r="B618" t="s">
        <v>14</v>
      </c>
      <c r="C618">
        <v>333</v>
      </c>
    </row>
    <row r="619" spans="1:3" x14ac:dyDescent="0.25">
      <c r="A619" s="1">
        <v>39484</v>
      </c>
      <c r="B619" t="s">
        <v>24</v>
      </c>
      <c r="C619">
        <v>365</v>
      </c>
    </row>
    <row r="620" spans="1:3" x14ac:dyDescent="0.25">
      <c r="A620" s="1">
        <v>39484</v>
      </c>
      <c r="B620" t="s">
        <v>112</v>
      </c>
      <c r="C620">
        <v>16</v>
      </c>
    </row>
    <row r="621" spans="1:3" x14ac:dyDescent="0.25">
      <c r="A621" s="1">
        <v>39485</v>
      </c>
      <c r="B621" t="s">
        <v>5</v>
      </c>
      <c r="C621">
        <v>211</v>
      </c>
    </row>
    <row r="622" spans="1:3" x14ac:dyDescent="0.25">
      <c r="A622" s="1">
        <v>39489</v>
      </c>
      <c r="B622" t="s">
        <v>45</v>
      </c>
      <c r="C622">
        <v>196</v>
      </c>
    </row>
    <row r="623" spans="1:3" x14ac:dyDescent="0.25">
      <c r="A623" s="1">
        <v>39490</v>
      </c>
      <c r="B623" t="s">
        <v>155</v>
      </c>
      <c r="C623">
        <v>11</v>
      </c>
    </row>
    <row r="624" spans="1:3" x14ac:dyDescent="0.25">
      <c r="A624" s="1">
        <v>39491</v>
      </c>
      <c r="B624" t="s">
        <v>112</v>
      </c>
      <c r="C624">
        <v>17</v>
      </c>
    </row>
    <row r="625" spans="1:3" x14ac:dyDescent="0.25">
      <c r="A625" s="1">
        <v>39494</v>
      </c>
      <c r="B625" t="s">
        <v>66</v>
      </c>
      <c r="C625">
        <v>62</v>
      </c>
    </row>
    <row r="626" spans="1:3" x14ac:dyDescent="0.25">
      <c r="A626" s="1">
        <v>39494</v>
      </c>
      <c r="B626" t="s">
        <v>9</v>
      </c>
      <c r="C626">
        <v>103</v>
      </c>
    </row>
    <row r="627" spans="1:3" x14ac:dyDescent="0.25">
      <c r="A627" s="1">
        <v>39494</v>
      </c>
      <c r="B627" t="s">
        <v>32</v>
      </c>
      <c r="C627">
        <v>9</v>
      </c>
    </row>
    <row r="628" spans="1:3" x14ac:dyDescent="0.25">
      <c r="A628" s="1">
        <v>39495</v>
      </c>
      <c r="B628" t="s">
        <v>156</v>
      </c>
      <c r="C628">
        <v>5</v>
      </c>
    </row>
    <row r="629" spans="1:3" x14ac:dyDescent="0.25">
      <c r="A629" s="1">
        <v>39495</v>
      </c>
      <c r="B629" t="s">
        <v>45</v>
      </c>
      <c r="C629">
        <v>452</v>
      </c>
    </row>
    <row r="630" spans="1:3" x14ac:dyDescent="0.25">
      <c r="A630" s="1">
        <v>39496</v>
      </c>
      <c r="B630" t="s">
        <v>157</v>
      </c>
      <c r="C630">
        <v>2</v>
      </c>
    </row>
    <row r="631" spans="1:3" x14ac:dyDescent="0.25">
      <c r="A631" s="1">
        <v>39497</v>
      </c>
      <c r="B631" t="s">
        <v>50</v>
      </c>
      <c r="C631">
        <v>335</v>
      </c>
    </row>
    <row r="632" spans="1:3" x14ac:dyDescent="0.25">
      <c r="A632" s="1">
        <v>39498</v>
      </c>
      <c r="B632" t="s">
        <v>158</v>
      </c>
      <c r="C632">
        <v>12</v>
      </c>
    </row>
    <row r="633" spans="1:3" x14ac:dyDescent="0.25">
      <c r="A633" s="1">
        <v>39499</v>
      </c>
      <c r="B633" t="s">
        <v>79</v>
      </c>
      <c r="C633">
        <v>12</v>
      </c>
    </row>
    <row r="634" spans="1:3" x14ac:dyDescent="0.25">
      <c r="A634" s="1">
        <v>39500</v>
      </c>
      <c r="B634" t="s">
        <v>159</v>
      </c>
      <c r="C634">
        <v>5</v>
      </c>
    </row>
    <row r="635" spans="1:3" x14ac:dyDescent="0.25">
      <c r="A635" s="1">
        <v>39500</v>
      </c>
      <c r="B635" t="s">
        <v>160</v>
      </c>
      <c r="C635">
        <v>2</v>
      </c>
    </row>
    <row r="636" spans="1:3" x14ac:dyDescent="0.25">
      <c r="A636" s="1">
        <v>39501</v>
      </c>
      <c r="B636" t="s">
        <v>161</v>
      </c>
      <c r="C636">
        <v>10</v>
      </c>
    </row>
    <row r="637" spans="1:3" x14ac:dyDescent="0.25">
      <c r="A637" s="1">
        <v>39503</v>
      </c>
      <c r="B637" t="s">
        <v>45</v>
      </c>
      <c r="C637">
        <v>308</v>
      </c>
    </row>
    <row r="638" spans="1:3" x14ac:dyDescent="0.25">
      <c r="A638" s="1">
        <v>39505</v>
      </c>
      <c r="B638" t="s">
        <v>119</v>
      </c>
      <c r="C638">
        <v>5</v>
      </c>
    </row>
    <row r="639" spans="1:3" x14ac:dyDescent="0.25">
      <c r="A639" s="1">
        <v>39505</v>
      </c>
      <c r="B639" t="s">
        <v>14</v>
      </c>
      <c r="C639">
        <v>446</v>
      </c>
    </row>
    <row r="640" spans="1:3" x14ac:dyDescent="0.25">
      <c r="A640" s="1">
        <v>39506</v>
      </c>
      <c r="B640" t="s">
        <v>7</v>
      </c>
      <c r="C640">
        <v>281</v>
      </c>
    </row>
    <row r="641" spans="1:3" x14ac:dyDescent="0.25">
      <c r="A641" s="1">
        <v>39510</v>
      </c>
      <c r="B641" t="s">
        <v>11</v>
      </c>
      <c r="C641">
        <v>6</v>
      </c>
    </row>
    <row r="642" spans="1:3" x14ac:dyDescent="0.25">
      <c r="A642" s="1">
        <v>39511</v>
      </c>
      <c r="B642" t="s">
        <v>7</v>
      </c>
      <c r="C642">
        <v>409</v>
      </c>
    </row>
    <row r="643" spans="1:3" x14ac:dyDescent="0.25">
      <c r="A643" s="1">
        <v>39511</v>
      </c>
      <c r="B643" t="s">
        <v>66</v>
      </c>
      <c r="C643">
        <v>191</v>
      </c>
    </row>
    <row r="644" spans="1:3" x14ac:dyDescent="0.25">
      <c r="A644" s="1">
        <v>39512</v>
      </c>
      <c r="B644" t="s">
        <v>50</v>
      </c>
      <c r="C644">
        <v>404</v>
      </c>
    </row>
    <row r="645" spans="1:3" x14ac:dyDescent="0.25">
      <c r="A645" s="1">
        <v>39512</v>
      </c>
      <c r="B645" t="s">
        <v>28</v>
      </c>
      <c r="C645">
        <v>135</v>
      </c>
    </row>
    <row r="646" spans="1:3" x14ac:dyDescent="0.25">
      <c r="A646" s="1">
        <v>39512</v>
      </c>
      <c r="B646" t="s">
        <v>27</v>
      </c>
      <c r="C646">
        <v>20</v>
      </c>
    </row>
    <row r="647" spans="1:3" x14ac:dyDescent="0.25">
      <c r="A647" s="1">
        <v>39514</v>
      </c>
      <c r="B647" t="s">
        <v>58</v>
      </c>
      <c r="C647">
        <v>54</v>
      </c>
    </row>
    <row r="648" spans="1:3" x14ac:dyDescent="0.25">
      <c r="A648" s="1">
        <v>39514</v>
      </c>
      <c r="B648" t="s">
        <v>52</v>
      </c>
      <c r="C648">
        <v>129</v>
      </c>
    </row>
    <row r="649" spans="1:3" x14ac:dyDescent="0.25">
      <c r="A649" s="1">
        <v>39517</v>
      </c>
      <c r="B649" t="s">
        <v>162</v>
      </c>
      <c r="C649">
        <v>11</v>
      </c>
    </row>
    <row r="650" spans="1:3" x14ac:dyDescent="0.25">
      <c r="A650" s="1">
        <v>39518</v>
      </c>
      <c r="B650" t="s">
        <v>22</v>
      </c>
      <c r="C650">
        <v>383</v>
      </c>
    </row>
    <row r="651" spans="1:3" x14ac:dyDescent="0.25">
      <c r="A651" s="1">
        <v>39519</v>
      </c>
      <c r="B651" t="s">
        <v>10</v>
      </c>
      <c r="C651">
        <v>46</v>
      </c>
    </row>
    <row r="652" spans="1:3" x14ac:dyDescent="0.25">
      <c r="A652" s="1">
        <v>39520</v>
      </c>
      <c r="B652" t="s">
        <v>131</v>
      </c>
      <c r="C652">
        <v>61</v>
      </c>
    </row>
    <row r="653" spans="1:3" x14ac:dyDescent="0.25">
      <c r="A653" s="1">
        <v>39522</v>
      </c>
      <c r="B653" t="s">
        <v>28</v>
      </c>
      <c r="C653">
        <v>166</v>
      </c>
    </row>
    <row r="654" spans="1:3" x14ac:dyDescent="0.25">
      <c r="A654" s="1">
        <v>39523</v>
      </c>
      <c r="B654" t="s">
        <v>69</v>
      </c>
      <c r="C654">
        <v>91</v>
      </c>
    </row>
    <row r="655" spans="1:3" x14ac:dyDescent="0.25">
      <c r="A655" s="1">
        <v>39524</v>
      </c>
      <c r="B655" t="s">
        <v>163</v>
      </c>
      <c r="C655">
        <v>10</v>
      </c>
    </row>
    <row r="656" spans="1:3" x14ac:dyDescent="0.25">
      <c r="A656" s="1">
        <v>39526</v>
      </c>
      <c r="B656" t="s">
        <v>164</v>
      </c>
      <c r="C656">
        <v>19</v>
      </c>
    </row>
    <row r="657" spans="1:3" x14ac:dyDescent="0.25">
      <c r="A657" s="1">
        <v>39526</v>
      </c>
      <c r="B657" t="s">
        <v>165</v>
      </c>
      <c r="C657">
        <v>2</v>
      </c>
    </row>
    <row r="658" spans="1:3" x14ac:dyDescent="0.25">
      <c r="A658" s="1">
        <v>39527</v>
      </c>
      <c r="B658" t="s">
        <v>35</v>
      </c>
      <c r="C658">
        <v>125</v>
      </c>
    </row>
    <row r="659" spans="1:3" x14ac:dyDescent="0.25">
      <c r="A659" s="1">
        <v>39527</v>
      </c>
      <c r="B659" t="s">
        <v>22</v>
      </c>
      <c r="C659">
        <v>248</v>
      </c>
    </row>
    <row r="660" spans="1:3" x14ac:dyDescent="0.25">
      <c r="A660" s="1">
        <v>39527</v>
      </c>
      <c r="B660" t="s">
        <v>102</v>
      </c>
      <c r="C660">
        <v>298</v>
      </c>
    </row>
    <row r="661" spans="1:3" x14ac:dyDescent="0.25">
      <c r="A661" s="1">
        <v>39528</v>
      </c>
      <c r="B661" t="s">
        <v>22</v>
      </c>
      <c r="C661">
        <v>406</v>
      </c>
    </row>
    <row r="662" spans="1:3" x14ac:dyDescent="0.25">
      <c r="A662" s="1">
        <v>39529</v>
      </c>
      <c r="B662" t="s">
        <v>19</v>
      </c>
      <c r="C662">
        <v>46</v>
      </c>
    </row>
    <row r="663" spans="1:3" x14ac:dyDescent="0.25">
      <c r="A663" s="1">
        <v>39530</v>
      </c>
      <c r="B663" t="s">
        <v>69</v>
      </c>
      <c r="C663">
        <v>106</v>
      </c>
    </row>
    <row r="664" spans="1:3" x14ac:dyDescent="0.25">
      <c r="A664" s="1">
        <v>39532</v>
      </c>
      <c r="B664" t="s">
        <v>9</v>
      </c>
      <c r="C664">
        <v>121</v>
      </c>
    </row>
    <row r="665" spans="1:3" x14ac:dyDescent="0.25">
      <c r="A665" s="1">
        <v>39536</v>
      </c>
      <c r="B665" t="s">
        <v>45</v>
      </c>
      <c r="C665">
        <v>170</v>
      </c>
    </row>
    <row r="666" spans="1:3" x14ac:dyDescent="0.25">
      <c r="A666" s="1">
        <v>39536</v>
      </c>
      <c r="B666" t="s">
        <v>14</v>
      </c>
      <c r="C666">
        <v>431</v>
      </c>
    </row>
    <row r="667" spans="1:3" x14ac:dyDescent="0.25">
      <c r="A667" s="1">
        <v>39537</v>
      </c>
      <c r="B667" t="s">
        <v>50</v>
      </c>
      <c r="C667">
        <v>483</v>
      </c>
    </row>
    <row r="668" spans="1:3" x14ac:dyDescent="0.25">
      <c r="A668" s="1">
        <v>39539</v>
      </c>
      <c r="B668" t="s">
        <v>7</v>
      </c>
      <c r="C668">
        <v>354</v>
      </c>
    </row>
    <row r="669" spans="1:3" x14ac:dyDescent="0.25">
      <c r="A669" s="1">
        <v>39541</v>
      </c>
      <c r="B669" t="s">
        <v>69</v>
      </c>
      <c r="C669">
        <v>65</v>
      </c>
    </row>
    <row r="670" spans="1:3" x14ac:dyDescent="0.25">
      <c r="A670" s="1">
        <v>39544</v>
      </c>
      <c r="B670" t="s">
        <v>24</v>
      </c>
      <c r="C670">
        <v>176</v>
      </c>
    </row>
    <row r="671" spans="1:3" x14ac:dyDescent="0.25">
      <c r="A671" s="1">
        <v>39545</v>
      </c>
      <c r="B671" t="s">
        <v>51</v>
      </c>
      <c r="C671">
        <v>2</v>
      </c>
    </row>
    <row r="672" spans="1:3" x14ac:dyDescent="0.25">
      <c r="A672" s="1">
        <v>39546</v>
      </c>
      <c r="B672" t="s">
        <v>66</v>
      </c>
      <c r="C672">
        <v>46</v>
      </c>
    </row>
    <row r="673" spans="1:3" x14ac:dyDescent="0.25">
      <c r="A673" s="1">
        <v>39549</v>
      </c>
      <c r="B673" t="s">
        <v>102</v>
      </c>
      <c r="C673">
        <v>477</v>
      </c>
    </row>
    <row r="674" spans="1:3" x14ac:dyDescent="0.25">
      <c r="A674" s="1">
        <v>39550</v>
      </c>
      <c r="B674" t="s">
        <v>57</v>
      </c>
      <c r="C674">
        <v>6</v>
      </c>
    </row>
    <row r="675" spans="1:3" x14ac:dyDescent="0.25">
      <c r="A675" s="1">
        <v>39552</v>
      </c>
      <c r="B675" t="s">
        <v>48</v>
      </c>
      <c r="C675">
        <v>11</v>
      </c>
    </row>
    <row r="676" spans="1:3" x14ac:dyDescent="0.25">
      <c r="A676" s="1">
        <v>39552</v>
      </c>
      <c r="B676" t="s">
        <v>66</v>
      </c>
      <c r="C676">
        <v>126</v>
      </c>
    </row>
    <row r="677" spans="1:3" x14ac:dyDescent="0.25">
      <c r="A677" s="1">
        <v>39552</v>
      </c>
      <c r="B677" t="s">
        <v>18</v>
      </c>
      <c r="C677">
        <v>190</v>
      </c>
    </row>
    <row r="678" spans="1:3" x14ac:dyDescent="0.25">
      <c r="A678" s="1">
        <v>39553</v>
      </c>
      <c r="B678" t="s">
        <v>50</v>
      </c>
      <c r="C678">
        <v>358</v>
      </c>
    </row>
    <row r="679" spans="1:3" x14ac:dyDescent="0.25">
      <c r="A679" s="1">
        <v>39553</v>
      </c>
      <c r="B679" t="s">
        <v>39</v>
      </c>
      <c r="C679">
        <v>78</v>
      </c>
    </row>
    <row r="680" spans="1:3" x14ac:dyDescent="0.25">
      <c r="A680" s="1">
        <v>39553</v>
      </c>
      <c r="B680" t="s">
        <v>71</v>
      </c>
      <c r="C680">
        <v>129</v>
      </c>
    </row>
    <row r="681" spans="1:3" x14ac:dyDescent="0.25">
      <c r="A681" s="1">
        <v>39554</v>
      </c>
      <c r="B681" t="s">
        <v>14</v>
      </c>
      <c r="C681">
        <v>433</v>
      </c>
    </row>
    <row r="682" spans="1:3" x14ac:dyDescent="0.25">
      <c r="A682" s="1">
        <v>39555</v>
      </c>
      <c r="B682" t="s">
        <v>90</v>
      </c>
      <c r="C682">
        <v>18</v>
      </c>
    </row>
    <row r="683" spans="1:3" x14ac:dyDescent="0.25">
      <c r="A683" s="1">
        <v>39556</v>
      </c>
      <c r="B683" t="s">
        <v>80</v>
      </c>
      <c r="C683">
        <v>30</v>
      </c>
    </row>
    <row r="684" spans="1:3" x14ac:dyDescent="0.25">
      <c r="A684" s="1">
        <v>39557</v>
      </c>
      <c r="B684" t="s">
        <v>42</v>
      </c>
      <c r="C684">
        <v>18</v>
      </c>
    </row>
    <row r="685" spans="1:3" x14ac:dyDescent="0.25">
      <c r="A685" s="1">
        <v>39558</v>
      </c>
      <c r="B685" t="s">
        <v>66</v>
      </c>
      <c r="C685">
        <v>146</v>
      </c>
    </row>
    <row r="686" spans="1:3" x14ac:dyDescent="0.25">
      <c r="A686" s="1">
        <v>39558</v>
      </c>
      <c r="B686" t="s">
        <v>162</v>
      </c>
      <c r="C686">
        <v>19</v>
      </c>
    </row>
    <row r="687" spans="1:3" x14ac:dyDescent="0.25">
      <c r="A687" s="1">
        <v>39559</v>
      </c>
      <c r="B687" t="s">
        <v>23</v>
      </c>
      <c r="C687">
        <v>170</v>
      </c>
    </row>
    <row r="688" spans="1:3" x14ac:dyDescent="0.25">
      <c r="A688" s="1">
        <v>39561</v>
      </c>
      <c r="B688" t="s">
        <v>5</v>
      </c>
      <c r="C688">
        <v>428</v>
      </c>
    </row>
    <row r="689" spans="1:3" x14ac:dyDescent="0.25">
      <c r="A689" s="1">
        <v>39563</v>
      </c>
      <c r="B689" t="s">
        <v>50</v>
      </c>
      <c r="C689">
        <v>129</v>
      </c>
    </row>
    <row r="690" spans="1:3" x14ac:dyDescent="0.25">
      <c r="A690" s="1">
        <v>39564</v>
      </c>
      <c r="B690" t="s">
        <v>17</v>
      </c>
      <c r="C690">
        <v>304</v>
      </c>
    </row>
    <row r="691" spans="1:3" x14ac:dyDescent="0.25">
      <c r="A691" s="1">
        <v>39568</v>
      </c>
      <c r="B691" t="s">
        <v>151</v>
      </c>
      <c r="C691">
        <v>15</v>
      </c>
    </row>
    <row r="692" spans="1:3" x14ac:dyDescent="0.25">
      <c r="A692" s="1">
        <v>39569</v>
      </c>
      <c r="B692" t="s">
        <v>166</v>
      </c>
      <c r="C692">
        <v>14</v>
      </c>
    </row>
    <row r="693" spans="1:3" x14ac:dyDescent="0.25">
      <c r="A693" s="1">
        <v>39571</v>
      </c>
      <c r="B693" t="s">
        <v>14</v>
      </c>
      <c r="C693">
        <v>320</v>
      </c>
    </row>
    <row r="694" spans="1:3" x14ac:dyDescent="0.25">
      <c r="A694" s="1">
        <v>39572</v>
      </c>
      <c r="B694" t="s">
        <v>55</v>
      </c>
      <c r="C694">
        <v>44</v>
      </c>
    </row>
    <row r="695" spans="1:3" x14ac:dyDescent="0.25">
      <c r="A695" s="1">
        <v>39573</v>
      </c>
      <c r="B695" t="s">
        <v>10</v>
      </c>
      <c r="C695">
        <v>71</v>
      </c>
    </row>
    <row r="696" spans="1:3" x14ac:dyDescent="0.25">
      <c r="A696" s="1">
        <v>39573</v>
      </c>
      <c r="B696" t="s">
        <v>72</v>
      </c>
      <c r="C696">
        <v>8</v>
      </c>
    </row>
    <row r="697" spans="1:3" x14ac:dyDescent="0.25">
      <c r="A697" s="1">
        <v>39577</v>
      </c>
      <c r="B697" t="s">
        <v>9</v>
      </c>
      <c r="C697">
        <v>444</v>
      </c>
    </row>
    <row r="698" spans="1:3" x14ac:dyDescent="0.25">
      <c r="A698" s="1">
        <v>39577</v>
      </c>
      <c r="B698" t="s">
        <v>83</v>
      </c>
      <c r="C698">
        <v>1</v>
      </c>
    </row>
    <row r="699" spans="1:3" x14ac:dyDescent="0.25">
      <c r="A699" s="1">
        <v>39579</v>
      </c>
      <c r="B699" t="s">
        <v>66</v>
      </c>
      <c r="C699">
        <v>102</v>
      </c>
    </row>
    <row r="700" spans="1:3" x14ac:dyDescent="0.25">
      <c r="A700" s="1">
        <v>39579</v>
      </c>
      <c r="B700" t="s">
        <v>26</v>
      </c>
      <c r="C700">
        <v>181</v>
      </c>
    </row>
    <row r="701" spans="1:3" x14ac:dyDescent="0.25">
      <c r="A701" s="1">
        <v>39579</v>
      </c>
      <c r="B701" t="s">
        <v>52</v>
      </c>
      <c r="C701">
        <v>82</v>
      </c>
    </row>
    <row r="702" spans="1:3" x14ac:dyDescent="0.25">
      <c r="A702" s="1">
        <v>39582</v>
      </c>
      <c r="B702" t="s">
        <v>167</v>
      </c>
      <c r="C702">
        <v>19</v>
      </c>
    </row>
    <row r="703" spans="1:3" x14ac:dyDescent="0.25">
      <c r="A703" s="1">
        <v>39582</v>
      </c>
      <c r="B703" t="s">
        <v>17</v>
      </c>
      <c r="C703">
        <v>245</v>
      </c>
    </row>
    <row r="704" spans="1:3" x14ac:dyDescent="0.25">
      <c r="A704" s="1">
        <v>39584</v>
      </c>
      <c r="B704" t="s">
        <v>102</v>
      </c>
      <c r="C704">
        <v>431</v>
      </c>
    </row>
    <row r="705" spans="1:3" x14ac:dyDescent="0.25">
      <c r="A705" s="1">
        <v>39584</v>
      </c>
      <c r="B705" t="s">
        <v>7</v>
      </c>
      <c r="C705">
        <v>252</v>
      </c>
    </row>
    <row r="706" spans="1:3" x14ac:dyDescent="0.25">
      <c r="A706" s="1">
        <v>39585</v>
      </c>
      <c r="B706" t="s">
        <v>62</v>
      </c>
      <c r="C706">
        <v>2</v>
      </c>
    </row>
    <row r="707" spans="1:3" x14ac:dyDescent="0.25">
      <c r="A707" s="1">
        <v>39586</v>
      </c>
      <c r="B707" t="s">
        <v>6</v>
      </c>
      <c r="C707">
        <v>52</v>
      </c>
    </row>
    <row r="708" spans="1:3" x14ac:dyDescent="0.25">
      <c r="A708" s="1">
        <v>39587</v>
      </c>
      <c r="B708" t="s">
        <v>23</v>
      </c>
      <c r="C708">
        <v>54</v>
      </c>
    </row>
    <row r="709" spans="1:3" x14ac:dyDescent="0.25">
      <c r="A709" s="1">
        <v>39587</v>
      </c>
      <c r="B709" t="s">
        <v>59</v>
      </c>
      <c r="C709">
        <v>4</v>
      </c>
    </row>
    <row r="710" spans="1:3" x14ac:dyDescent="0.25">
      <c r="A710" s="1">
        <v>39587</v>
      </c>
      <c r="B710" t="s">
        <v>61</v>
      </c>
      <c r="C710">
        <v>88</v>
      </c>
    </row>
    <row r="711" spans="1:3" x14ac:dyDescent="0.25">
      <c r="A711" s="1">
        <v>39590</v>
      </c>
      <c r="B711" t="s">
        <v>18</v>
      </c>
      <c r="C711">
        <v>152</v>
      </c>
    </row>
    <row r="712" spans="1:3" x14ac:dyDescent="0.25">
      <c r="A712" s="1">
        <v>39591</v>
      </c>
      <c r="B712" t="s">
        <v>55</v>
      </c>
      <c r="C712">
        <v>121</v>
      </c>
    </row>
    <row r="713" spans="1:3" x14ac:dyDescent="0.25">
      <c r="A713" s="1">
        <v>39592</v>
      </c>
      <c r="B713" t="s">
        <v>18</v>
      </c>
      <c r="C713">
        <v>77</v>
      </c>
    </row>
    <row r="714" spans="1:3" x14ac:dyDescent="0.25">
      <c r="A714" s="1">
        <v>39595</v>
      </c>
      <c r="B714" t="s">
        <v>131</v>
      </c>
      <c r="C714">
        <v>21</v>
      </c>
    </row>
    <row r="715" spans="1:3" x14ac:dyDescent="0.25">
      <c r="A715" s="1">
        <v>39596</v>
      </c>
      <c r="B715" t="s">
        <v>61</v>
      </c>
      <c r="C715">
        <v>48</v>
      </c>
    </row>
    <row r="716" spans="1:3" x14ac:dyDescent="0.25">
      <c r="A716" s="1">
        <v>39597</v>
      </c>
      <c r="B716" t="s">
        <v>45</v>
      </c>
      <c r="C716">
        <v>420</v>
      </c>
    </row>
    <row r="717" spans="1:3" x14ac:dyDescent="0.25">
      <c r="A717" s="1">
        <v>39598</v>
      </c>
      <c r="B717" t="s">
        <v>7</v>
      </c>
      <c r="C717">
        <v>443</v>
      </c>
    </row>
    <row r="718" spans="1:3" x14ac:dyDescent="0.25">
      <c r="A718" s="1">
        <v>39602</v>
      </c>
      <c r="B718" t="s">
        <v>55</v>
      </c>
      <c r="C718">
        <v>46</v>
      </c>
    </row>
    <row r="719" spans="1:3" x14ac:dyDescent="0.25">
      <c r="A719" s="1">
        <v>39603</v>
      </c>
      <c r="B719" t="s">
        <v>134</v>
      </c>
      <c r="C719">
        <v>3</v>
      </c>
    </row>
    <row r="720" spans="1:3" x14ac:dyDescent="0.25">
      <c r="A720" s="1">
        <v>39605</v>
      </c>
      <c r="B720" t="s">
        <v>55</v>
      </c>
      <c r="C720">
        <v>98</v>
      </c>
    </row>
    <row r="721" spans="1:3" x14ac:dyDescent="0.25">
      <c r="A721" s="1">
        <v>39605</v>
      </c>
      <c r="B721" t="s">
        <v>168</v>
      </c>
      <c r="C721">
        <v>18</v>
      </c>
    </row>
    <row r="722" spans="1:3" x14ac:dyDescent="0.25">
      <c r="A722" s="1">
        <v>39605</v>
      </c>
      <c r="B722" t="s">
        <v>50</v>
      </c>
      <c r="C722">
        <v>237</v>
      </c>
    </row>
    <row r="723" spans="1:3" x14ac:dyDescent="0.25">
      <c r="A723" s="1">
        <v>39605</v>
      </c>
      <c r="B723" t="s">
        <v>31</v>
      </c>
      <c r="C723">
        <v>64</v>
      </c>
    </row>
    <row r="724" spans="1:3" x14ac:dyDescent="0.25">
      <c r="A724" s="1">
        <v>39609</v>
      </c>
      <c r="B724" t="s">
        <v>37</v>
      </c>
      <c r="C724">
        <v>32</v>
      </c>
    </row>
    <row r="725" spans="1:3" x14ac:dyDescent="0.25">
      <c r="A725" s="1">
        <v>39614</v>
      </c>
      <c r="B725" t="s">
        <v>10</v>
      </c>
      <c r="C725">
        <v>30</v>
      </c>
    </row>
    <row r="726" spans="1:3" x14ac:dyDescent="0.25">
      <c r="A726" s="1">
        <v>39614</v>
      </c>
      <c r="B726" t="s">
        <v>137</v>
      </c>
      <c r="C726">
        <v>12</v>
      </c>
    </row>
    <row r="727" spans="1:3" x14ac:dyDescent="0.25">
      <c r="A727" s="1">
        <v>39615</v>
      </c>
      <c r="B727" t="s">
        <v>71</v>
      </c>
      <c r="C727">
        <v>138</v>
      </c>
    </row>
    <row r="728" spans="1:3" x14ac:dyDescent="0.25">
      <c r="A728" s="1">
        <v>39619</v>
      </c>
      <c r="B728" t="s">
        <v>22</v>
      </c>
      <c r="C728">
        <v>411</v>
      </c>
    </row>
    <row r="729" spans="1:3" x14ac:dyDescent="0.25">
      <c r="A729" s="1">
        <v>39622</v>
      </c>
      <c r="B729" t="s">
        <v>23</v>
      </c>
      <c r="C729">
        <v>152</v>
      </c>
    </row>
    <row r="730" spans="1:3" x14ac:dyDescent="0.25">
      <c r="A730" s="1">
        <v>39623</v>
      </c>
      <c r="B730" t="s">
        <v>169</v>
      </c>
      <c r="C730">
        <v>10</v>
      </c>
    </row>
    <row r="731" spans="1:3" x14ac:dyDescent="0.25">
      <c r="A731" s="1">
        <v>39624</v>
      </c>
      <c r="B731" t="s">
        <v>18</v>
      </c>
      <c r="C731">
        <v>75</v>
      </c>
    </row>
    <row r="732" spans="1:3" x14ac:dyDescent="0.25">
      <c r="A732" s="1">
        <v>39624</v>
      </c>
      <c r="B732" t="s">
        <v>170</v>
      </c>
      <c r="C732">
        <v>4</v>
      </c>
    </row>
    <row r="733" spans="1:3" x14ac:dyDescent="0.25">
      <c r="A733" s="1">
        <v>39626</v>
      </c>
      <c r="B733" t="s">
        <v>171</v>
      </c>
      <c r="C733">
        <v>2</v>
      </c>
    </row>
    <row r="734" spans="1:3" x14ac:dyDescent="0.25">
      <c r="A734" s="1">
        <v>39627</v>
      </c>
      <c r="B734" t="s">
        <v>61</v>
      </c>
      <c r="C734">
        <v>110</v>
      </c>
    </row>
    <row r="735" spans="1:3" x14ac:dyDescent="0.25">
      <c r="A735" s="1">
        <v>39628</v>
      </c>
      <c r="B735" t="s">
        <v>35</v>
      </c>
      <c r="C735">
        <v>161</v>
      </c>
    </row>
    <row r="736" spans="1:3" x14ac:dyDescent="0.25">
      <c r="A736" s="1">
        <v>39629</v>
      </c>
      <c r="B736" t="s">
        <v>30</v>
      </c>
      <c r="C736">
        <v>68</v>
      </c>
    </row>
    <row r="737" spans="1:3" x14ac:dyDescent="0.25">
      <c r="A737" s="1">
        <v>39631</v>
      </c>
      <c r="B737" t="s">
        <v>55</v>
      </c>
      <c r="C737">
        <v>30</v>
      </c>
    </row>
    <row r="738" spans="1:3" x14ac:dyDescent="0.25">
      <c r="A738" s="1">
        <v>39632</v>
      </c>
      <c r="B738" t="s">
        <v>64</v>
      </c>
      <c r="C738">
        <v>3</v>
      </c>
    </row>
    <row r="739" spans="1:3" x14ac:dyDescent="0.25">
      <c r="A739" s="1">
        <v>39637</v>
      </c>
      <c r="B739" t="s">
        <v>50</v>
      </c>
      <c r="C739">
        <v>117</v>
      </c>
    </row>
    <row r="740" spans="1:3" x14ac:dyDescent="0.25">
      <c r="A740" s="1">
        <v>39639</v>
      </c>
      <c r="B740" t="s">
        <v>8</v>
      </c>
      <c r="C740">
        <v>105</v>
      </c>
    </row>
    <row r="741" spans="1:3" x14ac:dyDescent="0.25">
      <c r="A741" s="1">
        <v>39639</v>
      </c>
      <c r="B741" t="s">
        <v>46</v>
      </c>
      <c r="C741">
        <v>6</v>
      </c>
    </row>
    <row r="742" spans="1:3" x14ac:dyDescent="0.25">
      <c r="A742" s="1">
        <v>39640</v>
      </c>
      <c r="B742" t="s">
        <v>17</v>
      </c>
      <c r="C742">
        <v>378</v>
      </c>
    </row>
    <row r="743" spans="1:3" x14ac:dyDescent="0.25">
      <c r="A743" s="1">
        <v>39643</v>
      </c>
      <c r="B743" t="s">
        <v>69</v>
      </c>
      <c r="C743">
        <v>76</v>
      </c>
    </row>
    <row r="744" spans="1:3" x14ac:dyDescent="0.25">
      <c r="A744" s="1">
        <v>39644</v>
      </c>
      <c r="B744" t="s">
        <v>22</v>
      </c>
      <c r="C744">
        <v>386</v>
      </c>
    </row>
    <row r="745" spans="1:3" x14ac:dyDescent="0.25">
      <c r="A745" s="1">
        <v>39645</v>
      </c>
      <c r="B745" t="s">
        <v>50</v>
      </c>
      <c r="C745">
        <v>132</v>
      </c>
    </row>
    <row r="746" spans="1:3" x14ac:dyDescent="0.25">
      <c r="A746" s="1">
        <v>39645</v>
      </c>
      <c r="B746" t="s">
        <v>22</v>
      </c>
      <c r="C746">
        <v>104</v>
      </c>
    </row>
    <row r="747" spans="1:3" x14ac:dyDescent="0.25">
      <c r="A747" s="1">
        <v>39646</v>
      </c>
      <c r="B747" t="s">
        <v>45</v>
      </c>
      <c r="C747">
        <v>380</v>
      </c>
    </row>
    <row r="748" spans="1:3" x14ac:dyDescent="0.25">
      <c r="A748" s="1">
        <v>39647</v>
      </c>
      <c r="B748" t="s">
        <v>78</v>
      </c>
      <c r="C748">
        <v>76</v>
      </c>
    </row>
    <row r="749" spans="1:3" x14ac:dyDescent="0.25">
      <c r="A749" s="1">
        <v>39647</v>
      </c>
      <c r="B749" t="s">
        <v>25</v>
      </c>
      <c r="C749">
        <v>194</v>
      </c>
    </row>
    <row r="750" spans="1:3" x14ac:dyDescent="0.25">
      <c r="A750" s="1">
        <v>39653</v>
      </c>
      <c r="B750" t="s">
        <v>61</v>
      </c>
      <c r="C750">
        <v>147</v>
      </c>
    </row>
    <row r="751" spans="1:3" x14ac:dyDescent="0.25">
      <c r="A751" s="1">
        <v>39656</v>
      </c>
      <c r="B751" t="s">
        <v>22</v>
      </c>
      <c r="C751">
        <v>319</v>
      </c>
    </row>
    <row r="752" spans="1:3" x14ac:dyDescent="0.25">
      <c r="A752" s="1">
        <v>39657</v>
      </c>
      <c r="B752" t="s">
        <v>39</v>
      </c>
      <c r="C752">
        <v>38</v>
      </c>
    </row>
    <row r="753" spans="1:3" x14ac:dyDescent="0.25">
      <c r="A753" s="1">
        <v>39662</v>
      </c>
      <c r="B753" t="s">
        <v>28</v>
      </c>
      <c r="C753">
        <v>31</v>
      </c>
    </row>
    <row r="754" spans="1:3" x14ac:dyDescent="0.25">
      <c r="A754" s="1">
        <v>39664</v>
      </c>
      <c r="B754" t="s">
        <v>6</v>
      </c>
      <c r="C754">
        <v>28</v>
      </c>
    </row>
    <row r="755" spans="1:3" x14ac:dyDescent="0.25">
      <c r="A755" s="1">
        <v>39664</v>
      </c>
      <c r="B755" t="s">
        <v>105</v>
      </c>
      <c r="C755">
        <v>15</v>
      </c>
    </row>
    <row r="756" spans="1:3" x14ac:dyDescent="0.25">
      <c r="A756" s="1">
        <v>39667</v>
      </c>
      <c r="B756" t="s">
        <v>62</v>
      </c>
      <c r="C756">
        <v>2</v>
      </c>
    </row>
    <row r="757" spans="1:3" x14ac:dyDescent="0.25">
      <c r="A757" s="1">
        <v>39667</v>
      </c>
      <c r="B757" t="s">
        <v>101</v>
      </c>
      <c r="C757">
        <v>16</v>
      </c>
    </row>
    <row r="758" spans="1:3" x14ac:dyDescent="0.25">
      <c r="A758" s="1">
        <v>39669</v>
      </c>
      <c r="B758" t="s">
        <v>78</v>
      </c>
      <c r="C758">
        <v>83</v>
      </c>
    </row>
    <row r="759" spans="1:3" x14ac:dyDescent="0.25">
      <c r="A759" s="1">
        <v>39670</v>
      </c>
      <c r="B759" t="s">
        <v>172</v>
      </c>
      <c r="C759">
        <v>16</v>
      </c>
    </row>
    <row r="760" spans="1:3" x14ac:dyDescent="0.25">
      <c r="A760" s="1">
        <v>39671</v>
      </c>
      <c r="B760" t="s">
        <v>9</v>
      </c>
      <c r="C760">
        <v>397</v>
      </c>
    </row>
    <row r="761" spans="1:3" x14ac:dyDescent="0.25">
      <c r="A761" s="1">
        <v>39671</v>
      </c>
      <c r="B761" t="s">
        <v>78</v>
      </c>
      <c r="C761">
        <v>184</v>
      </c>
    </row>
    <row r="762" spans="1:3" x14ac:dyDescent="0.25">
      <c r="A762" s="1">
        <v>39673</v>
      </c>
      <c r="B762" t="s">
        <v>78</v>
      </c>
      <c r="C762">
        <v>55</v>
      </c>
    </row>
    <row r="763" spans="1:3" x14ac:dyDescent="0.25">
      <c r="A763" s="1">
        <v>39674</v>
      </c>
      <c r="B763" t="s">
        <v>69</v>
      </c>
      <c r="C763">
        <v>107</v>
      </c>
    </row>
    <row r="764" spans="1:3" x14ac:dyDescent="0.25">
      <c r="A764" s="1">
        <v>39676</v>
      </c>
      <c r="B764" t="s">
        <v>69</v>
      </c>
      <c r="C764">
        <v>127</v>
      </c>
    </row>
    <row r="765" spans="1:3" x14ac:dyDescent="0.25">
      <c r="A765" s="1">
        <v>39679</v>
      </c>
      <c r="B765" t="s">
        <v>173</v>
      </c>
      <c r="C765">
        <v>122</v>
      </c>
    </row>
    <row r="766" spans="1:3" x14ac:dyDescent="0.25">
      <c r="A766" s="1">
        <v>39679</v>
      </c>
      <c r="B766" t="s">
        <v>18</v>
      </c>
      <c r="C766">
        <v>107</v>
      </c>
    </row>
    <row r="767" spans="1:3" x14ac:dyDescent="0.25">
      <c r="A767" s="1">
        <v>39681</v>
      </c>
      <c r="B767" t="s">
        <v>22</v>
      </c>
      <c r="C767">
        <v>113</v>
      </c>
    </row>
    <row r="768" spans="1:3" x14ac:dyDescent="0.25">
      <c r="A768" s="1">
        <v>39681</v>
      </c>
      <c r="B768" t="s">
        <v>7</v>
      </c>
      <c r="C768">
        <v>297</v>
      </c>
    </row>
    <row r="769" spans="1:3" x14ac:dyDescent="0.25">
      <c r="A769" s="1">
        <v>39682</v>
      </c>
      <c r="B769" t="s">
        <v>44</v>
      </c>
      <c r="C769">
        <v>14</v>
      </c>
    </row>
    <row r="770" spans="1:3" x14ac:dyDescent="0.25">
      <c r="A770" s="1">
        <v>39684</v>
      </c>
      <c r="B770" t="s">
        <v>52</v>
      </c>
      <c r="C770">
        <v>188</v>
      </c>
    </row>
    <row r="771" spans="1:3" x14ac:dyDescent="0.25">
      <c r="A771" s="1">
        <v>39686</v>
      </c>
      <c r="B771" t="s">
        <v>151</v>
      </c>
      <c r="C771">
        <v>11</v>
      </c>
    </row>
    <row r="772" spans="1:3" x14ac:dyDescent="0.25">
      <c r="A772" s="1">
        <v>39689</v>
      </c>
      <c r="B772" t="s">
        <v>28</v>
      </c>
      <c r="C772">
        <v>105</v>
      </c>
    </row>
    <row r="773" spans="1:3" x14ac:dyDescent="0.25">
      <c r="A773" s="1">
        <v>39690</v>
      </c>
      <c r="B773" t="s">
        <v>160</v>
      </c>
      <c r="C773">
        <v>18</v>
      </c>
    </row>
    <row r="774" spans="1:3" x14ac:dyDescent="0.25">
      <c r="A774" s="1">
        <v>39690</v>
      </c>
      <c r="B774" t="s">
        <v>7</v>
      </c>
      <c r="C774">
        <v>418</v>
      </c>
    </row>
    <row r="775" spans="1:3" x14ac:dyDescent="0.25">
      <c r="A775" s="1">
        <v>39691</v>
      </c>
      <c r="B775" t="s">
        <v>174</v>
      </c>
      <c r="C775">
        <v>4</v>
      </c>
    </row>
    <row r="776" spans="1:3" x14ac:dyDescent="0.25">
      <c r="A776" s="1">
        <v>39691</v>
      </c>
      <c r="B776" t="s">
        <v>124</v>
      </c>
      <c r="C776">
        <v>5</v>
      </c>
    </row>
    <row r="777" spans="1:3" x14ac:dyDescent="0.25">
      <c r="A777" s="1">
        <v>39692</v>
      </c>
      <c r="B777" t="s">
        <v>102</v>
      </c>
      <c r="C777">
        <v>346</v>
      </c>
    </row>
    <row r="778" spans="1:3" x14ac:dyDescent="0.25">
      <c r="A778" s="1">
        <v>39694</v>
      </c>
      <c r="B778" t="s">
        <v>9</v>
      </c>
      <c r="C778">
        <v>417</v>
      </c>
    </row>
    <row r="779" spans="1:3" x14ac:dyDescent="0.25">
      <c r="A779" s="1">
        <v>39696</v>
      </c>
      <c r="B779" t="s">
        <v>123</v>
      </c>
      <c r="C779">
        <v>35</v>
      </c>
    </row>
    <row r="780" spans="1:3" x14ac:dyDescent="0.25">
      <c r="A780" s="1">
        <v>39696</v>
      </c>
      <c r="B780" t="s">
        <v>3</v>
      </c>
      <c r="C780">
        <v>6</v>
      </c>
    </row>
    <row r="781" spans="1:3" x14ac:dyDescent="0.25">
      <c r="A781" s="1">
        <v>39697</v>
      </c>
      <c r="B781" t="s">
        <v>50</v>
      </c>
      <c r="C781">
        <v>322</v>
      </c>
    </row>
    <row r="782" spans="1:3" x14ac:dyDescent="0.25">
      <c r="A782" s="1">
        <v>39697</v>
      </c>
      <c r="B782" t="s">
        <v>37</v>
      </c>
      <c r="C782">
        <v>150</v>
      </c>
    </row>
    <row r="783" spans="1:3" x14ac:dyDescent="0.25">
      <c r="A783" s="1">
        <v>39698</v>
      </c>
      <c r="B783" t="s">
        <v>14</v>
      </c>
      <c r="C783">
        <v>492</v>
      </c>
    </row>
    <row r="784" spans="1:3" x14ac:dyDescent="0.25">
      <c r="A784" s="1">
        <v>39702</v>
      </c>
      <c r="B784" t="s">
        <v>18</v>
      </c>
      <c r="C784">
        <v>93</v>
      </c>
    </row>
    <row r="785" spans="1:3" x14ac:dyDescent="0.25">
      <c r="A785" s="1">
        <v>39705</v>
      </c>
      <c r="B785" t="s">
        <v>61</v>
      </c>
      <c r="C785">
        <v>64</v>
      </c>
    </row>
    <row r="786" spans="1:3" x14ac:dyDescent="0.25">
      <c r="A786" s="1">
        <v>39705</v>
      </c>
      <c r="B786" t="s">
        <v>89</v>
      </c>
      <c r="C786">
        <v>7</v>
      </c>
    </row>
    <row r="787" spans="1:3" x14ac:dyDescent="0.25">
      <c r="A787" s="1">
        <v>39705</v>
      </c>
      <c r="B787" t="s">
        <v>18</v>
      </c>
      <c r="C787">
        <v>90</v>
      </c>
    </row>
    <row r="788" spans="1:3" x14ac:dyDescent="0.25">
      <c r="A788" s="1">
        <v>39712</v>
      </c>
      <c r="B788" t="s">
        <v>50</v>
      </c>
      <c r="C788">
        <v>136</v>
      </c>
    </row>
    <row r="789" spans="1:3" x14ac:dyDescent="0.25">
      <c r="A789" s="1">
        <v>39713</v>
      </c>
      <c r="B789" t="s">
        <v>19</v>
      </c>
      <c r="C789">
        <v>104</v>
      </c>
    </row>
    <row r="790" spans="1:3" x14ac:dyDescent="0.25">
      <c r="A790" s="1">
        <v>39713</v>
      </c>
      <c r="B790" t="s">
        <v>150</v>
      </c>
      <c r="C790">
        <v>1</v>
      </c>
    </row>
    <row r="791" spans="1:3" x14ac:dyDescent="0.25">
      <c r="A791" s="1">
        <v>39714</v>
      </c>
      <c r="B791" t="s">
        <v>31</v>
      </c>
      <c r="C791">
        <v>52</v>
      </c>
    </row>
    <row r="792" spans="1:3" x14ac:dyDescent="0.25">
      <c r="A792" s="1">
        <v>39714</v>
      </c>
      <c r="B792" t="s">
        <v>45</v>
      </c>
      <c r="C792">
        <v>203</v>
      </c>
    </row>
    <row r="793" spans="1:3" x14ac:dyDescent="0.25">
      <c r="A793" s="1">
        <v>39716</v>
      </c>
      <c r="B793" t="s">
        <v>30</v>
      </c>
      <c r="C793">
        <v>183</v>
      </c>
    </row>
    <row r="794" spans="1:3" x14ac:dyDescent="0.25">
      <c r="A794" s="1">
        <v>39717</v>
      </c>
      <c r="B794" t="s">
        <v>61</v>
      </c>
      <c r="C794">
        <v>182</v>
      </c>
    </row>
    <row r="795" spans="1:3" x14ac:dyDescent="0.25">
      <c r="A795" s="1">
        <v>39719</v>
      </c>
      <c r="B795" t="s">
        <v>45</v>
      </c>
      <c r="C795">
        <v>383</v>
      </c>
    </row>
    <row r="796" spans="1:3" x14ac:dyDescent="0.25">
      <c r="A796" s="1">
        <v>39722</v>
      </c>
      <c r="B796" t="s">
        <v>22</v>
      </c>
      <c r="C796">
        <v>113</v>
      </c>
    </row>
    <row r="797" spans="1:3" x14ac:dyDescent="0.25">
      <c r="A797" s="1">
        <v>39722</v>
      </c>
      <c r="B797" t="s">
        <v>63</v>
      </c>
      <c r="C797">
        <v>154</v>
      </c>
    </row>
    <row r="798" spans="1:3" x14ac:dyDescent="0.25">
      <c r="A798" s="1">
        <v>39722</v>
      </c>
      <c r="B798" t="s">
        <v>36</v>
      </c>
      <c r="C798">
        <v>8</v>
      </c>
    </row>
    <row r="799" spans="1:3" x14ac:dyDescent="0.25">
      <c r="A799" s="1">
        <v>39725</v>
      </c>
      <c r="B799" t="s">
        <v>116</v>
      </c>
      <c r="C799">
        <v>5</v>
      </c>
    </row>
    <row r="800" spans="1:3" x14ac:dyDescent="0.25">
      <c r="A800" s="1">
        <v>39725</v>
      </c>
      <c r="B800" t="s">
        <v>42</v>
      </c>
      <c r="C800">
        <v>14</v>
      </c>
    </row>
    <row r="801" spans="1:3" x14ac:dyDescent="0.25">
      <c r="A801" s="1">
        <v>39727</v>
      </c>
      <c r="B801" t="s">
        <v>71</v>
      </c>
      <c r="C801">
        <v>27</v>
      </c>
    </row>
    <row r="802" spans="1:3" x14ac:dyDescent="0.25">
      <c r="A802" s="1">
        <v>39727</v>
      </c>
      <c r="B802" t="s">
        <v>8</v>
      </c>
      <c r="C802">
        <v>141</v>
      </c>
    </row>
    <row r="803" spans="1:3" x14ac:dyDescent="0.25">
      <c r="A803" s="1">
        <v>39729</v>
      </c>
      <c r="B803" t="s">
        <v>175</v>
      </c>
      <c r="C803">
        <v>14</v>
      </c>
    </row>
    <row r="804" spans="1:3" x14ac:dyDescent="0.25">
      <c r="A804" s="1">
        <v>39729</v>
      </c>
      <c r="B804" t="s">
        <v>31</v>
      </c>
      <c r="C804">
        <v>136</v>
      </c>
    </row>
    <row r="805" spans="1:3" x14ac:dyDescent="0.25">
      <c r="A805" s="1">
        <v>39729</v>
      </c>
      <c r="B805" t="s">
        <v>5</v>
      </c>
      <c r="C805">
        <v>378</v>
      </c>
    </row>
    <row r="806" spans="1:3" x14ac:dyDescent="0.25">
      <c r="A806" s="1">
        <v>39729</v>
      </c>
      <c r="B806" t="s">
        <v>159</v>
      </c>
      <c r="C806">
        <v>12</v>
      </c>
    </row>
    <row r="807" spans="1:3" x14ac:dyDescent="0.25">
      <c r="A807" s="1">
        <v>39732</v>
      </c>
      <c r="B807" t="s">
        <v>45</v>
      </c>
      <c r="C807">
        <v>284</v>
      </c>
    </row>
    <row r="808" spans="1:3" x14ac:dyDescent="0.25">
      <c r="A808" s="1">
        <v>39733</v>
      </c>
      <c r="B808" t="s">
        <v>19</v>
      </c>
      <c r="C808">
        <v>54</v>
      </c>
    </row>
    <row r="809" spans="1:3" x14ac:dyDescent="0.25">
      <c r="A809" s="1">
        <v>39733</v>
      </c>
      <c r="B809" t="s">
        <v>31</v>
      </c>
      <c r="C809">
        <v>51</v>
      </c>
    </row>
    <row r="810" spans="1:3" x14ac:dyDescent="0.25">
      <c r="A810" s="1">
        <v>39733</v>
      </c>
      <c r="B810" t="s">
        <v>55</v>
      </c>
      <c r="C810">
        <v>159</v>
      </c>
    </row>
    <row r="811" spans="1:3" x14ac:dyDescent="0.25">
      <c r="A811" s="1">
        <v>39738</v>
      </c>
      <c r="B811" t="s">
        <v>9</v>
      </c>
      <c r="C811">
        <v>351</v>
      </c>
    </row>
    <row r="812" spans="1:3" x14ac:dyDescent="0.25">
      <c r="A812" s="1">
        <v>39738</v>
      </c>
      <c r="B812" t="s">
        <v>22</v>
      </c>
      <c r="C812">
        <v>390</v>
      </c>
    </row>
    <row r="813" spans="1:3" x14ac:dyDescent="0.25">
      <c r="A813" s="1">
        <v>39738</v>
      </c>
      <c r="B813" t="s">
        <v>33</v>
      </c>
      <c r="C813">
        <v>4</v>
      </c>
    </row>
    <row r="814" spans="1:3" x14ac:dyDescent="0.25">
      <c r="A814" s="1">
        <v>39739</v>
      </c>
      <c r="B814" t="s">
        <v>35</v>
      </c>
      <c r="C814">
        <v>140</v>
      </c>
    </row>
    <row r="815" spans="1:3" x14ac:dyDescent="0.25">
      <c r="A815" s="1">
        <v>39740</v>
      </c>
      <c r="B815" t="s">
        <v>50</v>
      </c>
      <c r="C815">
        <v>125</v>
      </c>
    </row>
    <row r="816" spans="1:3" x14ac:dyDescent="0.25">
      <c r="A816" s="1">
        <v>39740</v>
      </c>
      <c r="B816" t="s">
        <v>66</v>
      </c>
      <c r="C816">
        <v>97</v>
      </c>
    </row>
    <row r="817" spans="1:3" x14ac:dyDescent="0.25">
      <c r="A817" s="1">
        <v>39743</v>
      </c>
      <c r="B817" t="s">
        <v>66</v>
      </c>
      <c r="C817">
        <v>190</v>
      </c>
    </row>
    <row r="818" spans="1:3" x14ac:dyDescent="0.25">
      <c r="A818" s="1">
        <v>39745</v>
      </c>
      <c r="B818" t="s">
        <v>14</v>
      </c>
      <c r="C818">
        <v>415</v>
      </c>
    </row>
    <row r="819" spans="1:3" x14ac:dyDescent="0.25">
      <c r="A819" s="1">
        <v>39747</v>
      </c>
      <c r="B819" t="s">
        <v>9</v>
      </c>
      <c r="C819">
        <v>269</v>
      </c>
    </row>
    <row r="820" spans="1:3" x14ac:dyDescent="0.25">
      <c r="A820" s="1">
        <v>39747</v>
      </c>
      <c r="B820" t="s">
        <v>140</v>
      </c>
      <c r="C820">
        <v>11</v>
      </c>
    </row>
    <row r="821" spans="1:3" x14ac:dyDescent="0.25">
      <c r="A821" s="1">
        <v>39747</v>
      </c>
      <c r="B821" t="s">
        <v>45</v>
      </c>
      <c r="C821">
        <v>162</v>
      </c>
    </row>
    <row r="822" spans="1:3" x14ac:dyDescent="0.25">
      <c r="A822" s="1">
        <v>39757</v>
      </c>
      <c r="B822" t="s">
        <v>18</v>
      </c>
      <c r="C822">
        <v>75</v>
      </c>
    </row>
    <row r="823" spans="1:3" x14ac:dyDescent="0.25">
      <c r="A823" s="1">
        <v>39759</v>
      </c>
      <c r="B823" t="s">
        <v>22</v>
      </c>
      <c r="C823">
        <v>358</v>
      </c>
    </row>
    <row r="824" spans="1:3" x14ac:dyDescent="0.25">
      <c r="A824" s="1">
        <v>39760</v>
      </c>
      <c r="B824" t="s">
        <v>8</v>
      </c>
      <c r="C824">
        <v>198</v>
      </c>
    </row>
    <row r="825" spans="1:3" x14ac:dyDescent="0.25">
      <c r="A825" s="1">
        <v>39763</v>
      </c>
      <c r="B825" t="s">
        <v>22</v>
      </c>
      <c r="C825">
        <v>189</v>
      </c>
    </row>
    <row r="826" spans="1:3" x14ac:dyDescent="0.25">
      <c r="A826" s="1">
        <v>39764</v>
      </c>
      <c r="B826" t="s">
        <v>24</v>
      </c>
      <c r="C826">
        <v>226</v>
      </c>
    </row>
    <row r="827" spans="1:3" x14ac:dyDescent="0.25">
      <c r="A827" s="1">
        <v>39765</v>
      </c>
      <c r="B827" t="s">
        <v>55</v>
      </c>
      <c r="C827">
        <v>94</v>
      </c>
    </row>
    <row r="828" spans="1:3" x14ac:dyDescent="0.25">
      <c r="A828" s="1">
        <v>39770</v>
      </c>
      <c r="B828" t="s">
        <v>50</v>
      </c>
      <c r="C828">
        <v>401</v>
      </c>
    </row>
    <row r="829" spans="1:3" x14ac:dyDescent="0.25">
      <c r="A829" s="1">
        <v>39771</v>
      </c>
      <c r="B829" t="s">
        <v>69</v>
      </c>
      <c r="C829">
        <v>52</v>
      </c>
    </row>
    <row r="830" spans="1:3" x14ac:dyDescent="0.25">
      <c r="A830" s="1">
        <v>39772</v>
      </c>
      <c r="B830" t="s">
        <v>12</v>
      </c>
      <c r="C830">
        <v>189</v>
      </c>
    </row>
    <row r="831" spans="1:3" x14ac:dyDescent="0.25">
      <c r="A831" s="1">
        <v>39774</v>
      </c>
      <c r="B831" t="s">
        <v>17</v>
      </c>
      <c r="C831">
        <v>201</v>
      </c>
    </row>
    <row r="832" spans="1:3" x14ac:dyDescent="0.25">
      <c r="A832" s="1">
        <v>39775</v>
      </c>
      <c r="B832" t="s">
        <v>22</v>
      </c>
      <c r="C832">
        <v>235</v>
      </c>
    </row>
    <row r="833" spans="1:3" x14ac:dyDescent="0.25">
      <c r="A833" s="1">
        <v>39776</v>
      </c>
      <c r="B833" t="s">
        <v>55</v>
      </c>
      <c r="C833">
        <v>78</v>
      </c>
    </row>
    <row r="834" spans="1:3" x14ac:dyDescent="0.25">
      <c r="A834" s="1">
        <v>39776</v>
      </c>
      <c r="B834" t="s">
        <v>126</v>
      </c>
      <c r="C834">
        <v>13</v>
      </c>
    </row>
    <row r="835" spans="1:3" x14ac:dyDescent="0.25">
      <c r="A835" s="1">
        <v>39776</v>
      </c>
      <c r="B835" t="s">
        <v>20</v>
      </c>
      <c r="C835">
        <v>196</v>
      </c>
    </row>
    <row r="836" spans="1:3" x14ac:dyDescent="0.25">
      <c r="A836" s="1">
        <v>39780</v>
      </c>
      <c r="B836" t="s">
        <v>70</v>
      </c>
      <c r="C836">
        <v>11</v>
      </c>
    </row>
    <row r="837" spans="1:3" x14ac:dyDescent="0.25">
      <c r="A837" s="1">
        <v>39780</v>
      </c>
      <c r="B837" t="s">
        <v>176</v>
      </c>
      <c r="C837">
        <v>17</v>
      </c>
    </row>
    <row r="838" spans="1:3" x14ac:dyDescent="0.25">
      <c r="A838" s="1">
        <v>39781</v>
      </c>
      <c r="B838" t="s">
        <v>47</v>
      </c>
      <c r="C838">
        <v>4</v>
      </c>
    </row>
    <row r="839" spans="1:3" x14ac:dyDescent="0.25">
      <c r="A839" s="1">
        <v>39785</v>
      </c>
      <c r="B839" t="s">
        <v>54</v>
      </c>
      <c r="C839">
        <v>17</v>
      </c>
    </row>
    <row r="840" spans="1:3" x14ac:dyDescent="0.25">
      <c r="A840" s="1">
        <v>39785</v>
      </c>
      <c r="B840" t="s">
        <v>177</v>
      </c>
      <c r="C840">
        <v>1</v>
      </c>
    </row>
    <row r="841" spans="1:3" x14ac:dyDescent="0.25">
      <c r="A841" s="1">
        <v>39790</v>
      </c>
      <c r="B841" t="s">
        <v>13</v>
      </c>
      <c r="C841">
        <v>6</v>
      </c>
    </row>
    <row r="842" spans="1:3" x14ac:dyDescent="0.25">
      <c r="A842" s="1">
        <v>39790</v>
      </c>
      <c r="B842" t="s">
        <v>7</v>
      </c>
      <c r="C842">
        <v>496</v>
      </c>
    </row>
    <row r="843" spans="1:3" x14ac:dyDescent="0.25">
      <c r="A843" s="1">
        <v>39794</v>
      </c>
      <c r="B843" t="s">
        <v>5</v>
      </c>
      <c r="C843">
        <v>363</v>
      </c>
    </row>
    <row r="844" spans="1:3" x14ac:dyDescent="0.25">
      <c r="A844" s="1">
        <v>39797</v>
      </c>
      <c r="B844" t="s">
        <v>5</v>
      </c>
      <c r="C844">
        <v>491</v>
      </c>
    </row>
    <row r="845" spans="1:3" x14ac:dyDescent="0.25">
      <c r="A845" s="1">
        <v>39797</v>
      </c>
      <c r="B845" t="s">
        <v>17</v>
      </c>
      <c r="C845">
        <v>369</v>
      </c>
    </row>
    <row r="846" spans="1:3" x14ac:dyDescent="0.25">
      <c r="A846" s="1">
        <v>39799</v>
      </c>
      <c r="B846" t="s">
        <v>66</v>
      </c>
      <c r="C846">
        <v>60</v>
      </c>
    </row>
    <row r="847" spans="1:3" x14ac:dyDescent="0.25">
      <c r="A847" s="1">
        <v>39800</v>
      </c>
      <c r="B847" t="s">
        <v>20</v>
      </c>
      <c r="C847">
        <v>35</v>
      </c>
    </row>
    <row r="848" spans="1:3" x14ac:dyDescent="0.25">
      <c r="A848" s="1">
        <v>39803</v>
      </c>
      <c r="B848" t="s">
        <v>7</v>
      </c>
      <c r="C848">
        <v>121</v>
      </c>
    </row>
    <row r="849" spans="1:3" x14ac:dyDescent="0.25">
      <c r="A849" s="1">
        <v>39803</v>
      </c>
      <c r="B849" t="s">
        <v>50</v>
      </c>
      <c r="C849">
        <v>442</v>
      </c>
    </row>
    <row r="850" spans="1:3" x14ac:dyDescent="0.25">
      <c r="A850" s="1">
        <v>39804</v>
      </c>
      <c r="B850" t="s">
        <v>7</v>
      </c>
      <c r="C850">
        <v>338</v>
      </c>
    </row>
    <row r="851" spans="1:3" x14ac:dyDescent="0.25">
      <c r="A851" s="1">
        <v>39805</v>
      </c>
      <c r="B851" t="s">
        <v>31</v>
      </c>
      <c r="C851">
        <v>94</v>
      </c>
    </row>
    <row r="852" spans="1:3" x14ac:dyDescent="0.25">
      <c r="A852" s="1">
        <v>39808</v>
      </c>
      <c r="B852" t="s">
        <v>1</v>
      </c>
      <c r="C852">
        <v>14</v>
      </c>
    </row>
    <row r="853" spans="1:3" x14ac:dyDescent="0.25">
      <c r="A853" s="1">
        <v>39809</v>
      </c>
      <c r="B853" t="s">
        <v>94</v>
      </c>
      <c r="C853">
        <v>2</v>
      </c>
    </row>
    <row r="854" spans="1:3" x14ac:dyDescent="0.25">
      <c r="A854" s="1">
        <v>39811</v>
      </c>
      <c r="B854" t="s">
        <v>14</v>
      </c>
      <c r="C854">
        <v>110</v>
      </c>
    </row>
    <row r="855" spans="1:3" x14ac:dyDescent="0.25">
      <c r="A855" s="1">
        <v>39812</v>
      </c>
      <c r="B855" t="s">
        <v>87</v>
      </c>
      <c r="C855">
        <v>18</v>
      </c>
    </row>
    <row r="856" spans="1:3" x14ac:dyDescent="0.25">
      <c r="A856" s="1">
        <v>39812</v>
      </c>
      <c r="B856" t="s">
        <v>147</v>
      </c>
      <c r="C856">
        <v>7</v>
      </c>
    </row>
    <row r="857" spans="1:3" x14ac:dyDescent="0.25">
      <c r="A857" s="1">
        <v>39814</v>
      </c>
      <c r="B857" t="s">
        <v>178</v>
      </c>
      <c r="C857">
        <v>2</v>
      </c>
    </row>
    <row r="858" spans="1:3" x14ac:dyDescent="0.25">
      <c r="A858" s="1">
        <v>39815</v>
      </c>
      <c r="B858" t="s">
        <v>37</v>
      </c>
      <c r="C858">
        <v>188</v>
      </c>
    </row>
    <row r="859" spans="1:3" x14ac:dyDescent="0.25">
      <c r="A859" s="1">
        <v>39819</v>
      </c>
      <c r="B859" t="s">
        <v>92</v>
      </c>
      <c r="C859">
        <v>11</v>
      </c>
    </row>
    <row r="860" spans="1:3" x14ac:dyDescent="0.25">
      <c r="A860" s="1">
        <v>39819</v>
      </c>
      <c r="B860" t="s">
        <v>14</v>
      </c>
      <c r="C860">
        <v>129</v>
      </c>
    </row>
    <row r="861" spans="1:3" x14ac:dyDescent="0.25">
      <c r="A861" s="1">
        <v>39819</v>
      </c>
      <c r="B861" t="s">
        <v>61</v>
      </c>
      <c r="C861">
        <v>117</v>
      </c>
    </row>
    <row r="862" spans="1:3" x14ac:dyDescent="0.25">
      <c r="A862" s="1">
        <v>39821</v>
      </c>
      <c r="B862" t="s">
        <v>82</v>
      </c>
      <c r="C862">
        <v>11</v>
      </c>
    </row>
    <row r="863" spans="1:3" x14ac:dyDescent="0.25">
      <c r="A863" s="1">
        <v>39823</v>
      </c>
      <c r="B863" t="s">
        <v>61</v>
      </c>
      <c r="C863">
        <v>186</v>
      </c>
    </row>
    <row r="864" spans="1:3" x14ac:dyDescent="0.25">
      <c r="A864" s="1">
        <v>39824</v>
      </c>
      <c r="B864" t="s">
        <v>18</v>
      </c>
      <c r="C864">
        <v>40</v>
      </c>
    </row>
    <row r="865" spans="1:3" x14ac:dyDescent="0.25">
      <c r="A865" s="1">
        <v>39829</v>
      </c>
      <c r="B865" t="s">
        <v>47</v>
      </c>
      <c r="C865">
        <v>6</v>
      </c>
    </row>
    <row r="866" spans="1:3" x14ac:dyDescent="0.25">
      <c r="A866" s="1">
        <v>39831</v>
      </c>
      <c r="B866" t="s">
        <v>55</v>
      </c>
      <c r="C866">
        <v>153</v>
      </c>
    </row>
    <row r="867" spans="1:3" x14ac:dyDescent="0.25">
      <c r="A867" s="1">
        <v>39832</v>
      </c>
      <c r="B867" t="s">
        <v>45</v>
      </c>
      <c r="C867">
        <v>163</v>
      </c>
    </row>
    <row r="868" spans="1:3" x14ac:dyDescent="0.25">
      <c r="A868" s="1">
        <v>39834</v>
      </c>
      <c r="B868" t="s">
        <v>179</v>
      </c>
      <c r="C868">
        <v>16</v>
      </c>
    </row>
    <row r="869" spans="1:3" x14ac:dyDescent="0.25">
      <c r="A869" s="1">
        <v>39835</v>
      </c>
      <c r="B869" t="s">
        <v>25</v>
      </c>
      <c r="C869">
        <v>161</v>
      </c>
    </row>
    <row r="870" spans="1:3" x14ac:dyDescent="0.25">
      <c r="A870" s="1">
        <v>39836</v>
      </c>
      <c r="B870" t="s">
        <v>180</v>
      </c>
      <c r="C870">
        <v>5</v>
      </c>
    </row>
    <row r="871" spans="1:3" x14ac:dyDescent="0.25">
      <c r="A871" s="1">
        <v>39839</v>
      </c>
      <c r="B871" t="s">
        <v>30</v>
      </c>
      <c r="C871">
        <v>200</v>
      </c>
    </row>
    <row r="872" spans="1:3" x14ac:dyDescent="0.25">
      <c r="A872" s="1">
        <v>39843</v>
      </c>
      <c r="B872" t="s">
        <v>181</v>
      </c>
      <c r="C872">
        <v>11</v>
      </c>
    </row>
    <row r="873" spans="1:3" x14ac:dyDescent="0.25">
      <c r="A873" s="1">
        <v>39847</v>
      </c>
      <c r="B873" t="s">
        <v>96</v>
      </c>
      <c r="C873">
        <v>14</v>
      </c>
    </row>
    <row r="874" spans="1:3" x14ac:dyDescent="0.25">
      <c r="A874" s="1">
        <v>39849</v>
      </c>
      <c r="B874" t="s">
        <v>7</v>
      </c>
      <c r="C874">
        <v>469</v>
      </c>
    </row>
    <row r="875" spans="1:3" x14ac:dyDescent="0.25">
      <c r="A875" s="1">
        <v>39853</v>
      </c>
      <c r="B875" t="s">
        <v>166</v>
      </c>
      <c r="C875">
        <v>11</v>
      </c>
    </row>
    <row r="876" spans="1:3" x14ac:dyDescent="0.25">
      <c r="A876" s="1">
        <v>39853</v>
      </c>
      <c r="B876" t="s">
        <v>14</v>
      </c>
      <c r="C876">
        <v>423</v>
      </c>
    </row>
    <row r="877" spans="1:3" x14ac:dyDescent="0.25">
      <c r="A877" s="1">
        <v>39853</v>
      </c>
      <c r="B877" t="s">
        <v>172</v>
      </c>
      <c r="C877">
        <v>9</v>
      </c>
    </row>
    <row r="878" spans="1:3" x14ac:dyDescent="0.25">
      <c r="A878" s="1">
        <v>39853</v>
      </c>
      <c r="B878" t="s">
        <v>68</v>
      </c>
      <c r="C878">
        <v>3</v>
      </c>
    </row>
    <row r="879" spans="1:3" x14ac:dyDescent="0.25">
      <c r="A879" s="1">
        <v>39854</v>
      </c>
      <c r="B879" t="s">
        <v>22</v>
      </c>
      <c r="C879">
        <v>186</v>
      </c>
    </row>
    <row r="880" spans="1:3" x14ac:dyDescent="0.25">
      <c r="A880" s="1">
        <v>39854</v>
      </c>
      <c r="B880" t="s">
        <v>7</v>
      </c>
      <c r="C880">
        <v>390</v>
      </c>
    </row>
    <row r="881" spans="1:3" x14ac:dyDescent="0.25">
      <c r="A881" s="1">
        <v>39855</v>
      </c>
      <c r="B881" t="s">
        <v>5</v>
      </c>
      <c r="C881">
        <v>445</v>
      </c>
    </row>
    <row r="882" spans="1:3" x14ac:dyDescent="0.25">
      <c r="A882" s="1">
        <v>39856</v>
      </c>
      <c r="B882" t="s">
        <v>50</v>
      </c>
      <c r="C882">
        <v>241</v>
      </c>
    </row>
    <row r="883" spans="1:3" x14ac:dyDescent="0.25">
      <c r="A883" s="1">
        <v>39856</v>
      </c>
      <c r="B883" t="s">
        <v>29</v>
      </c>
      <c r="C883">
        <v>3</v>
      </c>
    </row>
    <row r="884" spans="1:3" x14ac:dyDescent="0.25">
      <c r="A884" s="1">
        <v>39858</v>
      </c>
      <c r="B884" t="s">
        <v>23</v>
      </c>
      <c r="C884">
        <v>50</v>
      </c>
    </row>
    <row r="885" spans="1:3" x14ac:dyDescent="0.25">
      <c r="A885" s="1">
        <v>39859</v>
      </c>
      <c r="B885" t="s">
        <v>24</v>
      </c>
      <c r="C885">
        <v>284</v>
      </c>
    </row>
    <row r="886" spans="1:3" x14ac:dyDescent="0.25">
      <c r="A886" s="1">
        <v>39860</v>
      </c>
      <c r="B886" t="s">
        <v>9</v>
      </c>
      <c r="C886">
        <v>395</v>
      </c>
    </row>
    <row r="887" spans="1:3" x14ac:dyDescent="0.25">
      <c r="A887" s="1">
        <v>39862</v>
      </c>
      <c r="B887" t="s">
        <v>5</v>
      </c>
      <c r="C887">
        <v>290</v>
      </c>
    </row>
    <row r="888" spans="1:3" x14ac:dyDescent="0.25">
      <c r="A888" s="1">
        <v>39863</v>
      </c>
      <c r="B888" t="s">
        <v>22</v>
      </c>
      <c r="C888">
        <v>361</v>
      </c>
    </row>
    <row r="889" spans="1:3" x14ac:dyDescent="0.25">
      <c r="A889" s="1">
        <v>39865</v>
      </c>
      <c r="B889" t="s">
        <v>17</v>
      </c>
      <c r="C889">
        <v>355</v>
      </c>
    </row>
    <row r="890" spans="1:3" x14ac:dyDescent="0.25">
      <c r="A890" s="1">
        <v>39866</v>
      </c>
      <c r="B890" t="s">
        <v>182</v>
      </c>
      <c r="C890">
        <v>19</v>
      </c>
    </row>
    <row r="891" spans="1:3" x14ac:dyDescent="0.25">
      <c r="A891" s="1">
        <v>39868</v>
      </c>
      <c r="B891" t="s">
        <v>52</v>
      </c>
      <c r="C891">
        <v>32</v>
      </c>
    </row>
    <row r="892" spans="1:3" x14ac:dyDescent="0.25">
      <c r="A892" s="1">
        <v>39871</v>
      </c>
      <c r="B892" t="s">
        <v>146</v>
      </c>
      <c r="C892">
        <v>13</v>
      </c>
    </row>
    <row r="893" spans="1:3" x14ac:dyDescent="0.25">
      <c r="A893" s="1">
        <v>39871</v>
      </c>
      <c r="B893" t="s">
        <v>45</v>
      </c>
      <c r="C893">
        <v>156</v>
      </c>
    </row>
    <row r="894" spans="1:3" x14ac:dyDescent="0.25">
      <c r="A894" s="1">
        <v>39873</v>
      </c>
      <c r="B894" t="s">
        <v>183</v>
      </c>
      <c r="C894">
        <v>20</v>
      </c>
    </row>
    <row r="895" spans="1:3" x14ac:dyDescent="0.25">
      <c r="A895" s="1">
        <v>39874</v>
      </c>
      <c r="B895" t="s">
        <v>12</v>
      </c>
      <c r="C895">
        <v>112</v>
      </c>
    </row>
    <row r="896" spans="1:3" x14ac:dyDescent="0.25">
      <c r="A896" s="1">
        <v>39877</v>
      </c>
      <c r="B896" t="s">
        <v>7</v>
      </c>
      <c r="C896">
        <v>110</v>
      </c>
    </row>
    <row r="897" spans="1:3" x14ac:dyDescent="0.25">
      <c r="A897" s="1">
        <v>39878</v>
      </c>
      <c r="B897" t="s">
        <v>184</v>
      </c>
      <c r="C897">
        <v>4</v>
      </c>
    </row>
    <row r="898" spans="1:3" x14ac:dyDescent="0.25">
      <c r="A898" s="1">
        <v>39885</v>
      </c>
      <c r="B898" t="s">
        <v>133</v>
      </c>
      <c r="C898">
        <v>18</v>
      </c>
    </row>
    <row r="899" spans="1:3" x14ac:dyDescent="0.25">
      <c r="A899" s="1">
        <v>39889</v>
      </c>
      <c r="B899" t="s">
        <v>20</v>
      </c>
      <c r="C899">
        <v>60</v>
      </c>
    </row>
    <row r="900" spans="1:3" x14ac:dyDescent="0.25">
      <c r="A900" s="1">
        <v>39889</v>
      </c>
      <c r="B900" t="s">
        <v>88</v>
      </c>
      <c r="C900">
        <v>14</v>
      </c>
    </row>
    <row r="901" spans="1:3" x14ac:dyDescent="0.25">
      <c r="A901" s="1">
        <v>39889</v>
      </c>
      <c r="B901" t="s">
        <v>28</v>
      </c>
      <c r="C901">
        <v>24</v>
      </c>
    </row>
    <row r="902" spans="1:3" x14ac:dyDescent="0.25">
      <c r="A902" s="1">
        <v>39891</v>
      </c>
      <c r="B902" t="s">
        <v>22</v>
      </c>
      <c r="C902">
        <v>145</v>
      </c>
    </row>
    <row r="903" spans="1:3" x14ac:dyDescent="0.25">
      <c r="A903" s="1">
        <v>39891</v>
      </c>
      <c r="B903" t="s">
        <v>50</v>
      </c>
      <c r="C903">
        <v>393</v>
      </c>
    </row>
    <row r="904" spans="1:3" x14ac:dyDescent="0.25">
      <c r="A904" s="1">
        <v>39893</v>
      </c>
      <c r="B904" t="s">
        <v>28</v>
      </c>
      <c r="C904">
        <v>73</v>
      </c>
    </row>
    <row r="905" spans="1:3" x14ac:dyDescent="0.25">
      <c r="A905" s="1">
        <v>39893</v>
      </c>
      <c r="B905" t="s">
        <v>8</v>
      </c>
      <c r="C905">
        <v>136</v>
      </c>
    </row>
    <row r="906" spans="1:3" x14ac:dyDescent="0.25">
      <c r="A906" s="1">
        <v>39894</v>
      </c>
      <c r="B906" t="s">
        <v>45</v>
      </c>
      <c r="C906">
        <v>422</v>
      </c>
    </row>
    <row r="907" spans="1:3" x14ac:dyDescent="0.25">
      <c r="A907" s="1">
        <v>39895</v>
      </c>
      <c r="B907" t="s">
        <v>9</v>
      </c>
      <c r="C907">
        <v>187</v>
      </c>
    </row>
    <row r="908" spans="1:3" x14ac:dyDescent="0.25">
      <c r="A908" s="1">
        <v>39897</v>
      </c>
      <c r="B908" t="s">
        <v>18</v>
      </c>
      <c r="C908">
        <v>58</v>
      </c>
    </row>
    <row r="909" spans="1:3" x14ac:dyDescent="0.25">
      <c r="A909" s="1">
        <v>39898</v>
      </c>
      <c r="B909" t="s">
        <v>45</v>
      </c>
      <c r="C909">
        <v>436</v>
      </c>
    </row>
    <row r="910" spans="1:3" x14ac:dyDescent="0.25">
      <c r="A910" s="1">
        <v>39902</v>
      </c>
      <c r="B910" t="s">
        <v>14</v>
      </c>
      <c r="C910">
        <v>406</v>
      </c>
    </row>
    <row r="911" spans="1:3" x14ac:dyDescent="0.25">
      <c r="A911" s="1">
        <v>39904</v>
      </c>
      <c r="B911" t="s">
        <v>14</v>
      </c>
      <c r="C911">
        <v>108</v>
      </c>
    </row>
    <row r="912" spans="1:3" x14ac:dyDescent="0.25">
      <c r="A912" s="1">
        <v>39905</v>
      </c>
      <c r="B912" t="s">
        <v>142</v>
      </c>
      <c r="C912">
        <v>10</v>
      </c>
    </row>
    <row r="913" spans="1:3" x14ac:dyDescent="0.25">
      <c r="A913" s="1">
        <v>39906</v>
      </c>
      <c r="B913" t="s">
        <v>37</v>
      </c>
      <c r="C913">
        <v>153</v>
      </c>
    </row>
    <row r="914" spans="1:3" x14ac:dyDescent="0.25">
      <c r="A914" s="1">
        <v>39908</v>
      </c>
      <c r="B914" t="s">
        <v>185</v>
      </c>
      <c r="C914">
        <v>3</v>
      </c>
    </row>
    <row r="915" spans="1:3" x14ac:dyDescent="0.25">
      <c r="A915" s="1">
        <v>39909</v>
      </c>
      <c r="B915" t="s">
        <v>31</v>
      </c>
      <c r="C915">
        <v>109</v>
      </c>
    </row>
    <row r="916" spans="1:3" x14ac:dyDescent="0.25">
      <c r="A916" s="1">
        <v>39911</v>
      </c>
      <c r="B916" t="s">
        <v>86</v>
      </c>
      <c r="C916">
        <v>9</v>
      </c>
    </row>
    <row r="917" spans="1:3" x14ac:dyDescent="0.25">
      <c r="A917" s="1">
        <v>39911</v>
      </c>
      <c r="B917" t="s">
        <v>52</v>
      </c>
      <c r="C917">
        <v>112</v>
      </c>
    </row>
    <row r="918" spans="1:3" x14ac:dyDescent="0.25">
      <c r="A918" s="1">
        <v>39916</v>
      </c>
      <c r="B918" t="s">
        <v>19</v>
      </c>
      <c r="C918">
        <v>29</v>
      </c>
    </row>
    <row r="919" spans="1:3" x14ac:dyDescent="0.25">
      <c r="A919" s="1">
        <v>39916</v>
      </c>
      <c r="B919" t="s">
        <v>50</v>
      </c>
      <c r="C919">
        <v>310</v>
      </c>
    </row>
    <row r="920" spans="1:3" x14ac:dyDescent="0.25">
      <c r="A920" s="1">
        <v>39918</v>
      </c>
      <c r="B920" t="s">
        <v>55</v>
      </c>
      <c r="C920">
        <v>107</v>
      </c>
    </row>
    <row r="921" spans="1:3" x14ac:dyDescent="0.25">
      <c r="A921" s="1">
        <v>39921</v>
      </c>
      <c r="B921" t="s">
        <v>8</v>
      </c>
      <c r="C921">
        <v>26</v>
      </c>
    </row>
    <row r="922" spans="1:3" x14ac:dyDescent="0.25">
      <c r="A922" s="1">
        <v>39923</v>
      </c>
      <c r="B922" t="s">
        <v>31</v>
      </c>
      <c r="C922">
        <v>114</v>
      </c>
    </row>
    <row r="923" spans="1:3" x14ac:dyDescent="0.25">
      <c r="A923" s="1">
        <v>39924</v>
      </c>
      <c r="B923" t="s">
        <v>169</v>
      </c>
      <c r="C923">
        <v>4</v>
      </c>
    </row>
    <row r="924" spans="1:3" x14ac:dyDescent="0.25">
      <c r="A924" s="1">
        <v>39925</v>
      </c>
      <c r="B924" t="s">
        <v>186</v>
      </c>
      <c r="C924">
        <v>15</v>
      </c>
    </row>
    <row r="925" spans="1:3" x14ac:dyDescent="0.25">
      <c r="A925" s="1">
        <v>39929</v>
      </c>
      <c r="B925" t="s">
        <v>66</v>
      </c>
      <c r="C925">
        <v>144</v>
      </c>
    </row>
    <row r="926" spans="1:3" x14ac:dyDescent="0.25">
      <c r="A926" s="1">
        <v>39933</v>
      </c>
      <c r="B926" t="s">
        <v>5</v>
      </c>
      <c r="C926">
        <v>110</v>
      </c>
    </row>
    <row r="927" spans="1:3" x14ac:dyDescent="0.25">
      <c r="A927" s="1">
        <v>39933</v>
      </c>
      <c r="B927" t="s">
        <v>37</v>
      </c>
      <c r="C927">
        <v>105</v>
      </c>
    </row>
    <row r="928" spans="1:3" x14ac:dyDescent="0.25">
      <c r="A928" s="1">
        <v>39935</v>
      </c>
      <c r="B928" t="s">
        <v>52</v>
      </c>
      <c r="C928">
        <v>51</v>
      </c>
    </row>
    <row r="929" spans="1:3" x14ac:dyDescent="0.25">
      <c r="A929" s="1">
        <v>39937</v>
      </c>
      <c r="B929" t="s">
        <v>145</v>
      </c>
      <c r="C929">
        <v>1</v>
      </c>
    </row>
    <row r="930" spans="1:3" x14ac:dyDescent="0.25">
      <c r="A930" s="1">
        <v>39937</v>
      </c>
      <c r="B930" t="s">
        <v>152</v>
      </c>
      <c r="C930">
        <v>8</v>
      </c>
    </row>
    <row r="931" spans="1:3" x14ac:dyDescent="0.25">
      <c r="A931" s="1">
        <v>39939</v>
      </c>
      <c r="B931" t="s">
        <v>9</v>
      </c>
      <c r="C931">
        <v>128</v>
      </c>
    </row>
    <row r="932" spans="1:3" x14ac:dyDescent="0.25">
      <c r="A932" s="1">
        <v>39942</v>
      </c>
      <c r="B932" t="s">
        <v>87</v>
      </c>
      <c r="C932">
        <v>9</v>
      </c>
    </row>
    <row r="933" spans="1:3" x14ac:dyDescent="0.25">
      <c r="A933" s="1">
        <v>39948</v>
      </c>
      <c r="B933" t="s">
        <v>9</v>
      </c>
      <c r="C933">
        <v>291</v>
      </c>
    </row>
    <row r="934" spans="1:3" x14ac:dyDescent="0.25">
      <c r="A934" s="1">
        <v>39949</v>
      </c>
      <c r="B934" t="s">
        <v>14</v>
      </c>
      <c r="C934">
        <v>261</v>
      </c>
    </row>
    <row r="935" spans="1:3" x14ac:dyDescent="0.25">
      <c r="A935" s="1">
        <v>39951</v>
      </c>
      <c r="B935" t="s">
        <v>52</v>
      </c>
      <c r="C935">
        <v>192</v>
      </c>
    </row>
    <row r="936" spans="1:3" x14ac:dyDescent="0.25">
      <c r="A936" s="1">
        <v>39951</v>
      </c>
      <c r="B936" t="s">
        <v>7</v>
      </c>
      <c r="C936">
        <v>319</v>
      </c>
    </row>
    <row r="937" spans="1:3" x14ac:dyDescent="0.25">
      <c r="A937" s="1">
        <v>39953</v>
      </c>
      <c r="B937" t="s">
        <v>45</v>
      </c>
      <c r="C937">
        <v>393</v>
      </c>
    </row>
    <row r="938" spans="1:3" x14ac:dyDescent="0.25">
      <c r="A938" s="1">
        <v>39957</v>
      </c>
      <c r="B938" t="s">
        <v>187</v>
      </c>
      <c r="C938">
        <v>13</v>
      </c>
    </row>
    <row r="939" spans="1:3" x14ac:dyDescent="0.25">
      <c r="A939" s="1">
        <v>39958</v>
      </c>
      <c r="B939" t="s">
        <v>50</v>
      </c>
      <c r="C939">
        <v>380</v>
      </c>
    </row>
    <row r="940" spans="1:3" x14ac:dyDescent="0.25">
      <c r="A940" s="1">
        <v>39959</v>
      </c>
      <c r="B940" t="s">
        <v>37</v>
      </c>
      <c r="C940">
        <v>36</v>
      </c>
    </row>
    <row r="941" spans="1:3" x14ac:dyDescent="0.25">
      <c r="A941" s="1">
        <v>39962</v>
      </c>
      <c r="B941" t="s">
        <v>173</v>
      </c>
      <c r="C941">
        <v>179</v>
      </c>
    </row>
    <row r="942" spans="1:3" x14ac:dyDescent="0.25">
      <c r="A942" s="1">
        <v>39964</v>
      </c>
      <c r="B942" t="s">
        <v>28</v>
      </c>
      <c r="C942">
        <v>111</v>
      </c>
    </row>
    <row r="943" spans="1:3" x14ac:dyDescent="0.25">
      <c r="A943" s="1">
        <v>39965</v>
      </c>
      <c r="B943" t="s">
        <v>8</v>
      </c>
      <c r="C943">
        <v>36</v>
      </c>
    </row>
    <row r="944" spans="1:3" x14ac:dyDescent="0.25">
      <c r="A944" s="1">
        <v>39965</v>
      </c>
      <c r="B944" t="s">
        <v>10</v>
      </c>
      <c r="C944">
        <v>120</v>
      </c>
    </row>
    <row r="945" spans="1:3" x14ac:dyDescent="0.25">
      <c r="A945" s="1">
        <v>39969</v>
      </c>
      <c r="B945" t="s">
        <v>188</v>
      </c>
      <c r="C945">
        <v>11</v>
      </c>
    </row>
    <row r="946" spans="1:3" x14ac:dyDescent="0.25">
      <c r="A946" s="1">
        <v>39971</v>
      </c>
      <c r="B946" t="s">
        <v>126</v>
      </c>
      <c r="C946">
        <v>15</v>
      </c>
    </row>
    <row r="947" spans="1:3" x14ac:dyDescent="0.25">
      <c r="A947" s="1">
        <v>39971</v>
      </c>
      <c r="B947" t="s">
        <v>43</v>
      </c>
      <c r="C947">
        <v>4</v>
      </c>
    </row>
    <row r="948" spans="1:3" x14ac:dyDescent="0.25">
      <c r="A948" s="1">
        <v>39974</v>
      </c>
      <c r="B948" t="s">
        <v>115</v>
      </c>
      <c r="C948">
        <v>11</v>
      </c>
    </row>
    <row r="949" spans="1:3" x14ac:dyDescent="0.25">
      <c r="A949" s="1">
        <v>39977</v>
      </c>
      <c r="B949" t="s">
        <v>189</v>
      </c>
      <c r="C949">
        <v>9</v>
      </c>
    </row>
    <row r="950" spans="1:3" x14ac:dyDescent="0.25">
      <c r="A950" s="1">
        <v>39978</v>
      </c>
      <c r="B950" t="s">
        <v>50</v>
      </c>
      <c r="C950">
        <v>498</v>
      </c>
    </row>
    <row r="951" spans="1:3" x14ac:dyDescent="0.25">
      <c r="A951" s="1">
        <v>39980</v>
      </c>
      <c r="B951" t="s">
        <v>45</v>
      </c>
      <c r="C951">
        <v>350</v>
      </c>
    </row>
    <row r="952" spans="1:3" x14ac:dyDescent="0.25">
      <c r="A952" s="1">
        <v>39980</v>
      </c>
      <c r="B952" t="s">
        <v>8</v>
      </c>
      <c r="C952">
        <v>191</v>
      </c>
    </row>
    <row r="953" spans="1:3" x14ac:dyDescent="0.25">
      <c r="A953" s="1">
        <v>39980</v>
      </c>
      <c r="B953" t="s">
        <v>9</v>
      </c>
      <c r="C953">
        <v>402</v>
      </c>
    </row>
    <row r="954" spans="1:3" x14ac:dyDescent="0.25">
      <c r="A954" s="1">
        <v>39984</v>
      </c>
      <c r="B954" t="s">
        <v>69</v>
      </c>
      <c r="C954">
        <v>140</v>
      </c>
    </row>
    <row r="955" spans="1:3" x14ac:dyDescent="0.25">
      <c r="A955" s="1">
        <v>39985</v>
      </c>
      <c r="B955" t="s">
        <v>190</v>
      </c>
      <c r="C955">
        <v>3</v>
      </c>
    </row>
    <row r="956" spans="1:3" x14ac:dyDescent="0.25">
      <c r="A956" s="1">
        <v>39987</v>
      </c>
      <c r="B956" t="s">
        <v>52</v>
      </c>
      <c r="C956">
        <v>25</v>
      </c>
    </row>
    <row r="957" spans="1:3" x14ac:dyDescent="0.25">
      <c r="A957" s="1">
        <v>39992</v>
      </c>
      <c r="B957" t="s">
        <v>191</v>
      </c>
      <c r="C957">
        <v>7</v>
      </c>
    </row>
    <row r="958" spans="1:3" x14ac:dyDescent="0.25">
      <c r="A958" s="1">
        <v>39994</v>
      </c>
      <c r="B958" t="s">
        <v>192</v>
      </c>
      <c r="C958">
        <v>17</v>
      </c>
    </row>
    <row r="959" spans="1:3" x14ac:dyDescent="0.25">
      <c r="A959" s="1">
        <v>39994</v>
      </c>
      <c r="B959" t="s">
        <v>9</v>
      </c>
      <c r="C959">
        <v>479</v>
      </c>
    </row>
    <row r="960" spans="1:3" x14ac:dyDescent="0.25">
      <c r="A960" s="1">
        <v>39994</v>
      </c>
      <c r="B960" t="s">
        <v>193</v>
      </c>
      <c r="C960">
        <v>6</v>
      </c>
    </row>
    <row r="961" spans="1:3" x14ac:dyDescent="0.25">
      <c r="A961" s="1">
        <v>39994</v>
      </c>
      <c r="B961" t="s">
        <v>16</v>
      </c>
      <c r="C961">
        <v>10</v>
      </c>
    </row>
    <row r="962" spans="1:3" x14ac:dyDescent="0.25">
      <c r="A962" s="1">
        <v>39995</v>
      </c>
      <c r="B962" t="s">
        <v>29</v>
      </c>
      <c r="C962">
        <v>2</v>
      </c>
    </row>
    <row r="963" spans="1:3" x14ac:dyDescent="0.25">
      <c r="A963" s="1">
        <v>39997</v>
      </c>
      <c r="B963" t="s">
        <v>194</v>
      </c>
      <c r="C963">
        <v>13</v>
      </c>
    </row>
    <row r="964" spans="1:3" x14ac:dyDescent="0.25">
      <c r="A964" s="1">
        <v>40000</v>
      </c>
      <c r="B964" t="s">
        <v>183</v>
      </c>
      <c r="C964">
        <v>12</v>
      </c>
    </row>
    <row r="965" spans="1:3" x14ac:dyDescent="0.25">
      <c r="A965" s="1">
        <v>40000</v>
      </c>
      <c r="B965" t="s">
        <v>5</v>
      </c>
      <c r="C965">
        <v>191</v>
      </c>
    </row>
    <row r="966" spans="1:3" x14ac:dyDescent="0.25">
      <c r="A966" s="1">
        <v>40000</v>
      </c>
      <c r="B966" t="s">
        <v>10</v>
      </c>
      <c r="C966">
        <v>123</v>
      </c>
    </row>
    <row r="967" spans="1:3" x14ac:dyDescent="0.25">
      <c r="A967" s="1">
        <v>40001</v>
      </c>
      <c r="B967" t="s">
        <v>18</v>
      </c>
      <c r="C967">
        <v>66</v>
      </c>
    </row>
    <row r="968" spans="1:3" x14ac:dyDescent="0.25">
      <c r="A968" s="1">
        <v>40002</v>
      </c>
      <c r="B968" t="s">
        <v>61</v>
      </c>
      <c r="C968">
        <v>132</v>
      </c>
    </row>
    <row r="969" spans="1:3" x14ac:dyDescent="0.25">
      <c r="A969" s="1">
        <v>40006</v>
      </c>
      <c r="B969" t="s">
        <v>195</v>
      </c>
      <c r="C969">
        <v>9</v>
      </c>
    </row>
    <row r="970" spans="1:3" x14ac:dyDescent="0.25">
      <c r="A970" s="1">
        <v>40006</v>
      </c>
      <c r="B970" t="s">
        <v>78</v>
      </c>
      <c r="C970">
        <v>111</v>
      </c>
    </row>
    <row r="971" spans="1:3" x14ac:dyDescent="0.25">
      <c r="A971" s="1">
        <v>40007</v>
      </c>
      <c r="B971" t="s">
        <v>19</v>
      </c>
      <c r="C971">
        <v>163</v>
      </c>
    </row>
    <row r="972" spans="1:3" x14ac:dyDescent="0.25">
      <c r="A972" s="1">
        <v>40007</v>
      </c>
      <c r="B972" t="s">
        <v>155</v>
      </c>
      <c r="C972">
        <v>4</v>
      </c>
    </row>
    <row r="973" spans="1:3" x14ac:dyDescent="0.25">
      <c r="A973" s="1">
        <v>40009</v>
      </c>
      <c r="B973" t="s">
        <v>145</v>
      </c>
      <c r="C973">
        <v>10</v>
      </c>
    </row>
    <row r="974" spans="1:3" x14ac:dyDescent="0.25">
      <c r="A974" s="1">
        <v>40010</v>
      </c>
      <c r="B974" t="s">
        <v>9</v>
      </c>
      <c r="C974">
        <v>457</v>
      </c>
    </row>
    <row r="975" spans="1:3" x14ac:dyDescent="0.25">
      <c r="A975" s="1">
        <v>40012</v>
      </c>
      <c r="B975" t="s">
        <v>50</v>
      </c>
      <c r="C975">
        <v>260</v>
      </c>
    </row>
    <row r="976" spans="1:3" x14ac:dyDescent="0.25">
      <c r="A976" s="1">
        <v>40013</v>
      </c>
      <c r="B976" t="s">
        <v>120</v>
      </c>
      <c r="C976">
        <v>181</v>
      </c>
    </row>
    <row r="977" spans="1:3" x14ac:dyDescent="0.25">
      <c r="A977" s="1">
        <v>40014</v>
      </c>
      <c r="B977" t="s">
        <v>50</v>
      </c>
      <c r="C977">
        <v>144</v>
      </c>
    </row>
    <row r="978" spans="1:3" x14ac:dyDescent="0.25">
      <c r="A978" s="1">
        <v>40015</v>
      </c>
      <c r="B978" t="s">
        <v>22</v>
      </c>
      <c r="C978">
        <v>246</v>
      </c>
    </row>
    <row r="979" spans="1:3" x14ac:dyDescent="0.25">
      <c r="A979" s="1">
        <v>40017</v>
      </c>
      <c r="B979" t="s">
        <v>196</v>
      </c>
      <c r="C979">
        <v>10</v>
      </c>
    </row>
    <row r="980" spans="1:3" x14ac:dyDescent="0.25">
      <c r="A980" s="1">
        <v>40019</v>
      </c>
      <c r="B980" t="s">
        <v>26</v>
      </c>
      <c r="C980">
        <v>148</v>
      </c>
    </row>
    <row r="981" spans="1:3" x14ac:dyDescent="0.25">
      <c r="A981" s="1">
        <v>40021</v>
      </c>
      <c r="B981" t="s">
        <v>35</v>
      </c>
      <c r="C981">
        <v>24</v>
      </c>
    </row>
    <row r="982" spans="1:3" x14ac:dyDescent="0.25">
      <c r="A982" s="1">
        <v>40024</v>
      </c>
      <c r="B982" t="s">
        <v>25</v>
      </c>
      <c r="C982">
        <v>66</v>
      </c>
    </row>
    <row r="983" spans="1:3" x14ac:dyDescent="0.25">
      <c r="A983" s="1">
        <v>40027</v>
      </c>
      <c r="B983" t="s">
        <v>45</v>
      </c>
      <c r="C983">
        <v>333</v>
      </c>
    </row>
    <row r="984" spans="1:3" x14ac:dyDescent="0.25">
      <c r="A984" s="1">
        <v>40027</v>
      </c>
      <c r="B984" t="s">
        <v>37</v>
      </c>
      <c r="C984">
        <v>194</v>
      </c>
    </row>
    <row r="985" spans="1:3" x14ac:dyDescent="0.25">
      <c r="A985" s="1">
        <v>40031</v>
      </c>
      <c r="B985" t="s">
        <v>18</v>
      </c>
      <c r="C985">
        <v>154</v>
      </c>
    </row>
    <row r="986" spans="1:3" x14ac:dyDescent="0.25">
      <c r="A986" s="1">
        <v>40031</v>
      </c>
      <c r="B986" t="s">
        <v>55</v>
      </c>
      <c r="C986">
        <v>100</v>
      </c>
    </row>
    <row r="987" spans="1:3" x14ac:dyDescent="0.25">
      <c r="A987" s="1">
        <v>40031</v>
      </c>
      <c r="B987" t="s">
        <v>1</v>
      </c>
      <c r="C987">
        <v>18</v>
      </c>
    </row>
    <row r="988" spans="1:3" x14ac:dyDescent="0.25">
      <c r="A988" s="1">
        <v>40031</v>
      </c>
      <c r="B988" t="s">
        <v>170</v>
      </c>
      <c r="C988">
        <v>20</v>
      </c>
    </row>
    <row r="989" spans="1:3" x14ac:dyDescent="0.25">
      <c r="A989" s="1">
        <v>40033</v>
      </c>
      <c r="B989" t="s">
        <v>55</v>
      </c>
      <c r="C989">
        <v>200</v>
      </c>
    </row>
    <row r="990" spans="1:3" x14ac:dyDescent="0.25">
      <c r="A990" s="1">
        <v>40034</v>
      </c>
      <c r="B990" t="s">
        <v>18</v>
      </c>
      <c r="C990">
        <v>48</v>
      </c>
    </row>
    <row r="991" spans="1:3" x14ac:dyDescent="0.25">
      <c r="A991" s="1">
        <v>40034</v>
      </c>
      <c r="B991" t="s">
        <v>61</v>
      </c>
      <c r="C991">
        <v>68</v>
      </c>
    </row>
    <row r="992" spans="1:3" x14ac:dyDescent="0.25">
      <c r="A992" s="1">
        <v>40035</v>
      </c>
      <c r="B992" t="s">
        <v>174</v>
      </c>
      <c r="C992">
        <v>9</v>
      </c>
    </row>
    <row r="993" spans="1:3" x14ac:dyDescent="0.25">
      <c r="A993" s="1">
        <v>40039</v>
      </c>
      <c r="B993" t="s">
        <v>50</v>
      </c>
      <c r="C993">
        <v>493</v>
      </c>
    </row>
    <row r="994" spans="1:3" x14ac:dyDescent="0.25">
      <c r="A994" s="1">
        <v>40039</v>
      </c>
      <c r="B994" t="s">
        <v>14</v>
      </c>
      <c r="C994">
        <v>340</v>
      </c>
    </row>
    <row r="995" spans="1:3" x14ac:dyDescent="0.25">
      <c r="A995" s="1">
        <v>40041</v>
      </c>
      <c r="B995" t="s">
        <v>174</v>
      </c>
      <c r="C995">
        <v>2</v>
      </c>
    </row>
    <row r="996" spans="1:3" x14ac:dyDescent="0.25">
      <c r="A996" s="1">
        <v>40044</v>
      </c>
      <c r="B996" t="s">
        <v>28</v>
      </c>
      <c r="C996">
        <v>62</v>
      </c>
    </row>
    <row r="997" spans="1:3" x14ac:dyDescent="0.25">
      <c r="A997" s="1">
        <v>40044</v>
      </c>
      <c r="B997" t="s">
        <v>22</v>
      </c>
      <c r="C997">
        <v>164</v>
      </c>
    </row>
    <row r="998" spans="1:3" x14ac:dyDescent="0.25">
      <c r="A998" s="1">
        <v>40045</v>
      </c>
      <c r="B998" t="s">
        <v>28</v>
      </c>
      <c r="C998">
        <v>170</v>
      </c>
    </row>
    <row r="999" spans="1:3" x14ac:dyDescent="0.25">
      <c r="A999" s="1">
        <v>40047</v>
      </c>
      <c r="B999" t="s">
        <v>71</v>
      </c>
      <c r="C999">
        <v>164</v>
      </c>
    </row>
    <row r="1000" spans="1:3" x14ac:dyDescent="0.25">
      <c r="A1000" s="1">
        <v>40049</v>
      </c>
      <c r="B1000" t="s">
        <v>6</v>
      </c>
      <c r="C1000">
        <v>70</v>
      </c>
    </row>
    <row r="1001" spans="1:3" x14ac:dyDescent="0.25">
      <c r="A1001" s="1">
        <v>40056</v>
      </c>
      <c r="B1001" t="s">
        <v>50</v>
      </c>
      <c r="C1001">
        <v>133</v>
      </c>
    </row>
    <row r="1002" spans="1:3" x14ac:dyDescent="0.25">
      <c r="A1002" s="1">
        <v>40057</v>
      </c>
      <c r="B1002" t="s">
        <v>197</v>
      </c>
      <c r="C1002">
        <v>20</v>
      </c>
    </row>
    <row r="1003" spans="1:3" x14ac:dyDescent="0.25">
      <c r="A1003" s="1">
        <v>40059</v>
      </c>
      <c r="B1003" t="s">
        <v>198</v>
      </c>
      <c r="C1003">
        <v>15</v>
      </c>
    </row>
    <row r="1004" spans="1:3" x14ac:dyDescent="0.25">
      <c r="A1004" s="1">
        <v>40060</v>
      </c>
      <c r="B1004" t="s">
        <v>199</v>
      </c>
      <c r="C1004">
        <v>15</v>
      </c>
    </row>
    <row r="1005" spans="1:3" x14ac:dyDescent="0.25">
      <c r="A1005" s="1">
        <v>40061</v>
      </c>
      <c r="B1005" t="s">
        <v>58</v>
      </c>
      <c r="C1005">
        <v>105</v>
      </c>
    </row>
    <row r="1006" spans="1:3" x14ac:dyDescent="0.25">
      <c r="A1006" s="1">
        <v>40065</v>
      </c>
      <c r="B1006" t="s">
        <v>31</v>
      </c>
      <c r="C1006">
        <v>192</v>
      </c>
    </row>
    <row r="1007" spans="1:3" x14ac:dyDescent="0.25">
      <c r="A1007" s="1">
        <v>40065</v>
      </c>
      <c r="B1007" t="s">
        <v>80</v>
      </c>
      <c r="C1007">
        <v>142</v>
      </c>
    </row>
    <row r="1008" spans="1:3" x14ac:dyDescent="0.25">
      <c r="A1008" s="1">
        <v>40066</v>
      </c>
      <c r="B1008" t="s">
        <v>106</v>
      </c>
      <c r="C1008">
        <v>3</v>
      </c>
    </row>
    <row r="1009" spans="1:3" x14ac:dyDescent="0.25">
      <c r="A1009" s="1">
        <v>40066</v>
      </c>
      <c r="B1009" t="s">
        <v>17</v>
      </c>
      <c r="C1009">
        <v>219</v>
      </c>
    </row>
    <row r="1010" spans="1:3" x14ac:dyDescent="0.25">
      <c r="A1010" s="1">
        <v>40070</v>
      </c>
      <c r="B1010" t="s">
        <v>30</v>
      </c>
      <c r="C1010">
        <v>137</v>
      </c>
    </row>
    <row r="1011" spans="1:3" x14ac:dyDescent="0.25">
      <c r="A1011" s="1">
        <v>40071</v>
      </c>
      <c r="B1011" t="s">
        <v>20</v>
      </c>
      <c r="C1011">
        <v>108</v>
      </c>
    </row>
    <row r="1012" spans="1:3" x14ac:dyDescent="0.25">
      <c r="A1012" s="1">
        <v>40072</v>
      </c>
      <c r="B1012" t="s">
        <v>102</v>
      </c>
      <c r="C1012">
        <v>395</v>
      </c>
    </row>
    <row r="1013" spans="1:3" x14ac:dyDescent="0.25">
      <c r="A1013" s="1">
        <v>40073</v>
      </c>
      <c r="B1013" t="s">
        <v>200</v>
      </c>
      <c r="C1013">
        <v>3</v>
      </c>
    </row>
    <row r="1014" spans="1:3" x14ac:dyDescent="0.25">
      <c r="A1014" s="1">
        <v>40075</v>
      </c>
      <c r="B1014" t="s">
        <v>6</v>
      </c>
      <c r="C1014">
        <v>73</v>
      </c>
    </row>
    <row r="1015" spans="1:3" x14ac:dyDescent="0.25">
      <c r="A1015" s="1">
        <v>40075</v>
      </c>
      <c r="B1015" t="s">
        <v>45</v>
      </c>
      <c r="C1015">
        <v>209</v>
      </c>
    </row>
    <row r="1016" spans="1:3" x14ac:dyDescent="0.25">
      <c r="A1016" s="1">
        <v>40077</v>
      </c>
      <c r="B1016" t="s">
        <v>37</v>
      </c>
      <c r="C1016">
        <v>41</v>
      </c>
    </row>
    <row r="1017" spans="1:3" x14ac:dyDescent="0.25">
      <c r="A1017" s="1">
        <v>40083</v>
      </c>
      <c r="B1017" t="s">
        <v>17</v>
      </c>
      <c r="C1017">
        <v>488</v>
      </c>
    </row>
    <row r="1018" spans="1:3" x14ac:dyDescent="0.25">
      <c r="A1018" s="1">
        <v>40084</v>
      </c>
      <c r="B1018" t="s">
        <v>97</v>
      </c>
      <c r="C1018">
        <v>5</v>
      </c>
    </row>
    <row r="1019" spans="1:3" x14ac:dyDescent="0.25">
      <c r="A1019" s="1">
        <v>40084</v>
      </c>
      <c r="B1019" t="s">
        <v>69</v>
      </c>
      <c r="C1019">
        <v>97</v>
      </c>
    </row>
    <row r="1020" spans="1:3" x14ac:dyDescent="0.25">
      <c r="A1020" s="1">
        <v>40085</v>
      </c>
      <c r="B1020" t="s">
        <v>8</v>
      </c>
      <c r="C1020">
        <v>58</v>
      </c>
    </row>
    <row r="1021" spans="1:3" x14ac:dyDescent="0.25">
      <c r="A1021" s="1">
        <v>40085</v>
      </c>
      <c r="B1021" t="s">
        <v>55</v>
      </c>
      <c r="C1021">
        <v>179</v>
      </c>
    </row>
    <row r="1022" spans="1:3" x14ac:dyDescent="0.25">
      <c r="A1022" s="1">
        <v>40087</v>
      </c>
      <c r="B1022" t="s">
        <v>38</v>
      </c>
      <c r="C1022">
        <v>18</v>
      </c>
    </row>
    <row r="1023" spans="1:3" x14ac:dyDescent="0.25">
      <c r="A1023" s="1">
        <v>40088</v>
      </c>
      <c r="B1023" t="s">
        <v>51</v>
      </c>
      <c r="C1023">
        <v>4</v>
      </c>
    </row>
    <row r="1024" spans="1:3" x14ac:dyDescent="0.25">
      <c r="A1024" s="1">
        <v>40088</v>
      </c>
      <c r="B1024" t="s">
        <v>33</v>
      </c>
      <c r="C1024">
        <v>1</v>
      </c>
    </row>
    <row r="1025" spans="1:3" x14ac:dyDescent="0.25">
      <c r="A1025" s="1">
        <v>40089</v>
      </c>
      <c r="B1025" t="s">
        <v>31</v>
      </c>
      <c r="C1025">
        <v>86</v>
      </c>
    </row>
    <row r="1026" spans="1:3" x14ac:dyDescent="0.25">
      <c r="A1026" s="1">
        <v>40090</v>
      </c>
      <c r="B1026" t="s">
        <v>14</v>
      </c>
      <c r="C1026">
        <v>290</v>
      </c>
    </row>
    <row r="1027" spans="1:3" x14ac:dyDescent="0.25">
      <c r="A1027" s="1">
        <v>40092</v>
      </c>
      <c r="B1027" t="s">
        <v>184</v>
      </c>
      <c r="C1027">
        <v>14</v>
      </c>
    </row>
    <row r="1028" spans="1:3" x14ac:dyDescent="0.25">
      <c r="A1028" s="1">
        <v>40094</v>
      </c>
      <c r="B1028" t="s">
        <v>39</v>
      </c>
      <c r="C1028">
        <v>120</v>
      </c>
    </row>
    <row r="1029" spans="1:3" x14ac:dyDescent="0.25">
      <c r="A1029" s="1">
        <v>40094</v>
      </c>
      <c r="B1029" t="s">
        <v>123</v>
      </c>
      <c r="C1029">
        <v>28</v>
      </c>
    </row>
    <row r="1030" spans="1:3" x14ac:dyDescent="0.25">
      <c r="A1030" s="1">
        <v>40095</v>
      </c>
      <c r="B1030" t="s">
        <v>9</v>
      </c>
      <c r="C1030">
        <v>213</v>
      </c>
    </row>
    <row r="1031" spans="1:3" x14ac:dyDescent="0.25">
      <c r="A1031" s="1">
        <v>40101</v>
      </c>
      <c r="B1031" t="s">
        <v>108</v>
      </c>
      <c r="C1031">
        <v>10</v>
      </c>
    </row>
    <row r="1032" spans="1:3" x14ac:dyDescent="0.25">
      <c r="A1032" s="1">
        <v>40102</v>
      </c>
      <c r="B1032" t="s">
        <v>69</v>
      </c>
      <c r="C1032">
        <v>53</v>
      </c>
    </row>
    <row r="1033" spans="1:3" x14ac:dyDescent="0.25">
      <c r="A1033" s="1">
        <v>40103</v>
      </c>
      <c r="B1033" t="s">
        <v>30</v>
      </c>
      <c r="C1033">
        <v>178</v>
      </c>
    </row>
    <row r="1034" spans="1:3" x14ac:dyDescent="0.25">
      <c r="A1034" s="1">
        <v>40103</v>
      </c>
      <c r="B1034" t="s">
        <v>74</v>
      </c>
      <c r="C1034">
        <v>6</v>
      </c>
    </row>
    <row r="1035" spans="1:3" x14ac:dyDescent="0.25">
      <c r="A1035" s="1">
        <v>40107</v>
      </c>
      <c r="B1035" t="s">
        <v>9</v>
      </c>
      <c r="C1035">
        <v>118</v>
      </c>
    </row>
    <row r="1036" spans="1:3" x14ac:dyDescent="0.25">
      <c r="A1036" s="1">
        <v>40107</v>
      </c>
      <c r="B1036" t="s">
        <v>70</v>
      </c>
      <c r="C1036">
        <v>5</v>
      </c>
    </row>
    <row r="1037" spans="1:3" x14ac:dyDescent="0.25">
      <c r="A1037" s="1">
        <v>40108</v>
      </c>
      <c r="B1037" t="s">
        <v>18</v>
      </c>
      <c r="C1037">
        <v>89</v>
      </c>
    </row>
    <row r="1038" spans="1:3" x14ac:dyDescent="0.25">
      <c r="A1038" s="1">
        <v>40113</v>
      </c>
      <c r="B1038" t="s">
        <v>35</v>
      </c>
      <c r="C1038">
        <v>22</v>
      </c>
    </row>
    <row r="1039" spans="1:3" x14ac:dyDescent="0.25">
      <c r="A1039" s="1">
        <v>40114</v>
      </c>
      <c r="B1039" t="s">
        <v>18</v>
      </c>
      <c r="C1039">
        <v>199</v>
      </c>
    </row>
    <row r="1040" spans="1:3" x14ac:dyDescent="0.25">
      <c r="A1040" s="1">
        <v>40120</v>
      </c>
      <c r="B1040" t="s">
        <v>109</v>
      </c>
      <c r="C1040">
        <v>8</v>
      </c>
    </row>
    <row r="1041" spans="1:3" x14ac:dyDescent="0.25">
      <c r="A1041" s="1">
        <v>40120</v>
      </c>
      <c r="B1041" t="s">
        <v>18</v>
      </c>
      <c r="C1041">
        <v>198</v>
      </c>
    </row>
    <row r="1042" spans="1:3" x14ac:dyDescent="0.25">
      <c r="A1042" s="1">
        <v>40121</v>
      </c>
      <c r="B1042" t="s">
        <v>95</v>
      </c>
      <c r="C1042">
        <v>6</v>
      </c>
    </row>
    <row r="1043" spans="1:3" x14ac:dyDescent="0.25">
      <c r="A1043" s="1">
        <v>40121</v>
      </c>
      <c r="B1043" t="s">
        <v>23</v>
      </c>
      <c r="C1043">
        <v>68</v>
      </c>
    </row>
    <row r="1044" spans="1:3" x14ac:dyDescent="0.25">
      <c r="A1044" s="1">
        <v>40121</v>
      </c>
      <c r="B1044" t="s">
        <v>102</v>
      </c>
      <c r="C1044">
        <v>200</v>
      </c>
    </row>
    <row r="1045" spans="1:3" x14ac:dyDescent="0.25">
      <c r="A1045" s="1">
        <v>40122</v>
      </c>
      <c r="B1045" t="s">
        <v>5</v>
      </c>
      <c r="C1045">
        <v>426</v>
      </c>
    </row>
    <row r="1046" spans="1:3" x14ac:dyDescent="0.25">
      <c r="A1046" s="1">
        <v>40122</v>
      </c>
      <c r="B1046" t="s">
        <v>78</v>
      </c>
      <c r="C1046">
        <v>142</v>
      </c>
    </row>
    <row r="1047" spans="1:3" x14ac:dyDescent="0.25">
      <c r="A1047" s="1">
        <v>40122</v>
      </c>
      <c r="B1047" t="s">
        <v>7</v>
      </c>
      <c r="C1047">
        <v>298</v>
      </c>
    </row>
    <row r="1048" spans="1:3" x14ac:dyDescent="0.25">
      <c r="A1048" s="1">
        <v>40124</v>
      </c>
      <c r="B1048" t="s">
        <v>17</v>
      </c>
      <c r="C1048">
        <v>224</v>
      </c>
    </row>
    <row r="1049" spans="1:3" x14ac:dyDescent="0.25">
      <c r="A1049" s="1">
        <v>40126</v>
      </c>
      <c r="B1049" t="s">
        <v>5</v>
      </c>
      <c r="C1049">
        <v>133</v>
      </c>
    </row>
    <row r="1050" spans="1:3" x14ac:dyDescent="0.25">
      <c r="A1050" s="1">
        <v>40128</v>
      </c>
      <c r="B1050" t="s">
        <v>45</v>
      </c>
      <c r="C1050">
        <v>326</v>
      </c>
    </row>
    <row r="1051" spans="1:3" x14ac:dyDescent="0.25">
      <c r="A1051" s="1">
        <v>40128</v>
      </c>
      <c r="B1051" t="s">
        <v>120</v>
      </c>
      <c r="C1051">
        <v>102</v>
      </c>
    </row>
    <row r="1052" spans="1:3" x14ac:dyDescent="0.25">
      <c r="A1052" s="1">
        <v>40129</v>
      </c>
      <c r="B1052" t="s">
        <v>7</v>
      </c>
      <c r="C1052">
        <v>332</v>
      </c>
    </row>
    <row r="1053" spans="1:3" x14ac:dyDescent="0.25">
      <c r="A1053" s="1">
        <v>40130</v>
      </c>
      <c r="B1053" t="s">
        <v>19</v>
      </c>
      <c r="C1053">
        <v>95</v>
      </c>
    </row>
    <row r="1054" spans="1:3" x14ac:dyDescent="0.25">
      <c r="A1054" s="1">
        <v>40134</v>
      </c>
      <c r="B1054" t="s">
        <v>136</v>
      </c>
      <c r="C1054">
        <v>7</v>
      </c>
    </row>
    <row r="1055" spans="1:3" x14ac:dyDescent="0.25">
      <c r="A1055" s="1">
        <v>40134</v>
      </c>
      <c r="B1055" t="s">
        <v>14</v>
      </c>
      <c r="C1055">
        <v>276</v>
      </c>
    </row>
    <row r="1056" spans="1:3" x14ac:dyDescent="0.25">
      <c r="A1056" s="1">
        <v>40134</v>
      </c>
      <c r="B1056" t="s">
        <v>139</v>
      </c>
      <c r="C1056">
        <v>6</v>
      </c>
    </row>
    <row r="1057" spans="1:3" x14ac:dyDescent="0.25">
      <c r="A1057" s="1">
        <v>40136</v>
      </c>
      <c r="B1057" t="s">
        <v>45</v>
      </c>
      <c r="C1057">
        <v>232</v>
      </c>
    </row>
    <row r="1058" spans="1:3" x14ac:dyDescent="0.25">
      <c r="A1058" s="1">
        <v>40136</v>
      </c>
      <c r="B1058" t="s">
        <v>66</v>
      </c>
      <c r="C1058">
        <v>162</v>
      </c>
    </row>
    <row r="1059" spans="1:3" x14ac:dyDescent="0.25">
      <c r="A1059" s="1">
        <v>40139</v>
      </c>
      <c r="B1059" t="s">
        <v>10</v>
      </c>
      <c r="C1059">
        <v>66</v>
      </c>
    </row>
    <row r="1060" spans="1:3" x14ac:dyDescent="0.25">
      <c r="A1060" s="1">
        <v>40139</v>
      </c>
      <c r="B1060" t="s">
        <v>157</v>
      </c>
      <c r="C1060">
        <v>2</v>
      </c>
    </row>
    <row r="1061" spans="1:3" x14ac:dyDescent="0.25">
      <c r="A1061" s="1">
        <v>40139</v>
      </c>
      <c r="B1061" t="s">
        <v>12</v>
      </c>
      <c r="C1061">
        <v>152</v>
      </c>
    </row>
    <row r="1062" spans="1:3" x14ac:dyDescent="0.25">
      <c r="A1062" s="1">
        <v>40139</v>
      </c>
      <c r="B1062" t="s">
        <v>201</v>
      </c>
      <c r="C1062">
        <v>2</v>
      </c>
    </row>
    <row r="1063" spans="1:3" x14ac:dyDescent="0.25">
      <c r="A1063" s="1">
        <v>40142</v>
      </c>
      <c r="B1063" t="s">
        <v>20</v>
      </c>
      <c r="C1063">
        <v>115</v>
      </c>
    </row>
    <row r="1064" spans="1:3" x14ac:dyDescent="0.25">
      <c r="A1064" s="1">
        <v>40142</v>
      </c>
      <c r="B1064" t="s">
        <v>37</v>
      </c>
      <c r="C1064">
        <v>29</v>
      </c>
    </row>
    <row r="1065" spans="1:3" x14ac:dyDescent="0.25">
      <c r="A1065" s="1">
        <v>40142</v>
      </c>
      <c r="B1065" t="s">
        <v>35</v>
      </c>
      <c r="C1065">
        <v>91</v>
      </c>
    </row>
    <row r="1066" spans="1:3" x14ac:dyDescent="0.25">
      <c r="A1066" s="1">
        <v>40144</v>
      </c>
      <c r="B1066" t="s">
        <v>19</v>
      </c>
      <c r="C1066">
        <v>125</v>
      </c>
    </row>
    <row r="1067" spans="1:3" x14ac:dyDescent="0.25">
      <c r="A1067" s="1">
        <v>40146</v>
      </c>
      <c r="B1067" t="s">
        <v>61</v>
      </c>
      <c r="C1067">
        <v>40</v>
      </c>
    </row>
    <row r="1068" spans="1:3" x14ac:dyDescent="0.25">
      <c r="A1068" s="1">
        <v>40146</v>
      </c>
      <c r="B1068" t="s">
        <v>9</v>
      </c>
      <c r="C1068">
        <v>279</v>
      </c>
    </row>
    <row r="1069" spans="1:3" x14ac:dyDescent="0.25">
      <c r="A1069" s="1">
        <v>40147</v>
      </c>
      <c r="B1069" t="s">
        <v>11</v>
      </c>
      <c r="C1069">
        <v>8</v>
      </c>
    </row>
    <row r="1070" spans="1:3" x14ac:dyDescent="0.25">
      <c r="A1070" s="1">
        <v>40151</v>
      </c>
      <c r="B1070" t="s">
        <v>71</v>
      </c>
      <c r="C1070">
        <v>194</v>
      </c>
    </row>
    <row r="1071" spans="1:3" x14ac:dyDescent="0.25">
      <c r="A1071" s="1">
        <v>40152</v>
      </c>
      <c r="B1071" t="s">
        <v>6</v>
      </c>
      <c r="C1071">
        <v>168</v>
      </c>
    </row>
    <row r="1072" spans="1:3" x14ac:dyDescent="0.25">
      <c r="A1072" s="1">
        <v>40153</v>
      </c>
      <c r="B1072" t="s">
        <v>14</v>
      </c>
      <c r="C1072">
        <v>211</v>
      </c>
    </row>
    <row r="1073" spans="1:3" x14ac:dyDescent="0.25">
      <c r="A1073" s="1">
        <v>40153</v>
      </c>
      <c r="B1073" t="s">
        <v>155</v>
      </c>
      <c r="C1073">
        <v>19</v>
      </c>
    </row>
    <row r="1074" spans="1:3" x14ac:dyDescent="0.25">
      <c r="A1074" s="1">
        <v>40155</v>
      </c>
      <c r="B1074" t="s">
        <v>153</v>
      </c>
      <c r="C1074">
        <v>16</v>
      </c>
    </row>
    <row r="1075" spans="1:3" x14ac:dyDescent="0.25">
      <c r="A1075" s="1">
        <v>40158</v>
      </c>
      <c r="B1075" t="s">
        <v>27</v>
      </c>
      <c r="C1075">
        <v>18</v>
      </c>
    </row>
    <row r="1076" spans="1:3" x14ac:dyDescent="0.25">
      <c r="A1076" s="1">
        <v>40158</v>
      </c>
      <c r="B1076" t="s">
        <v>7</v>
      </c>
      <c r="C1076">
        <v>399</v>
      </c>
    </row>
    <row r="1077" spans="1:3" x14ac:dyDescent="0.25">
      <c r="A1077" s="1">
        <v>40160</v>
      </c>
      <c r="B1077" t="s">
        <v>202</v>
      </c>
      <c r="C1077">
        <v>11</v>
      </c>
    </row>
    <row r="1078" spans="1:3" x14ac:dyDescent="0.25">
      <c r="A1078" s="1">
        <v>40164</v>
      </c>
      <c r="B1078" t="s">
        <v>23</v>
      </c>
      <c r="C1078">
        <v>131</v>
      </c>
    </row>
    <row r="1079" spans="1:3" x14ac:dyDescent="0.25">
      <c r="A1079" s="1">
        <v>40165</v>
      </c>
      <c r="B1079" t="s">
        <v>39</v>
      </c>
      <c r="C1079">
        <v>67</v>
      </c>
    </row>
    <row r="1080" spans="1:3" x14ac:dyDescent="0.25">
      <c r="A1080" s="1">
        <v>40166</v>
      </c>
      <c r="B1080" t="s">
        <v>10</v>
      </c>
      <c r="C1080">
        <v>151</v>
      </c>
    </row>
    <row r="1081" spans="1:3" x14ac:dyDescent="0.25">
      <c r="A1081" s="1">
        <v>40171</v>
      </c>
      <c r="B1081" t="s">
        <v>23</v>
      </c>
      <c r="C1081">
        <v>105</v>
      </c>
    </row>
    <row r="1082" spans="1:3" x14ac:dyDescent="0.25">
      <c r="A1082" s="1">
        <v>40172</v>
      </c>
      <c r="B1082" t="s">
        <v>71</v>
      </c>
      <c r="C1082">
        <v>132</v>
      </c>
    </row>
    <row r="1083" spans="1:3" x14ac:dyDescent="0.25">
      <c r="A1083" s="1">
        <v>40172</v>
      </c>
      <c r="B1083" t="s">
        <v>17</v>
      </c>
      <c r="C1083">
        <v>142</v>
      </c>
    </row>
    <row r="1084" spans="1:3" x14ac:dyDescent="0.25">
      <c r="A1084" s="1">
        <v>40172</v>
      </c>
      <c r="B1084" t="s">
        <v>203</v>
      </c>
      <c r="C1084">
        <v>17</v>
      </c>
    </row>
    <row r="1085" spans="1:3" x14ac:dyDescent="0.25">
      <c r="A1085" s="1">
        <v>40173</v>
      </c>
      <c r="B1085" t="s">
        <v>7</v>
      </c>
      <c r="C1085">
        <v>444</v>
      </c>
    </row>
    <row r="1086" spans="1:3" x14ac:dyDescent="0.25">
      <c r="A1086" s="1">
        <v>40173</v>
      </c>
      <c r="B1086" t="s">
        <v>50</v>
      </c>
      <c r="C1086">
        <v>294</v>
      </c>
    </row>
    <row r="1087" spans="1:3" x14ac:dyDescent="0.25">
      <c r="A1087" s="1">
        <v>40174</v>
      </c>
      <c r="B1087" t="s">
        <v>7</v>
      </c>
      <c r="C1087">
        <v>274</v>
      </c>
    </row>
    <row r="1088" spans="1:3" x14ac:dyDescent="0.25">
      <c r="A1088" s="1">
        <v>40176</v>
      </c>
      <c r="B1088" t="s">
        <v>35</v>
      </c>
      <c r="C1088">
        <v>168</v>
      </c>
    </row>
    <row r="1089" spans="1:3" x14ac:dyDescent="0.25">
      <c r="A1089" s="1">
        <v>40177</v>
      </c>
      <c r="B1089" t="s">
        <v>8</v>
      </c>
      <c r="C1089">
        <v>115</v>
      </c>
    </row>
    <row r="1090" spans="1:3" x14ac:dyDescent="0.25">
      <c r="A1090" s="1">
        <v>40177</v>
      </c>
      <c r="B1090" t="s">
        <v>30</v>
      </c>
      <c r="C1090">
        <v>126</v>
      </c>
    </row>
    <row r="1091" spans="1:3" x14ac:dyDescent="0.25">
      <c r="A1091" s="1">
        <v>40180</v>
      </c>
      <c r="B1091" t="s">
        <v>28</v>
      </c>
      <c r="C1091">
        <v>73</v>
      </c>
    </row>
    <row r="1092" spans="1:3" x14ac:dyDescent="0.25">
      <c r="A1092" s="1">
        <v>40180</v>
      </c>
      <c r="B1092" t="s">
        <v>22</v>
      </c>
      <c r="C1092">
        <v>413</v>
      </c>
    </row>
    <row r="1093" spans="1:3" x14ac:dyDescent="0.25">
      <c r="A1093" s="1">
        <v>40181</v>
      </c>
      <c r="B1093" t="s">
        <v>7</v>
      </c>
      <c r="C1093">
        <v>393</v>
      </c>
    </row>
    <row r="1094" spans="1:3" x14ac:dyDescent="0.25">
      <c r="A1094" s="1">
        <v>40184</v>
      </c>
      <c r="B1094" t="s">
        <v>143</v>
      </c>
      <c r="C1094">
        <v>13</v>
      </c>
    </row>
    <row r="1095" spans="1:3" x14ac:dyDescent="0.25">
      <c r="A1095" s="1">
        <v>40185</v>
      </c>
      <c r="B1095" t="s">
        <v>22</v>
      </c>
      <c r="C1095">
        <v>211</v>
      </c>
    </row>
    <row r="1096" spans="1:3" x14ac:dyDescent="0.25">
      <c r="A1096" s="1">
        <v>40189</v>
      </c>
      <c r="B1096" t="s">
        <v>61</v>
      </c>
      <c r="C1096">
        <v>116</v>
      </c>
    </row>
    <row r="1097" spans="1:3" x14ac:dyDescent="0.25">
      <c r="A1097" s="1">
        <v>40189</v>
      </c>
      <c r="B1097" t="s">
        <v>0</v>
      </c>
      <c r="C1097">
        <v>9</v>
      </c>
    </row>
    <row r="1098" spans="1:3" x14ac:dyDescent="0.25">
      <c r="A1098" s="1">
        <v>40193</v>
      </c>
      <c r="B1098" t="s">
        <v>45</v>
      </c>
      <c r="C1098">
        <v>117</v>
      </c>
    </row>
    <row r="1099" spans="1:3" x14ac:dyDescent="0.25">
      <c r="A1099" s="1">
        <v>40194</v>
      </c>
      <c r="B1099" t="s">
        <v>50</v>
      </c>
      <c r="C1099">
        <v>221</v>
      </c>
    </row>
    <row r="1100" spans="1:3" x14ac:dyDescent="0.25">
      <c r="A1100" s="1">
        <v>40198</v>
      </c>
      <c r="B1100" t="s">
        <v>152</v>
      </c>
      <c r="C1100">
        <v>9</v>
      </c>
    </row>
    <row r="1101" spans="1:3" x14ac:dyDescent="0.25">
      <c r="A1101" s="1">
        <v>40199</v>
      </c>
      <c r="B1101" t="s">
        <v>17</v>
      </c>
      <c r="C1101">
        <v>214</v>
      </c>
    </row>
    <row r="1102" spans="1:3" x14ac:dyDescent="0.25">
      <c r="A1102" s="1">
        <v>40200</v>
      </c>
      <c r="B1102" t="s">
        <v>37</v>
      </c>
      <c r="C1102">
        <v>138</v>
      </c>
    </row>
    <row r="1103" spans="1:3" x14ac:dyDescent="0.25">
      <c r="A1103" s="1">
        <v>40201</v>
      </c>
      <c r="B1103" t="s">
        <v>81</v>
      </c>
      <c r="C1103">
        <v>11</v>
      </c>
    </row>
    <row r="1104" spans="1:3" x14ac:dyDescent="0.25">
      <c r="A1104" s="1">
        <v>40201</v>
      </c>
      <c r="B1104" t="s">
        <v>52</v>
      </c>
      <c r="C1104">
        <v>128</v>
      </c>
    </row>
    <row r="1105" spans="1:3" x14ac:dyDescent="0.25">
      <c r="A1105" s="1">
        <v>40202</v>
      </c>
      <c r="B1105" t="s">
        <v>17</v>
      </c>
      <c r="C1105">
        <v>376</v>
      </c>
    </row>
    <row r="1106" spans="1:3" x14ac:dyDescent="0.25">
      <c r="A1106" s="1">
        <v>40203</v>
      </c>
      <c r="B1106" t="s">
        <v>17</v>
      </c>
      <c r="C1106">
        <v>121</v>
      </c>
    </row>
    <row r="1107" spans="1:3" x14ac:dyDescent="0.25">
      <c r="A1107" s="1">
        <v>40203</v>
      </c>
      <c r="B1107" t="s">
        <v>14</v>
      </c>
      <c r="C1107">
        <v>200</v>
      </c>
    </row>
    <row r="1108" spans="1:3" x14ac:dyDescent="0.25">
      <c r="A1108" s="1">
        <v>40204</v>
      </c>
      <c r="B1108" t="s">
        <v>17</v>
      </c>
      <c r="C1108">
        <v>500</v>
      </c>
    </row>
    <row r="1109" spans="1:3" x14ac:dyDescent="0.25">
      <c r="A1109" s="1">
        <v>40206</v>
      </c>
      <c r="B1109" t="s">
        <v>71</v>
      </c>
      <c r="C1109">
        <v>108</v>
      </c>
    </row>
    <row r="1110" spans="1:3" x14ac:dyDescent="0.25">
      <c r="A1110" s="1">
        <v>40207</v>
      </c>
      <c r="B1110" t="s">
        <v>25</v>
      </c>
      <c r="C1110">
        <v>59</v>
      </c>
    </row>
    <row r="1111" spans="1:3" x14ac:dyDescent="0.25">
      <c r="A1111" s="1">
        <v>40208</v>
      </c>
      <c r="B1111" t="s">
        <v>10</v>
      </c>
      <c r="C1111">
        <v>191</v>
      </c>
    </row>
    <row r="1112" spans="1:3" x14ac:dyDescent="0.25">
      <c r="A1112" s="1">
        <v>40209</v>
      </c>
      <c r="B1112" t="s">
        <v>19</v>
      </c>
      <c r="C1112">
        <v>189</v>
      </c>
    </row>
    <row r="1113" spans="1:3" x14ac:dyDescent="0.25">
      <c r="A1113" s="1">
        <v>40211</v>
      </c>
      <c r="B1113" t="s">
        <v>45</v>
      </c>
      <c r="C1113">
        <v>247</v>
      </c>
    </row>
    <row r="1114" spans="1:3" x14ac:dyDescent="0.25">
      <c r="A1114" s="1">
        <v>40211</v>
      </c>
      <c r="B1114" t="s">
        <v>35</v>
      </c>
      <c r="C1114">
        <v>195</v>
      </c>
    </row>
    <row r="1115" spans="1:3" x14ac:dyDescent="0.25">
      <c r="A1115" s="1">
        <v>40212</v>
      </c>
      <c r="B1115" t="s">
        <v>204</v>
      </c>
      <c r="C1115">
        <v>6</v>
      </c>
    </row>
    <row r="1116" spans="1:3" x14ac:dyDescent="0.25">
      <c r="A1116" s="1">
        <v>40213</v>
      </c>
      <c r="B1116" t="s">
        <v>205</v>
      </c>
      <c r="C1116">
        <v>1</v>
      </c>
    </row>
    <row r="1117" spans="1:3" x14ac:dyDescent="0.25">
      <c r="A1117" s="1">
        <v>40214</v>
      </c>
      <c r="B1117" t="s">
        <v>50</v>
      </c>
      <c r="C1117">
        <v>347</v>
      </c>
    </row>
    <row r="1118" spans="1:3" x14ac:dyDescent="0.25">
      <c r="A1118" s="1">
        <v>40217</v>
      </c>
      <c r="B1118" t="s">
        <v>14</v>
      </c>
      <c r="C1118">
        <v>317</v>
      </c>
    </row>
    <row r="1119" spans="1:3" x14ac:dyDescent="0.25">
      <c r="A1119" s="1">
        <v>40218</v>
      </c>
      <c r="B1119" t="s">
        <v>45</v>
      </c>
      <c r="C1119">
        <v>271</v>
      </c>
    </row>
    <row r="1120" spans="1:3" x14ac:dyDescent="0.25">
      <c r="A1120" s="1">
        <v>40218</v>
      </c>
      <c r="B1120" t="s">
        <v>85</v>
      </c>
      <c r="C1120">
        <v>4</v>
      </c>
    </row>
    <row r="1121" spans="1:3" x14ac:dyDescent="0.25">
      <c r="A1121" s="1">
        <v>40220</v>
      </c>
      <c r="B1121" t="s">
        <v>28</v>
      </c>
      <c r="C1121">
        <v>121</v>
      </c>
    </row>
    <row r="1122" spans="1:3" x14ac:dyDescent="0.25">
      <c r="A1122" s="1">
        <v>40221</v>
      </c>
      <c r="B1122" t="s">
        <v>6</v>
      </c>
      <c r="C1122">
        <v>81</v>
      </c>
    </row>
    <row r="1123" spans="1:3" x14ac:dyDescent="0.25">
      <c r="A1123" s="1">
        <v>40221</v>
      </c>
      <c r="B1123" t="s">
        <v>84</v>
      </c>
      <c r="C1123">
        <v>1</v>
      </c>
    </row>
    <row r="1124" spans="1:3" x14ac:dyDescent="0.25">
      <c r="A1124" s="1">
        <v>40223</v>
      </c>
      <c r="B1124" t="s">
        <v>30</v>
      </c>
      <c r="C1124">
        <v>142</v>
      </c>
    </row>
    <row r="1125" spans="1:3" x14ac:dyDescent="0.25">
      <c r="A1125" s="1">
        <v>40224</v>
      </c>
      <c r="B1125" t="s">
        <v>22</v>
      </c>
      <c r="C1125">
        <v>265</v>
      </c>
    </row>
    <row r="1126" spans="1:3" x14ac:dyDescent="0.25">
      <c r="A1126" s="1">
        <v>40225</v>
      </c>
      <c r="B1126" t="s">
        <v>6</v>
      </c>
      <c r="C1126">
        <v>194</v>
      </c>
    </row>
    <row r="1127" spans="1:3" x14ac:dyDescent="0.25">
      <c r="A1127" s="1">
        <v>40225</v>
      </c>
      <c r="B1127" t="s">
        <v>161</v>
      </c>
      <c r="C1127">
        <v>15</v>
      </c>
    </row>
    <row r="1128" spans="1:3" x14ac:dyDescent="0.25">
      <c r="A1128" s="1">
        <v>40227</v>
      </c>
      <c r="B1128" t="s">
        <v>10</v>
      </c>
      <c r="C1128">
        <v>23</v>
      </c>
    </row>
    <row r="1129" spans="1:3" x14ac:dyDescent="0.25">
      <c r="A1129" s="1">
        <v>40227</v>
      </c>
      <c r="B1129" t="s">
        <v>22</v>
      </c>
      <c r="C1129">
        <v>279</v>
      </c>
    </row>
    <row r="1130" spans="1:3" x14ac:dyDescent="0.25">
      <c r="A1130" s="1">
        <v>40229</v>
      </c>
      <c r="B1130" t="s">
        <v>206</v>
      </c>
      <c r="C1130">
        <v>1</v>
      </c>
    </row>
    <row r="1131" spans="1:3" x14ac:dyDescent="0.25">
      <c r="A1131" s="1">
        <v>40234</v>
      </c>
      <c r="B1131" t="s">
        <v>22</v>
      </c>
      <c r="C1131">
        <v>487</v>
      </c>
    </row>
    <row r="1132" spans="1:3" x14ac:dyDescent="0.25">
      <c r="A1132" s="1">
        <v>40234</v>
      </c>
      <c r="B1132" t="s">
        <v>7</v>
      </c>
      <c r="C1132">
        <v>395</v>
      </c>
    </row>
    <row r="1133" spans="1:3" x14ac:dyDescent="0.25">
      <c r="A1133" s="1">
        <v>40236</v>
      </c>
      <c r="B1133" t="s">
        <v>71</v>
      </c>
      <c r="C1133">
        <v>91</v>
      </c>
    </row>
    <row r="1134" spans="1:3" x14ac:dyDescent="0.25">
      <c r="A1134" s="1">
        <v>40236</v>
      </c>
      <c r="B1134" t="s">
        <v>25</v>
      </c>
      <c r="C1134">
        <v>39</v>
      </c>
    </row>
    <row r="1135" spans="1:3" x14ac:dyDescent="0.25">
      <c r="A1135" s="1">
        <v>40236</v>
      </c>
      <c r="B1135" t="s">
        <v>22</v>
      </c>
      <c r="C1135">
        <v>312</v>
      </c>
    </row>
    <row r="1136" spans="1:3" x14ac:dyDescent="0.25">
      <c r="A1136" s="1">
        <v>40237</v>
      </c>
      <c r="B1136" t="s">
        <v>207</v>
      </c>
      <c r="C1136">
        <v>20</v>
      </c>
    </row>
    <row r="1137" spans="1:3" x14ac:dyDescent="0.25">
      <c r="A1137" s="1">
        <v>40240</v>
      </c>
      <c r="B1137" t="s">
        <v>28</v>
      </c>
      <c r="C1137">
        <v>35</v>
      </c>
    </row>
    <row r="1138" spans="1:3" x14ac:dyDescent="0.25">
      <c r="A1138" s="1">
        <v>40242</v>
      </c>
      <c r="B1138" t="s">
        <v>203</v>
      </c>
      <c r="C1138">
        <v>20</v>
      </c>
    </row>
    <row r="1139" spans="1:3" x14ac:dyDescent="0.25">
      <c r="A1139" s="1">
        <v>40245</v>
      </c>
      <c r="B1139" t="s">
        <v>30</v>
      </c>
      <c r="C1139">
        <v>125</v>
      </c>
    </row>
    <row r="1140" spans="1:3" x14ac:dyDescent="0.25">
      <c r="A1140" s="1">
        <v>40245</v>
      </c>
      <c r="B1140" t="s">
        <v>45</v>
      </c>
      <c r="C1140">
        <v>396</v>
      </c>
    </row>
    <row r="1141" spans="1:3" x14ac:dyDescent="0.25">
      <c r="A1141" s="1">
        <v>40246</v>
      </c>
      <c r="B1141" t="s">
        <v>208</v>
      </c>
      <c r="C1141">
        <v>7</v>
      </c>
    </row>
    <row r="1142" spans="1:3" x14ac:dyDescent="0.25">
      <c r="A1142" s="1">
        <v>40247</v>
      </c>
      <c r="B1142" t="s">
        <v>78</v>
      </c>
      <c r="C1142">
        <v>59</v>
      </c>
    </row>
    <row r="1143" spans="1:3" x14ac:dyDescent="0.25">
      <c r="A1143" s="1">
        <v>40250</v>
      </c>
      <c r="B1143" t="s">
        <v>14</v>
      </c>
      <c r="C1143">
        <v>417</v>
      </c>
    </row>
    <row r="1144" spans="1:3" x14ac:dyDescent="0.25">
      <c r="A1144" s="1">
        <v>40250</v>
      </c>
      <c r="B1144" t="s">
        <v>45</v>
      </c>
      <c r="C1144">
        <v>115</v>
      </c>
    </row>
    <row r="1145" spans="1:3" x14ac:dyDescent="0.25">
      <c r="A1145" s="1">
        <v>40253</v>
      </c>
      <c r="B1145" t="s">
        <v>54</v>
      </c>
      <c r="C1145">
        <v>6</v>
      </c>
    </row>
    <row r="1146" spans="1:3" x14ac:dyDescent="0.25">
      <c r="A1146" s="1">
        <v>40254</v>
      </c>
      <c r="B1146" t="s">
        <v>19</v>
      </c>
      <c r="C1146">
        <v>69</v>
      </c>
    </row>
    <row r="1147" spans="1:3" x14ac:dyDescent="0.25">
      <c r="A1147" s="1">
        <v>40256</v>
      </c>
      <c r="B1147" t="s">
        <v>12</v>
      </c>
      <c r="C1147">
        <v>58</v>
      </c>
    </row>
    <row r="1148" spans="1:3" x14ac:dyDescent="0.25">
      <c r="A1148" s="1">
        <v>40256</v>
      </c>
      <c r="B1148" t="s">
        <v>25</v>
      </c>
      <c r="C1148">
        <v>159</v>
      </c>
    </row>
    <row r="1149" spans="1:3" x14ac:dyDescent="0.25">
      <c r="A1149" s="1">
        <v>40258</v>
      </c>
      <c r="B1149" t="s">
        <v>209</v>
      </c>
      <c r="C1149">
        <v>6</v>
      </c>
    </row>
    <row r="1150" spans="1:3" x14ac:dyDescent="0.25">
      <c r="A1150" s="1">
        <v>40259</v>
      </c>
      <c r="B1150" t="s">
        <v>12</v>
      </c>
      <c r="C1150">
        <v>103</v>
      </c>
    </row>
    <row r="1151" spans="1:3" x14ac:dyDescent="0.25">
      <c r="A1151" s="1">
        <v>40263</v>
      </c>
      <c r="B1151" t="s">
        <v>7</v>
      </c>
      <c r="C1151">
        <v>155</v>
      </c>
    </row>
    <row r="1152" spans="1:3" x14ac:dyDescent="0.25">
      <c r="A1152" s="1">
        <v>40263</v>
      </c>
      <c r="B1152" t="s">
        <v>81</v>
      </c>
      <c r="C1152">
        <v>10</v>
      </c>
    </row>
    <row r="1153" spans="1:3" x14ac:dyDescent="0.25">
      <c r="A1153" s="1">
        <v>40265</v>
      </c>
      <c r="B1153" t="s">
        <v>28</v>
      </c>
      <c r="C1153">
        <v>158</v>
      </c>
    </row>
    <row r="1154" spans="1:3" x14ac:dyDescent="0.25">
      <c r="A1154" s="1">
        <v>40267</v>
      </c>
      <c r="B1154" t="s">
        <v>55</v>
      </c>
      <c r="C1154">
        <v>146</v>
      </c>
    </row>
    <row r="1155" spans="1:3" x14ac:dyDescent="0.25">
      <c r="A1155" s="1">
        <v>40268</v>
      </c>
      <c r="B1155" t="s">
        <v>22</v>
      </c>
      <c r="C1155">
        <v>230</v>
      </c>
    </row>
    <row r="1156" spans="1:3" x14ac:dyDescent="0.25">
      <c r="A1156" s="1">
        <v>40270</v>
      </c>
      <c r="B1156" t="s">
        <v>39</v>
      </c>
      <c r="C1156">
        <v>143</v>
      </c>
    </row>
    <row r="1157" spans="1:3" x14ac:dyDescent="0.25">
      <c r="A1157" s="1">
        <v>40270</v>
      </c>
      <c r="B1157" t="s">
        <v>61</v>
      </c>
      <c r="C1157">
        <v>167</v>
      </c>
    </row>
    <row r="1158" spans="1:3" x14ac:dyDescent="0.25">
      <c r="A1158" s="1">
        <v>40270</v>
      </c>
      <c r="B1158" t="s">
        <v>52</v>
      </c>
      <c r="C1158">
        <v>119</v>
      </c>
    </row>
    <row r="1159" spans="1:3" x14ac:dyDescent="0.25">
      <c r="A1159" s="1">
        <v>40272</v>
      </c>
      <c r="B1159" t="s">
        <v>14</v>
      </c>
      <c r="C1159">
        <v>400</v>
      </c>
    </row>
    <row r="1160" spans="1:3" x14ac:dyDescent="0.25">
      <c r="A1160" s="1">
        <v>40274</v>
      </c>
      <c r="B1160" t="s">
        <v>37</v>
      </c>
      <c r="C1160">
        <v>172</v>
      </c>
    </row>
    <row r="1161" spans="1:3" x14ac:dyDescent="0.25">
      <c r="A1161" s="1">
        <v>40275</v>
      </c>
      <c r="B1161" t="s">
        <v>98</v>
      </c>
      <c r="C1161">
        <v>19</v>
      </c>
    </row>
    <row r="1162" spans="1:3" x14ac:dyDescent="0.25">
      <c r="A1162" s="1">
        <v>40277</v>
      </c>
      <c r="B1162" t="s">
        <v>7</v>
      </c>
      <c r="C1162">
        <v>116</v>
      </c>
    </row>
    <row r="1163" spans="1:3" x14ac:dyDescent="0.25">
      <c r="A1163" s="1">
        <v>40279</v>
      </c>
      <c r="B1163" t="s">
        <v>22</v>
      </c>
      <c r="C1163">
        <v>143</v>
      </c>
    </row>
    <row r="1164" spans="1:3" x14ac:dyDescent="0.25">
      <c r="A1164" s="1">
        <v>40280</v>
      </c>
      <c r="B1164" t="s">
        <v>9</v>
      </c>
      <c r="C1164">
        <v>222</v>
      </c>
    </row>
    <row r="1165" spans="1:3" x14ac:dyDescent="0.25">
      <c r="A1165" s="1">
        <v>40282</v>
      </c>
      <c r="B1165" t="s">
        <v>9</v>
      </c>
      <c r="C1165">
        <v>352</v>
      </c>
    </row>
    <row r="1166" spans="1:3" x14ac:dyDescent="0.25">
      <c r="A1166" s="1">
        <v>40282</v>
      </c>
      <c r="B1166" t="s">
        <v>52</v>
      </c>
      <c r="C1166">
        <v>69</v>
      </c>
    </row>
    <row r="1167" spans="1:3" x14ac:dyDescent="0.25">
      <c r="A1167" s="1">
        <v>40283</v>
      </c>
      <c r="B1167" t="s">
        <v>45</v>
      </c>
      <c r="C1167">
        <v>182</v>
      </c>
    </row>
    <row r="1168" spans="1:3" x14ac:dyDescent="0.25">
      <c r="A1168" s="1">
        <v>40285</v>
      </c>
      <c r="B1168" t="s">
        <v>9</v>
      </c>
      <c r="C1168">
        <v>182</v>
      </c>
    </row>
    <row r="1169" spans="1:3" x14ac:dyDescent="0.25">
      <c r="A1169" s="1">
        <v>40285</v>
      </c>
      <c r="B1169" t="s">
        <v>52</v>
      </c>
      <c r="C1169">
        <v>165</v>
      </c>
    </row>
    <row r="1170" spans="1:3" x14ac:dyDescent="0.25">
      <c r="A1170" s="1">
        <v>40286</v>
      </c>
      <c r="B1170" t="s">
        <v>40</v>
      </c>
      <c r="C1170">
        <v>18</v>
      </c>
    </row>
    <row r="1171" spans="1:3" x14ac:dyDescent="0.25">
      <c r="A1171" s="1">
        <v>40286</v>
      </c>
      <c r="B1171" t="s">
        <v>210</v>
      </c>
      <c r="C1171">
        <v>2</v>
      </c>
    </row>
    <row r="1172" spans="1:3" x14ac:dyDescent="0.25">
      <c r="A1172" s="1">
        <v>40287</v>
      </c>
      <c r="B1172" t="s">
        <v>184</v>
      </c>
      <c r="C1172">
        <v>15</v>
      </c>
    </row>
    <row r="1173" spans="1:3" x14ac:dyDescent="0.25">
      <c r="A1173" s="1">
        <v>40288</v>
      </c>
      <c r="B1173" t="s">
        <v>211</v>
      </c>
      <c r="C1173">
        <v>19</v>
      </c>
    </row>
    <row r="1174" spans="1:3" x14ac:dyDescent="0.25">
      <c r="A1174" s="1">
        <v>40289</v>
      </c>
      <c r="B1174" t="s">
        <v>37</v>
      </c>
      <c r="C1174">
        <v>66</v>
      </c>
    </row>
    <row r="1175" spans="1:3" x14ac:dyDescent="0.25">
      <c r="A1175" s="1">
        <v>40289</v>
      </c>
      <c r="B1175" t="s">
        <v>170</v>
      </c>
      <c r="C1175">
        <v>12</v>
      </c>
    </row>
    <row r="1176" spans="1:3" x14ac:dyDescent="0.25">
      <c r="A1176" s="1">
        <v>40290</v>
      </c>
      <c r="B1176" t="s">
        <v>118</v>
      </c>
      <c r="C1176">
        <v>19</v>
      </c>
    </row>
    <row r="1177" spans="1:3" x14ac:dyDescent="0.25">
      <c r="A1177" s="1">
        <v>40290</v>
      </c>
      <c r="B1177" t="s">
        <v>23</v>
      </c>
      <c r="C1177">
        <v>96</v>
      </c>
    </row>
    <row r="1178" spans="1:3" x14ac:dyDescent="0.25">
      <c r="A1178" s="1">
        <v>40293</v>
      </c>
      <c r="B1178" t="s">
        <v>9</v>
      </c>
      <c r="C1178">
        <v>240</v>
      </c>
    </row>
    <row r="1179" spans="1:3" x14ac:dyDescent="0.25">
      <c r="A1179" s="1">
        <v>40295</v>
      </c>
      <c r="B1179" t="s">
        <v>28</v>
      </c>
      <c r="C1179">
        <v>57</v>
      </c>
    </row>
    <row r="1180" spans="1:3" x14ac:dyDescent="0.25">
      <c r="A1180" s="1">
        <v>40299</v>
      </c>
      <c r="B1180" t="s">
        <v>14</v>
      </c>
      <c r="C1180">
        <v>475</v>
      </c>
    </row>
    <row r="1181" spans="1:3" x14ac:dyDescent="0.25">
      <c r="A1181" s="1">
        <v>40300</v>
      </c>
      <c r="B1181" t="s">
        <v>7</v>
      </c>
      <c r="C1181">
        <v>162</v>
      </c>
    </row>
    <row r="1182" spans="1:3" x14ac:dyDescent="0.25">
      <c r="A1182" s="1">
        <v>40302</v>
      </c>
      <c r="B1182" t="s">
        <v>7</v>
      </c>
      <c r="C1182">
        <v>150</v>
      </c>
    </row>
    <row r="1183" spans="1:3" x14ac:dyDescent="0.25">
      <c r="A1183" s="1">
        <v>40303</v>
      </c>
      <c r="B1183" t="s">
        <v>50</v>
      </c>
      <c r="C1183">
        <v>139</v>
      </c>
    </row>
    <row r="1184" spans="1:3" x14ac:dyDescent="0.25">
      <c r="A1184" s="1">
        <v>40305</v>
      </c>
      <c r="B1184" t="s">
        <v>19</v>
      </c>
      <c r="C1184">
        <v>183</v>
      </c>
    </row>
    <row r="1185" spans="1:3" x14ac:dyDescent="0.25">
      <c r="A1185" s="1">
        <v>40315</v>
      </c>
      <c r="B1185" t="s">
        <v>7</v>
      </c>
      <c r="C1185">
        <v>214</v>
      </c>
    </row>
    <row r="1186" spans="1:3" x14ac:dyDescent="0.25">
      <c r="A1186" s="1">
        <v>40318</v>
      </c>
      <c r="B1186" t="s">
        <v>175</v>
      </c>
      <c r="C1186">
        <v>14</v>
      </c>
    </row>
    <row r="1187" spans="1:3" x14ac:dyDescent="0.25">
      <c r="A1187" s="1">
        <v>40319</v>
      </c>
      <c r="B1187" t="s">
        <v>195</v>
      </c>
      <c r="C1187">
        <v>2</v>
      </c>
    </row>
    <row r="1188" spans="1:3" x14ac:dyDescent="0.25">
      <c r="A1188" s="1">
        <v>40320</v>
      </c>
      <c r="B1188" t="s">
        <v>22</v>
      </c>
      <c r="C1188">
        <v>383</v>
      </c>
    </row>
    <row r="1189" spans="1:3" x14ac:dyDescent="0.25">
      <c r="A1189" s="1">
        <v>40321</v>
      </c>
      <c r="B1189" t="s">
        <v>0</v>
      </c>
      <c r="C1189">
        <v>14</v>
      </c>
    </row>
    <row r="1190" spans="1:3" x14ac:dyDescent="0.25">
      <c r="A1190" s="1">
        <v>40321</v>
      </c>
      <c r="B1190" t="s">
        <v>52</v>
      </c>
      <c r="C1190">
        <v>127</v>
      </c>
    </row>
    <row r="1191" spans="1:3" x14ac:dyDescent="0.25">
      <c r="A1191" s="1">
        <v>40322</v>
      </c>
      <c r="B1191" t="s">
        <v>30</v>
      </c>
      <c r="C1191">
        <v>179</v>
      </c>
    </row>
    <row r="1192" spans="1:3" x14ac:dyDescent="0.25">
      <c r="A1192" s="1">
        <v>40323</v>
      </c>
      <c r="B1192" t="s">
        <v>23</v>
      </c>
      <c r="C1192">
        <v>74</v>
      </c>
    </row>
    <row r="1193" spans="1:3" x14ac:dyDescent="0.25">
      <c r="A1193" s="1">
        <v>40323</v>
      </c>
      <c r="B1193" t="s">
        <v>50</v>
      </c>
      <c r="C1193">
        <v>311</v>
      </c>
    </row>
    <row r="1194" spans="1:3" x14ac:dyDescent="0.25">
      <c r="A1194" s="1">
        <v>40327</v>
      </c>
      <c r="B1194" t="s">
        <v>66</v>
      </c>
      <c r="C1194">
        <v>190</v>
      </c>
    </row>
    <row r="1195" spans="1:3" x14ac:dyDescent="0.25">
      <c r="A1195" s="1">
        <v>40329</v>
      </c>
      <c r="B1195" t="s">
        <v>31</v>
      </c>
      <c r="C1195">
        <v>67</v>
      </c>
    </row>
    <row r="1196" spans="1:3" x14ac:dyDescent="0.25">
      <c r="A1196" s="1">
        <v>40331</v>
      </c>
      <c r="B1196" t="s">
        <v>7</v>
      </c>
      <c r="C1196">
        <v>331</v>
      </c>
    </row>
    <row r="1197" spans="1:3" x14ac:dyDescent="0.25">
      <c r="A1197" s="1">
        <v>40331</v>
      </c>
      <c r="B1197" t="s">
        <v>39</v>
      </c>
      <c r="C1197">
        <v>114</v>
      </c>
    </row>
    <row r="1198" spans="1:3" x14ac:dyDescent="0.25">
      <c r="A1198" s="1">
        <v>40332</v>
      </c>
      <c r="B1198" t="s">
        <v>52</v>
      </c>
      <c r="C1198">
        <v>79</v>
      </c>
    </row>
    <row r="1199" spans="1:3" x14ac:dyDescent="0.25">
      <c r="A1199" s="1">
        <v>40333</v>
      </c>
      <c r="B1199" t="s">
        <v>71</v>
      </c>
      <c r="C1199">
        <v>22</v>
      </c>
    </row>
    <row r="1200" spans="1:3" x14ac:dyDescent="0.25">
      <c r="A1200" s="1">
        <v>40333</v>
      </c>
      <c r="B1200" t="s">
        <v>92</v>
      </c>
      <c r="C1200">
        <v>5</v>
      </c>
    </row>
    <row r="1201" spans="1:3" x14ac:dyDescent="0.25">
      <c r="A1201" s="1">
        <v>40336</v>
      </c>
      <c r="B1201" t="s">
        <v>72</v>
      </c>
      <c r="C1201">
        <v>17</v>
      </c>
    </row>
    <row r="1202" spans="1:3" x14ac:dyDescent="0.25">
      <c r="A1202" s="1">
        <v>40337</v>
      </c>
      <c r="B1202" t="s">
        <v>45</v>
      </c>
      <c r="C1202">
        <v>344</v>
      </c>
    </row>
    <row r="1203" spans="1:3" x14ac:dyDescent="0.25">
      <c r="A1203" s="1">
        <v>40337</v>
      </c>
      <c r="B1203" t="s">
        <v>14</v>
      </c>
      <c r="C1203">
        <v>329</v>
      </c>
    </row>
    <row r="1204" spans="1:3" x14ac:dyDescent="0.25">
      <c r="A1204" s="1">
        <v>40337</v>
      </c>
      <c r="B1204" t="s">
        <v>112</v>
      </c>
      <c r="C1204">
        <v>10</v>
      </c>
    </row>
    <row r="1205" spans="1:3" x14ac:dyDescent="0.25">
      <c r="A1205" s="1">
        <v>40341</v>
      </c>
      <c r="B1205" t="s">
        <v>30</v>
      </c>
      <c r="C1205">
        <v>105</v>
      </c>
    </row>
    <row r="1206" spans="1:3" x14ac:dyDescent="0.25">
      <c r="A1206" s="1">
        <v>40342</v>
      </c>
      <c r="B1206" t="s">
        <v>69</v>
      </c>
      <c r="C1206">
        <v>26</v>
      </c>
    </row>
    <row r="1207" spans="1:3" x14ac:dyDescent="0.25">
      <c r="A1207" s="1">
        <v>40343</v>
      </c>
      <c r="B1207" t="s">
        <v>39</v>
      </c>
      <c r="C1207">
        <v>121</v>
      </c>
    </row>
    <row r="1208" spans="1:3" x14ac:dyDescent="0.25">
      <c r="A1208" s="1">
        <v>40345</v>
      </c>
      <c r="B1208" t="s">
        <v>8</v>
      </c>
      <c r="C1208">
        <v>174</v>
      </c>
    </row>
    <row r="1209" spans="1:3" x14ac:dyDescent="0.25">
      <c r="A1209" s="1">
        <v>40346</v>
      </c>
      <c r="B1209" t="s">
        <v>14</v>
      </c>
      <c r="C1209">
        <v>233</v>
      </c>
    </row>
    <row r="1210" spans="1:3" x14ac:dyDescent="0.25">
      <c r="A1210" s="1">
        <v>40347</v>
      </c>
      <c r="B1210" t="s">
        <v>10</v>
      </c>
      <c r="C1210">
        <v>117</v>
      </c>
    </row>
    <row r="1211" spans="1:3" x14ac:dyDescent="0.25">
      <c r="A1211" s="1">
        <v>40348</v>
      </c>
      <c r="B1211" t="s">
        <v>72</v>
      </c>
      <c r="C1211">
        <v>11</v>
      </c>
    </row>
    <row r="1212" spans="1:3" x14ac:dyDescent="0.25">
      <c r="A1212" s="1">
        <v>40348</v>
      </c>
      <c r="B1212" t="s">
        <v>212</v>
      </c>
      <c r="C1212">
        <v>18</v>
      </c>
    </row>
    <row r="1213" spans="1:3" x14ac:dyDescent="0.25">
      <c r="A1213" s="1">
        <v>40348</v>
      </c>
      <c r="B1213" t="s">
        <v>45</v>
      </c>
      <c r="C1213">
        <v>332</v>
      </c>
    </row>
    <row r="1214" spans="1:3" x14ac:dyDescent="0.25">
      <c r="A1214" s="1">
        <v>40349</v>
      </c>
      <c r="B1214" t="s">
        <v>156</v>
      </c>
      <c r="C1214">
        <v>6</v>
      </c>
    </row>
    <row r="1215" spans="1:3" x14ac:dyDescent="0.25">
      <c r="A1215" s="1">
        <v>40350</v>
      </c>
      <c r="B1215" t="s">
        <v>102</v>
      </c>
      <c r="C1215">
        <v>260</v>
      </c>
    </row>
    <row r="1216" spans="1:3" x14ac:dyDescent="0.25">
      <c r="A1216" s="1">
        <v>40350</v>
      </c>
      <c r="B1216" t="s">
        <v>80</v>
      </c>
      <c r="C1216">
        <v>22</v>
      </c>
    </row>
    <row r="1217" spans="1:3" x14ac:dyDescent="0.25">
      <c r="A1217" s="1">
        <v>40352</v>
      </c>
      <c r="B1217" t="s">
        <v>129</v>
      </c>
      <c r="C1217">
        <v>9</v>
      </c>
    </row>
    <row r="1218" spans="1:3" x14ac:dyDescent="0.25">
      <c r="A1218" s="1">
        <v>40353</v>
      </c>
      <c r="B1218" t="s">
        <v>66</v>
      </c>
      <c r="C1218">
        <v>79</v>
      </c>
    </row>
    <row r="1219" spans="1:3" x14ac:dyDescent="0.25">
      <c r="A1219" s="1">
        <v>40355</v>
      </c>
      <c r="B1219" t="s">
        <v>45</v>
      </c>
      <c r="C1219">
        <v>480</v>
      </c>
    </row>
    <row r="1220" spans="1:3" x14ac:dyDescent="0.25">
      <c r="A1220" s="1">
        <v>40360</v>
      </c>
      <c r="B1220" t="s">
        <v>9</v>
      </c>
      <c r="C1220">
        <v>154</v>
      </c>
    </row>
    <row r="1221" spans="1:3" x14ac:dyDescent="0.25">
      <c r="A1221" s="1">
        <v>40360</v>
      </c>
      <c r="B1221" t="s">
        <v>35</v>
      </c>
      <c r="C1221">
        <v>170</v>
      </c>
    </row>
    <row r="1222" spans="1:3" x14ac:dyDescent="0.25">
      <c r="A1222" s="1">
        <v>40361</v>
      </c>
      <c r="B1222" t="s">
        <v>213</v>
      </c>
      <c r="C1222">
        <v>13</v>
      </c>
    </row>
    <row r="1223" spans="1:3" x14ac:dyDescent="0.25">
      <c r="A1223" s="1">
        <v>40364</v>
      </c>
      <c r="B1223" t="s">
        <v>18</v>
      </c>
      <c r="C1223">
        <v>29</v>
      </c>
    </row>
    <row r="1224" spans="1:3" x14ac:dyDescent="0.25">
      <c r="A1224" s="1">
        <v>40366</v>
      </c>
      <c r="B1224" t="s">
        <v>19</v>
      </c>
      <c r="C1224">
        <v>80</v>
      </c>
    </row>
    <row r="1225" spans="1:3" x14ac:dyDescent="0.25">
      <c r="A1225" s="1">
        <v>40370</v>
      </c>
      <c r="B1225" t="s">
        <v>176</v>
      </c>
      <c r="C1225">
        <v>20</v>
      </c>
    </row>
    <row r="1226" spans="1:3" x14ac:dyDescent="0.25">
      <c r="A1226" s="1">
        <v>40370</v>
      </c>
      <c r="B1226" t="s">
        <v>9</v>
      </c>
      <c r="C1226">
        <v>401</v>
      </c>
    </row>
    <row r="1227" spans="1:3" x14ac:dyDescent="0.25">
      <c r="A1227" s="1">
        <v>40372</v>
      </c>
      <c r="B1227" t="s">
        <v>39</v>
      </c>
      <c r="C1227">
        <v>134</v>
      </c>
    </row>
    <row r="1228" spans="1:3" x14ac:dyDescent="0.25">
      <c r="A1228" s="1">
        <v>40374</v>
      </c>
      <c r="B1228" t="s">
        <v>37</v>
      </c>
      <c r="C1228">
        <v>107</v>
      </c>
    </row>
    <row r="1229" spans="1:3" x14ac:dyDescent="0.25">
      <c r="A1229" s="1">
        <v>40379</v>
      </c>
      <c r="B1229" t="s">
        <v>10</v>
      </c>
      <c r="C1229">
        <v>30</v>
      </c>
    </row>
    <row r="1230" spans="1:3" x14ac:dyDescent="0.25">
      <c r="A1230" s="1">
        <v>40381</v>
      </c>
      <c r="B1230" t="s">
        <v>24</v>
      </c>
      <c r="C1230">
        <v>138</v>
      </c>
    </row>
    <row r="1231" spans="1:3" x14ac:dyDescent="0.25">
      <c r="A1231" s="1">
        <v>40382</v>
      </c>
      <c r="B1231" t="s">
        <v>22</v>
      </c>
      <c r="C1231">
        <v>404</v>
      </c>
    </row>
    <row r="1232" spans="1:3" x14ac:dyDescent="0.25">
      <c r="A1232" s="1">
        <v>40386</v>
      </c>
      <c r="B1232" t="s">
        <v>37</v>
      </c>
      <c r="C1232">
        <v>117</v>
      </c>
    </row>
    <row r="1233" spans="1:3" x14ac:dyDescent="0.25">
      <c r="A1233" s="1">
        <v>40389</v>
      </c>
      <c r="B1233" t="s">
        <v>9</v>
      </c>
      <c r="C1233">
        <v>124</v>
      </c>
    </row>
    <row r="1234" spans="1:3" x14ac:dyDescent="0.25">
      <c r="A1234" s="1">
        <v>40390</v>
      </c>
      <c r="B1234" t="s">
        <v>52</v>
      </c>
      <c r="C1234">
        <v>155</v>
      </c>
    </row>
    <row r="1235" spans="1:3" x14ac:dyDescent="0.25">
      <c r="A1235" s="1">
        <v>40391</v>
      </c>
      <c r="B1235" t="s">
        <v>28</v>
      </c>
      <c r="C1235">
        <v>161</v>
      </c>
    </row>
    <row r="1236" spans="1:3" x14ac:dyDescent="0.25">
      <c r="A1236" s="1">
        <v>40395</v>
      </c>
      <c r="B1236" t="s">
        <v>12</v>
      </c>
      <c r="C1236">
        <v>80</v>
      </c>
    </row>
    <row r="1237" spans="1:3" x14ac:dyDescent="0.25">
      <c r="A1237" s="1">
        <v>40395</v>
      </c>
      <c r="B1237" t="s">
        <v>172</v>
      </c>
      <c r="C1237">
        <v>9</v>
      </c>
    </row>
    <row r="1238" spans="1:3" x14ac:dyDescent="0.25">
      <c r="A1238" s="1">
        <v>40396</v>
      </c>
      <c r="B1238" t="s">
        <v>12</v>
      </c>
      <c r="C1238">
        <v>160</v>
      </c>
    </row>
    <row r="1239" spans="1:3" x14ac:dyDescent="0.25">
      <c r="A1239" s="1">
        <v>40399</v>
      </c>
      <c r="B1239" t="s">
        <v>113</v>
      </c>
      <c r="C1239">
        <v>18</v>
      </c>
    </row>
    <row r="1240" spans="1:3" x14ac:dyDescent="0.25">
      <c r="A1240" s="1">
        <v>40401</v>
      </c>
      <c r="B1240" t="s">
        <v>10</v>
      </c>
      <c r="C1240">
        <v>150</v>
      </c>
    </row>
    <row r="1241" spans="1:3" x14ac:dyDescent="0.25">
      <c r="A1241" s="1">
        <v>40405</v>
      </c>
      <c r="B1241" t="s">
        <v>214</v>
      </c>
      <c r="C1241">
        <v>16</v>
      </c>
    </row>
    <row r="1242" spans="1:3" x14ac:dyDescent="0.25">
      <c r="A1242" s="1">
        <v>40412</v>
      </c>
      <c r="B1242" t="s">
        <v>69</v>
      </c>
      <c r="C1242">
        <v>158</v>
      </c>
    </row>
    <row r="1243" spans="1:3" x14ac:dyDescent="0.25">
      <c r="A1243" s="1">
        <v>40414</v>
      </c>
      <c r="B1243" t="s">
        <v>61</v>
      </c>
      <c r="C1243">
        <v>29</v>
      </c>
    </row>
    <row r="1244" spans="1:3" x14ac:dyDescent="0.25">
      <c r="A1244" s="1">
        <v>40423</v>
      </c>
      <c r="B1244" t="s">
        <v>106</v>
      </c>
      <c r="C1244">
        <v>6</v>
      </c>
    </row>
    <row r="1245" spans="1:3" x14ac:dyDescent="0.25">
      <c r="A1245" s="1">
        <v>40423</v>
      </c>
      <c r="B1245" t="s">
        <v>9</v>
      </c>
      <c r="C1245">
        <v>489</v>
      </c>
    </row>
    <row r="1246" spans="1:3" x14ac:dyDescent="0.25">
      <c r="A1246" s="1">
        <v>40425</v>
      </c>
      <c r="B1246" t="s">
        <v>35</v>
      </c>
      <c r="C1246">
        <v>200</v>
      </c>
    </row>
    <row r="1247" spans="1:3" x14ac:dyDescent="0.25">
      <c r="A1247" s="1">
        <v>40427</v>
      </c>
      <c r="B1247" t="s">
        <v>10</v>
      </c>
      <c r="C1247">
        <v>28</v>
      </c>
    </row>
    <row r="1248" spans="1:3" x14ac:dyDescent="0.25">
      <c r="A1248" s="1">
        <v>40431</v>
      </c>
      <c r="B1248" t="s">
        <v>10</v>
      </c>
      <c r="C1248">
        <v>28</v>
      </c>
    </row>
    <row r="1249" spans="1:3" x14ac:dyDescent="0.25">
      <c r="A1249" s="1">
        <v>40432</v>
      </c>
      <c r="B1249" t="s">
        <v>9</v>
      </c>
      <c r="C1249">
        <v>297</v>
      </c>
    </row>
    <row r="1250" spans="1:3" x14ac:dyDescent="0.25">
      <c r="A1250" s="1">
        <v>40434</v>
      </c>
      <c r="B1250" t="s">
        <v>17</v>
      </c>
      <c r="C1250">
        <v>227</v>
      </c>
    </row>
    <row r="1251" spans="1:3" x14ac:dyDescent="0.25">
      <c r="A1251" s="1">
        <v>40434</v>
      </c>
      <c r="B1251" t="s">
        <v>140</v>
      </c>
      <c r="C1251">
        <v>14</v>
      </c>
    </row>
    <row r="1252" spans="1:3" x14ac:dyDescent="0.25">
      <c r="A1252" s="1">
        <v>40437</v>
      </c>
      <c r="B1252" t="s">
        <v>98</v>
      </c>
      <c r="C1252">
        <v>20</v>
      </c>
    </row>
    <row r="1253" spans="1:3" x14ac:dyDescent="0.25">
      <c r="A1253" s="1">
        <v>40439</v>
      </c>
      <c r="B1253" t="s">
        <v>63</v>
      </c>
      <c r="C1253">
        <v>194</v>
      </c>
    </row>
    <row r="1254" spans="1:3" x14ac:dyDescent="0.25">
      <c r="A1254" s="1">
        <v>40439</v>
      </c>
      <c r="B1254" t="s">
        <v>35</v>
      </c>
      <c r="C1254">
        <v>58</v>
      </c>
    </row>
    <row r="1255" spans="1:3" x14ac:dyDescent="0.25">
      <c r="A1255" s="1">
        <v>40440</v>
      </c>
      <c r="B1255" t="s">
        <v>66</v>
      </c>
      <c r="C1255">
        <v>30</v>
      </c>
    </row>
    <row r="1256" spans="1:3" x14ac:dyDescent="0.25">
      <c r="A1256" s="1">
        <v>40440</v>
      </c>
      <c r="B1256" t="s">
        <v>17</v>
      </c>
      <c r="C1256">
        <v>159</v>
      </c>
    </row>
    <row r="1257" spans="1:3" x14ac:dyDescent="0.25">
      <c r="A1257" s="1">
        <v>40443</v>
      </c>
      <c r="B1257" t="s">
        <v>22</v>
      </c>
      <c r="C1257">
        <v>279</v>
      </c>
    </row>
    <row r="1258" spans="1:3" x14ac:dyDescent="0.25">
      <c r="A1258" s="1">
        <v>40444</v>
      </c>
      <c r="B1258" t="s">
        <v>26</v>
      </c>
      <c r="C1258">
        <v>38</v>
      </c>
    </row>
    <row r="1259" spans="1:3" x14ac:dyDescent="0.25">
      <c r="A1259" s="1">
        <v>40446</v>
      </c>
      <c r="B1259" t="s">
        <v>36</v>
      </c>
      <c r="C1259">
        <v>7</v>
      </c>
    </row>
    <row r="1260" spans="1:3" x14ac:dyDescent="0.25">
      <c r="A1260" s="1">
        <v>40447</v>
      </c>
      <c r="B1260" t="s">
        <v>22</v>
      </c>
      <c r="C1260">
        <v>154</v>
      </c>
    </row>
    <row r="1261" spans="1:3" x14ac:dyDescent="0.25">
      <c r="A1261" s="1">
        <v>40447</v>
      </c>
      <c r="B1261" t="s">
        <v>50</v>
      </c>
      <c r="C1261">
        <v>274</v>
      </c>
    </row>
    <row r="1262" spans="1:3" x14ac:dyDescent="0.25">
      <c r="A1262" s="1">
        <v>40448</v>
      </c>
      <c r="B1262" t="s">
        <v>14</v>
      </c>
      <c r="C1262">
        <v>219</v>
      </c>
    </row>
    <row r="1263" spans="1:3" x14ac:dyDescent="0.25">
      <c r="A1263" s="1">
        <v>40449</v>
      </c>
      <c r="B1263" t="s">
        <v>30</v>
      </c>
      <c r="C1263">
        <v>57</v>
      </c>
    </row>
    <row r="1264" spans="1:3" x14ac:dyDescent="0.25">
      <c r="A1264" s="1">
        <v>40449</v>
      </c>
      <c r="B1264" t="s">
        <v>12</v>
      </c>
      <c r="C1264">
        <v>152</v>
      </c>
    </row>
    <row r="1265" spans="1:3" x14ac:dyDescent="0.25">
      <c r="A1265" s="1">
        <v>40454</v>
      </c>
      <c r="B1265" t="s">
        <v>45</v>
      </c>
      <c r="C1265">
        <v>263</v>
      </c>
    </row>
    <row r="1266" spans="1:3" x14ac:dyDescent="0.25">
      <c r="A1266" s="1">
        <v>40456</v>
      </c>
      <c r="B1266" t="s">
        <v>28</v>
      </c>
      <c r="C1266">
        <v>61</v>
      </c>
    </row>
    <row r="1267" spans="1:3" x14ac:dyDescent="0.25">
      <c r="A1267" s="1">
        <v>40456</v>
      </c>
      <c r="B1267" t="s">
        <v>50</v>
      </c>
      <c r="C1267">
        <v>217</v>
      </c>
    </row>
    <row r="1268" spans="1:3" x14ac:dyDescent="0.25">
      <c r="A1268" s="1">
        <v>40457</v>
      </c>
      <c r="B1268" t="s">
        <v>61</v>
      </c>
      <c r="C1268">
        <v>28</v>
      </c>
    </row>
    <row r="1269" spans="1:3" x14ac:dyDescent="0.25">
      <c r="A1269" s="1">
        <v>40457</v>
      </c>
      <c r="B1269" t="s">
        <v>45</v>
      </c>
      <c r="C1269">
        <v>299</v>
      </c>
    </row>
    <row r="1270" spans="1:3" x14ac:dyDescent="0.25">
      <c r="A1270" s="1">
        <v>40460</v>
      </c>
      <c r="B1270" t="s">
        <v>14</v>
      </c>
      <c r="C1270">
        <v>429</v>
      </c>
    </row>
    <row r="1271" spans="1:3" x14ac:dyDescent="0.25">
      <c r="A1271" s="1">
        <v>40463</v>
      </c>
      <c r="B1271" t="s">
        <v>14</v>
      </c>
      <c r="C1271">
        <v>427</v>
      </c>
    </row>
    <row r="1272" spans="1:3" x14ac:dyDescent="0.25">
      <c r="A1272" s="1">
        <v>40463</v>
      </c>
      <c r="B1272" t="s">
        <v>12</v>
      </c>
      <c r="C1272">
        <v>87</v>
      </c>
    </row>
    <row r="1273" spans="1:3" x14ac:dyDescent="0.25">
      <c r="A1273" s="1">
        <v>40463</v>
      </c>
      <c r="B1273" t="s">
        <v>141</v>
      </c>
      <c r="C1273">
        <v>17</v>
      </c>
    </row>
    <row r="1274" spans="1:3" x14ac:dyDescent="0.25">
      <c r="A1274" s="1">
        <v>40465</v>
      </c>
      <c r="B1274" t="s">
        <v>35</v>
      </c>
      <c r="C1274">
        <v>124</v>
      </c>
    </row>
    <row r="1275" spans="1:3" x14ac:dyDescent="0.25">
      <c r="A1275" s="1">
        <v>40467</v>
      </c>
      <c r="B1275" t="s">
        <v>7</v>
      </c>
      <c r="C1275">
        <v>406</v>
      </c>
    </row>
    <row r="1276" spans="1:3" x14ac:dyDescent="0.25">
      <c r="A1276" s="1">
        <v>40467</v>
      </c>
      <c r="B1276" t="s">
        <v>52</v>
      </c>
      <c r="C1276">
        <v>136</v>
      </c>
    </row>
    <row r="1277" spans="1:3" x14ac:dyDescent="0.25">
      <c r="A1277" s="1">
        <v>40468</v>
      </c>
      <c r="B1277" t="s">
        <v>25</v>
      </c>
      <c r="C1277">
        <v>44</v>
      </c>
    </row>
    <row r="1278" spans="1:3" x14ac:dyDescent="0.25">
      <c r="A1278" s="1">
        <v>40470</v>
      </c>
      <c r="B1278" t="s">
        <v>39</v>
      </c>
      <c r="C1278">
        <v>76</v>
      </c>
    </row>
    <row r="1279" spans="1:3" x14ac:dyDescent="0.25">
      <c r="A1279" s="1">
        <v>40473</v>
      </c>
      <c r="B1279" t="s">
        <v>19</v>
      </c>
      <c r="C1279">
        <v>104</v>
      </c>
    </row>
    <row r="1280" spans="1:3" x14ac:dyDescent="0.25">
      <c r="A1280" s="1">
        <v>40474</v>
      </c>
      <c r="B1280" t="s">
        <v>12</v>
      </c>
      <c r="C1280">
        <v>107</v>
      </c>
    </row>
    <row r="1281" spans="1:3" x14ac:dyDescent="0.25">
      <c r="A1281" s="1">
        <v>40477</v>
      </c>
      <c r="B1281" t="s">
        <v>22</v>
      </c>
      <c r="C1281">
        <v>339</v>
      </c>
    </row>
    <row r="1282" spans="1:3" x14ac:dyDescent="0.25">
      <c r="A1282" s="1">
        <v>40480</v>
      </c>
      <c r="B1282" t="s">
        <v>45</v>
      </c>
      <c r="C1282">
        <v>313</v>
      </c>
    </row>
    <row r="1283" spans="1:3" x14ac:dyDescent="0.25">
      <c r="A1283" s="1">
        <v>40481</v>
      </c>
      <c r="B1283" t="s">
        <v>45</v>
      </c>
      <c r="C1283">
        <v>251</v>
      </c>
    </row>
    <row r="1284" spans="1:3" x14ac:dyDescent="0.25">
      <c r="A1284" s="1">
        <v>40481</v>
      </c>
      <c r="B1284" t="s">
        <v>14</v>
      </c>
      <c r="C1284">
        <v>126</v>
      </c>
    </row>
    <row r="1285" spans="1:3" x14ac:dyDescent="0.25">
      <c r="A1285" s="1">
        <v>40483</v>
      </c>
      <c r="B1285" t="s">
        <v>25</v>
      </c>
      <c r="C1285">
        <v>20</v>
      </c>
    </row>
    <row r="1286" spans="1:3" x14ac:dyDescent="0.25">
      <c r="A1286" s="1">
        <v>40484</v>
      </c>
      <c r="B1286" t="s">
        <v>69</v>
      </c>
      <c r="C1286">
        <v>80</v>
      </c>
    </row>
    <row r="1287" spans="1:3" x14ac:dyDescent="0.25">
      <c r="A1287" s="1">
        <v>40485</v>
      </c>
      <c r="B1287" t="s">
        <v>136</v>
      </c>
      <c r="C1287">
        <v>9</v>
      </c>
    </row>
    <row r="1288" spans="1:3" x14ac:dyDescent="0.25">
      <c r="A1288" s="1">
        <v>40487</v>
      </c>
      <c r="B1288" t="s">
        <v>19</v>
      </c>
      <c r="C1288">
        <v>50</v>
      </c>
    </row>
    <row r="1289" spans="1:3" x14ac:dyDescent="0.25">
      <c r="A1289" s="1">
        <v>40488</v>
      </c>
      <c r="B1289" t="s">
        <v>23</v>
      </c>
      <c r="C1289">
        <v>100</v>
      </c>
    </row>
    <row r="1290" spans="1:3" x14ac:dyDescent="0.25">
      <c r="A1290" s="1">
        <v>40489</v>
      </c>
      <c r="B1290" t="s">
        <v>142</v>
      </c>
      <c r="C1290">
        <v>2</v>
      </c>
    </row>
    <row r="1291" spans="1:3" x14ac:dyDescent="0.25">
      <c r="A1291" s="1">
        <v>40490</v>
      </c>
      <c r="B1291" t="s">
        <v>17</v>
      </c>
      <c r="C1291">
        <v>214</v>
      </c>
    </row>
    <row r="1292" spans="1:3" x14ac:dyDescent="0.25">
      <c r="A1292" s="1">
        <v>40491</v>
      </c>
      <c r="B1292" t="s">
        <v>70</v>
      </c>
      <c r="C1292">
        <v>17</v>
      </c>
    </row>
    <row r="1293" spans="1:3" x14ac:dyDescent="0.25">
      <c r="A1293" s="1">
        <v>40492</v>
      </c>
      <c r="B1293" t="s">
        <v>45</v>
      </c>
      <c r="C1293">
        <v>269</v>
      </c>
    </row>
    <row r="1294" spans="1:3" x14ac:dyDescent="0.25">
      <c r="A1294" s="1">
        <v>40496</v>
      </c>
      <c r="B1294" t="s">
        <v>172</v>
      </c>
      <c r="C1294">
        <v>2</v>
      </c>
    </row>
    <row r="1295" spans="1:3" x14ac:dyDescent="0.25">
      <c r="A1295" s="1">
        <v>40503</v>
      </c>
      <c r="B1295" t="s">
        <v>12</v>
      </c>
      <c r="C1295">
        <v>159</v>
      </c>
    </row>
    <row r="1296" spans="1:3" x14ac:dyDescent="0.25">
      <c r="A1296" s="1">
        <v>40504</v>
      </c>
      <c r="B1296" t="s">
        <v>28</v>
      </c>
      <c r="C1296">
        <v>167</v>
      </c>
    </row>
    <row r="1297" spans="1:3" x14ac:dyDescent="0.25">
      <c r="A1297" s="1">
        <v>40505</v>
      </c>
      <c r="B1297" t="s">
        <v>37</v>
      </c>
      <c r="C1297">
        <v>123</v>
      </c>
    </row>
    <row r="1298" spans="1:3" x14ac:dyDescent="0.25">
      <c r="A1298" s="1">
        <v>40505</v>
      </c>
      <c r="B1298" t="s">
        <v>28</v>
      </c>
      <c r="C1298">
        <v>32</v>
      </c>
    </row>
    <row r="1299" spans="1:3" x14ac:dyDescent="0.25">
      <c r="A1299" s="1">
        <v>40505</v>
      </c>
      <c r="B1299" t="s">
        <v>7</v>
      </c>
      <c r="C1299">
        <v>276</v>
      </c>
    </row>
    <row r="1300" spans="1:3" x14ac:dyDescent="0.25">
      <c r="A1300" s="1">
        <v>40508</v>
      </c>
      <c r="B1300" t="s">
        <v>14</v>
      </c>
      <c r="C1300">
        <v>191</v>
      </c>
    </row>
    <row r="1301" spans="1:3" x14ac:dyDescent="0.25">
      <c r="A1301" s="1">
        <v>40510</v>
      </c>
      <c r="B1301" t="s">
        <v>215</v>
      </c>
      <c r="C1301">
        <v>9</v>
      </c>
    </row>
    <row r="1302" spans="1:3" x14ac:dyDescent="0.25">
      <c r="A1302" s="1">
        <v>40511</v>
      </c>
      <c r="B1302" t="s">
        <v>30</v>
      </c>
      <c r="C1302">
        <v>174</v>
      </c>
    </row>
    <row r="1303" spans="1:3" x14ac:dyDescent="0.25">
      <c r="A1303" s="1">
        <v>40512</v>
      </c>
      <c r="B1303" t="s">
        <v>69</v>
      </c>
      <c r="C1303">
        <v>39</v>
      </c>
    </row>
    <row r="1304" spans="1:3" x14ac:dyDescent="0.25">
      <c r="A1304" s="1">
        <v>40513</v>
      </c>
      <c r="B1304" t="s">
        <v>7</v>
      </c>
      <c r="C1304">
        <v>330</v>
      </c>
    </row>
    <row r="1305" spans="1:3" x14ac:dyDescent="0.25">
      <c r="A1305" s="1">
        <v>40513</v>
      </c>
      <c r="B1305" t="s">
        <v>146</v>
      </c>
      <c r="C1305">
        <v>5</v>
      </c>
    </row>
    <row r="1306" spans="1:3" x14ac:dyDescent="0.25">
      <c r="A1306" s="1">
        <v>40516</v>
      </c>
      <c r="B1306" t="s">
        <v>14</v>
      </c>
      <c r="C1306">
        <v>175</v>
      </c>
    </row>
    <row r="1307" spans="1:3" x14ac:dyDescent="0.25">
      <c r="A1307" s="1">
        <v>40520</v>
      </c>
      <c r="B1307" t="s">
        <v>131</v>
      </c>
      <c r="C1307">
        <v>183</v>
      </c>
    </row>
    <row r="1308" spans="1:3" x14ac:dyDescent="0.25">
      <c r="A1308" s="1">
        <v>40520</v>
      </c>
      <c r="B1308" t="s">
        <v>45</v>
      </c>
      <c r="C1308">
        <v>423</v>
      </c>
    </row>
    <row r="1309" spans="1:3" x14ac:dyDescent="0.25">
      <c r="A1309" s="1">
        <v>40520</v>
      </c>
      <c r="B1309" t="s">
        <v>52</v>
      </c>
      <c r="C1309">
        <v>88</v>
      </c>
    </row>
    <row r="1310" spans="1:3" x14ac:dyDescent="0.25">
      <c r="A1310" s="1">
        <v>40521</v>
      </c>
      <c r="B1310" t="s">
        <v>17</v>
      </c>
      <c r="C1310">
        <v>241</v>
      </c>
    </row>
    <row r="1311" spans="1:3" x14ac:dyDescent="0.25">
      <c r="A1311" s="1">
        <v>40522</v>
      </c>
      <c r="B1311" t="s">
        <v>12</v>
      </c>
      <c r="C1311">
        <v>37</v>
      </c>
    </row>
    <row r="1312" spans="1:3" x14ac:dyDescent="0.25">
      <c r="A1312" s="1">
        <v>40528</v>
      </c>
      <c r="B1312" t="s">
        <v>78</v>
      </c>
      <c r="C1312">
        <v>164</v>
      </c>
    </row>
    <row r="1313" spans="1:3" x14ac:dyDescent="0.25">
      <c r="A1313" s="1">
        <v>40529</v>
      </c>
      <c r="B1313" t="s">
        <v>94</v>
      </c>
      <c r="C1313">
        <v>20</v>
      </c>
    </row>
    <row r="1314" spans="1:3" x14ac:dyDescent="0.25">
      <c r="A1314" s="1">
        <v>40533</v>
      </c>
      <c r="B1314" t="s">
        <v>182</v>
      </c>
      <c r="C1314">
        <v>8</v>
      </c>
    </row>
    <row r="1315" spans="1:3" x14ac:dyDescent="0.25">
      <c r="A1315" s="1">
        <v>40533</v>
      </c>
      <c r="B1315" t="s">
        <v>156</v>
      </c>
      <c r="C1315">
        <v>4</v>
      </c>
    </row>
    <row r="1316" spans="1:3" x14ac:dyDescent="0.25">
      <c r="A1316" s="1">
        <v>40538</v>
      </c>
      <c r="B1316" t="s">
        <v>22</v>
      </c>
      <c r="C1316">
        <v>408</v>
      </c>
    </row>
    <row r="1317" spans="1:3" x14ac:dyDescent="0.25">
      <c r="A1317" s="1">
        <v>40544</v>
      </c>
      <c r="B1317" t="s">
        <v>142</v>
      </c>
      <c r="C1317">
        <v>20</v>
      </c>
    </row>
    <row r="1318" spans="1:3" x14ac:dyDescent="0.25">
      <c r="A1318" s="1">
        <v>40545</v>
      </c>
      <c r="B1318" t="s">
        <v>31</v>
      </c>
      <c r="C1318">
        <v>102</v>
      </c>
    </row>
    <row r="1319" spans="1:3" x14ac:dyDescent="0.25">
      <c r="A1319" s="1">
        <v>40546</v>
      </c>
      <c r="B1319" t="s">
        <v>9</v>
      </c>
      <c r="C1319">
        <v>240</v>
      </c>
    </row>
    <row r="1320" spans="1:3" x14ac:dyDescent="0.25">
      <c r="A1320" s="1">
        <v>40548</v>
      </c>
      <c r="B1320" t="s">
        <v>10</v>
      </c>
      <c r="C1320">
        <v>124</v>
      </c>
    </row>
    <row r="1321" spans="1:3" x14ac:dyDescent="0.25">
      <c r="A1321" s="1">
        <v>40550</v>
      </c>
      <c r="B1321" t="s">
        <v>45</v>
      </c>
      <c r="C1321">
        <v>330</v>
      </c>
    </row>
    <row r="1322" spans="1:3" x14ac:dyDescent="0.25">
      <c r="A1322" s="1">
        <v>40554</v>
      </c>
      <c r="B1322" t="s">
        <v>26</v>
      </c>
      <c r="C1322">
        <v>187</v>
      </c>
    </row>
    <row r="1323" spans="1:3" x14ac:dyDescent="0.25">
      <c r="A1323" s="1">
        <v>40561</v>
      </c>
      <c r="B1323" t="s">
        <v>52</v>
      </c>
      <c r="C1323">
        <v>165</v>
      </c>
    </row>
    <row r="1324" spans="1:3" x14ac:dyDescent="0.25">
      <c r="A1324" s="1">
        <v>40562</v>
      </c>
      <c r="B1324" t="s">
        <v>5</v>
      </c>
      <c r="C1324">
        <v>371</v>
      </c>
    </row>
    <row r="1325" spans="1:3" x14ac:dyDescent="0.25">
      <c r="A1325" s="1">
        <v>40564</v>
      </c>
      <c r="B1325" t="s">
        <v>39</v>
      </c>
      <c r="C1325">
        <v>185</v>
      </c>
    </row>
    <row r="1326" spans="1:3" x14ac:dyDescent="0.25">
      <c r="A1326" s="1">
        <v>40566</v>
      </c>
      <c r="B1326" t="s">
        <v>9</v>
      </c>
      <c r="C1326">
        <v>401</v>
      </c>
    </row>
    <row r="1327" spans="1:3" x14ac:dyDescent="0.25">
      <c r="A1327" s="1">
        <v>40568</v>
      </c>
      <c r="B1327" t="s">
        <v>55</v>
      </c>
      <c r="C1327">
        <v>25</v>
      </c>
    </row>
    <row r="1328" spans="1:3" x14ac:dyDescent="0.25">
      <c r="A1328" s="1">
        <v>40568</v>
      </c>
      <c r="B1328" t="s">
        <v>93</v>
      </c>
      <c r="C1328">
        <v>3</v>
      </c>
    </row>
    <row r="1329" spans="1:3" x14ac:dyDescent="0.25">
      <c r="A1329" s="1">
        <v>40568</v>
      </c>
      <c r="B1329" t="s">
        <v>170</v>
      </c>
      <c r="C1329">
        <v>11</v>
      </c>
    </row>
    <row r="1330" spans="1:3" x14ac:dyDescent="0.25">
      <c r="A1330" s="1">
        <v>40573</v>
      </c>
      <c r="B1330" t="s">
        <v>216</v>
      </c>
      <c r="C1330">
        <v>18</v>
      </c>
    </row>
    <row r="1331" spans="1:3" x14ac:dyDescent="0.25">
      <c r="A1331" s="1">
        <v>40573</v>
      </c>
      <c r="B1331" t="s">
        <v>45</v>
      </c>
      <c r="C1331">
        <v>154</v>
      </c>
    </row>
    <row r="1332" spans="1:3" x14ac:dyDescent="0.25">
      <c r="A1332" s="1">
        <v>40574</v>
      </c>
      <c r="B1332" t="s">
        <v>50</v>
      </c>
      <c r="C1332">
        <v>423</v>
      </c>
    </row>
    <row r="1333" spans="1:3" x14ac:dyDescent="0.25">
      <c r="A1333" s="1">
        <v>40576</v>
      </c>
      <c r="B1333" t="s">
        <v>127</v>
      </c>
      <c r="C1333">
        <v>6</v>
      </c>
    </row>
    <row r="1334" spans="1:3" x14ac:dyDescent="0.25">
      <c r="A1334" s="1">
        <v>40580</v>
      </c>
      <c r="B1334" t="s">
        <v>28</v>
      </c>
      <c r="C1334">
        <v>62</v>
      </c>
    </row>
    <row r="1335" spans="1:3" x14ac:dyDescent="0.25">
      <c r="A1335" s="1">
        <v>40581</v>
      </c>
      <c r="B1335" t="s">
        <v>136</v>
      </c>
      <c r="C1335">
        <v>15</v>
      </c>
    </row>
    <row r="1336" spans="1:3" x14ac:dyDescent="0.25">
      <c r="A1336" s="1">
        <v>40583</v>
      </c>
      <c r="B1336" t="s">
        <v>9</v>
      </c>
      <c r="C1336">
        <v>311</v>
      </c>
    </row>
    <row r="1337" spans="1:3" x14ac:dyDescent="0.25">
      <c r="A1337" s="1">
        <v>40584</v>
      </c>
      <c r="B1337" t="s">
        <v>19</v>
      </c>
      <c r="C1337">
        <v>127</v>
      </c>
    </row>
    <row r="1338" spans="1:3" x14ac:dyDescent="0.25">
      <c r="A1338" s="1">
        <v>40585</v>
      </c>
      <c r="B1338" t="s">
        <v>22</v>
      </c>
      <c r="C1338">
        <v>483</v>
      </c>
    </row>
    <row r="1339" spans="1:3" x14ac:dyDescent="0.25">
      <c r="A1339" s="1">
        <v>40588</v>
      </c>
      <c r="B1339" t="s">
        <v>217</v>
      </c>
      <c r="C1339">
        <v>9</v>
      </c>
    </row>
    <row r="1340" spans="1:3" x14ac:dyDescent="0.25">
      <c r="A1340" s="1">
        <v>40593</v>
      </c>
      <c r="B1340" t="s">
        <v>20</v>
      </c>
      <c r="C1340">
        <v>75</v>
      </c>
    </row>
    <row r="1341" spans="1:3" x14ac:dyDescent="0.25">
      <c r="A1341" s="1">
        <v>40598</v>
      </c>
      <c r="B1341" t="s">
        <v>218</v>
      </c>
      <c r="C1341">
        <v>7</v>
      </c>
    </row>
    <row r="1342" spans="1:3" x14ac:dyDescent="0.25">
      <c r="A1342" s="1">
        <v>40602</v>
      </c>
      <c r="B1342" t="s">
        <v>35</v>
      </c>
      <c r="C1342">
        <v>114</v>
      </c>
    </row>
    <row r="1343" spans="1:3" x14ac:dyDescent="0.25">
      <c r="A1343" s="1">
        <v>40605</v>
      </c>
      <c r="B1343" t="s">
        <v>123</v>
      </c>
      <c r="C1343">
        <v>151</v>
      </c>
    </row>
    <row r="1344" spans="1:3" x14ac:dyDescent="0.25">
      <c r="A1344" s="1">
        <v>40608</v>
      </c>
      <c r="B1344" t="s">
        <v>10</v>
      </c>
      <c r="C1344">
        <v>116</v>
      </c>
    </row>
    <row r="1345" spans="1:3" x14ac:dyDescent="0.25">
      <c r="A1345" s="1">
        <v>40609</v>
      </c>
      <c r="B1345" t="s">
        <v>12</v>
      </c>
      <c r="C1345">
        <v>76</v>
      </c>
    </row>
    <row r="1346" spans="1:3" x14ac:dyDescent="0.25">
      <c r="A1346" s="1">
        <v>40610</v>
      </c>
      <c r="B1346" t="s">
        <v>6</v>
      </c>
      <c r="C1346">
        <v>25</v>
      </c>
    </row>
    <row r="1347" spans="1:3" x14ac:dyDescent="0.25">
      <c r="A1347" s="1">
        <v>40614</v>
      </c>
      <c r="B1347" t="s">
        <v>31</v>
      </c>
      <c r="C1347">
        <v>37</v>
      </c>
    </row>
    <row r="1348" spans="1:3" x14ac:dyDescent="0.25">
      <c r="A1348" s="1">
        <v>40616</v>
      </c>
      <c r="B1348" t="s">
        <v>80</v>
      </c>
      <c r="C1348">
        <v>108</v>
      </c>
    </row>
    <row r="1349" spans="1:3" x14ac:dyDescent="0.25">
      <c r="A1349" s="1">
        <v>40617</v>
      </c>
      <c r="B1349" t="s">
        <v>7</v>
      </c>
      <c r="C1349">
        <v>199</v>
      </c>
    </row>
    <row r="1350" spans="1:3" x14ac:dyDescent="0.25">
      <c r="A1350" s="1">
        <v>40617</v>
      </c>
      <c r="B1350" t="s">
        <v>45</v>
      </c>
      <c r="C1350">
        <v>128</v>
      </c>
    </row>
    <row r="1351" spans="1:3" x14ac:dyDescent="0.25">
      <c r="A1351" s="1">
        <v>40618</v>
      </c>
      <c r="B1351" t="s">
        <v>58</v>
      </c>
      <c r="C1351">
        <v>32</v>
      </c>
    </row>
    <row r="1352" spans="1:3" x14ac:dyDescent="0.25">
      <c r="A1352" s="1">
        <v>40625</v>
      </c>
      <c r="B1352" t="s">
        <v>30</v>
      </c>
      <c r="C1352">
        <v>151</v>
      </c>
    </row>
    <row r="1353" spans="1:3" x14ac:dyDescent="0.25">
      <c r="A1353" s="1">
        <v>40626</v>
      </c>
      <c r="B1353" t="s">
        <v>153</v>
      </c>
      <c r="C1353">
        <v>8</v>
      </c>
    </row>
    <row r="1354" spans="1:3" x14ac:dyDescent="0.25">
      <c r="A1354" s="1">
        <v>40627</v>
      </c>
      <c r="B1354" t="s">
        <v>14</v>
      </c>
      <c r="C1354">
        <v>411</v>
      </c>
    </row>
    <row r="1355" spans="1:3" x14ac:dyDescent="0.25">
      <c r="A1355" s="1">
        <v>40628</v>
      </c>
      <c r="B1355" t="s">
        <v>52</v>
      </c>
      <c r="C1355">
        <v>119</v>
      </c>
    </row>
    <row r="1356" spans="1:3" x14ac:dyDescent="0.25">
      <c r="A1356" s="1">
        <v>40630</v>
      </c>
      <c r="B1356" t="s">
        <v>17</v>
      </c>
      <c r="C1356">
        <v>366</v>
      </c>
    </row>
    <row r="1357" spans="1:3" x14ac:dyDescent="0.25">
      <c r="A1357" s="1">
        <v>40633</v>
      </c>
      <c r="B1357" t="s">
        <v>69</v>
      </c>
      <c r="C1357">
        <v>20</v>
      </c>
    </row>
    <row r="1358" spans="1:3" x14ac:dyDescent="0.25">
      <c r="A1358" s="1">
        <v>40635</v>
      </c>
      <c r="B1358" t="s">
        <v>123</v>
      </c>
      <c r="C1358">
        <v>124</v>
      </c>
    </row>
    <row r="1359" spans="1:3" x14ac:dyDescent="0.25">
      <c r="A1359" s="1">
        <v>40635</v>
      </c>
      <c r="B1359" t="s">
        <v>10</v>
      </c>
      <c r="C1359">
        <v>30</v>
      </c>
    </row>
    <row r="1360" spans="1:3" x14ac:dyDescent="0.25">
      <c r="A1360" s="1">
        <v>40636</v>
      </c>
      <c r="B1360" t="s">
        <v>14</v>
      </c>
      <c r="C1360">
        <v>237</v>
      </c>
    </row>
    <row r="1361" spans="1:3" x14ac:dyDescent="0.25">
      <c r="A1361" s="1">
        <v>40638</v>
      </c>
      <c r="B1361" t="s">
        <v>22</v>
      </c>
      <c r="C1361">
        <v>355</v>
      </c>
    </row>
    <row r="1362" spans="1:3" x14ac:dyDescent="0.25">
      <c r="A1362" s="1">
        <v>40642</v>
      </c>
      <c r="B1362" t="s">
        <v>45</v>
      </c>
      <c r="C1362">
        <v>162</v>
      </c>
    </row>
    <row r="1363" spans="1:3" x14ac:dyDescent="0.25">
      <c r="A1363" s="1">
        <v>40647</v>
      </c>
      <c r="B1363" t="s">
        <v>35</v>
      </c>
      <c r="C1363">
        <v>46</v>
      </c>
    </row>
    <row r="1364" spans="1:3" x14ac:dyDescent="0.25">
      <c r="A1364" s="1">
        <v>40647</v>
      </c>
      <c r="B1364" t="s">
        <v>219</v>
      </c>
      <c r="C1364">
        <v>13</v>
      </c>
    </row>
    <row r="1365" spans="1:3" x14ac:dyDescent="0.25">
      <c r="A1365" s="1">
        <v>40647</v>
      </c>
      <c r="B1365" t="s">
        <v>118</v>
      </c>
      <c r="C1365">
        <v>14</v>
      </c>
    </row>
    <row r="1366" spans="1:3" x14ac:dyDescent="0.25">
      <c r="A1366" s="1">
        <v>40647</v>
      </c>
      <c r="B1366" t="s">
        <v>220</v>
      </c>
      <c r="C1366">
        <v>4</v>
      </c>
    </row>
    <row r="1367" spans="1:3" x14ac:dyDescent="0.25">
      <c r="A1367" s="1">
        <v>40651</v>
      </c>
      <c r="B1367" t="s">
        <v>9</v>
      </c>
      <c r="C1367">
        <v>470</v>
      </c>
    </row>
    <row r="1368" spans="1:3" x14ac:dyDescent="0.25">
      <c r="A1368" s="1">
        <v>40651</v>
      </c>
      <c r="B1368" t="s">
        <v>221</v>
      </c>
      <c r="C1368">
        <v>9</v>
      </c>
    </row>
    <row r="1369" spans="1:3" x14ac:dyDescent="0.25">
      <c r="A1369" s="1">
        <v>40651</v>
      </c>
      <c r="B1369" t="s">
        <v>58</v>
      </c>
      <c r="C1369">
        <v>37</v>
      </c>
    </row>
    <row r="1370" spans="1:3" x14ac:dyDescent="0.25">
      <c r="A1370" s="1">
        <v>40652</v>
      </c>
      <c r="B1370" t="s">
        <v>28</v>
      </c>
      <c r="C1370">
        <v>55</v>
      </c>
    </row>
    <row r="1371" spans="1:3" x14ac:dyDescent="0.25">
      <c r="A1371" s="1">
        <v>40654</v>
      </c>
      <c r="B1371" t="s">
        <v>55</v>
      </c>
      <c r="C1371">
        <v>140</v>
      </c>
    </row>
    <row r="1372" spans="1:3" x14ac:dyDescent="0.25">
      <c r="A1372" s="1">
        <v>40656</v>
      </c>
      <c r="B1372" t="s">
        <v>222</v>
      </c>
      <c r="C1372">
        <v>12</v>
      </c>
    </row>
    <row r="1373" spans="1:3" x14ac:dyDescent="0.25">
      <c r="A1373" s="1">
        <v>40658</v>
      </c>
      <c r="B1373" t="s">
        <v>12</v>
      </c>
      <c r="C1373">
        <v>20</v>
      </c>
    </row>
    <row r="1374" spans="1:3" x14ac:dyDescent="0.25">
      <c r="A1374" s="1">
        <v>40662</v>
      </c>
      <c r="B1374" t="s">
        <v>50</v>
      </c>
      <c r="C1374">
        <v>478</v>
      </c>
    </row>
    <row r="1375" spans="1:3" x14ac:dyDescent="0.25">
      <c r="A1375" s="1">
        <v>40664</v>
      </c>
      <c r="B1375" t="s">
        <v>22</v>
      </c>
      <c r="C1375">
        <v>289</v>
      </c>
    </row>
    <row r="1376" spans="1:3" x14ac:dyDescent="0.25">
      <c r="A1376" s="1">
        <v>40665</v>
      </c>
      <c r="B1376" t="s">
        <v>57</v>
      </c>
      <c r="C1376">
        <v>1</v>
      </c>
    </row>
    <row r="1377" spans="1:3" x14ac:dyDescent="0.25">
      <c r="A1377" s="1">
        <v>40665</v>
      </c>
      <c r="B1377" t="s">
        <v>149</v>
      </c>
      <c r="C1377">
        <v>15</v>
      </c>
    </row>
    <row r="1378" spans="1:3" x14ac:dyDescent="0.25">
      <c r="A1378" s="1">
        <v>40668</v>
      </c>
      <c r="B1378" t="s">
        <v>7</v>
      </c>
      <c r="C1378">
        <v>400</v>
      </c>
    </row>
    <row r="1379" spans="1:3" x14ac:dyDescent="0.25">
      <c r="A1379" s="1">
        <v>40669</v>
      </c>
      <c r="B1379" t="s">
        <v>108</v>
      </c>
      <c r="C1379">
        <v>1</v>
      </c>
    </row>
    <row r="1380" spans="1:3" x14ac:dyDescent="0.25">
      <c r="A1380" s="1">
        <v>40670</v>
      </c>
      <c r="B1380" t="s">
        <v>8</v>
      </c>
      <c r="C1380">
        <v>184</v>
      </c>
    </row>
    <row r="1381" spans="1:3" x14ac:dyDescent="0.25">
      <c r="A1381" s="1">
        <v>40670</v>
      </c>
      <c r="B1381" t="s">
        <v>6</v>
      </c>
      <c r="C1381">
        <v>99</v>
      </c>
    </row>
    <row r="1382" spans="1:3" x14ac:dyDescent="0.25">
      <c r="A1382" s="1">
        <v>40671</v>
      </c>
      <c r="B1382" t="s">
        <v>10</v>
      </c>
      <c r="C1382">
        <v>143</v>
      </c>
    </row>
    <row r="1383" spans="1:3" x14ac:dyDescent="0.25">
      <c r="A1383" s="1">
        <v>40672</v>
      </c>
      <c r="B1383" t="s">
        <v>30</v>
      </c>
      <c r="C1383">
        <v>184</v>
      </c>
    </row>
    <row r="1384" spans="1:3" x14ac:dyDescent="0.25">
      <c r="A1384" s="1">
        <v>40676</v>
      </c>
      <c r="B1384" t="s">
        <v>163</v>
      </c>
      <c r="C1384">
        <v>3</v>
      </c>
    </row>
    <row r="1385" spans="1:3" x14ac:dyDescent="0.25">
      <c r="A1385" s="1">
        <v>40676</v>
      </c>
      <c r="B1385" t="s">
        <v>18</v>
      </c>
      <c r="C1385">
        <v>197</v>
      </c>
    </row>
    <row r="1386" spans="1:3" x14ac:dyDescent="0.25">
      <c r="A1386" s="1">
        <v>40680</v>
      </c>
      <c r="B1386" t="s">
        <v>4</v>
      </c>
      <c r="C1386">
        <v>18</v>
      </c>
    </row>
    <row r="1387" spans="1:3" x14ac:dyDescent="0.25">
      <c r="A1387" s="1">
        <v>40685</v>
      </c>
      <c r="B1387" t="s">
        <v>0</v>
      </c>
      <c r="C1387">
        <v>7</v>
      </c>
    </row>
    <row r="1388" spans="1:3" x14ac:dyDescent="0.25">
      <c r="A1388" s="1">
        <v>40686</v>
      </c>
      <c r="B1388" t="s">
        <v>9</v>
      </c>
      <c r="C1388">
        <v>381</v>
      </c>
    </row>
    <row r="1389" spans="1:3" x14ac:dyDescent="0.25">
      <c r="A1389" s="1">
        <v>40689</v>
      </c>
      <c r="B1389" t="s">
        <v>61</v>
      </c>
      <c r="C1389">
        <v>45</v>
      </c>
    </row>
    <row r="1390" spans="1:3" x14ac:dyDescent="0.25">
      <c r="A1390" s="1">
        <v>40691</v>
      </c>
      <c r="B1390" t="s">
        <v>17</v>
      </c>
      <c r="C1390">
        <v>499</v>
      </c>
    </row>
    <row r="1391" spans="1:3" x14ac:dyDescent="0.25">
      <c r="A1391" s="1">
        <v>40695</v>
      </c>
      <c r="B1391" t="s">
        <v>17</v>
      </c>
      <c r="C1391">
        <v>134</v>
      </c>
    </row>
    <row r="1392" spans="1:3" x14ac:dyDescent="0.25">
      <c r="A1392" s="1">
        <v>40695</v>
      </c>
      <c r="B1392" t="s">
        <v>52</v>
      </c>
      <c r="C1392">
        <v>132</v>
      </c>
    </row>
    <row r="1393" spans="1:3" x14ac:dyDescent="0.25">
      <c r="A1393" s="1">
        <v>40696</v>
      </c>
      <c r="B1393" t="s">
        <v>19</v>
      </c>
      <c r="C1393">
        <v>180</v>
      </c>
    </row>
    <row r="1394" spans="1:3" x14ac:dyDescent="0.25">
      <c r="A1394" s="1">
        <v>40699</v>
      </c>
      <c r="B1394" t="s">
        <v>221</v>
      </c>
      <c r="C1394">
        <v>5</v>
      </c>
    </row>
    <row r="1395" spans="1:3" x14ac:dyDescent="0.25">
      <c r="A1395" s="1">
        <v>40701</v>
      </c>
      <c r="B1395" t="s">
        <v>24</v>
      </c>
      <c r="C1395">
        <v>110</v>
      </c>
    </row>
    <row r="1396" spans="1:3" x14ac:dyDescent="0.25">
      <c r="A1396" s="1">
        <v>40702</v>
      </c>
      <c r="B1396" t="s">
        <v>52</v>
      </c>
      <c r="C1396">
        <v>54</v>
      </c>
    </row>
    <row r="1397" spans="1:3" x14ac:dyDescent="0.25">
      <c r="A1397" s="1">
        <v>40703</v>
      </c>
      <c r="B1397" t="s">
        <v>209</v>
      </c>
      <c r="C1397">
        <v>6</v>
      </c>
    </row>
    <row r="1398" spans="1:3" x14ac:dyDescent="0.25">
      <c r="A1398" s="1">
        <v>40704</v>
      </c>
      <c r="B1398" t="s">
        <v>50</v>
      </c>
      <c r="C1398">
        <v>476</v>
      </c>
    </row>
    <row r="1399" spans="1:3" x14ac:dyDescent="0.25">
      <c r="A1399" s="1">
        <v>40704</v>
      </c>
      <c r="B1399" t="s">
        <v>19</v>
      </c>
      <c r="C1399">
        <v>104</v>
      </c>
    </row>
    <row r="1400" spans="1:3" x14ac:dyDescent="0.25">
      <c r="A1400" s="1">
        <v>40704</v>
      </c>
      <c r="B1400" t="s">
        <v>31</v>
      </c>
      <c r="C1400">
        <v>104</v>
      </c>
    </row>
    <row r="1401" spans="1:3" x14ac:dyDescent="0.25">
      <c r="A1401" s="1">
        <v>40706</v>
      </c>
      <c r="B1401" t="s">
        <v>18</v>
      </c>
      <c r="C1401">
        <v>47</v>
      </c>
    </row>
    <row r="1402" spans="1:3" x14ac:dyDescent="0.25">
      <c r="A1402" s="1">
        <v>40706</v>
      </c>
      <c r="B1402" t="s">
        <v>35</v>
      </c>
      <c r="C1402">
        <v>127</v>
      </c>
    </row>
    <row r="1403" spans="1:3" x14ac:dyDescent="0.25">
      <c r="A1403" s="1">
        <v>40708</v>
      </c>
      <c r="B1403" t="s">
        <v>25</v>
      </c>
      <c r="C1403">
        <v>143</v>
      </c>
    </row>
    <row r="1404" spans="1:3" x14ac:dyDescent="0.25">
      <c r="A1404" s="1">
        <v>40711</v>
      </c>
      <c r="B1404" t="s">
        <v>58</v>
      </c>
      <c r="C1404">
        <v>181</v>
      </c>
    </row>
    <row r="1405" spans="1:3" x14ac:dyDescent="0.25">
      <c r="A1405" s="1">
        <v>40714</v>
      </c>
      <c r="B1405" t="s">
        <v>19</v>
      </c>
      <c r="C1405">
        <v>139</v>
      </c>
    </row>
    <row r="1406" spans="1:3" x14ac:dyDescent="0.25">
      <c r="A1406" s="1">
        <v>40717</v>
      </c>
      <c r="B1406" t="s">
        <v>52</v>
      </c>
      <c r="C1406">
        <v>187</v>
      </c>
    </row>
    <row r="1407" spans="1:3" x14ac:dyDescent="0.25">
      <c r="A1407" s="1">
        <v>40717</v>
      </c>
      <c r="B1407" t="s">
        <v>201</v>
      </c>
      <c r="C1407">
        <v>11</v>
      </c>
    </row>
    <row r="1408" spans="1:3" x14ac:dyDescent="0.25">
      <c r="A1408" s="1">
        <v>40718</v>
      </c>
      <c r="B1408" t="s">
        <v>55</v>
      </c>
      <c r="C1408">
        <v>170</v>
      </c>
    </row>
    <row r="1409" spans="1:3" x14ac:dyDescent="0.25">
      <c r="A1409" s="1">
        <v>40723</v>
      </c>
      <c r="B1409" t="s">
        <v>116</v>
      </c>
      <c r="C1409">
        <v>7</v>
      </c>
    </row>
    <row r="1410" spans="1:3" x14ac:dyDescent="0.25">
      <c r="A1410" s="1">
        <v>40727</v>
      </c>
      <c r="B1410" t="s">
        <v>12</v>
      </c>
      <c r="C1410">
        <v>168</v>
      </c>
    </row>
    <row r="1411" spans="1:3" x14ac:dyDescent="0.25">
      <c r="A1411" s="1">
        <v>40727</v>
      </c>
      <c r="B1411" t="s">
        <v>205</v>
      </c>
      <c r="C1411">
        <v>4</v>
      </c>
    </row>
    <row r="1412" spans="1:3" x14ac:dyDescent="0.25">
      <c r="A1412" s="1">
        <v>40727</v>
      </c>
      <c r="B1412" t="s">
        <v>9</v>
      </c>
      <c r="C1412">
        <v>145</v>
      </c>
    </row>
    <row r="1413" spans="1:3" x14ac:dyDescent="0.25">
      <c r="A1413" s="1">
        <v>40730</v>
      </c>
      <c r="B1413" t="s">
        <v>19</v>
      </c>
      <c r="C1413">
        <v>103</v>
      </c>
    </row>
    <row r="1414" spans="1:3" x14ac:dyDescent="0.25">
      <c r="A1414" s="1">
        <v>40732</v>
      </c>
      <c r="B1414" t="s">
        <v>17</v>
      </c>
      <c r="C1414">
        <v>101</v>
      </c>
    </row>
    <row r="1415" spans="1:3" x14ac:dyDescent="0.25">
      <c r="A1415" s="1">
        <v>40733</v>
      </c>
      <c r="B1415" t="s">
        <v>35</v>
      </c>
      <c r="C1415">
        <v>141</v>
      </c>
    </row>
    <row r="1416" spans="1:3" x14ac:dyDescent="0.25">
      <c r="A1416" s="1">
        <v>40733</v>
      </c>
      <c r="B1416" t="s">
        <v>194</v>
      </c>
      <c r="C1416">
        <v>6</v>
      </c>
    </row>
    <row r="1417" spans="1:3" x14ac:dyDescent="0.25">
      <c r="A1417" s="1">
        <v>40733</v>
      </c>
      <c r="B1417" t="s">
        <v>178</v>
      </c>
      <c r="C1417">
        <v>16</v>
      </c>
    </row>
    <row r="1418" spans="1:3" x14ac:dyDescent="0.25">
      <c r="A1418" s="1">
        <v>40735</v>
      </c>
      <c r="B1418" t="s">
        <v>17</v>
      </c>
      <c r="C1418">
        <v>276</v>
      </c>
    </row>
    <row r="1419" spans="1:3" x14ac:dyDescent="0.25">
      <c r="A1419" s="1">
        <v>40736</v>
      </c>
      <c r="B1419" t="s">
        <v>102</v>
      </c>
      <c r="C1419">
        <v>329</v>
      </c>
    </row>
    <row r="1420" spans="1:3" x14ac:dyDescent="0.25">
      <c r="A1420" s="1">
        <v>40737</v>
      </c>
      <c r="B1420" t="s">
        <v>52</v>
      </c>
      <c r="C1420">
        <v>200</v>
      </c>
    </row>
    <row r="1421" spans="1:3" x14ac:dyDescent="0.25">
      <c r="A1421" s="1">
        <v>40740</v>
      </c>
      <c r="B1421" t="s">
        <v>10</v>
      </c>
      <c r="C1421">
        <v>82</v>
      </c>
    </row>
    <row r="1422" spans="1:3" x14ac:dyDescent="0.25">
      <c r="A1422" s="1">
        <v>40740</v>
      </c>
      <c r="B1422" t="s">
        <v>37</v>
      </c>
      <c r="C1422">
        <v>66</v>
      </c>
    </row>
    <row r="1423" spans="1:3" x14ac:dyDescent="0.25">
      <c r="A1423" s="1">
        <v>40745</v>
      </c>
      <c r="B1423" t="s">
        <v>22</v>
      </c>
      <c r="C1423">
        <v>150</v>
      </c>
    </row>
    <row r="1424" spans="1:3" x14ac:dyDescent="0.25">
      <c r="A1424" s="1">
        <v>40745</v>
      </c>
      <c r="B1424" t="s">
        <v>69</v>
      </c>
      <c r="C1424">
        <v>63</v>
      </c>
    </row>
    <row r="1425" spans="1:3" x14ac:dyDescent="0.25">
      <c r="A1425" s="1">
        <v>40746</v>
      </c>
      <c r="B1425" t="s">
        <v>66</v>
      </c>
      <c r="C1425">
        <v>120</v>
      </c>
    </row>
    <row r="1426" spans="1:3" x14ac:dyDescent="0.25">
      <c r="A1426" s="1">
        <v>40747</v>
      </c>
      <c r="B1426" t="s">
        <v>7</v>
      </c>
      <c r="C1426">
        <v>155</v>
      </c>
    </row>
    <row r="1427" spans="1:3" x14ac:dyDescent="0.25">
      <c r="A1427" s="1">
        <v>40748</v>
      </c>
      <c r="B1427" t="s">
        <v>19</v>
      </c>
      <c r="C1427">
        <v>30</v>
      </c>
    </row>
    <row r="1428" spans="1:3" x14ac:dyDescent="0.25">
      <c r="A1428" s="1">
        <v>40748</v>
      </c>
      <c r="B1428" t="s">
        <v>71</v>
      </c>
      <c r="C1428">
        <v>34</v>
      </c>
    </row>
    <row r="1429" spans="1:3" x14ac:dyDescent="0.25">
      <c r="A1429" s="1">
        <v>40753</v>
      </c>
      <c r="B1429" t="s">
        <v>12</v>
      </c>
      <c r="C1429">
        <v>30</v>
      </c>
    </row>
    <row r="1430" spans="1:3" x14ac:dyDescent="0.25">
      <c r="A1430" s="1">
        <v>40753</v>
      </c>
      <c r="B1430" t="s">
        <v>6</v>
      </c>
      <c r="C1430">
        <v>162</v>
      </c>
    </row>
    <row r="1431" spans="1:3" x14ac:dyDescent="0.25">
      <c r="A1431" s="1">
        <v>40754</v>
      </c>
      <c r="B1431" t="s">
        <v>63</v>
      </c>
      <c r="C1431">
        <v>71</v>
      </c>
    </row>
    <row r="1432" spans="1:3" x14ac:dyDescent="0.25">
      <c r="A1432" s="1">
        <v>40755</v>
      </c>
      <c r="B1432" t="s">
        <v>155</v>
      </c>
      <c r="C1432">
        <v>16</v>
      </c>
    </row>
    <row r="1433" spans="1:3" x14ac:dyDescent="0.25">
      <c r="A1433" s="1">
        <v>40759</v>
      </c>
      <c r="B1433" t="s">
        <v>35</v>
      </c>
      <c r="C1433">
        <v>165</v>
      </c>
    </row>
    <row r="1434" spans="1:3" x14ac:dyDescent="0.25">
      <c r="A1434" s="1">
        <v>40760</v>
      </c>
      <c r="B1434" t="s">
        <v>35</v>
      </c>
      <c r="C1434">
        <v>180</v>
      </c>
    </row>
    <row r="1435" spans="1:3" x14ac:dyDescent="0.25">
      <c r="A1435" s="1">
        <v>40761</v>
      </c>
      <c r="B1435" t="s">
        <v>84</v>
      </c>
      <c r="C1435">
        <v>2</v>
      </c>
    </row>
    <row r="1436" spans="1:3" x14ac:dyDescent="0.25">
      <c r="A1436" s="1">
        <v>40766</v>
      </c>
      <c r="B1436" t="s">
        <v>37</v>
      </c>
      <c r="C1436">
        <v>111</v>
      </c>
    </row>
    <row r="1437" spans="1:3" x14ac:dyDescent="0.25">
      <c r="A1437" s="1">
        <v>40767</v>
      </c>
      <c r="B1437" t="s">
        <v>35</v>
      </c>
      <c r="C1437">
        <v>128</v>
      </c>
    </row>
    <row r="1438" spans="1:3" x14ac:dyDescent="0.25">
      <c r="A1438" s="1">
        <v>40768</v>
      </c>
      <c r="B1438" t="s">
        <v>110</v>
      </c>
      <c r="C1438">
        <v>7</v>
      </c>
    </row>
    <row r="1439" spans="1:3" x14ac:dyDescent="0.25">
      <c r="A1439" s="1">
        <v>40768</v>
      </c>
      <c r="B1439" t="s">
        <v>9</v>
      </c>
      <c r="C1439">
        <v>211</v>
      </c>
    </row>
    <row r="1440" spans="1:3" x14ac:dyDescent="0.25">
      <c r="A1440" s="1">
        <v>40768</v>
      </c>
      <c r="B1440" t="s">
        <v>6</v>
      </c>
      <c r="C1440">
        <v>184</v>
      </c>
    </row>
    <row r="1441" spans="1:3" x14ac:dyDescent="0.25">
      <c r="A1441" s="1">
        <v>40771</v>
      </c>
      <c r="B1441" t="s">
        <v>14</v>
      </c>
      <c r="C1441">
        <v>450</v>
      </c>
    </row>
    <row r="1442" spans="1:3" x14ac:dyDescent="0.25">
      <c r="A1442" s="1">
        <v>40771</v>
      </c>
      <c r="B1442" t="s">
        <v>120</v>
      </c>
      <c r="C1442">
        <v>140</v>
      </c>
    </row>
    <row r="1443" spans="1:3" x14ac:dyDescent="0.25">
      <c r="A1443" s="1">
        <v>40775</v>
      </c>
      <c r="B1443" t="s">
        <v>8</v>
      </c>
      <c r="C1443">
        <v>52</v>
      </c>
    </row>
    <row r="1444" spans="1:3" x14ac:dyDescent="0.25">
      <c r="A1444" s="1">
        <v>40777</v>
      </c>
      <c r="B1444" t="s">
        <v>181</v>
      </c>
      <c r="C1444">
        <v>2</v>
      </c>
    </row>
    <row r="1445" spans="1:3" x14ac:dyDescent="0.25">
      <c r="A1445" s="1">
        <v>40777</v>
      </c>
      <c r="B1445" t="s">
        <v>96</v>
      </c>
      <c r="C1445">
        <v>13</v>
      </c>
    </row>
    <row r="1446" spans="1:3" x14ac:dyDescent="0.25">
      <c r="A1446" s="1">
        <v>40777</v>
      </c>
      <c r="B1446" t="s">
        <v>37</v>
      </c>
      <c r="C1446">
        <v>73</v>
      </c>
    </row>
    <row r="1447" spans="1:3" x14ac:dyDescent="0.25">
      <c r="A1447" s="1">
        <v>40781</v>
      </c>
      <c r="B1447" t="s">
        <v>18</v>
      </c>
      <c r="C1447">
        <v>123</v>
      </c>
    </row>
    <row r="1448" spans="1:3" x14ac:dyDescent="0.25">
      <c r="A1448" s="1">
        <v>40783</v>
      </c>
      <c r="B1448" t="s">
        <v>68</v>
      </c>
      <c r="C1448">
        <v>3</v>
      </c>
    </row>
    <row r="1449" spans="1:3" x14ac:dyDescent="0.25">
      <c r="A1449" s="1">
        <v>40784</v>
      </c>
      <c r="B1449" t="s">
        <v>12</v>
      </c>
      <c r="C1449">
        <v>93</v>
      </c>
    </row>
    <row r="1450" spans="1:3" x14ac:dyDescent="0.25">
      <c r="A1450" s="1">
        <v>40789</v>
      </c>
      <c r="B1450" t="s">
        <v>24</v>
      </c>
      <c r="C1450">
        <v>310</v>
      </c>
    </row>
    <row r="1451" spans="1:3" x14ac:dyDescent="0.25">
      <c r="A1451" s="1">
        <v>40789</v>
      </c>
      <c r="B1451" t="s">
        <v>6</v>
      </c>
      <c r="C1451">
        <v>77</v>
      </c>
    </row>
    <row r="1452" spans="1:3" x14ac:dyDescent="0.25">
      <c r="A1452" s="1">
        <v>40793</v>
      </c>
      <c r="B1452" t="s">
        <v>10</v>
      </c>
      <c r="C1452">
        <v>21</v>
      </c>
    </row>
    <row r="1453" spans="1:3" x14ac:dyDescent="0.25">
      <c r="A1453" s="1">
        <v>40797</v>
      </c>
      <c r="B1453" t="s">
        <v>21</v>
      </c>
      <c r="C1453">
        <v>3</v>
      </c>
    </row>
    <row r="1454" spans="1:3" x14ac:dyDescent="0.25">
      <c r="A1454" s="1">
        <v>40799</v>
      </c>
      <c r="B1454" t="s">
        <v>28</v>
      </c>
      <c r="C1454">
        <v>176</v>
      </c>
    </row>
    <row r="1455" spans="1:3" x14ac:dyDescent="0.25">
      <c r="A1455" s="1">
        <v>40799</v>
      </c>
      <c r="B1455" t="s">
        <v>13</v>
      </c>
      <c r="C1455">
        <v>20</v>
      </c>
    </row>
    <row r="1456" spans="1:3" x14ac:dyDescent="0.25">
      <c r="A1456" s="1">
        <v>40800</v>
      </c>
      <c r="B1456" t="s">
        <v>24</v>
      </c>
      <c r="C1456">
        <v>230</v>
      </c>
    </row>
    <row r="1457" spans="1:3" x14ac:dyDescent="0.25">
      <c r="A1457" s="1">
        <v>40800</v>
      </c>
      <c r="B1457" t="s">
        <v>155</v>
      </c>
      <c r="C1457">
        <v>10</v>
      </c>
    </row>
    <row r="1458" spans="1:3" x14ac:dyDescent="0.25">
      <c r="A1458" s="1">
        <v>40802</v>
      </c>
      <c r="B1458" t="s">
        <v>163</v>
      </c>
      <c r="C1458">
        <v>12</v>
      </c>
    </row>
    <row r="1459" spans="1:3" x14ac:dyDescent="0.25">
      <c r="A1459" s="1">
        <v>40802</v>
      </c>
      <c r="B1459" t="s">
        <v>152</v>
      </c>
      <c r="C1459">
        <v>11</v>
      </c>
    </row>
    <row r="1460" spans="1:3" x14ac:dyDescent="0.25">
      <c r="A1460" s="1">
        <v>40803</v>
      </c>
      <c r="B1460" t="s">
        <v>9</v>
      </c>
      <c r="C1460">
        <v>383</v>
      </c>
    </row>
    <row r="1461" spans="1:3" x14ac:dyDescent="0.25">
      <c r="A1461" s="1">
        <v>40807</v>
      </c>
      <c r="B1461" t="s">
        <v>102</v>
      </c>
      <c r="C1461">
        <v>249</v>
      </c>
    </row>
    <row r="1462" spans="1:3" x14ac:dyDescent="0.25">
      <c r="A1462" s="1">
        <v>40810</v>
      </c>
      <c r="B1462" t="s">
        <v>164</v>
      </c>
      <c r="C1462">
        <v>8</v>
      </c>
    </row>
    <row r="1463" spans="1:3" x14ac:dyDescent="0.25">
      <c r="A1463" s="1">
        <v>40812</v>
      </c>
      <c r="B1463" t="s">
        <v>30</v>
      </c>
      <c r="C1463">
        <v>42</v>
      </c>
    </row>
    <row r="1464" spans="1:3" x14ac:dyDescent="0.25">
      <c r="A1464" s="1">
        <v>40815</v>
      </c>
      <c r="B1464" t="s">
        <v>223</v>
      </c>
      <c r="C1464">
        <v>1</v>
      </c>
    </row>
    <row r="1465" spans="1:3" x14ac:dyDescent="0.25">
      <c r="A1465" s="1">
        <v>40815</v>
      </c>
      <c r="B1465" t="s">
        <v>22</v>
      </c>
      <c r="C1465">
        <v>340</v>
      </c>
    </row>
    <row r="1466" spans="1:3" x14ac:dyDescent="0.25">
      <c r="A1466" s="1">
        <v>40817</v>
      </c>
      <c r="B1466" t="s">
        <v>17</v>
      </c>
      <c r="C1466">
        <v>394</v>
      </c>
    </row>
    <row r="1467" spans="1:3" x14ac:dyDescent="0.25">
      <c r="A1467" s="1">
        <v>40817</v>
      </c>
      <c r="B1467" t="s">
        <v>5</v>
      </c>
      <c r="C1467">
        <v>176</v>
      </c>
    </row>
    <row r="1468" spans="1:3" x14ac:dyDescent="0.25">
      <c r="A1468" s="1">
        <v>40818</v>
      </c>
      <c r="B1468" t="s">
        <v>28</v>
      </c>
      <c r="C1468">
        <v>181</v>
      </c>
    </row>
    <row r="1469" spans="1:3" x14ac:dyDescent="0.25">
      <c r="A1469" s="1">
        <v>40822</v>
      </c>
      <c r="B1469" t="s">
        <v>55</v>
      </c>
      <c r="C1469">
        <v>26</v>
      </c>
    </row>
    <row r="1470" spans="1:3" x14ac:dyDescent="0.25">
      <c r="A1470" s="1">
        <v>40826</v>
      </c>
      <c r="B1470" t="s">
        <v>25</v>
      </c>
      <c r="C1470">
        <v>73</v>
      </c>
    </row>
    <row r="1471" spans="1:3" x14ac:dyDescent="0.25">
      <c r="A1471" s="1">
        <v>40830</v>
      </c>
      <c r="B1471" t="s">
        <v>50</v>
      </c>
      <c r="C1471">
        <v>274</v>
      </c>
    </row>
    <row r="1472" spans="1:3" x14ac:dyDescent="0.25">
      <c r="A1472" s="1">
        <v>40833</v>
      </c>
      <c r="B1472" t="s">
        <v>212</v>
      </c>
      <c r="C1472">
        <v>8</v>
      </c>
    </row>
    <row r="1473" spans="1:3" x14ac:dyDescent="0.25">
      <c r="A1473" s="1">
        <v>40833</v>
      </c>
      <c r="B1473" t="s">
        <v>21</v>
      </c>
      <c r="C1473">
        <v>12</v>
      </c>
    </row>
    <row r="1474" spans="1:3" x14ac:dyDescent="0.25">
      <c r="A1474" s="1">
        <v>40837</v>
      </c>
      <c r="B1474" t="s">
        <v>50</v>
      </c>
      <c r="C1474">
        <v>496</v>
      </c>
    </row>
    <row r="1475" spans="1:3" x14ac:dyDescent="0.25">
      <c r="A1475" s="1">
        <v>40838</v>
      </c>
      <c r="B1475" t="s">
        <v>184</v>
      </c>
      <c r="C1475">
        <v>5</v>
      </c>
    </row>
    <row r="1476" spans="1:3" x14ac:dyDescent="0.25">
      <c r="A1476" s="1">
        <v>40839</v>
      </c>
      <c r="B1476" t="s">
        <v>75</v>
      </c>
      <c r="C1476">
        <v>2</v>
      </c>
    </row>
    <row r="1477" spans="1:3" x14ac:dyDescent="0.25">
      <c r="A1477" s="1">
        <v>40839</v>
      </c>
      <c r="B1477" t="s">
        <v>66</v>
      </c>
      <c r="C1477">
        <v>77</v>
      </c>
    </row>
    <row r="1478" spans="1:3" x14ac:dyDescent="0.25">
      <c r="A1478" s="1">
        <v>40847</v>
      </c>
      <c r="B1478" t="s">
        <v>25</v>
      </c>
      <c r="C1478">
        <v>134</v>
      </c>
    </row>
    <row r="1479" spans="1:3" x14ac:dyDescent="0.25">
      <c r="A1479" s="1">
        <v>40848</v>
      </c>
      <c r="B1479" t="s">
        <v>197</v>
      </c>
      <c r="C1479">
        <v>4</v>
      </c>
    </row>
    <row r="1480" spans="1:3" x14ac:dyDescent="0.25">
      <c r="A1480" s="1">
        <v>40850</v>
      </c>
      <c r="B1480" t="s">
        <v>55</v>
      </c>
      <c r="C1480">
        <v>46</v>
      </c>
    </row>
    <row r="1481" spans="1:3" x14ac:dyDescent="0.25">
      <c r="A1481" s="1">
        <v>40852</v>
      </c>
      <c r="B1481" t="s">
        <v>123</v>
      </c>
      <c r="C1481">
        <v>43</v>
      </c>
    </row>
    <row r="1482" spans="1:3" x14ac:dyDescent="0.25">
      <c r="A1482" s="1">
        <v>40855</v>
      </c>
      <c r="B1482" t="s">
        <v>21</v>
      </c>
      <c r="C1482">
        <v>2</v>
      </c>
    </row>
    <row r="1483" spans="1:3" x14ac:dyDescent="0.25">
      <c r="A1483" s="1">
        <v>40857</v>
      </c>
      <c r="B1483" t="s">
        <v>19</v>
      </c>
      <c r="C1483">
        <v>100</v>
      </c>
    </row>
    <row r="1484" spans="1:3" x14ac:dyDescent="0.25">
      <c r="A1484" s="1">
        <v>40857</v>
      </c>
      <c r="B1484" t="s">
        <v>22</v>
      </c>
      <c r="C1484">
        <v>438</v>
      </c>
    </row>
    <row r="1485" spans="1:3" x14ac:dyDescent="0.25">
      <c r="A1485" s="1">
        <v>40859</v>
      </c>
      <c r="B1485" t="s">
        <v>26</v>
      </c>
      <c r="C1485">
        <v>69</v>
      </c>
    </row>
    <row r="1486" spans="1:3" x14ac:dyDescent="0.25">
      <c r="A1486" s="1">
        <v>40864</v>
      </c>
      <c r="B1486" t="s">
        <v>8</v>
      </c>
      <c r="C1486">
        <v>22</v>
      </c>
    </row>
    <row r="1487" spans="1:3" x14ac:dyDescent="0.25">
      <c r="A1487" s="1">
        <v>40865</v>
      </c>
      <c r="B1487" t="s">
        <v>55</v>
      </c>
      <c r="C1487">
        <v>130</v>
      </c>
    </row>
    <row r="1488" spans="1:3" x14ac:dyDescent="0.25">
      <c r="A1488" s="1">
        <v>40869</v>
      </c>
      <c r="B1488" t="s">
        <v>177</v>
      </c>
      <c r="C1488">
        <v>5</v>
      </c>
    </row>
    <row r="1489" spans="1:3" x14ac:dyDescent="0.25">
      <c r="A1489" s="1">
        <v>40872</v>
      </c>
      <c r="B1489" t="s">
        <v>58</v>
      </c>
      <c r="C1489">
        <v>62</v>
      </c>
    </row>
    <row r="1490" spans="1:3" x14ac:dyDescent="0.25">
      <c r="A1490" s="1">
        <v>40874</v>
      </c>
      <c r="B1490" t="s">
        <v>220</v>
      </c>
      <c r="C1490">
        <v>8</v>
      </c>
    </row>
    <row r="1491" spans="1:3" x14ac:dyDescent="0.25">
      <c r="A1491" s="1">
        <v>40876</v>
      </c>
      <c r="B1491" t="s">
        <v>56</v>
      </c>
      <c r="C1491">
        <v>18</v>
      </c>
    </row>
    <row r="1492" spans="1:3" x14ac:dyDescent="0.25">
      <c r="A1492" s="1">
        <v>40881</v>
      </c>
      <c r="B1492" t="s">
        <v>25</v>
      </c>
      <c r="C1492">
        <v>146</v>
      </c>
    </row>
    <row r="1493" spans="1:3" x14ac:dyDescent="0.25">
      <c r="A1493" s="1">
        <v>40881</v>
      </c>
      <c r="B1493" t="s">
        <v>118</v>
      </c>
      <c r="C1493">
        <v>5</v>
      </c>
    </row>
    <row r="1494" spans="1:3" x14ac:dyDescent="0.25">
      <c r="A1494" s="1">
        <v>40889</v>
      </c>
      <c r="B1494" t="s">
        <v>19</v>
      </c>
      <c r="C1494">
        <v>20</v>
      </c>
    </row>
    <row r="1495" spans="1:3" x14ac:dyDescent="0.25">
      <c r="A1495" s="1">
        <v>40889</v>
      </c>
      <c r="B1495" t="s">
        <v>22</v>
      </c>
      <c r="C1495">
        <v>153</v>
      </c>
    </row>
    <row r="1496" spans="1:3" x14ac:dyDescent="0.25">
      <c r="A1496" s="1">
        <v>40890</v>
      </c>
      <c r="B1496" t="s">
        <v>45</v>
      </c>
      <c r="C1496">
        <v>227</v>
      </c>
    </row>
    <row r="1497" spans="1:3" x14ac:dyDescent="0.25">
      <c r="A1497" s="1">
        <v>40891</v>
      </c>
      <c r="B1497" t="s">
        <v>12</v>
      </c>
      <c r="C1497">
        <v>52</v>
      </c>
    </row>
    <row r="1498" spans="1:3" x14ac:dyDescent="0.25">
      <c r="A1498" s="1">
        <v>40892</v>
      </c>
      <c r="B1498" t="s">
        <v>6</v>
      </c>
      <c r="C1498">
        <v>108</v>
      </c>
    </row>
    <row r="1499" spans="1:3" x14ac:dyDescent="0.25">
      <c r="A1499" s="1">
        <v>40895</v>
      </c>
      <c r="B1499" t="s">
        <v>24</v>
      </c>
      <c r="C1499">
        <v>236</v>
      </c>
    </row>
    <row r="1500" spans="1:3" x14ac:dyDescent="0.25">
      <c r="A1500" s="1">
        <v>40897</v>
      </c>
      <c r="B1500" t="s">
        <v>30</v>
      </c>
      <c r="C1500">
        <v>125</v>
      </c>
    </row>
    <row r="1501" spans="1:3" x14ac:dyDescent="0.25">
      <c r="A1501" s="1">
        <v>40898</v>
      </c>
      <c r="B1501" t="s">
        <v>10</v>
      </c>
      <c r="C1501">
        <v>183</v>
      </c>
    </row>
    <row r="1502" spans="1:3" x14ac:dyDescent="0.25">
      <c r="A1502" s="1">
        <v>40899</v>
      </c>
      <c r="B1502" t="s">
        <v>8</v>
      </c>
      <c r="C1502">
        <v>130</v>
      </c>
    </row>
    <row r="1503" spans="1:3" x14ac:dyDescent="0.25">
      <c r="A1503" s="1">
        <v>40899</v>
      </c>
      <c r="B1503" t="s">
        <v>224</v>
      </c>
      <c r="C1503">
        <v>4</v>
      </c>
    </row>
    <row r="1504" spans="1:3" x14ac:dyDescent="0.25">
      <c r="A1504" s="1">
        <v>40900</v>
      </c>
      <c r="B1504" t="s">
        <v>225</v>
      </c>
      <c r="C1504">
        <v>3</v>
      </c>
    </row>
    <row r="1505" spans="1:3" x14ac:dyDescent="0.25">
      <c r="A1505" s="1">
        <v>40901</v>
      </c>
      <c r="B1505" t="s">
        <v>226</v>
      </c>
      <c r="C1505">
        <v>16</v>
      </c>
    </row>
    <row r="1506" spans="1:3" x14ac:dyDescent="0.25">
      <c r="A1506" s="1">
        <v>40903</v>
      </c>
      <c r="B1506" t="s">
        <v>6</v>
      </c>
      <c r="C1506">
        <v>197</v>
      </c>
    </row>
    <row r="1507" spans="1:3" x14ac:dyDescent="0.25">
      <c r="A1507" s="1">
        <v>40903</v>
      </c>
      <c r="B1507" t="s">
        <v>152</v>
      </c>
      <c r="C1507">
        <v>4</v>
      </c>
    </row>
    <row r="1508" spans="1:3" x14ac:dyDescent="0.25">
      <c r="A1508" s="1">
        <v>40904</v>
      </c>
      <c r="B1508" t="s">
        <v>52</v>
      </c>
      <c r="C1508">
        <v>57</v>
      </c>
    </row>
    <row r="1509" spans="1:3" x14ac:dyDescent="0.25">
      <c r="A1509" s="1">
        <v>40906</v>
      </c>
      <c r="B1509" t="s">
        <v>92</v>
      </c>
      <c r="C1509">
        <v>16</v>
      </c>
    </row>
    <row r="1510" spans="1:3" x14ac:dyDescent="0.25">
      <c r="A1510" s="1">
        <v>40907</v>
      </c>
      <c r="B1510" t="s">
        <v>63</v>
      </c>
      <c r="C1510">
        <v>89</v>
      </c>
    </row>
    <row r="1511" spans="1:3" x14ac:dyDescent="0.25">
      <c r="A1511" s="1">
        <v>40912</v>
      </c>
      <c r="B1511" t="s">
        <v>66</v>
      </c>
      <c r="C1511">
        <v>74</v>
      </c>
    </row>
    <row r="1512" spans="1:3" x14ac:dyDescent="0.25">
      <c r="A1512" s="1">
        <v>40913</v>
      </c>
      <c r="B1512" t="s">
        <v>9</v>
      </c>
      <c r="C1512">
        <v>243</v>
      </c>
    </row>
    <row r="1513" spans="1:3" x14ac:dyDescent="0.25">
      <c r="A1513" s="1">
        <v>40915</v>
      </c>
      <c r="B1513" t="s">
        <v>22</v>
      </c>
      <c r="C1513">
        <v>460</v>
      </c>
    </row>
    <row r="1514" spans="1:3" x14ac:dyDescent="0.25">
      <c r="A1514" s="1">
        <v>40915</v>
      </c>
      <c r="B1514" t="s">
        <v>227</v>
      </c>
      <c r="C1514">
        <v>20</v>
      </c>
    </row>
    <row r="1515" spans="1:3" x14ac:dyDescent="0.25">
      <c r="A1515" s="1">
        <v>40917</v>
      </c>
      <c r="B1515" t="s">
        <v>22</v>
      </c>
      <c r="C1515">
        <v>250</v>
      </c>
    </row>
    <row r="1516" spans="1:3" x14ac:dyDescent="0.25">
      <c r="A1516" s="1">
        <v>40923</v>
      </c>
      <c r="B1516" t="s">
        <v>10</v>
      </c>
      <c r="C1516">
        <v>78</v>
      </c>
    </row>
    <row r="1517" spans="1:3" x14ac:dyDescent="0.25">
      <c r="A1517" s="1">
        <v>40925</v>
      </c>
      <c r="B1517" t="s">
        <v>8</v>
      </c>
      <c r="C1517">
        <v>170</v>
      </c>
    </row>
    <row r="1518" spans="1:3" x14ac:dyDescent="0.25">
      <c r="A1518" s="1">
        <v>40927</v>
      </c>
      <c r="B1518" t="s">
        <v>52</v>
      </c>
      <c r="C1518">
        <v>128</v>
      </c>
    </row>
    <row r="1519" spans="1:3" x14ac:dyDescent="0.25">
      <c r="A1519" s="1">
        <v>40927</v>
      </c>
      <c r="B1519" t="s">
        <v>61</v>
      </c>
      <c r="C1519">
        <v>53</v>
      </c>
    </row>
    <row r="1520" spans="1:3" x14ac:dyDescent="0.25">
      <c r="A1520" s="1">
        <v>40928</v>
      </c>
      <c r="B1520" t="s">
        <v>14</v>
      </c>
      <c r="C1520">
        <v>223</v>
      </c>
    </row>
    <row r="1521" spans="1:3" x14ac:dyDescent="0.25">
      <c r="A1521" s="1">
        <v>40933</v>
      </c>
      <c r="B1521" t="s">
        <v>52</v>
      </c>
      <c r="C1521">
        <v>47</v>
      </c>
    </row>
    <row r="1522" spans="1:3" x14ac:dyDescent="0.25">
      <c r="A1522" s="1">
        <v>40933</v>
      </c>
      <c r="B1522" t="s">
        <v>37</v>
      </c>
      <c r="C1522">
        <v>112</v>
      </c>
    </row>
    <row r="1523" spans="1:3" x14ac:dyDescent="0.25">
      <c r="A1523" s="1">
        <v>40935</v>
      </c>
      <c r="B1523" t="s">
        <v>50</v>
      </c>
      <c r="C1523">
        <v>201</v>
      </c>
    </row>
    <row r="1524" spans="1:3" x14ac:dyDescent="0.25">
      <c r="A1524" s="1">
        <v>40936</v>
      </c>
      <c r="B1524" t="s">
        <v>25</v>
      </c>
      <c r="C1524">
        <v>121</v>
      </c>
    </row>
    <row r="1525" spans="1:3" x14ac:dyDescent="0.25">
      <c r="A1525" s="1">
        <v>40939</v>
      </c>
      <c r="B1525" t="s">
        <v>7</v>
      </c>
      <c r="C1525">
        <v>462</v>
      </c>
    </row>
    <row r="1526" spans="1:3" x14ac:dyDescent="0.25">
      <c r="A1526" s="1">
        <v>40941</v>
      </c>
      <c r="B1526" t="s">
        <v>22</v>
      </c>
      <c r="C1526">
        <v>333</v>
      </c>
    </row>
    <row r="1527" spans="1:3" x14ac:dyDescent="0.25">
      <c r="A1527" s="1">
        <v>40943</v>
      </c>
      <c r="B1527" t="s">
        <v>108</v>
      </c>
      <c r="C1527">
        <v>9</v>
      </c>
    </row>
    <row r="1528" spans="1:3" x14ac:dyDescent="0.25">
      <c r="A1528" s="1">
        <v>40945</v>
      </c>
      <c r="B1528" t="s">
        <v>25</v>
      </c>
      <c r="C1528">
        <v>104</v>
      </c>
    </row>
    <row r="1529" spans="1:3" x14ac:dyDescent="0.25">
      <c r="A1529" s="1">
        <v>40945</v>
      </c>
      <c r="B1529" t="s">
        <v>173</v>
      </c>
      <c r="C1529">
        <v>104</v>
      </c>
    </row>
    <row r="1530" spans="1:3" x14ac:dyDescent="0.25">
      <c r="A1530" s="1">
        <v>40947</v>
      </c>
      <c r="B1530" t="s">
        <v>18</v>
      </c>
      <c r="C1530">
        <v>78</v>
      </c>
    </row>
    <row r="1531" spans="1:3" x14ac:dyDescent="0.25">
      <c r="A1531" s="1">
        <v>40950</v>
      </c>
      <c r="B1531" t="s">
        <v>30</v>
      </c>
      <c r="C1531">
        <v>53</v>
      </c>
    </row>
    <row r="1532" spans="1:3" x14ac:dyDescent="0.25">
      <c r="A1532" s="1">
        <v>40951</v>
      </c>
      <c r="B1532" t="s">
        <v>45</v>
      </c>
      <c r="C1532">
        <v>305</v>
      </c>
    </row>
    <row r="1533" spans="1:3" x14ac:dyDescent="0.25">
      <c r="A1533" s="1">
        <v>40953</v>
      </c>
      <c r="B1533" t="s">
        <v>9</v>
      </c>
      <c r="C1533">
        <v>363</v>
      </c>
    </row>
    <row r="1534" spans="1:3" x14ac:dyDescent="0.25">
      <c r="A1534" s="1">
        <v>40955</v>
      </c>
      <c r="B1534" t="s">
        <v>228</v>
      </c>
      <c r="C1534">
        <v>19</v>
      </c>
    </row>
    <row r="1535" spans="1:3" x14ac:dyDescent="0.25">
      <c r="A1535" s="1">
        <v>40955</v>
      </c>
      <c r="B1535" t="s">
        <v>102</v>
      </c>
      <c r="C1535">
        <v>248</v>
      </c>
    </row>
    <row r="1536" spans="1:3" x14ac:dyDescent="0.25">
      <c r="A1536" s="1">
        <v>40955</v>
      </c>
      <c r="B1536" t="s">
        <v>19</v>
      </c>
      <c r="C1536">
        <v>64</v>
      </c>
    </row>
    <row r="1537" spans="1:3" x14ac:dyDescent="0.25">
      <c r="A1537" s="1">
        <v>40956</v>
      </c>
      <c r="B1537" t="s">
        <v>50</v>
      </c>
      <c r="C1537">
        <v>288</v>
      </c>
    </row>
    <row r="1538" spans="1:3" x14ac:dyDescent="0.25">
      <c r="A1538" s="1">
        <v>40957</v>
      </c>
      <c r="B1538" t="s">
        <v>144</v>
      </c>
      <c r="C1538">
        <v>18</v>
      </c>
    </row>
    <row r="1539" spans="1:3" x14ac:dyDescent="0.25">
      <c r="A1539" s="1">
        <v>40959</v>
      </c>
      <c r="B1539" t="s">
        <v>31</v>
      </c>
      <c r="C1539">
        <v>54</v>
      </c>
    </row>
    <row r="1540" spans="1:3" x14ac:dyDescent="0.25">
      <c r="A1540" s="1">
        <v>40959</v>
      </c>
      <c r="B1540" t="s">
        <v>201</v>
      </c>
      <c r="C1540">
        <v>3</v>
      </c>
    </row>
    <row r="1541" spans="1:3" x14ac:dyDescent="0.25">
      <c r="A1541" s="1">
        <v>40960</v>
      </c>
      <c r="B1541" t="s">
        <v>65</v>
      </c>
      <c r="C1541">
        <v>9</v>
      </c>
    </row>
    <row r="1542" spans="1:3" x14ac:dyDescent="0.25">
      <c r="A1542" s="1">
        <v>40961</v>
      </c>
      <c r="B1542" t="s">
        <v>149</v>
      </c>
      <c r="C1542">
        <v>19</v>
      </c>
    </row>
    <row r="1543" spans="1:3" x14ac:dyDescent="0.25">
      <c r="A1543" s="1">
        <v>40961</v>
      </c>
      <c r="B1543" t="s">
        <v>26</v>
      </c>
      <c r="C1543">
        <v>198</v>
      </c>
    </row>
    <row r="1544" spans="1:3" x14ac:dyDescent="0.25">
      <c r="A1544" s="1">
        <v>40966</v>
      </c>
      <c r="B1544" t="s">
        <v>5</v>
      </c>
      <c r="C1544">
        <v>417</v>
      </c>
    </row>
    <row r="1545" spans="1:3" x14ac:dyDescent="0.25">
      <c r="A1545" s="1">
        <v>40971</v>
      </c>
      <c r="B1545" t="s">
        <v>102</v>
      </c>
      <c r="C1545">
        <v>221</v>
      </c>
    </row>
    <row r="1546" spans="1:3" x14ac:dyDescent="0.25">
      <c r="A1546" s="1">
        <v>40971</v>
      </c>
      <c r="B1546" t="s">
        <v>18</v>
      </c>
      <c r="C1546">
        <v>53</v>
      </c>
    </row>
    <row r="1547" spans="1:3" x14ac:dyDescent="0.25">
      <c r="A1547" s="1">
        <v>40973</v>
      </c>
      <c r="B1547" t="s">
        <v>69</v>
      </c>
      <c r="C1547">
        <v>127</v>
      </c>
    </row>
    <row r="1548" spans="1:3" x14ac:dyDescent="0.25">
      <c r="A1548" s="1">
        <v>40974</v>
      </c>
      <c r="B1548" t="s">
        <v>14</v>
      </c>
      <c r="C1548">
        <v>340</v>
      </c>
    </row>
    <row r="1549" spans="1:3" x14ac:dyDescent="0.25">
      <c r="A1549" s="1">
        <v>40977</v>
      </c>
      <c r="B1549" t="s">
        <v>7</v>
      </c>
      <c r="C1549">
        <v>310</v>
      </c>
    </row>
    <row r="1550" spans="1:3" x14ac:dyDescent="0.25">
      <c r="A1550" s="1">
        <v>40979</v>
      </c>
      <c r="B1550" t="s">
        <v>222</v>
      </c>
      <c r="C1550">
        <v>8</v>
      </c>
    </row>
    <row r="1551" spans="1:3" x14ac:dyDescent="0.25">
      <c r="A1551" s="1">
        <v>40980</v>
      </c>
      <c r="B1551" t="s">
        <v>61</v>
      </c>
      <c r="C1551">
        <v>132</v>
      </c>
    </row>
    <row r="1552" spans="1:3" x14ac:dyDescent="0.25">
      <c r="A1552" s="1">
        <v>40980</v>
      </c>
      <c r="B1552" t="s">
        <v>26</v>
      </c>
      <c r="C1552">
        <v>168</v>
      </c>
    </row>
    <row r="1553" spans="1:3" x14ac:dyDescent="0.25">
      <c r="A1553" s="1">
        <v>40982</v>
      </c>
      <c r="B1553" t="s">
        <v>26</v>
      </c>
      <c r="C1553">
        <v>49</v>
      </c>
    </row>
    <row r="1554" spans="1:3" x14ac:dyDescent="0.25">
      <c r="A1554" s="1">
        <v>40984</v>
      </c>
      <c r="B1554" t="s">
        <v>37</v>
      </c>
      <c r="C1554">
        <v>140</v>
      </c>
    </row>
    <row r="1555" spans="1:3" x14ac:dyDescent="0.25">
      <c r="A1555" s="1">
        <v>40986</v>
      </c>
      <c r="B1555" t="s">
        <v>35</v>
      </c>
      <c r="C1555">
        <v>140</v>
      </c>
    </row>
    <row r="1556" spans="1:3" x14ac:dyDescent="0.25">
      <c r="A1556" s="1">
        <v>40986</v>
      </c>
      <c r="B1556" t="s">
        <v>23</v>
      </c>
      <c r="C1556">
        <v>194</v>
      </c>
    </row>
    <row r="1557" spans="1:3" x14ac:dyDescent="0.25">
      <c r="A1557" s="1">
        <v>40992</v>
      </c>
      <c r="B1557" t="s">
        <v>23</v>
      </c>
      <c r="C1557">
        <v>123</v>
      </c>
    </row>
    <row r="1558" spans="1:3" x14ac:dyDescent="0.25">
      <c r="A1558" s="1">
        <v>40992</v>
      </c>
      <c r="B1558" t="s">
        <v>74</v>
      </c>
      <c r="C1558">
        <v>11</v>
      </c>
    </row>
    <row r="1559" spans="1:3" x14ac:dyDescent="0.25">
      <c r="A1559" s="1">
        <v>40994</v>
      </c>
      <c r="B1559" t="s">
        <v>150</v>
      </c>
      <c r="C1559">
        <v>1</v>
      </c>
    </row>
    <row r="1560" spans="1:3" x14ac:dyDescent="0.25">
      <c r="A1560" s="1">
        <v>40995</v>
      </c>
      <c r="B1560" t="s">
        <v>9</v>
      </c>
      <c r="C1560">
        <v>267</v>
      </c>
    </row>
    <row r="1561" spans="1:3" x14ac:dyDescent="0.25">
      <c r="A1561" s="1">
        <v>40998</v>
      </c>
      <c r="B1561" t="s">
        <v>149</v>
      </c>
      <c r="C1561">
        <v>14</v>
      </c>
    </row>
    <row r="1562" spans="1:3" x14ac:dyDescent="0.25">
      <c r="A1562" s="1">
        <v>40999</v>
      </c>
      <c r="B1562" t="s">
        <v>20</v>
      </c>
      <c r="C1562">
        <v>160</v>
      </c>
    </row>
    <row r="1563" spans="1:3" x14ac:dyDescent="0.25">
      <c r="A1563" s="1">
        <v>40999</v>
      </c>
      <c r="B1563" t="s">
        <v>9</v>
      </c>
      <c r="C1563">
        <v>437</v>
      </c>
    </row>
    <row r="1564" spans="1:3" x14ac:dyDescent="0.25">
      <c r="A1564" s="1">
        <v>41003</v>
      </c>
      <c r="B1564" t="s">
        <v>123</v>
      </c>
      <c r="C1564">
        <v>71</v>
      </c>
    </row>
    <row r="1565" spans="1:3" x14ac:dyDescent="0.25">
      <c r="A1565" s="1">
        <v>41004</v>
      </c>
      <c r="B1565" t="s">
        <v>66</v>
      </c>
      <c r="C1565">
        <v>35</v>
      </c>
    </row>
    <row r="1566" spans="1:3" x14ac:dyDescent="0.25">
      <c r="A1566" s="1">
        <v>41005</v>
      </c>
      <c r="B1566" t="s">
        <v>22</v>
      </c>
      <c r="C1566">
        <v>116</v>
      </c>
    </row>
    <row r="1567" spans="1:3" x14ac:dyDescent="0.25">
      <c r="A1567" s="1">
        <v>41006</v>
      </c>
      <c r="B1567" t="s">
        <v>6</v>
      </c>
      <c r="C1567">
        <v>152</v>
      </c>
    </row>
    <row r="1568" spans="1:3" x14ac:dyDescent="0.25">
      <c r="A1568" s="1">
        <v>41011</v>
      </c>
      <c r="B1568" t="s">
        <v>7</v>
      </c>
      <c r="C1568">
        <v>309</v>
      </c>
    </row>
    <row r="1569" spans="1:3" x14ac:dyDescent="0.25">
      <c r="A1569" s="1">
        <v>41011</v>
      </c>
      <c r="B1569" t="s">
        <v>81</v>
      </c>
      <c r="C1569">
        <v>7</v>
      </c>
    </row>
    <row r="1570" spans="1:3" x14ac:dyDescent="0.25">
      <c r="A1570" s="1">
        <v>41011</v>
      </c>
      <c r="B1570" t="s">
        <v>102</v>
      </c>
      <c r="C1570">
        <v>353</v>
      </c>
    </row>
    <row r="1571" spans="1:3" x14ac:dyDescent="0.25">
      <c r="A1571" s="1">
        <v>41012</v>
      </c>
      <c r="B1571" t="s">
        <v>187</v>
      </c>
      <c r="C1571">
        <v>3</v>
      </c>
    </row>
    <row r="1572" spans="1:3" x14ac:dyDescent="0.25">
      <c r="A1572" s="1">
        <v>41013</v>
      </c>
      <c r="B1572" t="s">
        <v>14</v>
      </c>
      <c r="C1572">
        <v>166</v>
      </c>
    </row>
    <row r="1573" spans="1:3" x14ac:dyDescent="0.25">
      <c r="A1573" s="1">
        <v>41014</v>
      </c>
      <c r="B1573" t="s">
        <v>224</v>
      </c>
      <c r="C1573">
        <v>14</v>
      </c>
    </row>
    <row r="1574" spans="1:3" x14ac:dyDescent="0.25">
      <c r="A1574" s="1">
        <v>41014</v>
      </c>
      <c r="B1574" t="s">
        <v>6</v>
      </c>
      <c r="C1574">
        <v>141</v>
      </c>
    </row>
    <row r="1575" spans="1:3" x14ac:dyDescent="0.25">
      <c r="A1575" s="1">
        <v>41014</v>
      </c>
      <c r="B1575" t="s">
        <v>229</v>
      </c>
      <c r="C1575">
        <v>15</v>
      </c>
    </row>
    <row r="1576" spans="1:3" x14ac:dyDescent="0.25">
      <c r="A1576" s="1">
        <v>41020</v>
      </c>
      <c r="B1576" t="s">
        <v>22</v>
      </c>
      <c r="C1576">
        <v>157</v>
      </c>
    </row>
    <row r="1577" spans="1:3" x14ac:dyDescent="0.25">
      <c r="A1577" s="1">
        <v>41025</v>
      </c>
      <c r="B1577" t="s">
        <v>9</v>
      </c>
      <c r="C1577">
        <v>191</v>
      </c>
    </row>
    <row r="1578" spans="1:3" x14ac:dyDescent="0.25">
      <c r="A1578" s="1">
        <v>41026</v>
      </c>
      <c r="B1578" t="s">
        <v>36</v>
      </c>
      <c r="C1578">
        <v>7</v>
      </c>
    </row>
    <row r="1579" spans="1:3" x14ac:dyDescent="0.25">
      <c r="A1579" s="1">
        <v>41027</v>
      </c>
      <c r="B1579" t="s">
        <v>26</v>
      </c>
      <c r="C1579">
        <v>200</v>
      </c>
    </row>
    <row r="1580" spans="1:3" x14ac:dyDescent="0.25">
      <c r="A1580" s="1">
        <v>41033</v>
      </c>
      <c r="B1580" t="s">
        <v>149</v>
      </c>
      <c r="C1580">
        <v>15</v>
      </c>
    </row>
    <row r="1581" spans="1:3" x14ac:dyDescent="0.25">
      <c r="A1581" s="1">
        <v>41033</v>
      </c>
      <c r="B1581" t="s">
        <v>171</v>
      </c>
      <c r="C1581">
        <v>7</v>
      </c>
    </row>
    <row r="1582" spans="1:3" x14ac:dyDescent="0.25">
      <c r="A1582" s="1">
        <v>41033</v>
      </c>
      <c r="B1582" t="s">
        <v>14</v>
      </c>
      <c r="C1582">
        <v>235</v>
      </c>
    </row>
    <row r="1583" spans="1:3" x14ac:dyDescent="0.25">
      <c r="A1583" s="1">
        <v>41034</v>
      </c>
      <c r="B1583" t="s">
        <v>50</v>
      </c>
      <c r="C1583">
        <v>301</v>
      </c>
    </row>
    <row r="1584" spans="1:3" x14ac:dyDescent="0.25">
      <c r="A1584" s="1">
        <v>41036</v>
      </c>
      <c r="B1584" t="s">
        <v>5</v>
      </c>
      <c r="C1584">
        <v>136</v>
      </c>
    </row>
    <row r="1585" spans="1:3" x14ac:dyDescent="0.25">
      <c r="A1585" s="1">
        <v>41036</v>
      </c>
      <c r="B1585" t="s">
        <v>126</v>
      </c>
      <c r="C1585">
        <v>5</v>
      </c>
    </row>
    <row r="1586" spans="1:3" x14ac:dyDescent="0.25">
      <c r="A1586" s="1">
        <v>41037</v>
      </c>
      <c r="B1586" t="s">
        <v>7</v>
      </c>
      <c r="C1586">
        <v>280</v>
      </c>
    </row>
    <row r="1587" spans="1:3" x14ac:dyDescent="0.25">
      <c r="A1587" s="1">
        <v>41037</v>
      </c>
      <c r="B1587" t="s">
        <v>65</v>
      </c>
      <c r="C1587">
        <v>3</v>
      </c>
    </row>
    <row r="1588" spans="1:3" x14ac:dyDescent="0.25">
      <c r="A1588" s="1">
        <v>41040</v>
      </c>
      <c r="B1588" t="s">
        <v>206</v>
      </c>
      <c r="C1588">
        <v>14</v>
      </c>
    </row>
    <row r="1589" spans="1:3" x14ac:dyDescent="0.25">
      <c r="A1589" s="1">
        <v>41041</v>
      </c>
      <c r="B1589" t="s">
        <v>10</v>
      </c>
      <c r="C1589">
        <v>79</v>
      </c>
    </row>
    <row r="1590" spans="1:3" x14ac:dyDescent="0.25">
      <c r="A1590" s="1">
        <v>41042</v>
      </c>
      <c r="B1590" t="s">
        <v>173</v>
      </c>
      <c r="C1590">
        <v>86</v>
      </c>
    </row>
    <row r="1591" spans="1:3" x14ac:dyDescent="0.25">
      <c r="A1591" s="1">
        <v>41042</v>
      </c>
      <c r="B1591" t="s">
        <v>23</v>
      </c>
      <c r="C1591">
        <v>70</v>
      </c>
    </row>
    <row r="1592" spans="1:3" x14ac:dyDescent="0.25">
      <c r="A1592" s="1">
        <v>41043</v>
      </c>
      <c r="B1592" t="s">
        <v>20</v>
      </c>
      <c r="C1592">
        <v>189</v>
      </c>
    </row>
    <row r="1593" spans="1:3" x14ac:dyDescent="0.25">
      <c r="A1593" s="1">
        <v>41043</v>
      </c>
      <c r="B1593" t="s">
        <v>55</v>
      </c>
      <c r="C1593">
        <v>111</v>
      </c>
    </row>
    <row r="1594" spans="1:3" x14ac:dyDescent="0.25">
      <c r="A1594" s="1">
        <v>41046</v>
      </c>
      <c r="B1594" t="s">
        <v>19</v>
      </c>
      <c r="C1594">
        <v>158</v>
      </c>
    </row>
    <row r="1595" spans="1:3" x14ac:dyDescent="0.25">
      <c r="A1595" s="1">
        <v>41051</v>
      </c>
      <c r="B1595" t="s">
        <v>66</v>
      </c>
      <c r="C1595">
        <v>172</v>
      </c>
    </row>
    <row r="1596" spans="1:3" x14ac:dyDescent="0.25">
      <c r="A1596" s="1">
        <v>41052</v>
      </c>
      <c r="B1596" t="s">
        <v>50</v>
      </c>
      <c r="C1596">
        <v>179</v>
      </c>
    </row>
    <row r="1597" spans="1:3" x14ac:dyDescent="0.25">
      <c r="A1597" s="1">
        <v>41053</v>
      </c>
      <c r="B1597" t="s">
        <v>104</v>
      </c>
      <c r="C1597">
        <v>19</v>
      </c>
    </row>
    <row r="1598" spans="1:3" x14ac:dyDescent="0.25">
      <c r="A1598" s="1">
        <v>41053</v>
      </c>
      <c r="B1598" t="s">
        <v>28</v>
      </c>
      <c r="C1598">
        <v>57</v>
      </c>
    </row>
    <row r="1599" spans="1:3" x14ac:dyDescent="0.25">
      <c r="A1599" s="1">
        <v>41054</v>
      </c>
      <c r="B1599" t="s">
        <v>50</v>
      </c>
      <c r="C1599">
        <v>335</v>
      </c>
    </row>
    <row r="1600" spans="1:3" x14ac:dyDescent="0.25">
      <c r="A1600" s="1">
        <v>41060</v>
      </c>
      <c r="B1600" t="s">
        <v>164</v>
      </c>
      <c r="C1600">
        <v>12</v>
      </c>
    </row>
    <row r="1601" spans="1:3" x14ac:dyDescent="0.25">
      <c r="A1601" s="1">
        <v>41061</v>
      </c>
      <c r="B1601" t="s">
        <v>125</v>
      </c>
      <c r="C1601">
        <v>2</v>
      </c>
    </row>
    <row r="1602" spans="1:3" x14ac:dyDescent="0.25">
      <c r="A1602" s="1">
        <v>41061</v>
      </c>
      <c r="B1602" t="s">
        <v>50</v>
      </c>
      <c r="C1602">
        <v>237</v>
      </c>
    </row>
    <row r="1603" spans="1:3" x14ac:dyDescent="0.25">
      <c r="A1603" s="1">
        <v>41064</v>
      </c>
      <c r="B1603" t="s">
        <v>7</v>
      </c>
      <c r="C1603">
        <v>482</v>
      </c>
    </row>
    <row r="1604" spans="1:3" x14ac:dyDescent="0.25">
      <c r="A1604" s="1">
        <v>41064</v>
      </c>
      <c r="B1604" t="s">
        <v>125</v>
      </c>
      <c r="C1604">
        <v>8</v>
      </c>
    </row>
    <row r="1605" spans="1:3" x14ac:dyDescent="0.25">
      <c r="A1605" s="1">
        <v>41067</v>
      </c>
      <c r="B1605" t="s">
        <v>35</v>
      </c>
      <c r="C1605">
        <v>147</v>
      </c>
    </row>
    <row r="1606" spans="1:3" x14ac:dyDescent="0.25">
      <c r="A1606" s="1">
        <v>41069</v>
      </c>
      <c r="B1606" t="s">
        <v>22</v>
      </c>
      <c r="C1606">
        <v>224</v>
      </c>
    </row>
    <row r="1607" spans="1:3" x14ac:dyDescent="0.25">
      <c r="A1607" s="1">
        <v>41070</v>
      </c>
      <c r="B1607" t="s">
        <v>177</v>
      </c>
      <c r="C1607">
        <v>11</v>
      </c>
    </row>
    <row r="1608" spans="1:3" x14ac:dyDescent="0.25">
      <c r="A1608" s="1">
        <v>41074</v>
      </c>
      <c r="B1608" t="s">
        <v>37</v>
      </c>
      <c r="C1608">
        <v>184</v>
      </c>
    </row>
    <row r="1609" spans="1:3" x14ac:dyDescent="0.25">
      <c r="A1609" s="1">
        <v>41076</v>
      </c>
      <c r="B1609" t="s">
        <v>168</v>
      </c>
      <c r="C1609">
        <v>20</v>
      </c>
    </row>
    <row r="1610" spans="1:3" x14ac:dyDescent="0.25">
      <c r="A1610" s="1">
        <v>41076</v>
      </c>
      <c r="B1610" t="s">
        <v>50</v>
      </c>
      <c r="C1610">
        <v>221</v>
      </c>
    </row>
    <row r="1611" spans="1:3" x14ac:dyDescent="0.25">
      <c r="A1611" s="1">
        <v>41079</v>
      </c>
      <c r="B1611" t="s">
        <v>37</v>
      </c>
      <c r="C1611">
        <v>162</v>
      </c>
    </row>
    <row r="1612" spans="1:3" x14ac:dyDescent="0.25">
      <c r="A1612" s="1">
        <v>41083</v>
      </c>
      <c r="B1612" t="s">
        <v>91</v>
      </c>
      <c r="C1612">
        <v>19</v>
      </c>
    </row>
    <row r="1613" spans="1:3" x14ac:dyDescent="0.25">
      <c r="A1613" s="1">
        <v>41088</v>
      </c>
      <c r="B1613" t="s">
        <v>178</v>
      </c>
      <c r="C1613">
        <v>1</v>
      </c>
    </row>
    <row r="1614" spans="1:3" x14ac:dyDescent="0.25">
      <c r="A1614" s="1">
        <v>41090</v>
      </c>
      <c r="B1614" t="s">
        <v>12</v>
      </c>
      <c r="C1614">
        <v>122</v>
      </c>
    </row>
    <row r="1615" spans="1:3" x14ac:dyDescent="0.25">
      <c r="A1615" s="1">
        <v>41090</v>
      </c>
      <c r="B1615" t="s">
        <v>17</v>
      </c>
      <c r="C1615">
        <v>163</v>
      </c>
    </row>
    <row r="1616" spans="1:3" x14ac:dyDescent="0.25">
      <c r="A1616" s="1">
        <v>41091</v>
      </c>
      <c r="B1616" t="s">
        <v>66</v>
      </c>
      <c r="C1616">
        <v>29</v>
      </c>
    </row>
    <row r="1617" spans="1:3" x14ac:dyDescent="0.25">
      <c r="A1617" s="1">
        <v>41095</v>
      </c>
      <c r="B1617" t="s">
        <v>55</v>
      </c>
      <c r="C1617">
        <v>106</v>
      </c>
    </row>
    <row r="1618" spans="1:3" x14ac:dyDescent="0.25">
      <c r="A1618" s="1">
        <v>41096</v>
      </c>
      <c r="B1618" t="s">
        <v>14</v>
      </c>
      <c r="C1618">
        <v>112</v>
      </c>
    </row>
    <row r="1619" spans="1:3" x14ac:dyDescent="0.25">
      <c r="A1619" s="1">
        <v>41097</v>
      </c>
      <c r="B1619" t="s">
        <v>28</v>
      </c>
      <c r="C1619">
        <v>90</v>
      </c>
    </row>
    <row r="1620" spans="1:3" x14ac:dyDescent="0.25">
      <c r="A1620" s="1">
        <v>41099</v>
      </c>
      <c r="B1620" t="s">
        <v>16</v>
      </c>
      <c r="C1620">
        <v>7</v>
      </c>
    </row>
    <row r="1621" spans="1:3" x14ac:dyDescent="0.25">
      <c r="A1621" s="1">
        <v>41099</v>
      </c>
      <c r="B1621" t="s">
        <v>23</v>
      </c>
      <c r="C1621">
        <v>27</v>
      </c>
    </row>
    <row r="1622" spans="1:3" x14ac:dyDescent="0.25">
      <c r="A1622" s="1">
        <v>41099</v>
      </c>
      <c r="B1622" t="s">
        <v>61</v>
      </c>
      <c r="C1622">
        <v>185</v>
      </c>
    </row>
    <row r="1623" spans="1:3" x14ac:dyDescent="0.25">
      <c r="A1623" s="1">
        <v>41100</v>
      </c>
      <c r="B1623" t="s">
        <v>22</v>
      </c>
      <c r="C1623">
        <v>153</v>
      </c>
    </row>
    <row r="1624" spans="1:3" x14ac:dyDescent="0.25">
      <c r="A1624" s="1">
        <v>41102</v>
      </c>
      <c r="B1624" t="s">
        <v>61</v>
      </c>
      <c r="C1624">
        <v>109</v>
      </c>
    </row>
    <row r="1625" spans="1:3" x14ac:dyDescent="0.25">
      <c r="A1625" s="1">
        <v>41104</v>
      </c>
      <c r="B1625" t="s">
        <v>211</v>
      </c>
      <c r="C1625">
        <v>10</v>
      </c>
    </row>
    <row r="1626" spans="1:3" x14ac:dyDescent="0.25">
      <c r="A1626" s="1">
        <v>41104</v>
      </c>
      <c r="B1626" t="s">
        <v>79</v>
      </c>
      <c r="C1626">
        <v>10</v>
      </c>
    </row>
    <row r="1627" spans="1:3" x14ac:dyDescent="0.25">
      <c r="A1627" s="1">
        <v>41106</v>
      </c>
      <c r="B1627" t="s">
        <v>131</v>
      </c>
      <c r="C1627">
        <v>90</v>
      </c>
    </row>
    <row r="1628" spans="1:3" x14ac:dyDescent="0.25">
      <c r="A1628" s="1">
        <v>41106</v>
      </c>
      <c r="B1628" t="s">
        <v>58</v>
      </c>
      <c r="C1628">
        <v>34</v>
      </c>
    </row>
    <row r="1629" spans="1:3" x14ac:dyDescent="0.25">
      <c r="A1629" s="1">
        <v>41108</v>
      </c>
      <c r="B1629" t="s">
        <v>9</v>
      </c>
      <c r="C1629">
        <v>106</v>
      </c>
    </row>
    <row r="1630" spans="1:3" x14ac:dyDescent="0.25">
      <c r="A1630" s="1">
        <v>41109</v>
      </c>
      <c r="B1630" t="s">
        <v>9</v>
      </c>
      <c r="C1630">
        <v>229</v>
      </c>
    </row>
    <row r="1631" spans="1:3" x14ac:dyDescent="0.25">
      <c r="A1631" s="1">
        <v>41115</v>
      </c>
      <c r="B1631" t="s">
        <v>17</v>
      </c>
      <c r="C1631">
        <v>229</v>
      </c>
    </row>
    <row r="1632" spans="1:3" x14ac:dyDescent="0.25">
      <c r="A1632" s="1">
        <v>41115</v>
      </c>
      <c r="B1632" t="s">
        <v>47</v>
      </c>
      <c r="C1632">
        <v>20</v>
      </c>
    </row>
    <row r="1633" spans="1:3" x14ac:dyDescent="0.25">
      <c r="A1633" s="1">
        <v>41115</v>
      </c>
      <c r="B1633" t="s">
        <v>45</v>
      </c>
      <c r="C1633">
        <v>261</v>
      </c>
    </row>
    <row r="1634" spans="1:3" x14ac:dyDescent="0.25">
      <c r="A1634" s="1">
        <v>41118</v>
      </c>
      <c r="B1634" t="s">
        <v>147</v>
      </c>
      <c r="C1634">
        <v>10</v>
      </c>
    </row>
    <row r="1635" spans="1:3" x14ac:dyDescent="0.25">
      <c r="A1635" s="1">
        <v>41118</v>
      </c>
      <c r="B1635" t="s">
        <v>7</v>
      </c>
      <c r="C1635">
        <v>400</v>
      </c>
    </row>
    <row r="1636" spans="1:3" x14ac:dyDescent="0.25">
      <c r="A1636" s="1">
        <v>41122</v>
      </c>
      <c r="B1636" t="s">
        <v>14</v>
      </c>
      <c r="C1636">
        <v>401</v>
      </c>
    </row>
    <row r="1637" spans="1:3" x14ac:dyDescent="0.25">
      <c r="A1637" s="1">
        <v>41124</v>
      </c>
      <c r="B1637" t="s">
        <v>55</v>
      </c>
      <c r="C1637">
        <v>170</v>
      </c>
    </row>
    <row r="1638" spans="1:3" x14ac:dyDescent="0.25">
      <c r="A1638" s="1">
        <v>41125</v>
      </c>
      <c r="B1638" t="s">
        <v>22</v>
      </c>
      <c r="C1638">
        <v>124</v>
      </c>
    </row>
    <row r="1639" spans="1:3" x14ac:dyDescent="0.25">
      <c r="A1639" s="1">
        <v>41127</v>
      </c>
      <c r="B1639" t="s">
        <v>201</v>
      </c>
      <c r="C1639">
        <v>13</v>
      </c>
    </row>
    <row r="1640" spans="1:3" x14ac:dyDescent="0.25">
      <c r="A1640" s="1">
        <v>41130</v>
      </c>
      <c r="B1640" t="s">
        <v>19</v>
      </c>
      <c r="C1640">
        <v>87</v>
      </c>
    </row>
    <row r="1641" spans="1:3" x14ac:dyDescent="0.25">
      <c r="A1641" s="1">
        <v>41130</v>
      </c>
      <c r="B1641" t="s">
        <v>24</v>
      </c>
      <c r="C1641">
        <v>190</v>
      </c>
    </row>
    <row r="1642" spans="1:3" x14ac:dyDescent="0.25">
      <c r="A1642" s="1">
        <v>41130</v>
      </c>
      <c r="B1642" t="s">
        <v>50</v>
      </c>
      <c r="C1642">
        <v>349</v>
      </c>
    </row>
    <row r="1643" spans="1:3" x14ac:dyDescent="0.25">
      <c r="A1643" s="1">
        <v>41132</v>
      </c>
      <c r="B1643" t="s">
        <v>181</v>
      </c>
      <c r="C1643">
        <v>16</v>
      </c>
    </row>
    <row r="1644" spans="1:3" x14ac:dyDescent="0.25">
      <c r="A1644" s="1">
        <v>41133</v>
      </c>
      <c r="B1644" t="s">
        <v>71</v>
      </c>
      <c r="C1644">
        <v>42</v>
      </c>
    </row>
    <row r="1645" spans="1:3" x14ac:dyDescent="0.25">
      <c r="A1645" s="1">
        <v>41134</v>
      </c>
      <c r="B1645" t="s">
        <v>23</v>
      </c>
      <c r="C1645">
        <v>70</v>
      </c>
    </row>
    <row r="1646" spans="1:3" x14ac:dyDescent="0.25">
      <c r="A1646" s="1">
        <v>41136</v>
      </c>
      <c r="B1646" t="s">
        <v>52</v>
      </c>
      <c r="C1646">
        <v>189</v>
      </c>
    </row>
    <row r="1647" spans="1:3" x14ac:dyDescent="0.25">
      <c r="A1647" s="1">
        <v>41137</v>
      </c>
      <c r="B1647" t="s">
        <v>55</v>
      </c>
      <c r="C1647">
        <v>64</v>
      </c>
    </row>
    <row r="1648" spans="1:3" x14ac:dyDescent="0.25">
      <c r="A1648" s="1">
        <v>41141</v>
      </c>
      <c r="B1648" t="s">
        <v>35</v>
      </c>
      <c r="C1648">
        <v>76</v>
      </c>
    </row>
    <row r="1649" spans="1:3" x14ac:dyDescent="0.25">
      <c r="A1649" s="1">
        <v>41142</v>
      </c>
      <c r="B1649" t="s">
        <v>49</v>
      </c>
      <c r="C1649">
        <v>11</v>
      </c>
    </row>
    <row r="1650" spans="1:3" x14ac:dyDescent="0.25">
      <c r="A1650" s="1">
        <v>41142</v>
      </c>
      <c r="B1650" t="s">
        <v>66</v>
      </c>
      <c r="C1650">
        <v>96</v>
      </c>
    </row>
    <row r="1651" spans="1:3" x14ac:dyDescent="0.25">
      <c r="A1651" s="1">
        <v>41143</v>
      </c>
      <c r="B1651" t="s">
        <v>111</v>
      </c>
      <c r="C1651">
        <v>17</v>
      </c>
    </row>
    <row r="1652" spans="1:3" x14ac:dyDescent="0.25">
      <c r="A1652" s="1">
        <v>41143</v>
      </c>
      <c r="B1652" t="s">
        <v>18</v>
      </c>
      <c r="C1652">
        <v>92</v>
      </c>
    </row>
    <row r="1653" spans="1:3" x14ac:dyDescent="0.25">
      <c r="A1653" s="1">
        <v>41144</v>
      </c>
      <c r="B1653" t="s">
        <v>8</v>
      </c>
      <c r="C1653">
        <v>76</v>
      </c>
    </row>
    <row r="1654" spans="1:3" x14ac:dyDescent="0.25">
      <c r="A1654" s="1">
        <v>41146</v>
      </c>
      <c r="B1654" t="s">
        <v>10</v>
      </c>
      <c r="C1654">
        <v>77</v>
      </c>
    </row>
    <row r="1655" spans="1:3" x14ac:dyDescent="0.25">
      <c r="A1655" s="1">
        <v>41147</v>
      </c>
      <c r="B1655" t="s">
        <v>102</v>
      </c>
      <c r="C1655">
        <v>344</v>
      </c>
    </row>
    <row r="1656" spans="1:3" x14ac:dyDescent="0.25">
      <c r="A1656" s="1">
        <v>41147</v>
      </c>
      <c r="B1656" t="s">
        <v>7</v>
      </c>
      <c r="C1656">
        <v>218</v>
      </c>
    </row>
    <row r="1657" spans="1:3" x14ac:dyDescent="0.25">
      <c r="A1657" s="1">
        <v>41148</v>
      </c>
      <c r="B1657" t="s">
        <v>50</v>
      </c>
      <c r="C1657">
        <v>115</v>
      </c>
    </row>
    <row r="1658" spans="1:3" x14ac:dyDescent="0.25">
      <c r="A1658" s="1">
        <v>41149</v>
      </c>
      <c r="B1658" t="s">
        <v>80</v>
      </c>
      <c r="C1658">
        <v>143</v>
      </c>
    </row>
    <row r="1659" spans="1:3" x14ac:dyDescent="0.25">
      <c r="A1659" s="1">
        <v>41149</v>
      </c>
      <c r="B1659" t="s">
        <v>137</v>
      </c>
      <c r="C1659">
        <v>1</v>
      </c>
    </row>
    <row r="1660" spans="1:3" x14ac:dyDescent="0.25">
      <c r="A1660" s="1">
        <v>41154</v>
      </c>
      <c r="B1660" t="s">
        <v>69</v>
      </c>
      <c r="C1660">
        <v>133</v>
      </c>
    </row>
    <row r="1661" spans="1:3" x14ac:dyDescent="0.25">
      <c r="A1661" s="1">
        <v>41154</v>
      </c>
      <c r="B1661" t="s">
        <v>17</v>
      </c>
      <c r="C1661">
        <v>496</v>
      </c>
    </row>
    <row r="1662" spans="1:3" x14ac:dyDescent="0.25">
      <c r="A1662" s="1">
        <v>41154</v>
      </c>
      <c r="B1662" t="s">
        <v>108</v>
      </c>
      <c r="C1662">
        <v>5</v>
      </c>
    </row>
    <row r="1663" spans="1:3" x14ac:dyDescent="0.25">
      <c r="A1663" s="1">
        <v>41156</v>
      </c>
      <c r="B1663" t="s">
        <v>172</v>
      </c>
      <c r="C1663">
        <v>8</v>
      </c>
    </row>
    <row r="1664" spans="1:3" x14ac:dyDescent="0.25">
      <c r="A1664" s="1">
        <v>41157</v>
      </c>
      <c r="B1664" t="s">
        <v>52</v>
      </c>
      <c r="C1664">
        <v>59</v>
      </c>
    </row>
    <row r="1665" spans="1:3" x14ac:dyDescent="0.25">
      <c r="A1665" s="1">
        <v>41157</v>
      </c>
      <c r="B1665" t="s">
        <v>17</v>
      </c>
      <c r="C1665">
        <v>273</v>
      </c>
    </row>
    <row r="1666" spans="1:3" x14ac:dyDescent="0.25">
      <c r="A1666" s="1">
        <v>41158</v>
      </c>
      <c r="B1666" t="s">
        <v>9</v>
      </c>
      <c r="C1666">
        <v>165</v>
      </c>
    </row>
    <row r="1667" spans="1:3" x14ac:dyDescent="0.25">
      <c r="A1667" s="1">
        <v>41162</v>
      </c>
      <c r="B1667" t="s">
        <v>48</v>
      </c>
      <c r="C1667">
        <v>13</v>
      </c>
    </row>
    <row r="1668" spans="1:3" x14ac:dyDescent="0.25">
      <c r="A1668" s="1">
        <v>41163</v>
      </c>
      <c r="B1668" t="s">
        <v>69</v>
      </c>
      <c r="C1668">
        <v>143</v>
      </c>
    </row>
    <row r="1669" spans="1:3" x14ac:dyDescent="0.25">
      <c r="A1669" s="1">
        <v>41167</v>
      </c>
      <c r="B1669" t="s">
        <v>230</v>
      </c>
      <c r="C1669">
        <v>20</v>
      </c>
    </row>
    <row r="1670" spans="1:3" x14ac:dyDescent="0.25">
      <c r="A1670" s="1">
        <v>41171</v>
      </c>
      <c r="B1670" t="s">
        <v>54</v>
      </c>
      <c r="C1670">
        <v>4</v>
      </c>
    </row>
    <row r="1671" spans="1:3" x14ac:dyDescent="0.25">
      <c r="A1671" s="1">
        <v>41175</v>
      </c>
      <c r="B1671" t="s">
        <v>131</v>
      </c>
      <c r="C1671">
        <v>102</v>
      </c>
    </row>
    <row r="1672" spans="1:3" x14ac:dyDescent="0.25">
      <c r="A1672" s="1">
        <v>41177</v>
      </c>
      <c r="B1672" t="s">
        <v>6</v>
      </c>
      <c r="C1672">
        <v>155</v>
      </c>
    </row>
    <row r="1673" spans="1:3" x14ac:dyDescent="0.25">
      <c r="A1673" s="1">
        <v>41179</v>
      </c>
      <c r="B1673" t="s">
        <v>7</v>
      </c>
      <c r="C1673">
        <v>226</v>
      </c>
    </row>
    <row r="1674" spans="1:3" x14ac:dyDescent="0.25">
      <c r="A1674" s="1">
        <v>41179</v>
      </c>
      <c r="B1674" t="s">
        <v>14</v>
      </c>
      <c r="C1674">
        <v>346</v>
      </c>
    </row>
    <row r="1675" spans="1:3" x14ac:dyDescent="0.25">
      <c r="A1675" s="1">
        <v>41180</v>
      </c>
      <c r="B1675" t="s">
        <v>52</v>
      </c>
      <c r="C1675">
        <v>45</v>
      </c>
    </row>
    <row r="1676" spans="1:3" x14ac:dyDescent="0.25">
      <c r="A1676" s="1">
        <v>41182</v>
      </c>
      <c r="B1676" t="s">
        <v>151</v>
      </c>
      <c r="C1676">
        <v>11</v>
      </c>
    </row>
    <row r="1677" spans="1:3" x14ac:dyDescent="0.25">
      <c r="A1677" s="1">
        <v>41185</v>
      </c>
      <c r="B1677" t="s">
        <v>130</v>
      </c>
      <c r="C1677">
        <v>14</v>
      </c>
    </row>
    <row r="1678" spans="1:3" x14ac:dyDescent="0.25">
      <c r="A1678" s="1">
        <v>41190</v>
      </c>
      <c r="B1678" t="s">
        <v>51</v>
      </c>
      <c r="C1678">
        <v>12</v>
      </c>
    </row>
    <row r="1679" spans="1:3" x14ac:dyDescent="0.25">
      <c r="A1679" s="1">
        <v>41195</v>
      </c>
      <c r="B1679" t="s">
        <v>154</v>
      </c>
      <c r="C1679">
        <v>11</v>
      </c>
    </row>
    <row r="1680" spans="1:3" x14ac:dyDescent="0.25">
      <c r="A1680" s="1">
        <v>41195</v>
      </c>
      <c r="B1680" t="s">
        <v>26</v>
      </c>
      <c r="C1680">
        <v>142</v>
      </c>
    </row>
    <row r="1681" spans="1:3" x14ac:dyDescent="0.25">
      <c r="A1681" s="1">
        <v>41201</v>
      </c>
      <c r="B1681" t="s">
        <v>71</v>
      </c>
      <c r="C1681">
        <v>184</v>
      </c>
    </row>
    <row r="1682" spans="1:3" x14ac:dyDescent="0.25">
      <c r="A1682" s="1">
        <v>41202</v>
      </c>
      <c r="B1682" t="s">
        <v>45</v>
      </c>
      <c r="C1682">
        <v>390</v>
      </c>
    </row>
    <row r="1683" spans="1:3" x14ac:dyDescent="0.25">
      <c r="A1683" s="1">
        <v>41206</v>
      </c>
      <c r="B1683" t="s">
        <v>37</v>
      </c>
      <c r="C1683">
        <v>110</v>
      </c>
    </row>
    <row r="1684" spans="1:3" x14ac:dyDescent="0.25">
      <c r="A1684" s="1">
        <v>41207</v>
      </c>
      <c r="B1684" t="s">
        <v>19</v>
      </c>
      <c r="C1684">
        <v>92</v>
      </c>
    </row>
    <row r="1685" spans="1:3" x14ac:dyDescent="0.25">
      <c r="A1685" s="1">
        <v>41208</v>
      </c>
      <c r="B1685" t="s">
        <v>68</v>
      </c>
      <c r="C1685">
        <v>5</v>
      </c>
    </row>
    <row r="1686" spans="1:3" x14ac:dyDescent="0.25">
      <c r="A1686" s="1">
        <v>41208</v>
      </c>
      <c r="B1686" t="s">
        <v>229</v>
      </c>
      <c r="C1686">
        <v>2</v>
      </c>
    </row>
    <row r="1687" spans="1:3" x14ac:dyDescent="0.25">
      <c r="A1687" s="1">
        <v>41210</v>
      </c>
      <c r="B1687" t="s">
        <v>175</v>
      </c>
      <c r="C1687">
        <v>14</v>
      </c>
    </row>
    <row r="1688" spans="1:3" x14ac:dyDescent="0.25">
      <c r="A1688" s="1">
        <v>41213</v>
      </c>
      <c r="B1688" t="s">
        <v>84</v>
      </c>
      <c r="C1688">
        <v>6</v>
      </c>
    </row>
    <row r="1689" spans="1:3" x14ac:dyDescent="0.25">
      <c r="A1689" s="1">
        <v>41214</v>
      </c>
      <c r="B1689" t="s">
        <v>18</v>
      </c>
      <c r="C1689">
        <v>65</v>
      </c>
    </row>
    <row r="1690" spans="1:3" x14ac:dyDescent="0.25">
      <c r="A1690" s="1">
        <v>41214</v>
      </c>
      <c r="B1690" t="s">
        <v>69</v>
      </c>
      <c r="C1690">
        <v>45</v>
      </c>
    </row>
    <row r="1691" spans="1:3" x14ac:dyDescent="0.25">
      <c r="A1691" s="1">
        <v>41214</v>
      </c>
      <c r="B1691" t="s">
        <v>7</v>
      </c>
      <c r="C1691">
        <v>108</v>
      </c>
    </row>
    <row r="1692" spans="1:3" x14ac:dyDescent="0.25">
      <c r="A1692" s="1">
        <v>41215</v>
      </c>
      <c r="B1692" t="s">
        <v>37</v>
      </c>
      <c r="C1692">
        <v>159</v>
      </c>
    </row>
    <row r="1693" spans="1:3" x14ac:dyDescent="0.25">
      <c r="A1693" s="1">
        <v>41219</v>
      </c>
      <c r="B1693" t="s">
        <v>19</v>
      </c>
      <c r="C1693">
        <v>141</v>
      </c>
    </row>
    <row r="1694" spans="1:3" x14ac:dyDescent="0.25">
      <c r="A1694" s="1">
        <v>41219</v>
      </c>
      <c r="B1694" t="s">
        <v>38</v>
      </c>
      <c r="C1694">
        <v>14</v>
      </c>
    </row>
    <row r="1695" spans="1:3" x14ac:dyDescent="0.25">
      <c r="A1695" s="1">
        <v>41222</v>
      </c>
      <c r="B1695" t="s">
        <v>10</v>
      </c>
      <c r="C1695">
        <v>142</v>
      </c>
    </row>
    <row r="1696" spans="1:3" x14ac:dyDescent="0.25">
      <c r="A1696" s="1">
        <v>41223</v>
      </c>
      <c r="B1696" t="s">
        <v>9</v>
      </c>
      <c r="C1696">
        <v>167</v>
      </c>
    </row>
    <row r="1697" spans="1:3" x14ac:dyDescent="0.25">
      <c r="A1697" s="1">
        <v>41224</v>
      </c>
      <c r="B1697" t="s">
        <v>175</v>
      </c>
      <c r="C1697">
        <v>12</v>
      </c>
    </row>
    <row r="1698" spans="1:3" x14ac:dyDescent="0.25">
      <c r="A1698" s="1">
        <v>41229</v>
      </c>
      <c r="B1698" t="s">
        <v>28</v>
      </c>
      <c r="C1698">
        <v>187</v>
      </c>
    </row>
    <row r="1699" spans="1:3" x14ac:dyDescent="0.25">
      <c r="A1699" s="1">
        <v>41232</v>
      </c>
      <c r="B1699" t="s">
        <v>41</v>
      </c>
      <c r="C1699">
        <v>14</v>
      </c>
    </row>
    <row r="1700" spans="1:3" x14ac:dyDescent="0.25">
      <c r="A1700" s="1">
        <v>41235</v>
      </c>
      <c r="B1700" t="s">
        <v>165</v>
      </c>
      <c r="C1700">
        <v>10</v>
      </c>
    </row>
    <row r="1701" spans="1:3" x14ac:dyDescent="0.25">
      <c r="A1701" s="1">
        <v>41236</v>
      </c>
      <c r="B1701" t="s">
        <v>22</v>
      </c>
      <c r="C1701">
        <v>269</v>
      </c>
    </row>
    <row r="1702" spans="1:3" x14ac:dyDescent="0.25">
      <c r="A1702" s="1">
        <v>41236</v>
      </c>
      <c r="B1702" t="s">
        <v>5</v>
      </c>
      <c r="C1702">
        <v>328</v>
      </c>
    </row>
    <row r="1703" spans="1:3" x14ac:dyDescent="0.25">
      <c r="A1703" s="1">
        <v>41237</v>
      </c>
      <c r="B1703" t="s">
        <v>9</v>
      </c>
      <c r="C1703">
        <v>228</v>
      </c>
    </row>
    <row r="1704" spans="1:3" x14ac:dyDescent="0.25">
      <c r="A1704" s="1">
        <v>41239</v>
      </c>
      <c r="B1704" t="s">
        <v>2</v>
      </c>
      <c r="C1704">
        <v>12</v>
      </c>
    </row>
    <row r="1705" spans="1:3" x14ac:dyDescent="0.25">
      <c r="A1705" s="1">
        <v>41244</v>
      </c>
      <c r="B1705" t="s">
        <v>93</v>
      </c>
      <c r="C1705">
        <v>16</v>
      </c>
    </row>
    <row r="1706" spans="1:3" x14ac:dyDescent="0.25">
      <c r="A1706" s="1">
        <v>41247</v>
      </c>
      <c r="B1706" t="s">
        <v>17</v>
      </c>
      <c r="C1706">
        <v>233</v>
      </c>
    </row>
    <row r="1707" spans="1:3" x14ac:dyDescent="0.25">
      <c r="A1707" s="1">
        <v>41248</v>
      </c>
      <c r="B1707" t="s">
        <v>132</v>
      </c>
      <c r="C1707">
        <v>10</v>
      </c>
    </row>
    <row r="1708" spans="1:3" x14ac:dyDescent="0.25">
      <c r="A1708" s="1">
        <v>41251</v>
      </c>
      <c r="B1708" t="s">
        <v>10</v>
      </c>
      <c r="C1708">
        <v>168</v>
      </c>
    </row>
    <row r="1709" spans="1:3" x14ac:dyDescent="0.25">
      <c r="A1709" s="1">
        <v>41251</v>
      </c>
      <c r="B1709" t="s">
        <v>5</v>
      </c>
      <c r="C1709">
        <v>388</v>
      </c>
    </row>
    <row r="1710" spans="1:3" x14ac:dyDescent="0.25">
      <c r="A1710" s="1">
        <v>41252</v>
      </c>
      <c r="B1710" t="s">
        <v>50</v>
      </c>
      <c r="C1710">
        <v>319</v>
      </c>
    </row>
    <row r="1711" spans="1:3" x14ac:dyDescent="0.25">
      <c r="A1711" s="1">
        <v>41254</v>
      </c>
      <c r="B1711" t="s">
        <v>67</v>
      </c>
      <c r="C1711">
        <v>12</v>
      </c>
    </row>
    <row r="1712" spans="1:3" x14ac:dyDescent="0.25">
      <c r="A1712" s="1">
        <v>41256</v>
      </c>
      <c r="B1712" t="s">
        <v>173</v>
      </c>
      <c r="C1712">
        <v>150</v>
      </c>
    </row>
    <row r="1713" spans="1:3" x14ac:dyDescent="0.25">
      <c r="A1713" s="1">
        <v>41258</v>
      </c>
      <c r="B1713" t="s">
        <v>9</v>
      </c>
      <c r="C1713">
        <v>347</v>
      </c>
    </row>
    <row r="1714" spans="1:3" x14ac:dyDescent="0.25">
      <c r="A1714" s="1">
        <v>41259</v>
      </c>
      <c r="B1714" t="s">
        <v>23</v>
      </c>
      <c r="C1714">
        <v>177</v>
      </c>
    </row>
    <row r="1715" spans="1:3" x14ac:dyDescent="0.25">
      <c r="A1715" s="1">
        <v>41262</v>
      </c>
      <c r="B1715" t="s">
        <v>45</v>
      </c>
      <c r="C1715">
        <v>222</v>
      </c>
    </row>
    <row r="1716" spans="1:3" x14ac:dyDescent="0.25">
      <c r="A1716" s="1">
        <v>41273</v>
      </c>
      <c r="B1716" t="s">
        <v>49</v>
      </c>
      <c r="C1716">
        <v>9</v>
      </c>
    </row>
    <row r="1717" spans="1:3" x14ac:dyDescent="0.25">
      <c r="A1717" s="1">
        <v>41273</v>
      </c>
      <c r="B1717" t="s">
        <v>231</v>
      </c>
      <c r="C1717">
        <v>14</v>
      </c>
    </row>
    <row r="1718" spans="1:3" x14ac:dyDescent="0.25">
      <c r="A1718" s="1">
        <v>41275</v>
      </c>
      <c r="B1718" t="s">
        <v>3</v>
      </c>
      <c r="C1718">
        <v>7</v>
      </c>
    </row>
    <row r="1719" spans="1:3" x14ac:dyDescent="0.25">
      <c r="A1719" s="1">
        <v>41279</v>
      </c>
      <c r="B1719" t="s">
        <v>66</v>
      </c>
      <c r="C1719">
        <v>171</v>
      </c>
    </row>
    <row r="1720" spans="1:3" x14ac:dyDescent="0.25">
      <c r="A1720" s="1">
        <v>41283</v>
      </c>
      <c r="B1720" t="s">
        <v>208</v>
      </c>
      <c r="C1720">
        <v>16</v>
      </c>
    </row>
    <row r="1721" spans="1:3" x14ac:dyDescent="0.25">
      <c r="A1721" s="1">
        <v>41284</v>
      </c>
      <c r="B1721" t="s">
        <v>18</v>
      </c>
      <c r="C1721">
        <v>176</v>
      </c>
    </row>
    <row r="1722" spans="1:3" x14ac:dyDescent="0.25">
      <c r="A1722" s="1">
        <v>41287</v>
      </c>
      <c r="B1722" t="s">
        <v>55</v>
      </c>
      <c r="C1722">
        <v>37</v>
      </c>
    </row>
    <row r="1723" spans="1:3" x14ac:dyDescent="0.25">
      <c r="A1723" s="1">
        <v>41290</v>
      </c>
      <c r="B1723" t="s">
        <v>18</v>
      </c>
      <c r="C1723">
        <v>186</v>
      </c>
    </row>
    <row r="1724" spans="1:3" x14ac:dyDescent="0.25">
      <c r="A1724" s="1">
        <v>41290</v>
      </c>
      <c r="B1724" t="s">
        <v>61</v>
      </c>
      <c r="C1724">
        <v>45</v>
      </c>
    </row>
    <row r="1725" spans="1:3" x14ac:dyDescent="0.25">
      <c r="A1725" s="1">
        <v>41294</v>
      </c>
      <c r="B1725" t="s">
        <v>52</v>
      </c>
      <c r="C1725">
        <v>186</v>
      </c>
    </row>
    <row r="1726" spans="1:3" x14ac:dyDescent="0.25">
      <c r="A1726" s="1">
        <v>41294</v>
      </c>
      <c r="B1726" t="s">
        <v>14</v>
      </c>
      <c r="C1726">
        <v>211</v>
      </c>
    </row>
    <row r="1727" spans="1:3" x14ac:dyDescent="0.25">
      <c r="A1727" s="1">
        <v>41300</v>
      </c>
      <c r="B1727" t="s">
        <v>9</v>
      </c>
      <c r="C1727">
        <v>330</v>
      </c>
    </row>
    <row r="1728" spans="1:3" x14ac:dyDescent="0.25">
      <c r="A1728" s="1">
        <v>41301</v>
      </c>
      <c r="B1728" t="s">
        <v>14</v>
      </c>
      <c r="C1728">
        <v>134</v>
      </c>
    </row>
    <row r="1729" spans="1:3" x14ac:dyDescent="0.25">
      <c r="A1729" s="1">
        <v>41301</v>
      </c>
      <c r="B1729" t="s">
        <v>9</v>
      </c>
      <c r="C1729">
        <v>459</v>
      </c>
    </row>
    <row r="1730" spans="1:3" x14ac:dyDescent="0.25">
      <c r="A1730" s="1">
        <v>41302</v>
      </c>
      <c r="B1730" t="s">
        <v>26</v>
      </c>
      <c r="C1730">
        <v>185</v>
      </c>
    </row>
    <row r="1731" spans="1:3" x14ac:dyDescent="0.25">
      <c r="A1731" s="1">
        <v>41303</v>
      </c>
      <c r="B1731" t="s">
        <v>67</v>
      </c>
      <c r="C1731">
        <v>3</v>
      </c>
    </row>
    <row r="1732" spans="1:3" x14ac:dyDescent="0.25">
      <c r="A1732" s="1">
        <v>41305</v>
      </c>
      <c r="B1732" t="s">
        <v>30</v>
      </c>
      <c r="C1732">
        <v>181</v>
      </c>
    </row>
    <row r="1733" spans="1:3" x14ac:dyDescent="0.25">
      <c r="A1733" s="1">
        <v>41309</v>
      </c>
      <c r="B1733" t="s">
        <v>17</v>
      </c>
      <c r="C1733">
        <v>441</v>
      </c>
    </row>
    <row r="1734" spans="1:3" x14ac:dyDescent="0.25">
      <c r="A1734" s="1">
        <v>41310</v>
      </c>
      <c r="B1734" t="s">
        <v>45</v>
      </c>
      <c r="C1734">
        <v>487</v>
      </c>
    </row>
    <row r="1735" spans="1:3" x14ac:dyDescent="0.25">
      <c r="A1735" s="1">
        <v>41310</v>
      </c>
      <c r="B1735" t="s">
        <v>52</v>
      </c>
      <c r="C1735">
        <v>56</v>
      </c>
    </row>
    <row r="1736" spans="1:3" x14ac:dyDescent="0.25">
      <c r="A1736" s="1">
        <v>41314</v>
      </c>
      <c r="B1736" t="s">
        <v>12</v>
      </c>
      <c r="C1736">
        <v>23</v>
      </c>
    </row>
    <row r="1737" spans="1:3" x14ac:dyDescent="0.25">
      <c r="A1737" s="1">
        <v>41314</v>
      </c>
      <c r="B1737" t="s">
        <v>131</v>
      </c>
      <c r="C1737">
        <v>113</v>
      </c>
    </row>
    <row r="1738" spans="1:3" x14ac:dyDescent="0.25">
      <c r="A1738" s="1">
        <v>41315</v>
      </c>
      <c r="B1738" t="s">
        <v>200</v>
      </c>
      <c r="C1738">
        <v>19</v>
      </c>
    </row>
    <row r="1739" spans="1:3" x14ac:dyDescent="0.25">
      <c r="A1739" s="1">
        <v>41316</v>
      </c>
      <c r="B1739" t="s">
        <v>78</v>
      </c>
      <c r="C1739">
        <v>188</v>
      </c>
    </row>
    <row r="1740" spans="1:3" x14ac:dyDescent="0.25">
      <c r="A1740" s="1">
        <v>41316</v>
      </c>
      <c r="B1740" t="s">
        <v>7</v>
      </c>
      <c r="C1740">
        <v>338</v>
      </c>
    </row>
    <row r="1741" spans="1:3" x14ac:dyDescent="0.25">
      <c r="A1741" s="1">
        <v>41317</v>
      </c>
      <c r="B1741" t="s">
        <v>31</v>
      </c>
      <c r="C1741">
        <v>80</v>
      </c>
    </row>
    <row r="1742" spans="1:3" x14ac:dyDescent="0.25">
      <c r="A1742" s="1">
        <v>41318</v>
      </c>
      <c r="B1742" t="s">
        <v>171</v>
      </c>
      <c r="C1742">
        <v>20</v>
      </c>
    </row>
    <row r="1743" spans="1:3" x14ac:dyDescent="0.25">
      <c r="A1743" s="1">
        <v>41321</v>
      </c>
      <c r="B1743" t="s">
        <v>159</v>
      </c>
      <c r="C1743">
        <v>1</v>
      </c>
    </row>
    <row r="1744" spans="1:3" x14ac:dyDescent="0.25">
      <c r="A1744" s="1">
        <v>41322</v>
      </c>
      <c r="B1744" t="s">
        <v>52</v>
      </c>
      <c r="C1744">
        <v>200</v>
      </c>
    </row>
    <row r="1745" spans="1:3" x14ac:dyDescent="0.25">
      <c r="A1745" s="1">
        <v>41323</v>
      </c>
      <c r="B1745" t="s">
        <v>5</v>
      </c>
      <c r="C1745">
        <v>429</v>
      </c>
    </row>
    <row r="1746" spans="1:3" x14ac:dyDescent="0.25">
      <c r="A1746" s="1">
        <v>41324</v>
      </c>
      <c r="B1746" t="s">
        <v>12</v>
      </c>
      <c r="C1746">
        <v>183</v>
      </c>
    </row>
    <row r="1747" spans="1:3" x14ac:dyDescent="0.25">
      <c r="A1747" s="1">
        <v>41325</v>
      </c>
      <c r="B1747" t="s">
        <v>10</v>
      </c>
      <c r="C1747">
        <v>26</v>
      </c>
    </row>
    <row r="1748" spans="1:3" x14ac:dyDescent="0.25">
      <c r="A1748" s="1">
        <v>41326</v>
      </c>
      <c r="B1748" t="s">
        <v>180</v>
      </c>
      <c r="C1748">
        <v>2</v>
      </c>
    </row>
    <row r="1749" spans="1:3" x14ac:dyDescent="0.25">
      <c r="A1749" s="1">
        <v>41328</v>
      </c>
      <c r="B1749" t="s">
        <v>7</v>
      </c>
      <c r="C1749">
        <v>174</v>
      </c>
    </row>
    <row r="1750" spans="1:3" x14ac:dyDescent="0.25">
      <c r="A1750" s="1">
        <v>41329</v>
      </c>
      <c r="B1750" t="s">
        <v>52</v>
      </c>
      <c r="C1750">
        <v>98</v>
      </c>
    </row>
    <row r="1751" spans="1:3" x14ac:dyDescent="0.25">
      <c r="A1751" s="1">
        <v>41329</v>
      </c>
      <c r="B1751" t="s">
        <v>185</v>
      </c>
      <c r="C1751">
        <v>11</v>
      </c>
    </row>
    <row r="1752" spans="1:3" x14ac:dyDescent="0.25">
      <c r="A1752" s="1">
        <v>41332</v>
      </c>
      <c r="B1752" t="s">
        <v>28</v>
      </c>
      <c r="C1752">
        <v>58</v>
      </c>
    </row>
    <row r="1753" spans="1:3" x14ac:dyDescent="0.25">
      <c r="A1753" s="1">
        <v>41336</v>
      </c>
      <c r="B1753" t="s">
        <v>15</v>
      </c>
      <c r="C1753">
        <v>17</v>
      </c>
    </row>
    <row r="1754" spans="1:3" x14ac:dyDescent="0.25">
      <c r="A1754" s="1">
        <v>41337</v>
      </c>
      <c r="B1754" t="s">
        <v>17</v>
      </c>
      <c r="C1754">
        <v>143</v>
      </c>
    </row>
    <row r="1755" spans="1:3" x14ac:dyDescent="0.25">
      <c r="A1755" s="1">
        <v>41339</v>
      </c>
      <c r="B1755" t="s">
        <v>52</v>
      </c>
      <c r="C1755">
        <v>108</v>
      </c>
    </row>
    <row r="1756" spans="1:3" x14ac:dyDescent="0.25">
      <c r="A1756" s="1">
        <v>41346</v>
      </c>
      <c r="B1756" t="s">
        <v>102</v>
      </c>
      <c r="C1756">
        <v>424</v>
      </c>
    </row>
    <row r="1757" spans="1:3" x14ac:dyDescent="0.25">
      <c r="A1757" s="1">
        <v>41351</v>
      </c>
      <c r="B1757" t="s">
        <v>221</v>
      </c>
      <c r="C1757">
        <v>9</v>
      </c>
    </row>
    <row r="1758" spans="1:3" x14ac:dyDescent="0.25">
      <c r="A1758" s="1">
        <v>41352</v>
      </c>
      <c r="B1758" t="s">
        <v>28</v>
      </c>
      <c r="C1758">
        <v>135</v>
      </c>
    </row>
    <row r="1759" spans="1:3" x14ac:dyDescent="0.25">
      <c r="A1759" s="1">
        <v>41356</v>
      </c>
      <c r="B1759" t="s">
        <v>14</v>
      </c>
      <c r="C1759">
        <v>202</v>
      </c>
    </row>
    <row r="1760" spans="1:3" x14ac:dyDescent="0.25">
      <c r="A1760" s="1">
        <v>41357</v>
      </c>
      <c r="B1760" t="s">
        <v>45</v>
      </c>
      <c r="C1760">
        <v>459</v>
      </c>
    </row>
    <row r="1761" spans="1:3" x14ac:dyDescent="0.25">
      <c r="A1761" s="1">
        <v>41361</v>
      </c>
      <c r="B1761" t="s">
        <v>58</v>
      </c>
      <c r="C1761">
        <v>107</v>
      </c>
    </row>
    <row r="1762" spans="1:3" x14ac:dyDescent="0.25">
      <c r="A1762" s="1">
        <v>41362</v>
      </c>
      <c r="B1762" t="s">
        <v>35</v>
      </c>
      <c r="C1762">
        <v>37</v>
      </c>
    </row>
    <row r="1763" spans="1:3" x14ac:dyDescent="0.25">
      <c r="A1763" s="1">
        <v>41363</v>
      </c>
      <c r="B1763" t="s">
        <v>61</v>
      </c>
      <c r="C1763">
        <v>43</v>
      </c>
    </row>
    <row r="1764" spans="1:3" x14ac:dyDescent="0.25">
      <c r="A1764" s="1">
        <v>41365</v>
      </c>
      <c r="B1764" t="s">
        <v>9</v>
      </c>
      <c r="C1764">
        <v>352</v>
      </c>
    </row>
    <row r="1765" spans="1:3" x14ac:dyDescent="0.25">
      <c r="A1765" s="1">
        <v>41368</v>
      </c>
      <c r="B1765" t="s">
        <v>18</v>
      </c>
      <c r="C1765">
        <v>94</v>
      </c>
    </row>
    <row r="1766" spans="1:3" x14ac:dyDescent="0.25">
      <c r="A1766" s="1">
        <v>41368</v>
      </c>
      <c r="B1766" t="s">
        <v>66</v>
      </c>
      <c r="C1766">
        <v>112</v>
      </c>
    </row>
    <row r="1767" spans="1:3" x14ac:dyDescent="0.25">
      <c r="A1767" s="1">
        <v>41369</v>
      </c>
      <c r="B1767" t="s">
        <v>61</v>
      </c>
      <c r="C1767">
        <v>136</v>
      </c>
    </row>
    <row r="1768" spans="1:3" x14ac:dyDescent="0.25">
      <c r="A1768" s="1">
        <v>41370</v>
      </c>
      <c r="B1768" t="s">
        <v>78</v>
      </c>
      <c r="C1768">
        <v>56</v>
      </c>
    </row>
    <row r="1769" spans="1:3" x14ac:dyDescent="0.25">
      <c r="A1769" s="1">
        <v>41372</v>
      </c>
      <c r="B1769" t="s">
        <v>14</v>
      </c>
      <c r="C1769">
        <v>286</v>
      </c>
    </row>
    <row r="1770" spans="1:3" x14ac:dyDescent="0.25">
      <c r="A1770" s="1">
        <v>41373</v>
      </c>
      <c r="B1770" t="s">
        <v>7</v>
      </c>
      <c r="C1770">
        <v>296</v>
      </c>
    </row>
    <row r="1771" spans="1:3" x14ac:dyDescent="0.25">
      <c r="A1771" s="1">
        <v>41373</v>
      </c>
      <c r="B1771" t="s">
        <v>25</v>
      </c>
      <c r="C1771">
        <v>81</v>
      </c>
    </row>
    <row r="1772" spans="1:3" x14ac:dyDescent="0.25">
      <c r="A1772" s="1">
        <v>41374</v>
      </c>
      <c r="B1772" t="s">
        <v>14</v>
      </c>
      <c r="C1772">
        <v>231</v>
      </c>
    </row>
    <row r="1773" spans="1:3" x14ac:dyDescent="0.25">
      <c r="A1773" s="1">
        <v>41375</v>
      </c>
      <c r="B1773" t="s">
        <v>17</v>
      </c>
      <c r="C1773">
        <v>149</v>
      </c>
    </row>
    <row r="1774" spans="1:3" x14ac:dyDescent="0.25">
      <c r="A1774" s="1">
        <v>41375</v>
      </c>
      <c r="B1774" t="s">
        <v>132</v>
      </c>
      <c r="C1774">
        <v>3</v>
      </c>
    </row>
    <row r="1775" spans="1:3" x14ac:dyDescent="0.25">
      <c r="A1775" s="1">
        <v>41376</v>
      </c>
      <c r="B1775" t="s">
        <v>14</v>
      </c>
      <c r="C1775">
        <v>311</v>
      </c>
    </row>
    <row r="1776" spans="1:3" x14ac:dyDescent="0.25">
      <c r="A1776" s="1">
        <v>41379</v>
      </c>
      <c r="B1776" t="s">
        <v>66</v>
      </c>
      <c r="C1776">
        <v>121</v>
      </c>
    </row>
    <row r="1777" spans="1:3" x14ac:dyDescent="0.25">
      <c r="A1777" s="1">
        <v>41380</v>
      </c>
      <c r="B1777" t="s">
        <v>153</v>
      </c>
      <c r="C1777">
        <v>15</v>
      </c>
    </row>
    <row r="1778" spans="1:3" x14ac:dyDescent="0.25">
      <c r="A1778" s="1">
        <v>41381</v>
      </c>
      <c r="B1778" t="s">
        <v>136</v>
      </c>
      <c r="C1778">
        <v>14</v>
      </c>
    </row>
    <row r="1779" spans="1:3" x14ac:dyDescent="0.25">
      <c r="A1779" s="1">
        <v>41381</v>
      </c>
      <c r="B1779" t="s">
        <v>7</v>
      </c>
      <c r="C1779">
        <v>240</v>
      </c>
    </row>
    <row r="1780" spans="1:3" x14ac:dyDescent="0.25">
      <c r="A1780" s="1">
        <v>41383</v>
      </c>
      <c r="B1780" t="s">
        <v>56</v>
      </c>
      <c r="C1780">
        <v>12</v>
      </c>
    </row>
    <row r="1781" spans="1:3" x14ac:dyDescent="0.25">
      <c r="A1781" s="1">
        <v>41385</v>
      </c>
      <c r="B1781" t="s">
        <v>199</v>
      </c>
      <c r="C1781">
        <v>1</v>
      </c>
    </row>
    <row r="1782" spans="1:3" x14ac:dyDescent="0.25">
      <c r="A1782" s="1">
        <v>41388</v>
      </c>
      <c r="B1782" t="s">
        <v>232</v>
      </c>
      <c r="C1782">
        <v>12</v>
      </c>
    </row>
    <row r="1783" spans="1:3" x14ac:dyDescent="0.25">
      <c r="A1783" s="1">
        <v>41391</v>
      </c>
      <c r="B1783" t="s">
        <v>18</v>
      </c>
      <c r="C1783">
        <v>190</v>
      </c>
    </row>
    <row r="1784" spans="1:3" x14ac:dyDescent="0.25">
      <c r="A1784" s="1">
        <v>41392</v>
      </c>
      <c r="B1784" t="s">
        <v>63</v>
      </c>
      <c r="C1784">
        <v>179</v>
      </c>
    </row>
    <row r="1785" spans="1:3" x14ac:dyDescent="0.25">
      <c r="A1785" s="1">
        <v>41394</v>
      </c>
      <c r="B1785" t="s">
        <v>22</v>
      </c>
      <c r="C1785">
        <v>106</v>
      </c>
    </row>
    <row r="1786" spans="1:3" x14ac:dyDescent="0.25">
      <c r="A1786" s="1">
        <v>41396</v>
      </c>
      <c r="B1786" t="s">
        <v>7</v>
      </c>
      <c r="C1786">
        <v>267</v>
      </c>
    </row>
    <row r="1787" spans="1:3" x14ac:dyDescent="0.25">
      <c r="A1787" s="1">
        <v>41396</v>
      </c>
      <c r="B1787" t="s">
        <v>123</v>
      </c>
      <c r="C1787">
        <v>66</v>
      </c>
    </row>
    <row r="1788" spans="1:3" x14ac:dyDescent="0.25">
      <c r="A1788" s="1">
        <v>41398</v>
      </c>
      <c r="B1788" t="s">
        <v>14</v>
      </c>
      <c r="C1788">
        <v>471</v>
      </c>
    </row>
    <row r="1789" spans="1:3" x14ac:dyDescent="0.25">
      <c r="A1789" s="1">
        <v>41399</v>
      </c>
      <c r="B1789" t="s">
        <v>60</v>
      </c>
      <c r="C1789">
        <v>5</v>
      </c>
    </row>
    <row r="1790" spans="1:3" x14ac:dyDescent="0.25">
      <c r="A1790" s="1">
        <v>41401</v>
      </c>
      <c r="B1790" t="s">
        <v>221</v>
      </c>
      <c r="C1790">
        <v>11</v>
      </c>
    </row>
    <row r="1791" spans="1:3" x14ac:dyDescent="0.25">
      <c r="A1791" s="1">
        <v>41403</v>
      </c>
      <c r="B1791" t="s">
        <v>71</v>
      </c>
      <c r="C1791">
        <v>103</v>
      </c>
    </row>
    <row r="1792" spans="1:3" x14ac:dyDescent="0.25">
      <c r="A1792" s="1">
        <v>41403</v>
      </c>
      <c r="B1792" t="s">
        <v>19</v>
      </c>
      <c r="C1792">
        <v>92</v>
      </c>
    </row>
    <row r="1793" spans="1:3" x14ac:dyDescent="0.25">
      <c r="A1793" s="1">
        <v>41405</v>
      </c>
      <c r="B1793" t="s">
        <v>10</v>
      </c>
      <c r="C1793">
        <v>115</v>
      </c>
    </row>
    <row r="1794" spans="1:3" x14ac:dyDescent="0.25">
      <c r="A1794" s="1">
        <v>41406</v>
      </c>
      <c r="B1794" t="s">
        <v>52</v>
      </c>
      <c r="C1794">
        <v>62</v>
      </c>
    </row>
    <row r="1795" spans="1:3" x14ac:dyDescent="0.25">
      <c r="A1795" s="1">
        <v>41406</v>
      </c>
      <c r="B1795" t="s">
        <v>5</v>
      </c>
      <c r="C1795">
        <v>420</v>
      </c>
    </row>
    <row r="1796" spans="1:3" x14ac:dyDescent="0.25">
      <c r="A1796" s="1">
        <v>41406</v>
      </c>
      <c r="B1796" t="s">
        <v>30</v>
      </c>
      <c r="C1796">
        <v>81</v>
      </c>
    </row>
    <row r="1797" spans="1:3" x14ac:dyDescent="0.25">
      <c r="A1797" s="1">
        <v>41407</v>
      </c>
      <c r="B1797" t="s">
        <v>9</v>
      </c>
      <c r="C1797">
        <v>412</v>
      </c>
    </row>
    <row r="1798" spans="1:3" x14ac:dyDescent="0.25">
      <c r="A1798" s="1">
        <v>41409</v>
      </c>
      <c r="B1798" t="s">
        <v>45</v>
      </c>
      <c r="C1798">
        <v>377</v>
      </c>
    </row>
    <row r="1799" spans="1:3" x14ac:dyDescent="0.25">
      <c r="A1799" s="1">
        <v>41414</v>
      </c>
      <c r="B1799" t="s">
        <v>45</v>
      </c>
      <c r="C1799">
        <v>461</v>
      </c>
    </row>
    <row r="1800" spans="1:3" x14ac:dyDescent="0.25">
      <c r="A1800" s="1">
        <v>41414</v>
      </c>
      <c r="B1800" t="s">
        <v>71</v>
      </c>
      <c r="C1800">
        <v>138</v>
      </c>
    </row>
    <row r="1801" spans="1:3" x14ac:dyDescent="0.25">
      <c r="A1801" s="1">
        <v>41418</v>
      </c>
      <c r="B1801" t="s">
        <v>47</v>
      </c>
      <c r="C1801">
        <v>17</v>
      </c>
    </row>
    <row r="1802" spans="1:3" x14ac:dyDescent="0.25">
      <c r="A1802" s="1">
        <v>41422</v>
      </c>
      <c r="B1802" t="s">
        <v>197</v>
      </c>
      <c r="C1802">
        <v>8</v>
      </c>
    </row>
    <row r="1803" spans="1:3" x14ac:dyDescent="0.25">
      <c r="A1803" s="1">
        <v>41424</v>
      </c>
      <c r="B1803" t="s">
        <v>9</v>
      </c>
      <c r="C1803">
        <v>448</v>
      </c>
    </row>
    <row r="1804" spans="1:3" x14ac:dyDescent="0.25">
      <c r="A1804" s="1">
        <v>41426</v>
      </c>
      <c r="B1804" t="s">
        <v>9</v>
      </c>
      <c r="C1804">
        <v>240</v>
      </c>
    </row>
    <row r="1805" spans="1:3" x14ac:dyDescent="0.25">
      <c r="A1805" s="1">
        <v>41427</v>
      </c>
      <c r="B1805" t="s">
        <v>22</v>
      </c>
      <c r="C1805">
        <v>388</v>
      </c>
    </row>
    <row r="1806" spans="1:3" x14ac:dyDescent="0.25">
      <c r="A1806" s="1">
        <v>41429</v>
      </c>
      <c r="B1806" t="s">
        <v>7</v>
      </c>
      <c r="C1806">
        <v>455</v>
      </c>
    </row>
    <row r="1807" spans="1:3" x14ac:dyDescent="0.25">
      <c r="A1807" s="1">
        <v>41429</v>
      </c>
      <c r="B1807" t="s">
        <v>17</v>
      </c>
      <c r="C1807">
        <v>269</v>
      </c>
    </row>
    <row r="1808" spans="1:3" x14ac:dyDescent="0.25">
      <c r="A1808" s="1">
        <v>41432</v>
      </c>
      <c r="B1808" t="s">
        <v>6</v>
      </c>
      <c r="C1808">
        <v>81</v>
      </c>
    </row>
    <row r="1809" spans="1:3" x14ac:dyDescent="0.25">
      <c r="A1809" s="1">
        <v>41432</v>
      </c>
      <c r="B1809" t="s">
        <v>10</v>
      </c>
      <c r="C1809">
        <v>99</v>
      </c>
    </row>
    <row r="1810" spans="1:3" x14ac:dyDescent="0.25">
      <c r="A1810" s="1">
        <v>41437</v>
      </c>
      <c r="B1810" t="s">
        <v>170</v>
      </c>
      <c r="C1810">
        <v>12</v>
      </c>
    </row>
    <row r="1811" spans="1:3" x14ac:dyDescent="0.25">
      <c r="A1811" s="1">
        <v>41439</v>
      </c>
      <c r="B1811" t="s">
        <v>233</v>
      </c>
      <c r="C1811">
        <v>4</v>
      </c>
    </row>
    <row r="1812" spans="1:3" x14ac:dyDescent="0.25">
      <c r="A1812" s="1">
        <v>41440</v>
      </c>
      <c r="B1812" t="s">
        <v>30</v>
      </c>
      <c r="C1812">
        <v>132</v>
      </c>
    </row>
    <row r="1813" spans="1:3" x14ac:dyDescent="0.25">
      <c r="A1813" s="1">
        <v>41441</v>
      </c>
      <c r="B1813" t="s">
        <v>131</v>
      </c>
      <c r="C1813">
        <v>83</v>
      </c>
    </row>
    <row r="1814" spans="1:3" x14ac:dyDescent="0.25">
      <c r="A1814" s="1">
        <v>41446</v>
      </c>
      <c r="B1814" t="s">
        <v>205</v>
      </c>
      <c r="C1814">
        <v>7</v>
      </c>
    </row>
    <row r="1815" spans="1:3" x14ac:dyDescent="0.25">
      <c r="A1815" s="1">
        <v>41447</v>
      </c>
      <c r="B1815" t="s">
        <v>154</v>
      </c>
      <c r="C1815">
        <v>9</v>
      </c>
    </row>
    <row r="1816" spans="1:3" x14ac:dyDescent="0.25">
      <c r="A1816" s="1">
        <v>41448</v>
      </c>
      <c r="B1816" t="s">
        <v>159</v>
      </c>
      <c r="C1816">
        <v>20</v>
      </c>
    </row>
    <row r="1817" spans="1:3" x14ac:dyDescent="0.25">
      <c r="A1817" s="1">
        <v>41449</v>
      </c>
      <c r="B1817" t="s">
        <v>10</v>
      </c>
      <c r="C1817">
        <v>98</v>
      </c>
    </row>
    <row r="1818" spans="1:3" x14ac:dyDescent="0.25">
      <c r="A1818" s="1">
        <v>41451</v>
      </c>
      <c r="B1818" t="s">
        <v>137</v>
      </c>
      <c r="C1818">
        <v>9</v>
      </c>
    </row>
    <row r="1819" spans="1:3" x14ac:dyDescent="0.25">
      <c r="A1819" s="1">
        <v>41453</v>
      </c>
      <c r="B1819" t="s">
        <v>64</v>
      </c>
      <c r="C1819">
        <v>13</v>
      </c>
    </row>
    <row r="1820" spans="1:3" x14ac:dyDescent="0.25">
      <c r="A1820" s="1">
        <v>41456</v>
      </c>
      <c r="B1820" t="s">
        <v>50</v>
      </c>
      <c r="C1820">
        <v>424</v>
      </c>
    </row>
    <row r="1821" spans="1:3" x14ac:dyDescent="0.25">
      <c r="A1821" s="1">
        <v>41461</v>
      </c>
      <c r="B1821" t="s">
        <v>39</v>
      </c>
      <c r="C1821">
        <v>31</v>
      </c>
    </row>
    <row r="1822" spans="1:3" x14ac:dyDescent="0.25">
      <c r="A1822" s="1">
        <v>41462</v>
      </c>
      <c r="B1822" t="s">
        <v>57</v>
      </c>
      <c r="C1822">
        <v>18</v>
      </c>
    </row>
    <row r="1823" spans="1:3" x14ac:dyDescent="0.25">
      <c r="A1823" s="1">
        <v>41464</v>
      </c>
      <c r="B1823" t="s">
        <v>6</v>
      </c>
      <c r="C1823">
        <v>172</v>
      </c>
    </row>
    <row r="1824" spans="1:3" x14ac:dyDescent="0.25">
      <c r="A1824" s="1">
        <v>41464</v>
      </c>
      <c r="B1824" t="s">
        <v>45</v>
      </c>
      <c r="C1824">
        <v>373</v>
      </c>
    </row>
    <row r="1825" spans="1:3" x14ac:dyDescent="0.25">
      <c r="A1825" s="1">
        <v>41465</v>
      </c>
      <c r="B1825" t="s">
        <v>17</v>
      </c>
      <c r="C1825">
        <v>299</v>
      </c>
    </row>
    <row r="1826" spans="1:3" x14ac:dyDescent="0.25">
      <c r="A1826" s="1">
        <v>41471</v>
      </c>
      <c r="B1826" t="s">
        <v>37</v>
      </c>
      <c r="C1826">
        <v>20</v>
      </c>
    </row>
    <row r="1827" spans="1:3" x14ac:dyDescent="0.25">
      <c r="A1827" s="1">
        <v>41472</v>
      </c>
      <c r="B1827" t="s">
        <v>69</v>
      </c>
      <c r="C1827">
        <v>89</v>
      </c>
    </row>
    <row r="1828" spans="1:3" x14ac:dyDescent="0.25">
      <c r="A1828" s="1">
        <v>41472</v>
      </c>
      <c r="B1828" t="s">
        <v>35</v>
      </c>
      <c r="C1828">
        <v>60</v>
      </c>
    </row>
    <row r="1829" spans="1:3" x14ac:dyDescent="0.25">
      <c r="A1829" s="1">
        <v>41475</v>
      </c>
      <c r="B1829" t="s">
        <v>3</v>
      </c>
      <c r="C1829">
        <v>5</v>
      </c>
    </row>
    <row r="1830" spans="1:3" x14ac:dyDescent="0.25">
      <c r="A1830" s="1">
        <v>41476</v>
      </c>
      <c r="B1830" t="s">
        <v>102</v>
      </c>
      <c r="C1830">
        <v>125</v>
      </c>
    </row>
    <row r="1831" spans="1:3" x14ac:dyDescent="0.25">
      <c r="A1831" s="1">
        <v>41476</v>
      </c>
      <c r="B1831" t="s">
        <v>12</v>
      </c>
      <c r="C1831">
        <v>177</v>
      </c>
    </row>
    <row r="1832" spans="1:3" x14ac:dyDescent="0.25">
      <c r="A1832" s="1">
        <v>41477</v>
      </c>
      <c r="B1832" t="s">
        <v>20</v>
      </c>
      <c r="C1832">
        <v>58</v>
      </c>
    </row>
    <row r="1833" spans="1:3" x14ac:dyDescent="0.25">
      <c r="A1833" s="1">
        <v>41478</v>
      </c>
      <c r="B1833" t="s">
        <v>19</v>
      </c>
      <c r="C1833">
        <v>174</v>
      </c>
    </row>
    <row r="1834" spans="1:3" x14ac:dyDescent="0.25">
      <c r="A1834" s="1">
        <v>41479</v>
      </c>
      <c r="B1834" t="s">
        <v>7</v>
      </c>
      <c r="C1834">
        <v>485</v>
      </c>
    </row>
    <row r="1835" spans="1:3" x14ac:dyDescent="0.25">
      <c r="A1835" s="1">
        <v>41481</v>
      </c>
      <c r="B1835" t="s">
        <v>232</v>
      </c>
      <c r="C1835">
        <v>7</v>
      </c>
    </row>
    <row r="1836" spans="1:3" x14ac:dyDescent="0.25">
      <c r="A1836" s="1">
        <v>41482</v>
      </c>
      <c r="B1836" t="s">
        <v>9</v>
      </c>
      <c r="C1836">
        <v>109</v>
      </c>
    </row>
    <row r="1837" spans="1:3" x14ac:dyDescent="0.25">
      <c r="A1837" s="1">
        <v>41485</v>
      </c>
      <c r="B1837" t="s">
        <v>6</v>
      </c>
      <c r="C1837">
        <v>116</v>
      </c>
    </row>
    <row r="1838" spans="1:3" x14ac:dyDescent="0.25">
      <c r="A1838" s="1">
        <v>41486</v>
      </c>
      <c r="B1838" t="s">
        <v>39</v>
      </c>
      <c r="C1838">
        <v>125</v>
      </c>
    </row>
    <row r="1839" spans="1:3" x14ac:dyDescent="0.25">
      <c r="A1839" s="1">
        <v>41486</v>
      </c>
      <c r="B1839" t="s">
        <v>222</v>
      </c>
      <c r="C1839">
        <v>15</v>
      </c>
    </row>
    <row r="1840" spans="1:3" x14ac:dyDescent="0.25">
      <c r="A1840" s="1">
        <v>41488</v>
      </c>
      <c r="B1840" t="s">
        <v>177</v>
      </c>
      <c r="C1840">
        <v>4</v>
      </c>
    </row>
    <row r="1841" spans="1:3" x14ac:dyDescent="0.25">
      <c r="A1841" s="1">
        <v>41489</v>
      </c>
      <c r="B1841" t="s">
        <v>144</v>
      </c>
      <c r="C1841">
        <v>13</v>
      </c>
    </row>
    <row r="1842" spans="1:3" x14ac:dyDescent="0.25">
      <c r="A1842" s="1">
        <v>41491</v>
      </c>
      <c r="B1842" t="s">
        <v>102</v>
      </c>
      <c r="C1842">
        <v>338</v>
      </c>
    </row>
    <row r="1843" spans="1:3" x14ac:dyDescent="0.25">
      <c r="A1843" s="1">
        <v>41492</v>
      </c>
      <c r="B1843" t="s">
        <v>167</v>
      </c>
      <c r="C1843">
        <v>2</v>
      </c>
    </row>
    <row r="1844" spans="1:3" x14ac:dyDescent="0.25">
      <c r="A1844" s="1">
        <v>41493</v>
      </c>
      <c r="B1844" t="s">
        <v>37</v>
      </c>
      <c r="C1844">
        <v>108</v>
      </c>
    </row>
    <row r="1845" spans="1:3" x14ac:dyDescent="0.25">
      <c r="A1845" s="1">
        <v>41494</v>
      </c>
      <c r="B1845" t="s">
        <v>61</v>
      </c>
      <c r="C1845">
        <v>119</v>
      </c>
    </row>
    <row r="1846" spans="1:3" x14ac:dyDescent="0.25">
      <c r="A1846" s="1">
        <v>41495</v>
      </c>
      <c r="B1846" t="s">
        <v>7</v>
      </c>
      <c r="C1846">
        <v>385</v>
      </c>
    </row>
    <row r="1847" spans="1:3" x14ac:dyDescent="0.25">
      <c r="A1847" s="1">
        <v>41495</v>
      </c>
      <c r="B1847" t="s">
        <v>45</v>
      </c>
      <c r="C1847">
        <v>239</v>
      </c>
    </row>
    <row r="1848" spans="1:3" x14ac:dyDescent="0.25">
      <c r="A1848" s="1">
        <v>41498</v>
      </c>
      <c r="B1848" t="s">
        <v>229</v>
      </c>
      <c r="C1848">
        <v>8</v>
      </c>
    </row>
    <row r="1849" spans="1:3" x14ac:dyDescent="0.25">
      <c r="A1849" s="1">
        <v>41499</v>
      </c>
      <c r="B1849" t="s">
        <v>17</v>
      </c>
      <c r="C1849">
        <v>219</v>
      </c>
    </row>
    <row r="1850" spans="1:3" x14ac:dyDescent="0.25">
      <c r="A1850" s="1">
        <v>41503</v>
      </c>
      <c r="B1850" t="s">
        <v>25</v>
      </c>
      <c r="C1850">
        <v>40</v>
      </c>
    </row>
    <row r="1851" spans="1:3" x14ac:dyDescent="0.25">
      <c r="A1851" s="1">
        <v>41503</v>
      </c>
      <c r="B1851" t="s">
        <v>102</v>
      </c>
      <c r="C1851">
        <v>166</v>
      </c>
    </row>
    <row r="1852" spans="1:3" x14ac:dyDescent="0.25">
      <c r="A1852" s="1">
        <v>41504</v>
      </c>
      <c r="B1852" t="s">
        <v>66</v>
      </c>
      <c r="C1852">
        <v>168</v>
      </c>
    </row>
    <row r="1853" spans="1:3" x14ac:dyDescent="0.25">
      <c r="A1853" s="1">
        <v>41505</v>
      </c>
      <c r="B1853" t="s">
        <v>131</v>
      </c>
      <c r="C1853">
        <v>96</v>
      </c>
    </row>
    <row r="1854" spans="1:3" x14ac:dyDescent="0.25">
      <c r="A1854" s="1">
        <v>41506</v>
      </c>
      <c r="B1854" t="s">
        <v>10</v>
      </c>
      <c r="C1854">
        <v>23</v>
      </c>
    </row>
    <row r="1855" spans="1:3" x14ac:dyDescent="0.25">
      <c r="A1855" s="1">
        <v>41509</v>
      </c>
      <c r="B1855" t="s">
        <v>177</v>
      </c>
      <c r="C1855">
        <v>8</v>
      </c>
    </row>
    <row r="1856" spans="1:3" x14ac:dyDescent="0.25">
      <c r="A1856" s="1">
        <v>41509</v>
      </c>
      <c r="B1856" t="s">
        <v>106</v>
      </c>
      <c r="C1856">
        <v>1</v>
      </c>
    </row>
    <row r="1857" spans="1:3" x14ac:dyDescent="0.25">
      <c r="A1857" s="1">
        <v>41509</v>
      </c>
      <c r="B1857" t="s">
        <v>15</v>
      </c>
      <c r="C1857">
        <v>4</v>
      </c>
    </row>
    <row r="1858" spans="1:3" x14ac:dyDescent="0.25">
      <c r="A1858" s="1">
        <v>41512</v>
      </c>
      <c r="B1858" t="s">
        <v>120</v>
      </c>
      <c r="C1858">
        <v>170</v>
      </c>
    </row>
    <row r="1859" spans="1:3" x14ac:dyDescent="0.25">
      <c r="A1859" s="1">
        <v>41514</v>
      </c>
      <c r="B1859" t="s">
        <v>45</v>
      </c>
      <c r="C1859">
        <v>193</v>
      </c>
    </row>
    <row r="1860" spans="1:3" x14ac:dyDescent="0.25">
      <c r="A1860" s="1">
        <v>41517</v>
      </c>
      <c r="B1860" t="s">
        <v>234</v>
      </c>
      <c r="C1860">
        <v>5</v>
      </c>
    </row>
    <row r="1861" spans="1:3" x14ac:dyDescent="0.25">
      <c r="A1861" s="1">
        <v>41520</v>
      </c>
      <c r="B1861" t="s">
        <v>62</v>
      </c>
      <c r="C1861">
        <v>5</v>
      </c>
    </row>
    <row r="1862" spans="1:3" x14ac:dyDescent="0.25">
      <c r="A1862" s="1">
        <v>41520</v>
      </c>
      <c r="B1862" t="s">
        <v>64</v>
      </c>
      <c r="C1862">
        <v>15</v>
      </c>
    </row>
    <row r="1863" spans="1:3" x14ac:dyDescent="0.25">
      <c r="A1863" s="1">
        <v>41525</v>
      </c>
      <c r="B1863" t="s">
        <v>109</v>
      </c>
      <c r="C1863">
        <v>14</v>
      </c>
    </row>
    <row r="1864" spans="1:3" x14ac:dyDescent="0.25">
      <c r="A1864" s="1">
        <v>41525</v>
      </c>
      <c r="B1864" t="s">
        <v>37</v>
      </c>
      <c r="C1864">
        <v>96</v>
      </c>
    </row>
    <row r="1865" spans="1:3" x14ac:dyDescent="0.25">
      <c r="A1865" s="1">
        <v>41529</v>
      </c>
      <c r="B1865" t="s">
        <v>162</v>
      </c>
      <c r="C1865">
        <v>1</v>
      </c>
    </row>
    <row r="1866" spans="1:3" x14ac:dyDescent="0.25">
      <c r="A1866" s="1">
        <v>41533</v>
      </c>
      <c r="B1866" t="s">
        <v>69</v>
      </c>
      <c r="C1866">
        <v>164</v>
      </c>
    </row>
    <row r="1867" spans="1:3" x14ac:dyDescent="0.25">
      <c r="A1867" s="1">
        <v>41534</v>
      </c>
      <c r="B1867" t="s">
        <v>22</v>
      </c>
      <c r="C1867">
        <v>105</v>
      </c>
    </row>
    <row r="1868" spans="1:3" x14ac:dyDescent="0.25">
      <c r="A1868" s="1">
        <v>41536</v>
      </c>
      <c r="B1868" t="s">
        <v>210</v>
      </c>
      <c r="C1868">
        <v>17</v>
      </c>
    </row>
    <row r="1869" spans="1:3" x14ac:dyDescent="0.25">
      <c r="A1869" s="1">
        <v>41538</v>
      </c>
      <c r="B1869" t="s">
        <v>200</v>
      </c>
      <c r="C1869">
        <v>5</v>
      </c>
    </row>
    <row r="1870" spans="1:3" x14ac:dyDescent="0.25">
      <c r="A1870" s="1">
        <v>41543</v>
      </c>
      <c r="B1870" t="s">
        <v>45</v>
      </c>
      <c r="C1870">
        <v>212</v>
      </c>
    </row>
    <row r="1871" spans="1:3" x14ac:dyDescent="0.25">
      <c r="A1871" s="1">
        <v>41543</v>
      </c>
      <c r="B1871" t="s">
        <v>9</v>
      </c>
      <c r="C1871">
        <v>128</v>
      </c>
    </row>
    <row r="1872" spans="1:3" x14ac:dyDescent="0.25">
      <c r="A1872" s="1">
        <v>41543</v>
      </c>
      <c r="B1872" t="s">
        <v>28</v>
      </c>
      <c r="C1872">
        <v>147</v>
      </c>
    </row>
    <row r="1873" spans="1:3" x14ac:dyDescent="0.25">
      <c r="A1873" s="1">
        <v>41544</v>
      </c>
      <c r="B1873" t="s">
        <v>14</v>
      </c>
      <c r="C1873">
        <v>436</v>
      </c>
    </row>
    <row r="1874" spans="1:3" x14ac:dyDescent="0.25">
      <c r="A1874" s="1">
        <v>41545</v>
      </c>
      <c r="B1874" t="s">
        <v>235</v>
      </c>
      <c r="C1874">
        <v>4</v>
      </c>
    </row>
    <row r="1875" spans="1:3" x14ac:dyDescent="0.25">
      <c r="A1875" s="1">
        <v>41545</v>
      </c>
      <c r="B1875" t="s">
        <v>154</v>
      </c>
      <c r="C1875">
        <v>4</v>
      </c>
    </row>
    <row r="1876" spans="1:3" x14ac:dyDescent="0.25">
      <c r="A1876" s="1">
        <v>41551</v>
      </c>
      <c r="B1876" t="s">
        <v>131</v>
      </c>
      <c r="C1876">
        <v>78</v>
      </c>
    </row>
    <row r="1877" spans="1:3" x14ac:dyDescent="0.25">
      <c r="A1877" s="1">
        <v>41558</v>
      </c>
      <c r="B1877" t="s">
        <v>10</v>
      </c>
      <c r="C1877">
        <v>159</v>
      </c>
    </row>
    <row r="1878" spans="1:3" x14ac:dyDescent="0.25">
      <c r="A1878" s="1">
        <v>41558</v>
      </c>
      <c r="B1878" t="s">
        <v>8</v>
      </c>
      <c r="C1878">
        <v>103</v>
      </c>
    </row>
    <row r="1879" spans="1:3" x14ac:dyDescent="0.25">
      <c r="A1879" s="1">
        <v>41559</v>
      </c>
      <c r="B1879" t="s">
        <v>52</v>
      </c>
      <c r="C1879">
        <v>57</v>
      </c>
    </row>
    <row r="1880" spans="1:3" x14ac:dyDescent="0.25">
      <c r="A1880" s="1">
        <v>41559</v>
      </c>
      <c r="B1880" t="s">
        <v>20</v>
      </c>
      <c r="C1880">
        <v>121</v>
      </c>
    </row>
    <row r="1881" spans="1:3" x14ac:dyDescent="0.25">
      <c r="A1881" s="1">
        <v>41559</v>
      </c>
      <c r="B1881" t="s">
        <v>77</v>
      </c>
      <c r="C1881">
        <v>14</v>
      </c>
    </row>
    <row r="1882" spans="1:3" x14ac:dyDescent="0.25">
      <c r="A1882" s="1">
        <v>41560</v>
      </c>
      <c r="B1882" t="s">
        <v>44</v>
      </c>
      <c r="C1882">
        <v>2</v>
      </c>
    </row>
    <row r="1883" spans="1:3" x14ac:dyDescent="0.25">
      <c r="A1883" s="1">
        <v>41560</v>
      </c>
      <c r="B1883" t="s">
        <v>53</v>
      </c>
      <c r="C1883">
        <v>19</v>
      </c>
    </row>
    <row r="1884" spans="1:3" x14ac:dyDescent="0.25">
      <c r="A1884" s="1">
        <v>41561</v>
      </c>
      <c r="B1884" t="s">
        <v>236</v>
      </c>
      <c r="C1884">
        <v>20</v>
      </c>
    </row>
    <row r="1885" spans="1:3" x14ac:dyDescent="0.25">
      <c r="A1885" s="1">
        <v>41562</v>
      </c>
      <c r="B1885" t="s">
        <v>14</v>
      </c>
      <c r="C1885">
        <v>367</v>
      </c>
    </row>
    <row r="1886" spans="1:3" x14ac:dyDescent="0.25">
      <c r="A1886" s="1">
        <v>41562</v>
      </c>
      <c r="B1886" t="s">
        <v>9</v>
      </c>
      <c r="C1886">
        <v>458</v>
      </c>
    </row>
    <row r="1887" spans="1:3" x14ac:dyDescent="0.25">
      <c r="A1887" s="1">
        <v>41563</v>
      </c>
      <c r="B1887" t="s">
        <v>45</v>
      </c>
      <c r="C1887">
        <v>100</v>
      </c>
    </row>
    <row r="1888" spans="1:3" x14ac:dyDescent="0.25">
      <c r="A1888" s="1">
        <v>41563</v>
      </c>
      <c r="B1888" t="s">
        <v>6</v>
      </c>
      <c r="C1888">
        <v>62</v>
      </c>
    </row>
    <row r="1889" spans="1:3" x14ac:dyDescent="0.25">
      <c r="A1889" s="1">
        <v>41567</v>
      </c>
      <c r="B1889" t="s">
        <v>6</v>
      </c>
      <c r="C1889">
        <v>184</v>
      </c>
    </row>
    <row r="1890" spans="1:3" x14ac:dyDescent="0.25">
      <c r="A1890" s="1">
        <v>41568</v>
      </c>
      <c r="B1890" t="s">
        <v>19</v>
      </c>
      <c r="C1890">
        <v>156</v>
      </c>
    </row>
    <row r="1891" spans="1:3" x14ac:dyDescent="0.25">
      <c r="A1891" s="1">
        <v>41569</v>
      </c>
      <c r="B1891" t="s">
        <v>7</v>
      </c>
      <c r="C1891">
        <v>142</v>
      </c>
    </row>
    <row r="1892" spans="1:3" x14ac:dyDescent="0.25">
      <c r="A1892" s="1">
        <v>41570</v>
      </c>
      <c r="B1892" t="s">
        <v>6</v>
      </c>
      <c r="C1892">
        <v>97</v>
      </c>
    </row>
    <row r="1893" spans="1:3" x14ac:dyDescent="0.25">
      <c r="A1893" s="1">
        <v>41570</v>
      </c>
      <c r="B1893" t="s">
        <v>7</v>
      </c>
      <c r="C1893">
        <v>136</v>
      </c>
    </row>
    <row r="1894" spans="1:3" x14ac:dyDescent="0.25">
      <c r="A1894" s="1">
        <v>41570</v>
      </c>
      <c r="B1894" t="s">
        <v>131</v>
      </c>
      <c r="C1894">
        <v>108</v>
      </c>
    </row>
    <row r="1895" spans="1:3" x14ac:dyDescent="0.25">
      <c r="A1895" s="1">
        <v>41572</v>
      </c>
      <c r="B1895" t="s">
        <v>25</v>
      </c>
      <c r="C1895">
        <v>51</v>
      </c>
    </row>
    <row r="1896" spans="1:3" x14ac:dyDescent="0.25">
      <c r="A1896" s="1">
        <v>41574</v>
      </c>
      <c r="B1896" t="s">
        <v>130</v>
      </c>
      <c r="C1896">
        <v>7</v>
      </c>
    </row>
    <row r="1897" spans="1:3" x14ac:dyDescent="0.25">
      <c r="A1897" s="1">
        <v>41576</v>
      </c>
      <c r="B1897" t="s">
        <v>99</v>
      </c>
      <c r="C1897">
        <v>19</v>
      </c>
    </row>
    <row r="1898" spans="1:3" x14ac:dyDescent="0.25">
      <c r="A1898" s="1">
        <v>41577</v>
      </c>
      <c r="B1898" t="s">
        <v>75</v>
      </c>
      <c r="C1898">
        <v>4</v>
      </c>
    </row>
    <row r="1899" spans="1:3" x14ac:dyDescent="0.25">
      <c r="A1899" s="1">
        <v>41580</v>
      </c>
      <c r="B1899" t="s">
        <v>45</v>
      </c>
      <c r="C1899">
        <v>163</v>
      </c>
    </row>
    <row r="1900" spans="1:3" x14ac:dyDescent="0.25">
      <c r="A1900" s="1">
        <v>41580</v>
      </c>
      <c r="B1900" t="s">
        <v>30</v>
      </c>
      <c r="C1900">
        <v>165</v>
      </c>
    </row>
    <row r="1901" spans="1:3" x14ac:dyDescent="0.25">
      <c r="A1901" s="1">
        <v>41581</v>
      </c>
      <c r="B1901" t="s">
        <v>210</v>
      </c>
      <c r="C1901">
        <v>14</v>
      </c>
    </row>
    <row r="1902" spans="1:3" x14ac:dyDescent="0.25">
      <c r="A1902" s="1">
        <v>41583</v>
      </c>
      <c r="B1902" t="s">
        <v>28</v>
      </c>
      <c r="C1902">
        <v>177</v>
      </c>
    </row>
    <row r="1903" spans="1:3" x14ac:dyDescent="0.25">
      <c r="A1903" s="1">
        <v>41584</v>
      </c>
      <c r="B1903" t="s">
        <v>147</v>
      </c>
      <c r="C1903">
        <v>1</v>
      </c>
    </row>
    <row r="1904" spans="1:3" x14ac:dyDescent="0.25">
      <c r="A1904" s="1">
        <v>41585</v>
      </c>
      <c r="B1904" t="s">
        <v>131</v>
      </c>
      <c r="C1904">
        <v>193</v>
      </c>
    </row>
    <row r="1905" spans="1:3" x14ac:dyDescent="0.25">
      <c r="A1905" s="1">
        <v>41585</v>
      </c>
      <c r="B1905" t="s">
        <v>110</v>
      </c>
      <c r="C1905">
        <v>8</v>
      </c>
    </row>
    <row r="1906" spans="1:3" x14ac:dyDescent="0.25">
      <c r="A1906" s="1">
        <v>41588</v>
      </c>
      <c r="B1906" t="s">
        <v>233</v>
      </c>
      <c r="C1906">
        <v>11</v>
      </c>
    </row>
    <row r="1907" spans="1:3" x14ac:dyDescent="0.25">
      <c r="A1907" s="1">
        <v>41594</v>
      </c>
      <c r="B1907" t="s">
        <v>22</v>
      </c>
      <c r="C1907">
        <v>249</v>
      </c>
    </row>
    <row r="1908" spans="1:3" x14ac:dyDescent="0.25">
      <c r="A1908" s="1">
        <v>41598</v>
      </c>
      <c r="B1908" t="s">
        <v>5</v>
      </c>
      <c r="C1908">
        <v>360</v>
      </c>
    </row>
    <row r="1909" spans="1:3" x14ac:dyDescent="0.25">
      <c r="A1909" s="1">
        <v>41602</v>
      </c>
      <c r="B1909" t="s">
        <v>26</v>
      </c>
      <c r="C1909">
        <v>186</v>
      </c>
    </row>
    <row r="1910" spans="1:3" x14ac:dyDescent="0.25">
      <c r="A1910" s="1">
        <v>41603</v>
      </c>
      <c r="B1910" t="s">
        <v>52</v>
      </c>
      <c r="C1910">
        <v>29</v>
      </c>
    </row>
    <row r="1911" spans="1:3" x14ac:dyDescent="0.25">
      <c r="A1911" s="1">
        <v>41606</v>
      </c>
      <c r="B1911" t="s">
        <v>30</v>
      </c>
      <c r="C1911">
        <v>174</v>
      </c>
    </row>
    <row r="1912" spans="1:3" x14ac:dyDescent="0.25">
      <c r="A1912" s="1">
        <v>41607</v>
      </c>
      <c r="B1912" t="s">
        <v>7</v>
      </c>
      <c r="C1912">
        <v>131</v>
      </c>
    </row>
    <row r="1913" spans="1:3" x14ac:dyDescent="0.25">
      <c r="A1913" s="1">
        <v>41609</v>
      </c>
      <c r="B1913" t="s">
        <v>7</v>
      </c>
      <c r="C1913">
        <v>157</v>
      </c>
    </row>
    <row r="1914" spans="1:3" x14ac:dyDescent="0.25">
      <c r="A1914" s="1">
        <v>41609</v>
      </c>
      <c r="B1914" t="s">
        <v>14</v>
      </c>
      <c r="C1914">
        <v>284</v>
      </c>
    </row>
    <row r="1915" spans="1:3" x14ac:dyDescent="0.25">
      <c r="A1915" s="1">
        <v>41610</v>
      </c>
      <c r="B1915" t="s">
        <v>17</v>
      </c>
      <c r="C1915">
        <v>292</v>
      </c>
    </row>
    <row r="1916" spans="1:3" x14ac:dyDescent="0.25">
      <c r="A1916" s="1">
        <v>41612</v>
      </c>
      <c r="B1916" t="s">
        <v>81</v>
      </c>
      <c r="C1916">
        <v>13</v>
      </c>
    </row>
    <row r="1917" spans="1:3" x14ac:dyDescent="0.25">
      <c r="A1917" s="1">
        <v>41614</v>
      </c>
      <c r="B1917" t="s">
        <v>85</v>
      </c>
      <c r="C1917">
        <v>16</v>
      </c>
    </row>
    <row r="1918" spans="1:3" x14ac:dyDescent="0.25">
      <c r="A1918" s="1">
        <v>41614</v>
      </c>
      <c r="B1918" t="s">
        <v>22</v>
      </c>
      <c r="C1918">
        <v>364</v>
      </c>
    </row>
    <row r="1919" spans="1:3" x14ac:dyDescent="0.25">
      <c r="A1919" s="1">
        <v>41615</v>
      </c>
      <c r="B1919" t="s">
        <v>44</v>
      </c>
      <c r="C1919">
        <v>16</v>
      </c>
    </row>
    <row r="1920" spans="1:3" x14ac:dyDescent="0.25">
      <c r="A1920" s="1">
        <v>41615</v>
      </c>
      <c r="B1920" t="s">
        <v>49</v>
      </c>
      <c r="C1920">
        <v>3</v>
      </c>
    </row>
    <row r="1921" spans="1:3" x14ac:dyDescent="0.25">
      <c r="A1921" s="1">
        <v>41616</v>
      </c>
      <c r="B1921" t="s">
        <v>207</v>
      </c>
      <c r="C1921">
        <v>9</v>
      </c>
    </row>
    <row r="1922" spans="1:3" x14ac:dyDescent="0.25">
      <c r="A1922" s="1">
        <v>41617</v>
      </c>
      <c r="B1922" t="s">
        <v>206</v>
      </c>
      <c r="C1922">
        <v>6</v>
      </c>
    </row>
    <row r="1923" spans="1:3" x14ac:dyDescent="0.25">
      <c r="A1923" s="1">
        <v>41621</v>
      </c>
      <c r="B1923" t="s">
        <v>71</v>
      </c>
      <c r="C1923">
        <v>117</v>
      </c>
    </row>
    <row r="1924" spans="1:3" x14ac:dyDescent="0.25">
      <c r="A1924" s="1">
        <v>41622</v>
      </c>
      <c r="B1924" t="s">
        <v>42</v>
      </c>
      <c r="C1924">
        <v>6</v>
      </c>
    </row>
    <row r="1925" spans="1:3" x14ac:dyDescent="0.25">
      <c r="A1925" s="1">
        <v>41623</v>
      </c>
      <c r="B1925" t="s">
        <v>9</v>
      </c>
      <c r="C1925">
        <v>186</v>
      </c>
    </row>
    <row r="1926" spans="1:3" x14ac:dyDescent="0.25">
      <c r="A1926" s="1">
        <v>41623</v>
      </c>
      <c r="B1926" t="s">
        <v>42</v>
      </c>
      <c r="C1926">
        <v>16</v>
      </c>
    </row>
    <row r="1927" spans="1:3" x14ac:dyDescent="0.25">
      <c r="A1927" s="1">
        <v>41624</v>
      </c>
      <c r="B1927" t="s">
        <v>6</v>
      </c>
      <c r="C1927">
        <v>100</v>
      </c>
    </row>
    <row r="1928" spans="1:3" x14ac:dyDescent="0.25">
      <c r="A1928" s="1">
        <v>41629</v>
      </c>
      <c r="B1928" t="s">
        <v>1</v>
      </c>
      <c r="C1928">
        <v>20</v>
      </c>
    </row>
    <row r="1929" spans="1:3" x14ac:dyDescent="0.25">
      <c r="A1929" s="1">
        <v>41629</v>
      </c>
      <c r="B1929" t="s">
        <v>35</v>
      </c>
      <c r="C1929">
        <v>192</v>
      </c>
    </row>
    <row r="1930" spans="1:3" x14ac:dyDescent="0.25">
      <c r="A1930" s="1">
        <v>41630</v>
      </c>
      <c r="B1930" t="s">
        <v>35</v>
      </c>
      <c r="C1930">
        <v>92</v>
      </c>
    </row>
    <row r="1931" spans="1:3" x14ac:dyDescent="0.25">
      <c r="A1931" s="1">
        <v>41631</v>
      </c>
      <c r="B1931" t="s">
        <v>118</v>
      </c>
      <c r="C1931">
        <v>11</v>
      </c>
    </row>
    <row r="1932" spans="1:3" x14ac:dyDescent="0.25">
      <c r="A1932" s="1">
        <v>41633</v>
      </c>
      <c r="B1932" t="s">
        <v>237</v>
      </c>
      <c r="C1932">
        <v>10</v>
      </c>
    </row>
    <row r="1933" spans="1:3" x14ac:dyDescent="0.25">
      <c r="A1933" s="1">
        <v>41634</v>
      </c>
      <c r="B1933" t="s">
        <v>71</v>
      </c>
      <c r="C1933">
        <v>180</v>
      </c>
    </row>
    <row r="1934" spans="1:3" x14ac:dyDescent="0.25">
      <c r="A1934" s="1">
        <v>41637</v>
      </c>
      <c r="B1934" t="s">
        <v>38</v>
      </c>
      <c r="C1934">
        <v>12</v>
      </c>
    </row>
    <row r="1935" spans="1:3" x14ac:dyDescent="0.25">
      <c r="A1935" s="1">
        <v>41638</v>
      </c>
      <c r="B1935" t="s">
        <v>222</v>
      </c>
      <c r="C1935">
        <v>12</v>
      </c>
    </row>
    <row r="1936" spans="1:3" x14ac:dyDescent="0.25">
      <c r="A1936" s="1">
        <v>41639</v>
      </c>
      <c r="B1936" t="s">
        <v>97</v>
      </c>
      <c r="C1936">
        <v>8</v>
      </c>
    </row>
    <row r="1937" spans="1:3" x14ac:dyDescent="0.25">
      <c r="A1937" s="1">
        <v>41641</v>
      </c>
      <c r="B1937" t="s">
        <v>12</v>
      </c>
      <c r="C1937">
        <v>56</v>
      </c>
    </row>
    <row r="1938" spans="1:3" x14ac:dyDescent="0.25">
      <c r="A1938" s="1">
        <v>41642</v>
      </c>
      <c r="B1938" t="s">
        <v>82</v>
      </c>
      <c r="C1938">
        <v>18</v>
      </c>
    </row>
    <row r="1939" spans="1:3" x14ac:dyDescent="0.25">
      <c r="A1939" s="1">
        <v>41642</v>
      </c>
      <c r="B1939" t="s">
        <v>14</v>
      </c>
      <c r="C1939">
        <v>164</v>
      </c>
    </row>
    <row r="1940" spans="1:3" x14ac:dyDescent="0.25">
      <c r="A1940" s="1">
        <v>41645</v>
      </c>
      <c r="B1940" t="s">
        <v>30</v>
      </c>
      <c r="C1940">
        <v>111</v>
      </c>
    </row>
    <row r="1941" spans="1:3" x14ac:dyDescent="0.25">
      <c r="A1941" s="1">
        <v>41646</v>
      </c>
      <c r="B1941" t="s">
        <v>190</v>
      </c>
      <c r="C1941">
        <v>14</v>
      </c>
    </row>
    <row r="1942" spans="1:3" x14ac:dyDescent="0.25">
      <c r="A1942" s="1">
        <v>41647</v>
      </c>
      <c r="B1942" t="s">
        <v>102</v>
      </c>
      <c r="C1942">
        <v>143</v>
      </c>
    </row>
    <row r="1943" spans="1:3" x14ac:dyDescent="0.25">
      <c r="A1943" s="1">
        <v>41648</v>
      </c>
      <c r="B1943" t="s">
        <v>10</v>
      </c>
      <c r="C1943">
        <v>64</v>
      </c>
    </row>
    <row r="1944" spans="1:3" x14ac:dyDescent="0.25">
      <c r="A1944" s="1">
        <v>41651</v>
      </c>
      <c r="B1944" t="s">
        <v>234</v>
      </c>
      <c r="C1944">
        <v>3</v>
      </c>
    </row>
    <row r="1945" spans="1:3" x14ac:dyDescent="0.25">
      <c r="A1945" s="1">
        <v>41652</v>
      </c>
      <c r="B1945" t="s">
        <v>45</v>
      </c>
      <c r="C1945">
        <v>152</v>
      </c>
    </row>
    <row r="1946" spans="1:3" x14ac:dyDescent="0.25">
      <c r="A1946" s="1">
        <v>41653</v>
      </c>
      <c r="B1946" t="s">
        <v>10</v>
      </c>
      <c r="C1946">
        <v>152</v>
      </c>
    </row>
    <row r="1947" spans="1:3" x14ac:dyDescent="0.25">
      <c r="A1947" s="1">
        <v>41655</v>
      </c>
      <c r="B1947" t="s">
        <v>221</v>
      </c>
      <c r="C1947">
        <v>15</v>
      </c>
    </row>
    <row r="1948" spans="1:3" x14ac:dyDescent="0.25">
      <c r="A1948" s="1">
        <v>41656</v>
      </c>
      <c r="B1948" t="s">
        <v>71</v>
      </c>
      <c r="C1948">
        <v>117</v>
      </c>
    </row>
    <row r="1949" spans="1:3" x14ac:dyDescent="0.25">
      <c r="A1949" s="1">
        <v>41656</v>
      </c>
      <c r="B1949" t="s">
        <v>215</v>
      </c>
      <c r="C1949">
        <v>14</v>
      </c>
    </row>
    <row r="1950" spans="1:3" x14ac:dyDescent="0.25">
      <c r="A1950" s="1">
        <v>41656</v>
      </c>
      <c r="B1950" t="s">
        <v>45</v>
      </c>
      <c r="C1950">
        <v>431</v>
      </c>
    </row>
    <row r="1951" spans="1:3" x14ac:dyDescent="0.25">
      <c r="A1951" s="1">
        <v>41658</v>
      </c>
      <c r="B1951" t="s">
        <v>22</v>
      </c>
      <c r="C1951">
        <v>390</v>
      </c>
    </row>
    <row r="1952" spans="1:3" x14ac:dyDescent="0.25">
      <c r="A1952" s="1">
        <v>41663</v>
      </c>
      <c r="B1952" t="s">
        <v>222</v>
      </c>
      <c r="C1952">
        <v>1</v>
      </c>
    </row>
    <row r="1953" spans="1:3" x14ac:dyDescent="0.25">
      <c r="A1953" s="1">
        <v>41666</v>
      </c>
      <c r="B1953" t="s">
        <v>17</v>
      </c>
      <c r="C1953">
        <v>392</v>
      </c>
    </row>
    <row r="1954" spans="1:3" x14ac:dyDescent="0.25">
      <c r="A1954" s="1">
        <v>41668</v>
      </c>
      <c r="B1954" t="s">
        <v>37</v>
      </c>
      <c r="C1954">
        <v>175</v>
      </c>
    </row>
    <row r="1955" spans="1:3" x14ac:dyDescent="0.25">
      <c r="A1955" s="1">
        <v>41668</v>
      </c>
      <c r="B1955" t="s">
        <v>55</v>
      </c>
      <c r="C1955">
        <v>118</v>
      </c>
    </row>
    <row r="1956" spans="1:3" x14ac:dyDescent="0.25">
      <c r="A1956" s="1">
        <v>41672</v>
      </c>
      <c r="B1956" t="s">
        <v>9</v>
      </c>
      <c r="C1956">
        <v>297</v>
      </c>
    </row>
    <row r="1957" spans="1:3" x14ac:dyDescent="0.25">
      <c r="A1957" s="1">
        <v>41676</v>
      </c>
      <c r="B1957" t="s">
        <v>23</v>
      </c>
      <c r="C1957">
        <v>89</v>
      </c>
    </row>
    <row r="1958" spans="1:3" x14ac:dyDescent="0.25">
      <c r="A1958" s="1">
        <v>41676</v>
      </c>
      <c r="B1958" t="s">
        <v>22</v>
      </c>
      <c r="C1958">
        <v>182</v>
      </c>
    </row>
    <row r="1959" spans="1:3" x14ac:dyDescent="0.25">
      <c r="A1959" s="1">
        <v>41677</v>
      </c>
      <c r="B1959" t="s">
        <v>10</v>
      </c>
      <c r="C1959">
        <v>130</v>
      </c>
    </row>
    <row r="1960" spans="1:3" x14ac:dyDescent="0.25">
      <c r="A1960" s="1">
        <v>41680</v>
      </c>
      <c r="B1960" t="s">
        <v>26</v>
      </c>
      <c r="C1960">
        <v>187</v>
      </c>
    </row>
    <row r="1961" spans="1:3" x14ac:dyDescent="0.25">
      <c r="A1961" s="1">
        <v>41681</v>
      </c>
      <c r="B1961" t="s">
        <v>50</v>
      </c>
      <c r="C1961">
        <v>166</v>
      </c>
    </row>
    <row r="1962" spans="1:3" x14ac:dyDescent="0.25">
      <c r="A1962" s="1">
        <v>41682</v>
      </c>
      <c r="B1962" t="s">
        <v>23</v>
      </c>
      <c r="C1962">
        <v>58</v>
      </c>
    </row>
    <row r="1963" spans="1:3" x14ac:dyDescent="0.25">
      <c r="A1963" s="1">
        <v>41686</v>
      </c>
      <c r="B1963" t="s">
        <v>25</v>
      </c>
      <c r="C1963">
        <v>187</v>
      </c>
    </row>
    <row r="1964" spans="1:3" x14ac:dyDescent="0.25">
      <c r="A1964" s="1">
        <v>41687</v>
      </c>
      <c r="B1964" t="s">
        <v>23</v>
      </c>
      <c r="C1964">
        <v>58</v>
      </c>
    </row>
    <row r="1965" spans="1:3" x14ac:dyDescent="0.25">
      <c r="A1965" s="1">
        <v>41689</v>
      </c>
      <c r="B1965" t="s">
        <v>60</v>
      </c>
      <c r="C1965">
        <v>19</v>
      </c>
    </row>
    <row r="1966" spans="1:3" x14ac:dyDescent="0.25">
      <c r="A1966" s="1">
        <v>41689</v>
      </c>
      <c r="B1966" t="s">
        <v>9</v>
      </c>
      <c r="C1966">
        <v>388</v>
      </c>
    </row>
    <row r="1967" spans="1:3" x14ac:dyDescent="0.25">
      <c r="A1967" s="1">
        <v>41690</v>
      </c>
      <c r="B1967" t="s">
        <v>105</v>
      </c>
      <c r="C1967">
        <v>20</v>
      </c>
    </row>
    <row r="1968" spans="1:3" x14ac:dyDescent="0.25">
      <c r="A1968" s="1">
        <v>41690</v>
      </c>
      <c r="B1968" t="s">
        <v>6</v>
      </c>
      <c r="C1968">
        <v>185</v>
      </c>
    </row>
    <row r="1969" spans="1:3" x14ac:dyDescent="0.25">
      <c r="A1969" s="1">
        <v>41690</v>
      </c>
      <c r="B1969" t="s">
        <v>66</v>
      </c>
      <c r="C1969">
        <v>191</v>
      </c>
    </row>
    <row r="1970" spans="1:3" x14ac:dyDescent="0.25">
      <c r="A1970" s="1">
        <v>41691</v>
      </c>
      <c r="B1970" t="s">
        <v>87</v>
      </c>
      <c r="C1970">
        <v>1</v>
      </c>
    </row>
    <row r="1971" spans="1:3" x14ac:dyDescent="0.25">
      <c r="A1971" s="1">
        <v>41692</v>
      </c>
      <c r="B1971" t="s">
        <v>71</v>
      </c>
      <c r="C1971">
        <v>90</v>
      </c>
    </row>
    <row r="1972" spans="1:3" x14ac:dyDescent="0.25">
      <c r="A1972" s="1">
        <v>41696</v>
      </c>
      <c r="B1972" t="s">
        <v>9</v>
      </c>
      <c r="C1972">
        <v>234</v>
      </c>
    </row>
    <row r="1973" spans="1:3" x14ac:dyDescent="0.25">
      <c r="A1973" s="1">
        <v>41699</v>
      </c>
      <c r="B1973" t="s">
        <v>45</v>
      </c>
      <c r="C1973">
        <v>212</v>
      </c>
    </row>
    <row r="1974" spans="1:3" x14ac:dyDescent="0.25">
      <c r="A1974" s="1">
        <v>41701</v>
      </c>
      <c r="B1974" t="s">
        <v>45</v>
      </c>
      <c r="C1974">
        <v>372</v>
      </c>
    </row>
    <row r="1975" spans="1:3" x14ac:dyDescent="0.25">
      <c r="A1975" s="1">
        <v>41701</v>
      </c>
      <c r="B1975" t="s">
        <v>35</v>
      </c>
      <c r="C1975">
        <v>102</v>
      </c>
    </row>
    <row r="1976" spans="1:3" x14ac:dyDescent="0.25">
      <c r="A1976" s="1">
        <v>41701</v>
      </c>
      <c r="B1976" t="s">
        <v>10</v>
      </c>
      <c r="C1976">
        <v>69</v>
      </c>
    </row>
    <row r="1977" spans="1:3" x14ac:dyDescent="0.25">
      <c r="A1977" s="1">
        <v>41708</v>
      </c>
      <c r="B1977" t="s">
        <v>175</v>
      </c>
      <c r="C1977">
        <v>5</v>
      </c>
    </row>
    <row r="1978" spans="1:3" x14ac:dyDescent="0.25">
      <c r="A1978" s="1">
        <v>41713</v>
      </c>
      <c r="B1978" t="s">
        <v>69</v>
      </c>
      <c r="C1978">
        <v>146</v>
      </c>
    </row>
    <row r="1979" spans="1:3" x14ac:dyDescent="0.25">
      <c r="A1979" s="1">
        <v>41714</v>
      </c>
      <c r="B1979" t="s">
        <v>20</v>
      </c>
      <c r="C1979">
        <v>114</v>
      </c>
    </row>
    <row r="1980" spans="1:3" x14ac:dyDescent="0.25">
      <c r="A1980" s="1">
        <v>41716</v>
      </c>
      <c r="B1980" t="s">
        <v>14</v>
      </c>
      <c r="C1980">
        <v>265</v>
      </c>
    </row>
    <row r="1981" spans="1:3" x14ac:dyDescent="0.25">
      <c r="A1981" s="1">
        <v>41716</v>
      </c>
      <c r="B1981" t="s">
        <v>128</v>
      </c>
      <c r="C1981">
        <v>1</v>
      </c>
    </row>
    <row r="1982" spans="1:3" x14ac:dyDescent="0.25">
      <c r="A1982" s="1">
        <v>41719</v>
      </c>
      <c r="B1982" t="s">
        <v>156</v>
      </c>
      <c r="C1982">
        <v>16</v>
      </c>
    </row>
    <row r="1983" spans="1:3" x14ac:dyDescent="0.25">
      <c r="A1983" s="1">
        <v>41721</v>
      </c>
      <c r="B1983" t="s">
        <v>191</v>
      </c>
      <c r="C1983">
        <v>11</v>
      </c>
    </row>
    <row r="1984" spans="1:3" x14ac:dyDescent="0.25">
      <c r="A1984" s="1">
        <v>41721</v>
      </c>
      <c r="B1984" t="s">
        <v>22</v>
      </c>
      <c r="C1984">
        <v>118</v>
      </c>
    </row>
    <row r="1985" spans="1:3" x14ac:dyDescent="0.25">
      <c r="A1985" s="1">
        <v>41728</v>
      </c>
      <c r="B1985" t="s">
        <v>45</v>
      </c>
      <c r="C1985">
        <v>213</v>
      </c>
    </row>
    <row r="1986" spans="1:3" x14ac:dyDescent="0.25">
      <c r="A1986" s="1">
        <v>41732</v>
      </c>
      <c r="B1986" t="s">
        <v>9</v>
      </c>
      <c r="C1986">
        <v>146</v>
      </c>
    </row>
    <row r="1987" spans="1:3" x14ac:dyDescent="0.25">
      <c r="A1987" s="1">
        <v>41734</v>
      </c>
      <c r="B1987" t="s">
        <v>124</v>
      </c>
      <c r="C1987">
        <v>6</v>
      </c>
    </row>
    <row r="1988" spans="1:3" x14ac:dyDescent="0.25">
      <c r="A1988" s="1">
        <v>41736</v>
      </c>
      <c r="B1988" t="s">
        <v>45</v>
      </c>
      <c r="C1988">
        <v>392</v>
      </c>
    </row>
    <row r="1989" spans="1:3" x14ac:dyDescent="0.25">
      <c r="A1989" s="1">
        <v>41736</v>
      </c>
      <c r="B1989" t="s">
        <v>102</v>
      </c>
      <c r="C1989">
        <v>422</v>
      </c>
    </row>
    <row r="1990" spans="1:3" x14ac:dyDescent="0.25">
      <c r="A1990" s="1">
        <v>41740</v>
      </c>
      <c r="B1990" t="s">
        <v>22</v>
      </c>
      <c r="C1990">
        <v>474</v>
      </c>
    </row>
    <row r="1991" spans="1:3" x14ac:dyDescent="0.25">
      <c r="A1991" s="1">
        <v>41741</v>
      </c>
      <c r="B1991" t="s">
        <v>55</v>
      </c>
      <c r="C1991">
        <v>166</v>
      </c>
    </row>
    <row r="1992" spans="1:3" x14ac:dyDescent="0.25">
      <c r="A1992" s="1">
        <v>41743</v>
      </c>
      <c r="B1992" t="s">
        <v>55</v>
      </c>
      <c r="C1992">
        <v>121</v>
      </c>
    </row>
    <row r="1993" spans="1:3" x14ac:dyDescent="0.25">
      <c r="A1993" s="1">
        <v>41744</v>
      </c>
      <c r="B1993" t="s">
        <v>17</v>
      </c>
      <c r="C1993">
        <v>406</v>
      </c>
    </row>
    <row r="1994" spans="1:3" x14ac:dyDescent="0.25">
      <c r="A1994" s="1">
        <v>41746</v>
      </c>
      <c r="B1994" t="s">
        <v>26</v>
      </c>
      <c r="C1994">
        <v>41</v>
      </c>
    </row>
    <row r="1995" spans="1:3" x14ac:dyDescent="0.25">
      <c r="A1995" s="1">
        <v>41750</v>
      </c>
      <c r="B1995" t="s">
        <v>50</v>
      </c>
      <c r="C1995">
        <v>254</v>
      </c>
    </row>
    <row r="1996" spans="1:3" x14ac:dyDescent="0.25">
      <c r="A1996" s="1">
        <v>41750</v>
      </c>
      <c r="B1996" t="s">
        <v>9</v>
      </c>
      <c r="C1996">
        <v>246</v>
      </c>
    </row>
    <row r="1997" spans="1:3" x14ac:dyDescent="0.25">
      <c r="A1997" s="1">
        <v>41755</v>
      </c>
      <c r="B1997" t="s">
        <v>19</v>
      </c>
      <c r="C1997">
        <v>148</v>
      </c>
    </row>
    <row r="1998" spans="1:3" x14ac:dyDescent="0.25">
      <c r="A1998" s="1">
        <v>41755</v>
      </c>
      <c r="B1998" t="s">
        <v>5</v>
      </c>
      <c r="C1998">
        <v>365</v>
      </c>
    </row>
    <row r="1999" spans="1:3" x14ac:dyDescent="0.25">
      <c r="A1999" s="1">
        <v>41756</v>
      </c>
      <c r="B1999" t="s">
        <v>20</v>
      </c>
      <c r="C1999">
        <v>20</v>
      </c>
    </row>
    <row r="2000" spans="1:3" x14ac:dyDescent="0.25">
      <c r="A2000" s="1">
        <v>41761</v>
      </c>
      <c r="B2000" t="s">
        <v>137</v>
      </c>
      <c r="C2000">
        <v>4</v>
      </c>
    </row>
    <row r="2001" spans="1:3" x14ac:dyDescent="0.25">
      <c r="A2001" s="1">
        <v>41764</v>
      </c>
      <c r="B2001" t="s">
        <v>45</v>
      </c>
      <c r="C2001">
        <v>215</v>
      </c>
    </row>
    <row r="2002" spans="1:3" x14ac:dyDescent="0.25">
      <c r="A2002" s="1">
        <v>41766</v>
      </c>
      <c r="B2002" t="s">
        <v>12</v>
      </c>
      <c r="C2002">
        <v>138</v>
      </c>
    </row>
    <row r="2003" spans="1:3" x14ac:dyDescent="0.25">
      <c r="A2003" s="1">
        <v>41766</v>
      </c>
      <c r="B2003" t="s">
        <v>7</v>
      </c>
      <c r="C2003">
        <v>496</v>
      </c>
    </row>
    <row r="2004" spans="1:3" x14ac:dyDescent="0.25">
      <c r="A2004" s="1">
        <v>41767</v>
      </c>
      <c r="B2004" t="s">
        <v>37</v>
      </c>
      <c r="C2004">
        <v>155</v>
      </c>
    </row>
    <row r="2005" spans="1:3" x14ac:dyDescent="0.25">
      <c r="A2005" s="1">
        <v>41770</v>
      </c>
      <c r="B2005" t="s">
        <v>24</v>
      </c>
      <c r="C2005">
        <v>386</v>
      </c>
    </row>
    <row r="2006" spans="1:3" x14ac:dyDescent="0.25">
      <c r="A2006" s="1">
        <v>41773</v>
      </c>
      <c r="B2006" t="s">
        <v>71</v>
      </c>
      <c r="C2006">
        <v>124</v>
      </c>
    </row>
    <row r="2007" spans="1:3" x14ac:dyDescent="0.25">
      <c r="A2007" s="1">
        <v>41774</v>
      </c>
      <c r="B2007" t="s">
        <v>14</v>
      </c>
      <c r="C2007">
        <v>173</v>
      </c>
    </row>
    <row r="2008" spans="1:3" x14ac:dyDescent="0.25">
      <c r="A2008" s="1">
        <v>41776</v>
      </c>
      <c r="B2008" t="s">
        <v>35</v>
      </c>
      <c r="C2008">
        <v>161</v>
      </c>
    </row>
    <row r="2009" spans="1:3" x14ac:dyDescent="0.25">
      <c r="A2009" s="1">
        <v>41778</v>
      </c>
      <c r="B2009" t="s">
        <v>69</v>
      </c>
      <c r="C2009">
        <v>147</v>
      </c>
    </row>
    <row r="2010" spans="1:3" x14ac:dyDescent="0.25">
      <c r="A2010" s="1">
        <v>41784</v>
      </c>
      <c r="B2010" t="s">
        <v>22</v>
      </c>
      <c r="C2010">
        <v>401</v>
      </c>
    </row>
    <row r="2011" spans="1:3" x14ac:dyDescent="0.25">
      <c r="A2011" s="1">
        <v>41784</v>
      </c>
      <c r="B2011" t="s">
        <v>50</v>
      </c>
      <c r="C2011">
        <v>101</v>
      </c>
    </row>
    <row r="2012" spans="1:3" x14ac:dyDescent="0.25">
      <c r="A2012" s="1">
        <v>41785</v>
      </c>
      <c r="B2012" t="s">
        <v>22</v>
      </c>
      <c r="C2012">
        <v>169</v>
      </c>
    </row>
    <row r="2013" spans="1:3" x14ac:dyDescent="0.25">
      <c r="A2013" s="1">
        <v>41786</v>
      </c>
      <c r="B2013" t="s">
        <v>14</v>
      </c>
      <c r="C2013">
        <v>324</v>
      </c>
    </row>
    <row r="2014" spans="1:3" x14ac:dyDescent="0.25">
      <c r="A2014" s="1">
        <v>41787</v>
      </c>
      <c r="B2014" t="s">
        <v>219</v>
      </c>
      <c r="C2014">
        <v>16</v>
      </c>
    </row>
    <row r="2015" spans="1:3" x14ac:dyDescent="0.25">
      <c r="A2015" s="1">
        <v>41788</v>
      </c>
      <c r="B2015" t="s">
        <v>71</v>
      </c>
      <c r="C2015">
        <v>194</v>
      </c>
    </row>
    <row r="2016" spans="1:3" x14ac:dyDescent="0.25">
      <c r="A2016" s="1">
        <v>41789</v>
      </c>
      <c r="B2016" t="s">
        <v>102</v>
      </c>
      <c r="C2016">
        <v>197</v>
      </c>
    </row>
    <row r="2017" spans="1:3" x14ac:dyDescent="0.25">
      <c r="A2017" s="1">
        <v>41789</v>
      </c>
      <c r="B2017" t="s">
        <v>23</v>
      </c>
      <c r="C2017">
        <v>23</v>
      </c>
    </row>
    <row r="2018" spans="1:3" x14ac:dyDescent="0.25">
      <c r="A2018" s="1">
        <v>41790</v>
      </c>
      <c r="B2018" t="s">
        <v>12</v>
      </c>
      <c r="C2018">
        <v>138</v>
      </c>
    </row>
    <row r="2019" spans="1:3" x14ac:dyDescent="0.25">
      <c r="A2019" s="1">
        <v>41791</v>
      </c>
      <c r="B2019" t="s">
        <v>61</v>
      </c>
      <c r="C2019">
        <v>121</v>
      </c>
    </row>
    <row r="2020" spans="1:3" x14ac:dyDescent="0.25">
      <c r="A2020" s="1">
        <v>41793</v>
      </c>
      <c r="B2020" t="s">
        <v>204</v>
      </c>
      <c r="C2020">
        <v>10</v>
      </c>
    </row>
    <row r="2021" spans="1:3" x14ac:dyDescent="0.25">
      <c r="A2021" s="1">
        <v>41795</v>
      </c>
      <c r="B2021" t="s">
        <v>130</v>
      </c>
      <c r="C2021">
        <v>9</v>
      </c>
    </row>
    <row r="2022" spans="1:3" x14ac:dyDescent="0.25">
      <c r="A2022" s="1">
        <v>41798</v>
      </c>
      <c r="B2022" t="s">
        <v>52</v>
      </c>
      <c r="C2022">
        <v>35</v>
      </c>
    </row>
    <row r="2023" spans="1:3" x14ac:dyDescent="0.25">
      <c r="A2023" s="1">
        <v>41802</v>
      </c>
      <c r="B2023" t="s">
        <v>35</v>
      </c>
      <c r="C2023">
        <v>154</v>
      </c>
    </row>
    <row r="2024" spans="1:3" x14ac:dyDescent="0.25">
      <c r="A2024" s="1">
        <v>41806</v>
      </c>
      <c r="B2024" t="s">
        <v>113</v>
      </c>
      <c r="C2024">
        <v>1</v>
      </c>
    </row>
    <row r="2025" spans="1:3" x14ac:dyDescent="0.25">
      <c r="A2025" s="1">
        <v>41807</v>
      </c>
      <c r="B2025" t="s">
        <v>14</v>
      </c>
      <c r="C2025">
        <v>249</v>
      </c>
    </row>
    <row r="2026" spans="1:3" x14ac:dyDescent="0.25">
      <c r="A2026" s="1">
        <v>41807</v>
      </c>
      <c r="B2026" t="s">
        <v>37</v>
      </c>
      <c r="C2026">
        <v>27</v>
      </c>
    </row>
    <row r="2027" spans="1:3" x14ac:dyDescent="0.25">
      <c r="A2027" s="1">
        <v>41809</v>
      </c>
      <c r="B2027" t="s">
        <v>12</v>
      </c>
      <c r="C2027">
        <v>167</v>
      </c>
    </row>
    <row r="2028" spans="1:3" x14ac:dyDescent="0.25">
      <c r="A2028" s="1">
        <v>41810</v>
      </c>
      <c r="B2028" t="s">
        <v>12</v>
      </c>
      <c r="C2028">
        <v>71</v>
      </c>
    </row>
    <row r="2029" spans="1:3" x14ac:dyDescent="0.25">
      <c r="A2029" s="1">
        <v>41810</v>
      </c>
      <c r="B2029" t="s">
        <v>83</v>
      </c>
      <c r="C2029">
        <v>13</v>
      </c>
    </row>
    <row r="2030" spans="1:3" x14ac:dyDescent="0.25">
      <c r="A2030" s="1">
        <v>41811</v>
      </c>
      <c r="B2030" t="s">
        <v>30</v>
      </c>
      <c r="C2030">
        <v>90</v>
      </c>
    </row>
    <row r="2031" spans="1:3" x14ac:dyDescent="0.25">
      <c r="A2031" s="1">
        <v>41814</v>
      </c>
      <c r="B2031" t="s">
        <v>9</v>
      </c>
      <c r="C2031">
        <v>106</v>
      </c>
    </row>
    <row r="2032" spans="1:3" x14ac:dyDescent="0.25">
      <c r="A2032" s="1">
        <v>41815</v>
      </c>
      <c r="B2032" t="s">
        <v>66</v>
      </c>
      <c r="C2032">
        <v>57</v>
      </c>
    </row>
    <row r="2033" spans="1:3" x14ac:dyDescent="0.25">
      <c r="A2033" s="1">
        <v>41815</v>
      </c>
      <c r="B2033" t="s">
        <v>18</v>
      </c>
      <c r="C2033">
        <v>59</v>
      </c>
    </row>
    <row r="2034" spans="1:3" x14ac:dyDescent="0.25">
      <c r="A2034" s="1">
        <v>41817</v>
      </c>
      <c r="B2034" t="s">
        <v>79</v>
      </c>
      <c r="C2034">
        <v>11</v>
      </c>
    </row>
    <row r="2035" spans="1:3" x14ac:dyDescent="0.25">
      <c r="A2035" s="1">
        <v>41818</v>
      </c>
      <c r="B2035" t="s">
        <v>102</v>
      </c>
      <c r="C2035">
        <v>361</v>
      </c>
    </row>
    <row r="2036" spans="1:3" x14ac:dyDescent="0.25">
      <c r="A2036" s="1">
        <v>41819</v>
      </c>
      <c r="B2036" t="s">
        <v>8</v>
      </c>
      <c r="C2036">
        <v>153</v>
      </c>
    </row>
    <row r="2037" spans="1:3" x14ac:dyDescent="0.25">
      <c r="A2037" s="1">
        <v>41820</v>
      </c>
      <c r="B2037" t="s">
        <v>147</v>
      </c>
      <c r="C2037">
        <v>7</v>
      </c>
    </row>
    <row r="2038" spans="1:3" x14ac:dyDescent="0.25">
      <c r="A2038" s="1">
        <v>41821</v>
      </c>
      <c r="B2038" t="s">
        <v>71</v>
      </c>
      <c r="C2038">
        <v>65</v>
      </c>
    </row>
    <row r="2039" spans="1:3" x14ac:dyDescent="0.25">
      <c r="A2039" s="1">
        <v>41823</v>
      </c>
      <c r="B2039" t="s">
        <v>9</v>
      </c>
      <c r="C2039">
        <v>409</v>
      </c>
    </row>
    <row r="2040" spans="1:3" x14ac:dyDescent="0.25">
      <c r="A2040" s="1">
        <v>41825</v>
      </c>
      <c r="B2040" t="s">
        <v>63</v>
      </c>
      <c r="C2040">
        <v>63</v>
      </c>
    </row>
    <row r="2041" spans="1:3" x14ac:dyDescent="0.25">
      <c r="A2041" s="1">
        <v>41826</v>
      </c>
      <c r="B2041" t="s">
        <v>7</v>
      </c>
      <c r="C2041">
        <v>441</v>
      </c>
    </row>
    <row r="2042" spans="1:3" x14ac:dyDescent="0.25">
      <c r="A2042" s="1">
        <v>41830</v>
      </c>
      <c r="B2042" t="s">
        <v>52</v>
      </c>
      <c r="C2042">
        <v>91</v>
      </c>
    </row>
    <row r="2043" spans="1:3" x14ac:dyDescent="0.25">
      <c r="A2043" s="1">
        <v>41831</v>
      </c>
      <c r="B2043" t="s">
        <v>12</v>
      </c>
      <c r="C2043">
        <v>73</v>
      </c>
    </row>
    <row r="2044" spans="1:3" x14ac:dyDescent="0.25">
      <c r="A2044" s="1">
        <v>41832</v>
      </c>
      <c r="B2044" t="s">
        <v>6</v>
      </c>
      <c r="C2044">
        <v>184</v>
      </c>
    </row>
    <row r="2045" spans="1:3" x14ac:dyDescent="0.25">
      <c r="A2045" s="1">
        <v>41836</v>
      </c>
      <c r="B2045" t="s">
        <v>61</v>
      </c>
      <c r="C2045">
        <v>191</v>
      </c>
    </row>
    <row r="2046" spans="1:3" x14ac:dyDescent="0.25">
      <c r="A2046" s="1">
        <v>41837</v>
      </c>
      <c r="B2046" t="s">
        <v>17</v>
      </c>
      <c r="C2046">
        <v>371</v>
      </c>
    </row>
    <row r="2047" spans="1:3" x14ac:dyDescent="0.25">
      <c r="A2047" s="1">
        <v>41838</v>
      </c>
      <c r="B2047" t="s">
        <v>22</v>
      </c>
      <c r="C2047">
        <v>485</v>
      </c>
    </row>
    <row r="2048" spans="1:3" x14ac:dyDescent="0.25">
      <c r="A2048" s="1">
        <v>41838</v>
      </c>
      <c r="B2048" t="s">
        <v>37</v>
      </c>
      <c r="C2048">
        <v>92</v>
      </c>
    </row>
    <row r="2049" spans="1:3" x14ac:dyDescent="0.25">
      <c r="A2049" s="1">
        <v>41840</v>
      </c>
      <c r="B2049" t="s">
        <v>17</v>
      </c>
      <c r="C2049">
        <v>442</v>
      </c>
    </row>
    <row r="2050" spans="1:3" x14ac:dyDescent="0.25">
      <c r="A2050" s="1">
        <v>41841</v>
      </c>
      <c r="B2050" t="s">
        <v>8</v>
      </c>
      <c r="C2050">
        <v>44</v>
      </c>
    </row>
    <row r="2051" spans="1:3" x14ac:dyDescent="0.25">
      <c r="A2051" s="1">
        <v>41843</v>
      </c>
      <c r="B2051" t="s">
        <v>39</v>
      </c>
      <c r="C2051">
        <v>39</v>
      </c>
    </row>
    <row r="2052" spans="1:3" x14ac:dyDescent="0.25">
      <c r="A2052" s="1">
        <v>41848</v>
      </c>
      <c r="B2052" t="s">
        <v>17</v>
      </c>
      <c r="C2052">
        <v>288</v>
      </c>
    </row>
    <row r="2053" spans="1:3" x14ac:dyDescent="0.25">
      <c r="A2053" s="1">
        <v>41848</v>
      </c>
      <c r="B2053" t="s">
        <v>190</v>
      </c>
      <c r="C2053">
        <v>4</v>
      </c>
    </row>
    <row r="2054" spans="1:3" x14ac:dyDescent="0.25">
      <c r="A2054" s="1">
        <v>41851</v>
      </c>
      <c r="B2054" t="s">
        <v>238</v>
      </c>
      <c r="C2054">
        <v>6</v>
      </c>
    </row>
    <row r="2055" spans="1:3" x14ac:dyDescent="0.25">
      <c r="A2055" s="1">
        <v>41851</v>
      </c>
      <c r="B2055" t="s">
        <v>116</v>
      </c>
      <c r="C2055">
        <v>9</v>
      </c>
    </row>
    <row r="2056" spans="1:3" x14ac:dyDescent="0.25">
      <c r="A2056" s="1">
        <v>41852</v>
      </c>
      <c r="B2056" t="s">
        <v>37</v>
      </c>
      <c r="C2056">
        <v>178</v>
      </c>
    </row>
    <row r="2057" spans="1:3" x14ac:dyDescent="0.25">
      <c r="A2057" s="1">
        <v>41853</v>
      </c>
      <c r="B2057" t="s">
        <v>50</v>
      </c>
      <c r="C2057">
        <v>455</v>
      </c>
    </row>
    <row r="2058" spans="1:3" x14ac:dyDescent="0.25">
      <c r="A2058" s="1">
        <v>41854</v>
      </c>
      <c r="B2058" t="s">
        <v>78</v>
      </c>
      <c r="C2058">
        <v>56</v>
      </c>
    </row>
    <row r="2059" spans="1:3" x14ac:dyDescent="0.25">
      <c r="A2059" s="1">
        <v>41858</v>
      </c>
      <c r="B2059" t="s">
        <v>61</v>
      </c>
      <c r="C2059">
        <v>46</v>
      </c>
    </row>
    <row r="2060" spans="1:3" x14ac:dyDescent="0.25">
      <c r="A2060" s="1">
        <v>41859</v>
      </c>
      <c r="B2060" t="s">
        <v>124</v>
      </c>
      <c r="C2060">
        <v>15</v>
      </c>
    </row>
    <row r="2061" spans="1:3" x14ac:dyDescent="0.25">
      <c r="A2061" s="1">
        <v>41860</v>
      </c>
      <c r="B2061" t="s">
        <v>8</v>
      </c>
      <c r="C2061">
        <v>130</v>
      </c>
    </row>
    <row r="2062" spans="1:3" x14ac:dyDescent="0.25">
      <c r="A2062" s="1">
        <v>41861</v>
      </c>
      <c r="B2062" t="s">
        <v>20</v>
      </c>
      <c r="C2062">
        <v>154</v>
      </c>
    </row>
    <row r="2063" spans="1:3" x14ac:dyDescent="0.25">
      <c r="A2063" s="1">
        <v>41861</v>
      </c>
      <c r="B2063" t="s">
        <v>8</v>
      </c>
      <c r="C2063">
        <v>137</v>
      </c>
    </row>
    <row r="2064" spans="1:3" x14ac:dyDescent="0.25">
      <c r="A2064" s="1">
        <v>41863</v>
      </c>
      <c r="B2064" t="s">
        <v>58</v>
      </c>
      <c r="C2064">
        <v>119</v>
      </c>
    </row>
    <row r="2065" spans="1:3" x14ac:dyDescent="0.25">
      <c r="A2065" s="1">
        <v>41863</v>
      </c>
      <c r="B2065" t="s">
        <v>50</v>
      </c>
      <c r="C2065">
        <v>138</v>
      </c>
    </row>
    <row r="2066" spans="1:3" x14ac:dyDescent="0.25">
      <c r="A2066" s="1">
        <v>41864</v>
      </c>
      <c r="B2066" t="s">
        <v>50</v>
      </c>
      <c r="C2066">
        <v>303</v>
      </c>
    </row>
    <row r="2067" spans="1:3" x14ac:dyDescent="0.25">
      <c r="A2067" s="1">
        <v>41866</v>
      </c>
      <c r="B2067" t="s">
        <v>18</v>
      </c>
      <c r="C2067">
        <v>73</v>
      </c>
    </row>
    <row r="2068" spans="1:3" x14ac:dyDescent="0.25">
      <c r="A2068" s="1">
        <v>41868</v>
      </c>
      <c r="B2068" t="s">
        <v>55</v>
      </c>
      <c r="C2068">
        <v>35</v>
      </c>
    </row>
    <row r="2069" spans="1:3" x14ac:dyDescent="0.25">
      <c r="A2069" s="1">
        <v>41868</v>
      </c>
      <c r="B2069" t="s">
        <v>14</v>
      </c>
      <c r="C2069">
        <v>435</v>
      </c>
    </row>
    <row r="2070" spans="1:3" x14ac:dyDescent="0.25">
      <c r="A2070" s="1">
        <v>41871</v>
      </c>
      <c r="B2070" t="s">
        <v>9</v>
      </c>
      <c r="C2070">
        <v>476</v>
      </c>
    </row>
    <row r="2071" spans="1:3" x14ac:dyDescent="0.25">
      <c r="A2071" s="1">
        <v>41874</v>
      </c>
      <c r="B2071" t="s">
        <v>7</v>
      </c>
      <c r="C2071">
        <v>386</v>
      </c>
    </row>
    <row r="2072" spans="1:3" x14ac:dyDescent="0.25">
      <c r="A2072" s="1">
        <v>41877</v>
      </c>
      <c r="B2072" t="s">
        <v>10</v>
      </c>
      <c r="C2072">
        <v>147</v>
      </c>
    </row>
    <row r="2073" spans="1:3" x14ac:dyDescent="0.25">
      <c r="A2073" s="1">
        <v>41880</v>
      </c>
      <c r="B2073" t="s">
        <v>14</v>
      </c>
      <c r="C2073">
        <v>112</v>
      </c>
    </row>
    <row r="2074" spans="1:3" x14ac:dyDescent="0.25">
      <c r="A2074" s="1">
        <v>41885</v>
      </c>
      <c r="B2074" t="s">
        <v>61</v>
      </c>
      <c r="C2074">
        <v>156</v>
      </c>
    </row>
    <row r="2075" spans="1:3" x14ac:dyDescent="0.25">
      <c r="A2075" s="1">
        <v>41886</v>
      </c>
      <c r="B2075" t="s">
        <v>102</v>
      </c>
      <c r="C2075">
        <v>106</v>
      </c>
    </row>
    <row r="2076" spans="1:3" x14ac:dyDescent="0.25">
      <c r="A2076" s="1">
        <v>41888</v>
      </c>
      <c r="B2076" t="s">
        <v>139</v>
      </c>
      <c r="C2076">
        <v>2</v>
      </c>
    </row>
    <row r="2077" spans="1:3" x14ac:dyDescent="0.25">
      <c r="A2077" s="1">
        <v>41888</v>
      </c>
      <c r="B2077" t="s">
        <v>86</v>
      </c>
      <c r="C2077">
        <v>19</v>
      </c>
    </row>
    <row r="2078" spans="1:3" x14ac:dyDescent="0.25">
      <c r="A2078" s="1">
        <v>41889</v>
      </c>
      <c r="B2078" t="s">
        <v>59</v>
      </c>
      <c r="C2078">
        <v>18</v>
      </c>
    </row>
    <row r="2079" spans="1:3" x14ac:dyDescent="0.25">
      <c r="A2079" s="1">
        <v>41892</v>
      </c>
      <c r="B2079" t="s">
        <v>102</v>
      </c>
      <c r="C2079">
        <v>332</v>
      </c>
    </row>
    <row r="2080" spans="1:3" x14ac:dyDescent="0.25">
      <c r="A2080" s="1">
        <v>41893</v>
      </c>
      <c r="B2080" t="s">
        <v>110</v>
      </c>
      <c r="C2080">
        <v>1</v>
      </c>
    </row>
    <row r="2081" spans="1:3" x14ac:dyDescent="0.25">
      <c r="A2081" s="1">
        <v>41894</v>
      </c>
      <c r="B2081" t="s">
        <v>17</v>
      </c>
      <c r="C2081">
        <v>438</v>
      </c>
    </row>
    <row r="2082" spans="1:3" x14ac:dyDescent="0.25">
      <c r="A2082" s="1">
        <v>41895</v>
      </c>
      <c r="B2082" t="s">
        <v>19</v>
      </c>
      <c r="C2082">
        <v>25</v>
      </c>
    </row>
    <row r="2083" spans="1:3" x14ac:dyDescent="0.25">
      <c r="A2083" s="1">
        <v>41897</v>
      </c>
      <c r="B2083" t="s">
        <v>14</v>
      </c>
      <c r="C2083">
        <v>220</v>
      </c>
    </row>
    <row r="2084" spans="1:3" x14ac:dyDescent="0.25">
      <c r="A2084" s="1">
        <v>41897</v>
      </c>
      <c r="B2084" t="s">
        <v>39</v>
      </c>
      <c r="C2084">
        <v>47</v>
      </c>
    </row>
    <row r="2085" spans="1:3" x14ac:dyDescent="0.25">
      <c r="A2085" s="1">
        <v>41897</v>
      </c>
      <c r="B2085" t="s">
        <v>239</v>
      </c>
      <c r="C2085">
        <v>1</v>
      </c>
    </row>
    <row r="2086" spans="1:3" x14ac:dyDescent="0.25">
      <c r="A2086" s="1">
        <v>41898</v>
      </c>
      <c r="B2086" t="s">
        <v>186</v>
      </c>
      <c r="C2086">
        <v>14</v>
      </c>
    </row>
    <row r="2087" spans="1:3" x14ac:dyDescent="0.25">
      <c r="A2087" s="1">
        <v>41899</v>
      </c>
      <c r="B2087" t="s">
        <v>9</v>
      </c>
      <c r="C2087">
        <v>132</v>
      </c>
    </row>
    <row r="2088" spans="1:3" x14ac:dyDescent="0.25">
      <c r="A2088" s="1">
        <v>41904</v>
      </c>
      <c r="B2088" t="s">
        <v>146</v>
      </c>
      <c r="C2088">
        <v>18</v>
      </c>
    </row>
    <row r="2089" spans="1:3" x14ac:dyDescent="0.25">
      <c r="A2089" s="1">
        <v>41906</v>
      </c>
      <c r="B2089" t="s">
        <v>9</v>
      </c>
      <c r="C2089">
        <v>266</v>
      </c>
    </row>
    <row r="2090" spans="1:3" x14ac:dyDescent="0.25">
      <c r="A2090" s="1">
        <v>41907</v>
      </c>
      <c r="B2090" t="s">
        <v>8</v>
      </c>
      <c r="C2090">
        <v>30</v>
      </c>
    </row>
    <row r="2091" spans="1:3" x14ac:dyDescent="0.25">
      <c r="A2091" s="1">
        <v>41909</v>
      </c>
      <c r="B2091" t="s">
        <v>45</v>
      </c>
      <c r="C2091">
        <v>452</v>
      </c>
    </row>
    <row r="2092" spans="1:3" x14ac:dyDescent="0.25">
      <c r="A2092" s="1">
        <v>41911</v>
      </c>
      <c r="B2092" t="s">
        <v>5</v>
      </c>
      <c r="C2092">
        <v>306</v>
      </c>
    </row>
    <row r="2093" spans="1:3" x14ac:dyDescent="0.25">
      <c r="A2093" s="1">
        <v>41912</v>
      </c>
      <c r="B2093" t="s">
        <v>61</v>
      </c>
      <c r="C2093">
        <v>98</v>
      </c>
    </row>
    <row r="2094" spans="1:3" x14ac:dyDescent="0.25">
      <c r="A2094" s="1">
        <v>41913</v>
      </c>
      <c r="B2094" t="s">
        <v>58</v>
      </c>
      <c r="C2094">
        <v>110</v>
      </c>
    </row>
    <row r="2095" spans="1:3" x14ac:dyDescent="0.25">
      <c r="A2095" s="1">
        <v>41913</v>
      </c>
      <c r="B2095" t="s">
        <v>8</v>
      </c>
      <c r="C2095">
        <v>57</v>
      </c>
    </row>
    <row r="2096" spans="1:3" x14ac:dyDescent="0.25">
      <c r="A2096" s="1">
        <v>41913</v>
      </c>
      <c r="B2096" t="s">
        <v>157</v>
      </c>
      <c r="C2096">
        <v>16</v>
      </c>
    </row>
    <row r="2097" spans="1:3" x14ac:dyDescent="0.25">
      <c r="A2097" s="1">
        <v>41916</v>
      </c>
      <c r="B2097" t="s">
        <v>104</v>
      </c>
      <c r="C2097">
        <v>5</v>
      </c>
    </row>
    <row r="2098" spans="1:3" x14ac:dyDescent="0.25">
      <c r="A2098" s="1">
        <v>41919</v>
      </c>
      <c r="B2098" t="s">
        <v>22</v>
      </c>
      <c r="C2098">
        <v>433</v>
      </c>
    </row>
    <row r="2099" spans="1:3" x14ac:dyDescent="0.25">
      <c r="A2099" s="1">
        <v>41920</v>
      </c>
      <c r="B2099" t="s">
        <v>69</v>
      </c>
      <c r="C2099">
        <v>180</v>
      </c>
    </row>
    <row r="2100" spans="1:3" x14ac:dyDescent="0.25">
      <c r="A2100" s="1">
        <v>41920</v>
      </c>
      <c r="B2100" t="s">
        <v>22</v>
      </c>
      <c r="C2100">
        <v>381</v>
      </c>
    </row>
    <row r="2101" spans="1:3" x14ac:dyDescent="0.25">
      <c r="A2101" s="1">
        <v>41921</v>
      </c>
      <c r="B2101" t="s">
        <v>70</v>
      </c>
      <c r="C2101">
        <v>16</v>
      </c>
    </row>
    <row r="2102" spans="1:3" x14ac:dyDescent="0.25">
      <c r="A2102" s="1">
        <v>41921</v>
      </c>
      <c r="B2102" t="s">
        <v>28</v>
      </c>
      <c r="C2102">
        <v>85</v>
      </c>
    </row>
    <row r="2103" spans="1:3" x14ac:dyDescent="0.25">
      <c r="A2103" s="1">
        <v>41921</v>
      </c>
      <c r="B2103" t="s">
        <v>25</v>
      </c>
      <c r="C2103">
        <v>37</v>
      </c>
    </row>
    <row r="2104" spans="1:3" x14ac:dyDescent="0.25">
      <c r="A2104" s="1">
        <v>41924</v>
      </c>
      <c r="B2104" t="s">
        <v>20</v>
      </c>
      <c r="C2104">
        <v>69</v>
      </c>
    </row>
    <row r="2105" spans="1:3" x14ac:dyDescent="0.25">
      <c r="A2105" s="1">
        <v>41925</v>
      </c>
      <c r="B2105" t="s">
        <v>7</v>
      </c>
      <c r="C2105">
        <v>304</v>
      </c>
    </row>
    <row r="2106" spans="1:3" x14ac:dyDescent="0.25">
      <c r="A2106" s="1">
        <v>41928</v>
      </c>
      <c r="B2106" t="s">
        <v>22</v>
      </c>
      <c r="C2106">
        <v>491</v>
      </c>
    </row>
    <row r="2107" spans="1:3" x14ac:dyDescent="0.25">
      <c r="A2107" s="1">
        <v>41931</v>
      </c>
      <c r="B2107" t="s">
        <v>23</v>
      </c>
      <c r="C2107">
        <v>106</v>
      </c>
    </row>
    <row r="2108" spans="1:3" x14ac:dyDescent="0.25">
      <c r="A2108" s="1">
        <v>41935</v>
      </c>
      <c r="B2108" t="s">
        <v>52</v>
      </c>
      <c r="C2108">
        <v>188</v>
      </c>
    </row>
    <row r="2109" spans="1:3" x14ac:dyDescent="0.25">
      <c r="A2109" s="1">
        <v>41935</v>
      </c>
      <c r="B2109" t="s">
        <v>8</v>
      </c>
      <c r="C2109">
        <v>131</v>
      </c>
    </row>
    <row r="2110" spans="1:3" x14ac:dyDescent="0.25">
      <c r="A2110" s="1">
        <v>41936</v>
      </c>
      <c r="B2110" t="s">
        <v>148</v>
      </c>
      <c r="C2110">
        <v>9</v>
      </c>
    </row>
    <row r="2111" spans="1:3" x14ac:dyDescent="0.25">
      <c r="A2111" s="1">
        <v>41938</v>
      </c>
      <c r="B2111" t="s">
        <v>45</v>
      </c>
      <c r="C2111">
        <v>245</v>
      </c>
    </row>
    <row r="2112" spans="1:3" x14ac:dyDescent="0.25">
      <c r="A2112" s="1">
        <v>41943</v>
      </c>
      <c r="B2112" t="s">
        <v>22</v>
      </c>
      <c r="C2112">
        <v>166</v>
      </c>
    </row>
    <row r="2113" spans="1:3" x14ac:dyDescent="0.25">
      <c r="A2113" s="1">
        <v>41945</v>
      </c>
      <c r="B2113" t="s">
        <v>55</v>
      </c>
      <c r="C2113">
        <v>171</v>
      </c>
    </row>
    <row r="2114" spans="1:3" x14ac:dyDescent="0.25">
      <c r="A2114" s="1">
        <v>41945</v>
      </c>
      <c r="B2114" t="s">
        <v>119</v>
      </c>
      <c r="C2114">
        <v>11</v>
      </c>
    </row>
    <row r="2115" spans="1:3" x14ac:dyDescent="0.25">
      <c r="A2115" s="1">
        <v>41946</v>
      </c>
      <c r="B2115" t="s">
        <v>20</v>
      </c>
      <c r="C2115">
        <v>52</v>
      </c>
    </row>
    <row r="2116" spans="1:3" x14ac:dyDescent="0.25">
      <c r="A2116" s="1">
        <v>41949</v>
      </c>
      <c r="B2116" t="s">
        <v>120</v>
      </c>
      <c r="C2116">
        <v>56</v>
      </c>
    </row>
    <row r="2117" spans="1:3" x14ac:dyDescent="0.25">
      <c r="A2117" s="1">
        <v>41950</v>
      </c>
      <c r="B2117" t="s">
        <v>54</v>
      </c>
      <c r="C2117">
        <v>6</v>
      </c>
    </row>
    <row r="2118" spans="1:3" x14ac:dyDescent="0.25">
      <c r="A2118" s="1">
        <v>41950</v>
      </c>
      <c r="B2118" t="s">
        <v>55</v>
      </c>
      <c r="C2118">
        <v>179</v>
      </c>
    </row>
    <row r="2119" spans="1:3" x14ac:dyDescent="0.25">
      <c r="A2119" s="1">
        <v>41951</v>
      </c>
      <c r="B2119" t="s">
        <v>22</v>
      </c>
      <c r="C2119">
        <v>398</v>
      </c>
    </row>
    <row r="2120" spans="1:3" x14ac:dyDescent="0.25">
      <c r="A2120" s="1">
        <v>41952</v>
      </c>
      <c r="B2120" t="s">
        <v>69</v>
      </c>
      <c r="C2120">
        <v>68</v>
      </c>
    </row>
    <row r="2121" spans="1:3" x14ac:dyDescent="0.25">
      <c r="A2121" s="1">
        <v>41952</v>
      </c>
      <c r="B2121" t="s">
        <v>12</v>
      </c>
      <c r="C2121">
        <v>160</v>
      </c>
    </row>
    <row r="2122" spans="1:3" x14ac:dyDescent="0.25">
      <c r="A2122" s="1">
        <v>41953</v>
      </c>
      <c r="B2122" t="s">
        <v>12</v>
      </c>
      <c r="C2122">
        <v>183</v>
      </c>
    </row>
    <row r="2123" spans="1:3" x14ac:dyDescent="0.25">
      <c r="A2123" s="1">
        <v>41954</v>
      </c>
      <c r="B2123" t="s">
        <v>22</v>
      </c>
      <c r="C2123">
        <v>178</v>
      </c>
    </row>
    <row r="2124" spans="1:3" x14ac:dyDescent="0.25">
      <c r="A2124" s="1">
        <v>41955</v>
      </c>
      <c r="B2124" t="s">
        <v>7</v>
      </c>
      <c r="C2124">
        <v>381</v>
      </c>
    </row>
    <row r="2125" spans="1:3" x14ac:dyDescent="0.25">
      <c r="A2125" s="1">
        <v>41957</v>
      </c>
      <c r="B2125" t="s">
        <v>62</v>
      </c>
      <c r="C2125">
        <v>12</v>
      </c>
    </row>
    <row r="2126" spans="1:3" x14ac:dyDescent="0.25">
      <c r="A2126" s="1">
        <v>41959</v>
      </c>
      <c r="B2126" t="s">
        <v>28</v>
      </c>
      <c r="C2126">
        <v>116</v>
      </c>
    </row>
    <row r="2127" spans="1:3" x14ac:dyDescent="0.25">
      <c r="A2127" s="1">
        <v>41961</v>
      </c>
      <c r="B2127" t="s">
        <v>7</v>
      </c>
      <c r="C2127">
        <v>117</v>
      </c>
    </row>
    <row r="2128" spans="1:3" x14ac:dyDescent="0.25">
      <c r="A2128" s="1">
        <v>41961</v>
      </c>
      <c r="B2128" t="s">
        <v>69</v>
      </c>
      <c r="C2128">
        <v>31</v>
      </c>
    </row>
    <row r="2129" spans="1:3" x14ac:dyDescent="0.25">
      <c r="A2129" s="1">
        <v>41962</v>
      </c>
      <c r="B2129" t="s">
        <v>8</v>
      </c>
      <c r="C2129">
        <v>131</v>
      </c>
    </row>
    <row r="2130" spans="1:3" x14ac:dyDescent="0.25">
      <c r="A2130" s="1">
        <v>41962</v>
      </c>
      <c r="B2130" t="s">
        <v>10</v>
      </c>
      <c r="C2130">
        <v>21</v>
      </c>
    </row>
    <row r="2131" spans="1:3" x14ac:dyDescent="0.25">
      <c r="A2131" s="1">
        <v>41963</v>
      </c>
      <c r="B2131" t="s">
        <v>9</v>
      </c>
      <c r="C2131">
        <v>300</v>
      </c>
    </row>
    <row r="2132" spans="1:3" x14ac:dyDescent="0.25">
      <c r="A2132" s="1">
        <v>41963</v>
      </c>
      <c r="B2132" t="s">
        <v>18</v>
      </c>
      <c r="C2132">
        <v>32</v>
      </c>
    </row>
    <row r="2133" spans="1:3" x14ac:dyDescent="0.25">
      <c r="A2133" s="1">
        <v>41966</v>
      </c>
      <c r="B2133" t="s">
        <v>132</v>
      </c>
      <c r="C2133">
        <v>4</v>
      </c>
    </row>
    <row r="2134" spans="1:3" x14ac:dyDescent="0.25">
      <c r="A2134" s="1">
        <v>41967</v>
      </c>
      <c r="B2134" t="s">
        <v>45</v>
      </c>
      <c r="C2134">
        <v>230</v>
      </c>
    </row>
    <row r="2135" spans="1:3" x14ac:dyDescent="0.25">
      <c r="A2135" s="1">
        <v>41968</v>
      </c>
      <c r="B2135" t="s">
        <v>61</v>
      </c>
      <c r="C2135">
        <v>164</v>
      </c>
    </row>
    <row r="2136" spans="1:3" x14ac:dyDescent="0.25">
      <c r="A2136" s="1">
        <v>41969</v>
      </c>
      <c r="B2136" t="s">
        <v>98</v>
      </c>
      <c r="C2136">
        <v>4</v>
      </c>
    </row>
    <row r="2137" spans="1:3" x14ac:dyDescent="0.25">
      <c r="A2137" s="1">
        <v>41972</v>
      </c>
      <c r="B2137" t="s">
        <v>20</v>
      </c>
      <c r="C2137">
        <v>96</v>
      </c>
    </row>
    <row r="2138" spans="1:3" x14ac:dyDescent="0.25">
      <c r="A2138" s="1">
        <v>41975</v>
      </c>
      <c r="B2138" t="s">
        <v>131</v>
      </c>
      <c r="C2138">
        <v>94</v>
      </c>
    </row>
    <row r="2139" spans="1:3" x14ac:dyDescent="0.25">
      <c r="A2139" s="1">
        <v>41975</v>
      </c>
      <c r="B2139" t="s">
        <v>71</v>
      </c>
      <c r="C2139">
        <v>21</v>
      </c>
    </row>
    <row r="2140" spans="1:3" x14ac:dyDescent="0.25">
      <c r="A2140" s="1">
        <v>41977</v>
      </c>
      <c r="B2140" t="s">
        <v>7</v>
      </c>
      <c r="C2140">
        <v>129</v>
      </c>
    </row>
    <row r="2141" spans="1:3" x14ac:dyDescent="0.25">
      <c r="A2141" s="1">
        <v>41977</v>
      </c>
      <c r="B2141" t="s">
        <v>25</v>
      </c>
      <c r="C2141">
        <v>197</v>
      </c>
    </row>
    <row r="2142" spans="1:3" x14ac:dyDescent="0.25">
      <c r="A2142" s="1">
        <v>41978</v>
      </c>
      <c r="B2142" t="s">
        <v>113</v>
      </c>
      <c r="C2142">
        <v>16</v>
      </c>
    </row>
    <row r="2143" spans="1:3" x14ac:dyDescent="0.25">
      <c r="A2143" s="1">
        <v>41978</v>
      </c>
      <c r="B2143" t="s">
        <v>24</v>
      </c>
      <c r="C2143">
        <v>332</v>
      </c>
    </row>
    <row r="2144" spans="1:3" x14ac:dyDescent="0.25">
      <c r="A2144" s="1">
        <v>41980</v>
      </c>
      <c r="B2144" t="s">
        <v>69</v>
      </c>
      <c r="C2144">
        <v>75</v>
      </c>
    </row>
    <row r="2145" spans="1:3" x14ac:dyDescent="0.25">
      <c r="A2145" s="1">
        <v>41981</v>
      </c>
      <c r="B2145" t="s">
        <v>74</v>
      </c>
      <c r="C2145">
        <v>10</v>
      </c>
    </row>
    <row r="2146" spans="1:3" x14ac:dyDescent="0.25">
      <c r="A2146" s="1">
        <v>41982</v>
      </c>
      <c r="B2146" t="s">
        <v>37</v>
      </c>
      <c r="C2146">
        <v>93</v>
      </c>
    </row>
    <row r="2147" spans="1:3" x14ac:dyDescent="0.25">
      <c r="A2147" s="1">
        <v>41983</v>
      </c>
      <c r="B2147" t="s">
        <v>45</v>
      </c>
      <c r="C2147">
        <v>146</v>
      </c>
    </row>
    <row r="2148" spans="1:3" x14ac:dyDescent="0.25">
      <c r="A2148" s="1">
        <v>41984</v>
      </c>
      <c r="B2148" t="s">
        <v>58</v>
      </c>
      <c r="C2148">
        <v>197</v>
      </c>
    </row>
    <row r="2149" spans="1:3" x14ac:dyDescent="0.25">
      <c r="A2149" s="1">
        <v>41986</v>
      </c>
      <c r="B2149" t="s">
        <v>17</v>
      </c>
      <c r="C2149">
        <v>482</v>
      </c>
    </row>
    <row r="2150" spans="1:3" x14ac:dyDescent="0.25">
      <c r="A2150" s="1">
        <v>41988</v>
      </c>
      <c r="B2150" t="s">
        <v>8</v>
      </c>
      <c r="C2150">
        <v>43</v>
      </c>
    </row>
    <row r="2151" spans="1:3" x14ac:dyDescent="0.25">
      <c r="A2151" s="1">
        <v>41989</v>
      </c>
      <c r="B2151" t="s">
        <v>22</v>
      </c>
      <c r="C2151">
        <v>367</v>
      </c>
    </row>
    <row r="2152" spans="1:3" x14ac:dyDescent="0.25">
      <c r="A2152" s="1">
        <v>41989</v>
      </c>
      <c r="B2152" t="s">
        <v>14</v>
      </c>
      <c r="C2152">
        <v>274</v>
      </c>
    </row>
    <row r="2153" spans="1:3" x14ac:dyDescent="0.25">
      <c r="A2153" s="1">
        <v>41991</v>
      </c>
      <c r="B2153" t="s">
        <v>17</v>
      </c>
      <c r="C2153">
        <v>283</v>
      </c>
    </row>
    <row r="2154" spans="1:3" x14ac:dyDescent="0.25">
      <c r="A2154" s="1">
        <v>41992</v>
      </c>
      <c r="B2154" t="s">
        <v>55</v>
      </c>
      <c r="C2154">
        <v>98</v>
      </c>
    </row>
    <row r="2155" spans="1:3" x14ac:dyDescent="0.25">
      <c r="A2155" s="1">
        <v>41993</v>
      </c>
      <c r="B2155" t="s">
        <v>22</v>
      </c>
      <c r="C2155">
        <v>485</v>
      </c>
    </row>
    <row r="2156" spans="1:3" x14ac:dyDescent="0.25">
      <c r="A2156" s="1">
        <v>41994</v>
      </c>
      <c r="B2156" t="s">
        <v>167</v>
      </c>
      <c r="C2156">
        <v>3</v>
      </c>
    </row>
    <row r="2157" spans="1:3" x14ac:dyDescent="0.25">
      <c r="A2157" s="1">
        <v>41996</v>
      </c>
      <c r="B2157" t="s">
        <v>45</v>
      </c>
      <c r="C2157">
        <v>331</v>
      </c>
    </row>
    <row r="2158" spans="1:3" x14ac:dyDescent="0.25">
      <c r="A2158" s="1">
        <v>41997</v>
      </c>
      <c r="B2158" t="s">
        <v>8</v>
      </c>
      <c r="C2158">
        <v>150</v>
      </c>
    </row>
    <row r="2159" spans="1:3" x14ac:dyDescent="0.25">
      <c r="A2159" s="1">
        <v>41998</v>
      </c>
      <c r="B2159" t="s">
        <v>7</v>
      </c>
      <c r="C2159">
        <v>463</v>
      </c>
    </row>
    <row r="2160" spans="1:3" x14ac:dyDescent="0.25">
      <c r="A2160" s="1">
        <v>41999</v>
      </c>
      <c r="B2160" t="s">
        <v>159</v>
      </c>
      <c r="C2160">
        <v>8</v>
      </c>
    </row>
    <row r="2161" spans="1:3" x14ac:dyDescent="0.25">
      <c r="A2161" s="1">
        <v>41999</v>
      </c>
      <c r="B2161" t="s">
        <v>12</v>
      </c>
      <c r="C2161">
        <v>178</v>
      </c>
    </row>
    <row r="2162" spans="1:3" x14ac:dyDescent="0.25">
      <c r="A2162" s="1">
        <v>42001</v>
      </c>
      <c r="B2162" t="s">
        <v>19</v>
      </c>
      <c r="C2162">
        <v>166</v>
      </c>
    </row>
    <row r="2163" spans="1:3" x14ac:dyDescent="0.25">
      <c r="A2163" s="1">
        <v>42002</v>
      </c>
      <c r="B2163" t="s">
        <v>232</v>
      </c>
      <c r="C2163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6B88FB-2FC0-4438-A52E-10C59E6667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4.1</vt:lpstr>
      <vt:lpstr>4.2</vt:lpstr>
      <vt:lpstr>4.3</vt:lpstr>
      <vt:lpstr>4.4</vt:lpstr>
      <vt:lpstr>4.5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2026-02-05T18:10:21Z</dcterms:modified>
</cp:coreProperties>
</file>