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9PRSmaj\6\"/>
    </mc:Choice>
  </mc:AlternateContent>
  <xr:revisionPtr revIDLastSave="0" documentId="13_ncr:1_{222AEEF7-F175-4FD1-BFF6-B7C874A31053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5.1" sheetId="3" r:id="rId1"/>
    <sheet name="5.2" sheetId="4" r:id="rId2"/>
    <sheet name="5.3" sheetId="5" r:id="rId3"/>
    <sheet name="5.4" sheetId="6" r:id="rId4"/>
    <sheet name="5.5" sheetId="7" r:id="rId5"/>
    <sheet name="dane" sheetId="2" r:id="rId6"/>
  </sheets>
  <definedNames>
    <definedName name="ExternalData_1" localSheetId="0" hidden="1">'5.1'!$A$1:$F$301</definedName>
    <definedName name="ExternalData_1" localSheetId="1" hidden="1">'5.2'!$A$1:$F$301</definedName>
    <definedName name="ExternalData_1" localSheetId="2" hidden="1">'5.3'!$A$1:$F$301</definedName>
    <definedName name="ExternalData_1" localSheetId="3" hidden="1">'5.4'!$A$1:$F$301</definedName>
    <definedName name="ExternalData_1" localSheetId="4" hidden="1">'5.5'!$A$1:$F$301</definedName>
    <definedName name="ExternalData_1" localSheetId="5" hidden="1">dane!$A$1:$F$301</definedName>
  </definedNames>
  <calcPr calcId="191029"/>
  <pivotCaches>
    <pivotCache cacheId="5" r:id="rId7"/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7" l="1"/>
  <c r="P11" i="7"/>
  <c r="P10" i="7"/>
  <c r="P9" i="7"/>
  <c r="P8" i="7"/>
  <c r="P7" i="7"/>
  <c r="P6" i="7"/>
  <c r="P5" i="7"/>
  <c r="P4" i="7"/>
  <c r="P3" i="7"/>
  <c r="P2" i="7"/>
  <c r="I2" i="7"/>
  <c r="G6" i="7"/>
  <c r="G7" i="7" s="1"/>
  <c r="G8" i="7" s="1"/>
  <c r="G9" i="7" s="1"/>
  <c r="G10" i="7" s="1"/>
  <c r="G11" i="7"/>
  <c r="G12" i="7"/>
  <c r="G13" i="7" s="1"/>
  <c r="G14" i="7"/>
  <c r="G15" i="7" s="1"/>
  <c r="G16" i="7"/>
  <c r="G17" i="7" s="1"/>
  <c r="G18" i="7" s="1"/>
  <c r="G19" i="7" s="1"/>
  <c r="G20" i="7" s="1"/>
  <c r="G21" i="7" s="1"/>
  <c r="G22" i="7" s="1"/>
  <c r="G23" i="7" s="1"/>
  <c r="G24" i="7" s="1"/>
  <c r="G25" i="7"/>
  <c r="G26" i="7" s="1"/>
  <c r="G27" i="7" s="1"/>
  <c r="G28" i="7" s="1"/>
  <c r="G29" i="7" s="1"/>
  <c r="G30" i="7" s="1"/>
  <c r="G31" i="7" s="1"/>
  <c r="G32" i="7" s="1"/>
  <c r="G33" i="7"/>
  <c r="G34" i="7" s="1"/>
  <c r="G35" i="7" s="1"/>
  <c r="G36" i="7"/>
  <c r="G37" i="7"/>
  <c r="G38" i="7" s="1"/>
  <c r="G39" i="7" s="1"/>
  <c r="G40" i="7" s="1"/>
  <c r="G41" i="7"/>
  <c r="G42" i="7"/>
  <c r="G43" i="7" s="1"/>
  <c r="G44" i="7"/>
  <c r="G45" i="7"/>
  <c r="G46" i="7"/>
  <c r="G47" i="7"/>
  <c r="G48" i="7"/>
  <c r="G49" i="7"/>
  <c r="G50" i="7"/>
  <c r="G51" i="7"/>
  <c r="G52" i="7" s="1"/>
  <c r="G53" i="7"/>
  <c r="G54" i="7"/>
  <c r="G55" i="7" s="1"/>
  <c r="G56" i="7" s="1"/>
  <c r="G57" i="7" s="1"/>
  <c r="G58" i="7" s="1"/>
  <c r="G59" i="7"/>
  <c r="G60" i="7"/>
  <c r="G61" i="7"/>
  <c r="G62" i="7" s="1"/>
  <c r="G63" i="7" s="1"/>
  <c r="G64" i="7"/>
  <c r="G65" i="7"/>
  <c r="G66" i="7" s="1"/>
  <c r="G67" i="7" s="1"/>
  <c r="G68" i="7"/>
  <c r="G69" i="7"/>
  <c r="G70" i="7" s="1"/>
  <c r="G71" i="7" s="1"/>
  <c r="G72" i="7" s="1"/>
  <c r="G73" i="7" s="1"/>
  <c r="G74" i="7"/>
  <c r="G75" i="7"/>
  <c r="G76" i="7" s="1"/>
  <c r="G77" i="7" s="1"/>
  <c r="G78" i="7" s="1"/>
  <c r="G79" i="7"/>
  <c r="G80" i="7" s="1"/>
  <c r="G81" i="7"/>
  <c r="G82" i="7"/>
  <c r="G83" i="7"/>
  <c r="G84" i="7" s="1"/>
  <c r="G85" i="7"/>
  <c r="G86" i="7"/>
  <c r="G87" i="7"/>
  <c r="G88" i="7" s="1"/>
  <c r="G89" i="7"/>
  <c r="G90" i="7"/>
  <c r="G91" i="7" s="1"/>
  <c r="G92" i="7"/>
  <c r="G93" i="7"/>
  <c r="G94" i="7"/>
  <c r="G95" i="7" s="1"/>
  <c r="G96" i="7"/>
  <c r="G97" i="7"/>
  <c r="G98" i="7" s="1"/>
  <c r="G99" i="7"/>
  <c r="G100" i="7" s="1"/>
  <c r="G101" i="7" s="1"/>
  <c r="G102" i="7" s="1"/>
  <c r="G103" i="7" s="1"/>
  <c r="G104" i="7"/>
  <c r="G105" i="7"/>
  <c r="G106" i="7" s="1"/>
  <c r="G107" i="7" s="1"/>
  <c r="G108" i="7"/>
  <c r="G109" i="7"/>
  <c r="G110" i="7" s="1"/>
  <c r="G111" i="7"/>
  <c r="G112" i="7"/>
  <c r="G113" i="7"/>
  <c r="G114" i="7"/>
  <c r="G115" i="7" s="1"/>
  <c r="G116" i="7"/>
  <c r="G117" i="7" s="1"/>
  <c r="G118" i="7" s="1"/>
  <c r="G119" i="7" s="1"/>
  <c r="G120" i="7" s="1"/>
  <c r="G121" i="7" s="1"/>
  <c r="G122" i="7"/>
  <c r="G123" i="7"/>
  <c r="G124" i="7"/>
  <c r="G125" i="7" s="1"/>
  <c r="G126" i="7" s="1"/>
  <c r="G127" i="7" s="1"/>
  <c r="G128" i="7"/>
  <c r="G129" i="7"/>
  <c r="G130" i="7" s="1"/>
  <c r="G131" i="7" s="1"/>
  <c r="G132" i="7"/>
  <c r="G133" i="7"/>
  <c r="G134" i="7" s="1"/>
  <c r="G135" i="7" s="1"/>
  <c r="G136" i="7"/>
  <c r="G137" i="7"/>
  <c r="G138" i="7" s="1"/>
  <c r="G139" i="7" s="1"/>
  <c r="G140" i="7" s="1"/>
  <c r="G141" i="7"/>
  <c r="G142" i="7" s="1"/>
  <c r="G143" i="7" s="1"/>
  <c r="G144" i="7" s="1"/>
  <c r="G145" i="7" s="1"/>
  <c r="G146" i="7"/>
  <c r="G147" i="7"/>
  <c r="G148" i="7" s="1"/>
  <c r="G149" i="7" s="1"/>
  <c r="G150" i="7" s="1"/>
  <c r="G151" i="7"/>
  <c r="G152" i="7" s="1"/>
  <c r="G153" i="7" s="1"/>
  <c r="G154" i="7" s="1"/>
  <c r="G155" i="7"/>
  <c r="G156" i="7"/>
  <c r="G157" i="7"/>
  <c r="G158" i="7" s="1"/>
  <c r="G159" i="7"/>
  <c r="G160" i="7"/>
  <c r="G161" i="7"/>
  <c r="G162" i="7"/>
  <c r="G163" i="7"/>
  <c r="G164" i="7" s="1"/>
  <c r="G165" i="7" s="1"/>
  <c r="G166" i="7"/>
  <c r="G167" i="7" s="1"/>
  <c r="G168" i="7" s="1"/>
  <c r="G169" i="7"/>
  <c r="G170" i="7" s="1"/>
  <c r="G171" i="7" s="1"/>
  <c r="G172" i="7"/>
  <c r="G173" i="7"/>
  <c r="G174" i="7" s="1"/>
  <c r="G175" i="7" s="1"/>
  <c r="G176" i="7"/>
  <c r="G177" i="7" s="1"/>
  <c r="G178" i="7" s="1"/>
  <c r="G179" i="7" s="1"/>
  <c r="G180" i="7" s="1"/>
  <c r="G181" i="7"/>
  <c r="G182" i="7"/>
  <c r="G183" i="7"/>
  <c r="G184" i="7" s="1"/>
  <c r="G185" i="7" s="1"/>
  <c r="G186" i="7" s="1"/>
  <c r="G187" i="7"/>
  <c r="G188" i="7" s="1"/>
  <c r="G189" i="7"/>
  <c r="G190" i="7" s="1"/>
  <c r="G191" i="7" s="1"/>
  <c r="G192" i="7"/>
  <c r="G193" i="7" s="1"/>
  <c r="G194" i="7" s="1"/>
  <c r="G195" i="7" s="1"/>
  <c r="G196" i="7" s="1"/>
  <c r="G197" i="7" s="1"/>
  <c r="G198" i="7" s="1"/>
  <c r="G199" i="7" s="1"/>
  <c r="G200" i="7"/>
  <c r="G201" i="7"/>
  <c r="G202" i="7"/>
  <c r="G203" i="7" s="1"/>
  <c r="G204" i="7" s="1"/>
  <c r="G205" i="7"/>
  <c r="G206" i="7" s="1"/>
  <c r="G207" i="7"/>
  <c r="G208" i="7"/>
  <c r="G209" i="7"/>
  <c r="G210" i="7"/>
  <c r="G211" i="7"/>
  <c r="G212" i="7"/>
  <c r="G213" i="7"/>
  <c r="G214" i="7" s="1"/>
  <c r="G215" i="7" s="1"/>
  <c r="G216" i="7"/>
  <c r="G217" i="7"/>
  <c r="G218" i="7" s="1"/>
  <c r="G219" i="7" s="1"/>
  <c r="G220" i="7" s="1"/>
  <c r="G221" i="7" s="1"/>
  <c r="G222" i="7" s="1"/>
  <c r="G223" i="7"/>
  <c r="G224" i="7"/>
  <c r="G225" i="7" s="1"/>
  <c r="G226" i="7" s="1"/>
  <c r="G227" i="7" s="1"/>
  <c r="G228" i="7" s="1"/>
  <c r="G229" i="7" s="1"/>
  <c r="G230" i="7"/>
  <c r="G231" i="7"/>
  <c r="G232" i="7"/>
  <c r="G233" i="7" s="1"/>
  <c r="G234" i="7"/>
  <c r="G235" i="7"/>
  <c r="G236" i="7" s="1"/>
  <c r="G237" i="7" s="1"/>
  <c r="G238" i="7" s="1"/>
  <c r="G239" i="7"/>
  <c r="G240" i="7"/>
  <c r="G241" i="7"/>
  <c r="G242" i="7" s="1"/>
  <c r="G243" i="7"/>
  <c r="G244" i="7" s="1"/>
  <c r="G245" i="7" s="1"/>
  <c r="G246" i="7"/>
  <c r="G247" i="7"/>
  <c r="G248" i="7" s="1"/>
  <c r="G249" i="7" s="1"/>
  <c r="G250" i="7"/>
  <c r="G251" i="7"/>
  <c r="G252" i="7"/>
  <c r="G253" i="7"/>
  <c r="G254" i="7"/>
  <c r="G255" i="7"/>
  <c r="G256" i="7" s="1"/>
  <c r="G257" i="7" s="1"/>
  <c r="G258" i="7"/>
  <c r="G259" i="7"/>
  <c r="G260" i="7" s="1"/>
  <c r="G261" i="7" s="1"/>
  <c r="G262" i="7"/>
  <c r="G263" i="7" s="1"/>
  <c r="G264" i="7" s="1"/>
  <c r="G265" i="7" s="1"/>
  <c r="G266" i="7" s="1"/>
  <c r="G267" i="7" s="1"/>
  <c r="G268" i="7"/>
  <c r="G269" i="7" s="1"/>
  <c r="G270" i="7"/>
  <c r="G271" i="7"/>
  <c r="G272" i="7"/>
  <c r="G273" i="7"/>
  <c r="G274" i="7" s="1"/>
  <c r="G275" i="7"/>
  <c r="G276" i="7"/>
  <c r="G277" i="7"/>
  <c r="G278" i="7" s="1"/>
  <c r="G279" i="7"/>
  <c r="G280" i="7" s="1"/>
  <c r="G281" i="7" s="1"/>
  <c r="G282" i="7"/>
  <c r="G283" i="7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/>
  <c r="G295" i="7"/>
  <c r="G296" i="7"/>
  <c r="G297" i="7"/>
  <c r="G298" i="7"/>
  <c r="G299" i="7" s="1"/>
  <c r="G300" i="7" s="1"/>
  <c r="G301" i="7"/>
  <c r="G3" i="7"/>
  <c r="G4" i="7" s="1"/>
  <c r="G5" i="7" s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H1" i="4"/>
  <c r="G276" i="3"/>
  <c r="G136" i="3"/>
  <c r="G30" i="3"/>
  <c r="G154" i="3"/>
  <c r="G206" i="3"/>
  <c r="G258" i="3"/>
  <c r="G285" i="3"/>
  <c r="G101" i="3"/>
  <c r="G273" i="3"/>
  <c r="G50" i="3"/>
  <c r="G33" i="3"/>
  <c r="G73" i="3"/>
  <c r="G166" i="3"/>
  <c r="G22" i="3"/>
  <c r="G210" i="3"/>
  <c r="G76" i="3"/>
  <c r="G54" i="3"/>
  <c r="G134" i="3"/>
  <c r="G70" i="3"/>
  <c r="G90" i="3"/>
  <c r="G216" i="3"/>
  <c r="G11" i="3"/>
  <c r="G120" i="3"/>
  <c r="G112" i="3"/>
  <c r="G159" i="3"/>
  <c r="G3" i="3"/>
  <c r="G77" i="3"/>
  <c r="G256" i="3"/>
  <c r="G234" i="3"/>
  <c r="G39" i="3"/>
  <c r="G68" i="3"/>
  <c r="G196" i="3"/>
  <c r="G8" i="3"/>
  <c r="G188" i="3"/>
  <c r="G176" i="3"/>
  <c r="G235" i="3"/>
  <c r="G105" i="3"/>
  <c r="G189" i="3"/>
  <c r="G224" i="3"/>
  <c r="G103" i="3"/>
  <c r="G152" i="3"/>
  <c r="G296" i="3"/>
  <c r="G126" i="3"/>
  <c r="G97" i="3"/>
  <c r="G137" i="3"/>
  <c r="G191" i="3"/>
  <c r="G250" i="3"/>
  <c r="G214" i="3"/>
  <c r="G217" i="3"/>
  <c r="G27" i="3"/>
  <c r="G36" i="3"/>
  <c r="G12" i="3"/>
  <c r="G164" i="3"/>
  <c r="G83" i="3"/>
  <c r="G185" i="3"/>
  <c r="G91" i="3"/>
  <c r="G220" i="3"/>
  <c r="G74" i="3"/>
  <c r="G116" i="3"/>
  <c r="G208" i="3"/>
  <c r="G186" i="3"/>
  <c r="G2" i="3"/>
  <c r="G57" i="3"/>
  <c r="G204" i="3"/>
  <c r="G266" i="3"/>
  <c r="G15" i="3"/>
  <c r="G98" i="3"/>
  <c r="G229" i="3"/>
  <c r="G183" i="3"/>
  <c r="G4" i="3"/>
  <c r="G239" i="3"/>
  <c r="G262" i="3"/>
  <c r="G297" i="3"/>
  <c r="G253" i="3"/>
  <c r="G94" i="3"/>
  <c r="G150" i="3"/>
  <c r="G162" i="3"/>
  <c r="G260" i="3"/>
  <c r="G13" i="3"/>
  <c r="G118" i="3"/>
  <c r="G181" i="3"/>
  <c r="G132" i="3"/>
  <c r="G268" i="3"/>
  <c r="G168" i="3"/>
  <c r="G179" i="3"/>
  <c r="G184" i="3"/>
  <c r="G173" i="3"/>
  <c r="G45" i="3"/>
  <c r="G232" i="3"/>
  <c r="G55" i="3"/>
  <c r="G156" i="3"/>
  <c r="G51" i="3"/>
  <c r="G205" i="3"/>
  <c r="G43" i="3"/>
  <c r="G67" i="3"/>
  <c r="G246" i="3"/>
  <c r="G23" i="3"/>
  <c r="G233" i="3"/>
  <c r="G225" i="3"/>
  <c r="G48" i="3"/>
  <c r="G209" i="3"/>
  <c r="G267" i="3"/>
  <c r="G109" i="3"/>
  <c r="G263" i="3"/>
  <c r="G248" i="3"/>
  <c r="G85" i="3"/>
  <c r="G257" i="3"/>
  <c r="G121" i="3"/>
  <c r="G25" i="3"/>
  <c r="G289" i="3"/>
  <c r="G44" i="3"/>
  <c r="G252" i="3"/>
  <c r="G274" i="3"/>
  <c r="G21" i="3"/>
  <c r="G49" i="3"/>
  <c r="G226" i="3"/>
  <c r="G40" i="3"/>
  <c r="G58" i="3"/>
  <c r="G28" i="3"/>
  <c r="G34" i="3"/>
  <c r="G288" i="3"/>
  <c r="G249" i="3"/>
  <c r="G14" i="3"/>
  <c r="G278" i="3"/>
  <c r="G71" i="3"/>
  <c r="G46" i="3"/>
  <c r="G141" i="3"/>
  <c r="G158" i="3"/>
  <c r="G238" i="3"/>
  <c r="G7" i="3"/>
  <c r="G79" i="3"/>
  <c r="G130" i="3"/>
  <c r="G300" i="3"/>
  <c r="G10" i="3"/>
  <c r="G143" i="3"/>
  <c r="G146" i="3"/>
  <c r="G35" i="3"/>
  <c r="G29" i="3"/>
  <c r="G215" i="3"/>
  <c r="G194" i="3"/>
  <c r="G197" i="3"/>
  <c r="G298" i="3"/>
  <c r="G190" i="3"/>
  <c r="G89" i="3"/>
  <c r="G26" i="3"/>
  <c r="G174" i="3"/>
  <c r="G144" i="3"/>
  <c r="G243" i="3"/>
  <c r="G200" i="3"/>
  <c r="G294" i="3"/>
  <c r="G269" i="3"/>
  <c r="G279" i="3"/>
  <c r="G41" i="3"/>
  <c r="G17" i="3"/>
  <c r="G124" i="3"/>
  <c r="G99" i="3"/>
  <c r="G128" i="3"/>
  <c r="G93" i="3"/>
  <c r="G147" i="3"/>
  <c r="G295" i="3"/>
  <c r="G231" i="3"/>
  <c r="G187" i="3"/>
  <c r="G129" i="3"/>
  <c r="G167" i="3"/>
  <c r="G160" i="3"/>
  <c r="G228" i="3"/>
  <c r="G299" i="3"/>
  <c r="G211" i="3"/>
  <c r="G142" i="3"/>
  <c r="G240" i="3"/>
  <c r="G16" i="3"/>
  <c r="G72" i="3"/>
  <c r="G9" i="3"/>
  <c r="G178" i="3"/>
  <c r="G60" i="3"/>
  <c r="G106" i="3"/>
  <c r="G280" i="3"/>
  <c r="G223" i="3"/>
  <c r="G245" i="3"/>
  <c r="G61" i="3"/>
  <c r="G95" i="3"/>
  <c r="G125" i="3"/>
  <c r="G182" i="3"/>
  <c r="G270" i="3"/>
  <c r="G218" i="3"/>
  <c r="G108" i="3"/>
  <c r="G255" i="3"/>
  <c r="G96" i="3"/>
  <c r="G201" i="3"/>
  <c r="G292" i="3"/>
  <c r="G75" i="3"/>
  <c r="G32" i="3"/>
  <c r="G140" i="3"/>
  <c r="G24" i="3"/>
  <c r="G171" i="3"/>
  <c r="G149" i="3"/>
  <c r="G236" i="3"/>
  <c r="G207" i="3"/>
  <c r="G284" i="3"/>
  <c r="G117" i="3"/>
  <c r="G165" i="3"/>
  <c r="G107" i="3"/>
  <c r="G110" i="3"/>
  <c r="G286" i="3"/>
  <c r="G84" i="3"/>
  <c r="G37" i="3"/>
  <c r="G169" i="3"/>
  <c r="G52" i="3"/>
  <c r="G271" i="3"/>
  <c r="G113" i="3"/>
  <c r="G175" i="3"/>
  <c r="G19" i="3"/>
  <c r="G122" i="3"/>
  <c r="G31" i="3"/>
  <c r="G265" i="3"/>
  <c r="G38" i="3"/>
  <c r="G59" i="3"/>
  <c r="G251" i="3"/>
  <c r="G88" i="3"/>
  <c r="G193" i="3"/>
  <c r="G301" i="3"/>
  <c r="G203" i="3"/>
  <c r="G111" i="3"/>
  <c r="G272" i="3"/>
  <c r="G247" i="3"/>
  <c r="G155" i="3"/>
  <c r="G219" i="3"/>
  <c r="G53" i="3"/>
  <c r="G241" i="3"/>
  <c r="G157" i="3"/>
  <c r="G230" i="3"/>
  <c r="G259" i="3"/>
  <c r="G66" i="3"/>
  <c r="G244" i="3"/>
  <c r="G119" i="3"/>
  <c r="G287" i="3"/>
  <c r="G20" i="3"/>
  <c r="G227" i="3"/>
  <c r="G87" i="3"/>
  <c r="G62" i="3"/>
  <c r="G64" i="3"/>
  <c r="G261" i="3"/>
  <c r="G277" i="3"/>
  <c r="G131" i="3"/>
  <c r="G198" i="3"/>
  <c r="G221" i="3"/>
  <c r="G192" i="3"/>
  <c r="G123" i="3"/>
  <c r="G291" i="3"/>
  <c r="G264" i="3"/>
  <c r="G202" i="3"/>
  <c r="G290" i="3"/>
  <c r="G82" i="3"/>
  <c r="G177" i="3"/>
  <c r="G282" i="3"/>
  <c r="G92" i="3"/>
  <c r="G139" i="3"/>
  <c r="G18" i="3"/>
  <c r="G102" i="3"/>
  <c r="G254" i="3"/>
  <c r="G127" i="3"/>
  <c r="G63" i="3"/>
  <c r="G199" i="3"/>
  <c r="G148" i="3"/>
  <c r="G47" i="3"/>
  <c r="G135" i="3"/>
  <c r="G138" i="3"/>
  <c r="G104" i="3"/>
  <c r="G145" i="3"/>
  <c r="G195" i="3"/>
  <c r="G69" i="3"/>
  <c r="G153" i="3"/>
  <c r="G212" i="3"/>
  <c r="G281" i="3"/>
  <c r="G5" i="3"/>
  <c r="G114" i="3"/>
  <c r="G115" i="3"/>
  <c r="G56" i="3"/>
  <c r="G42" i="3"/>
  <c r="G275" i="3"/>
  <c r="G237" i="3"/>
  <c r="G133" i="3"/>
  <c r="G78" i="3"/>
  <c r="G80" i="3"/>
  <c r="G163" i="3"/>
  <c r="G86" i="3"/>
  <c r="G283" i="3"/>
  <c r="G213" i="3"/>
  <c r="G65" i="3"/>
  <c r="G242" i="3"/>
  <c r="G100" i="3"/>
  <c r="G180" i="3"/>
  <c r="G172" i="3"/>
  <c r="G6" i="3"/>
  <c r="G170" i="3"/>
  <c r="G293" i="3"/>
  <c r="G151" i="3"/>
  <c r="G161" i="3"/>
  <c r="G81" i="3"/>
  <c r="G222" i="3"/>
  <c r="J4" i="3" l="1"/>
  <c r="L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8B8100-7529-44BF-B9BB-2A71BB4E5110}" keepAlive="1" name="Zapytanie — kursy" description="Połączenie z zapytaniem „kursy” w skoroszycie." type="5" refreshedVersion="8" background="1" saveData="1">
    <dbPr connection="Provider=Microsoft.Mashup.OleDb.1;Data Source=$Workbook$;Location=kursy;Extended Properties=&quot;&quot;" command="SELECT * FROM [kursy]"/>
  </connection>
  <connection id="2" xr16:uid="{2E5BBA9F-B232-4C63-A60C-EE724F22602C}" keepAlive="1" name="Zapytanie — kursy (2)" description="Połączenie z zapytaniem „kursy (2)” w skoroszycie." type="5" refreshedVersion="8" background="1" saveData="1">
    <dbPr connection="Provider=Microsoft.Mashup.OleDb.1;Data Source=$Workbook$;Location=&quot;kursy (2)&quot;;Extended Properties=&quot;&quot;" command="SELECT * FROM [kursy (2)]"/>
  </connection>
  <connection id="3" xr16:uid="{6F923D23-6F60-465C-A293-223ADFB74E29}" keepAlive="1" name="Zapytanie — kursy (3)" description="Połączenie z zapytaniem „kursy (3)” w skoroszycie." type="5" refreshedVersion="8" background="1" saveData="1">
    <dbPr connection="Provider=Microsoft.Mashup.OleDb.1;Data Source=$Workbook$;Location=&quot;kursy (3)&quot;;Extended Properties=&quot;&quot;" command="SELECT * FROM [kursy (3)]"/>
  </connection>
  <connection id="4" xr16:uid="{197ABD54-D2D8-4409-B828-DBD5D736D01D}" keepAlive="1" name="Zapytanie — kursy (4)" description="Połączenie z zapytaniem „kursy (4)” w skoroszycie." type="5" refreshedVersion="8" background="1" saveData="1">
    <dbPr connection="Provider=Microsoft.Mashup.OleDb.1;Data Source=$Workbook$;Location=&quot;kursy (4)&quot;;Extended Properties=&quot;&quot;" command="SELECT * FROM [kursy (4)]"/>
  </connection>
  <connection id="5" xr16:uid="{9F71C7AB-B7D3-437C-8E24-DE3A6BEE4DA3}" keepAlive="1" name="Zapytanie — kursy (5)" description="Połączenie z zapytaniem „kursy (5)” w skoroszycie." type="5" refreshedVersion="8" background="1" saveData="1">
    <dbPr connection="Provider=Microsoft.Mashup.OleDb.1;Data Source=$Workbook$;Location=&quot;kursy (5)&quot;;Extended Properties=&quot;&quot;" command="SELECT * FROM [kursy (5)]"/>
  </connection>
  <connection id="6" xr16:uid="{8F602575-0F45-4713-BDDE-13D259245EF8}" keepAlive="1" name="Zapytanie — kursy (6)" description="Połączenie z zapytaniem „kursy (6)” w skoroszycie." type="5" refreshedVersion="8" background="1" saveData="1">
    <dbPr connection="Provider=Microsoft.Mashup.OleDb.1;Data Source=$Workbook$;Location=&quot;kursy (6)&quot;;Extended Properties=&quot;&quot;" command="SELECT * FROM [kursy (6)]"/>
  </connection>
</connections>
</file>

<file path=xl/sharedStrings.xml><?xml version="1.0" encoding="utf-8"?>
<sst xmlns="http://schemas.openxmlformats.org/spreadsheetml/2006/main" count="3688" uniqueCount="89">
  <si>
    <t>Data</t>
  </si>
  <si>
    <t>Poczatek</t>
  </si>
  <si>
    <t>Koniec</t>
  </si>
  <si>
    <t>Waga</t>
  </si>
  <si>
    <t>Odleglosc</t>
  </si>
  <si>
    <t>Cena</t>
  </si>
  <si>
    <t>Olsztyn</t>
  </si>
  <si>
    <t>Torun</t>
  </si>
  <si>
    <t>Plock</t>
  </si>
  <si>
    <t>Ostroleka</t>
  </si>
  <si>
    <t>Suwalki</t>
  </si>
  <si>
    <t>Lomza</t>
  </si>
  <si>
    <t>Ciechanow</t>
  </si>
  <si>
    <t>Kuznica Bialostocka</t>
  </si>
  <si>
    <t>Poznan</t>
  </si>
  <si>
    <t>Gubin</t>
  </si>
  <si>
    <t>Skierniewice</t>
  </si>
  <si>
    <t>Tarnow</t>
  </si>
  <si>
    <t>Katowice</t>
  </si>
  <si>
    <t>Radom</t>
  </si>
  <si>
    <t>Konin</t>
  </si>
  <si>
    <t>Pila</t>
  </si>
  <si>
    <t>Kolbaskowo</t>
  </si>
  <si>
    <t>Szczecin</t>
  </si>
  <si>
    <t>Swinoujscie</t>
  </si>
  <si>
    <t>Kostrzyn</t>
  </si>
  <si>
    <t>Gorzow Wielkopolski</t>
  </si>
  <si>
    <t>Jakuszyce</t>
  </si>
  <si>
    <t>Kalisz</t>
  </si>
  <si>
    <t>Piotrkow Trybunalski</t>
  </si>
  <si>
    <t>Gdansk</t>
  </si>
  <si>
    <t>Koszalin</t>
  </si>
  <si>
    <t>Czestochowa</t>
  </si>
  <si>
    <t>Chyzne</t>
  </si>
  <si>
    <t>Krosno</t>
  </si>
  <si>
    <t>Kudowa-Slone</t>
  </si>
  <si>
    <t>Elblag</t>
  </si>
  <si>
    <t>Opole</t>
  </si>
  <si>
    <t>Bielsko-Biala</t>
  </si>
  <si>
    <t>Zakopane</t>
  </si>
  <si>
    <t>Bydgoszcz</t>
  </si>
  <si>
    <t>Wloclawek</t>
  </si>
  <si>
    <t>Sieradz</t>
  </si>
  <si>
    <t>Walbrzych</t>
  </si>
  <si>
    <t>Zamosc</t>
  </si>
  <si>
    <t>Medyka</t>
  </si>
  <si>
    <t>Tarnobrzeg</t>
  </si>
  <si>
    <t>Kielce</t>
  </si>
  <si>
    <t>Zielona Gora</t>
  </si>
  <si>
    <t>Cieszyn</t>
  </si>
  <si>
    <t>Barwinek</t>
  </si>
  <si>
    <t>Rzeszow</t>
  </si>
  <si>
    <t>Zgorzelec</t>
  </si>
  <si>
    <t>Wroclaw</t>
  </si>
  <si>
    <t>Krakow</t>
  </si>
  <si>
    <t>Biala Podlaska</t>
  </si>
  <si>
    <t>Przemysl</t>
  </si>
  <si>
    <t>Chalupki</t>
  </si>
  <si>
    <t>Swiecko</t>
  </si>
  <si>
    <t>Warszawa</t>
  </si>
  <si>
    <t>Lodz</t>
  </si>
  <si>
    <t>Legnica</t>
  </si>
  <si>
    <t>Leszno</t>
  </si>
  <si>
    <t>Jelenia Gora</t>
  </si>
  <si>
    <t>Olszyna</t>
  </si>
  <si>
    <t>Siedlce</t>
  </si>
  <si>
    <t>Hrebenne</t>
  </si>
  <si>
    <t>Lublin</t>
  </si>
  <si>
    <t>Chelm</t>
  </si>
  <si>
    <t>Terespol</t>
  </si>
  <si>
    <t>Slupsk</t>
  </si>
  <si>
    <t>Bialystok</t>
  </si>
  <si>
    <t>Bezledy</t>
  </si>
  <si>
    <t>Nowy Sacz</t>
  </si>
  <si>
    <t>stawka_na_km</t>
  </si>
  <si>
    <t>stawka</t>
  </si>
  <si>
    <t>miasto startowe</t>
  </si>
  <si>
    <t>miasto docelowe</t>
  </si>
  <si>
    <t>indeks_trasy</t>
  </si>
  <si>
    <t>CiechanowOlsztyn</t>
  </si>
  <si>
    <t>Suma końcowa</t>
  </si>
  <si>
    <t>towar przewieziony</t>
  </si>
  <si>
    <t>trasy</t>
  </si>
  <si>
    <t>z Ciechanow do Olsztyn</t>
  </si>
  <si>
    <t>miasto końcowe</t>
  </si>
  <si>
    <t>kursy</t>
  </si>
  <si>
    <t>S</t>
  </si>
  <si>
    <t>liczbaCiaguTras</t>
  </si>
  <si>
    <t>Początek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</si>
</sst>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2" borderId="2" xfId="0" applyNumberFormat="1" applyFont="1" applyFill="1" applyBorder="1"/>
    <xf numFmtId="0" fontId="0" fillId="3" borderId="0" xfId="0" applyFill="1"/>
    <xf numFmtId="0" fontId="0" fillId="4" borderId="2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NumberFormat="1" applyFill="1"/>
    <xf numFmtId="14" fontId="0" fillId="0" borderId="1" xfId="0" applyNumberFormat="1" applyFont="1" applyBorder="1"/>
    <xf numFmtId="0" fontId="0" fillId="0" borderId="2" xfId="0" applyNumberFormat="1" applyFont="1" applyBorder="1"/>
    <xf numFmtId="14" fontId="0" fillId="2" borderId="1" xfId="0" applyNumberFormat="1" applyFont="1" applyFill="1" applyBorder="1"/>
    <xf numFmtId="14" fontId="0" fillId="3" borderId="1" xfId="0" applyNumberFormat="1" applyFont="1" applyFill="1" applyBorder="1"/>
  </cellXfs>
  <cellStyles count="1">
    <cellStyle name="Normalny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[6.xlsx]5.4!Tabela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Nazwy</a:t>
            </a:r>
            <a:r>
              <a:rPr lang="pl-PL" baseline="0"/>
              <a:t> miast do których wykonano ponad 7 kursów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'5.4'!$J$1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'5.4'!$I$2:$I$13</c:f>
              <c:strCache>
                <c:ptCount val="11"/>
                <c:pt idx="0">
                  <c:v>Warszawa</c:v>
                </c:pt>
                <c:pt idx="1">
                  <c:v>Szczecin</c:v>
                </c:pt>
                <c:pt idx="2">
                  <c:v>Bielsko-Biala</c:v>
                </c:pt>
                <c:pt idx="3">
                  <c:v>Konin</c:v>
                </c:pt>
                <c:pt idx="4">
                  <c:v>Poznan</c:v>
                </c:pt>
                <c:pt idx="5">
                  <c:v>Pila</c:v>
                </c:pt>
                <c:pt idx="6">
                  <c:v>Kielce</c:v>
                </c:pt>
                <c:pt idx="7">
                  <c:v>Ciechanow</c:v>
                </c:pt>
                <c:pt idx="8">
                  <c:v>Zielona Gora</c:v>
                </c:pt>
                <c:pt idx="9">
                  <c:v>Kostrzyn</c:v>
                </c:pt>
                <c:pt idx="10">
                  <c:v>Opole</c:v>
                </c:pt>
              </c:strCache>
            </c:strRef>
          </c:cat>
          <c:val>
            <c:numRef>
              <c:f>'5.4'!$J$2:$J$13</c:f>
              <c:numCache>
                <c:formatCode>General</c:formatCode>
                <c:ptCount val="11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9-4BAD-9AB4-DF6536EA5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9147952"/>
        <c:axId val="2129148912"/>
      </c:barChart>
      <c:catAx>
        <c:axId val="2129147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maista końcowe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9148912"/>
        <c:crosses val="autoZero"/>
        <c:auto val="1"/>
        <c:lblAlgn val="ctr"/>
        <c:lblOffset val="100"/>
        <c:noMultiLvlLbl val="0"/>
      </c:catAx>
      <c:valAx>
        <c:axId val="212914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kursów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914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14</xdr:row>
      <xdr:rowOff>14287</xdr:rowOff>
    </xdr:from>
    <xdr:to>
      <xdr:col>20</xdr:col>
      <xdr:colOff>457199</xdr:colOff>
      <xdr:row>40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5273F12-A959-8D4C-886F-28E7F842E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4.532185532407" createdVersion="8" refreshedVersion="8" minRefreshableVersion="3" recordCount="300" xr:uid="{3B535E7F-B14D-47BB-A0A2-197A6FED7BCA}">
  <cacheSource type="worksheet">
    <worksheetSource name="kursy5"/>
  </cacheSource>
  <cacheFields count="7">
    <cacheField name="Data" numFmtId="14">
      <sharedItems containsSemiMixedTypes="0" containsNonDate="0" containsDate="1" containsString="0" minDate="2017-01-02T00:00:00" maxDate="2018-01-01T00:00:00"/>
    </cacheField>
    <cacheField name="Poczatek" numFmtId="0">
      <sharedItems count="67">
        <s v="Olsztyn"/>
        <s v="Torun"/>
        <s v="Plock"/>
        <s v="Ostroleka"/>
        <s v="Lomza"/>
        <s v="Ciechanow"/>
        <s v="Kuznica Bialostocka"/>
        <s v="Poznan"/>
        <s v="Skierniewice"/>
        <s v="Tarnow"/>
        <s v="Radom"/>
        <s v="Konin"/>
        <s v="Kolbaskowo"/>
        <s v="Szczecin"/>
        <s v="Swinoujscie"/>
        <s v="Kostrzyn"/>
        <s v="Gorzow Wielkopolski"/>
        <s v="Pila"/>
        <s v="Jakuszyce"/>
        <s v="Kalisz"/>
        <s v="Piotrkow Trybunalski"/>
        <s v="Gdansk"/>
        <s v="Koszalin"/>
        <s v="Katowice"/>
        <s v="Kudowa-Slone"/>
        <s v="Elblag"/>
        <s v="Opole"/>
        <s v="Bielsko-Biala"/>
        <s v="Bydgoszcz"/>
        <s v="Wloclawek"/>
        <s v="Gubin"/>
        <s v="Zamosc"/>
        <s v="Medyka"/>
        <s v="Tarnobrzeg"/>
        <s v="Krosno"/>
        <s v="Zielona Gora"/>
        <s v="Chyzne"/>
        <s v="Barwinek"/>
        <s v="Rzeszow"/>
        <s v="Zgorzelec"/>
        <s v="Krakow"/>
        <s v="Kielce"/>
        <s v="Przemysl"/>
        <s v="Walbrzych"/>
        <s v="Chalupki"/>
        <s v="Swiecko"/>
        <s v="Lodz"/>
        <s v="Warszawa"/>
        <s v="Legnica"/>
        <s v="Leszno"/>
        <s v="Jelenia Gora"/>
        <s v="Olszyna"/>
        <s v="Siedlce"/>
        <s v="Hrebenne"/>
        <s v="Lublin"/>
        <s v="Biala Podlaska"/>
        <s v="Chelm"/>
        <s v="Terespol"/>
        <s v="Zakopane"/>
        <s v="Slupsk"/>
        <s v="Suwalki"/>
        <s v="Sieradz"/>
        <s v="Czestochowa"/>
        <s v="Bezledy"/>
        <s v="Nowy Sacz"/>
        <s v="Cieszyn"/>
        <s v="Bialystok"/>
      </sharedItems>
    </cacheField>
    <cacheField name="Koniec" numFmtId="0">
      <sharedItems count="68">
        <s v="Torun"/>
        <s v="Plock"/>
        <s v="Ostroleka"/>
        <s v="Suwalki"/>
        <s v="Ciechanow"/>
        <s v="Lomza"/>
        <s v="Kuznica Bialostocka"/>
        <s v="Gubin"/>
        <s v="Tarnow"/>
        <s v="Katowice"/>
        <s v="Konin"/>
        <s v="Olsztyn"/>
        <s v="Pila"/>
        <s v="Szczecin"/>
        <s v="Swinoujscie"/>
        <s v="Kostrzyn"/>
        <s v="Kolbaskowo"/>
        <s v="Gorzow Wielkopolski"/>
        <s v="Poznan"/>
        <s v="Kalisz"/>
        <s v="Piotrkow Trybunalski"/>
        <s v="Koszalin"/>
        <s v="Czestochowa"/>
        <s v="Chyzne"/>
        <s v="Krosno"/>
        <s v="Jakuszyce"/>
        <s v="Opole"/>
        <s v="Bielsko-Biala"/>
        <s v="Zakopane"/>
        <s v="Bydgoszcz"/>
        <s v="Wloclawek"/>
        <s v="Skierniewice"/>
        <s v="Sieradz"/>
        <s v="Walbrzych"/>
        <s v="Medyka"/>
        <s v="Tarnobrzeg"/>
        <s v="Kielce"/>
        <s v="Radom"/>
        <s v="Zielona Gora"/>
        <s v="Cieszyn"/>
        <s v="Zamosc"/>
        <s v="Wroclaw"/>
        <s v="Krakow"/>
        <s v="Biala Podlaska"/>
        <s v="Barwinek"/>
        <s v="Swiecko"/>
        <s v="Warszawa"/>
        <s v="Lodz"/>
        <s v="Przemysl"/>
        <s v="Legnica"/>
        <s v="Chalupki"/>
        <s v="Leszno"/>
        <s v="Jelenia Gora"/>
        <s v="Olszyna"/>
        <s v="Lublin"/>
        <s v="Terespol"/>
        <s v="Slupsk"/>
        <s v="Gdansk"/>
        <s v="Zgorzelec"/>
        <s v="Bialystok"/>
        <s v="Elblag"/>
        <s v="Chelm"/>
        <s v="Siedlce"/>
        <s v="Kudowa-Slone"/>
        <s v="Nowy Sacz"/>
        <s v="Rzeszow"/>
        <s v="Hrebenne"/>
        <s v="Bezledy"/>
      </sharedItems>
    </cacheField>
    <cacheField name="Waga" numFmtId="0">
      <sharedItems containsSemiMixedTypes="0" containsString="0" containsNumber="1" containsInteger="1" minValue="1011" maxValue="5986"/>
    </cacheField>
    <cacheField name="Odleglosc" numFmtId="0">
      <sharedItems containsSemiMixedTypes="0" containsString="0" containsNumber="1" containsInteger="1" minValue="17" maxValue="744"/>
    </cacheField>
    <cacheField name="Cena" numFmtId="0">
      <sharedItems containsSemiMixedTypes="0" containsString="0" containsNumber="1" containsInteger="1" minValue="28" maxValue="2887"/>
    </cacheField>
    <cacheField name="indeks_trasy" numFmtId="0">
      <sharedItems count="229">
        <s v="OlsztynTorun"/>
        <s v="TorunPlock"/>
        <s v="PlockOstroleka"/>
        <s v="OstrolekaSuwalki"/>
        <s v="LomzaCiechanow"/>
        <s v="CiechanowLomza"/>
        <s v="LomzaKuznica Bialostocka"/>
        <s v="Kuznica BialostockaOstroleka"/>
        <s v="PoznanGubin"/>
        <s v="SkierniewiceTarnow"/>
        <s v="TarnowKatowice"/>
        <s v="RadomKonin"/>
        <s v="KoninTorun"/>
        <s v="OstrolekaOlsztyn"/>
        <s v="OlsztynCiechanow"/>
        <s v="CiechanowOlsztyn"/>
        <s v="OlsztynLomza"/>
        <s v="TorunPila"/>
        <s v="KolbaskowoSzczecin"/>
        <s v="SzczecinSwinoujscie"/>
        <s v="SwinoujscieSzczecin"/>
        <s v="SzczecinKostrzyn"/>
        <s v="KostrzynKolbaskowo"/>
        <s v="KolbaskowoGorzow Wielkopolski"/>
        <s v="Gorzow WielkopolskiPila"/>
        <s v="PilaPoznan"/>
        <s v="JakuszyceKalisz"/>
        <s v="KaliszPiotrkow Trybunalski"/>
        <s v="Piotrkow TrybunalskiKonin"/>
        <s v="GdanskTorun"/>
        <s v="PilaKoszalin"/>
        <s v="KoszalinPila"/>
        <s v="PilaCzestochowa"/>
        <s v="LomzaChyzne"/>
        <s v="KoszalinSwinoujscie"/>
        <s v="PilaTorun"/>
        <s v="TarnowKrosno"/>
        <s v="KatowicePiotrkow Trybunalski"/>
        <s v="PlockTorun"/>
        <s v="Kudowa-SloneJakuszyce"/>
        <s v="ElblagCiechanow"/>
        <s v="Kudowa-SloneOpole"/>
        <s v="OpoleBielsko-Biala"/>
        <s v="Bielsko-BialaZakopane"/>
        <s v="Piotrkow TrybunalskiPoznan"/>
        <s v="KoninBydgoszcz"/>
        <s v="BydgoszczWloclawek"/>
        <s v="WloclawekSkierniewice"/>
        <s v="SkierniewiceSieradz"/>
        <s v="Gorzow WielkopolskiWalbrzych"/>
        <s v="GubinKostrzyn"/>
        <s v="ZamoscMedyka"/>
        <s v="MedykaTarnobrzeg"/>
        <s v="TarnobrzegKielce"/>
        <s v="KrosnoTarnobrzeg"/>
        <s v="TarnobrzegRadom"/>
        <s v="RadomSkierniewice"/>
        <s v="SkierniewiceWloclawek"/>
        <s v="GubinGorzow Wielkopolski"/>
        <s v="Gorzow WielkopolskiZielona Gora"/>
        <s v="Zielona GoraPoznan"/>
        <s v="PoznanBydgoszcz"/>
        <s v="ChyzneBielsko-Biala"/>
        <s v="Bielsko-BialaChyzne"/>
        <s v="ChyzneCieszyn"/>
        <s v="BarwinekMedyka"/>
        <s v="MedykaZamosc"/>
        <s v="RzeszowZamosc"/>
        <s v="KoninWalbrzych"/>
        <s v="JakuszyceKostrzyn"/>
        <s v="KostrzynSzczecin"/>
        <s v="ZgorzelecWroclaw"/>
        <s v="OstrolekaKrakow"/>
        <s v="KrakowKielce"/>
        <s v="KielceKrakow"/>
        <s v="ZamoscBiala Podlaska"/>
        <s v="PrzemyslMedyka"/>
        <s v="WalbrzychOpole"/>
        <s v="SzczecinSieradz"/>
        <s v="PrzemyslBarwinek"/>
        <s v="BarwinekTarnow"/>
        <s v="ChalupkiCzestochowa"/>
        <s v="ZgorzelecSwiecko"/>
        <s v="SwieckoSzczecin"/>
        <s v="RadomPiotrkow Trybunalski"/>
        <s v="Piotrkow TrybunalskiRadom"/>
        <s v="Piotrkow TrybunalskiKalisz"/>
        <s v="KaliszPoznan"/>
        <s v="RadomWarszawa"/>
        <s v="WalbrzychKalisz"/>
        <s v="KaliszLodz"/>
        <s v="LodzKielce"/>
        <s v="Piotrkow TrybunalskiPrzemysl"/>
        <s v="WarszawaLegnica"/>
        <s v="LegnicaGubin"/>
        <s v="Piotrkow TrybunalskiWloclawek"/>
        <s v="ElblagKuznica Bialostocka"/>
        <s v="WarszawaKatowice"/>
        <s v="OpoleChalupki"/>
        <s v="OstrolekaSwiecko"/>
        <s v="SwieckoLegnica"/>
        <s v="LegnicaLeszno"/>
        <s v="LesznoJelenia Gora"/>
        <s v="Jelenia GoraOlszyna"/>
        <s v="OlszynaSwiecko"/>
        <s v="SiedlceLomza"/>
        <s v="HrebenneLublin"/>
        <s v="LublinRadom"/>
        <s v="RadomTarnobrzeg"/>
        <s v="TarnobrzegKrakow"/>
        <s v="Biala PodlaskaTarnobrzeg"/>
        <s v="KielceSieradz"/>
        <s v="ChelmTerespol"/>
        <s v="TerespolWarszawa"/>
        <s v="WarszawaLodz"/>
        <s v="LodzWloclawek"/>
        <s v="KrosnoZakopane"/>
        <s v="KielceTarnow"/>
        <s v="KatowiceZakopane"/>
        <s v="ZakopaneTarnow"/>
        <s v="GdanskSlupsk"/>
        <s v="SlupskGdansk"/>
        <s v="GdanskKoszalin"/>
        <s v="KoszalinKolbaskowo"/>
        <s v="KolbaskowoPila"/>
        <s v="GubinZgorzelec"/>
        <s v="LesznoKonin"/>
        <s v="KoninPlock"/>
        <s v="PlockKonin"/>
        <s v="KoninLodz"/>
        <s v="WloclawekKalisz"/>
        <s v="PoznanZielona Gora"/>
        <s v="PrzemyslGdansk"/>
        <s v="SuwalkiBialystok"/>
        <s v="SlupskElblag"/>
        <s v="ElblagSlupsk"/>
        <s v="ZamoscPrzemysl"/>
        <s v="Biala PodlaskaGorzow Wielkopolski"/>
        <s v="KatowiceSkierniewice"/>
        <s v="BarwinekSieradz"/>
        <s v="SieradzCzestochowa"/>
        <s v="CzestochowaLodz"/>
        <s v="Biala PodlaskaChelm"/>
        <s v="ChelmRadom"/>
        <s v="OstrolekaWarszawa"/>
        <s v="WarszawaSiedlce"/>
        <s v="Piotrkow TrybunalskiJakuszyce"/>
        <s v="KostrzynZielona Gora"/>
        <s v="LublinZielona Gora"/>
        <s v="PoznanPila"/>
        <s v="PilaKostrzyn"/>
        <s v="KostrzynGubin"/>
        <s v="OpoleKudowa-Slone"/>
        <s v="KielceKonin"/>
        <s v="PlockBydgoszcz"/>
        <s v="BydgoszczKonin"/>
        <s v="BezledyLomza"/>
        <s v="TarnobrzegPrzemysl"/>
        <s v="RadomLodz"/>
        <s v="TarnowBielsko-Biala"/>
        <s v="Bielsko-BialaNowy Sacz"/>
        <s v="Nowy SaczRzeszow"/>
        <s v="RzeszowLublin"/>
        <s v="Zielona GoraLegnica"/>
        <s v="CiechanowWarszawa"/>
        <s v="LublinTarnow"/>
        <s v="TarnowZakopane"/>
        <s v="ZakopaneBarwinek"/>
        <s v="LodzWarszawa"/>
        <s v="KoszalinSzczecin"/>
        <s v="CiechanowTorun"/>
        <s v="ElblagBydgoszcz"/>
        <s v="PlockBielsko-Biala"/>
        <s v="BarwinekLomza"/>
        <s v="GubinWarszawa"/>
        <s v="WarszawaRadom"/>
        <s v="WarszawaWalbrzych"/>
        <s v="ChalupkiWalbrzych"/>
        <s v="WalbrzychOlszyna"/>
        <s v="OlszynaKostrzyn"/>
        <s v="KostrzynZgorzelec"/>
        <s v="ZgorzelecZielona Gora"/>
        <s v="Zielona GoraKostrzyn"/>
        <s v="WloclawekCiechanow"/>
        <s v="LodzCzestochowa"/>
        <s v="CzestochowaSieradz"/>
        <s v="SieradzOpole"/>
        <s v="SieradzLeszno"/>
        <s v="LesznoLegnica"/>
        <s v="GdanskBydgoszcz"/>
        <s v="Gorzow WielkopolskiSzczecin"/>
        <s v="SwinoujsciePila"/>
        <s v="PlockPiotrkow Trybunalski"/>
        <s v="Piotrkow TrybunalskiWarszawa"/>
        <s v="TerespolLublin"/>
        <s v="LublinHrebenne"/>
        <s v="PrzemyslWarszawa"/>
        <s v="WarszawaCiechanow"/>
        <s v="CiechanowWloclawek"/>
        <s v="CiechanowOstroleka"/>
        <s v="Bielsko-BialaCieszyn"/>
        <s v="CieszynOpole"/>
        <s v="CzestochowaKielce"/>
        <s v="OpoleKatowice"/>
        <s v="LodzBialystok"/>
        <s v="BialystokSuwalki"/>
        <s v="SuwalkiOstroleka"/>
        <s v="PlockLublin"/>
        <s v="HrebenneMedyka"/>
        <s v="SlupskSzczecin"/>
        <s v="SzczecinPila"/>
        <s v="BydgoszczGdansk"/>
        <s v="SkierniewiceKudowa-Slone"/>
        <s v="LegnicaZielona Gora"/>
        <s v="CzestochowaBielsko-Biala"/>
        <s v="Bielsko-BialaChalupki"/>
        <s v="PrzemyslKielce"/>
        <s v="KielceTarnobrzeg"/>
        <s v="Bielsko-BialaWarszawa"/>
        <s v="WarszawaPlock"/>
        <s v="GubinSzczecin"/>
        <s v="KrakowCieszyn"/>
        <s v="ZakopaneKatowice"/>
        <s v="GdanskBezledy"/>
        <s v="OlsztynBielsko-Biala"/>
        <s v="Bielsko-BialaOpole"/>
        <s v="OpoleWalbrzych"/>
        <s v="WalbrzychZgorzelec"/>
        <s v="ZgorzelecGub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4.534083680555" createdVersion="8" refreshedVersion="8" minRefreshableVersion="3" recordCount="300" xr:uid="{0619CB36-0C21-4019-80D7-9C694FFC681F}">
  <cacheSource type="worksheet">
    <worksheetSource name="kursy6"/>
  </cacheSource>
  <cacheFields count="8">
    <cacheField name="Data" numFmtId="14">
      <sharedItems containsSemiMixedTypes="0" containsNonDate="0" containsDate="1" containsString="0" minDate="2017-01-02T00:00:00" maxDate="2018-01-01T00:00:00" count="300">
        <d v="2017-01-02T00:00:00"/>
        <d v="2017-01-03T00:00:00"/>
        <d v="2017-01-04T00:00:00"/>
        <d v="2017-01-05T00:00:00"/>
        <d v="2017-01-07T00:00:00"/>
        <d v="2017-01-08T00:00:00"/>
        <d v="2017-01-09T00:00:00"/>
        <d v="2017-01-10T00:00:00"/>
        <d v="2017-01-11T00:00:00"/>
        <d v="2017-01-12T00:00:00"/>
        <d v="2017-01-14T00:00:00"/>
        <d v="2017-01-15T00:00:00"/>
        <d v="2017-01-16T00:00:00"/>
        <d v="2017-01-17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6T00:00:00"/>
        <d v="2017-02-17T00:00:00"/>
        <d v="2017-02-19T00:00:00"/>
        <d v="2017-02-22T00:00:00"/>
        <d v="2017-02-23T00:00:00"/>
        <d v="2017-02-25T00:00:00"/>
        <d v="2017-02-27T00:00:00"/>
        <d v="2017-02-28T00:00:00"/>
        <d v="2017-03-01T00:00:00"/>
        <d v="2017-03-02T00:00:00"/>
        <d v="2017-03-03T00:00:00"/>
        <d v="2017-03-04T00:00:00"/>
        <d v="2017-03-08T00:00:00"/>
        <d v="2017-03-09T00:00:00"/>
        <d v="2017-03-10T00:00:00"/>
        <d v="2017-03-11T00:00:00"/>
        <d v="2017-03-12T00:00:00"/>
        <d v="2017-03-13T00:00:00"/>
        <d v="2017-03-16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6T00:00:00"/>
        <d v="2017-03-27T00:00:00"/>
        <d v="2017-03-28T00:00:00"/>
        <d v="2017-03-29T00:00:00"/>
        <d v="2017-03-30T00:00:00"/>
        <d v="2017-03-3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4T00:00:00"/>
        <d v="2017-04-15T00:00:00"/>
        <d v="2017-04-16T00:00:00"/>
        <d v="2017-04-17T00:00:00"/>
        <d v="2017-04-19T00:00:00"/>
        <d v="2017-04-21T00:00:00"/>
        <d v="2017-04-22T00:00:00"/>
        <d v="2017-04-24T00:00:00"/>
        <d v="2017-04-26T00:00:00"/>
        <d v="2017-04-28T00:00:00"/>
        <d v="2017-04-29T00:00:00"/>
        <d v="2017-04-30T00:00:00"/>
        <d v="2017-05-01T00:00:00"/>
        <d v="2017-05-02T00:00:00"/>
        <d v="2017-05-05T00:00:00"/>
        <d v="2017-05-06T00:00:00"/>
        <d v="2017-05-07T00:00:00"/>
        <d v="2017-05-08T00:00:00"/>
        <d v="2017-05-09T00:00:00"/>
        <d v="2017-05-12T00:00:00"/>
        <d v="2017-05-13T00:00:00"/>
        <d v="2017-05-14T00:00:00"/>
        <d v="2017-05-15T00:00:00"/>
        <d v="2017-05-17T00:00:00"/>
        <d v="2017-05-18T00:00:00"/>
        <d v="2017-05-19T00:00:00"/>
        <d v="2017-05-22T00:00:00"/>
        <d v="2017-05-23T00:00:00"/>
        <d v="2017-05-24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4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10T00:00:00"/>
        <d v="2017-07-11T00:00:00"/>
        <d v="2017-07-12T00:00:00"/>
        <d v="2017-07-13T00:00:00"/>
        <d v="2017-07-15T00:00:00"/>
        <d v="2017-07-16T00:00:00"/>
        <d v="2017-07-17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6T00:00:00"/>
        <d v="2017-08-07T00:00:00"/>
        <d v="2017-08-08T00:00:00"/>
        <d v="2017-08-09T00:00:00"/>
        <d v="2017-08-10T00:00:00"/>
        <d v="2017-08-12T00:00:00"/>
        <d v="2017-08-13T00:00:00"/>
        <d v="2017-08-15T00:00:00"/>
        <d v="2017-08-16T00:00:00"/>
        <d v="2017-08-17T00:00:00"/>
        <d v="2017-08-18T00:00:00"/>
        <d v="2017-08-20T00:00:00"/>
        <d v="2017-08-21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1T00:00:00"/>
        <d v="2017-09-12T00:00:00"/>
        <d v="2017-09-13T00:00:00"/>
        <d v="2017-09-14T00:00:00"/>
        <d v="2017-09-15T00:00:00"/>
        <d v="2017-09-17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7T00:00:00"/>
        <d v="2017-10-18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1-01T00:00:00"/>
        <d v="2017-11-03T00:00:00"/>
        <d v="2017-11-05T00:00:00"/>
        <d v="2017-11-06T00:00:00"/>
        <d v="2017-11-07T00:00:00"/>
        <d v="2017-11-08T00:00:00"/>
        <d v="2017-11-09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3T00:00:00"/>
        <d v="2017-12-25T00:00:00"/>
        <d v="2017-12-26T00:00:00"/>
        <d v="2017-12-27T00:00:00"/>
        <d v="2017-12-28T00:00:00"/>
        <d v="2017-12-29T00:00:00"/>
        <d v="2017-12-31T00:00:00"/>
      </sharedItems>
      <fieldGroup par="7"/>
    </cacheField>
    <cacheField name="Poczatek" numFmtId="0">
      <sharedItems count="67">
        <s v="Olsztyn"/>
        <s v="Torun"/>
        <s v="Plock"/>
        <s v="Ostroleka"/>
        <s v="Lomza"/>
        <s v="Ciechanow"/>
        <s v="Kuznica Bialostocka"/>
        <s v="Poznan"/>
        <s v="Skierniewice"/>
        <s v="Tarnow"/>
        <s v="Radom"/>
        <s v="Konin"/>
        <s v="Kolbaskowo"/>
        <s v="Szczecin"/>
        <s v="Swinoujscie"/>
        <s v="Kostrzyn"/>
        <s v="Gorzow Wielkopolski"/>
        <s v="Pila"/>
        <s v="Jakuszyce"/>
        <s v="Kalisz"/>
        <s v="Piotrkow Trybunalski"/>
        <s v="Gdansk"/>
        <s v="Koszalin"/>
        <s v="Katowice"/>
        <s v="Kudowa-Slone"/>
        <s v="Elblag"/>
        <s v="Opole"/>
        <s v="Bielsko-Biala"/>
        <s v="Bydgoszcz"/>
        <s v="Wloclawek"/>
        <s v="Gubin"/>
        <s v="Zamosc"/>
        <s v="Medyka"/>
        <s v="Tarnobrzeg"/>
        <s v="Krosno"/>
        <s v="Zielona Gora"/>
        <s v="Chyzne"/>
        <s v="Barwinek"/>
        <s v="Rzeszow"/>
        <s v="Zgorzelec"/>
        <s v="Krakow"/>
        <s v="Kielce"/>
        <s v="Przemysl"/>
        <s v="Walbrzych"/>
        <s v="Chalupki"/>
        <s v="Swiecko"/>
        <s v="Lodz"/>
        <s v="Warszawa"/>
        <s v="Legnica"/>
        <s v="Leszno"/>
        <s v="Jelenia Gora"/>
        <s v="Olszyna"/>
        <s v="Siedlce"/>
        <s v="Hrebenne"/>
        <s v="Lublin"/>
        <s v="Biala Podlaska"/>
        <s v="Chelm"/>
        <s v="Terespol"/>
        <s v="Zakopane"/>
        <s v="Slupsk"/>
        <s v="Suwalki"/>
        <s v="Sieradz"/>
        <s v="Czestochowa"/>
        <s v="Bezledy"/>
        <s v="Nowy Sacz"/>
        <s v="Cieszyn"/>
        <s v="Bialystok"/>
      </sharedItems>
    </cacheField>
    <cacheField name="Koniec" numFmtId="0">
      <sharedItems count="68">
        <s v="Torun"/>
        <s v="Plock"/>
        <s v="Ostroleka"/>
        <s v="Suwalki"/>
        <s v="Ciechanow"/>
        <s v="Lomza"/>
        <s v="Kuznica Bialostocka"/>
        <s v="Gubin"/>
        <s v="Tarnow"/>
        <s v="Katowice"/>
        <s v="Konin"/>
        <s v="Olsztyn"/>
        <s v="Pila"/>
        <s v="Szczecin"/>
        <s v="Swinoujscie"/>
        <s v="Kostrzyn"/>
        <s v="Kolbaskowo"/>
        <s v="Gorzow Wielkopolski"/>
        <s v="Poznan"/>
        <s v="Kalisz"/>
        <s v="Piotrkow Trybunalski"/>
        <s v="Koszalin"/>
        <s v="Czestochowa"/>
        <s v="Chyzne"/>
        <s v="Krosno"/>
        <s v="Jakuszyce"/>
        <s v="Opole"/>
        <s v="Bielsko-Biala"/>
        <s v="Zakopane"/>
        <s v="Bydgoszcz"/>
        <s v="Wloclawek"/>
        <s v="Skierniewice"/>
        <s v="Sieradz"/>
        <s v="Walbrzych"/>
        <s v="Medyka"/>
        <s v="Tarnobrzeg"/>
        <s v="Kielce"/>
        <s v="Radom"/>
        <s v="Zielona Gora"/>
        <s v="Cieszyn"/>
        <s v="Zamosc"/>
        <s v="Wroclaw"/>
        <s v="Krakow"/>
        <s v="Biala Podlaska"/>
        <s v="Barwinek"/>
        <s v="Swiecko"/>
        <s v="Warszawa"/>
        <s v="Lodz"/>
        <s v="Przemysl"/>
        <s v="Legnica"/>
        <s v="Chalupki"/>
        <s v="Leszno"/>
        <s v="Jelenia Gora"/>
        <s v="Olszyna"/>
        <s v="Lublin"/>
        <s v="Terespol"/>
        <s v="Slupsk"/>
        <s v="Gdansk"/>
        <s v="Zgorzelec"/>
        <s v="Bialystok"/>
        <s v="Elblag"/>
        <s v="Chelm"/>
        <s v="Siedlce"/>
        <s v="Kudowa-Slone"/>
        <s v="Nowy Sacz"/>
        <s v="Rzeszow"/>
        <s v="Hrebenne"/>
        <s v="Bezledy"/>
      </sharedItems>
    </cacheField>
    <cacheField name="Waga" numFmtId="0">
      <sharedItems containsSemiMixedTypes="0" containsString="0" containsNumber="1" containsInteger="1" minValue="1011" maxValue="5986"/>
    </cacheField>
    <cacheField name="Odleglosc" numFmtId="0">
      <sharedItems containsSemiMixedTypes="0" containsString="0" containsNumber="1" containsInteger="1" minValue="17" maxValue="744"/>
    </cacheField>
    <cacheField name="Cena" numFmtId="0">
      <sharedItems containsSemiMixedTypes="0" containsString="0" containsNumber="1" containsInteger="1" minValue="28" maxValue="2887"/>
    </cacheField>
    <cacheField name="Dni (Data)" numFmtId="0" databaseField="0">
      <fieldGroup base="0">
        <rangePr groupBy="days" startDate="2017-01-02T00:00:00" endDate="2018-01-01T00:00:00"/>
        <groupItems count="368">
          <s v="&lt;02.01.2017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18"/>
        </groupItems>
      </fieldGroup>
    </cacheField>
    <cacheField name="Miesiące (Data)" numFmtId="0" databaseField="0">
      <fieldGroup base="0">
        <rangePr groupBy="months" startDate="2017-01-02T00:00:00" endDate="2018-01-01T00:00:00"/>
        <groupItems count="14">
          <s v="&lt;02.01.2017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17-01-02T00:00:00"/>
    <x v="0"/>
    <x v="0"/>
    <n v="3527"/>
    <n v="167"/>
    <n v="206"/>
    <x v="0"/>
  </r>
  <r>
    <d v="2017-01-03T00:00:00"/>
    <x v="1"/>
    <x v="1"/>
    <n v="3666"/>
    <n v="112"/>
    <n v="280"/>
    <x v="1"/>
  </r>
  <r>
    <d v="2017-01-04T00:00:00"/>
    <x v="2"/>
    <x v="2"/>
    <n v="4888"/>
    <n v="167"/>
    <n v="624"/>
    <x v="2"/>
  </r>
  <r>
    <d v="2017-01-05T00:00:00"/>
    <x v="3"/>
    <x v="3"/>
    <n v="1099"/>
    <n v="167"/>
    <n v="390"/>
    <x v="3"/>
  </r>
  <r>
    <d v="2017-01-07T00:00:00"/>
    <x v="4"/>
    <x v="4"/>
    <n v="4881"/>
    <n v="118"/>
    <n v="219"/>
    <x v="4"/>
  </r>
  <r>
    <d v="2017-01-08T00:00:00"/>
    <x v="5"/>
    <x v="5"/>
    <n v="5851"/>
    <n v="113"/>
    <n v="160"/>
    <x v="5"/>
  </r>
  <r>
    <d v="2017-01-09T00:00:00"/>
    <x v="4"/>
    <x v="6"/>
    <n v="5963"/>
    <n v="141"/>
    <n v="168"/>
    <x v="6"/>
  </r>
  <r>
    <d v="2017-01-10T00:00:00"/>
    <x v="6"/>
    <x v="2"/>
    <n v="1364"/>
    <n v="179"/>
    <n v="533"/>
    <x v="7"/>
  </r>
  <r>
    <d v="2017-01-11T00:00:00"/>
    <x v="3"/>
    <x v="3"/>
    <n v="1245"/>
    <n v="166"/>
    <n v="209"/>
    <x v="3"/>
  </r>
  <r>
    <d v="2017-01-12T00:00:00"/>
    <x v="7"/>
    <x v="7"/>
    <n v="3771"/>
    <n v="196"/>
    <n v="696"/>
    <x v="8"/>
  </r>
  <r>
    <d v="2017-01-14T00:00:00"/>
    <x v="8"/>
    <x v="8"/>
    <n v="4522"/>
    <n v="300"/>
    <n v="1113"/>
    <x v="9"/>
  </r>
  <r>
    <d v="2017-01-15T00:00:00"/>
    <x v="9"/>
    <x v="9"/>
    <n v="4588"/>
    <n v="148"/>
    <n v="494"/>
    <x v="10"/>
  </r>
  <r>
    <d v="2017-01-16T00:00:00"/>
    <x v="10"/>
    <x v="10"/>
    <n v="1952"/>
    <n v="267"/>
    <n v="602"/>
    <x v="11"/>
  </r>
  <r>
    <d v="2017-01-17T00:00:00"/>
    <x v="11"/>
    <x v="0"/>
    <n v="3318"/>
    <n v="110"/>
    <n v="422"/>
    <x v="12"/>
  </r>
  <r>
    <d v="2017-01-20T00:00:00"/>
    <x v="6"/>
    <x v="2"/>
    <n v="3106"/>
    <n v="173"/>
    <n v="312"/>
    <x v="7"/>
  </r>
  <r>
    <d v="2017-01-21T00:00:00"/>
    <x v="3"/>
    <x v="11"/>
    <n v="5593"/>
    <n v="127"/>
    <n v="421"/>
    <x v="13"/>
  </r>
  <r>
    <d v="2017-01-22T00:00:00"/>
    <x v="0"/>
    <x v="4"/>
    <n v="5983"/>
    <n v="118"/>
    <n v="416"/>
    <x v="14"/>
  </r>
  <r>
    <d v="2017-01-23T00:00:00"/>
    <x v="5"/>
    <x v="11"/>
    <n v="5496"/>
    <n v="115"/>
    <n v="291"/>
    <x v="15"/>
  </r>
  <r>
    <d v="2017-01-24T00:00:00"/>
    <x v="0"/>
    <x v="5"/>
    <n v="4572"/>
    <n v="164"/>
    <n v="550"/>
    <x v="16"/>
  </r>
  <r>
    <d v="2017-01-25T00:00:00"/>
    <x v="4"/>
    <x v="4"/>
    <n v="4529"/>
    <n v="121"/>
    <n v="373"/>
    <x v="4"/>
  </r>
  <r>
    <d v="2017-01-26T00:00:00"/>
    <x v="5"/>
    <x v="11"/>
    <n v="4981"/>
    <n v="123"/>
    <n v="218"/>
    <x v="15"/>
  </r>
  <r>
    <d v="2017-01-27T00:00:00"/>
    <x v="0"/>
    <x v="0"/>
    <n v="3808"/>
    <n v="163"/>
    <n v="655"/>
    <x v="0"/>
  </r>
  <r>
    <d v="2017-01-28T00:00:00"/>
    <x v="1"/>
    <x v="12"/>
    <n v="1359"/>
    <n v="130"/>
    <n v="346"/>
    <x v="17"/>
  </r>
  <r>
    <d v="2017-01-29T00:00:00"/>
    <x v="12"/>
    <x v="13"/>
    <n v="2320"/>
    <n v="24"/>
    <n v="68"/>
    <x v="18"/>
  </r>
  <r>
    <d v="2017-01-30T00:00:00"/>
    <x v="13"/>
    <x v="14"/>
    <n v="2607"/>
    <n v="115"/>
    <n v="264"/>
    <x v="19"/>
  </r>
  <r>
    <d v="2017-01-31T00:00:00"/>
    <x v="14"/>
    <x v="13"/>
    <n v="3657"/>
    <n v="100"/>
    <n v="424"/>
    <x v="20"/>
  </r>
  <r>
    <d v="2017-02-01T00:00:00"/>
    <x v="13"/>
    <x v="15"/>
    <n v="5671"/>
    <n v="118"/>
    <n v="390"/>
    <x v="21"/>
  </r>
  <r>
    <d v="2017-02-02T00:00:00"/>
    <x v="15"/>
    <x v="16"/>
    <n v="4871"/>
    <n v="126"/>
    <n v="185"/>
    <x v="22"/>
  </r>
  <r>
    <d v="2017-02-03T00:00:00"/>
    <x v="12"/>
    <x v="17"/>
    <n v="1686"/>
    <n v="102"/>
    <n v="167"/>
    <x v="23"/>
  </r>
  <r>
    <d v="2017-02-04T00:00:00"/>
    <x v="16"/>
    <x v="12"/>
    <n v="5628"/>
    <n v="123"/>
    <n v="450"/>
    <x v="24"/>
  </r>
  <r>
    <d v="2017-02-05T00:00:00"/>
    <x v="17"/>
    <x v="18"/>
    <n v="3295"/>
    <n v="103"/>
    <n v="346"/>
    <x v="25"/>
  </r>
  <r>
    <d v="2017-02-06T00:00:00"/>
    <x v="18"/>
    <x v="19"/>
    <n v="5291"/>
    <n v="273"/>
    <n v="520"/>
    <x v="26"/>
  </r>
  <r>
    <d v="2017-02-07T00:00:00"/>
    <x v="19"/>
    <x v="20"/>
    <n v="5838"/>
    <n v="128"/>
    <n v="518"/>
    <x v="27"/>
  </r>
  <r>
    <d v="2017-02-08T00:00:00"/>
    <x v="20"/>
    <x v="10"/>
    <n v="3319"/>
    <n v="154"/>
    <n v="314"/>
    <x v="28"/>
  </r>
  <r>
    <d v="2017-02-09T00:00:00"/>
    <x v="21"/>
    <x v="0"/>
    <n v="2152"/>
    <n v="190"/>
    <n v="406"/>
    <x v="29"/>
  </r>
  <r>
    <d v="2017-02-10T00:00:00"/>
    <x v="1"/>
    <x v="12"/>
    <n v="3810"/>
    <n v="135"/>
    <n v="221"/>
    <x v="17"/>
  </r>
  <r>
    <d v="2017-02-11T00:00:00"/>
    <x v="17"/>
    <x v="21"/>
    <n v="5713"/>
    <n v="128"/>
    <n v="376"/>
    <x v="30"/>
  </r>
  <r>
    <d v="2017-02-12T00:00:00"/>
    <x v="22"/>
    <x v="12"/>
    <n v="4163"/>
    <n v="128"/>
    <n v="257"/>
    <x v="31"/>
  </r>
  <r>
    <d v="2017-02-13T00:00:00"/>
    <x v="17"/>
    <x v="22"/>
    <n v="3216"/>
    <n v="162"/>
    <n v="278"/>
    <x v="32"/>
  </r>
  <r>
    <d v="2017-02-14T00:00:00"/>
    <x v="4"/>
    <x v="23"/>
    <n v="5060"/>
    <n v="550"/>
    <n v="1622"/>
    <x v="33"/>
  </r>
  <r>
    <d v="2017-02-16T00:00:00"/>
    <x v="22"/>
    <x v="14"/>
    <n v="2446"/>
    <n v="161"/>
    <n v="379"/>
    <x v="34"/>
  </r>
  <r>
    <d v="2017-02-17T00:00:00"/>
    <x v="14"/>
    <x v="13"/>
    <n v="3305"/>
    <n v="106"/>
    <n v="116"/>
    <x v="20"/>
  </r>
  <r>
    <d v="2017-02-19T00:00:00"/>
    <x v="17"/>
    <x v="0"/>
    <n v="1743"/>
    <n v="145"/>
    <n v="376"/>
    <x v="35"/>
  </r>
  <r>
    <d v="2017-02-22T00:00:00"/>
    <x v="9"/>
    <x v="24"/>
    <n v="4053"/>
    <n v="146"/>
    <n v="441"/>
    <x v="36"/>
  </r>
  <r>
    <d v="2017-02-23T00:00:00"/>
    <x v="23"/>
    <x v="20"/>
    <n v="4905"/>
    <n v="157"/>
    <n v="392"/>
    <x v="37"/>
  </r>
  <r>
    <d v="2017-02-25T00:00:00"/>
    <x v="2"/>
    <x v="0"/>
    <n v="1624"/>
    <n v="111"/>
    <n v="221"/>
    <x v="38"/>
  </r>
  <r>
    <d v="2017-02-27T00:00:00"/>
    <x v="24"/>
    <x v="25"/>
    <n v="5326"/>
    <n v="171"/>
    <n v="263"/>
    <x v="39"/>
  </r>
  <r>
    <d v="2017-02-28T00:00:00"/>
    <x v="25"/>
    <x v="4"/>
    <n v="4398"/>
    <n v="225"/>
    <n v="400"/>
    <x v="40"/>
  </r>
  <r>
    <d v="2017-03-01T00:00:00"/>
    <x v="24"/>
    <x v="26"/>
    <n v="4494"/>
    <n v="143"/>
    <n v="252"/>
    <x v="41"/>
  </r>
  <r>
    <d v="2017-03-02T00:00:00"/>
    <x v="26"/>
    <x v="27"/>
    <n v="2136"/>
    <n v="139"/>
    <n v="522"/>
    <x v="42"/>
  </r>
  <r>
    <d v="2017-03-03T00:00:00"/>
    <x v="27"/>
    <x v="28"/>
    <n v="4481"/>
    <n v="121"/>
    <n v="446"/>
    <x v="43"/>
  </r>
  <r>
    <d v="2017-03-04T00:00:00"/>
    <x v="20"/>
    <x v="18"/>
    <n v="1749"/>
    <n v="232"/>
    <n v="928"/>
    <x v="44"/>
  </r>
  <r>
    <d v="2017-03-08T00:00:00"/>
    <x v="20"/>
    <x v="10"/>
    <n v="1203"/>
    <n v="146"/>
    <n v="330"/>
    <x v="28"/>
  </r>
  <r>
    <d v="2017-03-09T00:00:00"/>
    <x v="11"/>
    <x v="29"/>
    <n v="4505"/>
    <n v="118"/>
    <n v="374"/>
    <x v="45"/>
  </r>
  <r>
    <d v="2017-03-10T00:00:00"/>
    <x v="28"/>
    <x v="30"/>
    <n v="1454"/>
    <n v="95"/>
    <n v="197"/>
    <x v="46"/>
  </r>
  <r>
    <d v="2017-03-11T00:00:00"/>
    <x v="29"/>
    <x v="31"/>
    <n v="2835"/>
    <n v="136"/>
    <n v="418"/>
    <x v="47"/>
  </r>
  <r>
    <d v="2017-03-12T00:00:00"/>
    <x v="8"/>
    <x v="32"/>
    <n v="2338"/>
    <n v="123"/>
    <n v="215"/>
    <x v="48"/>
  </r>
  <r>
    <d v="2017-03-13T00:00:00"/>
    <x v="16"/>
    <x v="33"/>
    <n v="4154"/>
    <n v="277"/>
    <n v="924"/>
    <x v="49"/>
  </r>
  <r>
    <d v="2017-03-16T00:00:00"/>
    <x v="30"/>
    <x v="15"/>
    <n v="1767"/>
    <n v="91"/>
    <n v="247"/>
    <x v="50"/>
  </r>
  <r>
    <d v="2017-03-18T00:00:00"/>
    <x v="31"/>
    <x v="34"/>
    <n v="2929"/>
    <n v="152"/>
    <n v="278"/>
    <x v="51"/>
  </r>
  <r>
    <d v="2017-03-19T00:00:00"/>
    <x v="32"/>
    <x v="35"/>
    <n v="2151"/>
    <n v="177"/>
    <n v="365"/>
    <x v="52"/>
  </r>
  <r>
    <d v="2017-03-20T00:00:00"/>
    <x v="33"/>
    <x v="36"/>
    <n v="2431"/>
    <n v="96"/>
    <n v="409"/>
    <x v="53"/>
  </r>
  <r>
    <d v="2017-03-21T00:00:00"/>
    <x v="34"/>
    <x v="35"/>
    <n v="1168"/>
    <n v="143"/>
    <n v="501"/>
    <x v="54"/>
  </r>
  <r>
    <d v="2017-03-22T00:00:00"/>
    <x v="33"/>
    <x v="37"/>
    <n v="4251"/>
    <n v="122"/>
    <n v="227"/>
    <x v="55"/>
  </r>
  <r>
    <d v="2017-03-23T00:00:00"/>
    <x v="10"/>
    <x v="31"/>
    <n v="4347"/>
    <n v="117"/>
    <n v="158"/>
    <x v="56"/>
  </r>
  <r>
    <d v="2017-03-24T00:00:00"/>
    <x v="8"/>
    <x v="30"/>
    <n v="5287"/>
    <n v="127"/>
    <n v="495"/>
    <x v="57"/>
  </r>
  <r>
    <d v="2017-03-26T00:00:00"/>
    <x v="9"/>
    <x v="9"/>
    <n v="5177"/>
    <n v="147"/>
    <n v="443"/>
    <x v="10"/>
  </r>
  <r>
    <d v="2017-03-27T00:00:00"/>
    <x v="30"/>
    <x v="17"/>
    <n v="3858"/>
    <n v="155"/>
    <n v="261"/>
    <x v="58"/>
  </r>
  <r>
    <d v="2017-03-28T00:00:00"/>
    <x v="16"/>
    <x v="38"/>
    <n v="4637"/>
    <n v="116"/>
    <n v="242"/>
    <x v="59"/>
  </r>
  <r>
    <d v="2017-03-29T00:00:00"/>
    <x v="35"/>
    <x v="18"/>
    <n v="5212"/>
    <n v="123"/>
    <n v="517"/>
    <x v="60"/>
  </r>
  <r>
    <d v="2017-03-30T00:00:00"/>
    <x v="7"/>
    <x v="29"/>
    <n v="1099"/>
    <n v="128"/>
    <n v="205"/>
    <x v="61"/>
  </r>
  <r>
    <d v="2017-03-31T00:00:00"/>
    <x v="28"/>
    <x v="30"/>
    <n v="4422"/>
    <n v="105"/>
    <n v="145"/>
    <x v="46"/>
  </r>
  <r>
    <d v="2017-04-02T00:00:00"/>
    <x v="36"/>
    <x v="27"/>
    <n v="2742"/>
    <n v="109"/>
    <n v="117"/>
    <x v="62"/>
  </r>
  <r>
    <d v="2017-04-03T00:00:00"/>
    <x v="27"/>
    <x v="23"/>
    <n v="2100"/>
    <n v="115"/>
    <n v="172"/>
    <x v="63"/>
  </r>
  <r>
    <d v="2017-04-04T00:00:00"/>
    <x v="36"/>
    <x v="27"/>
    <n v="5626"/>
    <n v="123"/>
    <n v="377"/>
    <x v="62"/>
  </r>
  <r>
    <d v="2017-04-05T00:00:00"/>
    <x v="27"/>
    <x v="23"/>
    <n v="1629"/>
    <n v="109"/>
    <n v="258"/>
    <x v="63"/>
  </r>
  <r>
    <d v="2017-04-06T00:00:00"/>
    <x v="36"/>
    <x v="39"/>
    <n v="4787"/>
    <n v="155"/>
    <n v="354"/>
    <x v="64"/>
  </r>
  <r>
    <d v="2017-04-07T00:00:00"/>
    <x v="37"/>
    <x v="34"/>
    <n v="4678"/>
    <n v="182"/>
    <n v="254"/>
    <x v="65"/>
  </r>
  <r>
    <d v="2017-04-08T00:00:00"/>
    <x v="32"/>
    <x v="40"/>
    <n v="5869"/>
    <n v="152"/>
    <n v="599"/>
    <x v="66"/>
  </r>
  <r>
    <d v="2017-04-09T00:00:00"/>
    <x v="38"/>
    <x v="40"/>
    <n v="2678"/>
    <n v="178"/>
    <n v="481"/>
    <x v="67"/>
  </r>
  <r>
    <d v="2017-04-10T00:00:00"/>
    <x v="11"/>
    <x v="33"/>
    <n v="3193"/>
    <n v="241"/>
    <n v="507"/>
    <x v="68"/>
  </r>
  <r>
    <d v="2017-04-11T00:00:00"/>
    <x v="18"/>
    <x v="15"/>
    <n v="1011"/>
    <n v="211"/>
    <n v="536"/>
    <x v="69"/>
  </r>
  <r>
    <d v="2017-04-12T00:00:00"/>
    <x v="15"/>
    <x v="13"/>
    <n v="3398"/>
    <n v="122"/>
    <n v="163"/>
    <x v="70"/>
  </r>
  <r>
    <d v="2017-04-14T00:00:00"/>
    <x v="39"/>
    <x v="41"/>
    <n v="5416"/>
    <n v="156"/>
    <n v="349"/>
    <x v="71"/>
  </r>
  <r>
    <d v="2017-04-15T00:00:00"/>
    <x v="3"/>
    <x v="42"/>
    <n v="3914"/>
    <n v="417"/>
    <n v="888"/>
    <x v="72"/>
  </r>
  <r>
    <d v="2017-04-16T00:00:00"/>
    <x v="40"/>
    <x v="36"/>
    <n v="5805"/>
    <n v="145"/>
    <n v="301"/>
    <x v="73"/>
  </r>
  <r>
    <d v="2017-04-17T00:00:00"/>
    <x v="41"/>
    <x v="42"/>
    <n v="4033"/>
    <n v="136"/>
    <n v="297"/>
    <x v="74"/>
  </r>
  <r>
    <d v="2017-04-19T00:00:00"/>
    <x v="31"/>
    <x v="43"/>
    <n v="1021"/>
    <n v="184"/>
    <n v="660"/>
    <x v="75"/>
  </r>
  <r>
    <d v="2017-04-21T00:00:00"/>
    <x v="42"/>
    <x v="34"/>
    <n v="5162"/>
    <n v="17"/>
    <n v="28"/>
    <x v="76"/>
  </r>
  <r>
    <d v="2017-04-22T00:00:00"/>
    <x v="32"/>
    <x v="40"/>
    <n v="2050"/>
    <n v="162"/>
    <n v="569"/>
    <x v="66"/>
  </r>
  <r>
    <d v="2017-04-24T00:00:00"/>
    <x v="43"/>
    <x v="26"/>
    <n v="5312"/>
    <n v="153"/>
    <n v="356"/>
    <x v="77"/>
  </r>
  <r>
    <d v="2017-04-26T00:00:00"/>
    <x v="13"/>
    <x v="32"/>
    <n v="2443"/>
    <n v="392"/>
    <n v="1392"/>
    <x v="78"/>
  </r>
  <r>
    <d v="2017-04-28T00:00:00"/>
    <x v="42"/>
    <x v="44"/>
    <n v="1161"/>
    <n v="174"/>
    <n v="323"/>
    <x v="79"/>
  </r>
  <r>
    <d v="2017-04-29T00:00:00"/>
    <x v="37"/>
    <x v="8"/>
    <n v="3435"/>
    <n v="146"/>
    <n v="530"/>
    <x v="80"/>
  </r>
  <r>
    <d v="2017-04-30T00:00:00"/>
    <x v="44"/>
    <x v="22"/>
    <n v="3358"/>
    <n v="168"/>
    <n v="569"/>
    <x v="81"/>
  </r>
  <r>
    <d v="2017-05-01T00:00:00"/>
    <x v="39"/>
    <x v="45"/>
    <n v="2719"/>
    <n v="152"/>
    <n v="240"/>
    <x v="82"/>
  </r>
  <r>
    <d v="2017-05-02T00:00:00"/>
    <x v="45"/>
    <x v="13"/>
    <n v="1793"/>
    <n v="197"/>
    <n v="754"/>
    <x v="83"/>
  </r>
  <r>
    <d v="2017-05-05T00:00:00"/>
    <x v="10"/>
    <x v="20"/>
    <n v="1858"/>
    <n v="104"/>
    <n v="171"/>
    <x v="84"/>
  </r>
  <r>
    <d v="2017-05-06T00:00:00"/>
    <x v="20"/>
    <x v="37"/>
    <n v="4651"/>
    <n v="111"/>
    <n v="190"/>
    <x v="85"/>
  </r>
  <r>
    <d v="2017-05-07T00:00:00"/>
    <x v="10"/>
    <x v="20"/>
    <n v="2929"/>
    <n v="111"/>
    <n v="395"/>
    <x v="84"/>
  </r>
  <r>
    <d v="2017-05-08T00:00:00"/>
    <x v="20"/>
    <x v="19"/>
    <n v="2608"/>
    <n v="123"/>
    <n v="223"/>
    <x v="86"/>
  </r>
  <r>
    <d v="2017-05-09T00:00:00"/>
    <x v="19"/>
    <x v="18"/>
    <n v="3094"/>
    <n v="107"/>
    <n v="143"/>
    <x v="87"/>
  </r>
  <r>
    <d v="2017-05-12T00:00:00"/>
    <x v="10"/>
    <x v="46"/>
    <n v="5288"/>
    <n v="107"/>
    <n v="312"/>
    <x v="88"/>
  </r>
  <r>
    <d v="2017-05-13T00:00:00"/>
    <x v="43"/>
    <x v="19"/>
    <n v="4888"/>
    <n v="182"/>
    <n v="248"/>
    <x v="89"/>
  </r>
  <r>
    <d v="2017-05-14T00:00:00"/>
    <x v="19"/>
    <x v="47"/>
    <n v="5475"/>
    <n v="129"/>
    <n v="200"/>
    <x v="90"/>
  </r>
  <r>
    <d v="2017-05-15T00:00:00"/>
    <x v="46"/>
    <x v="36"/>
    <n v="4863"/>
    <n v="141"/>
    <n v="444"/>
    <x v="91"/>
  </r>
  <r>
    <d v="2017-05-17T00:00:00"/>
    <x v="20"/>
    <x v="48"/>
    <n v="5933"/>
    <n v="335"/>
    <n v="479"/>
    <x v="92"/>
  </r>
  <r>
    <d v="2017-05-18T00:00:00"/>
    <x v="47"/>
    <x v="49"/>
    <n v="1730"/>
    <n v="410"/>
    <n v="1087"/>
    <x v="93"/>
  </r>
  <r>
    <d v="2017-05-19T00:00:00"/>
    <x v="48"/>
    <x v="7"/>
    <n v="3178"/>
    <n v="171"/>
    <n v="646"/>
    <x v="94"/>
  </r>
  <r>
    <d v="2017-05-22T00:00:00"/>
    <x v="20"/>
    <x v="30"/>
    <n v="3983"/>
    <n v="153"/>
    <n v="175"/>
    <x v="95"/>
  </r>
  <r>
    <d v="2017-05-23T00:00:00"/>
    <x v="25"/>
    <x v="6"/>
    <n v="3007"/>
    <n v="391"/>
    <n v="1406"/>
    <x v="96"/>
  </r>
  <r>
    <d v="2017-05-24T00:00:00"/>
    <x v="47"/>
    <x v="9"/>
    <n v="5832"/>
    <n v="300"/>
    <n v="453"/>
    <x v="97"/>
  </r>
  <r>
    <d v="2017-05-26T00:00:00"/>
    <x v="24"/>
    <x v="26"/>
    <n v="3012"/>
    <n v="148"/>
    <n v="185"/>
    <x v="41"/>
  </r>
  <r>
    <d v="2017-05-27T00:00:00"/>
    <x v="26"/>
    <x v="50"/>
    <n v="4508"/>
    <n v="104"/>
    <n v="399"/>
    <x v="98"/>
  </r>
  <r>
    <d v="2017-05-28T00:00:00"/>
    <x v="3"/>
    <x v="45"/>
    <n v="1777"/>
    <n v="552"/>
    <n v="1964"/>
    <x v="99"/>
  </r>
  <r>
    <d v="2017-05-29T00:00:00"/>
    <x v="45"/>
    <x v="49"/>
    <n v="4788"/>
    <n v="203"/>
    <n v="347"/>
    <x v="100"/>
  </r>
  <r>
    <d v="2017-05-30T00:00:00"/>
    <x v="48"/>
    <x v="51"/>
    <n v="3035"/>
    <n v="103"/>
    <n v="376"/>
    <x v="101"/>
  </r>
  <r>
    <d v="2017-05-31T00:00:00"/>
    <x v="49"/>
    <x v="52"/>
    <n v="3380"/>
    <n v="155"/>
    <n v="542"/>
    <x v="102"/>
  </r>
  <r>
    <d v="2017-06-01T00:00:00"/>
    <x v="50"/>
    <x v="53"/>
    <n v="5014"/>
    <n v="154"/>
    <n v="577"/>
    <x v="103"/>
  </r>
  <r>
    <d v="2017-06-02T00:00:00"/>
    <x v="51"/>
    <x v="45"/>
    <n v="1852"/>
    <n v="110"/>
    <n v="407"/>
    <x v="104"/>
  </r>
  <r>
    <d v="2017-06-04T00:00:00"/>
    <x v="52"/>
    <x v="5"/>
    <n v="5493"/>
    <n v="145"/>
    <n v="168"/>
    <x v="105"/>
  </r>
  <r>
    <d v="2017-06-06T00:00:00"/>
    <x v="38"/>
    <x v="40"/>
    <n v="5560"/>
    <n v="187"/>
    <n v="288"/>
    <x v="67"/>
  </r>
  <r>
    <d v="2017-06-07T00:00:00"/>
    <x v="53"/>
    <x v="54"/>
    <n v="2571"/>
    <n v="145"/>
    <n v="567"/>
    <x v="106"/>
  </r>
  <r>
    <d v="2017-06-08T00:00:00"/>
    <x v="54"/>
    <x v="37"/>
    <n v="3348"/>
    <n v="111"/>
    <n v="135"/>
    <x v="107"/>
  </r>
  <r>
    <d v="2017-06-09T00:00:00"/>
    <x v="10"/>
    <x v="35"/>
    <n v="2906"/>
    <n v="119"/>
    <n v="398"/>
    <x v="108"/>
  </r>
  <r>
    <d v="2017-06-10T00:00:00"/>
    <x v="33"/>
    <x v="42"/>
    <n v="5660"/>
    <n v="137"/>
    <n v="490"/>
    <x v="109"/>
  </r>
  <r>
    <d v="2017-06-11T00:00:00"/>
    <x v="10"/>
    <x v="20"/>
    <n v="2575"/>
    <n v="113"/>
    <n v="277"/>
    <x v="84"/>
  </r>
  <r>
    <d v="2017-06-12T00:00:00"/>
    <x v="55"/>
    <x v="35"/>
    <n v="1676"/>
    <n v="217"/>
    <n v="499"/>
    <x v="110"/>
  </r>
  <r>
    <d v="2017-06-13T00:00:00"/>
    <x v="33"/>
    <x v="36"/>
    <n v="1536"/>
    <n v="96"/>
    <n v="154"/>
    <x v="53"/>
  </r>
  <r>
    <d v="2017-06-14T00:00:00"/>
    <x v="41"/>
    <x v="32"/>
    <n v="1996"/>
    <n v="158"/>
    <n v="653"/>
    <x v="111"/>
  </r>
  <r>
    <d v="2017-06-16T00:00:00"/>
    <x v="56"/>
    <x v="55"/>
    <n v="4769"/>
    <n v="160"/>
    <n v="522"/>
    <x v="112"/>
  </r>
  <r>
    <d v="2017-06-17T00:00:00"/>
    <x v="57"/>
    <x v="46"/>
    <n v="4542"/>
    <n v="205"/>
    <n v="524"/>
    <x v="113"/>
  </r>
  <r>
    <d v="2017-06-18T00:00:00"/>
    <x v="47"/>
    <x v="47"/>
    <n v="2286"/>
    <n v="140"/>
    <n v="136"/>
    <x v="114"/>
  </r>
  <r>
    <d v="2017-06-19T00:00:00"/>
    <x v="46"/>
    <x v="30"/>
    <n v="1504"/>
    <n v="95"/>
    <n v="382"/>
    <x v="115"/>
  </r>
  <r>
    <d v="2017-06-20T00:00:00"/>
    <x v="34"/>
    <x v="28"/>
    <n v="3990"/>
    <n v="195"/>
    <n v="468"/>
    <x v="116"/>
  </r>
  <r>
    <d v="2017-06-21T00:00:00"/>
    <x v="41"/>
    <x v="8"/>
    <n v="4569"/>
    <n v="123"/>
    <n v="295"/>
    <x v="117"/>
  </r>
  <r>
    <d v="2017-06-22T00:00:00"/>
    <x v="9"/>
    <x v="9"/>
    <n v="3469"/>
    <n v="151"/>
    <n v="558"/>
    <x v="10"/>
  </r>
  <r>
    <d v="2017-06-23T00:00:00"/>
    <x v="23"/>
    <x v="28"/>
    <n v="2498"/>
    <n v="163"/>
    <n v="610"/>
    <x v="118"/>
  </r>
  <r>
    <d v="2017-06-24T00:00:00"/>
    <x v="58"/>
    <x v="8"/>
    <n v="4118"/>
    <n v="144"/>
    <n v="256"/>
    <x v="119"/>
  </r>
  <r>
    <d v="2017-06-25T00:00:00"/>
    <x v="21"/>
    <x v="56"/>
    <n v="5847"/>
    <n v="137"/>
    <n v="270"/>
    <x v="120"/>
  </r>
  <r>
    <d v="2017-06-26T00:00:00"/>
    <x v="59"/>
    <x v="57"/>
    <n v="2032"/>
    <n v="129"/>
    <n v="245"/>
    <x v="121"/>
  </r>
  <r>
    <d v="2017-06-27T00:00:00"/>
    <x v="21"/>
    <x v="21"/>
    <n v="2735"/>
    <n v="213"/>
    <n v="213"/>
    <x v="122"/>
  </r>
  <r>
    <d v="2017-06-28T00:00:00"/>
    <x v="22"/>
    <x v="16"/>
    <n v="5467"/>
    <n v="168"/>
    <n v="336"/>
    <x v="123"/>
  </r>
  <r>
    <d v="2017-06-29T00:00:00"/>
    <x v="12"/>
    <x v="12"/>
    <n v="3691"/>
    <n v="170"/>
    <n v="525"/>
    <x v="124"/>
  </r>
  <r>
    <d v="2017-06-30T00:00:00"/>
    <x v="30"/>
    <x v="58"/>
    <n v="3681"/>
    <n v="145"/>
    <n v="546"/>
    <x v="125"/>
  </r>
  <r>
    <d v="2017-07-01T00:00:00"/>
    <x v="49"/>
    <x v="10"/>
    <n v="2256"/>
    <n v="146"/>
    <n v="315"/>
    <x v="126"/>
  </r>
  <r>
    <d v="2017-07-02T00:00:00"/>
    <x v="11"/>
    <x v="1"/>
    <n v="4602"/>
    <n v="120"/>
    <n v="288"/>
    <x v="127"/>
  </r>
  <r>
    <d v="2017-07-03T00:00:00"/>
    <x v="2"/>
    <x v="10"/>
    <n v="4354"/>
    <n v="135"/>
    <n v="215"/>
    <x v="128"/>
  </r>
  <r>
    <d v="2017-07-04T00:00:00"/>
    <x v="11"/>
    <x v="47"/>
    <n v="4260"/>
    <n v="118"/>
    <n v="222"/>
    <x v="129"/>
  </r>
  <r>
    <d v="2017-07-05T00:00:00"/>
    <x v="28"/>
    <x v="30"/>
    <n v="2800"/>
    <n v="98"/>
    <n v="108"/>
    <x v="46"/>
  </r>
  <r>
    <d v="2017-07-06T00:00:00"/>
    <x v="29"/>
    <x v="19"/>
    <n v="2637"/>
    <n v="138"/>
    <n v="179"/>
    <x v="130"/>
  </r>
  <r>
    <d v="2017-07-07T00:00:00"/>
    <x v="19"/>
    <x v="18"/>
    <n v="5651"/>
    <n v="116"/>
    <n v="141"/>
    <x v="87"/>
  </r>
  <r>
    <d v="2017-07-08T00:00:00"/>
    <x v="7"/>
    <x v="38"/>
    <n v="2511"/>
    <n v="120"/>
    <n v="438"/>
    <x v="131"/>
  </r>
  <r>
    <d v="2017-07-10T00:00:00"/>
    <x v="42"/>
    <x v="57"/>
    <n v="2448"/>
    <n v="744"/>
    <n v="2887"/>
    <x v="132"/>
  </r>
  <r>
    <d v="2017-07-11T00:00:00"/>
    <x v="60"/>
    <x v="59"/>
    <n v="3414"/>
    <n v="114"/>
    <n v="301"/>
    <x v="133"/>
  </r>
  <r>
    <d v="2017-07-12T00:00:00"/>
    <x v="59"/>
    <x v="60"/>
    <n v="4039"/>
    <n v="204"/>
    <n v="614"/>
    <x v="134"/>
  </r>
  <r>
    <d v="2017-07-13T00:00:00"/>
    <x v="25"/>
    <x v="56"/>
    <n v="5862"/>
    <n v="202"/>
    <n v="518"/>
    <x v="135"/>
  </r>
  <r>
    <d v="2017-07-15T00:00:00"/>
    <x v="31"/>
    <x v="48"/>
    <n v="3077"/>
    <n v="148"/>
    <n v="454"/>
    <x v="136"/>
  </r>
  <r>
    <d v="2017-07-16T00:00:00"/>
    <x v="55"/>
    <x v="17"/>
    <n v="5569"/>
    <n v="604"/>
    <n v="1446"/>
    <x v="137"/>
  </r>
  <r>
    <d v="2017-07-17T00:00:00"/>
    <x v="16"/>
    <x v="38"/>
    <n v="4513"/>
    <n v="114"/>
    <n v="125"/>
    <x v="59"/>
  </r>
  <r>
    <d v="2017-07-19T00:00:00"/>
    <x v="23"/>
    <x v="31"/>
    <n v="2771"/>
    <n v="239"/>
    <n v="396"/>
    <x v="138"/>
  </r>
  <r>
    <d v="2017-07-20T00:00:00"/>
    <x v="37"/>
    <x v="32"/>
    <n v="1079"/>
    <n v="438"/>
    <n v="899"/>
    <x v="139"/>
  </r>
  <r>
    <d v="2017-07-21T00:00:00"/>
    <x v="61"/>
    <x v="22"/>
    <n v="3126"/>
    <n v="124"/>
    <n v="317"/>
    <x v="140"/>
  </r>
  <r>
    <d v="2017-07-22T00:00:00"/>
    <x v="62"/>
    <x v="47"/>
    <n v="3650"/>
    <n v="137"/>
    <n v="308"/>
    <x v="141"/>
  </r>
  <r>
    <d v="2017-07-23T00:00:00"/>
    <x v="55"/>
    <x v="61"/>
    <n v="5721"/>
    <n v="122"/>
    <n v="280"/>
    <x v="142"/>
  </r>
  <r>
    <d v="2017-07-24T00:00:00"/>
    <x v="56"/>
    <x v="37"/>
    <n v="5759"/>
    <n v="175"/>
    <n v="297"/>
    <x v="143"/>
  </r>
  <r>
    <d v="2017-07-25T00:00:00"/>
    <x v="10"/>
    <x v="46"/>
    <n v="2871"/>
    <n v="113"/>
    <n v="110"/>
    <x v="88"/>
  </r>
  <r>
    <d v="2017-07-28T00:00:00"/>
    <x v="2"/>
    <x v="2"/>
    <n v="3571"/>
    <n v="162"/>
    <n v="292"/>
    <x v="2"/>
  </r>
  <r>
    <d v="2017-07-29T00:00:00"/>
    <x v="3"/>
    <x v="46"/>
    <n v="3061"/>
    <n v="107"/>
    <n v="258"/>
    <x v="144"/>
  </r>
  <r>
    <d v="2017-07-30T00:00:00"/>
    <x v="47"/>
    <x v="62"/>
    <n v="5336"/>
    <n v="107"/>
    <n v="171"/>
    <x v="145"/>
  </r>
  <r>
    <d v="2017-07-31T00:00:00"/>
    <x v="20"/>
    <x v="25"/>
    <n v="5658"/>
    <n v="249"/>
    <n v="967"/>
    <x v="146"/>
  </r>
  <r>
    <d v="2017-08-01T00:00:00"/>
    <x v="18"/>
    <x v="15"/>
    <n v="2697"/>
    <n v="209"/>
    <n v="699"/>
    <x v="69"/>
  </r>
  <r>
    <d v="2017-08-02T00:00:00"/>
    <x v="15"/>
    <x v="38"/>
    <n v="5368"/>
    <n v="122"/>
    <n v="491"/>
    <x v="147"/>
  </r>
  <r>
    <d v="2017-08-03T00:00:00"/>
    <x v="35"/>
    <x v="18"/>
    <n v="2706"/>
    <n v="137"/>
    <n v="292"/>
    <x v="60"/>
  </r>
  <r>
    <d v="2017-08-06T00:00:00"/>
    <x v="54"/>
    <x v="38"/>
    <n v="3456"/>
    <n v="542"/>
    <n v="1891"/>
    <x v="148"/>
  </r>
  <r>
    <d v="2017-08-07T00:00:00"/>
    <x v="35"/>
    <x v="18"/>
    <n v="1914"/>
    <n v="138"/>
    <n v="405"/>
    <x v="60"/>
  </r>
  <r>
    <d v="2017-08-08T00:00:00"/>
    <x v="7"/>
    <x v="12"/>
    <n v="1134"/>
    <n v="95"/>
    <n v="115"/>
    <x v="149"/>
  </r>
  <r>
    <d v="2017-08-09T00:00:00"/>
    <x v="17"/>
    <x v="15"/>
    <n v="2935"/>
    <n v="160"/>
    <n v="275"/>
    <x v="150"/>
  </r>
  <r>
    <d v="2017-08-10T00:00:00"/>
    <x v="15"/>
    <x v="7"/>
    <n v="4379"/>
    <n v="93"/>
    <n v="147"/>
    <x v="151"/>
  </r>
  <r>
    <d v="2017-08-12T00:00:00"/>
    <x v="26"/>
    <x v="63"/>
    <n v="1328"/>
    <n v="148"/>
    <n v="516"/>
    <x v="152"/>
  </r>
  <r>
    <d v="2017-08-13T00:00:00"/>
    <x v="59"/>
    <x v="57"/>
    <n v="4133"/>
    <n v="130"/>
    <n v="398"/>
    <x v="121"/>
  </r>
  <r>
    <d v="2017-08-15T00:00:00"/>
    <x v="41"/>
    <x v="10"/>
    <n v="5370"/>
    <n v="266"/>
    <n v="699"/>
    <x v="153"/>
  </r>
  <r>
    <d v="2017-08-16T00:00:00"/>
    <x v="11"/>
    <x v="1"/>
    <n v="4663"/>
    <n v="122"/>
    <n v="256"/>
    <x v="127"/>
  </r>
  <r>
    <d v="2017-08-17T00:00:00"/>
    <x v="2"/>
    <x v="29"/>
    <n v="5151"/>
    <n v="151"/>
    <n v="195"/>
    <x v="154"/>
  </r>
  <r>
    <d v="2017-08-18T00:00:00"/>
    <x v="28"/>
    <x v="10"/>
    <n v="3035"/>
    <n v="118"/>
    <n v="207"/>
    <x v="155"/>
  </r>
  <r>
    <d v="2017-08-20T00:00:00"/>
    <x v="63"/>
    <x v="5"/>
    <n v="1090"/>
    <n v="200"/>
    <n v="585"/>
    <x v="156"/>
  </r>
  <r>
    <d v="2017-08-21T00:00:00"/>
    <x v="4"/>
    <x v="6"/>
    <n v="5746"/>
    <n v="145"/>
    <n v="214"/>
    <x v="6"/>
  </r>
  <r>
    <d v="2017-08-23T00:00:00"/>
    <x v="33"/>
    <x v="48"/>
    <n v="3200"/>
    <n v="138"/>
    <n v="417"/>
    <x v="157"/>
  </r>
  <r>
    <d v="2017-08-24T00:00:00"/>
    <x v="42"/>
    <x v="44"/>
    <n v="3586"/>
    <n v="155"/>
    <n v="290"/>
    <x v="79"/>
  </r>
  <r>
    <d v="2017-08-25T00:00:00"/>
    <x v="37"/>
    <x v="8"/>
    <n v="3460"/>
    <n v="145"/>
    <n v="162"/>
    <x v="80"/>
  </r>
  <r>
    <d v="2017-08-26T00:00:00"/>
    <x v="56"/>
    <x v="37"/>
    <n v="1347"/>
    <n v="173"/>
    <n v="576"/>
    <x v="143"/>
  </r>
  <r>
    <d v="2017-08-27T00:00:00"/>
    <x v="10"/>
    <x v="47"/>
    <n v="2421"/>
    <n v="148"/>
    <n v="552"/>
    <x v="158"/>
  </r>
  <r>
    <d v="2017-08-28T00:00:00"/>
    <x v="46"/>
    <x v="36"/>
    <n v="2939"/>
    <n v="125"/>
    <n v="307"/>
    <x v="91"/>
  </r>
  <r>
    <d v="2017-08-29T00:00:00"/>
    <x v="41"/>
    <x v="8"/>
    <n v="4921"/>
    <n v="124"/>
    <n v="472"/>
    <x v="117"/>
  </r>
  <r>
    <d v="2017-08-30T00:00:00"/>
    <x v="9"/>
    <x v="27"/>
    <n v="3580"/>
    <n v="173"/>
    <n v="382"/>
    <x v="159"/>
  </r>
  <r>
    <d v="2017-08-31T00:00:00"/>
    <x v="27"/>
    <x v="64"/>
    <n v="5215"/>
    <n v="158"/>
    <n v="375"/>
    <x v="160"/>
  </r>
  <r>
    <d v="2017-09-01T00:00:00"/>
    <x v="64"/>
    <x v="65"/>
    <n v="1369"/>
    <n v="170"/>
    <n v="276"/>
    <x v="161"/>
  </r>
  <r>
    <d v="2017-09-02T00:00:00"/>
    <x v="38"/>
    <x v="54"/>
    <n v="1655"/>
    <n v="180"/>
    <n v="332"/>
    <x v="162"/>
  </r>
  <r>
    <d v="2017-09-03T00:00:00"/>
    <x v="35"/>
    <x v="49"/>
    <n v="2192"/>
    <n v="114"/>
    <n v="137"/>
    <x v="163"/>
  </r>
  <r>
    <d v="2017-09-04T00:00:00"/>
    <x v="5"/>
    <x v="46"/>
    <n v="5919"/>
    <n v="103"/>
    <n v="279"/>
    <x v="164"/>
  </r>
  <r>
    <d v="2017-09-05T00:00:00"/>
    <x v="54"/>
    <x v="8"/>
    <n v="5986"/>
    <n v="222"/>
    <n v="501"/>
    <x v="165"/>
  </r>
  <r>
    <d v="2017-09-06T00:00:00"/>
    <x v="9"/>
    <x v="28"/>
    <n v="2750"/>
    <n v="144"/>
    <n v="422"/>
    <x v="166"/>
  </r>
  <r>
    <d v="2017-09-07T00:00:00"/>
    <x v="58"/>
    <x v="44"/>
    <n v="1381"/>
    <n v="192"/>
    <n v="556"/>
    <x v="167"/>
  </r>
  <r>
    <d v="2017-09-08T00:00:00"/>
    <x v="46"/>
    <x v="46"/>
    <n v="2219"/>
    <n v="136"/>
    <n v="162"/>
    <x v="168"/>
  </r>
  <r>
    <d v="2017-09-09T00:00:00"/>
    <x v="47"/>
    <x v="62"/>
    <n v="5041"/>
    <n v="101"/>
    <n v="319"/>
    <x v="145"/>
  </r>
  <r>
    <d v="2017-09-11T00:00:00"/>
    <x v="22"/>
    <x v="13"/>
    <n v="4432"/>
    <n v="159"/>
    <n v="585"/>
    <x v="169"/>
  </r>
  <r>
    <d v="2017-09-12T00:00:00"/>
    <x v="0"/>
    <x v="4"/>
    <n v="2761"/>
    <n v="129"/>
    <n v="288"/>
    <x v="14"/>
  </r>
  <r>
    <d v="2017-09-13T00:00:00"/>
    <x v="5"/>
    <x v="0"/>
    <n v="2935"/>
    <n v="162"/>
    <n v="572"/>
    <x v="170"/>
  </r>
  <r>
    <d v="2017-09-14T00:00:00"/>
    <x v="25"/>
    <x v="29"/>
    <n v="3565"/>
    <n v="176"/>
    <n v="224"/>
    <x v="171"/>
  </r>
  <r>
    <d v="2017-09-15T00:00:00"/>
    <x v="2"/>
    <x v="27"/>
    <n v="3096"/>
    <n v="353"/>
    <n v="993"/>
    <x v="172"/>
  </r>
  <r>
    <d v="2017-09-17T00:00:00"/>
    <x v="37"/>
    <x v="5"/>
    <n v="3325"/>
    <n v="517"/>
    <n v="1107"/>
    <x v="173"/>
  </r>
  <r>
    <d v="2017-09-19T00:00:00"/>
    <x v="30"/>
    <x v="46"/>
    <n v="2563"/>
    <n v="480"/>
    <n v="1849"/>
    <x v="174"/>
  </r>
  <r>
    <d v="2017-09-20T00:00:00"/>
    <x v="47"/>
    <x v="37"/>
    <n v="2914"/>
    <n v="104"/>
    <n v="275"/>
    <x v="175"/>
  </r>
  <r>
    <d v="2017-09-21T00:00:00"/>
    <x v="10"/>
    <x v="20"/>
    <n v="2832"/>
    <n v="106"/>
    <n v="396"/>
    <x v="84"/>
  </r>
  <r>
    <d v="2017-09-22T00:00:00"/>
    <x v="47"/>
    <x v="33"/>
    <n v="5257"/>
    <n v="407"/>
    <n v="551"/>
    <x v="176"/>
  </r>
  <r>
    <d v="2017-09-23T00:00:00"/>
    <x v="44"/>
    <x v="33"/>
    <n v="5983"/>
    <n v="227"/>
    <n v="832"/>
    <x v="177"/>
  </r>
  <r>
    <d v="2017-09-24T00:00:00"/>
    <x v="43"/>
    <x v="53"/>
    <n v="4378"/>
    <n v="187"/>
    <n v="653"/>
    <x v="178"/>
  </r>
  <r>
    <d v="2017-09-25T00:00:00"/>
    <x v="51"/>
    <x v="15"/>
    <n v="3108"/>
    <n v="114"/>
    <n v="174"/>
    <x v="179"/>
  </r>
  <r>
    <d v="2017-09-26T00:00:00"/>
    <x v="15"/>
    <x v="58"/>
    <n v="2133"/>
    <n v="166"/>
    <n v="513"/>
    <x v="180"/>
  </r>
  <r>
    <d v="2017-09-27T00:00:00"/>
    <x v="39"/>
    <x v="38"/>
    <n v="1125"/>
    <n v="98"/>
    <n v="194"/>
    <x v="181"/>
  </r>
  <r>
    <d v="2017-09-28T00:00:00"/>
    <x v="35"/>
    <x v="15"/>
    <n v="4375"/>
    <n v="140"/>
    <n v="134"/>
    <x v="182"/>
  </r>
  <r>
    <d v="2017-09-30T00:00:00"/>
    <x v="29"/>
    <x v="4"/>
    <n v="5455"/>
    <n v="124"/>
    <n v="231"/>
    <x v="183"/>
  </r>
  <r>
    <d v="2017-10-01T00:00:00"/>
    <x v="20"/>
    <x v="19"/>
    <n v="4649"/>
    <n v="125"/>
    <n v="356"/>
    <x v="86"/>
  </r>
  <r>
    <d v="2017-10-02T00:00:00"/>
    <x v="19"/>
    <x v="47"/>
    <n v="4016"/>
    <n v="115"/>
    <n v="145"/>
    <x v="90"/>
  </r>
  <r>
    <d v="2017-10-03T00:00:00"/>
    <x v="46"/>
    <x v="22"/>
    <n v="1211"/>
    <n v="139"/>
    <n v="218"/>
    <x v="184"/>
  </r>
  <r>
    <d v="2017-10-04T00:00:00"/>
    <x v="62"/>
    <x v="32"/>
    <n v="4633"/>
    <n v="120"/>
    <n v="280"/>
    <x v="185"/>
  </r>
  <r>
    <d v="2017-10-05T00:00:00"/>
    <x v="61"/>
    <x v="26"/>
    <n v="2488"/>
    <n v="144"/>
    <n v="252"/>
    <x v="186"/>
  </r>
  <r>
    <d v="2017-10-06T00:00:00"/>
    <x v="26"/>
    <x v="63"/>
    <n v="5798"/>
    <n v="142"/>
    <n v="501"/>
    <x v="152"/>
  </r>
  <r>
    <d v="2017-10-07T00:00:00"/>
    <x v="61"/>
    <x v="51"/>
    <n v="2918"/>
    <n v="181"/>
    <n v="289"/>
    <x v="187"/>
  </r>
  <r>
    <d v="2017-10-08T00:00:00"/>
    <x v="49"/>
    <x v="49"/>
    <n v="1886"/>
    <n v="110"/>
    <n v="254"/>
    <x v="188"/>
  </r>
  <r>
    <d v="2017-10-09T00:00:00"/>
    <x v="59"/>
    <x v="57"/>
    <n v="4431"/>
    <n v="128"/>
    <n v="213"/>
    <x v="121"/>
  </r>
  <r>
    <d v="2017-10-10T00:00:00"/>
    <x v="21"/>
    <x v="29"/>
    <n v="1956"/>
    <n v="176"/>
    <n v="248"/>
    <x v="189"/>
  </r>
  <r>
    <d v="2017-10-11T00:00:00"/>
    <x v="30"/>
    <x v="17"/>
    <n v="4059"/>
    <n v="162"/>
    <n v="550"/>
    <x v="58"/>
  </r>
  <r>
    <d v="2017-10-12T00:00:00"/>
    <x v="16"/>
    <x v="13"/>
    <n v="2157"/>
    <n v="115"/>
    <n v="182"/>
    <x v="190"/>
  </r>
  <r>
    <d v="2017-10-13T00:00:00"/>
    <x v="13"/>
    <x v="14"/>
    <n v="3353"/>
    <n v="117"/>
    <n v="312"/>
    <x v="19"/>
  </r>
  <r>
    <d v="2017-10-14T00:00:00"/>
    <x v="14"/>
    <x v="12"/>
    <n v="4677"/>
    <n v="219"/>
    <n v="255"/>
    <x v="191"/>
  </r>
  <r>
    <d v="2017-10-15T00:00:00"/>
    <x v="17"/>
    <x v="15"/>
    <n v="2059"/>
    <n v="164"/>
    <n v="630"/>
    <x v="150"/>
  </r>
  <r>
    <d v="2017-10-17T00:00:00"/>
    <x v="2"/>
    <x v="20"/>
    <n v="5537"/>
    <n v="141"/>
    <n v="240"/>
    <x v="192"/>
  </r>
  <r>
    <d v="2017-10-18T00:00:00"/>
    <x v="20"/>
    <x v="46"/>
    <n v="2987"/>
    <n v="149"/>
    <n v="464"/>
    <x v="193"/>
  </r>
  <r>
    <d v="2017-10-20T00:00:00"/>
    <x v="57"/>
    <x v="54"/>
    <n v="5570"/>
    <n v="166"/>
    <n v="577"/>
    <x v="194"/>
  </r>
  <r>
    <d v="2017-10-21T00:00:00"/>
    <x v="54"/>
    <x v="66"/>
    <n v="3948"/>
    <n v="137"/>
    <n v="469"/>
    <x v="195"/>
  </r>
  <r>
    <d v="2017-10-22T00:00:00"/>
    <x v="42"/>
    <x v="46"/>
    <n v="4201"/>
    <n v="380"/>
    <n v="528"/>
    <x v="196"/>
  </r>
  <r>
    <d v="2017-10-23T00:00:00"/>
    <x v="47"/>
    <x v="4"/>
    <n v="3592"/>
    <n v="109"/>
    <n v="134"/>
    <x v="197"/>
  </r>
  <r>
    <d v="2017-10-24T00:00:00"/>
    <x v="5"/>
    <x v="30"/>
    <n v="4543"/>
    <n v="135"/>
    <n v="345"/>
    <x v="198"/>
  </r>
  <r>
    <d v="2017-10-26T00:00:00"/>
    <x v="5"/>
    <x v="2"/>
    <n v="1813"/>
    <n v="86"/>
    <n v="163"/>
    <x v="199"/>
  </r>
  <r>
    <d v="2017-10-27T00:00:00"/>
    <x v="27"/>
    <x v="39"/>
    <n v="4567"/>
    <n v="31"/>
    <n v="54"/>
    <x v="200"/>
  </r>
  <r>
    <d v="2017-10-28T00:00:00"/>
    <x v="65"/>
    <x v="26"/>
    <n v="1830"/>
    <n v="152"/>
    <n v="301"/>
    <x v="201"/>
  </r>
  <r>
    <d v="2017-10-29T00:00:00"/>
    <x v="26"/>
    <x v="50"/>
    <n v="3678"/>
    <n v="104"/>
    <n v="275"/>
    <x v="98"/>
  </r>
  <r>
    <d v="2017-10-30T00:00:00"/>
    <x v="9"/>
    <x v="27"/>
    <n v="1782"/>
    <n v="171"/>
    <n v="193"/>
    <x v="159"/>
  </r>
  <r>
    <d v="2017-11-01T00:00:00"/>
    <x v="5"/>
    <x v="11"/>
    <n v="2966"/>
    <n v="125"/>
    <n v="170"/>
    <x v="15"/>
  </r>
  <r>
    <d v="2017-11-03T00:00:00"/>
    <x v="62"/>
    <x v="36"/>
    <n v="4746"/>
    <n v="131"/>
    <n v="245"/>
    <x v="202"/>
  </r>
  <r>
    <d v="2017-11-05T00:00:00"/>
    <x v="26"/>
    <x v="9"/>
    <n v="3161"/>
    <n v="101"/>
    <n v="115"/>
    <x v="203"/>
  </r>
  <r>
    <d v="2017-11-06T00:00:00"/>
    <x v="46"/>
    <x v="59"/>
    <n v="3600"/>
    <n v="211"/>
    <n v="670"/>
    <x v="204"/>
  </r>
  <r>
    <d v="2017-11-07T00:00:00"/>
    <x v="66"/>
    <x v="3"/>
    <n v="4093"/>
    <n v="119"/>
    <n v="254"/>
    <x v="205"/>
  </r>
  <r>
    <d v="2017-11-08T00:00:00"/>
    <x v="60"/>
    <x v="2"/>
    <n v="1981"/>
    <n v="159"/>
    <n v="192"/>
    <x v="206"/>
  </r>
  <r>
    <d v="2017-11-09T00:00:00"/>
    <x v="3"/>
    <x v="11"/>
    <n v="3154"/>
    <n v="127"/>
    <n v="390"/>
    <x v="13"/>
  </r>
  <r>
    <d v="2017-11-12T00:00:00"/>
    <x v="2"/>
    <x v="54"/>
    <n v="4876"/>
    <n v="280"/>
    <n v="688"/>
    <x v="207"/>
  </r>
  <r>
    <d v="2017-11-13T00:00:00"/>
    <x v="54"/>
    <x v="66"/>
    <n v="5153"/>
    <n v="141"/>
    <n v="547"/>
    <x v="195"/>
  </r>
  <r>
    <d v="2017-11-14T00:00:00"/>
    <x v="53"/>
    <x v="34"/>
    <n v="1720"/>
    <n v="122"/>
    <n v="363"/>
    <x v="208"/>
  </r>
  <r>
    <d v="2017-11-15T00:00:00"/>
    <x v="32"/>
    <x v="40"/>
    <n v="5392"/>
    <n v="161"/>
    <n v="240"/>
    <x v="66"/>
  </r>
  <r>
    <d v="2017-11-16T00:00:00"/>
    <x v="59"/>
    <x v="13"/>
    <n v="1698"/>
    <n v="224"/>
    <n v="579"/>
    <x v="209"/>
  </r>
  <r>
    <d v="2017-11-17T00:00:00"/>
    <x v="13"/>
    <x v="12"/>
    <n v="3411"/>
    <n v="166"/>
    <n v="574"/>
    <x v="210"/>
  </r>
  <r>
    <d v="2017-11-18T00:00:00"/>
    <x v="17"/>
    <x v="18"/>
    <n v="5558"/>
    <n v="107"/>
    <n v="202"/>
    <x v="25"/>
  </r>
  <r>
    <d v="2017-11-19T00:00:00"/>
    <x v="7"/>
    <x v="29"/>
    <n v="2592"/>
    <n v="136"/>
    <n v="325"/>
    <x v="61"/>
  </r>
  <r>
    <d v="2017-11-20T00:00:00"/>
    <x v="28"/>
    <x v="57"/>
    <n v="5214"/>
    <n v="178"/>
    <n v="634"/>
    <x v="211"/>
  </r>
  <r>
    <d v="2017-11-21T00:00:00"/>
    <x v="21"/>
    <x v="29"/>
    <n v="5491"/>
    <n v="162"/>
    <n v="408"/>
    <x v="189"/>
  </r>
  <r>
    <d v="2017-11-22T00:00:00"/>
    <x v="8"/>
    <x v="63"/>
    <n v="4594"/>
    <n v="443"/>
    <n v="1098"/>
    <x v="212"/>
  </r>
  <r>
    <d v="2017-11-23T00:00:00"/>
    <x v="24"/>
    <x v="26"/>
    <n v="1047"/>
    <n v="147"/>
    <n v="432"/>
    <x v="41"/>
  </r>
  <r>
    <d v="2017-11-24T00:00:00"/>
    <x v="30"/>
    <x v="46"/>
    <n v="5517"/>
    <n v="494"/>
    <n v="1185"/>
    <x v="174"/>
  </r>
  <r>
    <d v="2017-11-25T00:00:00"/>
    <x v="47"/>
    <x v="4"/>
    <n v="4155"/>
    <n v="93"/>
    <n v="181"/>
    <x v="197"/>
  </r>
  <r>
    <d v="2017-11-28T00:00:00"/>
    <x v="48"/>
    <x v="38"/>
    <n v="2798"/>
    <n v="109"/>
    <n v="366"/>
    <x v="213"/>
  </r>
  <r>
    <d v="2017-11-29T00:00:00"/>
    <x v="35"/>
    <x v="49"/>
    <n v="4217"/>
    <n v="112"/>
    <n v="263"/>
    <x v="163"/>
  </r>
  <r>
    <d v="2017-11-30T00:00:00"/>
    <x v="48"/>
    <x v="38"/>
    <n v="4327"/>
    <n v="109"/>
    <n v="196"/>
    <x v="213"/>
  </r>
  <r>
    <d v="2017-12-01T00:00:00"/>
    <x v="62"/>
    <x v="27"/>
    <n v="2555"/>
    <n v="124"/>
    <n v="150"/>
    <x v="214"/>
  </r>
  <r>
    <d v="2017-12-02T00:00:00"/>
    <x v="27"/>
    <x v="50"/>
    <n v="5150"/>
    <n v="104"/>
    <n v="435"/>
    <x v="215"/>
  </r>
  <r>
    <d v="2017-12-03T00:00:00"/>
    <x v="42"/>
    <x v="36"/>
    <n v="5697"/>
    <n v="257"/>
    <n v="717"/>
    <x v="216"/>
  </r>
  <r>
    <d v="2017-12-04T00:00:00"/>
    <x v="41"/>
    <x v="35"/>
    <n v="3192"/>
    <n v="113"/>
    <n v="310"/>
    <x v="217"/>
  </r>
  <r>
    <d v="2017-12-06T00:00:00"/>
    <x v="27"/>
    <x v="46"/>
    <n v="2781"/>
    <n v="409"/>
    <n v="1436"/>
    <x v="218"/>
  </r>
  <r>
    <d v="2017-12-07T00:00:00"/>
    <x v="47"/>
    <x v="1"/>
    <n v="1093"/>
    <n v="110"/>
    <n v="400"/>
    <x v="219"/>
  </r>
  <r>
    <d v="2017-12-08T00:00:00"/>
    <x v="2"/>
    <x v="10"/>
    <n v="2291"/>
    <n v="132"/>
    <n v="163"/>
    <x v="128"/>
  </r>
  <r>
    <d v="2017-12-09T00:00:00"/>
    <x v="30"/>
    <x v="13"/>
    <n v="2962"/>
    <n v="170"/>
    <n v="273"/>
    <x v="220"/>
  </r>
  <r>
    <d v="2017-12-10T00:00:00"/>
    <x v="1"/>
    <x v="1"/>
    <n v="2939"/>
    <n v="110"/>
    <n v="279"/>
    <x v="1"/>
  </r>
  <r>
    <d v="2017-12-11T00:00:00"/>
    <x v="2"/>
    <x v="10"/>
    <n v="4981"/>
    <n v="138"/>
    <n v="455"/>
    <x v="128"/>
  </r>
  <r>
    <d v="2017-12-12T00:00:00"/>
    <x v="11"/>
    <x v="47"/>
    <n v="3436"/>
    <n v="114"/>
    <n v="370"/>
    <x v="129"/>
  </r>
  <r>
    <d v="2017-12-13T00:00:00"/>
    <x v="46"/>
    <x v="36"/>
    <n v="2342"/>
    <n v="141"/>
    <n v="319"/>
    <x v="91"/>
  </r>
  <r>
    <d v="2017-12-14T00:00:00"/>
    <x v="41"/>
    <x v="42"/>
    <n v="1981"/>
    <n v="126"/>
    <n v="396"/>
    <x v="74"/>
  </r>
  <r>
    <d v="2017-12-15T00:00:00"/>
    <x v="40"/>
    <x v="39"/>
    <n v="5238"/>
    <n v="131"/>
    <n v="158"/>
    <x v="221"/>
  </r>
  <r>
    <d v="2017-12-16T00:00:00"/>
    <x v="65"/>
    <x v="26"/>
    <n v="2823"/>
    <n v="156"/>
    <n v="280"/>
    <x v="201"/>
  </r>
  <r>
    <d v="2017-12-17T00:00:00"/>
    <x v="26"/>
    <x v="27"/>
    <n v="1173"/>
    <n v="139"/>
    <n v="475"/>
    <x v="42"/>
  </r>
  <r>
    <d v="2017-12-18T00:00:00"/>
    <x v="27"/>
    <x v="28"/>
    <n v="1465"/>
    <n v="121"/>
    <n v="193"/>
    <x v="43"/>
  </r>
  <r>
    <d v="2017-12-19T00:00:00"/>
    <x v="58"/>
    <x v="9"/>
    <n v="1572"/>
    <n v="159"/>
    <n v="476"/>
    <x v="222"/>
  </r>
  <r>
    <d v="2017-12-20T00:00:00"/>
    <x v="23"/>
    <x v="28"/>
    <n v="4084"/>
    <n v="160"/>
    <n v="338"/>
    <x v="118"/>
  </r>
  <r>
    <d v="2017-12-21T00:00:00"/>
    <x v="30"/>
    <x v="13"/>
    <n v="4635"/>
    <n v="163"/>
    <n v="359"/>
    <x v="220"/>
  </r>
  <r>
    <d v="2017-12-23T00:00:00"/>
    <x v="21"/>
    <x v="67"/>
    <n v="3705"/>
    <n v="182"/>
    <n v="760"/>
    <x v="223"/>
  </r>
  <r>
    <d v="2017-12-25T00:00:00"/>
    <x v="0"/>
    <x v="27"/>
    <n v="5624"/>
    <n v="541"/>
    <n v="1198"/>
    <x v="224"/>
  </r>
  <r>
    <d v="2017-12-26T00:00:00"/>
    <x v="27"/>
    <x v="26"/>
    <n v="4157"/>
    <n v="151"/>
    <n v="168"/>
    <x v="225"/>
  </r>
  <r>
    <d v="2017-12-27T00:00:00"/>
    <x v="26"/>
    <x v="33"/>
    <n v="3021"/>
    <n v="137"/>
    <n v="323"/>
    <x v="226"/>
  </r>
  <r>
    <d v="2017-12-28T00:00:00"/>
    <x v="43"/>
    <x v="58"/>
    <n v="3573"/>
    <n v="149"/>
    <n v="341"/>
    <x v="227"/>
  </r>
  <r>
    <d v="2017-12-29T00:00:00"/>
    <x v="39"/>
    <x v="7"/>
    <n v="4748"/>
    <n v="152"/>
    <n v="491"/>
    <x v="228"/>
  </r>
  <r>
    <d v="2017-12-31T00:00:00"/>
    <x v="5"/>
    <x v="11"/>
    <n v="2293"/>
    <n v="126"/>
    <n v="219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3527"/>
    <n v="167"/>
    <n v="206"/>
  </r>
  <r>
    <x v="1"/>
    <x v="1"/>
    <x v="1"/>
    <n v="3666"/>
    <n v="112"/>
    <n v="280"/>
  </r>
  <r>
    <x v="2"/>
    <x v="2"/>
    <x v="2"/>
    <n v="4888"/>
    <n v="167"/>
    <n v="624"/>
  </r>
  <r>
    <x v="3"/>
    <x v="3"/>
    <x v="3"/>
    <n v="1099"/>
    <n v="167"/>
    <n v="390"/>
  </r>
  <r>
    <x v="4"/>
    <x v="4"/>
    <x v="4"/>
    <n v="4881"/>
    <n v="118"/>
    <n v="219"/>
  </r>
  <r>
    <x v="5"/>
    <x v="5"/>
    <x v="5"/>
    <n v="5851"/>
    <n v="113"/>
    <n v="160"/>
  </r>
  <r>
    <x v="6"/>
    <x v="4"/>
    <x v="6"/>
    <n v="5963"/>
    <n v="141"/>
    <n v="168"/>
  </r>
  <r>
    <x v="7"/>
    <x v="6"/>
    <x v="2"/>
    <n v="1364"/>
    <n v="179"/>
    <n v="533"/>
  </r>
  <r>
    <x v="8"/>
    <x v="3"/>
    <x v="3"/>
    <n v="1245"/>
    <n v="166"/>
    <n v="209"/>
  </r>
  <r>
    <x v="9"/>
    <x v="7"/>
    <x v="7"/>
    <n v="3771"/>
    <n v="196"/>
    <n v="696"/>
  </r>
  <r>
    <x v="10"/>
    <x v="8"/>
    <x v="8"/>
    <n v="4522"/>
    <n v="300"/>
    <n v="1113"/>
  </r>
  <r>
    <x v="11"/>
    <x v="9"/>
    <x v="9"/>
    <n v="4588"/>
    <n v="148"/>
    <n v="494"/>
  </r>
  <r>
    <x v="12"/>
    <x v="10"/>
    <x v="10"/>
    <n v="1952"/>
    <n v="267"/>
    <n v="602"/>
  </r>
  <r>
    <x v="13"/>
    <x v="11"/>
    <x v="0"/>
    <n v="3318"/>
    <n v="110"/>
    <n v="422"/>
  </r>
  <r>
    <x v="14"/>
    <x v="6"/>
    <x v="2"/>
    <n v="3106"/>
    <n v="173"/>
    <n v="312"/>
  </r>
  <r>
    <x v="15"/>
    <x v="3"/>
    <x v="11"/>
    <n v="5593"/>
    <n v="127"/>
    <n v="421"/>
  </r>
  <r>
    <x v="16"/>
    <x v="0"/>
    <x v="4"/>
    <n v="5983"/>
    <n v="118"/>
    <n v="416"/>
  </r>
  <r>
    <x v="17"/>
    <x v="5"/>
    <x v="11"/>
    <n v="5496"/>
    <n v="115"/>
    <n v="291"/>
  </r>
  <r>
    <x v="18"/>
    <x v="0"/>
    <x v="5"/>
    <n v="4572"/>
    <n v="164"/>
    <n v="550"/>
  </r>
  <r>
    <x v="19"/>
    <x v="4"/>
    <x v="4"/>
    <n v="4529"/>
    <n v="121"/>
    <n v="373"/>
  </r>
  <r>
    <x v="20"/>
    <x v="5"/>
    <x v="11"/>
    <n v="4981"/>
    <n v="123"/>
    <n v="218"/>
  </r>
  <r>
    <x v="21"/>
    <x v="0"/>
    <x v="0"/>
    <n v="3808"/>
    <n v="163"/>
    <n v="655"/>
  </r>
  <r>
    <x v="22"/>
    <x v="1"/>
    <x v="12"/>
    <n v="1359"/>
    <n v="130"/>
    <n v="346"/>
  </r>
  <r>
    <x v="23"/>
    <x v="12"/>
    <x v="13"/>
    <n v="2320"/>
    <n v="24"/>
    <n v="68"/>
  </r>
  <r>
    <x v="24"/>
    <x v="13"/>
    <x v="14"/>
    <n v="2607"/>
    <n v="115"/>
    <n v="264"/>
  </r>
  <r>
    <x v="25"/>
    <x v="14"/>
    <x v="13"/>
    <n v="3657"/>
    <n v="100"/>
    <n v="424"/>
  </r>
  <r>
    <x v="26"/>
    <x v="13"/>
    <x v="15"/>
    <n v="5671"/>
    <n v="118"/>
    <n v="390"/>
  </r>
  <r>
    <x v="27"/>
    <x v="15"/>
    <x v="16"/>
    <n v="4871"/>
    <n v="126"/>
    <n v="185"/>
  </r>
  <r>
    <x v="28"/>
    <x v="12"/>
    <x v="17"/>
    <n v="1686"/>
    <n v="102"/>
    <n v="167"/>
  </r>
  <r>
    <x v="29"/>
    <x v="16"/>
    <x v="12"/>
    <n v="5628"/>
    <n v="123"/>
    <n v="450"/>
  </r>
  <r>
    <x v="30"/>
    <x v="17"/>
    <x v="18"/>
    <n v="3295"/>
    <n v="103"/>
    <n v="346"/>
  </r>
  <r>
    <x v="31"/>
    <x v="18"/>
    <x v="19"/>
    <n v="5291"/>
    <n v="273"/>
    <n v="520"/>
  </r>
  <r>
    <x v="32"/>
    <x v="19"/>
    <x v="20"/>
    <n v="5838"/>
    <n v="128"/>
    <n v="518"/>
  </r>
  <r>
    <x v="33"/>
    <x v="20"/>
    <x v="10"/>
    <n v="3319"/>
    <n v="154"/>
    <n v="314"/>
  </r>
  <r>
    <x v="34"/>
    <x v="21"/>
    <x v="0"/>
    <n v="2152"/>
    <n v="190"/>
    <n v="406"/>
  </r>
  <r>
    <x v="35"/>
    <x v="1"/>
    <x v="12"/>
    <n v="3810"/>
    <n v="135"/>
    <n v="221"/>
  </r>
  <r>
    <x v="36"/>
    <x v="17"/>
    <x v="21"/>
    <n v="5713"/>
    <n v="128"/>
    <n v="376"/>
  </r>
  <r>
    <x v="37"/>
    <x v="22"/>
    <x v="12"/>
    <n v="4163"/>
    <n v="128"/>
    <n v="257"/>
  </r>
  <r>
    <x v="38"/>
    <x v="17"/>
    <x v="22"/>
    <n v="3216"/>
    <n v="162"/>
    <n v="278"/>
  </r>
  <r>
    <x v="39"/>
    <x v="4"/>
    <x v="23"/>
    <n v="5060"/>
    <n v="550"/>
    <n v="1622"/>
  </r>
  <r>
    <x v="40"/>
    <x v="22"/>
    <x v="14"/>
    <n v="2446"/>
    <n v="161"/>
    <n v="379"/>
  </r>
  <r>
    <x v="41"/>
    <x v="14"/>
    <x v="13"/>
    <n v="3305"/>
    <n v="106"/>
    <n v="116"/>
  </r>
  <r>
    <x v="42"/>
    <x v="17"/>
    <x v="0"/>
    <n v="1743"/>
    <n v="145"/>
    <n v="376"/>
  </r>
  <r>
    <x v="43"/>
    <x v="9"/>
    <x v="24"/>
    <n v="4053"/>
    <n v="146"/>
    <n v="441"/>
  </r>
  <r>
    <x v="44"/>
    <x v="23"/>
    <x v="20"/>
    <n v="4905"/>
    <n v="157"/>
    <n v="392"/>
  </r>
  <r>
    <x v="45"/>
    <x v="2"/>
    <x v="0"/>
    <n v="1624"/>
    <n v="111"/>
    <n v="221"/>
  </r>
  <r>
    <x v="46"/>
    <x v="24"/>
    <x v="25"/>
    <n v="5326"/>
    <n v="171"/>
    <n v="263"/>
  </r>
  <r>
    <x v="47"/>
    <x v="25"/>
    <x v="4"/>
    <n v="4398"/>
    <n v="225"/>
    <n v="400"/>
  </r>
  <r>
    <x v="48"/>
    <x v="24"/>
    <x v="26"/>
    <n v="4494"/>
    <n v="143"/>
    <n v="252"/>
  </r>
  <r>
    <x v="49"/>
    <x v="26"/>
    <x v="27"/>
    <n v="2136"/>
    <n v="139"/>
    <n v="522"/>
  </r>
  <r>
    <x v="50"/>
    <x v="27"/>
    <x v="28"/>
    <n v="4481"/>
    <n v="121"/>
    <n v="446"/>
  </r>
  <r>
    <x v="51"/>
    <x v="20"/>
    <x v="18"/>
    <n v="1749"/>
    <n v="232"/>
    <n v="928"/>
  </r>
  <r>
    <x v="52"/>
    <x v="20"/>
    <x v="10"/>
    <n v="1203"/>
    <n v="146"/>
    <n v="330"/>
  </r>
  <r>
    <x v="53"/>
    <x v="11"/>
    <x v="29"/>
    <n v="4505"/>
    <n v="118"/>
    <n v="374"/>
  </r>
  <r>
    <x v="54"/>
    <x v="28"/>
    <x v="30"/>
    <n v="1454"/>
    <n v="95"/>
    <n v="197"/>
  </r>
  <r>
    <x v="55"/>
    <x v="29"/>
    <x v="31"/>
    <n v="2835"/>
    <n v="136"/>
    <n v="418"/>
  </r>
  <r>
    <x v="56"/>
    <x v="8"/>
    <x v="32"/>
    <n v="2338"/>
    <n v="123"/>
    <n v="215"/>
  </r>
  <r>
    <x v="57"/>
    <x v="16"/>
    <x v="33"/>
    <n v="4154"/>
    <n v="277"/>
    <n v="924"/>
  </r>
  <r>
    <x v="58"/>
    <x v="30"/>
    <x v="15"/>
    <n v="1767"/>
    <n v="91"/>
    <n v="247"/>
  </r>
  <r>
    <x v="59"/>
    <x v="31"/>
    <x v="34"/>
    <n v="2929"/>
    <n v="152"/>
    <n v="278"/>
  </r>
  <r>
    <x v="60"/>
    <x v="32"/>
    <x v="35"/>
    <n v="2151"/>
    <n v="177"/>
    <n v="365"/>
  </r>
  <r>
    <x v="61"/>
    <x v="33"/>
    <x v="36"/>
    <n v="2431"/>
    <n v="96"/>
    <n v="409"/>
  </r>
  <r>
    <x v="62"/>
    <x v="34"/>
    <x v="35"/>
    <n v="1168"/>
    <n v="143"/>
    <n v="501"/>
  </r>
  <r>
    <x v="63"/>
    <x v="33"/>
    <x v="37"/>
    <n v="4251"/>
    <n v="122"/>
    <n v="227"/>
  </r>
  <r>
    <x v="64"/>
    <x v="10"/>
    <x v="31"/>
    <n v="4347"/>
    <n v="117"/>
    <n v="158"/>
  </r>
  <r>
    <x v="65"/>
    <x v="8"/>
    <x v="30"/>
    <n v="5287"/>
    <n v="127"/>
    <n v="495"/>
  </r>
  <r>
    <x v="66"/>
    <x v="9"/>
    <x v="9"/>
    <n v="5177"/>
    <n v="147"/>
    <n v="443"/>
  </r>
  <r>
    <x v="67"/>
    <x v="30"/>
    <x v="17"/>
    <n v="3858"/>
    <n v="155"/>
    <n v="261"/>
  </r>
  <r>
    <x v="68"/>
    <x v="16"/>
    <x v="38"/>
    <n v="4637"/>
    <n v="116"/>
    <n v="242"/>
  </r>
  <r>
    <x v="69"/>
    <x v="35"/>
    <x v="18"/>
    <n v="5212"/>
    <n v="123"/>
    <n v="517"/>
  </r>
  <r>
    <x v="70"/>
    <x v="7"/>
    <x v="29"/>
    <n v="1099"/>
    <n v="128"/>
    <n v="205"/>
  </r>
  <r>
    <x v="71"/>
    <x v="28"/>
    <x v="30"/>
    <n v="4422"/>
    <n v="105"/>
    <n v="145"/>
  </r>
  <r>
    <x v="72"/>
    <x v="36"/>
    <x v="27"/>
    <n v="2742"/>
    <n v="109"/>
    <n v="117"/>
  </r>
  <r>
    <x v="73"/>
    <x v="27"/>
    <x v="23"/>
    <n v="2100"/>
    <n v="115"/>
    <n v="172"/>
  </r>
  <r>
    <x v="74"/>
    <x v="36"/>
    <x v="27"/>
    <n v="5626"/>
    <n v="123"/>
    <n v="377"/>
  </r>
  <r>
    <x v="75"/>
    <x v="27"/>
    <x v="23"/>
    <n v="1629"/>
    <n v="109"/>
    <n v="258"/>
  </r>
  <r>
    <x v="76"/>
    <x v="36"/>
    <x v="39"/>
    <n v="4787"/>
    <n v="155"/>
    <n v="354"/>
  </r>
  <r>
    <x v="77"/>
    <x v="37"/>
    <x v="34"/>
    <n v="4678"/>
    <n v="182"/>
    <n v="254"/>
  </r>
  <r>
    <x v="78"/>
    <x v="32"/>
    <x v="40"/>
    <n v="5869"/>
    <n v="152"/>
    <n v="599"/>
  </r>
  <r>
    <x v="79"/>
    <x v="38"/>
    <x v="40"/>
    <n v="2678"/>
    <n v="178"/>
    <n v="481"/>
  </r>
  <r>
    <x v="80"/>
    <x v="11"/>
    <x v="33"/>
    <n v="3193"/>
    <n v="241"/>
    <n v="507"/>
  </r>
  <r>
    <x v="81"/>
    <x v="18"/>
    <x v="15"/>
    <n v="1011"/>
    <n v="211"/>
    <n v="536"/>
  </r>
  <r>
    <x v="82"/>
    <x v="15"/>
    <x v="13"/>
    <n v="3398"/>
    <n v="122"/>
    <n v="163"/>
  </r>
  <r>
    <x v="83"/>
    <x v="39"/>
    <x v="41"/>
    <n v="5416"/>
    <n v="156"/>
    <n v="349"/>
  </r>
  <r>
    <x v="84"/>
    <x v="3"/>
    <x v="42"/>
    <n v="3914"/>
    <n v="417"/>
    <n v="888"/>
  </r>
  <r>
    <x v="85"/>
    <x v="40"/>
    <x v="36"/>
    <n v="5805"/>
    <n v="145"/>
    <n v="301"/>
  </r>
  <r>
    <x v="86"/>
    <x v="41"/>
    <x v="42"/>
    <n v="4033"/>
    <n v="136"/>
    <n v="297"/>
  </r>
  <r>
    <x v="87"/>
    <x v="31"/>
    <x v="43"/>
    <n v="1021"/>
    <n v="184"/>
    <n v="660"/>
  </r>
  <r>
    <x v="88"/>
    <x v="42"/>
    <x v="34"/>
    <n v="5162"/>
    <n v="17"/>
    <n v="28"/>
  </r>
  <r>
    <x v="89"/>
    <x v="32"/>
    <x v="40"/>
    <n v="2050"/>
    <n v="162"/>
    <n v="569"/>
  </r>
  <r>
    <x v="90"/>
    <x v="43"/>
    <x v="26"/>
    <n v="5312"/>
    <n v="153"/>
    <n v="356"/>
  </r>
  <r>
    <x v="91"/>
    <x v="13"/>
    <x v="32"/>
    <n v="2443"/>
    <n v="392"/>
    <n v="1392"/>
  </r>
  <r>
    <x v="92"/>
    <x v="42"/>
    <x v="44"/>
    <n v="1161"/>
    <n v="174"/>
    <n v="323"/>
  </r>
  <r>
    <x v="93"/>
    <x v="37"/>
    <x v="8"/>
    <n v="3435"/>
    <n v="146"/>
    <n v="530"/>
  </r>
  <r>
    <x v="94"/>
    <x v="44"/>
    <x v="22"/>
    <n v="3358"/>
    <n v="168"/>
    <n v="569"/>
  </r>
  <r>
    <x v="95"/>
    <x v="39"/>
    <x v="45"/>
    <n v="2719"/>
    <n v="152"/>
    <n v="240"/>
  </r>
  <r>
    <x v="96"/>
    <x v="45"/>
    <x v="13"/>
    <n v="1793"/>
    <n v="197"/>
    <n v="754"/>
  </r>
  <r>
    <x v="97"/>
    <x v="10"/>
    <x v="20"/>
    <n v="1858"/>
    <n v="104"/>
    <n v="171"/>
  </r>
  <r>
    <x v="98"/>
    <x v="20"/>
    <x v="37"/>
    <n v="4651"/>
    <n v="111"/>
    <n v="190"/>
  </r>
  <r>
    <x v="99"/>
    <x v="10"/>
    <x v="20"/>
    <n v="2929"/>
    <n v="111"/>
    <n v="395"/>
  </r>
  <r>
    <x v="100"/>
    <x v="20"/>
    <x v="19"/>
    <n v="2608"/>
    <n v="123"/>
    <n v="223"/>
  </r>
  <r>
    <x v="101"/>
    <x v="19"/>
    <x v="18"/>
    <n v="3094"/>
    <n v="107"/>
    <n v="143"/>
  </r>
  <r>
    <x v="102"/>
    <x v="10"/>
    <x v="46"/>
    <n v="5288"/>
    <n v="107"/>
    <n v="312"/>
  </r>
  <r>
    <x v="103"/>
    <x v="43"/>
    <x v="19"/>
    <n v="4888"/>
    <n v="182"/>
    <n v="248"/>
  </r>
  <r>
    <x v="104"/>
    <x v="19"/>
    <x v="47"/>
    <n v="5475"/>
    <n v="129"/>
    <n v="200"/>
  </r>
  <r>
    <x v="105"/>
    <x v="46"/>
    <x v="36"/>
    <n v="4863"/>
    <n v="141"/>
    <n v="444"/>
  </r>
  <r>
    <x v="106"/>
    <x v="20"/>
    <x v="48"/>
    <n v="5933"/>
    <n v="335"/>
    <n v="479"/>
  </r>
  <r>
    <x v="107"/>
    <x v="47"/>
    <x v="49"/>
    <n v="1730"/>
    <n v="410"/>
    <n v="1087"/>
  </r>
  <r>
    <x v="108"/>
    <x v="48"/>
    <x v="7"/>
    <n v="3178"/>
    <n v="171"/>
    <n v="646"/>
  </r>
  <r>
    <x v="109"/>
    <x v="20"/>
    <x v="30"/>
    <n v="3983"/>
    <n v="153"/>
    <n v="175"/>
  </r>
  <r>
    <x v="110"/>
    <x v="25"/>
    <x v="6"/>
    <n v="3007"/>
    <n v="391"/>
    <n v="1406"/>
  </r>
  <r>
    <x v="111"/>
    <x v="47"/>
    <x v="9"/>
    <n v="5832"/>
    <n v="300"/>
    <n v="453"/>
  </r>
  <r>
    <x v="112"/>
    <x v="24"/>
    <x v="26"/>
    <n v="3012"/>
    <n v="148"/>
    <n v="185"/>
  </r>
  <r>
    <x v="113"/>
    <x v="26"/>
    <x v="50"/>
    <n v="4508"/>
    <n v="104"/>
    <n v="399"/>
  </r>
  <r>
    <x v="114"/>
    <x v="3"/>
    <x v="45"/>
    <n v="1777"/>
    <n v="552"/>
    <n v="1964"/>
  </r>
  <r>
    <x v="115"/>
    <x v="45"/>
    <x v="49"/>
    <n v="4788"/>
    <n v="203"/>
    <n v="347"/>
  </r>
  <r>
    <x v="116"/>
    <x v="48"/>
    <x v="51"/>
    <n v="3035"/>
    <n v="103"/>
    <n v="376"/>
  </r>
  <r>
    <x v="117"/>
    <x v="49"/>
    <x v="52"/>
    <n v="3380"/>
    <n v="155"/>
    <n v="542"/>
  </r>
  <r>
    <x v="118"/>
    <x v="50"/>
    <x v="53"/>
    <n v="5014"/>
    <n v="154"/>
    <n v="577"/>
  </r>
  <r>
    <x v="119"/>
    <x v="51"/>
    <x v="45"/>
    <n v="1852"/>
    <n v="110"/>
    <n v="407"/>
  </r>
  <r>
    <x v="120"/>
    <x v="52"/>
    <x v="5"/>
    <n v="5493"/>
    <n v="145"/>
    <n v="168"/>
  </r>
  <r>
    <x v="121"/>
    <x v="38"/>
    <x v="40"/>
    <n v="5560"/>
    <n v="187"/>
    <n v="288"/>
  </r>
  <r>
    <x v="122"/>
    <x v="53"/>
    <x v="54"/>
    <n v="2571"/>
    <n v="145"/>
    <n v="567"/>
  </r>
  <r>
    <x v="123"/>
    <x v="54"/>
    <x v="37"/>
    <n v="3348"/>
    <n v="111"/>
    <n v="135"/>
  </r>
  <r>
    <x v="124"/>
    <x v="10"/>
    <x v="35"/>
    <n v="2906"/>
    <n v="119"/>
    <n v="398"/>
  </r>
  <r>
    <x v="125"/>
    <x v="33"/>
    <x v="42"/>
    <n v="5660"/>
    <n v="137"/>
    <n v="490"/>
  </r>
  <r>
    <x v="126"/>
    <x v="10"/>
    <x v="20"/>
    <n v="2575"/>
    <n v="113"/>
    <n v="277"/>
  </r>
  <r>
    <x v="127"/>
    <x v="55"/>
    <x v="35"/>
    <n v="1676"/>
    <n v="217"/>
    <n v="499"/>
  </r>
  <r>
    <x v="128"/>
    <x v="33"/>
    <x v="36"/>
    <n v="1536"/>
    <n v="96"/>
    <n v="154"/>
  </r>
  <r>
    <x v="129"/>
    <x v="41"/>
    <x v="32"/>
    <n v="1996"/>
    <n v="158"/>
    <n v="653"/>
  </r>
  <r>
    <x v="130"/>
    <x v="56"/>
    <x v="55"/>
    <n v="4769"/>
    <n v="160"/>
    <n v="522"/>
  </r>
  <r>
    <x v="131"/>
    <x v="57"/>
    <x v="46"/>
    <n v="4542"/>
    <n v="205"/>
    <n v="524"/>
  </r>
  <r>
    <x v="132"/>
    <x v="47"/>
    <x v="47"/>
    <n v="2286"/>
    <n v="140"/>
    <n v="136"/>
  </r>
  <r>
    <x v="133"/>
    <x v="46"/>
    <x v="30"/>
    <n v="1504"/>
    <n v="95"/>
    <n v="382"/>
  </r>
  <r>
    <x v="134"/>
    <x v="34"/>
    <x v="28"/>
    <n v="3990"/>
    <n v="195"/>
    <n v="468"/>
  </r>
  <r>
    <x v="135"/>
    <x v="41"/>
    <x v="8"/>
    <n v="4569"/>
    <n v="123"/>
    <n v="295"/>
  </r>
  <r>
    <x v="136"/>
    <x v="9"/>
    <x v="9"/>
    <n v="3469"/>
    <n v="151"/>
    <n v="558"/>
  </r>
  <r>
    <x v="137"/>
    <x v="23"/>
    <x v="28"/>
    <n v="2498"/>
    <n v="163"/>
    <n v="610"/>
  </r>
  <r>
    <x v="138"/>
    <x v="58"/>
    <x v="8"/>
    <n v="4118"/>
    <n v="144"/>
    <n v="256"/>
  </r>
  <r>
    <x v="139"/>
    <x v="21"/>
    <x v="56"/>
    <n v="5847"/>
    <n v="137"/>
    <n v="270"/>
  </r>
  <r>
    <x v="140"/>
    <x v="59"/>
    <x v="57"/>
    <n v="2032"/>
    <n v="129"/>
    <n v="245"/>
  </r>
  <r>
    <x v="141"/>
    <x v="21"/>
    <x v="21"/>
    <n v="2735"/>
    <n v="213"/>
    <n v="213"/>
  </r>
  <r>
    <x v="142"/>
    <x v="22"/>
    <x v="16"/>
    <n v="5467"/>
    <n v="168"/>
    <n v="336"/>
  </r>
  <r>
    <x v="143"/>
    <x v="12"/>
    <x v="12"/>
    <n v="3691"/>
    <n v="170"/>
    <n v="525"/>
  </r>
  <r>
    <x v="144"/>
    <x v="30"/>
    <x v="58"/>
    <n v="3681"/>
    <n v="145"/>
    <n v="546"/>
  </r>
  <r>
    <x v="145"/>
    <x v="49"/>
    <x v="10"/>
    <n v="2256"/>
    <n v="146"/>
    <n v="315"/>
  </r>
  <r>
    <x v="146"/>
    <x v="11"/>
    <x v="1"/>
    <n v="4602"/>
    <n v="120"/>
    <n v="288"/>
  </r>
  <r>
    <x v="147"/>
    <x v="2"/>
    <x v="10"/>
    <n v="4354"/>
    <n v="135"/>
    <n v="215"/>
  </r>
  <r>
    <x v="148"/>
    <x v="11"/>
    <x v="47"/>
    <n v="4260"/>
    <n v="118"/>
    <n v="222"/>
  </r>
  <r>
    <x v="149"/>
    <x v="28"/>
    <x v="30"/>
    <n v="2800"/>
    <n v="98"/>
    <n v="108"/>
  </r>
  <r>
    <x v="150"/>
    <x v="29"/>
    <x v="19"/>
    <n v="2637"/>
    <n v="138"/>
    <n v="179"/>
  </r>
  <r>
    <x v="151"/>
    <x v="19"/>
    <x v="18"/>
    <n v="5651"/>
    <n v="116"/>
    <n v="141"/>
  </r>
  <r>
    <x v="152"/>
    <x v="7"/>
    <x v="38"/>
    <n v="2511"/>
    <n v="120"/>
    <n v="438"/>
  </r>
  <r>
    <x v="153"/>
    <x v="42"/>
    <x v="57"/>
    <n v="2448"/>
    <n v="744"/>
    <n v="2887"/>
  </r>
  <r>
    <x v="154"/>
    <x v="60"/>
    <x v="59"/>
    <n v="3414"/>
    <n v="114"/>
    <n v="301"/>
  </r>
  <r>
    <x v="155"/>
    <x v="59"/>
    <x v="60"/>
    <n v="4039"/>
    <n v="204"/>
    <n v="614"/>
  </r>
  <r>
    <x v="156"/>
    <x v="25"/>
    <x v="56"/>
    <n v="5862"/>
    <n v="202"/>
    <n v="518"/>
  </r>
  <r>
    <x v="157"/>
    <x v="31"/>
    <x v="48"/>
    <n v="3077"/>
    <n v="148"/>
    <n v="454"/>
  </r>
  <r>
    <x v="158"/>
    <x v="55"/>
    <x v="17"/>
    <n v="5569"/>
    <n v="604"/>
    <n v="1446"/>
  </r>
  <r>
    <x v="159"/>
    <x v="16"/>
    <x v="38"/>
    <n v="4513"/>
    <n v="114"/>
    <n v="125"/>
  </r>
  <r>
    <x v="160"/>
    <x v="23"/>
    <x v="31"/>
    <n v="2771"/>
    <n v="239"/>
    <n v="396"/>
  </r>
  <r>
    <x v="161"/>
    <x v="37"/>
    <x v="32"/>
    <n v="1079"/>
    <n v="438"/>
    <n v="899"/>
  </r>
  <r>
    <x v="162"/>
    <x v="61"/>
    <x v="22"/>
    <n v="3126"/>
    <n v="124"/>
    <n v="317"/>
  </r>
  <r>
    <x v="163"/>
    <x v="62"/>
    <x v="47"/>
    <n v="3650"/>
    <n v="137"/>
    <n v="308"/>
  </r>
  <r>
    <x v="164"/>
    <x v="55"/>
    <x v="61"/>
    <n v="5721"/>
    <n v="122"/>
    <n v="280"/>
  </r>
  <r>
    <x v="165"/>
    <x v="56"/>
    <x v="37"/>
    <n v="5759"/>
    <n v="175"/>
    <n v="297"/>
  </r>
  <r>
    <x v="166"/>
    <x v="10"/>
    <x v="46"/>
    <n v="2871"/>
    <n v="113"/>
    <n v="110"/>
  </r>
  <r>
    <x v="167"/>
    <x v="2"/>
    <x v="2"/>
    <n v="3571"/>
    <n v="162"/>
    <n v="292"/>
  </r>
  <r>
    <x v="168"/>
    <x v="3"/>
    <x v="46"/>
    <n v="3061"/>
    <n v="107"/>
    <n v="258"/>
  </r>
  <r>
    <x v="169"/>
    <x v="47"/>
    <x v="62"/>
    <n v="5336"/>
    <n v="107"/>
    <n v="171"/>
  </r>
  <r>
    <x v="170"/>
    <x v="20"/>
    <x v="25"/>
    <n v="5658"/>
    <n v="249"/>
    <n v="967"/>
  </r>
  <r>
    <x v="171"/>
    <x v="18"/>
    <x v="15"/>
    <n v="2697"/>
    <n v="209"/>
    <n v="699"/>
  </r>
  <r>
    <x v="172"/>
    <x v="15"/>
    <x v="38"/>
    <n v="5368"/>
    <n v="122"/>
    <n v="491"/>
  </r>
  <r>
    <x v="173"/>
    <x v="35"/>
    <x v="18"/>
    <n v="2706"/>
    <n v="137"/>
    <n v="292"/>
  </r>
  <r>
    <x v="174"/>
    <x v="54"/>
    <x v="38"/>
    <n v="3456"/>
    <n v="542"/>
    <n v="1891"/>
  </r>
  <r>
    <x v="175"/>
    <x v="35"/>
    <x v="18"/>
    <n v="1914"/>
    <n v="138"/>
    <n v="405"/>
  </r>
  <r>
    <x v="176"/>
    <x v="7"/>
    <x v="12"/>
    <n v="1134"/>
    <n v="95"/>
    <n v="115"/>
  </r>
  <r>
    <x v="177"/>
    <x v="17"/>
    <x v="15"/>
    <n v="2935"/>
    <n v="160"/>
    <n v="275"/>
  </r>
  <r>
    <x v="178"/>
    <x v="15"/>
    <x v="7"/>
    <n v="4379"/>
    <n v="93"/>
    <n v="147"/>
  </r>
  <r>
    <x v="179"/>
    <x v="26"/>
    <x v="63"/>
    <n v="1328"/>
    <n v="148"/>
    <n v="516"/>
  </r>
  <r>
    <x v="180"/>
    <x v="59"/>
    <x v="57"/>
    <n v="4133"/>
    <n v="130"/>
    <n v="398"/>
  </r>
  <r>
    <x v="181"/>
    <x v="41"/>
    <x v="10"/>
    <n v="5370"/>
    <n v="266"/>
    <n v="699"/>
  </r>
  <r>
    <x v="182"/>
    <x v="11"/>
    <x v="1"/>
    <n v="4663"/>
    <n v="122"/>
    <n v="256"/>
  </r>
  <r>
    <x v="183"/>
    <x v="2"/>
    <x v="29"/>
    <n v="5151"/>
    <n v="151"/>
    <n v="195"/>
  </r>
  <r>
    <x v="184"/>
    <x v="28"/>
    <x v="10"/>
    <n v="3035"/>
    <n v="118"/>
    <n v="207"/>
  </r>
  <r>
    <x v="185"/>
    <x v="63"/>
    <x v="5"/>
    <n v="1090"/>
    <n v="200"/>
    <n v="585"/>
  </r>
  <r>
    <x v="186"/>
    <x v="4"/>
    <x v="6"/>
    <n v="5746"/>
    <n v="145"/>
    <n v="214"/>
  </r>
  <r>
    <x v="187"/>
    <x v="33"/>
    <x v="48"/>
    <n v="3200"/>
    <n v="138"/>
    <n v="417"/>
  </r>
  <r>
    <x v="188"/>
    <x v="42"/>
    <x v="44"/>
    <n v="3586"/>
    <n v="155"/>
    <n v="290"/>
  </r>
  <r>
    <x v="189"/>
    <x v="37"/>
    <x v="8"/>
    <n v="3460"/>
    <n v="145"/>
    <n v="162"/>
  </r>
  <r>
    <x v="190"/>
    <x v="56"/>
    <x v="37"/>
    <n v="1347"/>
    <n v="173"/>
    <n v="576"/>
  </r>
  <r>
    <x v="191"/>
    <x v="10"/>
    <x v="47"/>
    <n v="2421"/>
    <n v="148"/>
    <n v="552"/>
  </r>
  <r>
    <x v="192"/>
    <x v="46"/>
    <x v="36"/>
    <n v="2939"/>
    <n v="125"/>
    <n v="307"/>
  </r>
  <r>
    <x v="193"/>
    <x v="41"/>
    <x v="8"/>
    <n v="4921"/>
    <n v="124"/>
    <n v="472"/>
  </r>
  <r>
    <x v="194"/>
    <x v="9"/>
    <x v="27"/>
    <n v="3580"/>
    <n v="173"/>
    <n v="382"/>
  </r>
  <r>
    <x v="195"/>
    <x v="27"/>
    <x v="64"/>
    <n v="5215"/>
    <n v="158"/>
    <n v="375"/>
  </r>
  <r>
    <x v="196"/>
    <x v="64"/>
    <x v="65"/>
    <n v="1369"/>
    <n v="170"/>
    <n v="276"/>
  </r>
  <r>
    <x v="197"/>
    <x v="38"/>
    <x v="54"/>
    <n v="1655"/>
    <n v="180"/>
    <n v="332"/>
  </r>
  <r>
    <x v="198"/>
    <x v="35"/>
    <x v="49"/>
    <n v="2192"/>
    <n v="114"/>
    <n v="137"/>
  </r>
  <r>
    <x v="199"/>
    <x v="5"/>
    <x v="46"/>
    <n v="5919"/>
    <n v="103"/>
    <n v="279"/>
  </r>
  <r>
    <x v="200"/>
    <x v="54"/>
    <x v="8"/>
    <n v="5986"/>
    <n v="222"/>
    <n v="501"/>
  </r>
  <r>
    <x v="201"/>
    <x v="9"/>
    <x v="28"/>
    <n v="2750"/>
    <n v="144"/>
    <n v="422"/>
  </r>
  <r>
    <x v="202"/>
    <x v="58"/>
    <x v="44"/>
    <n v="1381"/>
    <n v="192"/>
    <n v="556"/>
  </r>
  <r>
    <x v="203"/>
    <x v="46"/>
    <x v="46"/>
    <n v="2219"/>
    <n v="136"/>
    <n v="162"/>
  </r>
  <r>
    <x v="204"/>
    <x v="47"/>
    <x v="62"/>
    <n v="5041"/>
    <n v="101"/>
    <n v="319"/>
  </r>
  <r>
    <x v="205"/>
    <x v="22"/>
    <x v="13"/>
    <n v="4432"/>
    <n v="159"/>
    <n v="585"/>
  </r>
  <r>
    <x v="206"/>
    <x v="0"/>
    <x v="4"/>
    <n v="2761"/>
    <n v="129"/>
    <n v="288"/>
  </r>
  <r>
    <x v="207"/>
    <x v="5"/>
    <x v="0"/>
    <n v="2935"/>
    <n v="162"/>
    <n v="572"/>
  </r>
  <r>
    <x v="208"/>
    <x v="25"/>
    <x v="29"/>
    <n v="3565"/>
    <n v="176"/>
    <n v="224"/>
  </r>
  <r>
    <x v="209"/>
    <x v="2"/>
    <x v="27"/>
    <n v="3096"/>
    <n v="353"/>
    <n v="993"/>
  </r>
  <r>
    <x v="210"/>
    <x v="37"/>
    <x v="5"/>
    <n v="3325"/>
    <n v="517"/>
    <n v="1107"/>
  </r>
  <r>
    <x v="211"/>
    <x v="30"/>
    <x v="46"/>
    <n v="2563"/>
    <n v="480"/>
    <n v="1849"/>
  </r>
  <r>
    <x v="212"/>
    <x v="47"/>
    <x v="37"/>
    <n v="2914"/>
    <n v="104"/>
    <n v="275"/>
  </r>
  <r>
    <x v="213"/>
    <x v="10"/>
    <x v="20"/>
    <n v="2832"/>
    <n v="106"/>
    <n v="396"/>
  </r>
  <r>
    <x v="214"/>
    <x v="47"/>
    <x v="33"/>
    <n v="5257"/>
    <n v="407"/>
    <n v="551"/>
  </r>
  <r>
    <x v="215"/>
    <x v="44"/>
    <x v="33"/>
    <n v="5983"/>
    <n v="227"/>
    <n v="832"/>
  </r>
  <r>
    <x v="216"/>
    <x v="43"/>
    <x v="53"/>
    <n v="4378"/>
    <n v="187"/>
    <n v="653"/>
  </r>
  <r>
    <x v="217"/>
    <x v="51"/>
    <x v="15"/>
    <n v="3108"/>
    <n v="114"/>
    <n v="174"/>
  </r>
  <r>
    <x v="218"/>
    <x v="15"/>
    <x v="58"/>
    <n v="2133"/>
    <n v="166"/>
    <n v="513"/>
  </r>
  <r>
    <x v="219"/>
    <x v="39"/>
    <x v="38"/>
    <n v="1125"/>
    <n v="98"/>
    <n v="194"/>
  </r>
  <r>
    <x v="220"/>
    <x v="35"/>
    <x v="15"/>
    <n v="4375"/>
    <n v="140"/>
    <n v="134"/>
  </r>
  <r>
    <x v="221"/>
    <x v="29"/>
    <x v="4"/>
    <n v="5455"/>
    <n v="124"/>
    <n v="231"/>
  </r>
  <r>
    <x v="222"/>
    <x v="20"/>
    <x v="19"/>
    <n v="4649"/>
    <n v="125"/>
    <n v="356"/>
  </r>
  <r>
    <x v="223"/>
    <x v="19"/>
    <x v="47"/>
    <n v="4016"/>
    <n v="115"/>
    <n v="145"/>
  </r>
  <r>
    <x v="224"/>
    <x v="46"/>
    <x v="22"/>
    <n v="1211"/>
    <n v="139"/>
    <n v="218"/>
  </r>
  <r>
    <x v="225"/>
    <x v="62"/>
    <x v="32"/>
    <n v="4633"/>
    <n v="120"/>
    <n v="280"/>
  </r>
  <r>
    <x v="226"/>
    <x v="61"/>
    <x v="26"/>
    <n v="2488"/>
    <n v="144"/>
    <n v="252"/>
  </r>
  <r>
    <x v="227"/>
    <x v="26"/>
    <x v="63"/>
    <n v="5798"/>
    <n v="142"/>
    <n v="501"/>
  </r>
  <r>
    <x v="228"/>
    <x v="61"/>
    <x v="51"/>
    <n v="2918"/>
    <n v="181"/>
    <n v="289"/>
  </r>
  <r>
    <x v="229"/>
    <x v="49"/>
    <x v="49"/>
    <n v="1886"/>
    <n v="110"/>
    <n v="254"/>
  </r>
  <r>
    <x v="230"/>
    <x v="59"/>
    <x v="57"/>
    <n v="4431"/>
    <n v="128"/>
    <n v="213"/>
  </r>
  <r>
    <x v="231"/>
    <x v="21"/>
    <x v="29"/>
    <n v="1956"/>
    <n v="176"/>
    <n v="248"/>
  </r>
  <r>
    <x v="232"/>
    <x v="30"/>
    <x v="17"/>
    <n v="4059"/>
    <n v="162"/>
    <n v="550"/>
  </r>
  <r>
    <x v="233"/>
    <x v="16"/>
    <x v="13"/>
    <n v="2157"/>
    <n v="115"/>
    <n v="182"/>
  </r>
  <r>
    <x v="234"/>
    <x v="13"/>
    <x v="14"/>
    <n v="3353"/>
    <n v="117"/>
    <n v="312"/>
  </r>
  <r>
    <x v="235"/>
    <x v="14"/>
    <x v="12"/>
    <n v="4677"/>
    <n v="219"/>
    <n v="255"/>
  </r>
  <r>
    <x v="236"/>
    <x v="17"/>
    <x v="15"/>
    <n v="2059"/>
    <n v="164"/>
    <n v="630"/>
  </r>
  <r>
    <x v="237"/>
    <x v="2"/>
    <x v="20"/>
    <n v="5537"/>
    <n v="141"/>
    <n v="240"/>
  </r>
  <r>
    <x v="238"/>
    <x v="20"/>
    <x v="46"/>
    <n v="2987"/>
    <n v="149"/>
    <n v="464"/>
  </r>
  <r>
    <x v="239"/>
    <x v="57"/>
    <x v="54"/>
    <n v="5570"/>
    <n v="166"/>
    <n v="577"/>
  </r>
  <r>
    <x v="240"/>
    <x v="54"/>
    <x v="66"/>
    <n v="3948"/>
    <n v="137"/>
    <n v="469"/>
  </r>
  <r>
    <x v="241"/>
    <x v="42"/>
    <x v="46"/>
    <n v="4201"/>
    <n v="380"/>
    <n v="528"/>
  </r>
  <r>
    <x v="242"/>
    <x v="47"/>
    <x v="4"/>
    <n v="3592"/>
    <n v="109"/>
    <n v="134"/>
  </r>
  <r>
    <x v="243"/>
    <x v="5"/>
    <x v="30"/>
    <n v="4543"/>
    <n v="135"/>
    <n v="345"/>
  </r>
  <r>
    <x v="244"/>
    <x v="5"/>
    <x v="2"/>
    <n v="1813"/>
    <n v="86"/>
    <n v="163"/>
  </r>
  <r>
    <x v="245"/>
    <x v="27"/>
    <x v="39"/>
    <n v="4567"/>
    <n v="31"/>
    <n v="54"/>
  </r>
  <r>
    <x v="246"/>
    <x v="65"/>
    <x v="26"/>
    <n v="1830"/>
    <n v="152"/>
    <n v="301"/>
  </r>
  <r>
    <x v="247"/>
    <x v="26"/>
    <x v="50"/>
    <n v="3678"/>
    <n v="104"/>
    <n v="275"/>
  </r>
  <r>
    <x v="248"/>
    <x v="9"/>
    <x v="27"/>
    <n v="1782"/>
    <n v="171"/>
    <n v="193"/>
  </r>
  <r>
    <x v="249"/>
    <x v="5"/>
    <x v="11"/>
    <n v="2966"/>
    <n v="125"/>
    <n v="170"/>
  </r>
  <r>
    <x v="250"/>
    <x v="62"/>
    <x v="36"/>
    <n v="4746"/>
    <n v="131"/>
    <n v="245"/>
  </r>
  <r>
    <x v="251"/>
    <x v="26"/>
    <x v="9"/>
    <n v="3161"/>
    <n v="101"/>
    <n v="115"/>
  </r>
  <r>
    <x v="252"/>
    <x v="46"/>
    <x v="59"/>
    <n v="3600"/>
    <n v="211"/>
    <n v="670"/>
  </r>
  <r>
    <x v="253"/>
    <x v="66"/>
    <x v="3"/>
    <n v="4093"/>
    <n v="119"/>
    <n v="254"/>
  </r>
  <r>
    <x v="254"/>
    <x v="60"/>
    <x v="2"/>
    <n v="1981"/>
    <n v="159"/>
    <n v="192"/>
  </r>
  <r>
    <x v="255"/>
    <x v="3"/>
    <x v="11"/>
    <n v="3154"/>
    <n v="127"/>
    <n v="390"/>
  </r>
  <r>
    <x v="256"/>
    <x v="2"/>
    <x v="54"/>
    <n v="4876"/>
    <n v="280"/>
    <n v="688"/>
  </r>
  <r>
    <x v="257"/>
    <x v="54"/>
    <x v="66"/>
    <n v="5153"/>
    <n v="141"/>
    <n v="547"/>
  </r>
  <r>
    <x v="258"/>
    <x v="53"/>
    <x v="34"/>
    <n v="1720"/>
    <n v="122"/>
    <n v="363"/>
  </r>
  <r>
    <x v="259"/>
    <x v="32"/>
    <x v="40"/>
    <n v="5392"/>
    <n v="161"/>
    <n v="240"/>
  </r>
  <r>
    <x v="260"/>
    <x v="59"/>
    <x v="13"/>
    <n v="1698"/>
    <n v="224"/>
    <n v="579"/>
  </r>
  <r>
    <x v="261"/>
    <x v="13"/>
    <x v="12"/>
    <n v="3411"/>
    <n v="166"/>
    <n v="574"/>
  </r>
  <r>
    <x v="262"/>
    <x v="17"/>
    <x v="18"/>
    <n v="5558"/>
    <n v="107"/>
    <n v="202"/>
  </r>
  <r>
    <x v="263"/>
    <x v="7"/>
    <x v="29"/>
    <n v="2592"/>
    <n v="136"/>
    <n v="325"/>
  </r>
  <r>
    <x v="264"/>
    <x v="28"/>
    <x v="57"/>
    <n v="5214"/>
    <n v="178"/>
    <n v="634"/>
  </r>
  <r>
    <x v="265"/>
    <x v="21"/>
    <x v="29"/>
    <n v="5491"/>
    <n v="162"/>
    <n v="408"/>
  </r>
  <r>
    <x v="266"/>
    <x v="8"/>
    <x v="63"/>
    <n v="4594"/>
    <n v="443"/>
    <n v="1098"/>
  </r>
  <r>
    <x v="267"/>
    <x v="24"/>
    <x v="26"/>
    <n v="1047"/>
    <n v="147"/>
    <n v="432"/>
  </r>
  <r>
    <x v="268"/>
    <x v="30"/>
    <x v="46"/>
    <n v="5517"/>
    <n v="494"/>
    <n v="1185"/>
  </r>
  <r>
    <x v="269"/>
    <x v="47"/>
    <x v="4"/>
    <n v="4155"/>
    <n v="93"/>
    <n v="181"/>
  </r>
  <r>
    <x v="270"/>
    <x v="48"/>
    <x v="38"/>
    <n v="2798"/>
    <n v="109"/>
    <n v="366"/>
  </r>
  <r>
    <x v="271"/>
    <x v="35"/>
    <x v="49"/>
    <n v="4217"/>
    <n v="112"/>
    <n v="263"/>
  </r>
  <r>
    <x v="272"/>
    <x v="48"/>
    <x v="38"/>
    <n v="4327"/>
    <n v="109"/>
    <n v="196"/>
  </r>
  <r>
    <x v="273"/>
    <x v="62"/>
    <x v="27"/>
    <n v="2555"/>
    <n v="124"/>
    <n v="150"/>
  </r>
  <r>
    <x v="274"/>
    <x v="27"/>
    <x v="50"/>
    <n v="5150"/>
    <n v="104"/>
    <n v="435"/>
  </r>
  <r>
    <x v="275"/>
    <x v="42"/>
    <x v="36"/>
    <n v="5697"/>
    <n v="257"/>
    <n v="717"/>
  </r>
  <r>
    <x v="276"/>
    <x v="41"/>
    <x v="35"/>
    <n v="3192"/>
    <n v="113"/>
    <n v="310"/>
  </r>
  <r>
    <x v="277"/>
    <x v="27"/>
    <x v="46"/>
    <n v="2781"/>
    <n v="409"/>
    <n v="1436"/>
  </r>
  <r>
    <x v="278"/>
    <x v="47"/>
    <x v="1"/>
    <n v="1093"/>
    <n v="110"/>
    <n v="400"/>
  </r>
  <r>
    <x v="279"/>
    <x v="2"/>
    <x v="10"/>
    <n v="2291"/>
    <n v="132"/>
    <n v="163"/>
  </r>
  <r>
    <x v="280"/>
    <x v="30"/>
    <x v="13"/>
    <n v="2962"/>
    <n v="170"/>
    <n v="273"/>
  </r>
  <r>
    <x v="281"/>
    <x v="1"/>
    <x v="1"/>
    <n v="2939"/>
    <n v="110"/>
    <n v="279"/>
  </r>
  <r>
    <x v="282"/>
    <x v="2"/>
    <x v="10"/>
    <n v="4981"/>
    <n v="138"/>
    <n v="455"/>
  </r>
  <r>
    <x v="283"/>
    <x v="11"/>
    <x v="47"/>
    <n v="3436"/>
    <n v="114"/>
    <n v="370"/>
  </r>
  <r>
    <x v="284"/>
    <x v="46"/>
    <x v="36"/>
    <n v="2342"/>
    <n v="141"/>
    <n v="319"/>
  </r>
  <r>
    <x v="285"/>
    <x v="41"/>
    <x v="42"/>
    <n v="1981"/>
    <n v="126"/>
    <n v="396"/>
  </r>
  <r>
    <x v="286"/>
    <x v="40"/>
    <x v="39"/>
    <n v="5238"/>
    <n v="131"/>
    <n v="158"/>
  </r>
  <r>
    <x v="287"/>
    <x v="65"/>
    <x v="26"/>
    <n v="2823"/>
    <n v="156"/>
    <n v="280"/>
  </r>
  <r>
    <x v="288"/>
    <x v="26"/>
    <x v="27"/>
    <n v="1173"/>
    <n v="139"/>
    <n v="475"/>
  </r>
  <r>
    <x v="289"/>
    <x v="27"/>
    <x v="28"/>
    <n v="1465"/>
    <n v="121"/>
    <n v="193"/>
  </r>
  <r>
    <x v="290"/>
    <x v="58"/>
    <x v="9"/>
    <n v="1572"/>
    <n v="159"/>
    <n v="476"/>
  </r>
  <r>
    <x v="291"/>
    <x v="23"/>
    <x v="28"/>
    <n v="4084"/>
    <n v="160"/>
    <n v="338"/>
  </r>
  <r>
    <x v="292"/>
    <x v="30"/>
    <x v="13"/>
    <n v="4635"/>
    <n v="163"/>
    <n v="359"/>
  </r>
  <r>
    <x v="293"/>
    <x v="21"/>
    <x v="67"/>
    <n v="3705"/>
    <n v="182"/>
    <n v="760"/>
  </r>
  <r>
    <x v="294"/>
    <x v="0"/>
    <x v="27"/>
    <n v="5624"/>
    <n v="541"/>
    <n v="1198"/>
  </r>
  <r>
    <x v="295"/>
    <x v="27"/>
    <x v="26"/>
    <n v="4157"/>
    <n v="151"/>
    <n v="168"/>
  </r>
  <r>
    <x v="296"/>
    <x v="26"/>
    <x v="33"/>
    <n v="3021"/>
    <n v="137"/>
    <n v="323"/>
  </r>
  <r>
    <x v="297"/>
    <x v="43"/>
    <x v="58"/>
    <n v="3573"/>
    <n v="149"/>
    <n v="341"/>
  </r>
  <r>
    <x v="298"/>
    <x v="39"/>
    <x v="7"/>
    <n v="4748"/>
    <n v="152"/>
    <n v="491"/>
  </r>
  <r>
    <x v="299"/>
    <x v="5"/>
    <x v="11"/>
    <n v="2293"/>
    <n v="126"/>
    <n v="2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0255A-4FF5-4B7C-84DC-8F327225B38F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trasy">
  <location ref="I1:J3" firstHeaderRow="1" firstDataRow="1" firstDataCol="1"/>
  <pivotFields count="7">
    <pivotField numFmtId="14" showAll="0"/>
    <pivotField showAll="0">
      <items count="68">
        <item x="37"/>
        <item x="63"/>
        <item x="55"/>
        <item x="66"/>
        <item x="27"/>
        <item x="28"/>
        <item x="44"/>
        <item x="56"/>
        <item x="36"/>
        <item x="5"/>
        <item x="65"/>
        <item x="62"/>
        <item x="25"/>
        <item x="21"/>
        <item x="16"/>
        <item x="30"/>
        <item x="53"/>
        <item x="18"/>
        <item x="50"/>
        <item x="19"/>
        <item x="23"/>
        <item x="41"/>
        <item x="12"/>
        <item x="11"/>
        <item x="15"/>
        <item x="22"/>
        <item x="40"/>
        <item x="34"/>
        <item x="24"/>
        <item x="6"/>
        <item x="48"/>
        <item x="49"/>
        <item x="46"/>
        <item x="4"/>
        <item x="54"/>
        <item x="32"/>
        <item x="64"/>
        <item x="0"/>
        <item x="51"/>
        <item x="26"/>
        <item x="3"/>
        <item x="17"/>
        <item x="20"/>
        <item x="2"/>
        <item x="7"/>
        <item x="42"/>
        <item x="10"/>
        <item x="38"/>
        <item x="52"/>
        <item x="61"/>
        <item x="8"/>
        <item x="59"/>
        <item x="60"/>
        <item x="45"/>
        <item x="14"/>
        <item x="13"/>
        <item x="33"/>
        <item x="9"/>
        <item x="57"/>
        <item x="1"/>
        <item x="43"/>
        <item x="47"/>
        <item x="29"/>
        <item x="58"/>
        <item x="31"/>
        <item x="39"/>
        <item x="35"/>
        <item t="default"/>
      </items>
    </pivotField>
    <pivotField showAll="0">
      <items count="69">
        <item x="44"/>
        <item x="67"/>
        <item x="43"/>
        <item x="59"/>
        <item x="27"/>
        <item x="29"/>
        <item x="50"/>
        <item x="61"/>
        <item x="23"/>
        <item x="4"/>
        <item x="39"/>
        <item x="22"/>
        <item x="60"/>
        <item x="57"/>
        <item x="17"/>
        <item x="7"/>
        <item x="66"/>
        <item x="25"/>
        <item x="52"/>
        <item x="19"/>
        <item x="9"/>
        <item x="36"/>
        <item x="16"/>
        <item x="10"/>
        <item x="15"/>
        <item x="21"/>
        <item x="42"/>
        <item x="24"/>
        <item x="63"/>
        <item x="6"/>
        <item x="49"/>
        <item x="51"/>
        <item x="47"/>
        <item x="5"/>
        <item x="54"/>
        <item x="34"/>
        <item x="64"/>
        <item x="11"/>
        <item x="53"/>
        <item x="26"/>
        <item x="2"/>
        <item x="12"/>
        <item x="20"/>
        <item x="1"/>
        <item x="18"/>
        <item x="48"/>
        <item x="37"/>
        <item x="65"/>
        <item x="62"/>
        <item x="32"/>
        <item x="31"/>
        <item x="56"/>
        <item x="3"/>
        <item x="45"/>
        <item x="14"/>
        <item x="13"/>
        <item x="35"/>
        <item x="8"/>
        <item x="55"/>
        <item x="0"/>
        <item x="33"/>
        <item x="46"/>
        <item x="30"/>
        <item x="41"/>
        <item x="28"/>
        <item x="40"/>
        <item x="58"/>
        <item x="38"/>
        <item t="default"/>
      </items>
    </pivotField>
    <pivotField dataField="1" showAll="0"/>
    <pivotField showAll="0"/>
    <pivotField showAll="0"/>
    <pivotField axis="axisRow" showAll="0" measureFilter="1">
      <items count="230">
        <item x="173"/>
        <item x="65"/>
        <item x="139"/>
        <item x="80"/>
        <item x="156"/>
        <item x="142"/>
        <item x="137"/>
        <item x="110"/>
        <item x="205"/>
        <item x="215"/>
        <item x="63"/>
        <item x="200"/>
        <item x="160"/>
        <item x="225"/>
        <item x="218"/>
        <item x="43"/>
        <item x="211"/>
        <item x="155"/>
        <item x="46"/>
        <item x="81"/>
        <item x="177"/>
        <item x="143"/>
        <item x="112"/>
        <item x="62"/>
        <item x="64"/>
        <item x="5"/>
        <item x="15"/>
        <item x="199"/>
        <item x="170"/>
        <item x="164"/>
        <item x="198"/>
        <item x="201"/>
        <item x="214"/>
        <item x="202"/>
        <item x="141"/>
        <item x="185"/>
        <item x="171"/>
        <item x="40"/>
        <item x="96"/>
        <item x="135"/>
        <item x="223"/>
        <item x="189"/>
        <item x="122"/>
        <item x="120"/>
        <item x="29"/>
        <item x="24"/>
        <item x="190"/>
        <item x="49"/>
        <item x="59"/>
        <item x="58"/>
        <item x="50"/>
        <item x="220"/>
        <item x="174"/>
        <item x="125"/>
        <item x="106"/>
        <item x="208"/>
        <item x="26"/>
        <item x="69"/>
        <item x="103"/>
        <item x="90"/>
        <item x="27"/>
        <item x="87"/>
        <item x="37"/>
        <item x="138"/>
        <item x="118"/>
        <item x="153"/>
        <item x="74"/>
        <item x="111"/>
        <item x="217"/>
        <item x="117"/>
        <item x="23"/>
        <item x="124"/>
        <item x="18"/>
        <item x="45"/>
        <item x="129"/>
        <item x="127"/>
        <item x="12"/>
        <item x="68"/>
        <item x="151"/>
        <item x="22"/>
        <item x="70"/>
        <item x="180"/>
        <item x="147"/>
        <item x="123"/>
        <item x="31"/>
        <item x="34"/>
        <item x="169"/>
        <item x="221"/>
        <item x="73"/>
        <item x="54"/>
        <item x="116"/>
        <item x="39"/>
        <item x="41"/>
        <item x="7"/>
        <item x="94"/>
        <item x="101"/>
        <item x="213"/>
        <item x="102"/>
        <item x="126"/>
        <item x="188"/>
        <item x="204"/>
        <item x="184"/>
        <item x="91"/>
        <item x="168"/>
        <item x="115"/>
        <item x="33"/>
        <item x="4"/>
        <item x="6"/>
        <item x="195"/>
        <item x="107"/>
        <item x="165"/>
        <item x="148"/>
        <item x="52"/>
        <item x="66"/>
        <item x="161"/>
        <item x="224"/>
        <item x="14"/>
        <item x="16"/>
        <item x="0"/>
        <item x="179"/>
        <item x="104"/>
        <item x="42"/>
        <item x="98"/>
        <item x="203"/>
        <item x="152"/>
        <item x="226"/>
        <item x="72"/>
        <item x="13"/>
        <item x="3"/>
        <item x="99"/>
        <item x="144"/>
        <item x="32"/>
        <item x="150"/>
        <item x="30"/>
        <item x="25"/>
        <item x="35"/>
        <item x="146"/>
        <item x="86"/>
        <item x="28"/>
        <item x="44"/>
        <item x="92"/>
        <item x="85"/>
        <item x="193"/>
        <item x="95"/>
        <item x="172"/>
        <item x="154"/>
        <item x="128"/>
        <item x="207"/>
        <item x="2"/>
        <item x="192"/>
        <item x="38"/>
        <item x="61"/>
        <item x="8"/>
        <item x="149"/>
        <item x="131"/>
        <item x="79"/>
        <item x="132"/>
        <item x="216"/>
        <item x="76"/>
        <item x="196"/>
        <item x="11"/>
        <item x="158"/>
        <item x="84"/>
        <item x="56"/>
        <item x="108"/>
        <item x="88"/>
        <item x="162"/>
        <item x="67"/>
        <item x="105"/>
        <item x="140"/>
        <item x="187"/>
        <item x="186"/>
        <item x="212"/>
        <item x="48"/>
        <item x="9"/>
        <item x="57"/>
        <item x="134"/>
        <item x="121"/>
        <item x="209"/>
        <item x="133"/>
        <item x="206"/>
        <item x="100"/>
        <item x="83"/>
        <item x="191"/>
        <item x="20"/>
        <item x="21"/>
        <item x="210"/>
        <item x="78"/>
        <item x="19"/>
        <item x="53"/>
        <item x="109"/>
        <item x="157"/>
        <item x="55"/>
        <item x="159"/>
        <item x="10"/>
        <item x="36"/>
        <item x="166"/>
        <item x="194"/>
        <item x="113"/>
        <item x="17"/>
        <item x="1"/>
        <item x="89"/>
        <item x="178"/>
        <item x="77"/>
        <item x="227"/>
        <item x="197"/>
        <item x="97"/>
        <item x="93"/>
        <item x="114"/>
        <item x="219"/>
        <item x="175"/>
        <item x="145"/>
        <item x="176"/>
        <item x="183"/>
        <item x="130"/>
        <item x="47"/>
        <item x="167"/>
        <item x="222"/>
        <item x="119"/>
        <item x="75"/>
        <item x="51"/>
        <item x="136"/>
        <item x="228"/>
        <item x="82"/>
        <item x="71"/>
        <item x="181"/>
        <item x="182"/>
        <item x="163"/>
        <item x="60"/>
        <item t="default"/>
      </items>
    </pivotField>
  </pivotFields>
  <rowFields count="1">
    <field x="6"/>
  </rowFields>
  <rowItems count="2">
    <i>
      <x v="26"/>
    </i>
    <i t="grand">
      <x/>
    </i>
  </rowItems>
  <colItems count="1">
    <i/>
  </colItems>
  <dataFields count="1">
    <dataField name="towar przewieziony" fld="3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E740C-5969-4D7A-8192-9AE93BEDFA76}" name="Tabela przestawna2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miasto końcowe">
  <location ref="I1:J13" firstHeaderRow="1" firstDataRow="1" firstDataCol="1"/>
  <pivotFields count="8"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>
      <items count="68">
        <item x="37"/>
        <item x="63"/>
        <item x="55"/>
        <item x="66"/>
        <item x="27"/>
        <item x="28"/>
        <item x="44"/>
        <item x="56"/>
        <item x="36"/>
        <item x="5"/>
        <item x="65"/>
        <item x="62"/>
        <item x="25"/>
        <item x="21"/>
        <item x="16"/>
        <item x="30"/>
        <item x="53"/>
        <item x="18"/>
        <item x="50"/>
        <item x="19"/>
        <item x="23"/>
        <item x="41"/>
        <item x="12"/>
        <item x="11"/>
        <item x="15"/>
        <item x="22"/>
        <item x="40"/>
        <item x="34"/>
        <item x="24"/>
        <item x="6"/>
        <item x="48"/>
        <item x="49"/>
        <item x="46"/>
        <item x="4"/>
        <item x="54"/>
        <item x="32"/>
        <item x="64"/>
        <item x="0"/>
        <item x="51"/>
        <item x="26"/>
        <item x="3"/>
        <item x="17"/>
        <item x="20"/>
        <item x="2"/>
        <item x="7"/>
        <item x="42"/>
        <item x="10"/>
        <item x="38"/>
        <item x="52"/>
        <item x="61"/>
        <item x="8"/>
        <item x="59"/>
        <item x="60"/>
        <item x="45"/>
        <item x="14"/>
        <item x="13"/>
        <item x="33"/>
        <item x="9"/>
        <item x="57"/>
        <item x="1"/>
        <item x="43"/>
        <item x="47"/>
        <item x="29"/>
        <item x="58"/>
        <item x="31"/>
        <item x="39"/>
        <item x="35"/>
        <item t="default"/>
      </items>
    </pivotField>
    <pivotField axis="axisRow" showAll="0" measureFilter="1" sortType="descending">
      <items count="69">
        <item x="44"/>
        <item x="67"/>
        <item x="43"/>
        <item x="59"/>
        <item x="27"/>
        <item x="29"/>
        <item x="50"/>
        <item x="61"/>
        <item x="23"/>
        <item x="4"/>
        <item x="39"/>
        <item x="22"/>
        <item x="60"/>
        <item x="57"/>
        <item x="17"/>
        <item x="7"/>
        <item x="66"/>
        <item x="25"/>
        <item x="52"/>
        <item x="19"/>
        <item x="9"/>
        <item x="36"/>
        <item x="16"/>
        <item x="10"/>
        <item x="15"/>
        <item x="21"/>
        <item x="42"/>
        <item x="24"/>
        <item x="63"/>
        <item x="6"/>
        <item x="49"/>
        <item x="51"/>
        <item x="47"/>
        <item x="5"/>
        <item x="54"/>
        <item x="34"/>
        <item x="64"/>
        <item x="11"/>
        <item x="53"/>
        <item x="26"/>
        <item x="2"/>
        <item x="12"/>
        <item x="20"/>
        <item x="1"/>
        <item x="18"/>
        <item x="48"/>
        <item x="37"/>
        <item x="65"/>
        <item x="62"/>
        <item x="32"/>
        <item x="31"/>
        <item x="56"/>
        <item x="3"/>
        <item x="45"/>
        <item x="14"/>
        <item x="13"/>
        <item x="35"/>
        <item x="8"/>
        <item x="55"/>
        <item x="0"/>
        <item x="33"/>
        <item x="46"/>
        <item x="30"/>
        <item x="41"/>
        <item x="28"/>
        <item x="40"/>
        <item x="58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2">
    <i>
      <x v="61"/>
    </i>
    <i>
      <x v="55"/>
    </i>
    <i>
      <x v="4"/>
    </i>
    <i>
      <x v="23"/>
    </i>
    <i>
      <x v="44"/>
    </i>
    <i>
      <x v="41"/>
    </i>
    <i>
      <x v="21"/>
    </i>
    <i>
      <x v="9"/>
    </i>
    <i>
      <x v="67"/>
    </i>
    <i>
      <x v="24"/>
    </i>
    <i>
      <x v="39"/>
    </i>
    <i t="grand">
      <x/>
    </i>
  </rowItems>
  <colItems count="1">
    <i/>
  </colItems>
  <dataFields count="1">
    <dataField name="kursy" fld="1" subtotal="count" baseField="0" baseItem="0"/>
  </dataFields>
  <formats count="4">
    <format dxfId="9">
      <pivotArea collapsedLevelsAreSubtotals="1" fieldPosition="0">
        <references count="1">
          <reference field="2" count="11">
            <x v="4"/>
            <x v="9"/>
            <x v="21"/>
            <x v="23"/>
            <x v="24"/>
            <x v="39"/>
            <x v="41"/>
            <x v="44"/>
            <x v="55"/>
            <x v="61"/>
            <x v="67"/>
          </reference>
        </references>
      </pivotArea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11">
            <x v="4"/>
            <x v="9"/>
            <x v="21"/>
            <x v="23"/>
            <x v="24"/>
            <x v="39"/>
            <x v="41"/>
            <x v="44"/>
            <x v="55"/>
            <x v="61"/>
            <x v="67"/>
          </reference>
        </references>
      </pivotArea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valueGreaterThanOrEqual" evalOrder="-1" id="1" iMeasureFld="0">
      <autoFilter ref="A1">
        <filterColumn colId="0">
          <customFilters>
            <customFilter operator="greaterThanOrEqual" val="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679E90-4279-4710-96BF-30232664582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a" tableColumnId="1"/>
      <queryTableField id="2" name="Poczatek" tableColumnId="2"/>
      <queryTableField id="3" name="Koniec" tableColumnId="3"/>
      <queryTableField id="4" name="Waga" tableColumnId="4"/>
      <queryTableField id="5" name="Odleglosc" tableColumnId="5"/>
      <queryTableField id="6" name="Cena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EF4839D-E776-460F-8BB7-ECE3C1FCE8D6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2" name="Poczatek" tableColumnId="2"/>
      <queryTableField id="3" name="Koniec" tableColumnId="3"/>
      <queryTableField id="4" name="Waga" tableColumnId="4"/>
      <queryTableField id="5" name="Odleglosc" tableColumnId="5"/>
      <queryTableField id="6" name="Cena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03E90ED-8708-4F31-ADA1-1D503DF7B7B8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a" tableColumnId="1"/>
      <queryTableField id="2" name="Poczatek" tableColumnId="2"/>
      <queryTableField id="3" name="Koniec" tableColumnId="3"/>
      <queryTableField id="4" name="Waga" tableColumnId="4"/>
      <queryTableField id="5" name="Odleglosc" tableColumnId="5"/>
      <queryTableField id="6" name="Cena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F64FAFD-CDDA-4A1C-85BC-090E295EFDC4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2" name="Poczatek" tableColumnId="2"/>
      <queryTableField id="3" name="Koniec" tableColumnId="3"/>
      <queryTableField id="4" name="Waga" tableColumnId="4"/>
      <queryTableField id="5" name="Odleglosc" tableColumnId="5"/>
      <queryTableField id="6" name="Cena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04A48D7-13CB-476A-9A60-756DA3043A74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a" tableColumnId="1"/>
      <queryTableField id="2" name="Poczatek" tableColumnId="2"/>
      <queryTableField id="3" name="Koniec" tableColumnId="3"/>
      <queryTableField id="4" name="Waga" tableColumnId="4"/>
      <queryTableField id="5" name="Odleglosc" tableColumnId="5"/>
      <queryTableField id="6" name="Cena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6FC033-B6B1-4F44-960A-227603E81E62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2" name="Poczatek" tableColumnId="2"/>
      <queryTableField id="3" name="Koniec" tableColumnId="3"/>
      <queryTableField id="4" name="Waga" tableColumnId="4"/>
      <queryTableField id="5" name="Odleglosc" tableColumnId="5"/>
      <queryTableField id="6" name="Cen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7136E5-5546-4776-B78E-58E65A08F245}" name="kursy3" displayName="kursy3" ref="A1:G301" tableType="queryTable" totalsRowShown="0">
  <autoFilter ref="A1:G301" xr:uid="{88FA4E2F-2956-4144-9984-EF77EF14F890}"/>
  <sortState xmlns:xlrd2="http://schemas.microsoft.com/office/spreadsheetml/2017/richdata2" ref="A2:G301">
    <sortCondition descending="1" ref="G1:G301"/>
  </sortState>
  <tableColumns count="7">
    <tableColumn id="1" xr3:uid="{418BF8E6-004F-4A31-8F6C-15045FDCB50C}" uniqueName="1" name="Data" queryTableFieldId="1" dataDxfId="29"/>
    <tableColumn id="2" xr3:uid="{DF59E686-742B-42B9-8FA2-684230BE005F}" uniqueName="2" name="Poczatek" queryTableFieldId="2" dataDxfId="28"/>
    <tableColumn id="3" xr3:uid="{FE87E6B4-66D1-40AC-A951-74A1632F070E}" uniqueName="3" name="Koniec" queryTableFieldId="3" dataDxfId="27"/>
    <tableColumn id="4" xr3:uid="{D4456BCC-AA8E-4ED4-9CCE-1401D176F185}" uniqueName="4" name="Waga" queryTableFieldId="4"/>
    <tableColumn id="5" xr3:uid="{B45A78B3-F9AC-491B-8A84-97D16513D04C}" uniqueName="5" name="Odleglosc" queryTableFieldId="5"/>
    <tableColumn id="6" xr3:uid="{4555F463-E1B5-4179-89F9-C51DC4F558E8}" uniqueName="6" name="Cena" queryTableFieldId="6"/>
    <tableColumn id="7" xr3:uid="{97B3EF16-56F1-4DD3-8FB7-6382E32967F3}" uniqueName="7" name="stawka_na_km" queryTableFieldId="7" dataDxfId="26">
      <calculatedColumnFormula>kursy3[[#This Row],[Cena]]/kursy3[[#This Row],[Odleglosc]]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A8838C-73D2-4A57-9CE1-38A42BE598E8}" name="kursy4" displayName="kursy4" ref="A1:F301" tableType="queryTable" totalsRowShown="0">
  <autoFilter ref="A1:F301" xr:uid="{88FA4E2F-2956-4144-9984-EF77EF14F890}"/>
  <tableColumns count="6">
    <tableColumn id="1" xr3:uid="{2E7CF5EC-A735-4692-A8B5-6ABD16807AF8}" uniqueName="1" name="Data" queryTableFieldId="1" dataDxfId="19"/>
    <tableColumn id="2" xr3:uid="{64E64C0B-39D1-4953-AD9B-8942498C2F3B}" uniqueName="2" name="Poczatek" queryTableFieldId="2" dataDxfId="18"/>
    <tableColumn id="3" xr3:uid="{3758F06C-31D7-4A72-A034-3CEA392EBCAF}" uniqueName="3" name="Koniec" queryTableFieldId="3" dataDxfId="17"/>
    <tableColumn id="4" xr3:uid="{029E6791-39CC-420D-818D-56BE7182E002}" uniqueName="4" name="Waga" queryTableFieldId="4"/>
    <tableColumn id="5" xr3:uid="{F727DE76-5664-4023-A416-453B61477924}" uniqueName="5" name="Odleglosc" queryTableFieldId="5"/>
    <tableColumn id="6" xr3:uid="{6075BCBA-D95B-4133-9A81-3695CB922891}" uniqueName="6" name="Cena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DD0A6B-446D-4271-971D-F75104909450}" name="kursy5" displayName="kursy5" ref="A1:G301" tableType="queryTable" totalsRowShown="0">
  <autoFilter ref="A1:G301" xr:uid="{88FA4E2F-2956-4144-9984-EF77EF14F890}"/>
  <tableColumns count="7">
    <tableColumn id="1" xr3:uid="{EABFA7B3-EF7A-4404-B33C-939623A135A3}" uniqueName="1" name="Data" queryTableFieldId="1" dataDxfId="16"/>
    <tableColumn id="2" xr3:uid="{6B32D56D-0B0C-4F12-A40F-2AE3C1885A99}" uniqueName="2" name="Poczatek" queryTableFieldId="2" dataDxfId="15"/>
    <tableColumn id="3" xr3:uid="{7B46B362-1B0D-4276-AD54-402444559405}" uniqueName="3" name="Koniec" queryTableFieldId="3" dataDxfId="14"/>
    <tableColumn id="4" xr3:uid="{63CD239E-2139-4738-AB7F-44FB6E1CE8B4}" uniqueName="4" name="Waga" queryTableFieldId="4"/>
    <tableColumn id="5" xr3:uid="{390EB1AA-D41A-4689-933C-4CD5F1A333EE}" uniqueName="5" name="Odleglosc" queryTableFieldId="5"/>
    <tableColumn id="6" xr3:uid="{DDABBDE4-C36A-4FD3-810C-E3FB2EEC66AD}" uniqueName="6" name="Cena" queryTableFieldId="6"/>
    <tableColumn id="7" xr3:uid="{167E07F4-0B89-478C-8950-5418955F1DDF}" uniqueName="7" name="indeks_trasy" queryTableFieldId="7" dataDxfId="13">
      <calculatedColumnFormula>CONCATENATE(kursy5[[#This Row],[Poczatek]],kursy5[[#This Row],[Koniec]])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3C09BE-010B-434E-B2BE-F56A4A9FF19F}" name="kursy6" displayName="kursy6" ref="A1:F301" tableType="queryTable" totalsRowShown="0">
  <autoFilter ref="A1:F301" xr:uid="{88FA4E2F-2956-4144-9984-EF77EF14F890}"/>
  <tableColumns count="6">
    <tableColumn id="1" xr3:uid="{AFB40B30-8959-4409-B2FC-FA8A4C24BD8C}" uniqueName="1" name="Data" queryTableFieldId="1" dataDxfId="12"/>
    <tableColumn id="2" xr3:uid="{58560C04-ACCB-4B10-9686-2ED9B5D068C5}" uniqueName="2" name="Poczatek" queryTableFieldId="2" dataDxfId="11"/>
    <tableColumn id="3" xr3:uid="{EC14B08D-0A4F-492B-AF06-F954ACC6CE0A}" uniqueName="3" name="Koniec" queryTableFieldId="3" dataDxfId="10"/>
    <tableColumn id="4" xr3:uid="{A34C4C22-B4AD-427F-9F87-2711525C61DC}" uniqueName="4" name="Waga" queryTableFieldId="4"/>
    <tableColumn id="5" xr3:uid="{247AD3AB-8CB1-4EEA-BCC7-661CF8CC1BFB}" uniqueName="5" name="Odleglosc" queryTableFieldId="5"/>
    <tableColumn id="6" xr3:uid="{45B970A3-9908-42C8-8296-C2E9820F490D}" uniqueName="6" name="Cena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AF5163-6D83-4333-A572-E9EA073DEF5B}" name="kursy7" displayName="kursy7" ref="A1:G301" tableType="queryTable" totalsRowShown="0">
  <autoFilter ref="A1:G301" xr:uid="{88FA4E2F-2956-4144-9984-EF77EF14F890}"/>
  <tableColumns count="7">
    <tableColumn id="1" xr3:uid="{747EB9CE-83BC-4B38-990D-FAE3260DAD24}" uniqueName="1" name="Data" queryTableFieldId="1" dataDxfId="4"/>
    <tableColumn id="2" xr3:uid="{EFCA52E8-E2BE-40FA-A4C9-409BA1F0E53B}" uniqueName="2" name="Poczatek" queryTableFieldId="2" dataDxfId="3"/>
    <tableColumn id="3" xr3:uid="{BF58B487-733F-4594-B302-1FDC89D496A1}" uniqueName="3" name="Koniec" queryTableFieldId="3" dataDxfId="2"/>
    <tableColumn id="4" xr3:uid="{44388EFA-4541-4793-A32E-9C736FB35E62}" uniqueName="4" name="Waga" queryTableFieldId="4"/>
    <tableColumn id="5" xr3:uid="{5215C797-479A-46B3-8DB1-99D559BFD801}" uniqueName="5" name="Odleglosc" queryTableFieldId="5"/>
    <tableColumn id="6" xr3:uid="{ED967C94-A487-4A80-AA33-A107C4327C56}" uniqueName="6" name="Cena" queryTableFieldId="6"/>
    <tableColumn id="7" xr3:uid="{75C74448-4B95-4529-BE2C-FA500280EA38}" uniqueName="7" name="liczbaCiaguTras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A4E2F-2956-4144-9984-EF77EF14F890}" name="kursy" displayName="kursy" ref="A1:F301" tableType="queryTable" totalsRowShown="0">
  <autoFilter ref="A1:F301" xr:uid="{88FA4E2F-2956-4144-9984-EF77EF14F890}"/>
  <tableColumns count="6">
    <tableColumn id="1" xr3:uid="{E2DEB76D-0B77-41DA-A808-82700A0C6DD3}" uniqueName="1" name="Data" queryTableFieldId="1" dataDxfId="32"/>
    <tableColumn id="2" xr3:uid="{DD040588-0649-450C-86C9-B60470AC722B}" uniqueName="2" name="Poczatek" queryTableFieldId="2" dataDxfId="31"/>
    <tableColumn id="3" xr3:uid="{266051BF-B968-409F-AD78-3577AAFA695A}" uniqueName="3" name="Koniec" queryTableFieldId="3" dataDxfId="30"/>
    <tableColumn id="4" xr3:uid="{D11F945B-F0C2-4E62-BC03-AFCDBC3B468C}" uniqueName="4" name="Waga" queryTableFieldId="4"/>
    <tableColumn id="5" xr3:uid="{F3ED508A-B0F4-4F50-A60A-61B8703FA0F9}" uniqueName="5" name="Odleglosc" queryTableFieldId="5"/>
    <tableColumn id="6" xr3:uid="{EB3F04FA-105A-425B-8B0F-242CD59EDA16}" uniqueName="6" name="Cen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3BA2-8573-4FF0-8058-E2EC3294815E}">
  <dimension ref="A1:L301"/>
  <sheetViews>
    <sheetView workbookViewId="0">
      <selection activeCell="J5" sqref="J5"/>
    </sheetView>
  </sheetViews>
  <sheetFormatPr defaultRowHeight="15" x14ac:dyDescent="0.25"/>
  <cols>
    <col min="1" max="1" width="10.140625" bestFit="1" customWidth="1"/>
    <col min="2" max="3" width="20" bestFit="1" customWidth="1"/>
    <col min="4" max="4" width="8.28515625" bestFit="1" customWidth="1"/>
    <col min="5" max="5" width="12" bestFit="1" customWidth="1"/>
    <col min="6" max="6" width="7.7109375" bestFit="1" customWidth="1"/>
    <col min="9" max="9" width="1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L1">
        <f>MAX(kursy3[stawka_na_km])</f>
        <v>4.260416666666667</v>
      </c>
    </row>
    <row r="2" spans="1:12" x14ac:dyDescent="0.25">
      <c r="A2" s="1">
        <v>42814</v>
      </c>
      <c r="B2" s="2" t="s">
        <v>46</v>
      </c>
      <c r="C2" s="2" t="s">
        <v>47</v>
      </c>
      <c r="D2">
        <v>2431</v>
      </c>
      <c r="E2">
        <v>96</v>
      </c>
      <c r="F2">
        <v>409</v>
      </c>
      <c r="G2">
        <f>kursy3[[#This Row],[Cena]]/kursy3[[#This Row],[Odleglosc]]</f>
        <v>4.260416666666667</v>
      </c>
      <c r="I2" s="8" t="s">
        <v>76</v>
      </c>
      <c r="J2" s="9" t="s">
        <v>46</v>
      </c>
    </row>
    <row r="3" spans="1:12" x14ac:dyDescent="0.25">
      <c r="A3" s="1">
        <v>42766</v>
      </c>
      <c r="B3" s="2" t="s">
        <v>24</v>
      </c>
      <c r="C3" s="2" t="s">
        <v>23</v>
      </c>
      <c r="D3">
        <v>3657</v>
      </c>
      <c r="E3">
        <v>100</v>
      </c>
      <c r="F3">
        <v>424</v>
      </c>
      <c r="G3">
        <f>kursy3[[#This Row],[Cena]]/kursy3[[#This Row],[Odleglosc]]</f>
        <v>4.24</v>
      </c>
      <c r="I3" s="8" t="s">
        <v>77</v>
      </c>
      <c r="J3" s="9" t="s">
        <v>47</v>
      </c>
    </row>
    <row r="4" spans="1:12" x14ac:dyDescent="0.25">
      <c r="A4" s="1">
        <v>42823</v>
      </c>
      <c r="B4" s="2" t="s">
        <v>48</v>
      </c>
      <c r="C4" s="2" t="s">
        <v>14</v>
      </c>
      <c r="D4">
        <v>5212</v>
      </c>
      <c r="E4">
        <v>123</v>
      </c>
      <c r="F4">
        <v>517</v>
      </c>
      <c r="G4">
        <f>kursy3[[#This Row],[Cena]]/kursy3[[#This Row],[Odleglosc]]</f>
        <v>4.2032520325203251</v>
      </c>
      <c r="I4" s="8" t="s">
        <v>75</v>
      </c>
      <c r="J4" s="8">
        <f>ROUND(MAX(kursy3[stawka_na_km]),2)</f>
        <v>4.26</v>
      </c>
    </row>
    <row r="5" spans="1:12" x14ac:dyDescent="0.25">
      <c r="A5" s="1">
        <v>43071</v>
      </c>
      <c r="B5" s="2" t="s">
        <v>38</v>
      </c>
      <c r="C5" s="2" t="s">
        <v>57</v>
      </c>
      <c r="D5">
        <v>5150</v>
      </c>
      <c r="E5">
        <v>104</v>
      </c>
      <c r="F5">
        <v>435</v>
      </c>
      <c r="G5">
        <f>kursy3[[#This Row],[Cena]]/kursy3[[#This Row],[Odleglosc]]</f>
        <v>4.1826923076923075</v>
      </c>
    </row>
    <row r="6" spans="1:12" x14ac:dyDescent="0.25">
      <c r="A6" s="1">
        <v>43092</v>
      </c>
      <c r="B6" s="2" t="s">
        <v>30</v>
      </c>
      <c r="C6" s="2" t="s">
        <v>72</v>
      </c>
      <c r="D6">
        <v>3705</v>
      </c>
      <c r="E6">
        <v>182</v>
      </c>
      <c r="F6">
        <v>760</v>
      </c>
      <c r="G6">
        <f>kursy3[[#This Row],[Cena]]/kursy3[[#This Row],[Odleglosc]]</f>
        <v>4.1758241758241761</v>
      </c>
    </row>
    <row r="7" spans="1:12" x14ac:dyDescent="0.25">
      <c r="A7" s="1">
        <v>42900</v>
      </c>
      <c r="B7" s="2" t="s">
        <v>47</v>
      </c>
      <c r="C7" s="2" t="s">
        <v>42</v>
      </c>
      <c r="D7">
        <v>1996</v>
      </c>
      <c r="E7">
        <v>158</v>
      </c>
      <c r="F7">
        <v>653</v>
      </c>
      <c r="G7">
        <f>kursy3[[#This Row],[Cena]]/kursy3[[#This Row],[Odleglosc]]</f>
        <v>4.1329113924050631</v>
      </c>
    </row>
    <row r="8" spans="1:12" x14ac:dyDescent="0.25">
      <c r="A8" s="1">
        <v>42773</v>
      </c>
      <c r="B8" s="2" t="s">
        <v>28</v>
      </c>
      <c r="C8" s="2" t="s">
        <v>29</v>
      </c>
      <c r="D8">
        <v>5838</v>
      </c>
      <c r="E8">
        <v>128</v>
      </c>
      <c r="F8">
        <v>518</v>
      </c>
      <c r="G8">
        <f>kursy3[[#This Row],[Cena]]/kursy3[[#This Row],[Odleglosc]]</f>
        <v>4.046875</v>
      </c>
    </row>
    <row r="9" spans="1:12" x14ac:dyDescent="0.25">
      <c r="A9" s="1">
        <v>42949</v>
      </c>
      <c r="B9" s="2" t="s">
        <v>25</v>
      </c>
      <c r="C9" s="2" t="s">
        <v>48</v>
      </c>
      <c r="D9">
        <v>5368</v>
      </c>
      <c r="E9">
        <v>122</v>
      </c>
      <c r="F9">
        <v>491</v>
      </c>
      <c r="G9">
        <f>kursy3[[#This Row],[Cena]]/kursy3[[#This Row],[Odleglosc]]</f>
        <v>4.0245901639344259</v>
      </c>
    </row>
    <row r="10" spans="1:12" x14ac:dyDescent="0.25">
      <c r="A10" s="1">
        <v>42905</v>
      </c>
      <c r="B10" s="2" t="s">
        <v>60</v>
      </c>
      <c r="C10" s="2" t="s">
        <v>41</v>
      </c>
      <c r="D10">
        <v>1504</v>
      </c>
      <c r="E10">
        <v>95</v>
      </c>
      <c r="F10">
        <v>382</v>
      </c>
      <c r="G10">
        <f>kursy3[[#This Row],[Cena]]/kursy3[[#This Row],[Odleglosc]]</f>
        <v>4.0210526315789474</v>
      </c>
    </row>
    <row r="11" spans="1:12" x14ac:dyDescent="0.25">
      <c r="A11" s="1">
        <v>42762</v>
      </c>
      <c r="B11" s="2" t="s">
        <v>6</v>
      </c>
      <c r="C11" s="2" t="s">
        <v>7</v>
      </c>
      <c r="D11">
        <v>3808</v>
      </c>
      <c r="E11">
        <v>163</v>
      </c>
      <c r="F11">
        <v>655</v>
      </c>
      <c r="G11">
        <f>kursy3[[#This Row],[Cena]]/kursy3[[#This Row],[Odleglosc]]</f>
        <v>4.0184049079754605</v>
      </c>
    </row>
    <row r="12" spans="1:12" x14ac:dyDescent="0.25">
      <c r="A12" s="1">
        <v>42798</v>
      </c>
      <c r="B12" s="2" t="s">
        <v>29</v>
      </c>
      <c r="C12" s="2" t="s">
        <v>14</v>
      </c>
      <c r="D12">
        <v>1749</v>
      </c>
      <c r="E12">
        <v>232</v>
      </c>
      <c r="F12">
        <v>928</v>
      </c>
      <c r="G12">
        <f>kursy3[[#This Row],[Cena]]/kursy3[[#This Row],[Odleglosc]]</f>
        <v>4</v>
      </c>
    </row>
    <row r="13" spans="1:12" x14ac:dyDescent="0.25">
      <c r="A13" s="1">
        <v>42833</v>
      </c>
      <c r="B13" s="2" t="s">
        <v>45</v>
      </c>
      <c r="C13" s="2" t="s">
        <v>44</v>
      </c>
      <c r="D13">
        <v>5869</v>
      </c>
      <c r="E13">
        <v>152</v>
      </c>
      <c r="F13">
        <v>599</v>
      </c>
      <c r="G13">
        <f>kursy3[[#This Row],[Cena]]/kursy3[[#This Row],[Odleglosc]]</f>
        <v>3.9407894736842106</v>
      </c>
    </row>
    <row r="14" spans="1:12" x14ac:dyDescent="0.25">
      <c r="A14" s="1">
        <v>42893</v>
      </c>
      <c r="B14" s="2" t="s">
        <v>66</v>
      </c>
      <c r="C14" s="2" t="s">
        <v>67</v>
      </c>
      <c r="D14">
        <v>2571</v>
      </c>
      <c r="E14">
        <v>145</v>
      </c>
      <c r="F14">
        <v>567</v>
      </c>
      <c r="G14">
        <f>kursy3[[#This Row],[Cena]]/kursy3[[#This Row],[Odleglosc]]</f>
        <v>3.9103448275862069</v>
      </c>
    </row>
    <row r="15" spans="1:12" x14ac:dyDescent="0.25">
      <c r="A15" s="1">
        <v>42818</v>
      </c>
      <c r="B15" s="2" t="s">
        <v>16</v>
      </c>
      <c r="C15" s="2" t="s">
        <v>41</v>
      </c>
      <c r="D15">
        <v>5287</v>
      </c>
      <c r="E15">
        <v>127</v>
      </c>
      <c r="F15">
        <v>495</v>
      </c>
      <c r="G15">
        <f>kursy3[[#This Row],[Cena]]/kursy3[[#This Row],[Odleglosc]]</f>
        <v>3.8976377952755907</v>
      </c>
    </row>
    <row r="16" spans="1:12" x14ac:dyDescent="0.25">
      <c r="A16" s="1">
        <v>42947</v>
      </c>
      <c r="B16" s="2" t="s">
        <v>29</v>
      </c>
      <c r="C16" s="2" t="s">
        <v>27</v>
      </c>
      <c r="D16">
        <v>5658</v>
      </c>
      <c r="E16">
        <v>249</v>
      </c>
      <c r="F16">
        <v>967</v>
      </c>
      <c r="G16">
        <f>kursy3[[#This Row],[Cena]]/kursy3[[#This Row],[Odleglosc]]</f>
        <v>3.8835341365461846</v>
      </c>
    </row>
    <row r="17" spans="1:7" x14ac:dyDescent="0.25">
      <c r="A17" s="1">
        <v>42926</v>
      </c>
      <c r="B17" s="2" t="s">
        <v>56</v>
      </c>
      <c r="C17" s="2" t="s">
        <v>30</v>
      </c>
      <c r="D17">
        <v>2448</v>
      </c>
      <c r="E17">
        <v>744</v>
      </c>
      <c r="F17">
        <v>2887</v>
      </c>
      <c r="G17">
        <f>kursy3[[#This Row],[Cena]]/kursy3[[#This Row],[Odleglosc]]</f>
        <v>3.8803763440860215</v>
      </c>
    </row>
    <row r="18" spans="1:7" x14ac:dyDescent="0.25">
      <c r="A18" s="1">
        <v>43052</v>
      </c>
      <c r="B18" s="2" t="s">
        <v>67</v>
      </c>
      <c r="C18" s="2" t="s">
        <v>66</v>
      </c>
      <c r="D18">
        <v>5153</v>
      </c>
      <c r="E18">
        <v>141</v>
      </c>
      <c r="F18">
        <v>547</v>
      </c>
      <c r="G18">
        <f>kursy3[[#This Row],[Cena]]/kursy3[[#This Row],[Odleglosc]]</f>
        <v>3.8794326241134751</v>
      </c>
    </row>
    <row r="19" spans="1:7" x14ac:dyDescent="0.25">
      <c r="A19" s="1">
        <v>42997</v>
      </c>
      <c r="B19" s="2" t="s">
        <v>15</v>
      </c>
      <c r="C19" s="2" t="s">
        <v>59</v>
      </c>
      <c r="D19">
        <v>2563</v>
      </c>
      <c r="E19">
        <v>480</v>
      </c>
      <c r="F19">
        <v>1849</v>
      </c>
      <c r="G19">
        <f>kursy3[[#This Row],[Cena]]/kursy3[[#This Row],[Odleglosc]]</f>
        <v>3.8520833333333333</v>
      </c>
    </row>
    <row r="20" spans="1:7" x14ac:dyDescent="0.25">
      <c r="A20" s="1">
        <v>43023</v>
      </c>
      <c r="B20" s="2" t="s">
        <v>21</v>
      </c>
      <c r="C20" s="2" t="s">
        <v>25</v>
      </c>
      <c r="D20">
        <v>2059</v>
      </c>
      <c r="E20">
        <v>164</v>
      </c>
      <c r="F20">
        <v>630</v>
      </c>
      <c r="G20">
        <f>kursy3[[#This Row],[Cena]]/kursy3[[#This Row],[Odleglosc]]</f>
        <v>3.8414634146341462</v>
      </c>
    </row>
    <row r="21" spans="1:7" x14ac:dyDescent="0.25">
      <c r="A21" s="1">
        <v>42882</v>
      </c>
      <c r="B21" s="2" t="s">
        <v>37</v>
      </c>
      <c r="C21" s="2" t="s">
        <v>57</v>
      </c>
      <c r="D21">
        <v>4508</v>
      </c>
      <c r="E21">
        <v>104</v>
      </c>
      <c r="F21">
        <v>399</v>
      </c>
      <c r="G21">
        <f>kursy3[[#This Row],[Cena]]/kursy3[[#This Row],[Odleglosc]]</f>
        <v>3.8365384615384617</v>
      </c>
    </row>
    <row r="22" spans="1:7" x14ac:dyDescent="0.25">
      <c r="A22" s="1">
        <v>42752</v>
      </c>
      <c r="B22" s="2" t="s">
        <v>20</v>
      </c>
      <c r="C22" s="2" t="s">
        <v>7</v>
      </c>
      <c r="D22">
        <v>3318</v>
      </c>
      <c r="E22">
        <v>110</v>
      </c>
      <c r="F22">
        <v>422</v>
      </c>
      <c r="G22">
        <f>kursy3[[#This Row],[Cena]]/kursy3[[#This Row],[Odleglosc]]</f>
        <v>3.8363636363636364</v>
      </c>
    </row>
    <row r="23" spans="1:7" x14ac:dyDescent="0.25">
      <c r="A23" s="1">
        <v>42857</v>
      </c>
      <c r="B23" s="2" t="s">
        <v>58</v>
      </c>
      <c r="C23" s="2" t="s">
        <v>23</v>
      </c>
      <c r="D23">
        <v>1793</v>
      </c>
      <c r="E23">
        <v>197</v>
      </c>
      <c r="F23">
        <v>754</v>
      </c>
      <c r="G23">
        <f>kursy3[[#This Row],[Cena]]/kursy3[[#This Row],[Odleglosc]]</f>
        <v>3.8274111675126905</v>
      </c>
    </row>
    <row r="24" spans="1:7" x14ac:dyDescent="0.25">
      <c r="A24" s="1">
        <v>42976</v>
      </c>
      <c r="B24" s="2" t="s">
        <v>47</v>
      </c>
      <c r="C24" s="2" t="s">
        <v>17</v>
      </c>
      <c r="D24">
        <v>4921</v>
      </c>
      <c r="E24">
        <v>124</v>
      </c>
      <c r="F24">
        <v>472</v>
      </c>
      <c r="G24">
        <f>kursy3[[#This Row],[Cena]]/kursy3[[#This Row],[Odleglosc]]</f>
        <v>3.806451612903226</v>
      </c>
    </row>
    <row r="25" spans="1:7" x14ac:dyDescent="0.25">
      <c r="A25" s="1">
        <v>42874</v>
      </c>
      <c r="B25" s="2" t="s">
        <v>61</v>
      </c>
      <c r="C25" s="2" t="s">
        <v>15</v>
      </c>
      <c r="D25">
        <v>3178</v>
      </c>
      <c r="E25">
        <v>171</v>
      </c>
      <c r="F25">
        <v>646</v>
      </c>
      <c r="G25">
        <f>kursy3[[#This Row],[Cena]]/kursy3[[#This Row],[Odleglosc]]</f>
        <v>3.7777777777777777</v>
      </c>
    </row>
    <row r="26" spans="1:7" x14ac:dyDescent="0.25">
      <c r="A26" s="1">
        <v>42916</v>
      </c>
      <c r="B26" s="2" t="s">
        <v>15</v>
      </c>
      <c r="C26" s="2" t="s">
        <v>52</v>
      </c>
      <c r="D26">
        <v>3681</v>
      </c>
      <c r="E26">
        <v>145</v>
      </c>
      <c r="F26">
        <v>546</v>
      </c>
      <c r="G26">
        <f>kursy3[[#This Row],[Cena]]/kursy3[[#This Row],[Odleglosc]]</f>
        <v>3.7655172413793103</v>
      </c>
    </row>
    <row r="27" spans="1:7" x14ac:dyDescent="0.25">
      <c r="A27" s="1">
        <v>42796</v>
      </c>
      <c r="B27" s="2" t="s">
        <v>37</v>
      </c>
      <c r="C27" s="2" t="s">
        <v>38</v>
      </c>
      <c r="D27">
        <v>2136</v>
      </c>
      <c r="E27">
        <v>139</v>
      </c>
      <c r="F27">
        <v>522</v>
      </c>
      <c r="G27">
        <f>kursy3[[#This Row],[Cena]]/kursy3[[#This Row],[Odleglosc]]</f>
        <v>3.7553956834532376</v>
      </c>
    </row>
    <row r="28" spans="1:7" x14ac:dyDescent="0.25">
      <c r="A28" s="1">
        <v>42887</v>
      </c>
      <c r="B28" s="2" t="s">
        <v>63</v>
      </c>
      <c r="C28" s="2" t="s">
        <v>64</v>
      </c>
      <c r="D28">
        <v>5014</v>
      </c>
      <c r="E28">
        <v>154</v>
      </c>
      <c r="F28">
        <v>577</v>
      </c>
      <c r="G28">
        <f>kursy3[[#This Row],[Cena]]/kursy3[[#This Row],[Odleglosc]]</f>
        <v>3.7467532467532467</v>
      </c>
    </row>
    <row r="29" spans="1:7" x14ac:dyDescent="0.25">
      <c r="A29" s="1">
        <v>42909</v>
      </c>
      <c r="B29" s="2" t="s">
        <v>18</v>
      </c>
      <c r="C29" s="2" t="s">
        <v>39</v>
      </c>
      <c r="D29">
        <v>2498</v>
      </c>
      <c r="E29">
        <v>163</v>
      </c>
      <c r="F29">
        <v>610</v>
      </c>
      <c r="G29">
        <f>kursy3[[#This Row],[Cena]]/kursy3[[#This Row],[Odleglosc]]</f>
        <v>3.7423312883435584</v>
      </c>
    </row>
    <row r="30" spans="1:7" x14ac:dyDescent="0.25">
      <c r="A30" s="1">
        <v>42739</v>
      </c>
      <c r="B30" s="2" t="s">
        <v>8</v>
      </c>
      <c r="C30" s="2" t="s">
        <v>9</v>
      </c>
      <c r="D30">
        <v>4888</v>
      </c>
      <c r="E30">
        <v>167</v>
      </c>
      <c r="F30">
        <v>624</v>
      </c>
      <c r="G30">
        <f>kursy3[[#This Row],[Cena]]/kursy3[[#This Row],[Odleglosc]]</f>
        <v>3.7365269461077846</v>
      </c>
    </row>
    <row r="31" spans="1:7" x14ac:dyDescent="0.25">
      <c r="A31" s="1">
        <v>42999</v>
      </c>
      <c r="B31" s="2" t="s">
        <v>19</v>
      </c>
      <c r="C31" s="2" t="s">
        <v>29</v>
      </c>
      <c r="D31">
        <v>2832</v>
      </c>
      <c r="E31">
        <v>106</v>
      </c>
      <c r="F31">
        <v>396</v>
      </c>
      <c r="G31">
        <f>kursy3[[#This Row],[Cena]]/kursy3[[#This Row],[Odleglosc]]</f>
        <v>3.7358490566037736</v>
      </c>
    </row>
    <row r="32" spans="1:7" x14ac:dyDescent="0.25">
      <c r="A32" s="1">
        <v>42974</v>
      </c>
      <c r="B32" s="2" t="s">
        <v>19</v>
      </c>
      <c r="C32" s="2" t="s">
        <v>60</v>
      </c>
      <c r="D32">
        <v>2421</v>
      </c>
      <c r="E32">
        <v>148</v>
      </c>
      <c r="F32">
        <v>552</v>
      </c>
      <c r="G32">
        <f>kursy3[[#This Row],[Cena]]/kursy3[[#This Row],[Odleglosc]]</f>
        <v>3.7297297297297298</v>
      </c>
    </row>
    <row r="33" spans="1:7" x14ac:dyDescent="0.25">
      <c r="A33" s="1">
        <v>42749</v>
      </c>
      <c r="B33" s="2" t="s">
        <v>16</v>
      </c>
      <c r="C33" s="2" t="s">
        <v>17</v>
      </c>
      <c r="D33">
        <v>4522</v>
      </c>
      <c r="E33">
        <v>300</v>
      </c>
      <c r="F33">
        <v>1113</v>
      </c>
      <c r="G33">
        <f>kursy3[[#This Row],[Cena]]/kursy3[[#This Row],[Odleglosc]]</f>
        <v>3.71</v>
      </c>
    </row>
    <row r="34" spans="1:7" x14ac:dyDescent="0.25">
      <c r="A34" s="1">
        <v>42888</v>
      </c>
      <c r="B34" s="2" t="s">
        <v>64</v>
      </c>
      <c r="C34" s="2" t="s">
        <v>58</v>
      </c>
      <c r="D34">
        <v>1852</v>
      </c>
      <c r="E34">
        <v>110</v>
      </c>
      <c r="F34">
        <v>407</v>
      </c>
      <c r="G34">
        <f>kursy3[[#This Row],[Cena]]/kursy3[[#This Row],[Odleglosc]]</f>
        <v>3.7</v>
      </c>
    </row>
    <row r="35" spans="1:7" x14ac:dyDescent="0.25">
      <c r="A35" s="1">
        <v>42908</v>
      </c>
      <c r="B35" s="2" t="s">
        <v>17</v>
      </c>
      <c r="C35" s="2" t="s">
        <v>18</v>
      </c>
      <c r="D35">
        <v>3469</v>
      </c>
      <c r="E35">
        <v>151</v>
      </c>
      <c r="F35">
        <v>558</v>
      </c>
      <c r="G35">
        <f>kursy3[[#This Row],[Cena]]/kursy3[[#This Row],[Odleglosc]]</f>
        <v>3.6953642384105962</v>
      </c>
    </row>
    <row r="36" spans="1:7" x14ac:dyDescent="0.25">
      <c r="A36" s="1">
        <v>42797</v>
      </c>
      <c r="B36" s="2" t="s">
        <v>38</v>
      </c>
      <c r="C36" s="2" t="s">
        <v>39</v>
      </c>
      <c r="D36">
        <v>4481</v>
      </c>
      <c r="E36">
        <v>121</v>
      </c>
      <c r="F36">
        <v>446</v>
      </c>
      <c r="G36">
        <f>kursy3[[#This Row],[Cena]]/kursy3[[#This Row],[Odleglosc]]</f>
        <v>3.6859504132231407</v>
      </c>
    </row>
    <row r="37" spans="1:7" x14ac:dyDescent="0.25">
      <c r="A37" s="1">
        <v>42989</v>
      </c>
      <c r="B37" s="2" t="s">
        <v>31</v>
      </c>
      <c r="C37" s="2" t="s">
        <v>23</v>
      </c>
      <c r="D37">
        <v>4432</v>
      </c>
      <c r="E37">
        <v>159</v>
      </c>
      <c r="F37">
        <v>585</v>
      </c>
      <c r="G37">
        <f>kursy3[[#This Row],[Cena]]/kursy3[[#This Row],[Odleglosc]]</f>
        <v>3.6792452830188678</v>
      </c>
    </row>
    <row r="38" spans="1:7" x14ac:dyDescent="0.25">
      <c r="A38" s="1">
        <v>43001</v>
      </c>
      <c r="B38" s="2" t="s">
        <v>57</v>
      </c>
      <c r="C38" s="2" t="s">
        <v>43</v>
      </c>
      <c r="D38">
        <v>5983</v>
      </c>
      <c r="E38">
        <v>227</v>
      </c>
      <c r="F38">
        <v>832</v>
      </c>
      <c r="G38">
        <f>kursy3[[#This Row],[Cena]]/kursy3[[#This Row],[Odleglosc]]</f>
        <v>3.6651982378854626</v>
      </c>
    </row>
    <row r="39" spans="1:7" x14ac:dyDescent="0.25">
      <c r="A39" s="1">
        <v>42770</v>
      </c>
      <c r="B39" s="2" t="s">
        <v>26</v>
      </c>
      <c r="C39" s="2" t="s">
        <v>21</v>
      </c>
      <c r="D39">
        <v>5628</v>
      </c>
      <c r="E39">
        <v>123</v>
      </c>
      <c r="F39">
        <v>450</v>
      </c>
      <c r="G39">
        <f>kursy3[[#This Row],[Cena]]/kursy3[[#This Row],[Odleglosc]]</f>
        <v>3.6585365853658538</v>
      </c>
    </row>
    <row r="40" spans="1:7" x14ac:dyDescent="0.25">
      <c r="A40" s="1">
        <v>42885</v>
      </c>
      <c r="B40" s="2" t="s">
        <v>61</v>
      </c>
      <c r="C40" s="2" t="s">
        <v>62</v>
      </c>
      <c r="D40">
        <v>3035</v>
      </c>
      <c r="E40">
        <v>103</v>
      </c>
      <c r="F40">
        <v>376</v>
      </c>
      <c r="G40">
        <f>kursy3[[#This Row],[Cena]]/kursy3[[#This Row],[Odleglosc]]</f>
        <v>3.650485436893204</v>
      </c>
    </row>
    <row r="41" spans="1:7" x14ac:dyDescent="0.25">
      <c r="A41" s="1">
        <v>42924</v>
      </c>
      <c r="B41" s="2" t="s">
        <v>14</v>
      </c>
      <c r="C41" s="2" t="s">
        <v>48</v>
      </c>
      <c r="D41">
        <v>2511</v>
      </c>
      <c r="E41">
        <v>120</v>
      </c>
      <c r="F41">
        <v>438</v>
      </c>
      <c r="G41">
        <f>kursy3[[#This Row],[Cena]]/kursy3[[#This Row],[Odleglosc]]</f>
        <v>3.65</v>
      </c>
    </row>
    <row r="42" spans="1:7" x14ac:dyDescent="0.25">
      <c r="A42" s="1">
        <v>43076</v>
      </c>
      <c r="B42" s="2" t="s">
        <v>59</v>
      </c>
      <c r="C42" s="2" t="s">
        <v>8</v>
      </c>
      <c r="D42">
        <v>1093</v>
      </c>
      <c r="E42">
        <v>110</v>
      </c>
      <c r="F42">
        <v>400</v>
      </c>
      <c r="G42">
        <f>kursy3[[#This Row],[Cena]]/kursy3[[#This Row],[Odleglosc]]</f>
        <v>3.6363636363636362</v>
      </c>
    </row>
    <row r="43" spans="1:7" x14ac:dyDescent="0.25">
      <c r="A43" s="1">
        <v>42854</v>
      </c>
      <c r="B43" s="2" t="s">
        <v>50</v>
      </c>
      <c r="C43" s="2" t="s">
        <v>17</v>
      </c>
      <c r="D43">
        <v>3435</v>
      </c>
      <c r="E43">
        <v>146</v>
      </c>
      <c r="F43">
        <v>530</v>
      </c>
      <c r="G43">
        <f>kursy3[[#This Row],[Cena]]/kursy3[[#This Row],[Odleglosc]]</f>
        <v>3.6301369863013697</v>
      </c>
    </row>
    <row r="44" spans="1:7" x14ac:dyDescent="0.25">
      <c r="A44" s="1">
        <v>42878</v>
      </c>
      <c r="B44" s="2" t="s">
        <v>36</v>
      </c>
      <c r="C44" s="2" t="s">
        <v>13</v>
      </c>
      <c r="D44">
        <v>3007</v>
      </c>
      <c r="E44">
        <v>391</v>
      </c>
      <c r="F44">
        <v>1406</v>
      </c>
      <c r="G44">
        <f>kursy3[[#This Row],[Cena]]/kursy3[[#This Row],[Odleglosc]]</f>
        <v>3.5959079283887467</v>
      </c>
    </row>
    <row r="45" spans="1:7" x14ac:dyDescent="0.25">
      <c r="A45" s="1">
        <v>42844</v>
      </c>
      <c r="B45" s="2" t="s">
        <v>44</v>
      </c>
      <c r="C45" s="2" t="s">
        <v>55</v>
      </c>
      <c r="D45">
        <v>1021</v>
      </c>
      <c r="E45">
        <v>184</v>
      </c>
      <c r="F45">
        <v>660</v>
      </c>
      <c r="G45">
        <f>kursy3[[#This Row],[Cena]]/kursy3[[#This Row],[Odleglosc]]</f>
        <v>3.5869565217391304</v>
      </c>
    </row>
    <row r="46" spans="1:7" x14ac:dyDescent="0.25">
      <c r="A46" s="1">
        <v>42896</v>
      </c>
      <c r="B46" s="2" t="s">
        <v>46</v>
      </c>
      <c r="C46" s="2" t="s">
        <v>54</v>
      </c>
      <c r="D46">
        <v>5660</v>
      </c>
      <c r="E46">
        <v>137</v>
      </c>
      <c r="F46">
        <v>490</v>
      </c>
      <c r="G46">
        <f>kursy3[[#This Row],[Cena]]/kursy3[[#This Row],[Odleglosc]]</f>
        <v>3.5766423357664232</v>
      </c>
    </row>
    <row r="47" spans="1:7" x14ac:dyDescent="0.25">
      <c r="A47" s="1">
        <v>43059</v>
      </c>
      <c r="B47" s="2" t="s">
        <v>40</v>
      </c>
      <c r="C47" s="2" t="s">
        <v>30</v>
      </c>
      <c r="D47">
        <v>5214</v>
      </c>
      <c r="E47">
        <v>178</v>
      </c>
      <c r="F47">
        <v>634</v>
      </c>
      <c r="G47">
        <f>kursy3[[#This Row],[Cena]]/kursy3[[#This Row],[Odleglosc]]</f>
        <v>3.5617977528089888</v>
      </c>
    </row>
    <row r="48" spans="1:7" x14ac:dyDescent="0.25">
      <c r="A48" s="1">
        <v>42862</v>
      </c>
      <c r="B48" s="2" t="s">
        <v>19</v>
      </c>
      <c r="C48" s="2" t="s">
        <v>29</v>
      </c>
      <c r="D48">
        <v>2929</v>
      </c>
      <c r="E48">
        <v>111</v>
      </c>
      <c r="F48">
        <v>395</v>
      </c>
      <c r="G48">
        <f>kursy3[[#This Row],[Cena]]/kursy3[[#This Row],[Odleglosc]]</f>
        <v>3.5585585585585586</v>
      </c>
    </row>
    <row r="49" spans="1:7" x14ac:dyDescent="0.25">
      <c r="A49" s="1">
        <v>42883</v>
      </c>
      <c r="B49" s="2" t="s">
        <v>9</v>
      </c>
      <c r="C49" s="2" t="s">
        <v>58</v>
      </c>
      <c r="D49">
        <v>1777</v>
      </c>
      <c r="E49">
        <v>552</v>
      </c>
      <c r="F49">
        <v>1964</v>
      </c>
      <c r="G49">
        <f>kursy3[[#This Row],[Cena]]/kursy3[[#This Row],[Odleglosc]]</f>
        <v>3.5579710144927534</v>
      </c>
    </row>
    <row r="50" spans="1:7" x14ac:dyDescent="0.25">
      <c r="A50" s="1">
        <v>42747</v>
      </c>
      <c r="B50" s="2" t="s">
        <v>14</v>
      </c>
      <c r="C50" s="2" t="s">
        <v>15</v>
      </c>
      <c r="D50">
        <v>3771</v>
      </c>
      <c r="E50">
        <v>196</v>
      </c>
      <c r="F50">
        <v>696</v>
      </c>
      <c r="G50">
        <f>kursy3[[#This Row],[Cena]]/kursy3[[#This Row],[Odleglosc]]</f>
        <v>3.5510204081632653</v>
      </c>
    </row>
    <row r="51" spans="1:7" x14ac:dyDescent="0.25">
      <c r="A51" s="1">
        <v>42851</v>
      </c>
      <c r="B51" s="2" t="s">
        <v>23</v>
      </c>
      <c r="C51" s="2" t="s">
        <v>42</v>
      </c>
      <c r="D51">
        <v>2443</v>
      </c>
      <c r="E51">
        <v>392</v>
      </c>
      <c r="F51">
        <v>1392</v>
      </c>
      <c r="G51">
        <f>kursy3[[#This Row],[Cena]]/kursy3[[#This Row],[Odleglosc]]</f>
        <v>3.5510204081632653</v>
      </c>
    </row>
    <row r="52" spans="1:7" x14ac:dyDescent="0.25">
      <c r="A52" s="1">
        <v>42991</v>
      </c>
      <c r="B52" s="2" t="s">
        <v>12</v>
      </c>
      <c r="C52" s="2" t="s">
        <v>7</v>
      </c>
      <c r="D52">
        <v>2935</v>
      </c>
      <c r="E52">
        <v>162</v>
      </c>
      <c r="F52">
        <v>572</v>
      </c>
      <c r="G52">
        <f>kursy3[[#This Row],[Cena]]/kursy3[[#This Row],[Odleglosc]]</f>
        <v>3.5308641975308643</v>
      </c>
    </row>
    <row r="53" spans="1:7" x14ac:dyDescent="0.25">
      <c r="A53" s="1">
        <v>43014</v>
      </c>
      <c r="B53" s="2" t="s">
        <v>37</v>
      </c>
      <c r="C53" s="2" t="s">
        <v>35</v>
      </c>
      <c r="D53">
        <v>5798</v>
      </c>
      <c r="E53">
        <v>142</v>
      </c>
      <c r="F53">
        <v>501</v>
      </c>
      <c r="G53">
        <f>kursy3[[#This Row],[Cena]]/kursy3[[#This Row],[Odleglosc]]</f>
        <v>3.528169014084507</v>
      </c>
    </row>
    <row r="54" spans="1:7" x14ac:dyDescent="0.25">
      <c r="A54" s="1">
        <v>42757</v>
      </c>
      <c r="B54" s="2" t="s">
        <v>6</v>
      </c>
      <c r="C54" s="2" t="s">
        <v>12</v>
      </c>
      <c r="D54">
        <v>5983</v>
      </c>
      <c r="E54">
        <v>118</v>
      </c>
      <c r="F54">
        <v>416</v>
      </c>
      <c r="G54">
        <f>kursy3[[#This Row],[Cena]]/kursy3[[#This Row],[Odleglosc]]</f>
        <v>3.5254237288135593</v>
      </c>
    </row>
    <row r="55" spans="1:7" x14ac:dyDescent="0.25">
      <c r="A55" s="1">
        <v>42847</v>
      </c>
      <c r="B55" s="2" t="s">
        <v>45</v>
      </c>
      <c r="C55" s="2" t="s">
        <v>44</v>
      </c>
      <c r="D55">
        <v>2050</v>
      </c>
      <c r="E55">
        <v>162</v>
      </c>
      <c r="F55">
        <v>569</v>
      </c>
      <c r="G55">
        <f>kursy3[[#This Row],[Cena]]/kursy3[[#This Row],[Odleglosc]]</f>
        <v>3.5123456790123457</v>
      </c>
    </row>
    <row r="56" spans="1:7" x14ac:dyDescent="0.25">
      <c r="A56" s="1">
        <v>43075</v>
      </c>
      <c r="B56" s="2" t="s">
        <v>38</v>
      </c>
      <c r="C56" s="2" t="s">
        <v>59</v>
      </c>
      <c r="D56">
        <v>2781</v>
      </c>
      <c r="E56">
        <v>409</v>
      </c>
      <c r="F56">
        <v>1436</v>
      </c>
      <c r="G56">
        <f>kursy3[[#This Row],[Cena]]/kursy3[[#This Row],[Odleglosc]]</f>
        <v>3.511002444987775</v>
      </c>
    </row>
    <row r="57" spans="1:7" x14ac:dyDescent="0.25">
      <c r="A57" s="1">
        <v>42815</v>
      </c>
      <c r="B57" s="2" t="s">
        <v>34</v>
      </c>
      <c r="C57" s="2" t="s">
        <v>46</v>
      </c>
      <c r="D57">
        <v>1168</v>
      </c>
      <c r="E57">
        <v>143</v>
      </c>
      <c r="F57">
        <v>501</v>
      </c>
      <c r="G57">
        <f>kursy3[[#This Row],[Cena]]/kursy3[[#This Row],[Odleglosc]]</f>
        <v>3.5034965034965033</v>
      </c>
    </row>
    <row r="58" spans="1:7" x14ac:dyDescent="0.25">
      <c r="A58" s="1">
        <v>42886</v>
      </c>
      <c r="B58" s="2" t="s">
        <v>62</v>
      </c>
      <c r="C58" s="2" t="s">
        <v>63</v>
      </c>
      <c r="D58">
        <v>3380</v>
      </c>
      <c r="E58">
        <v>155</v>
      </c>
      <c r="F58">
        <v>542</v>
      </c>
      <c r="G58">
        <f>kursy3[[#This Row],[Cena]]/kursy3[[#This Row],[Odleglosc]]</f>
        <v>3.4967741935483869</v>
      </c>
    </row>
    <row r="59" spans="1:7" x14ac:dyDescent="0.25">
      <c r="A59" s="1">
        <v>43002</v>
      </c>
      <c r="B59" s="2" t="s">
        <v>43</v>
      </c>
      <c r="C59" s="2" t="s">
        <v>64</v>
      </c>
      <c r="D59">
        <v>4378</v>
      </c>
      <c r="E59">
        <v>187</v>
      </c>
      <c r="F59">
        <v>653</v>
      </c>
      <c r="G59">
        <f>kursy3[[#This Row],[Cena]]/kursy3[[#This Row],[Odleglosc]]</f>
        <v>3.4919786096256686</v>
      </c>
    </row>
    <row r="60" spans="1:7" x14ac:dyDescent="0.25">
      <c r="A60" s="1">
        <v>42953</v>
      </c>
      <c r="B60" s="2" t="s">
        <v>67</v>
      </c>
      <c r="C60" s="2" t="s">
        <v>48</v>
      </c>
      <c r="D60">
        <v>3456</v>
      </c>
      <c r="E60">
        <v>542</v>
      </c>
      <c r="F60">
        <v>1891</v>
      </c>
      <c r="G60">
        <f>kursy3[[#This Row],[Cena]]/kursy3[[#This Row],[Odleglosc]]</f>
        <v>3.4889298892988929</v>
      </c>
    </row>
    <row r="61" spans="1:7" x14ac:dyDescent="0.25">
      <c r="A61" s="1">
        <v>42959</v>
      </c>
      <c r="B61" s="2" t="s">
        <v>37</v>
      </c>
      <c r="C61" s="2" t="s">
        <v>35</v>
      </c>
      <c r="D61">
        <v>1328</v>
      </c>
      <c r="E61">
        <v>148</v>
      </c>
      <c r="F61">
        <v>516</v>
      </c>
      <c r="G61">
        <f>kursy3[[#This Row],[Cena]]/kursy3[[#This Row],[Odleglosc]]</f>
        <v>3.4864864864864864</v>
      </c>
    </row>
    <row r="62" spans="1:7" x14ac:dyDescent="0.25">
      <c r="A62" s="1">
        <v>43028</v>
      </c>
      <c r="B62" s="2" t="s">
        <v>69</v>
      </c>
      <c r="C62" s="2" t="s">
        <v>67</v>
      </c>
      <c r="D62">
        <v>5570</v>
      </c>
      <c r="E62">
        <v>166</v>
      </c>
      <c r="F62">
        <v>577</v>
      </c>
      <c r="G62">
        <f>kursy3[[#This Row],[Cena]]/kursy3[[#This Row],[Odleglosc]]</f>
        <v>3.4759036144578315</v>
      </c>
    </row>
    <row r="63" spans="1:7" x14ac:dyDescent="0.25">
      <c r="A63" s="1">
        <v>43056</v>
      </c>
      <c r="B63" s="2" t="s">
        <v>23</v>
      </c>
      <c r="C63" s="2" t="s">
        <v>21</v>
      </c>
      <c r="D63">
        <v>3411</v>
      </c>
      <c r="E63">
        <v>166</v>
      </c>
      <c r="F63">
        <v>574</v>
      </c>
      <c r="G63">
        <f>kursy3[[#This Row],[Cena]]/kursy3[[#This Row],[Odleglosc]]</f>
        <v>3.4578313253012047</v>
      </c>
    </row>
    <row r="64" spans="1:7" x14ac:dyDescent="0.25">
      <c r="A64" s="1">
        <v>43029</v>
      </c>
      <c r="B64" s="2" t="s">
        <v>67</v>
      </c>
      <c r="C64" s="2" t="s">
        <v>66</v>
      </c>
      <c r="D64">
        <v>3948</v>
      </c>
      <c r="E64">
        <v>137</v>
      </c>
      <c r="F64">
        <v>469</v>
      </c>
      <c r="G64">
        <f>kursy3[[#This Row],[Cena]]/kursy3[[#This Row],[Odleglosc]]</f>
        <v>3.4233576642335768</v>
      </c>
    </row>
    <row r="65" spans="1:7" x14ac:dyDescent="0.25">
      <c r="A65" s="1">
        <v>43086</v>
      </c>
      <c r="B65" s="2" t="s">
        <v>37</v>
      </c>
      <c r="C65" s="2" t="s">
        <v>38</v>
      </c>
      <c r="D65">
        <v>1173</v>
      </c>
      <c r="E65">
        <v>139</v>
      </c>
      <c r="F65">
        <v>475</v>
      </c>
      <c r="G65">
        <f>kursy3[[#This Row],[Cena]]/kursy3[[#This Row],[Odleglosc]]</f>
        <v>3.4172661870503598</v>
      </c>
    </row>
    <row r="66" spans="1:7" x14ac:dyDescent="0.25">
      <c r="A66" s="1">
        <v>43019</v>
      </c>
      <c r="B66" s="2" t="s">
        <v>15</v>
      </c>
      <c r="C66" s="2" t="s">
        <v>26</v>
      </c>
      <c r="D66">
        <v>4059</v>
      </c>
      <c r="E66">
        <v>162</v>
      </c>
      <c r="F66">
        <v>550</v>
      </c>
      <c r="G66">
        <f>kursy3[[#This Row],[Cena]]/kursy3[[#This Row],[Odleglosc]]</f>
        <v>3.3950617283950617</v>
      </c>
    </row>
    <row r="67" spans="1:7" x14ac:dyDescent="0.25">
      <c r="A67" s="1">
        <v>42855</v>
      </c>
      <c r="B67" s="2" t="s">
        <v>57</v>
      </c>
      <c r="C67" s="2" t="s">
        <v>32</v>
      </c>
      <c r="D67">
        <v>3358</v>
      </c>
      <c r="E67">
        <v>168</v>
      </c>
      <c r="F67">
        <v>569</v>
      </c>
      <c r="G67">
        <f>kursy3[[#This Row],[Cena]]/kursy3[[#This Row],[Odleglosc]]</f>
        <v>3.3869047619047619</v>
      </c>
    </row>
    <row r="68" spans="1:7" x14ac:dyDescent="0.25">
      <c r="A68" s="1">
        <v>42771</v>
      </c>
      <c r="B68" s="2" t="s">
        <v>21</v>
      </c>
      <c r="C68" s="2" t="s">
        <v>14</v>
      </c>
      <c r="D68">
        <v>3295</v>
      </c>
      <c r="E68">
        <v>103</v>
      </c>
      <c r="F68">
        <v>346</v>
      </c>
      <c r="G68">
        <f>kursy3[[#This Row],[Cena]]/kursy3[[#This Row],[Odleglosc]]</f>
        <v>3.3592233009708736</v>
      </c>
    </row>
    <row r="69" spans="1:7" x14ac:dyDescent="0.25">
      <c r="A69" s="1">
        <v>43067</v>
      </c>
      <c r="B69" s="2" t="s">
        <v>61</v>
      </c>
      <c r="C69" s="2" t="s">
        <v>48</v>
      </c>
      <c r="D69">
        <v>2798</v>
      </c>
      <c r="E69">
        <v>109</v>
      </c>
      <c r="F69">
        <v>366</v>
      </c>
      <c r="G69">
        <f>kursy3[[#This Row],[Cena]]/kursy3[[#This Row],[Odleglosc]]</f>
        <v>3.3577981651376145</v>
      </c>
    </row>
    <row r="70" spans="1:7" x14ac:dyDescent="0.25">
      <c r="A70" s="1">
        <v>42759</v>
      </c>
      <c r="B70" s="2" t="s">
        <v>6</v>
      </c>
      <c r="C70" s="2" t="s">
        <v>11</v>
      </c>
      <c r="D70">
        <v>4572</v>
      </c>
      <c r="E70">
        <v>164</v>
      </c>
      <c r="F70">
        <v>550</v>
      </c>
      <c r="G70">
        <f>kursy3[[#This Row],[Cena]]/kursy3[[#This Row],[Odleglosc]]</f>
        <v>3.3536585365853657</v>
      </c>
    </row>
    <row r="71" spans="1:7" x14ac:dyDescent="0.25">
      <c r="A71" s="1">
        <v>42895</v>
      </c>
      <c r="B71" s="2" t="s">
        <v>19</v>
      </c>
      <c r="C71" s="2" t="s">
        <v>46</v>
      </c>
      <c r="D71">
        <v>2906</v>
      </c>
      <c r="E71">
        <v>119</v>
      </c>
      <c r="F71">
        <v>398</v>
      </c>
      <c r="G71">
        <f>kursy3[[#This Row],[Cena]]/kursy3[[#This Row],[Odleglosc]]</f>
        <v>3.3445378151260505</v>
      </c>
    </row>
    <row r="72" spans="1:7" x14ac:dyDescent="0.25">
      <c r="A72" s="1">
        <v>42948</v>
      </c>
      <c r="B72" s="2" t="s">
        <v>27</v>
      </c>
      <c r="C72" s="2" t="s">
        <v>25</v>
      </c>
      <c r="D72">
        <v>2697</v>
      </c>
      <c r="E72">
        <v>209</v>
      </c>
      <c r="F72">
        <v>699</v>
      </c>
      <c r="G72">
        <f>kursy3[[#This Row],[Cena]]/kursy3[[#This Row],[Odleglosc]]</f>
        <v>3.3444976076555024</v>
      </c>
    </row>
    <row r="73" spans="1:7" x14ac:dyDescent="0.25">
      <c r="A73" s="1">
        <v>42750</v>
      </c>
      <c r="B73" s="2" t="s">
        <v>17</v>
      </c>
      <c r="C73" s="2" t="s">
        <v>18</v>
      </c>
      <c r="D73">
        <v>4588</v>
      </c>
      <c r="E73">
        <v>148</v>
      </c>
      <c r="F73">
        <v>494</v>
      </c>
      <c r="G73">
        <f>kursy3[[#This Row],[Cena]]/kursy3[[#This Row],[Odleglosc]]</f>
        <v>3.3378378378378377</v>
      </c>
    </row>
    <row r="74" spans="1:7" x14ac:dyDescent="0.25">
      <c r="A74" s="1">
        <v>42807</v>
      </c>
      <c r="B74" s="2" t="s">
        <v>26</v>
      </c>
      <c r="C74" s="2" t="s">
        <v>43</v>
      </c>
      <c r="D74">
        <v>4154</v>
      </c>
      <c r="E74">
        <v>277</v>
      </c>
      <c r="F74">
        <v>924</v>
      </c>
      <c r="G74">
        <f>kursy3[[#This Row],[Cena]]/kursy3[[#This Row],[Odleglosc]]</f>
        <v>3.335740072202166</v>
      </c>
    </row>
    <row r="75" spans="1:7" x14ac:dyDescent="0.25">
      <c r="A75" s="1">
        <v>42973</v>
      </c>
      <c r="B75" s="2" t="s">
        <v>68</v>
      </c>
      <c r="C75" s="2" t="s">
        <v>19</v>
      </c>
      <c r="D75">
        <v>1347</v>
      </c>
      <c r="E75">
        <v>173</v>
      </c>
      <c r="F75">
        <v>576</v>
      </c>
      <c r="G75">
        <f>kursy3[[#This Row],[Cena]]/kursy3[[#This Row],[Odleglosc]]</f>
        <v>3.3294797687861273</v>
      </c>
    </row>
    <row r="76" spans="1:7" x14ac:dyDescent="0.25">
      <c r="A76" s="1">
        <v>42756</v>
      </c>
      <c r="B76" s="2" t="s">
        <v>9</v>
      </c>
      <c r="C76" s="2" t="s">
        <v>6</v>
      </c>
      <c r="D76">
        <v>5593</v>
      </c>
      <c r="E76">
        <v>127</v>
      </c>
      <c r="F76">
        <v>421</v>
      </c>
      <c r="G76">
        <f>kursy3[[#This Row],[Cena]]/kursy3[[#This Row],[Odleglosc]]</f>
        <v>3.3149606299212597</v>
      </c>
    </row>
    <row r="77" spans="1:7" x14ac:dyDescent="0.25">
      <c r="A77" s="1">
        <v>42767</v>
      </c>
      <c r="B77" s="2" t="s">
        <v>23</v>
      </c>
      <c r="C77" s="2" t="s">
        <v>25</v>
      </c>
      <c r="D77">
        <v>5671</v>
      </c>
      <c r="E77">
        <v>118</v>
      </c>
      <c r="F77">
        <v>390</v>
      </c>
      <c r="G77">
        <f>kursy3[[#This Row],[Cena]]/kursy3[[#This Row],[Odleglosc]]</f>
        <v>3.3050847457627119</v>
      </c>
    </row>
    <row r="78" spans="1:7" x14ac:dyDescent="0.25">
      <c r="A78" s="1">
        <v>43080</v>
      </c>
      <c r="B78" s="2" t="s">
        <v>8</v>
      </c>
      <c r="C78" s="2" t="s">
        <v>20</v>
      </c>
      <c r="D78">
        <v>4981</v>
      </c>
      <c r="E78">
        <v>138</v>
      </c>
      <c r="F78">
        <v>455</v>
      </c>
      <c r="G78">
        <f>kursy3[[#This Row],[Cena]]/kursy3[[#This Row],[Odleglosc]]</f>
        <v>3.2971014492753623</v>
      </c>
    </row>
    <row r="79" spans="1:7" x14ac:dyDescent="0.25">
      <c r="A79" s="1">
        <v>42902</v>
      </c>
      <c r="B79" s="2" t="s">
        <v>68</v>
      </c>
      <c r="C79" s="2" t="s">
        <v>69</v>
      </c>
      <c r="D79">
        <v>4769</v>
      </c>
      <c r="E79">
        <v>160</v>
      </c>
      <c r="F79">
        <v>522</v>
      </c>
      <c r="G79">
        <f>kursy3[[#This Row],[Cena]]/kursy3[[#This Row],[Odleglosc]]</f>
        <v>3.2625000000000002</v>
      </c>
    </row>
    <row r="80" spans="1:7" x14ac:dyDescent="0.25">
      <c r="A80" s="1">
        <v>43081</v>
      </c>
      <c r="B80" s="2" t="s">
        <v>20</v>
      </c>
      <c r="C80" s="2" t="s">
        <v>60</v>
      </c>
      <c r="D80">
        <v>3436</v>
      </c>
      <c r="E80">
        <v>114</v>
      </c>
      <c r="F80">
        <v>370</v>
      </c>
      <c r="G80">
        <f>kursy3[[#This Row],[Cena]]/kursy3[[#This Row],[Odleglosc]]</f>
        <v>3.2456140350877192</v>
      </c>
    </row>
    <row r="81" spans="1:7" x14ac:dyDescent="0.25">
      <c r="A81" s="1">
        <v>43098</v>
      </c>
      <c r="B81" s="2" t="s">
        <v>52</v>
      </c>
      <c r="C81" s="2" t="s">
        <v>15</v>
      </c>
      <c r="D81">
        <v>4748</v>
      </c>
      <c r="E81">
        <v>152</v>
      </c>
      <c r="F81">
        <v>491</v>
      </c>
      <c r="G81">
        <f>kursy3[[#This Row],[Cena]]/kursy3[[#This Row],[Odleglosc]]</f>
        <v>3.2302631578947367</v>
      </c>
    </row>
    <row r="82" spans="1:7" x14ac:dyDescent="0.25">
      <c r="A82" s="1">
        <v>43045</v>
      </c>
      <c r="B82" s="2" t="s">
        <v>60</v>
      </c>
      <c r="C82" s="2" t="s">
        <v>71</v>
      </c>
      <c r="D82">
        <v>3600</v>
      </c>
      <c r="E82">
        <v>211</v>
      </c>
      <c r="F82">
        <v>670</v>
      </c>
      <c r="G82">
        <f>kursy3[[#This Row],[Cena]]/kursy3[[#This Row],[Odleglosc]]</f>
        <v>3.175355450236967</v>
      </c>
    </row>
    <row r="83" spans="1:7" x14ac:dyDescent="0.25">
      <c r="A83" s="1">
        <v>42803</v>
      </c>
      <c r="B83" s="2" t="s">
        <v>20</v>
      </c>
      <c r="C83" s="2" t="s">
        <v>40</v>
      </c>
      <c r="D83">
        <v>4505</v>
      </c>
      <c r="E83">
        <v>118</v>
      </c>
      <c r="F83">
        <v>374</v>
      </c>
      <c r="G83">
        <f>kursy3[[#This Row],[Cena]]/kursy3[[#This Row],[Odleglosc]]</f>
        <v>3.1694915254237288</v>
      </c>
    </row>
    <row r="84" spans="1:7" x14ac:dyDescent="0.25">
      <c r="A84" s="1">
        <v>42987</v>
      </c>
      <c r="B84" s="2" t="s">
        <v>59</v>
      </c>
      <c r="C84" s="2" t="s">
        <v>65</v>
      </c>
      <c r="D84">
        <v>5041</v>
      </c>
      <c r="E84">
        <v>101</v>
      </c>
      <c r="F84">
        <v>319</v>
      </c>
      <c r="G84">
        <f>kursy3[[#This Row],[Cena]]/kursy3[[#This Row],[Odleglosc]]</f>
        <v>3.1584158415841586</v>
      </c>
    </row>
    <row r="85" spans="1:7" x14ac:dyDescent="0.25">
      <c r="A85" s="1">
        <v>42870</v>
      </c>
      <c r="B85" s="2" t="s">
        <v>60</v>
      </c>
      <c r="C85" s="2" t="s">
        <v>47</v>
      </c>
      <c r="D85">
        <v>4863</v>
      </c>
      <c r="E85">
        <v>141</v>
      </c>
      <c r="F85">
        <v>444</v>
      </c>
      <c r="G85">
        <f>kursy3[[#This Row],[Cena]]/kursy3[[#This Row],[Odleglosc]]</f>
        <v>3.1489361702127661</v>
      </c>
    </row>
    <row r="86" spans="1:7" x14ac:dyDescent="0.25">
      <c r="A86" s="1">
        <v>43083</v>
      </c>
      <c r="B86" s="2" t="s">
        <v>47</v>
      </c>
      <c r="C86" s="2" t="s">
        <v>54</v>
      </c>
      <c r="D86">
        <v>1981</v>
      </c>
      <c r="E86">
        <v>126</v>
      </c>
      <c r="F86">
        <v>396</v>
      </c>
      <c r="G86">
        <f>kursy3[[#This Row],[Cena]]/kursy3[[#This Row],[Odleglosc]]</f>
        <v>3.1428571428571428</v>
      </c>
    </row>
    <row r="87" spans="1:7" x14ac:dyDescent="0.25">
      <c r="A87" s="1">
        <v>43026</v>
      </c>
      <c r="B87" s="2" t="s">
        <v>29</v>
      </c>
      <c r="C87" s="2" t="s">
        <v>59</v>
      </c>
      <c r="D87">
        <v>2987</v>
      </c>
      <c r="E87">
        <v>149</v>
      </c>
      <c r="F87">
        <v>464</v>
      </c>
      <c r="G87">
        <f>kursy3[[#This Row],[Cena]]/kursy3[[#This Row],[Odleglosc]]</f>
        <v>3.1140939597315436</v>
      </c>
    </row>
    <row r="88" spans="1:7" x14ac:dyDescent="0.25">
      <c r="A88" s="1">
        <v>43004</v>
      </c>
      <c r="B88" s="2" t="s">
        <v>25</v>
      </c>
      <c r="C88" s="2" t="s">
        <v>52</v>
      </c>
      <c r="D88">
        <v>2133</v>
      </c>
      <c r="E88">
        <v>166</v>
      </c>
      <c r="F88">
        <v>513</v>
      </c>
      <c r="G88">
        <f>kursy3[[#This Row],[Cena]]/kursy3[[#This Row],[Odleglosc]]</f>
        <v>3.0903614457831323</v>
      </c>
    </row>
    <row r="89" spans="1:7" x14ac:dyDescent="0.25">
      <c r="A89" s="1">
        <v>42915</v>
      </c>
      <c r="B89" s="2" t="s">
        <v>22</v>
      </c>
      <c r="C89" s="2" t="s">
        <v>21</v>
      </c>
      <c r="D89">
        <v>3691</v>
      </c>
      <c r="E89">
        <v>170</v>
      </c>
      <c r="F89">
        <v>525</v>
      </c>
      <c r="G89">
        <f>kursy3[[#This Row],[Cena]]/kursy3[[#This Row],[Odleglosc]]</f>
        <v>3.0882352941176472</v>
      </c>
    </row>
    <row r="90" spans="1:7" x14ac:dyDescent="0.25">
      <c r="A90" s="1">
        <v>42760</v>
      </c>
      <c r="B90" s="2" t="s">
        <v>11</v>
      </c>
      <c r="C90" s="2" t="s">
        <v>12</v>
      </c>
      <c r="D90">
        <v>4529</v>
      </c>
      <c r="E90">
        <v>121</v>
      </c>
      <c r="F90">
        <v>373</v>
      </c>
      <c r="G90">
        <f>kursy3[[#This Row],[Cena]]/kursy3[[#This Row],[Odleglosc]]</f>
        <v>3.0826446280991737</v>
      </c>
    </row>
    <row r="91" spans="1:7" x14ac:dyDescent="0.25">
      <c r="A91" s="1">
        <v>42805</v>
      </c>
      <c r="B91" s="2" t="s">
        <v>41</v>
      </c>
      <c r="C91" s="2" t="s">
        <v>16</v>
      </c>
      <c r="D91">
        <v>2835</v>
      </c>
      <c r="E91">
        <v>136</v>
      </c>
      <c r="F91">
        <v>418</v>
      </c>
      <c r="G91">
        <f>kursy3[[#This Row],[Cena]]/kursy3[[#This Row],[Odleglosc]]</f>
        <v>3.0735294117647061</v>
      </c>
    </row>
    <row r="92" spans="1:7" x14ac:dyDescent="0.25">
      <c r="A92" s="1">
        <v>43048</v>
      </c>
      <c r="B92" s="2" t="s">
        <v>9</v>
      </c>
      <c r="C92" s="2" t="s">
        <v>6</v>
      </c>
      <c r="D92">
        <v>3154</v>
      </c>
      <c r="E92">
        <v>127</v>
      </c>
      <c r="F92">
        <v>390</v>
      </c>
      <c r="G92">
        <f>kursy3[[#This Row],[Cena]]/kursy3[[#This Row],[Odleglosc]]</f>
        <v>3.0708661417322833</v>
      </c>
    </row>
    <row r="93" spans="1:7" x14ac:dyDescent="0.25">
      <c r="A93" s="1">
        <v>42931</v>
      </c>
      <c r="B93" s="2" t="s">
        <v>44</v>
      </c>
      <c r="C93" s="2" t="s">
        <v>56</v>
      </c>
      <c r="D93">
        <v>3077</v>
      </c>
      <c r="E93">
        <v>148</v>
      </c>
      <c r="F93">
        <v>454</v>
      </c>
      <c r="G93">
        <f>kursy3[[#This Row],[Cena]]/kursy3[[#This Row],[Odleglosc]]</f>
        <v>3.0675675675675675</v>
      </c>
    </row>
    <row r="94" spans="1:7" x14ac:dyDescent="0.25">
      <c r="A94" s="1">
        <v>42829</v>
      </c>
      <c r="B94" s="2" t="s">
        <v>33</v>
      </c>
      <c r="C94" s="2" t="s">
        <v>38</v>
      </c>
      <c r="D94">
        <v>5626</v>
      </c>
      <c r="E94">
        <v>123</v>
      </c>
      <c r="F94">
        <v>377</v>
      </c>
      <c r="G94">
        <f>kursy3[[#This Row],[Cena]]/kursy3[[#This Row],[Odleglosc]]</f>
        <v>3.065040650406504</v>
      </c>
    </row>
    <row r="95" spans="1:7" x14ac:dyDescent="0.25">
      <c r="A95" s="1">
        <v>42960</v>
      </c>
      <c r="B95" s="2" t="s">
        <v>70</v>
      </c>
      <c r="C95" s="2" t="s">
        <v>30</v>
      </c>
      <c r="D95">
        <v>4133</v>
      </c>
      <c r="E95">
        <v>130</v>
      </c>
      <c r="F95">
        <v>398</v>
      </c>
      <c r="G95">
        <f>kursy3[[#This Row],[Cena]]/kursy3[[#This Row],[Odleglosc]]</f>
        <v>3.0615384615384613</v>
      </c>
    </row>
    <row r="96" spans="1:7" x14ac:dyDescent="0.25">
      <c r="A96" s="1">
        <v>42970</v>
      </c>
      <c r="B96" s="2" t="s">
        <v>46</v>
      </c>
      <c r="C96" s="2" t="s">
        <v>56</v>
      </c>
      <c r="D96">
        <v>3200</v>
      </c>
      <c r="E96">
        <v>138</v>
      </c>
      <c r="F96">
        <v>417</v>
      </c>
      <c r="G96">
        <f>kursy3[[#This Row],[Cena]]/kursy3[[#This Row],[Odleglosc]]</f>
        <v>3.0217391304347827</v>
      </c>
    </row>
    <row r="97" spans="1:7" x14ac:dyDescent="0.25">
      <c r="A97" s="1">
        <v>42788</v>
      </c>
      <c r="B97" s="2" t="s">
        <v>17</v>
      </c>
      <c r="C97" s="2" t="s">
        <v>34</v>
      </c>
      <c r="D97">
        <v>4053</v>
      </c>
      <c r="E97">
        <v>146</v>
      </c>
      <c r="F97">
        <v>441</v>
      </c>
      <c r="G97">
        <f>kursy3[[#This Row],[Cena]]/kursy3[[#This Row],[Odleglosc]]</f>
        <v>3.0205479452054793</v>
      </c>
    </row>
    <row r="98" spans="1:7" x14ac:dyDescent="0.25">
      <c r="A98" s="1">
        <v>42820</v>
      </c>
      <c r="B98" s="2" t="s">
        <v>17</v>
      </c>
      <c r="C98" s="2" t="s">
        <v>18</v>
      </c>
      <c r="D98">
        <v>5177</v>
      </c>
      <c r="E98">
        <v>147</v>
      </c>
      <c r="F98">
        <v>443</v>
      </c>
      <c r="G98">
        <f>kursy3[[#This Row],[Cena]]/kursy3[[#This Row],[Odleglosc]]</f>
        <v>3.0136054421768708</v>
      </c>
    </row>
    <row r="99" spans="1:7" x14ac:dyDescent="0.25">
      <c r="A99" s="1">
        <v>42928</v>
      </c>
      <c r="B99" s="2" t="s">
        <v>70</v>
      </c>
      <c r="C99" s="2" t="s">
        <v>36</v>
      </c>
      <c r="D99">
        <v>4039</v>
      </c>
      <c r="E99">
        <v>204</v>
      </c>
      <c r="F99">
        <v>614</v>
      </c>
      <c r="G99">
        <f>kursy3[[#This Row],[Cena]]/kursy3[[#This Row],[Odleglosc]]</f>
        <v>3.0098039215686274</v>
      </c>
    </row>
    <row r="100" spans="1:7" x14ac:dyDescent="0.25">
      <c r="A100" s="1">
        <v>43088</v>
      </c>
      <c r="B100" s="2" t="s">
        <v>39</v>
      </c>
      <c r="C100" s="2" t="s">
        <v>18</v>
      </c>
      <c r="D100">
        <v>1572</v>
      </c>
      <c r="E100">
        <v>159</v>
      </c>
      <c r="F100">
        <v>476</v>
      </c>
      <c r="G100">
        <f>kursy3[[#This Row],[Cena]]/kursy3[[#This Row],[Odleglosc]]</f>
        <v>2.9937106918238992</v>
      </c>
    </row>
    <row r="101" spans="1:7" x14ac:dyDescent="0.25">
      <c r="A101" s="1">
        <v>42745</v>
      </c>
      <c r="B101" s="2" t="s">
        <v>13</v>
      </c>
      <c r="C101" s="2" t="s">
        <v>9</v>
      </c>
      <c r="D101">
        <v>1364</v>
      </c>
      <c r="E101">
        <v>179</v>
      </c>
      <c r="F101">
        <v>533</v>
      </c>
      <c r="G101">
        <f>kursy3[[#This Row],[Cena]]/kursy3[[#This Row],[Odleglosc]]</f>
        <v>2.977653631284916</v>
      </c>
    </row>
    <row r="102" spans="1:7" x14ac:dyDescent="0.25">
      <c r="A102" s="1">
        <v>43053</v>
      </c>
      <c r="B102" s="2" t="s">
        <v>66</v>
      </c>
      <c r="C102" s="2" t="s">
        <v>45</v>
      </c>
      <c r="D102">
        <v>1720</v>
      </c>
      <c r="E102">
        <v>122</v>
      </c>
      <c r="F102">
        <v>363</v>
      </c>
      <c r="G102">
        <f>kursy3[[#This Row],[Cena]]/kursy3[[#This Row],[Odleglosc]]</f>
        <v>2.9754098360655736</v>
      </c>
    </row>
    <row r="103" spans="1:7" x14ac:dyDescent="0.25">
      <c r="A103" s="1">
        <v>42780</v>
      </c>
      <c r="B103" s="2" t="s">
        <v>11</v>
      </c>
      <c r="C103" s="2" t="s">
        <v>33</v>
      </c>
      <c r="D103">
        <v>5060</v>
      </c>
      <c r="E103">
        <v>550</v>
      </c>
      <c r="F103">
        <v>1622</v>
      </c>
      <c r="G103">
        <f>kursy3[[#This Row],[Cena]]/kursy3[[#This Row],[Odleglosc]]</f>
        <v>2.9490909090909092</v>
      </c>
    </row>
    <row r="104" spans="1:7" x14ac:dyDescent="0.25">
      <c r="A104" s="1">
        <v>43062</v>
      </c>
      <c r="B104" s="2" t="s">
        <v>35</v>
      </c>
      <c r="C104" s="2" t="s">
        <v>37</v>
      </c>
      <c r="D104">
        <v>1047</v>
      </c>
      <c r="E104">
        <v>147</v>
      </c>
      <c r="F104">
        <v>432</v>
      </c>
      <c r="G104">
        <f>kursy3[[#This Row],[Cena]]/kursy3[[#This Row],[Odleglosc]]</f>
        <v>2.9387755102040818</v>
      </c>
    </row>
    <row r="105" spans="1:7" x14ac:dyDescent="0.25">
      <c r="A105" s="1">
        <v>42777</v>
      </c>
      <c r="B105" s="2" t="s">
        <v>21</v>
      </c>
      <c r="C105" s="2" t="s">
        <v>31</v>
      </c>
      <c r="D105">
        <v>5713</v>
      </c>
      <c r="E105">
        <v>128</v>
      </c>
      <c r="F105">
        <v>376</v>
      </c>
      <c r="G105">
        <f>kursy3[[#This Row],[Cena]]/kursy3[[#This Row],[Odleglosc]]</f>
        <v>2.9375</v>
      </c>
    </row>
    <row r="106" spans="1:7" x14ac:dyDescent="0.25">
      <c r="A106" s="1">
        <v>42954</v>
      </c>
      <c r="B106" s="2" t="s">
        <v>48</v>
      </c>
      <c r="C106" s="2" t="s">
        <v>14</v>
      </c>
      <c r="D106">
        <v>1914</v>
      </c>
      <c r="E106">
        <v>138</v>
      </c>
      <c r="F106">
        <v>405</v>
      </c>
      <c r="G106">
        <f>kursy3[[#This Row],[Cena]]/kursy3[[#This Row],[Odleglosc]]</f>
        <v>2.9347826086956523</v>
      </c>
    </row>
    <row r="107" spans="1:7" x14ac:dyDescent="0.25">
      <c r="A107" s="1">
        <v>42984</v>
      </c>
      <c r="B107" s="2" t="s">
        <v>17</v>
      </c>
      <c r="C107" s="2" t="s">
        <v>39</v>
      </c>
      <c r="D107">
        <v>2750</v>
      </c>
      <c r="E107">
        <v>144</v>
      </c>
      <c r="F107">
        <v>422</v>
      </c>
      <c r="G107">
        <f>kursy3[[#This Row],[Cena]]/kursy3[[#This Row],[Odleglosc]]</f>
        <v>2.9305555555555554</v>
      </c>
    </row>
    <row r="108" spans="1:7" x14ac:dyDescent="0.25">
      <c r="A108" s="1">
        <v>42967</v>
      </c>
      <c r="B108" s="2" t="s">
        <v>72</v>
      </c>
      <c r="C108" s="2" t="s">
        <v>11</v>
      </c>
      <c r="D108">
        <v>1090</v>
      </c>
      <c r="E108">
        <v>200</v>
      </c>
      <c r="F108">
        <v>585</v>
      </c>
      <c r="G108">
        <f>kursy3[[#This Row],[Cena]]/kursy3[[#This Row],[Odleglosc]]</f>
        <v>2.9249999999999998</v>
      </c>
    </row>
    <row r="109" spans="1:7" x14ac:dyDescent="0.25">
      <c r="A109" s="1">
        <v>42867</v>
      </c>
      <c r="B109" s="2" t="s">
        <v>19</v>
      </c>
      <c r="C109" s="2" t="s">
        <v>59</v>
      </c>
      <c r="D109">
        <v>5288</v>
      </c>
      <c r="E109">
        <v>107</v>
      </c>
      <c r="F109">
        <v>312</v>
      </c>
      <c r="G109">
        <f>kursy3[[#This Row],[Cena]]/kursy3[[#This Row],[Odleglosc]]</f>
        <v>2.9158878504672896</v>
      </c>
    </row>
    <row r="110" spans="1:7" x14ac:dyDescent="0.25">
      <c r="A110" s="1">
        <v>42985</v>
      </c>
      <c r="B110" s="2" t="s">
        <v>39</v>
      </c>
      <c r="C110" s="2" t="s">
        <v>50</v>
      </c>
      <c r="D110">
        <v>1381</v>
      </c>
      <c r="E110">
        <v>192</v>
      </c>
      <c r="F110">
        <v>556</v>
      </c>
      <c r="G110">
        <f>kursy3[[#This Row],[Cena]]/kursy3[[#This Row],[Odleglosc]]</f>
        <v>2.8958333333333335</v>
      </c>
    </row>
    <row r="111" spans="1:7" x14ac:dyDescent="0.25">
      <c r="A111" s="1">
        <v>43009</v>
      </c>
      <c r="B111" s="2" t="s">
        <v>29</v>
      </c>
      <c r="C111" s="2" t="s">
        <v>28</v>
      </c>
      <c r="D111">
        <v>4649</v>
      </c>
      <c r="E111">
        <v>125</v>
      </c>
      <c r="F111">
        <v>356</v>
      </c>
      <c r="G111">
        <f>kursy3[[#This Row],[Cena]]/kursy3[[#This Row],[Odleglosc]]</f>
        <v>2.8479999999999999</v>
      </c>
    </row>
    <row r="112" spans="1:7" x14ac:dyDescent="0.25">
      <c r="A112" s="1">
        <v>42764</v>
      </c>
      <c r="B112" s="2" t="s">
        <v>22</v>
      </c>
      <c r="C112" s="2" t="s">
        <v>23</v>
      </c>
      <c r="D112">
        <v>2320</v>
      </c>
      <c r="E112">
        <v>24</v>
      </c>
      <c r="F112">
        <v>68</v>
      </c>
      <c r="G112">
        <f>kursy3[[#This Row],[Cena]]/kursy3[[#This Row],[Odleglosc]]</f>
        <v>2.8333333333333335</v>
      </c>
    </row>
    <row r="113" spans="1:7" x14ac:dyDescent="0.25">
      <c r="A113" s="1">
        <v>42993</v>
      </c>
      <c r="B113" s="2" t="s">
        <v>8</v>
      </c>
      <c r="C113" s="2" t="s">
        <v>38</v>
      </c>
      <c r="D113">
        <v>3096</v>
      </c>
      <c r="E113">
        <v>353</v>
      </c>
      <c r="F113">
        <v>993</v>
      </c>
      <c r="G113">
        <f>kursy3[[#This Row],[Cena]]/kursy3[[#This Row],[Odleglosc]]</f>
        <v>2.8130311614730878</v>
      </c>
    </row>
    <row r="114" spans="1:7" x14ac:dyDescent="0.25">
      <c r="A114" s="1">
        <v>43072</v>
      </c>
      <c r="B114" s="2" t="s">
        <v>56</v>
      </c>
      <c r="C114" s="2" t="s">
        <v>47</v>
      </c>
      <c r="D114">
        <v>5697</v>
      </c>
      <c r="E114">
        <v>257</v>
      </c>
      <c r="F114">
        <v>717</v>
      </c>
      <c r="G114">
        <f>kursy3[[#This Row],[Cena]]/kursy3[[#This Row],[Odleglosc]]</f>
        <v>2.7898832684824901</v>
      </c>
    </row>
    <row r="115" spans="1:7" x14ac:dyDescent="0.25">
      <c r="A115" s="1">
        <v>43073</v>
      </c>
      <c r="B115" s="2" t="s">
        <v>47</v>
      </c>
      <c r="C115" s="2" t="s">
        <v>46</v>
      </c>
      <c r="D115">
        <v>3192</v>
      </c>
      <c r="E115">
        <v>113</v>
      </c>
      <c r="F115">
        <v>310</v>
      </c>
      <c r="G115">
        <f>kursy3[[#This Row],[Cena]]/kursy3[[#This Row],[Odleglosc]]</f>
        <v>2.7433628318584069</v>
      </c>
    </row>
    <row r="116" spans="1:7" x14ac:dyDescent="0.25">
      <c r="A116" s="1">
        <v>42810</v>
      </c>
      <c r="B116" s="2" t="s">
        <v>15</v>
      </c>
      <c r="C116" s="2" t="s">
        <v>25</v>
      </c>
      <c r="D116">
        <v>1767</v>
      </c>
      <c r="E116">
        <v>91</v>
      </c>
      <c r="F116">
        <v>247</v>
      </c>
      <c r="G116">
        <f>kursy3[[#This Row],[Cena]]/kursy3[[#This Row],[Odleglosc]]</f>
        <v>2.7142857142857144</v>
      </c>
    </row>
    <row r="117" spans="1:7" x14ac:dyDescent="0.25">
      <c r="A117" s="1">
        <v>42982</v>
      </c>
      <c r="B117" s="2" t="s">
        <v>12</v>
      </c>
      <c r="C117" s="2" t="s">
        <v>59</v>
      </c>
      <c r="D117">
        <v>5919</v>
      </c>
      <c r="E117">
        <v>103</v>
      </c>
      <c r="F117">
        <v>279</v>
      </c>
      <c r="G117">
        <f>kursy3[[#This Row],[Cena]]/kursy3[[#This Row],[Odleglosc]]</f>
        <v>2.70873786407767</v>
      </c>
    </row>
    <row r="118" spans="1:7" x14ac:dyDescent="0.25">
      <c r="A118" s="1">
        <v>42834</v>
      </c>
      <c r="B118" s="2" t="s">
        <v>51</v>
      </c>
      <c r="C118" s="2" t="s">
        <v>44</v>
      </c>
      <c r="D118">
        <v>2678</v>
      </c>
      <c r="E118">
        <v>178</v>
      </c>
      <c r="F118">
        <v>481</v>
      </c>
      <c r="G118">
        <f>kursy3[[#This Row],[Cena]]/kursy3[[#This Row],[Odleglosc]]</f>
        <v>2.702247191011236</v>
      </c>
    </row>
    <row r="119" spans="1:7" x14ac:dyDescent="0.25">
      <c r="A119" s="1">
        <v>43021</v>
      </c>
      <c r="B119" s="2" t="s">
        <v>23</v>
      </c>
      <c r="C119" s="2" t="s">
        <v>24</v>
      </c>
      <c r="D119">
        <v>3353</v>
      </c>
      <c r="E119">
        <v>117</v>
      </c>
      <c r="F119">
        <v>312</v>
      </c>
      <c r="G119">
        <f>kursy3[[#This Row],[Cena]]/kursy3[[#This Row],[Odleglosc]]</f>
        <v>2.6666666666666665</v>
      </c>
    </row>
    <row r="120" spans="1:7" x14ac:dyDescent="0.25">
      <c r="A120" s="1">
        <v>42763</v>
      </c>
      <c r="B120" s="2" t="s">
        <v>7</v>
      </c>
      <c r="C120" s="2" t="s">
        <v>21</v>
      </c>
      <c r="D120">
        <v>1359</v>
      </c>
      <c r="E120">
        <v>130</v>
      </c>
      <c r="F120">
        <v>346</v>
      </c>
      <c r="G120">
        <f>kursy3[[#This Row],[Cena]]/kursy3[[#This Row],[Odleglosc]]</f>
        <v>2.6615384615384614</v>
      </c>
    </row>
    <row r="121" spans="1:7" x14ac:dyDescent="0.25">
      <c r="A121" s="1">
        <v>42873</v>
      </c>
      <c r="B121" s="2" t="s">
        <v>59</v>
      </c>
      <c r="C121" s="2" t="s">
        <v>61</v>
      </c>
      <c r="D121">
        <v>1730</v>
      </c>
      <c r="E121">
        <v>410</v>
      </c>
      <c r="F121">
        <v>1087</v>
      </c>
      <c r="G121">
        <f>kursy3[[#This Row],[Cena]]/kursy3[[#This Row],[Odleglosc]]</f>
        <v>2.6512195121951221</v>
      </c>
    </row>
    <row r="122" spans="1:7" x14ac:dyDescent="0.25">
      <c r="A122" s="1">
        <v>42998</v>
      </c>
      <c r="B122" s="2" t="s">
        <v>59</v>
      </c>
      <c r="C122" s="2" t="s">
        <v>19</v>
      </c>
      <c r="D122">
        <v>2914</v>
      </c>
      <c r="E122">
        <v>104</v>
      </c>
      <c r="F122">
        <v>275</v>
      </c>
      <c r="G122">
        <f>kursy3[[#This Row],[Cena]]/kursy3[[#This Row],[Odleglosc]]</f>
        <v>2.6442307692307692</v>
      </c>
    </row>
    <row r="123" spans="1:7" x14ac:dyDescent="0.25">
      <c r="A123" s="1">
        <v>43037</v>
      </c>
      <c r="B123" s="2" t="s">
        <v>37</v>
      </c>
      <c r="C123" s="2" t="s">
        <v>57</v>
      </c>
      <c r="D123">
        <v>3678</v>
      </c>
      <c r="E123">
        <v>104</v>
      </c>
      <c r="F123">
        <v>275</v>
      </c>
      <c r="G123">
        <f>kursy3[[#This Row],[Cena]]/kursy3[[#This Row],[Odleglosc]]</f>
        <v>2.6442307692307692</v>
      </c>
    </row>
    <row r="124" spans="1:7" x14ac:dyDescent="0.25">
      <c r="A124" s="1">
        <v>42927</v>
      </c>
      <c r="B124" s="2" t="s">
        <v>10</v>
      </c>
      <c r="C124" s="2" t="s">
        <v>71</v>
      </c>
      <c r="D124">
        <v>3414</v>
      </c>
      <c r="E124">
        <v>114</v>
      </c>
      <c r="F124">
        <v>301</v>
      </c>
      <c r="G124">
        <f>kursy3[[#This Row],[Cena]]/kursy3[[#This Row],[Odleglosc]]</f>
        <v>2.6403508771929824</v>
      </c>
    </row>
    <row r="125" spans="1:7" x14ac:dyDescent="0.25">
      <c r="A125" s="1">
        <v>42962</v>
      </c>
      <c r="B125" s="2" t="s">
        <v>47</v>
      </c>
      <c r="C125" s="2" t="s">
        <v>20</v>
      </c>
      <c r="D125">
        <v>5370</v>
      </c>
      <c r="E125">
        <v>266</v>
      </c>
      <c r="F125">
        <v>699</v>
      </c>
      <c r="G125">
        <f>kursy3[[#This Row],[Cena]]/kursy3[[#This Row],[Odleglosc]]</f>
        <v>2.6278195488721803</v>
      </c>
    </row>
    <row r="126" spans="1:7" x14ac:dyDescent="0.25">
      <c r="A126" s="1">
        <v>42785</v>
      </c>
      <c r="B126" s="2" t="s">
        <v>21</v>
      </c>
      <c r="C126" s="2" t="s">
        <v>7</v>
      </c>
      <c r="D126">
        <v>1743</v>
      </c>
      <c r="E126">
        <v>145</v>
      </c>
      <c r="F126">
        <v>376</v>
      </c>
      <c r="G126">
        <f>kursy3[[#This Row],[Cena]]/kursy3[[#This Row],[Odleglosc]]</f>
        <v>2.5931034482758619</v>
      </c>
    </row>
    <row r="127" spans="1:7" x14ac:dyDescent="0.25">
      <c r="A127" s="1">
        <v>43055</v>
      </c>
      <c r="B127" s="2" t="s">
        <v>70</v>
      </c>
      <c r="C127" s="2" t="s">
        <v>23</v>
      </c>
      <c r="D127">
        <v>1698</v>
      </c>
      <c r="E127">
        <v>224</v>
      </c>
      <c r="F127">
        <v>579</v>
      </c>
      <c r="G127">
        <f>kursy3[[#This Row],[Cena]]/kursy3[[#This Row],[Odleglosc]]</f>
        <v>2.5848214285714284</v>
      </c>
    </row>
    <row r="128" spans="1:7" x14ac:dyDescent="0.25">
      <c r="A128" s="1">
        <v>42929</v>
      </c>
      <c r="B128" s="2" t="s">
        <v>36</v>
      </c>
      <c r="C128" s="2" t="s">
        <v>70</v>
      </c>
      <c r="D128">
        <v>5862</v>
      </c>
      <c r="E128">
        <v>202</v>
      </c>
      <c r="F128">
        <v>518</v>
      </c>
      <c r="G128">
        <f>kursy3[[#This Row],[Cena]]/kursy3[[#This Row],[Odleglosc]]</f>
        <v>2.5643564356435644</v>
      </c>
    </row>
    <row r="129" spans="1:7" x14ac:dyDescent="0.25">
      <c r="A129" s="1">
        <v>42937</v>
      </c>
      <c r="B129" s="2" t="s">
        <v>42</v>
      </c>
      <c r="C129" s="2" t="s">
        <v>32</v>
      </c>
      <c r="D129">
        <v>3126</v>
      </c>
      <c r="E129">
        <v>124</v>
      </c>
      <c r="F129">
        <v>317</v>
      </c>
      <c r="G129">
        <f>kursy3[[#This Row],[Cena]]/kursy3[[#This Row],[Odleglosc]]</f>
        <v>2.556451612903226</v>
      </c>
    </row>
    <row r="130" spans="1:7" x14ac:dyDescent="0.25">
      <c r="A130" s="1">
        <v>42903</v>
      </c>
      <c r="B130" s="2" t="s">
        <v>69</v>
      </c>
      <c r="C130" s="2" t="s">
        <v>59</v>
      </c>
      <c r="D130">
        <v>4542</v>
      </c>
      <c r="E130">
        <v>205</v>
      </c>
      <c r="F130">
        <v>524</v>
      </c>
      <c r="G130">
        <f>kursy3[[#This Row],[Cena]]/kursy3[[#This Row],[Odleglosc]]</f>
        <v>2.5560975609756098</v>
      </c>
    </row>
    <row r="131" spans="1:7" x14ac:dyDescent="0.25">
      <c r="A131" s="1">
        <v>43032</v>
      </c>
      <c r="B131" s="2" t="s">
        <v>12</v>
      </c>
      <c r="C131" s="2" t="s">
        <v>41</v>
      </c>
      <c r="D131">
        <v>4543</v>
      </c>
      <c r="E131">
        <v>135</v>
      </c>
      <c r="F131">
        <v>345</v>
      </c>
      <c r="G131">
        <f>kursy3[[#This Row],[Cena]]/kursy3[[#This Row],[Odleglosc]]</f>
        <v>2.5555555555555554</v>
      </c>
    </row>
    <row r="132" spans="1:7" x14ac:dyDescent="0.25">
      <c r="A132" s="1">
        <v>42836</v>
      </c>
      <c r="B132" s="2" t="s">
        <v>27</v>
      </c>
      <c r="C132" s="2" t="s">
        <v>25</v>
      </c>
      <c r="D132">
        <v>1011</v>
      </c>
      <c r="E132">
        <v>211</v>
      </c>
      <c r="F132">
        <v>536</v>
      </c>
      <c r="G132">
        <f>kursy3[[#This Row],[Cena]]/kursy3[[#This Row],[Odleglosc]]</f>
        <v>2.5402843601895735</v>
      </c>
    </row>
    <row r="133" spans="1:7" x14ac:dyDescent="0.25">
      <c r="A133" s="1">
        <v>43079</v>
      </c>
      <c r="B133" s="2" t="s">
        <v>7</v>
      </c>
      <c r="C133" s="2" t="s">
        <v>8</v>
      </c>
      <c r="D133">
        <v>2939</v>
      </c>
      <c r="E133">
        <v>110</v>
      </c>
      <c r="F133">
        <v>279</v>
      </c>
      <c r="G133">
        <f>kursy3[[#This Row],[Cena]]/kursy3[[#This Row],[Odleglosc]]</f>
        <v>2.5363636363636362</v>
      </c>
    </row>
    <row r="134" spans="1:7" x14ac:dyDescent="0.25">
      <c r="A134" s="1">
        <v>42758</v>
      </c>
      <c r="B134" s="2" t="s">
        <v>12</v>
      </c>
      <c r="C134" s="2" t="s">
        <v>6</v>
      </c>
      <c r="D134">
        <v>5496</v>
      </c>
      <c r="E134">
        <v>115</v>
      </c>
      <c r="F134">
        <v>291</v>
      </c>
      <c r="G134">
        <f>kursy3[[#This Row],[Cena]]/kursy3[[#This Row],[Odleglosc]]</f>
        <v>2.5304347826086957</v>
      </c>
    </row>
    <row r="135" spans="1:7" x14ac:dyDescent="0.25">
      <c r="A135" s="1">
        <v>43060</v>
      </c>
      <c r="B135" s="2" t="s">
        <v>30</v>
      </c>
      <c r="C135" s="2" t="s">
        <v>40</v>
      </c>
      <c r="D135">
        <v>5491</v>
      </c>
      <c r="E135">
        <v>162</v>
      </c>
      <c r="F135">
        <v>408</v>
      </c>
      <c r="G135">
        <f>kursy3[[#This Row],[Cena]]/kursy3[[#This Row],[Odleglosc]]</f>
        <v>2.5185185185185186</v>
      </c>
    </row>
    <row r="136" spans="1:7" x14ac:dyDescent="0.25">
      <c r="A136" s="1">
        <v>42738</v>
      </c>
      <c r="B136" s="2" t="s">
        <v>7</v>
      </c>
      <c r="C136" s="2" t="s">
        <v>8</v>
      </c>
      <c r="D136">
        <v>3666</v>
      </c>
      <c r="E136">
        <v>112</v>
      </c>
      <c r="F136">
        <v>280</v>
      </c>
      <c r="G136">
        <f>kursy3[[#This Row],[Cena]]/kursy3[[#This Row],[Odleglosc]]</f>
        <v>2.5</v>
      </c>
    </row>
    <row r="137" spans="1:7" x14ac:dyDescent="0.25">
      <c r="A137" s="1">
        <v>42789</v>
      </c>
      <c r="B137" s="2" t="s">
        <v>18</v>
      </c>
      <c r="C137" s="2" t="s">
        <v>29</v>
      </c>
      <c r="D137">
        <v>4905</v>
      </c>
      <c r="E137">
        <v>157</v>
      </c>
      <c r="F137">
        <v>392</v>
      </c>
      <c r="G137">
        <f>kursy3[[#This Row],[Cena]]/kursy3[[#This Row],[Odleglosc]]</f>
        <v>2.4968152866242037</v>
      </c>
    </row>
    <row r="138" spans="1:7" x14ac:dyDescent="0.25">
      <c r="A138" s="1">
        <v>43061</v>
      </c>
      <c r="B138" s="2" t="s">
        <v>16</v>
      </c>
      <c r="C138" s="2" t="s">
        <v>35</v>
      </c>
      <c r="D138">
        <v>4594</v>
      </c>
      <c r="E138">
        <v>443</v>
      </c>
      <c r="F138">
        <v>1098</v>
      </c>
      <c r="G138">
        <f>kursy3[[#This Row],[Cena]]/kursy3[[#This Row],[Odleglosc]]</f>
        <v>2.4785553047404063</v>
      </c>
    </row>
    <row r="139" spans="1:7" x14ac:dyDescent="0.25">
      <c r="A139" s="1">
        <v>43051</v>
      </c>
      <c r="B139" s="2" t="s">
        <v>8</v>
      </c>
      <c r="C139" s="2" t="s">
        <v>67</v>
      </c>
      <c r="D139">
        <v>4876</v>
      </c>
      <c r="E139">
        <v>280</v>
      </c>
      <c r="F139">
        <v>688</v>
      </c>
      <c r="G139">
        <f>kursy3[[#This Row],[Cena]]/kursy3[[#This Row],[Odleglosc]]</f>
        <v>2.4571428571428573</v>
      </c>
    </row>
    <row r="140" spans="1:7" x14ac:dyDescent="0.25">
      <c r="A140" s="1">
        <v>42975</v>
      </c>
      <c r="B140" s="2" t="s">
        <v>60</v>
      </c>
      <c r="C140" s="2" t="s">
        <v>47</v>
      </c>
      <c r="D140">
        <v>2939</v>
      </c>
      <c r="E140">
        <v>125</v>
      </c>
      <c r="F140">
        <v>307</v>
      </c>
      <c r="G140">
        <f>kursy3[[#This Row],[Cena]]/kursy3[[#This Row],[Odleglosc]]</f>
        <v>2.456</v>
      </c>
    </row>
    <row r="141" spans="1:7" x14ac:dyDescent="0.25">
      <c r="A141" s="1">
        <v>42897</v>
      </c>
      <c r="B141" s="2" t="s">
        <v>19</v>
      </c>
      <c r="C141" s="2" t="s">
        <v>29</v>
      </c>
      <c r="D141">
        <v>2575</v>
      </c>
      <c r="E141">
        <v>113</v>
      </c>
      <c r="F141">
        <v>277</v>
      </c>
      <c r="G141">
        <f>kursy3[[#This Row],[Cena]]/kursy3[[#This Row],[Odleglosc]]</f>
        <v>2.4513274336283186</v>
      </c>
    </row>
    <row r="142" spans="1:7" x14ac:dyDescent="0.25">
      <c r="A142" s="1">
        <v>42945</v>
      </c>
      <c r="B142" s="2" t="s">
        <v>9</v>
      </c>
      <c r="C142" s="2" t="s">
        <v>59</v>
      </c>
      <c r="D142">
        <v>3061</v>
      </c>
      <c r="E142">
        <v>107</v>
      </c>
      <c r="F142">
        <v>258</v>
      </c>
      <c r="G142">
        <f>kursy3[[#This Row],[Cena]]/kursy3[[#This Row],[Odleglosc]]</f>
        <v>2.4112149532710281</v>
      </c>
    </row>
    <row r="143" spans="1:7" x14ac:dyDescent="0.25">
      <c r="A143" s="1">
        <v>42906</v>
      </c>
      <c r="B143" s="2" t="s">
        <v>34</v>
      </c>
      <c r="C143" s="2" t="s">
        <v>39</v>
      </c>
      <c r="D143">
        <v>3990</v>
      </c>
      <c r="E143">
        <v>195</v>
      </c>
      <c r="F143">
        <v>468</v>
      </c>
      <c r="G143">
        <f>kursy3[[#This Row],[Cena]]/kursy3[[#This Row],[Odleglosc]]</f>
        <v>2.4</v>
      </c>
    </row>
    <row r="144" spans="1:7" x14ac:dyDescent="0.25">
      <c r="A144" s="1">
        <v>42918</v>
      </c>
      <c r="B144" s="2" t="s">
        <v>20</v>
      </c>
      <c r="C144" s="2" t="s">
        <v>8</v>
      </c>
      <c r="D144">
        <v>4602</v>
      </c>
      <c r="E144">
        <v>120</v>
      </c>
      <c r="F144">
        <v>288</v>
      </c>
      <c r="G144">
        <f>kursy3[[#This Row],[Cena]]/kursy3[[#This Row],[Odleglosc]]</f>
        <v>2.4</v>
      </c>
    </row>
    <row r="145" spans="1:7" x14ac:dyDescent="0.25">
      <c r="A145" s="1">
        <v>43063</v>
      </c>
      <c r="B145" s="2" t="s">
        <v>15</v>
      </c>
      <c r="C145" s="2" t="s">
        <v>59</v>
      </c>
      <c r="D145">
        <v>5517</v>
      </c>
      <c r="E145">
        <v>494</v>
      </c>
      <c r="F145">
        <v>1185</v>
      </c>
      <c r="G145">
        <f>kursy3[[#This Row],[Cena]]/kursy3[[#This Row],[Odleglosc]]</f>
        <v>2.3987854251012144</v>
      </c>
    </row>
    <row r="146" spans="1:7" x14ac:dyDescent="0.25">
      <c r="A146" s="1">
        <v>42907</v>
      </c>
      <c r="B146" s="2" t="s">
        <v>47</v>
      </c>
      <c r="C146" s="2" t="s">
        <v>17</v>
      </c>
      <c r="D146">
        <v>4569</v>
      </c>
      <c r="E146">
        <v>123</v>
      </c>
      <c r="F146">
        <v>295</v>
      </c>
      <c r="G146">
        <f>kursy3[[#This Row],[Cena]]/kursy3[[#This Row],[Odleglosc]]</f>
        <v>2.3983739837398375</v>
      </c>
    </row>
    <row r="147" spans="1:7" x14ac:dyDescent="0.25">
      <c r="A147" s="1">
        <v>42932</v>
      </c>
      <c r="B147" s="2" t="s">
        <v>55</v>
      </c>
      <c r="C147" s="2" t="s">
        <v>26</v>
      </c>
      <c r="D147">
        <v>5569</v>
      </c>
      <c r="E147">
        <v>604</v>
      </c>
      <c r="F147">
        <v>1446</v>
      </c>
      <c r="G147">
        <f>kursy3[[#This Row],[Cena]]/kursy3[[#This Row],[Odleglosc]]</f>
        <v>2.3940397350993377</v>
      </c>
    </row>
    <row r="148" spans="1:7" x14ac:dyDescent="0.25">
      <c r="A148" s="1">
        <v>43058</v>
      </c>
      <c r="B148" s="2" t="s">
        <v>14</v>
      </c>
      <c r="C148" s="2" t="s">
        <v>40</v>
      </c>
      <c r="D148">
        <v>2592</v>
      </c>
      <c r="E148">
        <v>136</v>
      </c>
      <c r="F148">
        <v>325</v>
      </c>
      <c r="G148">
        <f>kursy3[[#This Row],[Cena]]/kursy3[[#This Row],[Odleglosc]]</f>
        <v>2.3897058823529411</v>
      </c>
    </row>
    <row r="149" spans="1:7" x14ac:dyDescent="0.25">
      <c r="A149" s="1">
        <v>42978</v>
      </c>
      <c r="B149" s="2" t="s">
        <v>38</v>
      </c>
      <c r="C149" s="2" t="s">
        <v>73</v>
      </c>
      <c r="D149">
        <v>5215</v>
      </c>
      <c r="E149">
        <v>158</v>
      </c>
      <c r="F149">
        <v>375</v>
      </c>
      <c r="G149">
        <f>kursy3[[#This Row],[Cena]]/kursy3[[#This Row],[Odleglosc]]</f>
        <v>2.3734177215189876</v>
      </c>
    </row>
    <row r="150" spans="1:7" x14ac:dyDescent="0.25">
      <c r="A150" s="1">
        <v>42830</v>
      </c>
      <c r="B150" s="2" t="s">
        <v>38</v>
      </c>
      <c r="C150" s="2" t="s">
        <v>33</v>
      </c>
      <c r="D150">
        <v>1629</v>
      </c>
      <c r="E150">
        <v>109</v>
      </c>
      <c r="F150">
        <v>258</v>
      </c>
      <c r="G150">
        <f>kursy3[[#This Row],[Cena]]/kursy3[[#This Row],[Odleglosc]]</f>
        <v>2.3669724770642202</v>
      </c>
    </row>
    <row r="151" spans="1:7" x14ac:dyDescent="0.25">
      <c r="A151" s="1">
        <v>43096</v>
      </c>
      <c r="B151" s="2" t="s">
        <v>37</v>
      </c>
      <c r="C151" s="2" t="s">
        <v>43</v>
      </c>
      <c r="D151">
        <v>3021</v>
      </c>
      <c r="E151">
        <v>137</v>
      </c>
      <c r="F151">
        <v>323</v>
      </c>
      <c r="G151">
        <f>kursy3[[#This Row],[Cena]]/kursy3[[#This Row],[Odleglosc]]</f>
        <v>2.3576642335766422</v>
      </c>
    </row>
    <row r="152" spans="1:7" x14ac:dyDescent="0.25">
      <c r="A152" s="1">
        <v>42782</v>
      </c>
      <c r="B152" s="2" t="s">
        <v>31</v>
      </c>
      <c r="C152" s="2" t="s">
        <v>24</v>
      </c>
      <c r="D152">
        <v>2446</v>
      </c>
      <c r="E152">
        <v>161</v>
      </c>
      <c r="F152">
        <v>379</v>
      </c>
      <c r="G152">
        <f>kursy3[[#This Row],[Cena]]/kursy3[[#This Row],[Odleglosc]]</f>
        <v>2.3540372670807455</v>
      </c>
    </row>
    <row r="153" spans="1:7" x14ac:dyDescent="0.25">
      <c r="A153" s="1">
        <v>43068</v>
      </c>
      <c r="B153" s="2" t="s">
        <v>48</v>
      </c>
      <c r="C153" s="2" t="s">
        <v>61</v>
      </c>
      <c r="D153">
        <v>4217</v>
      </c>
      <c r="E153">
        <v>112</v>
      </c>
      <c r="F153">
        <v>263</v>
      </c>
      <c r="G153">
        <f>kursy3[[#This Row],[Cena]]/kursy3[[#This Row],[Odleglosc]]</f>
        <v>2.3482142857142856</v>
      </c>
    </row>
    <row r="154" spans="1:7" x14ac:dyDescent="0.25">
      <c r="A154" s="1">
        <v>42740</v>
      </c>
      <c r="B154" s="2" t="s">
        <v>9</v>
      </c>
      <c r="C154" s="2" t="s">
        <v>10</v>
      </c>
      <c r="D154">
        <v>1099</v>
      </c>
      <c r="E154">
        <v>167</v>
      </c>
      <c r="F154">
        <v>390</v>
      </c>
      <c r="G154">
        <f>kursy3[[#This Row],[Cena]]/kursy3[[#This Row],[Odleglosc]]</f>
        <v>2.3353293413173652</v>
      </c>
    </row>
    <row r="155" spans="1:7" x14ac:dyDescent="0.25">
      <c r="A155" s="1">
        <v>43012</v>
      </c>
      <c r="B155" s="2" t="s">
        <v>32</v>
      </c>
      <c r="C155" s="2" t="s">
        <v>42</v>
      </c>
      <c r="D155">
        <v>4633</v>
      </c>
      <c r="E155">
        <v>120</v>
      </c>
      <c r="F155">
        <v>280</v>
      </c>
      <c r="G155">
        <f>kursy3[[#This Row],[Cena]]/kursy3[[#This Row],[Odleglosc]]</f>
        <v>2.3333333333333335</v>
      </c>
    </row>
    <row r="156" spans="1:7" x14ac:dyDescent="0.25">
      <c r="A156" s="1">
        <v>42849</v>
      </c>
      <c r="B156" s="2" t="s">
        <v>43</v>
      </c>
      <c r="C156" s="2" t="s">
        <v>37</v>
      </c>
      <c r="D156">
        <v>5312</v>
      </c>
      <c r="E156">
        <v>153</v>
      </c>
      <c r="F156">
        <v>356</v>
      </c>
      <c r="G156">
        <f>kursy3[[#This Row],[Cena]]/kursy3[[#This Row],[Odleglosc]]</f>
        <v>2.3267973856209152</v>
      </c>
    </row>
    <row r="157" spans="1:7" x14ac:dyDescent="0.25">
      <c r="A157" s="1">
        <v>43016</v>
      </c>
      <c r="B157" s="2" t="s">
        <v>62</v>
      </c>
      <c r="C157" s="2" t="s">
        <v>61</v>
      </c>
      <c r="D157">
        <v>1886</v>
      </c>
      <c r="E157">
        <v>110</v>
      </c>
      <c r="F157">
        <v>254</v>
      </c>
      <c r="G157">
        <f>kursy3[[#This Row],[Cena]]/kursy3[[#This Row],[Odleglosc]]</f>
        <v>2.3090909090909091</v>
      </c>
    </row>
    <row r="158" spans="1:7" x14ac:dyDescent="0.25">
      <c r="A158" s="1">
        <v>42898</v>
      </c>
      <c r="B158" s="2" t="s">
        <v>55</v>
      </c>
      <c r="C158" s="2" t="s">
        <v>46</v>
      </c>
      <c r="D158">
        <v>1676</v>
      </c>
      <c r="E158">
        <v>217</v>
      </c>
      <c r="F158">
        <v>499</v>
      </c>
      <c r="G158">
        <f>kursy3[[#This Row],[Cena]]/kursy3[[#This Row],[Odleglosc]]</f>
        <v>2.2995391705069124</v>
      </c>
    </row>
    <row r="159" spans="1:7" x14ac:dyDescent="0.25">
      <c r="A159" s="1">
        <v>42765</v>
      </c>
      <c r="B159" s="2" t="s">
        <v>23</v>
      </c>
      <c r="C159" s="2" t="s">
        <v>24</v>
      </c>
      <c r="D159">
        <v>2607</v>
      </c>
      <c r="E159">
        <v>115</v>
      </c>
      <c r="F159">
        <v>264</v>
      </c>
      <c r="G159">
        <f>kursy3[[#This Row],[Cena]]/kursy3[[#This Row],[Odleglosc]]</f>
        <v>2.2956521739130435</v>
      </c>
    </row>
    <row r="160" spans="1:7" x14ac:dyDescent="0.25">
      <c r="A160" s="1">
        <v>42939</v>
      </c>
      <c r="B160" s="2" t="s">
        <v>55</v>
      </c>
      <c r="C160" s="2" t="s">
        <v>68</v>
      </c>
      <c r="D160">
        <v>5721</v>
      </c>
      <c r="E160">
        <v>122</v>
      </c>
      <c r="F160">
        <v>280</v>
      </c>
      <c r="G160">
        <f>kursy3[[#This Row],[Cena]]/kursy3[[#This Row],[Odleglosc]]</f>
        <v>2.2950819672131146</v>
      </c>
    </row>
    <row r="161" spans="1:7" x14ac:dyDescent="0.25">
      <c r="A161" s="1">
        <v>43097</v>
      </c>
      <c r="B161" s="2" t="s">
        <v>43</v>
      </c>
      <c r="C161" s="2" t="s">
        <v>52</v>
      </c>
      <c r="D161">
        <v>3573</v>
      </c>
      <c r="E161">
        <v>149</v>
      </c>
      <c r="F161">
        <v>341</v>
      </c>
      <c r="G161">
        <f>kursy3[[#This Row],[Cena]]/kursy3[[#This Row],[Odleglosc]]</f>
        <v>2.2885906040268456</v>
      </c>
    </row>
    <row r="162" spans="1:7" x14ac:dyDescent="0.25">
      <c r="A162" s="1">
        <v>42831</v>
      </c>
      <c r="B162" s="2" t="s">
        <v>33</v>
      </c>
      <c r="C162" s="2" t="s">
        <v>49</v>
      </c>
      <c r="D162">
        <v>4787</v>
      </c>
      <c r="E162">
        <v>155</v>
      </c>
      <c r="F162">
        <v>354</v>
      </c>
      <c r="G162">
        <f>kursy3[[#This Row],[Cena]]/kursy3[[#This Row],[Odleglosc]]</f>
        <v>2.2838709677419353</v>
      </c>
    </row>
    <row r="163" spans="1:7" x14ac:dyDescent="0.25">
      <c r="A163" s="1">
        <v>43082</v>
      </c>
      <c r="B163" s="2" t="s">
        <v>60</v>
      </c>
      <c r="C163" s="2" t="s">
        <v>47</v>
      </c>
      <c r="D163">
        <v>2342</v>
      </c>
      <c r="E163">
        <v>141</v>
      </c>
      <c r="F163">
        <v>319</v>
      </c>
      <c r="G163">
        <f>kursy3[[#This Row],[Cena]]/kursy3[[#This Row],[Odleglosc]]</f>
        <v>2.2624113475177303</v>
      </c>
    </row>
    <row r="164" spans="1:7" x14ac:dyDescent="0.25">
      <c r="A164" s="1">
        <v>42802</v>
      </c>
      <c r="B164" s="2" t="s">
        <v>29</v>
      </c>
      <c r="C164" s="2" t="s">
        <v>20</v>
      </c>
      <c r="D164">
        <v>1203</v>
      </c>
      <c r="E164">
        <v>146</v>
      </c>
      <c r="F164">
        <v>330</v>
      </c>
      <c r="G164">
        <f>kursy3[[#This Row],[Cena]]/kursy3[[#This Row],[Odleglosc]]</f>
        <v>2.2602739726027399</v>
      </c>
    </row>
    <row r="165" spans="1:7" x14ac:dyDescent="0.25">
      <c r="A165" s="1">
        <v>42983</v>
      </c>
      <c r="B165" s="2" t="s">
        <v>67</v>
      </c>
      <c r="C165" s="2" t="s">
        <v>17</v>
      </c>
      <c r="D165">
        <v>5986</v>
      </c>
      <c r="E165">
        <v>222</v>
      </c>
      <c r="F165">
        <v>501</v>
      </c>
      <c r="G165">
        <f>kursy3[[#This Row],[Cena]]/kursy3[[#This Row],[Odleglosc]]</f>
        <v>2.2567567567567566</v>
      </c>
    </row>
    <row r="166" spans="1:7" x14ac:dyDescent="0.25">
      <c r="A166" s="1">
        <v>42751</v>
      </c>
      <c r="B166" s="2" t="s">
        <v>19</v>
      </c>
      <c r="C166" s="2" t="s">
        <v>20</v>
      </c>
      <c r="D166">
        <v>1952</v>
      </c>
      <c r="E166">
        <v>267</v>
      </c>
      <c r="F166">
        <v>602</v>
      </c>
      <c r="G166">
        <f>kursy3[[#This Row],[Cena]]/kursy3[[#This Row],[Odleglosc]]</f>
        <v>2.2546816479400751</v>
      </c>
    </row>
    <row r="167" spans="1:7" x14ac:dyDescent="0.25">
      <c r="A167" s="1">
        <v>42938</v>
      </c>
      <c r="B167" s="2" t="s">
        <v>32</v>
      </c>
      <c r="C167" s="2" t="s">
        <v>60</v>
      </c>
      <c r="D167">
        <v>3650</v>
      </c>
      <c r="E167">
        <v>137</v>
      </c>
      <c r="F167">
        <v>308</v>
      </c>
      <c r="G167">
        <f>kursy3[[#This Row],[Cena]]/kursy3[[#This Row],[Odleglosc]]</f>
        <v>2.2481751824817517</v>
      </c>
    </row>
    <row r="168" spans="1:7" x14ac:dyDescent="0.25">
      <c r="A168" s="1">
        <v>42839</v>
      </c>
      <c r="B168" s="2" t="s">
        <v>52</v>
      </c>
      <c r="C168" s="2" t="s">
        <v>53</v>
      </c>
      <c r="D168">
        <v>5416</v>
      </c>
      <c r="E168">
        <v>156</v>
      </c>
      <c r="F168">
        <v>349</v>
      </c>
      <c r="G168">
        <f>kursy3[[#This Row],[Cena]]/kursy3[[#This Row],[Odleglosc]]</f>
        <v>2.2371794871794872</v>
      </c>
    </row>
    <row r="169" spans="1:7" x14ac:dyDescent="0.25">
      <c r="A169" s="1">
        <v>42990</v>
      </c>
      <c r="B169" s="2" t="s">
        <v>6</v>
      </c>
      <c r="C169" s="2" t="s">
        <v>12</v>
      </c>
      <c r="D169">
        <v>2761</v>
      </c>
      <c r="E169">
        <v>129</v>
      </c>
      <c r="F169">
        <v>288</v>
      </c>
      <c r="G169">
        <f>kursy3[[#This Row],[Cena]]/kursy3[[#This Row],[Odleglosc]]</f>
        <v>2.2325581395348837</v>
      </c>
    </row>
    <row r="170" spans="1:7" x14ac:dyDescent="0.25">
      <c r="A170" s="1">
        <v>43094</v>
      </c>
      <c r="B170" s="2" t="s">
        <v>6</v>
      </c>
      <c r="C170" s="2" t="s">
        <v>38</v>
      </c>
      <c r="D170">
        <v>5624</v>
      </c>
      <c r="E170">
        <v>541</v>
      </c>
      <c r="F170">
        <v>1198</v>
      </c>
      <c r="G170">
        <f>kursy3[[#This Row],[Cena]]/kursy3[[#This Row],[Odleglosc]]</f>
        <v>2.2144177449168208</v>
      </c>
    </row>
    <row r="171" spans="1:7" x14ac:dyDescent="0.25">
      <c r="A171" s="1">
        <v>42977</v>
      </c>
      <c r="B171" s="2" t="s">
        <v>17</v>
      </c>
      <c r="C171" s="2" t="s">
        <v>38</v>
      </c>
      <c r="D171">
        <v>3580</v>
      </c>
      <c r="E171">
        <v>173</v>
      </c>
      <c r="F171">
        <v>382</v>
      </c>
      <c r="G171">
        <f>kursy3[[#This Row],[Cena]]/kursy3[[#This Row],[Odleglosc]]</f>
        <v>2.2080924855491331</v>
      </c>
    </row>
    <row r="172" spans="1:7" x14ac:dyDescent="0.25">
      <c r="A172" s="1">
        <v>43090</v>
      </c>
      <c r="B172" s="2" t="s">
        <v>15</v>
      </c>
      <c r="C172" s="2" t="s">
        <v>23</v>
      </c>
      <c r="D172">
        <v>4635</v>
      </c>
      <c r="E172">
        <v>163</v>
      </c>
      <c r="F172">
        <v>359</v>
      </c>
      <c r="G172">
        <f>kursy3[[#This Row],[Cena]]/kursy3[[#This Row],[Odleglosc]]</f>
        <v>2.2024539877300615</v>
      </c>
    </row>
    <row r="173" spans="1:7" x14ac:dyDescent="0.25">
      <c r="A173" s="1">
        <v>42842</v>
      </c>
      <c r="B173" s="2" t="s">
        <v>47</v>
      </c>
      <c r="C173" s="2" t="s">
        <v>54</v>
      </c>
      <c r="D173">
        <v>4033</v>
      </c>
      <c r="E173">
        <v>136</v>
      </c>
      <c r="F173">
        <v>297</v>
      </c>
      <c r="G173">
        <f>kursy3[[#This Row],[Cena]]/kursy3[[#This Row],[Odleglosc]]</f>
        <v>2.1838235294117645</v>
      </c>
    </row>
    <row r="174" spans="1:7" x14ac:dyDescent="0.25">
      <c r="A174" s="1">
        <v>42917</v>
      </c>
      <c r="B174" s="2" t="s">
        <v>62</v>
      </c>
      <c r="C174" s="2" t="s">
        <v>20</v>
      </c>
      <c r="D174">
        <v>2256</v>
      </c>
      <c r="E174">
        <v>146</v>
      </c>
      <c r="F174">
        <v>315</v>
      </c>
      <c r="G174">
        <f>kursy3[[#This Row],[Cena]]/kursy3[[#This Row],[Odleglosc]]</f>
        <v>2.1575342465753424</v>
      </c>
    </row>
    <row r="175" spans="1:7" x14ac:dyDescent="0.25">
      <c r="A175" s="1">
        <v>42995</v>
      </c>
      <c r="B175" s="2" t="s">
        <v>50</v>
      </c>
      <c r="C175" s="2" t="s">
        <v>11</v>
      </c>
      <c r="D175">
        <v>3325</v>
      </c>
      <c r="E175">
        <v>517</v>
      </c>
      <c r="F175">
        <v>1107</v>
      </c>
      <c r="G175">
        <f>kursy3[[#This Row],[Cena]]/kursy3[[#This Row],[Odleglosc]]</f>
        <v>2.1411992263056092</v>
      </c>
    </row>
    <row r="176" spans="1:7" x14ac:dyDescent="0.25">
      <c r="A176" s="1">
        <v>42775</v>
      </c>
      <c r="B176" s="2" t="s">
        <v>30</v>
      </c>
      <c r="C176" s="2" t="s">
        <v>7</v>
      </c>
      <c r="D176">
        <v>2152</v>
      </c>
      <c r="E176">
        <v>190</v>
      </c>
      <c r="F176">
        <v>406</v>
      </c>
      <c r="G176">
        <f>kursy3[[#This Row],[Cena]]/kursy3[[#This Row],[Odleglosc]]</f>
        <v>2.1368421052631579</v>
      </c>
    </row>
    <row r="177" spans="1:7" x14ac:dyDescent="0.25">
      <c r="A177" s="1">
        <v>43046</v>
      </c>
      <c r="B177" s="2" t="s">
        <v>71</v>
      </c>
      <c r="C177" s="2" t="s">
        <v>10</v>
      </c>
      <c r="D177">
        <v>4093</v>
      </c>
      <c r="E177">
        <v>119</v>
      </c>
      <c r="F177">
        <v>254</v>
      </c>
      <c r="G177">
        <f>kursy3[[#This Row],[Cena]]/kursy3[[#This Row],[Odleglosc]]</f>
        <v>2.134453781512605</v>
      </c>
    </row>
    <row r="178" spans="1:7" x14ac:dyDescent="0.25">
      <c r="A178" s="1">
        <v>42950</v>
      </c>
      <c r="B178" s="2" t="s">
        <v>48</v>
      </c>
      <c r="C178" s="2" t="s">
        <v>14</v>
      </c>
      <c r="D178">
        <v>2706</v>
      </c>
      <c r="E178">
        <v>137</v>
      </c>
      <c r="F178">
        <v>292</v>
      </c>
      <c r="G178">
        <f>kursy3[[#This Row],[Cena]]/kursy3[[#This Row],[Odleglosc]]</f>
        <v>2.1313868613138687</v>
      </c>
    </row>
    <row r="179" spans="1:7" x14ac:dyDescent="0.25">
      <c r="A179" s="1">
        <v>42840</v>
      </c>
      <c r="B179" s="2" t="s">
        <v>9</v>
      </c>
      <c r="C179" s="2" t="s">
        <v>54</v>
      </c>
      <c r="D179">
        <v>3914</v>
      </c>
      <c r="E179">
        <v>417</v>
      </c>
      <c r="F179">
        <v>888</v>
      </c>
      <c r="G179">
        <f>kursy3[[#This Row],[Cena]]/kursy3[[#This Row],[Odleglosc]]</f>
        <v>2.1294964028776979</v>
      </c>
    </row>
    <row r="180" spans="1:7" x14ac:dyDescent="0.25">
      <c r="A180" s="1">
        <v>43089</v>
      </c>
      <c r="B180" s="2" t="s">
        <v>18</v>
      </c>
      <c r="C180" s="2" t="s">
        <v>39</v>
      </c>
      <c r="D180">
        <v>4084</v>
      </c>
      <c r="E180">
        <v>160</v>
      </c>
      <c r="F180">
        <v>338</v>
      </c>
      <c r="G180">
        <f>kursy3[[#This Row],[Cena]]/kursy3[[#This Row],[Odleglosc]]</f>
        <v>2.1124999999999998</v>
      </c>
    </row>
    <row r="181" spans="1:7" x14ac:dyDescent="0.25">
      <c r="A181" s="1">
        <v>42835</v>
      </c>
      <c r="B181" s="2" t="s">
        <v>20</v>
      </c>
      <c r="C181" s="2" t="s">
        <v>43</v>
      </c>
      <c r="D181">
        <v>3193</v>
      </c>
      <c r="E181">
        <v>241</v>
      </c>
      <c r="F181">
        <v>507</v>
      </c>
      <c r="G181">
        <f>kursy3[[#This Row],[Cena]]/kursy3[[#This Row],[Odleglosc]]</f>
        <v>2.103734439834025</v>
      </c>
    </row>
    <row r="182" spans="1:7" x14ac:dyDescent="0.25">
      <c r="A182" s="1">
        <v>42963</v>
      </c>
      <c r="B182" s="2" t="s">
        <v>20</v>
      </c>
      <c r="C182" s="2" t="s">
        <v>8</v>
      </c>
      <c r="D182">
        <v>4663</v>
      </c>
      <c r="E182">
        <v>122</v>
      </c>
      <c r="F182">
        <v>256</v>
      </c>
      <c r="G182">
        <f>kursy3[[#This Row],[Cena]]/kursy3[[#This Row],[Odleglosc]]</f>
        <v>2.098360655737705</v>
      </c>
    </row>
    <row r="183" spans="1:7" x14ac:dyDescent="0.25">
      <c r="A183" s="1">
        <v>42822</v>
      </c>
      <c r="B183" s="2" t="s">
        <v>26</v>
      </c>
      <c r="C183" s="2" t="s">
        <v>48</v>
      </c>
      <c r="D183">
        <v>4637</v>
      </c>
      <c r="E183">
        <v>116</v>
      </c>
      <c r="F183">
        <v>242</v>
      </c>
      <c r="G183">
        <f>kursy3[[#This Row],[Cena]]/kursy3[[#This Row],[Odleglosc]]</f>
        <v>2.0862068965517242</v>
      </c>
    </row>
    <row r="184" spans="1:7" x14ac:dyDescent="0.25">
      <c r="A184" s="1">
        <v>42841</v>
      </c>
      <c r="B184" s="2" t="s">
        <v>54</v>
      </c>
      <c r="C184" s="2" t="s">
        <v>47</v>
      </c>
      <c r="D184">
        <v>5805</v>
      </c>
      <c r="E184">
        <v>145</v>
      </c>
      <c r="F184">
        <v>301</v>
      </c>
      <c r="G184">
        <f>kursy3[[#This Row],[Cena]]/kursy3[[#This Row],[Odleglosc]]</f>
        <v>2.0758620689655172</v>
      </c>
    </row>
    <row r="185" spans="1:7" x14ac:dyDescent="0.25">
      <c r="A185" s="1">
        <v>42804</v>
      </c>
      <c r="B185" s="2" t="s">
        <v>40</v>
      </c>
      <c r="C185" s="2" t="s">
        <v>41</v>
      </c>
      <c r="D185">
        <v>1454</v>
      </c>
      <c r="E185">
        <v>95</v>
      </c>
      <c r="F185">
        <v>197</v>
      </c>
      <c r="G185">
        <f>kursy3[[#This Row],[Cena]]/kursy3[[#This Row],[Odleglosc]]</f>
        <v>2.0736842105263156</v>
      </c>
    </row>
    <row r="186" spans="1:7" x14ac:dyDescent="0.25">
      <c r="A186" s="1">
        <v>42813</v>
      </c>
      <c r="B186" s="2" t="s">
        <v>45</v>
      </c>
      <c r="C186" s="2" t="s">
        <v>46</v>
      </c>
      <c r="D186">
        <v>2151</v>
      </c>
      <c r="E186">
        <v>177</v>
      </c>
      <c r="F186">
        <v>365</v>
      </c>
      <c r="G186">
        <f>kursy3[[#This Row],[Cena]]/kursy3[[#This Row],[Odleglosc]]</f>
        <v>2.0621468926553672</v>
      </c>
    </row>
    <row r="187" spans="1:7" x14ac:dyDescent="0.25">
      <c r="A187" s="1">
        <v>42936</v>
      </c>
      <c r="B187" s="2" t="s">
        <v>50</v>
      </c>
      <c r="C187" s="2" t="s">
        <v>42</v>
      </c>
      <c r="D187">
        <v>1079</v>
      </c>
      <c r="E187">
        <v>438</v>
      </c>
      <c r="F187">
        <v>899</v>
      </c>
      <c r="G187">
        <f>kursy3[[#This Row],[Cena]]/kursy3[[#This Row],[Odleglosc]]</f>
        <v>2.0525114155251143</v>
      </c>
    </row>
    <row r="188" spans="1:7" x14ac:dyDescent="0.25">
      <c r="A188" s="1">
        <v>42774</v>
      </c>
      <c r="B188" s="2" t="s">
        <v>29</v>
      </c>
      <c r="C188" s="2" t="s">
        <v>20</v>
      </c>
      <c r="D188">
        <v>3319</v>
      </c>
      <c r="E188">
        <v>154</v>
      </c>
      <c r="F188">
        <v>314</v>
      </c>
      <c r="G188">
        <f>kursy3[[#This Row],[Cena]]/kursy3[[#This Row],[Odleglosc]]</f>
        <v>2.0389610389610389</v>
      </c>
    </row>
    <row r="189" spans="1:7" x14ac:dyDescent="0.25">
      <c r="A189" s="1">
        <v>42778</v>
      </c>
      <c r="B189" s="2" t="s">
        <v>31</v>
      </c>
      <c r="C189" s="2" t="s">
        <v>21</v>
      </c>
      <c r="D189">
        <v>4163</v>
      </c>
      <c r="E189">
        <v>128</v>
      </c>
      <c r="F189">
        <v>257</v>
      </c>
      <c r="G189">
        <f>kursy3[[#This Row],[Cena]]/kursy3[[#This Row],[Odleglosc]]</f>
        <v>2.0078125</v>
      </c>
    </row>
    <row r="190" spans="1:7" x14ac:dyDescent="0.25">
      <c r="A190" s="1">
        <v>42914</v>
      </c>
      <c r="B190" s="2" t="s">
        <v>31</v>
      </c>
      <c r="C190" s="2" t="s">
        <v>22</v>
      </c>
      <c r="D190">
        <v>5467</v>
      </c>
      <c r="E190">
        <v>168</v>
      </c>
      <c r="F190">
        <v>336</v>
      </c>
      <c r="G190">
        <f>kursy3[[#This Row],[Cena]]/kursy3[[#This Row],[Odleglosc]]</f>
        <v>2</v>
      </c>
    </row>
    <row r="191" spans="1:7" x14ac:dyDescent="0.25">
      <c r="A191" s="1">
        <v>42791</v>
      </c>
      <c r="B191" s="2" t="s">
        <v>8</v>
      </c>
      <c r="C191" s="2" t="s">
        <v>7</v>
      </c>
      <c r="D191">
        <v>1624</v>
      </c>
      <c r="E191">
        <v>111</v>
      </c>
      <c r="F191">
        <v>221</v>
      </c>
      <c r="G191">
        <f>kursy3[[#This Row],[Cena]]/kursy3[[#This Row],[Odleglosc]]</f>
        <v>1.9909909909909911</v>
      </c>
    </row>
    <row r="192" spans="1:7" x14ac:dyDescent="0.25">
      <c r="A192" s="1">
        <v>43036</v>
      </c>
      <c r="B192" s="2" t="s">
        <v>49</v>
      </c>
      <c r="C192" s="2" t="s">
        <v>37</v>
      </c>
      <c r="D192">
        <v>1830</v>
      </c>
      <c r="E192">
        <v>152</v>
      </c>
      <c r="F192">
        <v>301</v>
      </c>
      <c r="G192">
        <f>kursy3[[#This Row],[Cena]]/kursy3[[#This Row],[Odleglosc]]</f>
        <v>1.9802631578947369</v>
      </c>
    </row>
    <row r="193" spans="1:7" x14ac:dyDescent="0.25">
      <c r="A193" s="1">
        <v>43005</v>
      </c>
      <c r="B193" s="2" t="s">
        <v>52</v>
      </c>
      <c r="C193" s="2" t="s">
        <v>48</v>
      </c>
      <c r="D193">
        <v>1125</v>
      </c>
      <c r="E193">
        <v>98</v>
      </c>
      <c r="F193">
        <v>194</v>
      </c>
      <c r="G193">
        <f>kursy3[[#This Row],[Cena]]/kursy3[[#This Row],[Odleglosc]]</f>
        <v>1.9795918367346939</v>
      </c>
    </row>
    <row r="194" spans="1:7" x14ac:dyDescent="0.25">
      <c r="A194" s="1">
        <v>42911</v>
      </c>
      <c r="B194" s="2" t="s">
        <v>30</v>
      </c>
      <c r="C194" s="2" t="s">
        <v>70</v>
      </c>
      <c r="D194">
        <v>5847</v>
      </c>
      <c r="E194">
        <v>137</v>
      </c>
      <c r="F194">
        <v>270</v>
      </c>
      <c r="G194">
        <f>kursy3[[#This Row],[Cena]]/kursy3[[#This Row],[Odleglosc]]</f>
        <v>1.9708029197080292</v>
      </c>
    </row>
    <row r="195" spans="1:7" x14ac:dyDescent="0.25">
      <c r="A195" s="1">
        <v>43064</v>
      </c>
      <c r="B195" s="2" t="s">
        <v>59</v>
      </c>
      <c r="C195" s="2" t="s">
        <v>12</v>
      </c>
      <c r="D195">
        <v>4155</v>
      </c>
      <c r="E195">
        <v>93</v>
      </c>
      <c r="F195">
        <v>181</v>
      </c>
      <c r="G195">
        <f>kursy3[[#This Row],[Cena]]/kursy3[[#This Row],[Odleglosc]]</f>
        <v>1.946236559139785</v>
      </c>
    </row>
    <row r="196" spans="1:7" x14ac:dyDescent="0.25">
      <c r="A196" s="1">
        <v>42772</v>
      </c>
      <c r="B196" s="2" t="s">
        <v>27</v>
      </c>
      <c r="C196" s="2" t="s">
        <v>28</v>
      </c>
      <c r="D196">
        <v>5291</v>
      </c>
      <c r="E196">
        <v>273</v>
      </c>
      <c r="F196">
        <v>520</v>
      </c>
      <c r="G196">
        <f>kursy3[[#This Row],[Cena]]/kursy3[[#This Row],[Odleglosc]]</f>
        <v>1.9047619047619047</v>
      </c>
    </row>
    <row r="197" spans="1:7" x14ac:dyDescent="0.25">
      <c r="A197" s="1">
        <v>42912</v>
      </c>
      <c r="B197" s="2" t="s">
        <v>70</v>
      </c>
      <c r="C197" s="2" t="s">
        <v>30</v>
      </c>
      <c r="D197">
        <v>2032</v>
      </c>
      <c r="E197">
        <v>129</v>
      </c>
      <c r="F197">
        <v>245</v>
      </c>
      <c r="G197">
        <f>kursy3[[#This Row],[Cena]]/kursy3[[#This Row],[Odleglosc]]</f>
        <v>1.8992248062015504</v>
      </c>
    </row>
    <row r="198" spans="1:7" x14ac:dyDescent="0.25">
      <c r="A198" s="1">
        <v>43034</v>
      </c>
      <c r="B198" s="2" t="s">
        <v>12</v>
      </c>
      <c r="C198" s="2" t="s">
        <v>9</v>
      </c>
      <c r="D198">
        <v>1813</v>
      </c>
      <c r="E198">
        <v>86</v>
      </c>
      <c r="F198">
        <v>163</v>
      </c>
      <c r="G198">
        <f>kursy3[[#This Row],[Cena]]/kursy3[[#This Row],[Odleglosc]]</f>
        <v>1.8953488372093024</v>
      </c>
    </row>
    <row r="199" spans="1:7" x14ac:dyDescent="0.25">
      <c r="A199" s="1">
        <v>43057</v>
      </c>
      <c r="B199" s="2" t="s">
        <v>21</v>
      </c>
      <c r="C199" s="2" t="s">
        <v>14</v>
      </c>
      <c r="D199">
        <v>5558</v>
      </c>
      <c r="E199">
        <v>107</v>
      </c>
      <c r="F199">
        <v>202</v>
      </c>
      <c r="G199">
        <f>kursy3[[#This Row],[Cena]]/kursy3[[#This Row],[Odleglosc]]</f>
        <v>1.8878504672897196</v>
      </c>
    </row>
    <row r="200" spans="1:7" x14ac:dyDescent="0.25">
      <c r="A200" s="1">
        <v>42920</v>
      </c>
      <c r="B200" s="2" t="s">
        <v>20</v>
      </c>
      <c r="C200" s="2" t="s">
        <v>60</v>
      </c>
      <c r="D200">
        <v>4260</v>
      </c>
      <c r="E200">
        <v>118</v>
      </c>
      <c r="F200">
        <v>222</v>
      </c>
      <c r="G200">
        <f>kursy3[[#This Row],[Cena]]/kursy3[[#This Row],[Odleglosc]]</f>
        <v>1.8813559322033899</v>
      </c>
    </row>
    <row r="201" spans="1:7" x14ac:dyDescent="0.25">
      <c r="A201" s="1">
        <v>42971</v>
      </c>
      <c r="B201" s="2" t="s">
        <v>56</v>
      </c>
      <c r="C201" s="2" t="s">
        <v>50</v>
      </c>
      <c r="D201">
        <v>3586</v>
      </c>
      <c r="E201">
        <v>155</v>
      </c>
      <c r="F201">
        <v>290</v>
      </c>
      <c r="G201">
        <f>kursy3[[#This Row],[Cena]]/kursy3[[#This Row],[Odleglosc]]</f>
        <v>1.8709677419354838</v>
      </c>
    </row>
    <row r="202" spans="1:7" x14ac:dyDescent="0.25">
      <c r="A202" s="1">
        <v>43042</v>
      </c>
      <c r="B202" s="2" t="s">
        <v>32</v>
      </c>
      <c r="C202" s="2" t="s">
        <v>47</v>
      </c>
      <c r="D202">
        <v>4746</v>
      </c>
      <c r="E202">
        <v>131</v>
      </c>
      <c r="F202">
        <v>245</v>
      </c>
      <c r="G202">
        <f>kursy3[[#This Row],[Cena]]/kursy3[[#This Row],[Odleglosc]]</f>
        <v>1.8702290076335877</v>
      </c>
    </row>
    <row r="203" spans="1:7" x14ac:dyDescent="0.25">
      <c r="A203" s="1">
        <v>43008</v>
      </c>
      <c r="B203" s="2" t="s">
        <v>41</v>
      </c>
      <c r="C203" s="2" t="s">
        <v>12</v>
      </c>
      <c r="D203">
        <v>5455</v>
      </c>
      <c r="E203">
        <v>124</v>
      </c>
      <c r="F203">
        <v>231</v>
      </c>
      <c r="G203">
        <f>kursy3[[#This Row],[Cena]]/kursy3[[#This Row],[Odleglosc]]</f>
        <v>1.8629032258064515</v>
      </c>
    </row>
    <row r="204" spans="1:7" x14ac:dyDescent="0.25">
      <c r="A204" s="1">
        <v>42816</v>
      </c>
      <c r="B204" s="2" t="s">
        <v>46</v>
      </c>
      <c r="C204" s="2" t="s">
        <v>19</v>
      </c>
      <c r="D204">
        <v>4251</v>
      </c>
      <c r="E204">
        <v>122</v>
      </c>
      <c r="F204">
        <v>227</v>
      </c>
      <c r="G204">
        <f>kursy3[[#This Row],[Cena]]/kursy3[[#This Row],[Odleglosc]]</f>
        <v>1.860655737704918</v>
      </c>
    </row>
    <row r="205" spans="1:7" x14ac:dyDescent="0.25">
      <c r="A205" s="1">
        <v>42853</v>
      </c>
      <c r="B205" s="2" t="s">
        <v>56</v>
      </c>
      <c r="C205" s="2" t="s">
        <v>50</v>
      </c>
      <c r="D205">
        <v>1161</v>
      </c>
      <c r="E205">
        <v>174</v>
      </c>
      <c r="F205">
        <v>323</v>
      </c>
      <c r="G205">
        <f>kursy3[[#This Row],[Cena]]/kursy3[[#This Row],[Odleglosc]]</f>
        <v>1.8563218390804597</v>
      </c>
    </row>
    <row r="206" spans="1:7" x14ac:dyDescent="0.25">
      <c r="A206" s="1">
        <v>42742</v>
      </c>
      <c r="B206" s="2" t="s">
        <v>11</v>
      </c>
      <c r="C206" s="2" t="s">
        <v>12</v>
      </c>
      <c r="D206">
        <v>4881</v>
      </c>
      <c r="E206">
        <v>118</v>
      </c>
      <c r="F206">
        <v>219</v>
      </c>
      <c r="G206">
        <f>kursy3[[#This Row],[Cena]]/kursy3[[#This Row],[Odleglosc]]</f>
        <v>1.8559322033898304</v>
      </c>
    </row>
    <row r="207" spans="1:7" x14ac:dyDescent="0.25">
      <c r="A207" s="1">
        <v>42980</v>
      </c>
      <c r="B207" s="2" t="s">
        <v>51</v>
      </c>
      <c r="C207" s="2" t="s">
        <v>67</v>
      </c>
      <c r="D207">
        <v>1655</v>
      </c>
      <c r="E207">
        <v>180</v>
      </c>
      <c r="F207">
        <v>332</v>
      </c>
      <c r="G207">
        <f>kursy3[[#This Row],[Cena]]/kursy3[[#This Row],[Odleglosc]]</f>
        <v>1.8444444444444446</v>
      </c>
    </row>
    <row r="208" spans="1:7" x14ac:dyDescent="0.25">
      <c r="A208" s="1">
        <v>42812</v>
      </c>
      <c r="B208" s="2" t="s">
        <v>44</v>
      </c>
      <c r="C208" s="2" t="s">
        <v>45</v>
      </c>
      <c r="D208">
        <v>2929</v>
      </c>
      <c r="E208">
        <v>152</v>
      </c>
      <c r="F208">
        <v>278</v>
      </c>
      <c r="G208">
        <f>kursy3[[#This Row],[Cena]]/kursy3[[#This Row],[Odleglosc]]</f>
        <v>1.8289473684210527</v>
      </c>
    </row>
    <row r="209" spans="1:7" x14ac:dyDescent="0.25">
      <c r="A209" s="1">
        <v>42863</v>
      </c>
      <c r="B209" s="2" t="s">
        <v>29</v>
      </c>
      <c r="C209" s="2" t="s">
        <v>28</v>
      </c>
      <c r="D209">
        <v>2608</v>
      </c>
      <c r="E209">
        <v>123</v>
      </c>
      <c r="F209">
        <v>223</v>
      </c>
      <c r="G209">
        <f>kursy3[[#This Row],[Cena]]/kursy3[[#This Row],[Odleglosc]]</f>
        <v>1.8130081300813008</v>
      </c>
    </row>
    <row r="210" spans="1:7" x14ac:dyDescent="0.25">
      <c r="A210" s="1">
        <v>42755</v>
      </c>
      <c r="B210" s="2" t="s">
        <v>13</v>
      </c>
      <c r="C210" s="2" t="s">
        <v>9</v>
      </c>
      <c r="D210">
        <v>3106</v>
      </c>
      <c r="E210">
        <v>173</v>
      </c>
      <c r="F210">
        <v>312</v>
      </c>
      <c r="G210">
        <f>kursy3[[#This Row],[Cena]]/kursy3[[#This Row],[Odleglosc]]</f>
        <v>1.8034682080924855</v>
      </c>
    </row>
    <row r="211" spans="1:7" x14ac:dyDescent="0.25">
      <c r="A211" s="1">
        <v>42944</v>
      </c>
      <c r="B211" s="2" t="s">
        <v>8</v>
      </c>
      <c r="C211" s="2" t="s">
        <v>9</v>
      </c>
      <c r="D211">
        <v>3571</v>
      </c>
      <c r="E211">
        <v>162</v>
      </c>
      <c r="F211">
        <v>292</v>
      </c>
      <c r="G211">
        <f>kursy3[[#This Row],[Cena]]/kursy3[[#This Row],[Odleglosc]]</f>
        <v>1.8024691358024691</v>
      </c>
    </row>
    <row r="212" spans="1:7" x14ac:dyDescent="0.25">
      <c r="A212" s="1">
        <v>43069</v>
      </c>
      <c r="B212" s="2" t="s">
        <v>61</v>
      </c>
      <c r="C212" s="2" t="s">
        <v>48</v>
      </c>
      <c r="D212">
        <v>4327</v>
      </c>
      <c r="E212">
        <v>109</v>
      </c>
      <c r="F212">
        <v>196</v>
      </c>
      <c r="G212">
        <f>kursy3[[#This Row],[Cena]]/kursy3[[#This Row],[Odleglosc]]</f>
        <v>1.798165137614679</v>
      </c>
    </row>
    <row r="213" spans="1:7" x14ac:dyDescent="0.25">
      <c r="A213" s="1">
        <v>43085</v>
      </c>
      <c r="B213" s="2" t="s">
        <v>49</v>
      </c>
      <c r="C213" s="2" t="s">
        <v>37</v>
      </c>
      <c r="D213">
        <v>2823</v>
      </c>
      <c r="E213">
        <v>156</v>
      </c>
      <c r="F213">
        <v>280</v>
      </c>
      <c r="G213">
        <f>kursy3[[#This Row],[Cena]]/kursy3[[#This Row],[Odleglosc]]</f>
        <v>1.7948717948717949</v>
      </c>
    </row>
    <row r="214" spans="1:7" x14ac:dyDescent="0.25">
      <c r="A214" s="1">
        <v>42794</v>
      </c>
      <c r="B214" s="2" t="s">
        <v>36</v>
      </c>
      <c r="C214" s="2" t="s">
        <v>12</v>
      </c>
      <c r="D214">
        <v>4398</v>
      </c>
      <c r="E214">
        <v>225</v>
      </c>
      <c r="F214">
        <v>400</v>
      </c>
      <c r="G214">
        <f>kursy3[[#This Row],[Cena]]/kursy3[[#This Row],[Odleglosc]]</f>
        <v>1.7777777777777777</v>
      </c>
    </row>
    <row r="215" spans="1:7" x14ac:dyDescent="0.25">
      <c r="A215" s="1">
        <v>42910</v>
      </c>
      <c r="B215" s="2" t="s">
        <v>39</v>
      </c>
      <c r="C215" s="2" t="s">
        <v>17</v>
      </c>
      <c r="D215">
        <v>4118</v>
      </c>
      <c r="E215">
        <v>144</v>
      </c>
      <c r="F215">
        <v>256</v>
      </c>
      <c r="G215">
        <f>kursy3[[#This Row],[Cena]]/kursy3[[#This Row],[Odleglosc]]</f>
        <v>1.7777777777777777</v>
      </c>
    </row>
    <row r="216" spans="1:7" x14ac:dyDescent="0.25">
      <c r="A216" s="1">
        <v>42761</v>
      </c>
      <c r="B216" s="2" t="s">
        <v>12</v>
      </c>
      <c r="C216" s="2" t="s">
        <v>6</v>
      </c>
      <c r="D216">
        <v>4981</v>
      </c>
      <c r="E216">
        <v>123</v>
      </c>
      <c r="F216">
        <v>218</v>
      </c>
      <c r="G216">
        <f>kursy3[[#This Row],[Cena]]/kursy3[[#This Row],[Odleglosc]]</f>
        <v>1.7723577235772359</v>
      </c>
    </row>
    <row r="217" spans="1:7" x14ac:dyDescent="0.25">
      <c r="A217" s="1">
        <v>42795</v>
      </c>
      <c r="B217" s="2" t="s">
        <v>35</v>
      </c>
      <c r="C217" s="2" t="s">
        <v>37</v>
      </c>
      <c r="D217">
        <v>4494</v>
      </c>
      <c r="E217">
        <v>143</v>
      </c>
      <c r="F217">
        <v>252</v>
      </c>
      <c r="G217">
        <f>kursy3[[#This Row],[Cena]]/kursy3[[#This Row],[Odleglosc]]</f>
        <v>1.7622377622377623</v>
      </c>
    </row>
    <row r="218" spans="1:7" x14ac:dyDescent="0.25">
      <c r="A218" s="1">
        <v>42965</v>
      </c>
      <c r="B218" s="2" t="s">
        <v>40</v>
      </c>
      <c r="C218" s="2" t="s">
        <v>20</v>
      </c>
      <c r="D218">
        <v>3035</v>
      </c>
      <c r="E218">
        <v>118</v>
      </c>
      <c r="F218">
        <v>207</v>
      </c>
      <c r="G218">
        <f>kursy3[[#This Row],[Cena]]/kursy3[[#This Row],[Odleglosc]]</f>
        <v>1.7542372881355932</v>
      </c>
    </row>
    <row r="219" spans="1:7" x14ac:dyDescent="0.25">
      <c r="A219" s="1">
        <v>43013</v>
      </c>
      <c r="B219" s="2" t="s">
        <v>42</v>
      </c>
      <c r="C219" s="2" t="s">
        <v>37</v>
      </c>
      <c r="D219">
        <v>2488</v>
      </c>
      <c r="E219">
        <v>144</v>
      </c>
      <c r="F219">
        <v>252</v>
      </c>
      <c r="G219">
        <f>kursy3[[#This Row],[Cena]]/kursy3[[#This Row],[Odleglosc]]</f>
        <v>1.75</v>
      </c>
    </row>
    <row r="220" spans="1:7" x14ac:dyDescent="0.25">
      <c r="A220" s="1">
        <v>42806</v>
      </c>
      <c r="B220" s="2" t="s">
        <v>16</v>
      </c>
      <c r="C220" s="2" t="s">
        <v>42</v>
      </c>
      <c r="D220">
        <v>2338</v>
      </c>
      <c r="E220">
        <v>123</v>
      </c>
      <c r="F220">
        <v>215</v>
      </c>
      <c r="G220">
        <f>kursy3[[#This Row],[Cena]]/kursy3[[#This Row],[Odleglosc]]</f>
        <v>1.7479674796747968</v>
      </c>
    </row>
    <row r="221" spans="1:7" x14ac:dyDescent="0.25">
      <c r="A221" s="1">
        <v>43035</v>
      </c>
      <c r="B221" s="2" t="s">
        <v>38</v>
      </c>
      <c r="C221" s="2" t="s">
        <v>49</v>
      </c>
      <c r="D221">
        <v>4567</v>
      </c>
      <c r="E221">
        <v>31</v>
      </c>
      <c r="F221">
        <v>54</v>
      </c>
      <c r="G221">
        <f>kursy3[[#This Row],[Cena]]/kursy3[[#This Row],[Odleglosc]]</f>
        <v>1.7419354838709677</v>
      </c>
    </row>
    <row r="222" spans="1:7" x14ac:dyDescent="0.25">
      <c r="A222" s="1">
        <v>43100</v>
      </c>
      <c r="B222" s="2" t="s">
        <v>12</v>
      </c>
      <c r="C222" s="2" t="s">
        <v>6</v>
      </c>
      <c r="D222">
        <v>2293</v>
      </c>
      <c r="E222">
        <v>126</v>
      </c>
      <c r="F222">
        <v>219</v>
      </c>
      <c r="G222">
        <f>kursy3[[#This Row],[Cena]]/kursy3[[#This Row],[Odleglosc]]</f>
        <v>1.7380952380952381</v>
      </c>
    </row>
    <row r="223" spans="1:7" x14ac:dyDescent="0.25">
      <c r="A223" s="1">
        <v>42956</v>
      </c>
      <c r="B223" s="2" t="s">
        <v>21</v>
      </c>
      <c r="C223" s="2" t="s">
        <v>25</v>
      </c>
      <c r="D223">
        <v>2935</v>
      </c>
      <c r="E223">
        <v>160</v>
      </c>
      <c r="F223">
        <v>275</v>
      </c>
      <c r="G223">
        <f>kursy3[[#This Row],[Cena]]/kursy3[[#This Row],[Odleglosc]]</f>
        <v>1.71875</v>
      </c>
    </row>
    <row r="224" spans="1:7" x14ac:dyDescent="0.25">
      <c r="A224" s="1">
        <v>42779</v>
      </c>
      <c r="B224" s="2" t="s">
        <v>21</v>
      </c>
      <c r="C224" s="2" t="s">
        <v>32</v>
      </c>
      <c r="D224">
        <v>3216</v>
      </c>
      <c r="E224">
        <v>162</v>
      </c>
      <c r="F224">
        <v>278</v>
      </c>
      <c r="G224">
        <f>kursy3[[#This Row],[Cena]]/kursy3[[#This Row],[Odleglosc]]</f>
        <v>1.7160493827160495</v>
      </c>
    </row>
    <row r="225" spans="1:7" x14ac:dyDescent="0.25">
      <c r="A225" s="1">
        <v>42861</v>
      </c>
      <c r="B225" s="2" t="s">
        <v>29</v>
      </c>
      <c r="C225" s="2" t="s">
        <v>19</v>
      </c>
      <c r="D225">
        <v>4651</v>
      </c>
      <c r="E225">
        <v>111</v>
      </c>
      <c r="F225">
        <v>190</v>
      </c>
      <c r="G225">
        <f>kursy3[[#This Row],[Cena]]/kursy3[[#This Row],[Odleglosc]]</f>
        <v>1.7117117117117118</v>
      </c>
    </row>
    <row r="226" spans="1:7" x14ac:dyDescent="0.25">
      <c r="A226" s="1">
        <v>42884</v>
      </c>
      <c r="B226" s="2" t="s">
        <v>58</v>
      </c>
      <c r="C226" s="2" t="s">
        <v>61</v>
      </c>
      <c r="D226">
        <v>4788</v>
      </c>
      <c r="E226">
        <v>203</v>
      </c>
      <c r="F226">
        <v>347</v>
      </c>
      <c r="G226">
        <f>kursy3[[#This Row],[Cena]]/kursy3[[#This Row],[Odleglosc]]</f>
        <v>1.7093596059113301</v>
      </c>
    </row>
    <row r="227" spans="1:7" x14ac:dyDescent="0.25">
      <c r="A227" s="1">
        <v>43025</v>
      </c>
      <c r="B227" s="2" t="s">
        <v>8</v>
      </c>
      <c r="C227" s="2" t="s">
        <v>29</v>
      </c>
      <c r="D227">
        <v>5537</v>
      </c>
      <c r="E227">
        <v>141</v>
      </c>
      <c r="F227">
        <v>240</v>
      </c>
      <c r="G227">
        <f>kursy3[[#This Row],[Cena]]/kursy3[[#This Row],[Odleglosc]]</f>
        <v>1.7021276595744681</v>
      </c>
    </row>
    <row r="228" spans="1:7" x14ac:dyDescent="0.25">
      <c r="A228" s="1">
        <v>42940</v>
      </c>
      <c r="B228" s="2" t="s">
        <v>68</v>
      </c>
      <c r="C228" s="2" t="s">
        <v>19</v>
      </c>
      <c r="D228">
        <v>5759</v>
      </c>
      <c r="E228">
        <v>175</v>
      </c>
      <c r="F228">
        <v>297</v>
      </c>
      <c r="G228">
        <f>kursy3[[#This Row],[Cena]]/kursy3[[#This Row],[Odleglosc]]</f>
        <v>1.6971428571428571</v>
      </c>
    </row>
    <row r="229" spans="1:7" x14ac:dyDescent="0.25">
      <c r="A229" s="1">
        <v>42821</v>
      </c>
      <c r="B229" s="2" t="s">
        <v>15</v>
      </c>
      <c r="C229" s="2" t="s">
        <v>26</v>
      </c>
      <c r="D229">
        <v>3858</v>
      </c>
      <c r="E229">
        <v>155</v>
      </c>
      <c r="F229">
        <v>261</v>
      </c>
      <c r="G229">
        <f>kursy3[[#This Row],[Cena]]/kursy3[[#This Row],[Odleglosc]]</f>
        <v>1.6838709677419355</v>
      </c>
    </row>
    <row r="230" spans="1:7" x14ac:dyDescent="0.25">
      <c r="A230" s="1">
        <v>43017</v>
      </c>
      <c r="B230" s="2" t="s">
        <v>70</v>
      </c>
      <c r="C230" s="2" t="s">
        <v>30</v>
      </c>
      <c r="D230">
        <v>4431</v>
      </c>
      <c r="E230">
        <v>128</v>
      </c>
      <c r="F230">
        <v>213</v>
      </c>
      <c r="G230">
        <f>kursy3[[#This Row],[Cena]]/kursy3[[#This Row],[Odleglosc]]</f>
        <v>1.6640625</v>
      </c>
    </row>
    <row r="231" spans="1:7" x14ac:dyDescent="0.25">
      <c r="A231" s="1">
        <v>42935</v>
      </c>
      <c r="B231" s="2" t="s">
        <v>18</v>
      </c>
      <c r="C231" s="2" t="s">
        <v>16</v>
      </c>
      <c r="D231">
        <v>2771</v>
      </c>
      <c r="E231">
        <v>239</v>
      </c>
      <c r="F231">
        <v>396</v>
      </c>
      <c r="G231">
        <f>kursy3[[#This Row],[Cena]]/kursy3[[#This Row],[Odleglosc]]</f>
        <v>1.6569037656903767</v>
      </c>
    </row>
    <row r="232" spans="1:7" x14ac:dyDescent="0.25">
      <c r="A232" s="1">
        <v>42846</v>
      </c>
      <c r="B232" s="2" t="s">
        <v>56</v>
      </c>
      <c r="C232" s="2" t="s">
        <v>45</v>
      </c>
      <c r="D232">
        <v>5162</v>
      </c>
      <c r="E232">
        <v>17</v>
      </c>
      <c r="F232">
        <v>28</v>
      </c>
      <c r="G232">
        <f>kursy3[[#This Row],[Cena]]/kursy3[[#This Row],[Odleglosc]]</f>
        <v>1.6470588235294117</v>
      </c>
    </row>
    <row r="233" spans="1:7" x14ac:dyDescent="0.25">
      <c r="A233" s="1">
        <v>42860</v>
      </c>
      <c r="B233" s="2" t="s">
        <v>19</v>
      </c>
      <c r="C233" s="2" t="s">
        <v>29</v>
      </c>
      <c r="D233">
        <v>1858</v>
      </c>
      <c r="E233">
        <v>104</v>
      </c>
      <c r="F233">
        <v>171</v>
      </c>
      <c r="G233">
        <f>kursy3[[#This Row],[Cena]]/kursy3[[#This Row],[Odleglosc]]</f>
        <v>1.6442307692307692</v>
      </c>
    </row>
    <row r="234" spans="1:7" x14ac:dyDescent="0.25">
      <c r="A234" s="1">
        <v>42769</v>
      </c>
      <c r="B234" s="2" t="s">
        <v>22</v>
      </c>
      <c r="C234" s="2" t="s">
        <v>26</v>
      </c>
      <c r="D234">
        <v>1686</v>
      </c>
      <c r="E234">
        <v>102</v>
      </c>
      <c r="F234">
        <v>167</v>
      </c>
      <c r="G234">
        <f>kursy3[[#This Row],[Cena]]/kursy3[[#This Row],[Odleglosc]]</f>
        <v>1.6372549019607843</v>
      </c>
    </row>
    <row r="235" spans="1:7" x14ac:dyDescent="0.25">
      <c r="A235" s="1">
        <v>42776</v>
      </c>
      <c r="B235" s="2" t="s">
        <v>7</v>
      </c>
      <c r="C235" s="2" t="s">
        <v>21</v>
      </c>
      <c r="D235">
        <v>3810</v>
      </c>
      <c r="E235">
        <v>135</v>
      </c>
      <c r="F235">
        <v>221</v>
      </c>
      <c r="G235">
        <f>kursy3[[#This Row],[Cena]]/kursy3[[#This Row],[Odleglosc]]</f>
        <v>1.6370370370370371</v>
      </c>
    </row>
    <row r="236" spans="1:7" x14ac:dyDescent="0.25">
      <c r="A236" s="1">
        <v>42979</v>
      </c>
      <c r="B236" s="2" t="s">
        <v>73</v>
      </c>
      <c r="C236" s="2" t="s">
        <v>51</v>
      </c>
      <c r="D236">
        <v>1369</v>
      </c>
      <c r="E236">
        <v>170</v>
      </c>
      <c r="F236">
        <v>276</v>
      </c>
      <c r="G236">
        <f>kursy3[[#This Row],[Cena]]/kursy3[[#This Row],[Odleglosc]]</f>
        <v>1.6235294117647059</v>
      </c>
    </row>
    <row r="237" spans="1:7" x14ac:dyDescent="0.25">
      <c r="A237" s="1">
        <v>43078</v>
      </c>
      <c r="B237" s="2" t="s">
        <v>15</v>
      </c>
      <c r="C237" s="2" t="s">
        <v>23</v>
      </c>
      <c r="D237">
        <v>2962</v>
      </c>
      <c r="E237">
        <v>170</v>
      </c>
      <c r="F237">
        <v>273</v>
      </c>
      <c r="G237">
        <f>kursy3[[#This Row],[Cena]]/kursy3[[#This Row],[Odleglosc]]</f>
        <v>1.6058823529411765</v>
      </c>
    </row>
    <row r="238" spans="1:7" x14ac:dyDescent="0.25">
      <c r="A238" s="1">
        <v>42899</v>
      </c>
      <c r="B238" s="2" t="s">
        <v>46</v>
      </c>
      <c r="C238" s="2" t="s">
        <v>47</v>
      </c>
      <c r="D238">
        <v>1536</v>
      </c>
      <c r="E238">
        <v>96</v>
      </c>
      <c r="F238">
        <v>154</v>
      </c>
      <c r="G238">
        <f>kursy3[[#This Row],[Cena]]/kursy3[[#This Row],[Odleglosc]]</f>
        <v>1.6041666666666667</v>
      </c>
    </row>
    <row r="239" spans="1:7" x14ac:dyDescent="0.25">
      <c r="A239" s="1">
        <v>42824</v>
      </c>
      <c r="B239" s="2" t="s">
        <v>14</v>
      </c>
      <c r="C239" s="2" t="s">
        <v>40</v>
      </c>
      <c r="D239">
        <v>1099</v>
      </c>
      <c r="E239">
        <v>128</v>
      </c>
      <c r="F239">
        <v>205</v>
      </c>
      <c r="G239">
        <f>kursy3[[#This Row],[Cena]]/kursy3[[#This Row],[Odleglosc]]</f>
        <v>1.6015625</v>
      </c>
    </row>
    <row r="240" spans="1:7" x14ac:dyDescent="0.25">
      <c r="A240" s="1">
        <v>42946</v>
      </c>
      <c r="B240" s="2" t="s">
        <v>59</v>
      </c>
      <c r="C240" s="2" t="s">
        <v>65</v>
      </c>
      <c r="D240">
        <v>5336</v>
      </c>
      <c r="E240">
        <v>107</v>
      </c>
      <c r="F240">
        <v>171</v>
      </c>
      <c r="G240">
        <f>kursy3[[#This Row],[Cena]]/kursy3[[#This Row],[Odleglosc]]</f>
        <v>1.5981308411214954</v>
      </c>
    </row>
    <row r="241" spans="1:7" x14ac:dyDescent="0.25">
      <c r="A241" s="1">
        <v>43015</v>
      </c>
      <c r="B241" s="2" t="s">
        <v>42</v>
      </c>
      <c r="C241" s="2" t="s">
        <v>62</v>
      </c>
      <c r="D241">
        <v>2918</v>
      </c>
      <c r="E241">
        <v>181</v>
      </c>
      <c r="F241">
        <v>289</v>
      </c>
      <c r="G241">
        <f>kursy3[[#This Row],[Cena]]/kursy3[[#This Row],[Odleglosc]]</f>
        <v>1.5966850828729282</v>
      </c>
    </row>
    <row r="242" spans="1:7" x14ac:dyDescent="0.25">
      <c r="A242" s="1">
        <v>43087</v>
      </c>
      <c r="B242" s="2" t="s">
        <v>38</v>
      </c>
      <c r="C242" s="2" t="s">
        <v>39</v>
      </c>
      <c r="D242">
        <v>1465</v>
      </c>
      <c r="E242">
        <v>121</v>
      </c>
      <c r="F242">
        <v>193</v>
      </c>
      <c r="G242">
        <f>kursy3[[#This Row],[Cena]]/kursy3[[#This Row],[Odleglosc]]</f>
        <v>1.5950413223140496</v>
      </c>
    </row>
    <row r="243" spans="1:7" x14ac:dyDescent="0.25">
      <c r="A243" s="1">
        <v>42919</v>
      </c>
      <c r="B243" s="2" t="s">
        <v>8</v>
      </c>
      <c r="C243" s="2" t="s">
        <v>20</v>
      </c>
      <c r="D243">
        <v>4354</v>
      </c>
      <c r="E243">
        <v>135</v>
      </c>
      <c r="F243">
        <v>215</v>
      </c>
      <c r="G243">
        <f>kursy3[[#This Row],[Cena]]/kursy3[[#This Row],[Odleglosc]]</f>
        <v>1.5925925925925926</v>
      </c>
    </row>
    <row r="244" spans="1:7" x14ac:dyDescent="0.25">
      <c r="A244" s="1">
        <v>43020</v>
      </c>
      <c r="B244" s="2" t="s">
        <v>26</v>
      </c>
      <c r="C244" s="2" t="s">
        <v>23</v>
      </c>
      <c r="D244">
        <v>2157</v>
      </c>
      <c r="E244">
        <v>115</v>
      </c>
      <c r="F244">
        <v>182</v>
      </c>
      <c r="G244">
        <f>kursy3[[#This Row],[Cena]]/kursy3[[#This Row],[Odleglosc]]</f>
        <v>1.5826086956521739</v>
      </c>
    </row>
    <row r="245" spans="1:7" x14ac:dyDescent="0.25">
      <c r="A245" s="1">
        <v>42957</v>
      </c>
      <c r="B245" s="2" t="s">
        <v>25</v>
      </c>
      <c r="C245" s="2" t="s">
        <v>15</v>
      </c>
      <c r="D245">
        <v>4379</v>
      </c>
      <c r="E245">
        <v>93</v>
      </c>
      <c r="F245">
        <v>147</v>
      </c>
      <c r="G245">
        <f>kursy3[[#This Row],[Cena]]/kursy3[[#This Row],[Odleglosc]]</f>
        <v>1.5806451612903225</v>
      </c>
    </row>
    <row r="246" spans="1:7" x14ac:dyDescent="0.25">
      <c r="A246" s="1">
        <v>42856</v>
      </c>
      <c r="B246" s="2" t="s">
        <v>52</v>
      </c>
      <c r="C246" s="2" t="s">
        <v>58</v>
      </c>
      <c r="D246">
        <v>2719</v>
      </c>
      <c r="E246">
        <v>152</v>
      </c>
      <c r="F246">
        <v>240</v>
      </c>
      <c r="G246">
        <f>kursy3[[#This Row],[Cena]]/kursy3[[#This Row],[Odleglosc]]</f>
        <v>1.5789473684210527</v>
      </c>
    </row>
    <row r="247" spans="1:7" x14ac:dyDescent="0.25">
      <c r="A247" s="1">
        <v>43011</v>
      </c>
      <c r="B247" s="2" t="s">
        <v>60</v>
      </c>
      <c r="C247" s="2" t="s">
        <v>32</v>
      </c>
      <c r="D247">
        <v>1211</v>
      </c>
      <c r="E247">
        <v>139</v>
      </c>
      <c r="F247">
        <v>218</v>
      </c>
      <c r="G247">
        <f>kursy3[[#This Row],[Cena]]/kursy3[[#This Row],[Odleglosc]]</f>
        <v>1.5683453237410072</v>
      </c>
    </row>
    <row r="248" spans="1:7" x14ac:dyDescent="0.25">
      <c r="A248" s="1">
        <v>42869</v>
      </c>
      <c r="B248" s="2" t="s">
        <v>28</v>
      </c>
      <c r="C248" s="2" t="s">
        <v>60</v>
      </c>
      <c r="D248">
        <v>5475</v>
      </c>
      <c r="E248">
        <v>129</v>
      </c>
      <c r="F248">
        <v>200</v>
      </c>
      <c r="G248">
        <f>kursy3[[#This Row],[Cena]]/kursy3[[#This Row],[Odleglosc]]</f>
        <v>1.5503875968992249</v>
      </c>
    </row>
    <row r="249" spans="1:7" x14ac:dyDescent="0.25">
      <c r="A249" s="1">
        <v>42892</v>
      </c>
      <c r="B249" s="2" t="s">
        <v>51</v>
      </c>
      <c r="C249" s="2" t="s">
        <v>44</v>
      </c>
      <c r="D249">
        <v>5560</v>
      </c>
      <c r="E249">
        <v>187</v>
      </c>
      <c r="F249">
        <v>288</v>
      </c>
      <c r="G249">
        <f>kursy3[[#This Row],[Cena]]/kursy3[[#This Row],[Odleglosc]]</f>
        <v>1.5401069518716577</v>
      </c>
    </row>
    <row r="250" spans="1:7" x14ac:dyDescent="0.25">
      <c r="A250" s="1">
        <v>42793</v>
      </c>
      <c r="B250" s="2" t="s">
        <v>35</v>
      </c>
      <c r="C250" s="2" t="s">
        <v>27</v>
      </c>
      <c r="D250">
        <v>5326</v>
      </c>
      <c r="E250">
        <v>171</v>
      </c>
      <c r="F250">
        <v>263</v>
      </c>
      <c r="G250">
        <f>kursy3[[#This Row],[Cena]]/kursy3[[#This Row],[Odleglosc]]</f>
        <v>1.5380116959064327</v>
      </c>
    </row>
    <row r="251" spans="1:7" x14ac:dyDescent="0.25">
      <c r="A251" s="1">
        <v>43003</v>
      </c>
      <c r="B251" s="2" t="s">
        <v>64</v>
      </c>
      <c r="C251" s="2" t="s">
        <v>25</v>
      </c>
      <c r="D251">
        <v>3108</v>
      </c>
      <c r="E251">
        <v>114</v>
      </c>
      <c r="F251">
        <v>174</v>
      </c>
      <c r="G251">
        <f>kursy3[[#This Row],[Cena]]/kursy3[[#This Row],[Odleglosc]]</f>
        <v>1.5263157894736843</v>
      </c>
    </row>
    <row r="252" spans="1:7" x14ac:dyDescent="0.25">
      <c r="A252" s="1">
        <v>42879</v>
      </c>
      <c r="B252" s="2" t="s">
        <v>59</v>
      </c>
      <c r="C252" s="2" t="s">
        <v>18</v>
      </c>
      <c r="D252">
        <v>5832</v>
      </c>
      <c r="E252">
        <v>300</v>
      </c>
      <c r="F252">
        <v>453</v>
      </c>
      <c r="G252">
        <f>kursy3[[#This Row],[Cena]]/kursy3[[#This Row],[Odleglosc]]</f>
        <v>1.51</v>
      </c>
    </row>
    <row r="253" spans="1:7" x14ac:dyDescent="0.25">
      <c r="A253" s="1">
        <v>42828</v>
      </c>
      <c r="B253" s="2" t="s">
        <v>38</v>
      </c>
      <c r="C253" s="2" t="s">
        <v>33</v>
      </c>
      <c r="D253">
        <v>2100</v>
      </c>
      <c r="E253">
        <v>115</v>
      </c>
      <c r="F253">
        <v>172</v>
      </c>
      <c r="G253">
        <f>kursy3[[#This Row],[Cena]]/kursy3[[#This Row],[Odleglosc]]</f>
        <v>1.4956521739130435</v>
      </c>
    </row>
    <row r="254" spans="1:7" x14ac:dyDescent="0.25">
      <c r="A254" s="1">
        <v>43054</v>
      </c>
      <c r="B254" s="2" t="s">
        <v>45</v>
      </c>
      <c r="C254" s="2" t="s">
        <v>44</v>
      </c>
      <c r="D254">
        <v>5392</v>
      </c>
      <c r="E254">
        <v>161</v>
      </c>
      <c r="F254">
        <v>240</v>
      </c>
      <c r="G254">
        <f>kursy3[[#This Row],[Cena]]/kursy3[[#This Row],[Odleglosc]]</f>
        <v>1.4906832298136645</v>
      </c>
    </row>
    <row r="255" spans="1:7" x14ac:dyDescent="0.25">
      <c r="A255" s="1">
        <v>42968</v>
      </c>
      <c r="B255" s="2" t="s">
        <v>11</v>
      </c>
      <c r="C255" s="2" t="s">
        <v>13</v>
      </c>
      <c r="D255">
        <v>5746</v>
      </c>
      <c r="E255">
        <v>145</v>
      </c>
      <c r="F255">
        <v>214</v>
      </c>
      <c r="G255">
        <f>kursy3[[#This Row],[Cena]]/kursy3[[#This Row],[Odleglosc]]</f>
        <v>1.4758620689655173</v>
      </c>
    </row>
    <row r="256" spans="1:7" x14ac:dyDescent="0.25">
      <c r="A256" s="1">
        <v>42768</v>
      </c>
      <c r="B256" s="2" t="s">
        <v>25</v>
      </c>
      <c r="C256" s="2" t="s">
        <v>22</v>
      </c>
      <c r="D256">
        <v>4871</v>
      </c>
      <c r="E256">
        <v>126</v>
      </c>
      <c r="F256">
        <v>185</v>
      </c>
      <c r="G256">
        <f>kursy3[[#This Row],[Cena]]/kursy3[[#This Row],[Odleglosc]]</f>
        <v>1.4682539682539681</v>
      </c>
    </row>
    <row r="257" spans="1:7" x14ac:dyDescent="0.25">
      <c r="A257" s="1">
        <v>42872</v>
      </c>
      <c r="B257" s="2" t="s">
        <v>29</v>
      </c>
      <c r="C257" s="2" t="s">
        <v>56</v>
      </c>
      <c r="D257">
        <v>5933</v>
      </c>
      <c r="E257">
        <v>335</v>
      </c>
      <c r="F257">
        <v>479</v>
      </c>
      <c r="G257">
        <f>kursy3[[#This Row],[Cena]]/kursy3[[#This Row],[Odleglosc]]</f>
        <v>1.4298507462686567</v>
      </c>
    </row>
    <row r="258" spans="1:7" x14ac:dyDescent="0.25">
      <c r="A258" s="1">
        <v>42743</v>
      </c>
      <c r="B258" s="2" t="s">
        <v>12</v>
      </c>
      <c r="C258" s="2" t="s">
        <v>11</v>
      </c>
      <c r="D258">
        <v>5851</v>
      </c>
      <c r="E258">
        <v>113</v>
      </c>
      <c r="F258">
        <v>160</v>
      </c>
      <c r="G258">
        <f>kursy3[[#This Row],[Cena]]/kursy3[[#This Row],[Odleglosc]]</f>
        <v>1.415929203539823</v>
      </c>
    </row>
    <row r="259" spans="1:7" x14ac:dyDescent="0.25">
      <c r="A259" s="1">
        <v>43018</v>
      </c>
      <c r="B259" s="2" t="s">
        <v>30</v>
      </c>
      <c r="C259" s="2" t="s">
        <v>40</v>
      </c>
      <c r="D259">
        <v>1956</v>
      </c>
      <c r="E259">
        <v>176</v>
      </c>
      <c r="F259">
        <v>248</v>
      </c>
      <c r="G259">
        <f>kursy3[[#This Row],[Cena]]/kursy3[[#This Row],[Odleglosc]]</f>
        <v>1.4090909090909092</v>
      </c>
    </row>
    <row r="260" spans="1:7" x14ac:dyDescent="0.25">
      <c r="A260" s="1">
        <v>42832</v>
      </c>
      <c r="B260" s="2" t="s">
        <v>50</v>
      </c>
      <c r="C260" s="2" t="s">
        <v>45</v>
      </c>
      <c r="D260">
        <v>4678</v>
      </c>
      <c r="E260">
        <v>182</v>
      </c>
      <c r="F260">
        <v>254</v>
      </c>
      <c r="G260">
        <f>kursy3[[#This Row],[Cena]]/kursy3[[#This Row],[Odleglosc]]</f>
        <v>1.3956043956043955</v>
      </c>
    </row>
    <row r="261" spans="1:7" x14ac:dyDescent="0.25">
      <c r="A261" s="1">
        <v>43030</v>
      </c>
      <c r="B261" s="2" t="s">
        <v>56</v>
      </c>
      <c r="C261" s="2" t="s">
        <v>59</v>
      </c>
      <c r="D261">
        <v>4201</v>
      </c>
      <c r="E261">
        <v>380</v>
      </c>
      <c r="F261">
        <v>528</v>
      </c>
      <c r="G261">
        <f>kursy3[[#This Row],[Cena]]/kursy3[[#This Row],[Odleglosc]]</f>
        <v>1.3894736842105264</v>
      </c>
    </row>
    <row r="262" spans="1:7" x14ac:dyDescent="0.25">
      <c r="A262" s="1">
        <v>42825</v>
      </c>
      <c r="B262" s="2" t="s">
        <v>40</v>
      </c>
      <c r="C262" s="2" t="s">
        <v>41</v>
      </c>
      <c r="D262">
        <v>4422</v>
      </c>
      <c r="E262">
        <v>105</v>
      </c>
      <c r="F262">
        <v>145</v>
      </c>
      <c r="G262">
        <f>kursy3[[#This Row],[Cena]]/kursy3[[#This Row],[Odleglosc]]</f>
        <v>1.3809523809523809</v>
      </c>
    </row>
    <row r="263" spans="1:7" x14ac:dyDescent="0.25">
      <c r="A263" s="1">
        <v>42868</v>
      </c>
      <c r="B263" s="2" t="s">
        <v>43</v>
      </c>
      <c r="C263" s="2" t="s">
        <v>28</v>
      </c>
      <c r="D263">
        <v>4888</v>
      </c>
      <c r="E263">
        <v>182</v>
      </c>
      <c r="F263">
        <v>248</v>
      </c>
      <c r="G263">
        <f>kursy3[[#This Row],[Cena]]/kursy3[[#This Row],[Odleglosc]]</f>
        <v>1.3626373626373627</v>
      </c>
    </row>
    <row r="264" spans="1:7" x14ac:dyDescent="0.25">
      <c r="A264" s="1">
        <v>43040</v>
      </c>
      <c r="B264" s="2" t="s">
        <v>12</v>
      </c>
      <c r="C264" s="2" t="s">
        <v>6</v>
      </c>
      <c r="D264">
        <v>2966</v>
      </c>
      <c r="E264">
        <v>125</v>
      </c>
      <c r="F264">
        <v>170</v>
      </c>
      <c r="G264">
        <f>kursy3[[#This Row],[Cena]]/kursy3[[#This Row],[Odleglosc]]</f>
        <v>1.36</v>
      </c>
    </row>
    <row r="265" spans="1:7" x14ac:dyDescent="0.25">
      <c r="A265" s="1">
        <v>43000</v>
      </c>
      <c r="B265" s="2" t="s">
        <v>59</v>
      </c>
      <c r="C265" s="2" t="s">
        <v>43</v>
      </c>
      <c r="D265">
        <v>5257</v>
      </c>
      <c r="E265">
        <v>407</v>
      </c>
      <c r="F265">
        <v>551</v>
      </c>
      <c r="G265">
        <f>kursy3[[#This Row],[Cena]]/kursy3[[#This Row],[Odleglosc]]</f>
        <v>1.3538083538083538</v>
      </c>
    </row>
    <row r="266" spans="1:7" x14ac:dyDescent="0.25">
      <c r="A266" s="1">
        <v>42817</v>
      </c>
      <c r="B266" s="2" t="s">
        <v>19</v>
      </c>
      <c r="C266" s="2" t="s">
        <v>16</v>
      </c>
      <c r="D266">
        <v>4347</v>
      </c>
      <c r="E266">
        <v>117</v>
      </c>
      <c r="F266">
        <v>158</v>
      </c>
      <c r="G266">
        <f>kursy3[[#This Row],[Cena]]/kursy3[[#This Row],[Odleglosc]]</f>
        <v>1.3504273504273505</v>
      </c>
    </row>
    <row r="267" spans="1:7" x14ac:dyDescent="0.25">
      <c r="A267" s="1">
        <v>42864</v>
      </c>
      <c r="B267" s="2" t="s">
        <v>28</v>
      </c>
      <c r="C267" s="2" t="s">
        <v>14</v>
      </c>
      <c r="D267">
        <v>3094</v>
      </c>
      <c r="E267">
        <v>107</v>
      </c>
      <c r="F267">
        <v>143</v>
      </c>
      <c r="G267">
        <f>kursy3[[#This Row],[Cena]]/kursy3[[#This Row],[Odleglosc]]</f>
        <v>1.3364485981308412</v>
      </c>
    </row>
    <row r="268" spans="1:7" x14ac:dyDescent="0.25">
      <c r="A268" s="1">
        <v>42837</v>
      </c>
      <c r="B268" s="2" t="s">
        <v>25</v>
      </c>
      <c r="C268" s="2" t="s">
        <v>23</v>
      </c>
      <c r="D268">
        <v>3398</v>
      </c>
      <c r="E268">
        <v>122</v>
      </c>
      <c r="F268">
        <v>163</v>
      </c>
      <c r="G268">
        <f>kursy3[[#This Row],[Cena]]/kursy3[[#This Row],[Odleglosc]]</f>
        <v>1.3360655737704918</v>
      </c>
    </row>
    <row r="269" spans="1:7" x14ac:dyDescent="0.25">
      <c r="A269" s="1">
        <v>42922</v>
      </c>
      <c r="B269" s="2" t="s">
        <v>41</v>
      </c>
      <c r="C269" s="2" t="s">
        <v>28</v>
      </c>
      <c r="D269">
        <v>2637</v>
      </c>
      <c r="E269">
        <v>138</v>
      </c>
      <c r="F269">
        <v>179</v>
      </c>
      <c r="G269">
        <f>kursy3[[#This Row],[Cena]]/kursy3[[#This Row],[Odleglosc]]</f>
        <v>1.2971014492753623</v>
      </c>
    </row>
    <row r="270" spans="1:7" x14ac:dyDescent="0.25">
      <c r="A270" s="1">
        <v>42964</v>
      </c>
      <c r="B270" s="2" t="s">
        <v>8</v>
      </c>
      <c r="C270" s="2" t="s">
        <v>40</v>
      </c>
      <c r="D270">
        <v>5151</v>
      </c>
      <c r="E270">
        <v>151</v>
      </c>
      <c r="F270">
        <v>195</v>
      </c>
      <c r="G270">
        <f>kursy3[[#This Row],[Cena]]/kursy3[[#This Row],[Odleglosc]]</f>
        <v>1.2913907284768211</v>
      </c>
    </row>
    <row r="271" spans="1:7" x14ac:dyDescent="0.25">
      <c r="A271" s="1">
        <v>42992</v>
      </c>
      <c r="B271" s="2" t="s">
        <v>36</v>
      </c>
      <c r="C271" s="2" t="s">
        <v>40</v>
      </c>
      <c r="D271">
        <v>3565</v>
      </c>
      <c r="E271">
        <v>176</v>
      </c>
      <c r="F271">
        <v>224</v>
      </c>
      <c r="G271">
        <f>kursy3[[#This Row],[Cena]]/kursy3[[#This Row],[Odleglosc]]</f>
        <v>1.2727272727272727</v>
      </c>
    </row>
    <row r="272" spans="1:7" x14ac:dyDescent="0.25">
      <c r="A272" s="1">
        <v>43010</v>
      </c>
      <c r="B272" s="2" t="s">
        <v>28</v>
      </c>
      <c r="C272" s="2" t="s">
        <v>60</v>
      </c>
      <c r="D272">
        <v>4016</v>
      </c>
      <c r="E272">
        <v>115</v>
      </c>
      <c r="F272">
        <v>145</v>
      </c>
      <c r="G272">
        <f>kursy3[[#This Row],[Cena]]/kursy3[[#This Row],[Odleglosc]]</f>
        <v>1.2608695652173914</v>
      </c>
    </row>
    <row r="273" spans="1:7" x14ac:dyDescent="0.25">
      <c r="A273" s="1">
        <v>42746</v>
      </c>
      <c r="B273" s="2" t="s">
        <v>9</v>
      </c>
      <c r="C273" s="2" t="s">
        <v>10</v>
      </c>
      <c r="D273">
        <v>1245</v>
      </c>
      <c r="E273">
        <v>166</v>
      </c>
      <c r="F273">
        <v>209</v>
      </c>
      <c r="G273">
        <f>kursy3[[#This Row],[Cena]]/kursy3[[#This Row],[Odleglosc]]</f>
        <v>1.2590361445783131</v>
      </c>
    </row>
    <row r="274" spans="1:7" x14ac:dyDescent="0.25">
      <c r="A274" s="1">
        <v>42881</v>
      </c>
      <c r="B274" s="2" t="s">
        <v>35</v>
      </c>
      <c r="C274" s="2" t="s">
        <v>37</v>
      </c>
      <c r="D274">
        <v>3012</v>
      </c>
      <c r="E274">
        <v>148</v>
      </c>
      <c r="F274">
        <v>185</v>
      </c>
      <c r="G274">
        <f>kursy3[[#This Row],[Cena]]/kursy3[[#This Row],[Odleglosc]]</f>
        <v>1.25</v>
      </c>
    </row>
    <row r="275" spans="1:7" x14ac:dyDescent="0.25">
      <c r="A275" s="1">
        <v>43077</v>
      </c>
      <c r="B275" s="2" t="s">
        <v>8</v>
      </c>
      <c r="C275" s="2" t="s">
        <v>20</v>
      </c>
      <c r="D275">
        <v>2291</v>
      </c>
      <c r="E275">
        <v>132</v>
      </c>
      <c r="F275">
        <v>163</v>
      </c>
      <c r="G275">
        <f>kursy3[[#This Row],[Cena]]/kursy3[[#This Row],[Odleglosc]]</f>
        <v>1.2348484848484849</v>
      </c>
    </row>
    <row r="276" spans="1:7" x14ac:dyDescent="0.25">
      <c r="A276" s="1">
        <v>42737</v>
      </c>
      <c r="B276" s="2" t="s">
        <v>6</v>
      </c>
      <c r="C276" s="2" t="s">
        <v>7</v>
      </c>
      <c r="D276">
        <v>3527</v>
      </c>
      <c r="E276">
        <v>167</v>
      </c>
      <c r="F276">
        <v>206</v>
      </c>
      <c r="G276">
        <f>kursy3[[#This Row],[Cena]]/kursy3[[#This Row],[Odleglosc]]</f>
        <v>1.2335329341317365</v>
      </c>
    </row>
    <row r="277" spans="1:7" x14ac:dyDescent="0.25">
      <c r="A277" s="1">
        <v>43031</v>
      </c>
      <c r="B277" s="2" t="s">
        <v>59</v>
      </c>
      <c r="C277" s="2" t="s">
        <v>12</v>
      </c>
      <c r="D277">
        <v>3592</v>
      </c>
      <c r="E277">
        <v>109</v>
      </c>
      <c r="F277">
        <v>134</v>
      </c>
      <c r="G277">
        <f>kursy3[[#This Row],[Cena]]/kursy3[[#This Row],[Odleglosc]]</f>
        <v>1.2293577981651376</v>
      </c>
    </row>
    <row r="278" spans="1:7" x14ac:dyDescent="0.25">
      <c r="A278" s="1">
        <v>42894</v>
      </c>
      <c r="B278" s="2" t="s">
        <v>67</v>
      </c>
      <c r="C278" s="2" t="s">
        <v>19</v>
      </c>
      <c r="D278">
        <v>3348</v>
      </c>
      <c r="E278">
        <v>111</v>
      </c>
      <c r="F278">
        <v>135</v>
      </c>
      <c r="G278">
        <f>kursy3[[#This Row],[Cena]]/kursy3[[#This Row],[Odleglosc]]</f>
        <v>1.2162162162162162</v>
      </c>
    </row>
    <row r="279" spans="1:7" x14ac:dyDescent="0.25">
      <c r="A279" s="1">
        <v>42923</v>
      </c>
      <c r="B279" s="2" t="s">
        <v>28</v>
      </c>
      <c r="C279" s="2" t="s">
        <v>14</v>
      </c>
      <c r="D279">
        <v>5651</v>
      </c>
      <c r="E279">
        <v>116</v>
      </c>
      <c r="F279">
        <v>141</v>
      </c>
      <c r="G279">
        <f>kursy3[[#This Row],[Cena]]/kursy3[[#This Row],[Odleglosc]]</f>
        <v>1.2155172413793103</v>
      </c>
    </row>
    <row r="280" spans="1:7" x14ac:dyDescent="0.25">
      <c r="A280" s="1">
        <v>42955</v>
      </c>
      <c r="B280" s="2" t="s">
        <v>14</v>
      </c>
      <c r="C280" s="2" t="s">
        <v>21</v>
      </c>
      <c r="D280">
        <v>1134</v>
      </c>
      <c r="E280">
        <v>95</v>
      </c>
      <c r="F280">
        <v>115</v>
      </c>
      <c r="G280">
        <f>kursy3[[#This Row],[Cena]]/kursy3[[#This Row],[Odleglosc]]</f>
        <v>1.2105263157894737</v>
      </c>
    </row>
    <row r="281" spans="1:7" x14ac:dyDescent="0.25">
      <c r="A281" s="1">
        <v>43070</v>
      </c>
      <c r="B281" s="2" t="s">
        <v>32</v>
      </c>
      <c r="C281" s="2" t="s">
        <v>38</v>
      </c>
      <c r="D281">
        <v>2555</v>
      </c>
      <c r="E281">
        <v>124</v>
      </c>
      <c r="F281">
        <v>150</v>
      </c>
      <c r="G281">
        <f>kursy3[[#This Row],[Cena]]/kursy3[[#This Row],[Odleglosc]]</f>
        <v>1.2096774193548387</v>
      </c>
    </row>
    <row r="282" spans="1:7" x14ac:dyDescent="0.25">
      <c r="A282" s="1">
        <v>43047</v>
      </c>
      <c r="B282" s="2" t="s">
        <v>10</v>
      </c>
      <c r="C282" s="2" t="s">
        <v>9</v>
      </c>
      <c r="D282">
        <v>1981</v>
      </c>
      <c r="E282">
        <v>159</v>
      </c>
      <c r="F282">
        <v>192</v>
      </c>
      <c r="G282">
        <f>kursy3[[#This Row],[Cena]]/kursy3[[#This Row],[Odleglosc]]</f>
        <v>1.2075471698113207</v>
      </c>
    </row>
    <row r="283" spans="1:7" x14ac:dyDescent="0.25">
      <c r="A283" s="1">
        <v>43084</v>
      </c>
      <c r="B283" s="2" t="s">
        <v>54</v>
      </c>
      <c r="C283" s="2" t="s">
        <v>49</v>
      </c>
      <c r="D283">
        <v>5238</v>
      </c>
      <c r="E283">
        <v>131</v>
      </c>
      <c r="F283">
        <v>158</v>
      </c>
      <c r="G283">
        <f>kursy3[[#This Row],[Cena]]/kursy3[[#This Row],[Odleglosc]]</f>
        <v>1.2061068702290076</v>
      </c>
    </row>
    <row r="284" spans="1:7" x14ac:dyDescent="0.25">
      <c r="A284" s="1">
        <v>42981</v>
      </c>
      <c r="B284" s="2" t="s">
        <v>48</v>
      </c>
      <c r="C284" s="2" t="s">
        <v>61</v>
      </c>
      <c r="D284">
        <v>2192</v>
      </c>
      <c r="E284">
        <v>114</v>
      </c>
      <c r="F284">
        <v>137</v>
      </c>
      <c r="G284">
        <f>kursy3[[#This Row],[Cena]]/kursy3[[#This Row],[Odleglosc]]</f>
        <v>1.2017543859649122</v>
      </c>
    </row>
    <row r="285" spans="1:7" x14ac:dyDescent="0.25">
      <c r="A285" s="1">
        <v>42744</v>
      </c>
      <c r="B285" s="2" t="s">
        <v>11</v>
      </c>
      <c r="C285" s="2" t="s">
        <v>13</v>
      </c>
      <c r="D285">
        <v>5963</v>
      </c>
      <c r="E285">
        <v>141</v>
      </c>
      <c r="F285">
        <v>168</v>
      </c>
      <c r="G285">
        <f>kursy3[[#This Row],[Cena]]/kursy3[[#This Row],[Odleglosc]]</f>
        <v>1.1914893617021276</v>
      </c>
    </row>
    <row r="286" spans="1:7" x14ac:dyDescent="0.25">
      <c r="A286" s="1">
        <v>42986</v>
      </c>
      <c r="B286" s="2" t="s">
        <v>60</v>
      </c>
      <c r="C286" s="2" t="s">
        <v>59</v>
      </c>
      <c r="D286">
        <v>2219</v>
      </c>
      <c r="E286">
        <v>136</v>
      </c>
      <c r="F286">
        <v>162</v>
      </c>
      <c r="G286">
        <f>kursy3[[#This Row],[Cena]]/kursy3[[#This Row],[Odleglosc]]</f>
        <v>1.1911764705882353</v>
      </c>
    </row>
    <row r="287" spans="1:7" x14ac:dyDescent="0.25">
      <c r="A287" s="1">
        <v>43022</v>
      </c>
      <c r="B287" s="2" t="s">
        <v>24</v>
      </c>
      <c r="C287" s="2" t="s">
        <v>21</v>
      </c>
      <c r="D287">
        <v>4677</v>
      </c>
      <c r="E287">
        <v>219</v>
      </c>
      <c r="F287">
        <v>255</v>
      </c>
      <c r="G287">
        <f>kursy3[[#This Row],[Cena]]/kursy3[[#This Row],[Odleglosc]]</f>
        <v>1.1643835616438356</v>
      </c>
    </row>
    <row r="288" spans="1:7" x14ac:dyDescent="0.25">
      <c r="A288" s="1">
        <v>42890</v>
      </c>
      <c r="B288" s="2" t="s">
        <v>65</v>
      </c>
      <c r="C288" s="2" t="s">
        <v>11</v>
      </c>
      <c r="D288">
        <v>5493</v>
      </c>
      <c r="E288">
        <v>145</v>
      </c>
      <c r="F288">
        <v>168</v>
      </c>
      <c r="G288">
        <f>kursy3[[#This Row],[Cena]]/kursy3[[#This Row],[Odleglosc]]</f>
        <v>1.1586206896551725</v>
      </c>
    </row>
    <row r="289" spans="1:7" x14ac:dyDescent="0.25">
      <c r="A289" s="1">
        <v>42877</v>
      </c>
      <c r="B289" s="2" t="s">
        <v>29</v>
      </c>
      <c r="C289" s="2" t="s">
        <v>41</v>
      </c>
      <c r="D289">
        <v>3983</v>
      </c>
      <c r="E289">
        <v>153</v>
      </c>
      <c r="F289">
        <v>175</v>
      </c>
      <c r="G289">
        <f>kursy3[[#This Row],[Cena]]/kursy3[[#This Row],[Odleglosc]]</f>
        <v>1.1437908496732025</v>
      </c>
    </row>
    <row r="290" spans="1:7" x14ac:dyDescent="0.25">
      <c r="A290" s="1">
        <v>43044</v>
      </c>
      <c r="B290" s="2" t="s">
        <v>37</v>
      </c>
      <c r="C290" s="2" t="s">
        <v>18</v>
      </c>
      <c r="D290">
        <v>3161</v>
      </c>
      <c r="E290">
        <v>101</v>
      </c>
      <c r="F290">
        <v>115</v>
      </c>
      <c r="G290">
        <f>kursy3[[#This Row],[Cena]]/kursy3[[#This Row],[Odleglosc]]</f>
        <v>1.1386138613861385</v>
      </c>
    </row>
    <row r="291" spans="1:7" x14ac:dyDescent="0.25">
      <c r="A291" s="1">
        <v>43038</v>
      </c>
      <c r="B291" s="2" t="s">
        <v>17</v>
      </c>
      <c r="C291" s="2" t="s">
        <v>38</v>
      </c>
      <c r="D291">
        <v>1782</v>
      </c>
      <c r="E291">
        <v>171</v>
      </c>
      <c r="F291">
        <v>193</v>
      </c>
      <c r="G291">
        <f>kursy3[[#This Row],[Cena]]/kursy3[[#This Row],[Odleglosc]]</f>
        <v>1.128654970760234</v>
      </c>
    </row>
    <row r="292" spans="1:7" x14ac:dyDescent="0.25">
      <c r="A292" s="1">
        <v>42972</v>
      </c>
      <c r="B292" s="2" t="s">
        <v>50</v>
      </c>
      <c r="C292" s="2" t="s">
        <v>17</v>
      </c>
      <c r="D292">
        <v>3460</v>
      </c>
      <c r="E292">
        <v>145</v>
      </c>
      <c r="F292">
        <v>162</v>
      </c>
      <c r="G292">
        <f>kursy3[[#This Row],[Cena]]/kursy3[[#This Row],[Odleglosc]]</f>
        <v>1.1172413793103448</v>
      </c>
    </row>
    <row r="293" spans="1:7" x14ac:dyDescent="0.25">
      <c r="A293" s="1">
        <v>43095</v>
      </c>
      <c r="B293" s="2" t="s">
        <v>38</v>
      </c>
      <c r="C293" s="2" t="s">
        <v>37</v>
      </c>
      <c r="D293">
        <v>4157</v>
      </c>
      <c r="E293">
        <v>151</v>
      </c>
      <c r="F293">
        <v>168</v>
      </c>
      <c r="G293">
        <f>kursy3[[#This Row],[Cena]]/kursy3[[#This Row],[Odleglosc]]</f>
        <v>1.1125827814569536</v>
      </c>
    </row>
    <row r="294" spans="1:7" x14ac:dyDescent="0.25">
      <c r="A294" s="1">
        <v>42921</v>
      </c>
      <c r="B294" s="2" t="s">
        <v>40</v>
      </c>
      <c r="C294" s="2" t="s">
        <v>41</v>
      </c>
      <c r="D294">
        <v>2800</v>
      </c>
      <c r="E294">
        <v>98</v>
      </c>
      <c r="F294">
        <v>108</v>
      </c>
      <c r="G294">
        <f>kursy3[[#This Row],[Cena]]/kursy3[[#This Row],[Odleglosc]]</f>
        <v>1.1020408163265305</v>
      </c>
    </row>
    <row r="295" spans="1:7" x14ac:dyDescent="0.25">
      <c r="A295" s="1">
        <v>42933</v>
      </c>
      <c r="B295" s="2" t="s">
        <v>26</v>
      </c>
      <c r="C295" s="2" t="s">
        <v>48</v>
      </c>
      <c r="D295">
        <v>4513</v>
      </c>
      <c r="E295">
        <v>114</v>
      </c>
      <c r="F295">
        <v>125</v>
      </c>
      <c r="G295">
        <f>kursy3[[#This Row],[Cena]]/kursy3[[#This Row],[Odleglosc]]</f>
        <v>1.0964912280701755</v>
      </c>
    </row>
    <row r="296" spans="1:7" x14ac:dyDescent="0.25">
      <c r="A296" s="1">
        <v>42783</v>
      </c>
      <c r="B296" s="2" t="s">
        <v>24</v>
      </c>
      <c r="C296" s="2" t="s">
        <v>23</v>
      </c>
      <c r="D296">
        <v>3305</v>
      </c>
      <c r="E296">
        <v>106</v>
      </c>
      <c r="F296">
        <v>116</v>
      </c>
      <c r="G296">
        <f>kursy3[[#This Row],[Cena]]/kursy3[[#This Row],[Odleglosc]]</f>
        <v>1.0943396226415094</v>
      </c>
    </row>
    <row r="297" spans="1:7" x14ac:dyDescent="0.25">
      <c r="A297" s="1">
        <v>42827</v>
      </c>
      <c r="B297" s="2" t="s">
        <v>33</v>
      </c>
      <c r="C297" s="2" t="s">
        <v>38</v>
      </c>
      <c r="D297">
        <v>2742</v>
      </c>
      <c r="E297">
        <v>109</v>
      </c>
      <c r="F297">
        <v>117</v>
      </c>
      <c r="G297">
        <f>kursy3[[#This Row],[Cena]]/kursy3[[#This Row],[Odleglosc]]</f>
        <v>1.073394495412844</v>
      </c>
    </row>
    <row r="298" spans="1:7" x14ac:dyDescent="0.25">
      <c r="A298" s="1">
        <v>42913</v>
      </c>
      <c r="B298" s="2" t="s">
        <v>30</v>
      </c>
      <c r="C298" s="2" t="s">
        <v>31</v>
      </c>
      <c r="D298">
        <v>2735</v>
      </c>
      <c r="E298">
        <v>213</v>
      </c>
      <c r="F298">
        <v>213</v>
      </c>
      <c r="G298">
        <f>kursy3[[#This Row],[Cena]]/kursy3[[#This Row],[Odleglosc]]</f>
        <v>1</v>
      </c>
    </row>
    <row r="299" spans="1:7" x14ac:dyDescent="0.25">
      <c r="A299" s="1">
        <v>42941</v>
      </c>
      <c r="B299" s="2" t="s">
        <v>19</v>
      </c>
      <c r="C299" s="2" t="s">
        <v>59</v>
      </c>
      <c r="D299">
        <v>2871</v>
      </c>
      <c r="E299">
        <v>113</v>
      </c>
      <c r="F299">
        <v>110</v>
      </c>
      <c r="G299">
        <f>kursy3[[#This Row],[Cena]]/kursy3[[#This Row],[Odleglosc]]</f>
        <v>0.97345132743362828</v>
      </c>
    </row>
    <row r="300" spans="1:7" x14ac:dyDescent="0.25">
      <c r="A300" s="1">
        <v>42904</v>
      </c>
      <c r="B300" s="2" t="s">
        <v>59</v>
      </c>
      <c r="C300" s="2" t="s">
        <v>60</v>
      </c>
      <c r="D300">
        <v>2286</v>
      </c>
      <c r="E300">
        <v>140</v>
      </c>
      <c r="F300">
        <v>136</v>
      </c>
      <c r="G300">
        <f>kursy3[[#This Row],[Cena]]/kursy3[[#This Row],[Odleglosc]]</f>
        <v>0.97142857142857142</v>
      </c>
    </row>
    <row r="301" spans="1:7" x14ac:dyDescent="0.25">
      <c r="A301" s="1">
        <v>43006</v>
      </c>
      <c r="B301" s="2" t="s">
        <v>48</v>
      </c>
      <c r="C301" s="2" t="s">
        <v>25</v>
      </c>
      <c r="D301">
        <v>4375</v>
      </c>
      <c r="E301">
        <v>140</v>
      </c>
      <c r="F301">
        <v>134</v>
      </c>
      <c r="G301">
        <f>kursy3[[#This Row],[Cena]]/kursy3[[#This Row],[Odleglosc]]</f>
        <v>0.95714285714285718</v>
      </c>
    </row>
  </sheetData>
  <conditionalFormatting sqref="G1:G1048576">
    <cfRule type="cellIs" dxfId="22" priority="1" operator="equal">
      <formula>4.260417</formula>
    </cfRule>
    <cfRule type="cellIs" dxfId="21" priority="2" operator="equal">
      <formula>4.260417</formula>
    </cfRule>
    <cfRule type="cellIs" dxfId="20" priority="3" operator="equal">
      <formula>4.260417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8E91-B16F-4C44-8385-146B0C86E71E}">
  <dimension ref="A1:H301"/>
  <sheetViews>
    <sheetView workbookViewId="0">
      <selection activeCell="I9" sqref="I9"/>
    </sheetView>
  </sheetViews>
  <sheetFormatPr defaultRowHeight="15" x14ac:dyDescent="0.25"/>
  <cols>
    <col min="1" max="1" width="10.140625" bestFit="1" customWidth="1"/>
    <col min="2" max="3" width="20" bestFit="1" customWidth="1"/>
    <col min="4" max="4" width="8.28515625" bestFit="1" customWidth="1"/>
    <col min="5" max="5" width="12" bestFit="1" customWidth="1"/>
    <col min="6" max="6" width="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8">
        <f>SUMIF(kursy4[Odleglosc],"&gt;400",kursy4[Cena])</f>
        <v>21108</v>
      </c>
    </row>
    <row r="2" spans="1:8" x14ac:dyDescent="0.25">
      <c r="A2" s="1">
        <v>42737</v>
      </c>
      <c r="B2" s="2" t="s">
        <v>6</v>
      </c>
      <c r="C2" s="2" t="s">
        <v>7</v>
      </c>
      <c r="D2">
        <v>3527</v>
      </c>
      <c r="E2">
        <v>167</v>
      </c>
      <c r="F2">
        <v>206</v>
      </c>
    </row>
    <row r="3" spans="1:8" x14ac:dyDescent="0.25">
      <c r="A3" s="1">
        <v>42738</v>
      </c>
      <c r="B3" s="2" t="s">
        <v>7</v>
      </c>
      <c r="C3" s="2" t="s">
        <v>8</v>
      </c>
      <c r="D3">
        <v>3666</v>
      </c>
      <c r="E3">
        <v>112</v>
      </c>
      <c r="F3">
        <v>280</v>
      </c>
    </row>
    <row r="4" spans="1:8" x14ac:dyDescent="0.25">
      <c r="A4" s="1">
        <v>42739</v>
      </c>
      <c r="B4" s="2" t="s">
        <v>8</v>
      </c>
      <c r="C4" s="2" t="s">
        <v>9</v>
      </c>
      <c r="D4">
        <v>4888</v>
      </c>
      <c r="E4">
        <v>167</v>
      </c>
      <c r="F4">
        <v>624</v>
      </c>
    </row>
    <row r="5" spans="1:8" x14ac:dyDescent="0.25">
      <c r="A5" s="1">
        <v>42740</v>
      </c>
      <c r="B5" s="2" t="s">
        <v>9</v>
      </c>
      <c r="C5" s="2" t="s">
        <v>10</v>
      </c>
      <c r="D5">
        <v>1099</v>
      </c>
      <c r="E5">
        <v>167</v>
      </c>
      <c r="F5">
        <v>390</v>
      </c>
    </row>
    <row r="6" spans="1:8" x14ac:dyDescent="0.25">
      <c r="A6" s="1">
        <v>42742</v>
      </c>
      <c r="B6" s="2" t="s">
        <v>11</v>
      </c>
      <c r="C6" s="2" t="s">
        <v>12</v>
      </c>
      <c r="D6">
        <v>4881</v>
      </c>
      <c r="E6">
        <v>118</v>
      </c>
      <c r="F6">
        <v>219</v>
      </c>
    </row>
    <row r="7" spans="1:8" x14ac:dyDescent="0.25">
      <c r="A7" s="1">
        <v>42743</v>
      </c>
      <c r="B7" s="2" t="s">
        <v>12</v>
      </c>
      <c r="C7" s="2" t="s">
        <v>11</v>
      </c>
      <c r="D7">
        <v>5851</v>
      </c>
      <c r="E7">
        <v>113</v>
      </c>
      <c r="F7">
        <v>160</v>
      </c>
    </row>
    <row r="8" spans="1:8" x14ac:dyDescent="0.25">
      <c r="A8" s="1">
        <v>42744</v>
      </c>
      <c r="B8" s="2" t="s">
        <v>11</v>
      </c>
      <c r="C8" s="2" t="s">
        <v>13</v>
      </c>
      <c r="D8">
        <v>5963</v>
      </c>
      <c r="E8">
        <v>141</v>
      </c>
      <c r="F8">
        <v>168</v>
      </c>
    </row>
    <row r="9" spans="1:8" x14ac:dyDescent="0.25">
      <c r="A9" s="1">
        <v>42745</v>
      </c>
      <c r="B9" s="2" t="s">
        <v>13</v>
      </c>
      <c r="C9" s="2" t="s">
        <v>9</v>
      </c>
      <c r="D9">
        <v>1364</v>
      </c>
      <c r="E9">
        <v>179</v>
      </c>
      <c r="F9">
        <v>533</v>
      </c>
    </row>
    <row r="10" spans="1:8" x14ac:dyDescent="0.25">
      <c r="A10" s="1">
        <v>42746</v>
      </c>
      <c r="B10" s="2" t="s">
        <v>9</v>
      </c>
      <c r="C10" s="2" t="s">
        <v>10</v>
      </c>
      <c r="D10">
        <v>1245</v>
      </c>
      <c r="E10">
        <v>166</v>
      </c>
      <c r="F10">
        <v>209</v>
      </c>
    </row>
    <row r="11" spans="1:8" x14ac:dyDescent="0.25">
      <c r="A11" s="1">
        <v>42747</v>
      </c>
      <c r="B11" s="2" t="s">
        <v>14</v>
      </c>
      <c r="C11" s="2" t="s">
        <v>15</v>
      </c>
      <c r="D11">
        <v>3771</v>
      </c>
      <c r="E11">
        <v>196</v>
      </c>
      <c r="F11">
        <v>696</v>
      </c>
    </row>
    <row r="12" spans="1:8" x14ac:dyDescent="0.25">
      <c r="A12" s="1">
        <v>42749</v>
      </c>
      <c r="B12" s="2" t="s">
        <v>16</v>
      </c>
      <c r="C12" s="2" t="s">
        <v>17</v>
      </c>
      <c r="D12">
        <v>4522</v>
      </c>
      <c r="E12">
        <v>300</v>
      </c>
      <c r="F12">
        <v>1113</v>
      </c>
    </row>
    <row r="13" spans="1:8" x14ac:dyDescent="0.25">
      <c r="A13" s="1">
        <v>42750</v>
      </c>
      <c r="B13" s="2" t="s">
        <v>17</v>
      </c>
      <c r="C13" s="2" t="s">
        <v>18</v>
      </c>
      <c r="D13">
        <v>4588</v>
      </c>
      <c r="E13">
        <v>148</v>
      </c>
      <c r="F13">
        <v>494</v>
      </c>
    </row>
    <row r="14" spans="1:8" x14ac:dyDescent="0.25">
      <c r="A14" s="1">
        <v>42751</v>
      </c>
      <c r="B14" s="2" t="s">
        <v>19</v>
      </c>
      <c r="C14" s="2" t="s">
        <v>20</v>
      </c>
      <c r="D14">
        <v>1952</v>
      </c>
      <c r="E14">
        <v>267</v>
      </c>
      <c r="F14">
        <v>602</v>
      </c>
    </row>
    <row r="15" spans="1:8" x14ac:dyDescent="0.25">
      <c r="A15" s="1">
        <v>42752</v>
      </c>
      <c r="B15" s="2" t="s">
        <v>20</v>
      </c>
      <c r="C15" s="2" t="s">
        <v>7</v>
      </c>
      <c r="D15">
        <v>3318</v>
      </c>
      <c r="E15">
        <v>110</v>
      </c>
      <c r="F15">
        <v>422</v>
      </c>
    </row>
    <row r="16" spans="1:8" x14ac:dyDescent="0.25">
      <c r="A16" s="1">
        <v>42755</v>
      </c>
      <c r="B16" s="2" t="s">
        <v>13</v>
      </c>
      <c r="C16" s="2" t="s">
        <v>9</v>
      </c>
      <c r="D16">
        <v>3106</v>
      </c>
      <c r="E16">
        <v>173</v>
      </c>
      <c r="F16">
        <v>312</v>
      </c>
    </row>
    <row r="17" spans="1:6" x14ac:dyDescent="0.25">
      <c r="A17" s="1">
        <v>42756</v>
      </c>
      <c r="B17" s="2" t="s">
        <v>9</v>
      </c>
      <c r="C17" s="2" t="s">
        <v>6</v>
      </c>
      <c r="D17">
        <v>5593</v>
      </c>
      <c r="E17">
        <v>127</v>
      </c>
      <c r="F17">
        <v>421</v>
      </c>
    </row>
    <row r="18" spans="1:6" x14ac:dyDescent="0.25">
      <c r="A18" s="1">
        <v>42757</v>
      </c>
      <c r="B18" s="2" t="s">
        <v>6</v>
      </c>
      <c r="C18" s="2" t="s">
        <v>12</v>
      </c>
      <c r="D18">
        <v>5983</v>
      </c>
      <c r="E18">
        <v>118</v>
      </c>
      <c r="F18">
        <v>416</v>
      </c>
    </row>
    <row r="19" spans="1:6" x14ac:dyDescent="0.25">
      <c r="A19" s="1">
        <v>42758</v>
      </c>
      <c r="B19" s="2" t="s">
        <v>12</v>
      </c>
      <c r="C19" s="2" t="s">
        <v>6</v>
      </c>
      <c r="D19">
        <v>5496</v>
      </c>
      <c r="E19">
        <v>115</v>
      </c>
      <c r="F19">
        <v>291</v>
      </c>
    </row>
    <row r="20" spans="1:6" x14ac:dyDescent="0.25">
      <c r="A20" s="1">
        <v>42759</v>
      </c>
      <c r="B20" s="2" t="s">
        <v>6</v>
      </c>
      <c r="C20" s="2" t="s">
        <v>11</v>
      </c>
      <c r="D20">
        <v>4572</v>
      </c>
      <c r="E20">
        <v>164</v>
      </c>
      <c r="F20">
        <v>550</v>
      </c>
    </row>
    <row r="21" spans="1:6" x14ac:dyDescent="0.25">
      <c r="A21" s="1">
        <v>42760</v>
      </c>
      <c r="B21" s="2" t="s">
        <v>11</v>
      </c>
      <c r="C21" s="2" t="s">
        <v>12</v>
      </c>
      <c r="D21">
        <v>4529</v>
      </c>
      <c r="E21">
        <v>121</v>
      </c>
      <c r="F21">
        <v>373</v>
      </c>
    </row>
    <row r="22" spans="1:6" x14ac:dyDescent="0.25">
      <c r="A22" s="1">
        <v>42761</v>
      </c>
      <c r="B22" s="2" t="s">
        <v>12</v>
      </c>
      <c r="C22" s="2" t="s">
        <v>6</v>
      </c>
      <c r="D22">
        <v>4981</v>
      </c>
      <c r="E22">
        <v>123</v>
      </c>
      <c r="F22">
        <v>218</v>
      </c>
    </row>
    <row r="23" spans="1:6" x14ac:dyDescent="0.25">
      <c r="A23" s="1">
        <v>42762</v>
      </c>
      <c r="B23" s="2" t="s">
        <v>6</v>
      </c>
      <c r="C23" s="2" t="s">
        <v>7</v>
      </c>
      <c r="D23">
        <v>3808</v>
      </c>
      <c r="E23">
        <v>163</v>
      </c>
      <c r="F23">
        <v>655</v>
      </c>
    </row>
    <row r="24" spans="1:6" x14ac:dyDescent="0.25">
      <c r="A24" s="1">
        <v>42763</v>
      </c>
      <c r="B24" s="2" t="s">
        <v>7</v>
      </c>
      <c r="C24" s="2" t="s">
        <v>21</v>
      </c>
      <c r="D24">
        <v>1359</v>
      </c>
      <c r="E24">
        <v>130</v>
      </c>
      <c r="F24">
        <v>346</v>
      </c>
    </row>
    <row r="25" spans="1:6" x14ac:dyDescent="0.25">
      <c r="A25" s="1">
        <v>42764</v>
      </c>
      <c r="B25" s="2" t="s">
        <v>22</v>
      </c>
      <c r="C25" s="2" t="s">
        <v>23</v>
      </c>
      <c r="D25">
        <v>2320</v>
      </c>
      <c r="E25">
        <v>24</v>
      </c>
      <c r="F25">
        <v>68</v>
      </c>
    </row>
    <row r="26" spans="1:6" x14ac:dyDescent="0.25">
      <c r="A26" s="1">
        <v>42765</v>
      </c>
      <c r="B26" s="2" t="s">
        <v>23</v>
      </c>
      <c r="C26" s="2" t="s">
        <v>24</v>
      </c>
      <c r="D26">
        <v>2607</v>
      </c>
      <c r="E26">
        <v>115</v>
      </c>
      <c r="F26">
        <v>264</v>
      </c>
    </row>
    <row r="27" spans="1:6" x14ac:dyDescent="0.25">
      <c r="A27" s="1">
        <v>42766</v>
      </c>
      <c r="B27" s="2" t="s">
        <v>24</v>
      </c>
      <c r="C27" s="2" t="s">
        <v>23</v>
      </c>
      <c r="D27">
        <v>3657</v>
      </c>
      <c r="E27">
        <v>100</v>
      </c>
      <c r="F27">
        <v>424</v>
      </c>
    </row>
    <row r="28" spans="1:6" x14ac:dyDescent="0.25">
      <c r="A28" s="1">
        <v>42767</v>
      </c>
      <c r="B28" s="2" t="s">
        <v>23</v>
      </c>
      <c r="C28" s="2" t="s">
        <v>25</v>
      </c>
      <c r="D28">
        <v>5671</v>
      </c>
      <c r="E28">
        <v>118</v>
      </c>
      <c r="F28">
        <v>390</v>
      </c>
    </row>
    <row r="29" spans="1:6" x14ac:dyDescent="0.25">
      <c r="A29" s="1">
        <v>42768</v>
      </c>
      <c r="B29" s="2" t="s">
        <v>25</v>
      </c>
      <c r="C29" s="2" t="s">
        <v>22</v>
      </c>
      <c r="D29">
        <v>4871</v>
      </c>
      <c r="E29">
        <v>126</v>
      </c>
      <c r="F29">
        <v>185</v>
      </c>
    </row>
    <row r="30" spans="1:6" x14ac:dyDescent="0.25">
      <c r="A30" s="1">
        <v>42769</v>
      </c>
      <c r="B30" s="2" t="s">
        <v>22</v>
      </c>
      <c r="C30" s="2" t="s">
        <v>26</v>
      </c>
      <c r="D30">
        <v>1686</v>
      </c>
      <c r="E30">
        <v>102</v>
      </c>
      <c r="F30">
        <v>167</v>
      </c>
    </row>
    <row r="31" spans="1:6" x14ac:dyDescent="0.25">
      <c r="A31" s="1">
        <v>42770</v>
      </c>
      <c r="B31" s="2" t="s">
        <v>26</v>
      </c>
      <c r="C31" s="2" t="s">
        <v>21</v>
      </c>
      <c r="D31">
        <v>5628</v>
      </c>
      <c r="E31">
        <v>123</v>
      </c>
      <c r="F31">
        <v>450</v>
      </c>
    </row>
    <row r="32" spans="1:6" x14ac:dyDescent="0.25">
      <c r="A32" s="1">
        <v>42771</v>
      </c>
      <c r="B32" s="2" t="s">
        <v>21</v>
      </c>
      <c r="C32" s="2" t="s">
        <v>14</v>
      </c>
      <c r="D32">
        <v>3295</v>
      </c>
      <c r="E32">
        <v>103</v>
      </c>
      <c r="F32">
        <v>346</v>
      </c>
    </row>
    <row r="33" spans="1:6" x14ac:dyDescent="0.25">
      <c r="A33" s="1">
        <v>42772</v>
      </c>
      <c r="B33" s="2" t="s">
        <v>27</v>
      </c>
      <c r="C33" s="2" t="s">
        <v>28</v>
      </c>
      <c r="D33">
        <v>5291</v>
      </c>
      <c r="E33">
        <v>273</v>
      </c>
      <c r="F33">
        <v>520</v>
      </c>
    </row>
    <row r="34" spans="1:6" x14ac:dyDescent="0.25">
      <c r="A34" s="1">
        <v>42773</v>
      </c>
      <c r="B34" s="2" t="s">
        <v>28</v>
      </c>
      <c r="C34" s="2" t="s">
        <v>29</v>
      </c>
      <c r="D34">
        <v>5838</v>
      </c>
      <c r="E34">
        <v>128</v>
      </c>
      <c r="F34">
        <v>518</v>
      </c>
    </row>
    <row r="35" spans="1:6" x14ac:dyDescent="0.25">
      <c r="A35" s="1">
        <v>42774</v>
      </c>
      <c r="B35" s="2" t="s">
        <v>29</v>
      </c>
      <c r="C35" s="2" t="s">
        <v>20</v>
      </c>
      <c r="D35">
        <v>3319</v>
      </c>
      <c r="E35">
        <v>154</v>
      </c>
      <c r="F35">
        <v>314</v>
      </c>
    </row>
    <row r="36" spans="1:6" x14ac:dyDescent="0.25">
      <c r="A36" s="1">
        <v>42775</v>
      </c>
      <c r="B36" s="2" t="s">
        <v>30</v>
      </c>
      <c r="C36" s="2" t="s">
        <v>7</v>
      </c>
      <c r="D36">
        <v>2152</v>
      </c>
      <c r="E36">
        <v>190</v>
      </c>
      <c r="F36">
        <v>406</v>
      </c>
    </row>
    <row r="37" spans="1:6" x14ac:dyDescent="0.25">
      <c r="A37" s="1">
        <v>42776</v>
      </c>
      <c r="B37" s="2" t="s">
        <v>7</v>
      </c>
      <c r="C37" s="2" t="s">
        <v>21</v>
      </c>
      <c r="D37">
        <v>3810</v>
      </c>
      <c r="E37">
        <v>135</v>
      </c>
      <c r="F37">
        <v>221</v>
      </c>
    </row>
    <row r="38" spans="1:6" x14ac:dyDescent="0.25">
      <c r="A38" s="1">
        <v>42777</v>
      </c>
      <c r="B38" s="2" t="s">
        <v>21</v>
      </c>
      <c r="C38" s="2" t="s">
        <v>31</v>
      </c>
      <c r="D38">
        <v>5713</v>
      </c>
      <c r="E38">
        <v>128</v>
      </c>
      <c r="F38">
        <v>376</v>
      </c>
    </row>
    <row r="39" spans="1:6" x14ac:dyDescent="0.25">
      <c r="A39" s="1">
        <v>42778</v>
      </c>
      <c r="B39" s="2" t="s">
        <v>31</v>
      </c>
      <c r="C39" s="2" t="s">
        <v>21</v>
      </c>
      <c r="D39">
        <v>4163</v>
      </c>
      <c r="E39">
        <v>128</v>
      </c>
      <c r="F39">
        <v>257</v>
      </c>
    </row>
    <row r="40" spans="1:6" x14ac:dyDescent="0.25">
      <c r="A40" s="1">
        <v>42779</v>
      </c>
      <c r="B40" s="2" t="s">
        <v>21</v>
      </c>
      <c r="C40" s="2" t="s">
        <v>32</v>
      </c>
      <c r="D40">
        <v>3216</v>
      </c>
      <c r="E40">
        <v>162</v>
      </c>
      <c r="F40">
        <v>278</v>
      </c>
    </row>
    <row r="41" spans="1:6" x14ac:dyDescent="0.25">
      <c r="A41" s="1">
        <v>42780</v>
      </c>
      <c r="B41" s="2" t="s">
        <v>11</v>
      </c>
      <c r="C41" s="2" t="s">
        <v>33</v>
      </c>
      <c r="D41">
        <v>5060</v>
      </c>
      <c r="E41">
        <v>550</v>
      </c>
      <c r="F41">
        <v>1622</v>
      </c>
    </row>
    <row r="42" spans="1:6" x14ac:dyDescent="0.25">
      <c r="A42" s="1">
        <v>42782</v>
      </c>
      <c r="B42" s="2" t="s">
        <v>31</v>
      </c>
      <c r="C42" s="2" t="s">
        <v>24</v>
      </c>
      <c r="D42">
        <v>2446</v>
      </c>
      <c r="E42">
        <v>161</v>
      </c>
      <c r="F42">
        <v>379</v>
      </c>
    </row>
    <row r="43" spans="1:6" x14ac:dyDescent="0.25">
      <c r="A43" s="1">
        <v>42783</v>
      </c>
      <c r="B43" s="2" t="s">
        <v>24</v>
      </c>
      <c r="C43" s="2" t="s">
        <v>23</v>
      </c>
      <c r="D43">
        <v>3305</v>
      </c>
      <c r="E43">
        <v>106</v>
      </c>
      <c r="F43">
        <v>116</v>
      </c>
    </row>
    <row r="44" spans="1:6" x14ac:dyDescent="0.25">
      <c r="A44" s="1">
        <v>42785</v>
      </c>
      <c r="B44" s="2" t="s">
        <v>21</v>
      </c>
      <c r="C44" s="2" t="s">
        <v>7</v>
      </c>
      <c r="D44">
        <v>1743</v>
      </c>
      <c r="E44">
        <v>145</v>
      </c>
      <c r="F44">
        <v>376</v>
      </c>
    </row>
    <row r="45" spans="1:6" x14ac:dyDescent="0.25">
      <c r="A45" s="1">
        <v>42788</v>
      </c>
      <c r="B45" s="2" t="s">
        <v>17</v>
      </c>
      <c r="C45" s="2" t="s">
        <v>34</v>
      </c>
      <c r="D45">
        <v>4053</v>
      </c>
      <c r="E45">
        <v>146</v>
      </c>
      <c r="F45">
        <v>441</v>
      </c>
    </row>
    <row r="46" spans="1:6" x14ac:dyDescent="0.25">
      <c r="A46" s="1">
        <v>42789</v>
      </c>
      <c r="B46" s="2" t="s">
        <v>18</v>
      </c>
      <c r="C46" s="2" t="s">
        <v>29</v>
      </c>
      <c r="D46">
        <v>4905</v>
      </c>
      <c r="E46">
        <v>157</v>
      </c>
      <c r="F46">
        <v>392</v>
      </c>
    </row>
    <row r="47" spans="1:6" x14ac:dyDescent="0.25">
      <c r="A47" s="1">
        <v>42791</v>
      </c>
      <c r="B47" s="2" t="s">
        <v>8</v>
      </c>
      <c r="C47" s="2" t="s">
        <v>7</v>
      </c>
      <c r="D47">
        <v>1624</v>
      </c>
      <c r="E47">
        <v>111</v>
      </c>
      <c r="F47">
        <v>221</v>
      </c>
    </row>
    <row r="48" spans="1:6" x14ac:dyDescent="0.25">
      <c r="A48" s="1">
        <v>42793</v>
      </c>
      <c r="B48" s="2" t="s">
        <v>35</v>
      </c>
      <c r="C48" s="2" t="s">
        <v>27</v>
      </c>
      <c r="D48">
        <v>5326</v>
      </c>
      <c r="E48">
        <v>171</v>
      </c>
      <c r="F48">
        <v>263</v>
      </c>
    </row>
    <row r="49" spans="1:6" x14ac:dyDescent="0.25">
      <c r="A49" s="1">
        <v>42794</v>
      </c>
      <c r="B49" s="2" t="s">
        <v>36</v>
      </c>
      <c r="C49" s="2" t="s">
        <v>12</v>
      </c>
      <c r="D49">
        <v>4398</v>
      </c>
      <c r="E49">
        <v>225</v>
      </c>
      <c r="F49">
        <v>400</v>
      </c>
    </row>
    <row r="50" spans="1:6" x14ac:dyDescent="0.25">
      <c r="A50" s="1">
        <v>42795</v>
      </c>
      <c r="B50" s="2" t="s">
        <v>35</v>
      </c>
      <c r="C50" s="2" t="s">
        <v>37</v>
      </c>
      <c r="D50">
        <v>4494</v>
      </c>
      <c r="E50">
        <v>143</v>
      </c>
      <c r="F50">
        <v>252</v>
      </c>
    </row>
    <row r="51" spans="1:6" x14ac:dyDescent="0.25">
      <c r="A51" s="1">
        <v>42796</v>
      </c>
      <c r="B51" s="2" t="s">
        <v>37</v>
      </c>
      <c r="C51" s="2" t="s">
        <v>38</v>
      </c>
      <c r="D51">
        <v>2136</v>
      </c>
      <c r="E51">
        <v>139</v>
      </c>
      <c r="F51">
        <v>522</v>
      </c>
    </row>
    <row r="52" spans="1:6" x14ac:dyDescent="0.25">
      <c r="A52" s="1">
        <v>42797</v>
      </c>
      <c r="B52" s="2" t="s">
        <v>38</v>
      </c>
      <c r="C52" s="2" t="s">
        <v>39</v>
      </c>
      <c r="D52">
        <v>4481</v>
      </c>
      <c r="E52">
        <v>121</v>
      </c>
      <c r="F52">
        <v>446</v>
      </c>
    </row>
    <row r="53" spans="1:6" x14ac:dyDescent="0.25">
      <c r="A53" s="1">
        <v>42798</v>
      </c>
      <c r="B53" s="2" t="s">
        <v>29</v>
      </c>
      <c r="C53" s="2" t="s">
        <v>14</v>
      </c>
      <c r="D53">
        <v>1749</v>
      </c>
      <c r="E53">
        <v>232</v>
      </c>
      <c r="F53">
        <v>928</v>
      </c>
    </row>
    <row r="54" spans="1:6" x14ac:dyDescent="0.25">
      <c r="A54" s="1">
        <v>42802</v>
      </c>
      <c r="B54" s="2" t="s">
        <v>29</v>
      </c>
      <c r="C54" s="2" t="s">
        <v>20</v>
      </c>
      <c r="D54">
        <v>1203</v>
      </c>
      <c r="E54">
        <v>146</v>
      </c>
      <c r="F54">
        <v>330</v>
      </c>
    </row>
    <row r="55" spans="1:6" x14ac:dyDescent="0.25">
      <c r="A55" s="1">
        <v>42803</v>
      </c>
      <c r="B55" s="2" t="s">
        <v>20</v>
      </c>
      <c r="C55" s="2" t="s">
        <v>40</v>
      </c>
      <c r="D55">
        <v>4505</v>
      </c>
      <c r="E55">
        <v>118</v>
      </c>
      <c r="F55">
        <v>374</v>
      </c>
    </row>
    <row r="56" spans="1:6" x14ac:dyDescent="0.25">
      <c r="A56" s="1">
        <v>42804</v>
      </c>
      <c r="B56" s="2" t="s">
        <v>40</v>
      </c>
      <c r="C56" s="2" t="s">
        <v>41</v>
      </c>
      <c r="D56">
        <v>1454</v>
      </c>
      <c r="E56">
        <v>95</v>
      </c>
      <c r="F56">
        <v>197</v>
      </c>
    </row>
    <row r="57" spans="1:6" x14ac:dyDescent="0.25">
      <c r="A57" s="1">
        <v>42805</v>
      </c>
      <c r="B57" s="2" t="s">
        <v>41</v>
      </c>
      <c r="C57" s="2" t="s">
        <v>16</v>
      </c>
      <c r="D57">
        <v>2835</v>
      </c>
      <c r="E57">
        <v>136</v>
      </c>
      <c r="F57">
        <v>418</v>
      </c>
    </row>
    <row r="58" spans="1:6" x14ac:dyDescent="0.25">
      <c r="A58" s="1">
        <v>42806</v>
      </c>
      <c r="B58" s="2" t="s">
        <v>16</v>
      </c>
      <c r="C58" s="2" t="s">
        <v>42</v>
      </c>
      <c r="D58">
        <v>2338</v>
      </c>
      <c r="E58">
        <v>123</v>
      </c>
      <c r="F58">
        <v>215</v>
      </c>
    </row>
    <row r="59" spans="1:6" x14ac:dyDescent="0.25">
      <c r="A59" s="1">
        <v>42807</v>
      </c>
      <c r="B59" s="2" t="s">
        <v>26</v>
      </c>
      <c r="C59" s="2" t="s">
        <v>43</v>
      </c>
      <c r="D59">
        <v>4154</v>
      </c>
      <c r="E59">
        <v>277</v>
      </c>
      <c r="F59">
        <v>924</v>
      </c>
    </row>
    <row r="60" spans="1:6" x14ac:dyDescent="0.25">
      <c r="A60" s="1">
        <v>42810</v>
      </c>
      <c r="B60" s="2" t="s">
        <v>15</v>
      </c>
      <c r="C60" s="2" t="s">
        <v>25</v>
      </c>
      <c r="D60">
        <v>1767</v>
      </c>
      <c r="E60">
        <v>91</v>
      </c>
      <c r="F60">
        <v>247</v>
      </c>
    </row>
    <row r="61" spans="1:6" x14ac:dyDescent="0.25">
      <c r="A61" s="1">
        <v>42812</v>
      </c>
      <c r="B61" s="2" t="s">
        <v>44</v>
      </c>
      <c r="C61" s="2" t="s">
        <v>45</v>
      </c>
      <c r="D61">
        <v>2929</v>
      </c>
      <c r="E61">
        <v>152</v>
      </c>
      <c r="F61">
        <v>278</v>
      </c>
    </row>
    <row r="62" spans="1:6" x14ac:dyDescent="0.25">
      <c r="A62" s="1">
        <v>42813</v>
      </c>
      <c r="B62" s="2" t="s">
        <v>45</v>
      </c>
      <c r="C62" s="2" t="s">
        <v>46</v>
      </c>
      <c r="D62">
        <v>2151</v>
      </c>
      <c r="E62">
        <v>177</v>
      </c>
      <c r="F62">
        <v>365</v>
      </c>
    </row>
    <row r="63" spans="1:6" x14ac:dyDescent="0.25">
      <c r="A63" s="1">
        <v>42814</v>
      </c>
      <c r="B63" s="2" t="s">
        <v>46</v>
      </c>
      <c r="C63" s="2" t="s">
        <v>47</v>
      </c>
      <c r="D63">
        <v>2431</v>
      </c>
      <c r="E63">
        <v>96</v>
      </c>
      <c r="F63">
        <v>409</v>
      </c>
    </row>
    <row r="64" spans="1:6" x14ac:dyDescent="0.25">
      <c r="A64" s="1">
        <v>42815</v>
      </c>
      <c r="B64" s="2" t="s">
        <v>34</v>
      </c>
      <c r="C64" s="2" t="s">
        <v>46</v>
      </c>
      <c r="D64">
        <v>1168</v>
      </c>
      <c r="E64">
        <v>143</v>
      </c>
      <c r="F64">
        <v>501</v>
      </c>
    </row>
    <row r="65" spans="1:6" x14ac:dyDescent="0.25">
      <c r="A65" s="1">
        <v>42816</v>
      </c>
      <c r="B65" s="2" t="s">
        <v>46</v>
      </c>
      <c r="C65" s="2" t="s">
        <v>19</v>
      </c>
      <c r="D65">
        <v>4251</v>
      </c>
      <c r="E65">
        <v>122</v>
      </c>
      <c r="F65">
        <v>227</v>
      </c>
    </row>
    <row r="66" spans="1:6" x14ac:dyDescent="0.25">
      <c r="A66" s="1">
        <v>42817</v>
      </c>
      <c r="B66" s="2" t="s">
        <v>19</v>
      </c>
      <c r="C66" s="2" t="s">
        <v>16</v>
      </c>
      <c r="D66">
        <v>4347</v>
      </c>
      <c r="E66">
        <v>117</v>
      </c>
      <c r="F66">
        <v>158</v>
      </c>
    </row>
    <row r="67" spans="1:6" x14ac:dyDescent="0.25">
      <c r="A67" s="1">
        <v>42818</v>
      </c>
      <c r="B67" s="2" t="s">
        <v>16</v>
      </c>
      <c r="C67" s="2" t="s">
        <v>41</v>
      </c>
      <c r="D67">
        <v>5287</v>
      </c>
      <c r="E67">
        <v>127</v>
      </c>
      <c r="F67">
        <v>495</v>
      </c>
    </row>
    <row r="68" spans="1:6" x14ac:dyDescent="0.25">
      <c r="A68" s="1">
        <v>42820</v>
      </c>
      <c r="B68" s="2" t="s">
        <v>17</v>
      </c>
      <c r="C68" s="2" t="s">
        <v>18</v>
      </c>
      <c r="D68">
        <v>5177</v>
      </c>
      <c r="E68">
        <v>147</v>
      </c>
      <c r="F68">
        <v>443</v>
      </c>
    </row>
    <row r="69" spans="1:6" x14ac:dyDescent="0.25">
      <c r="A69" s="1">
        <v>42821</v>
      </c>
      <c r="B69" s="2" t="s">
        <v>15</v>
      </c>
      <c r="C69" s="2" t="s">
        <v>26</v>
      </c>
      <c r="D69">
        <v>3858</v>
      </c>
      <c r="E69">
        <v>155</v>
      </c>
      <c r="F69">
        <v>261</v>
      </c>
    </row>
    <row r="70" spans="1:6" x14ac:dyDescent="0.25">
      <c r="A70" s="1">
        <v>42822</v>
      </c>
      <c r="B70" s="2" t="s">
        <v>26</v>
      </c>
      <c r="C70" s="2" t="s">
        <v>48</v>
      </c>
      <c r="D70">
        <v>4637</v>
      </c>
      <c r="E70">
        <v>116</v>
      </c>
      <c r="F70">
        <v>242</v>
      </c>
    </row>
    <row r="71" spans="1:6" x14ac:dyDescent="0.25">
      <c r="A71" s="1">
        <v>42823</v>
      </c>
      <c r="B71" s="2" t="s">
        <v>48</v>
      </c>
      <c r="C71" s="2" t="s">
        <v>14</v>
      </c>
      <c r="D71">
        <v>5212</v>
      </c>
      <c r="E71">
        <v>123</v>
      </c>
      <c r="F71">
        <v>517</v>
      </c>
    </row>
    <row r="72" spans="1:6" x14ac:dyDescent="0.25">
      <c r="A72" s="1">
        <v>42824</v>
      </c>
      <c r="B72" s="2" t="s">
        <v>14</v>
      </c>
      <c r="C72" s="2" t="s">
        <v>40</v>
      </c>
      <c r="D72">
        <v>1099</v>
      </c>
      <c r="E72">
        <v>128</v>
      </c>
      <c r="F72">
        <v>205</v>
      </c>
    </row>
    <row r="73" spans="1:6" x14ac:dyDescent="0.25">
      <c r="A73" s="1">
        <v>42825</v>
      </c>
      <c r="B73" s="2" t="s">
        <v>40</v>
      </c>
      <c r="C73" s="2" t="s">
        <v>41</v>
      </c>
      <c r="D73">
        <v>4422</v>
      </c>
      <c r="E73">
        <v>105</v>
      </c>
      <c r="F73">
        <v>145</v>
      </c>
    </row>
    <row r="74" spans="1:6" x14ac:dyDescent="0.25">
      <c r="A74" s="1">
        <v>42827</v>
      </c>
      <c r="B74" s="2" t="s">
        <v>33</v>
      </c>
      <c r="C74" s="2" t="s">
        <v>38</v>
      </c>
      <c r="D74">
        <v>2742</v>
      </c>
      <c r="E74">
        <v>109</v>
      </c>
      <c r="F74">
        <v>117</v>
      </c>
    </row>
    <row r="75" spans="1:6" x14ac:dyDescent="0.25">
      <c r="A75" s="1">
        <v>42828</v>
      </c>
      <c r="B75" s="2" t="s">
        <v>38</v>
      </c>
      <c r="C75" s="2" t="s">
        <v>33</v>
      </c>
      <c r="D75">
        <v>2100</v>
      </c>
      <c r="E75">
        <v>115</v>
      </c>
      <c r="F75">
        <v>172</v>
      </c>
    </row>
    <row r="76" spans="1:6" x14ac:dyDescent="0.25">
      <c r="A76" s="1">
        <v>42829</v>
      </c>
      <c r="B76" s="2" t="s">
        <v>33</v>
      </c>
      <c r="C76" s="2" t="s">
        <v>38</v>
      </c>
      <c r="D76">
        <v>5626</v>
      </c>
      <c r="E76">
        <v>123</v>
      </c>
      <c r="F76">
        <v>377</v>
      </c>
    </row>
    <row r="77" spans="1:6" x14ac:dyDescent="0.25">
      <c r="A77" s="1">
        <v>42830</v>
      </c>
      <c r="B77" s="2" t="s">
        <v>38</v>
      </c>
      <c r="C77" s="2" t="s">
        <v>33</v>
      </c>
      <c r="D77">
        <v>1629</v>
      </c>
      <c r="E77">
        <v>109</v>
      </c>
      <c r="F77">
        <v>258</v>
      </c>
    </row>
    <row r="78" spans="1:6" x14ac:dyDescent="0.25">
      <c r="A78" s="1">
        <v>42831</v>
      </c>
      <c r="B78" s="2" t="s">
        <v>33</v>
      </c>
      <c r="C78" s="2" t="s">
        <v>49</v>
      </c>
      <c r="D78">
        <v>4787</v>
      </c>
      <c r="E78">
        <v>155</v>
      </c>
      <c r="F78">
        <v>354</v>
      </c>
    </row>
    <row r="79" spans="1:6" x14ac:dyDescent="0.25">
      <c r="A79" s="1">
        <v>42832</v>
      </c>
      <c r="B79" s="2" t="s">
        <v>50</v>
      </c>
      <c r="C79" s="2" t="s">
        <v>45</v>
      </c>
      <c r="D79">
        <v>4678</v>
      </c>
      <c r="E79">
        <v>182</v>
      </c>
      <c r="F79">
        <v>254</v>
      </c>
    </row>
    <row r="80" spans="1:6" x14ac:dyDescent="0.25">
      <c r="A80" s="1">
        <v>42833</v>
      </c>
      <c r="B80" s="2" t="s">
        <v>45</v>
      </c>
      <c r="C80" s="2" t="s">
        <v>44</v>
      </c>
      <c r="D80">
        <v>5869</v>
      </c>
      <c r="E80">
        <v>152</v>
      </c>
      <c r="F80">
        <v>599</v>
      </c>
    </row>
    <row r="81" spans="1:6" x14ac:dyDescent="0.25">
      <c r="A81" s="1">
        <v>42834</v>
      </c>
      <c r="B81" s="2" t="s">
        <v>51</v>
      </c>
      <c r="C81" s="2" t="s">
        <v>44</v>
      </c>
      <c r="D81">
        <v>2678</v>
      </c>
      <c r="E81">
        <v>178</v>
      </c>
      <c r="F81">
        <v>481</v>
      </c>
    </row>
    <row r="82" spans="1:6" x14ac:dyDescent="0.25">
      <c r="A82" s="1">
        <v>42835</v>
      </c>
      <c r="B82" s="2" t="s">
        <v>20</v>
      </c>
      <c r="C82" s="2" t="s">
        <v>43</v>
      </c>
      <c r="D82">
        <v>3193</v>
      </c>
      <c r="E82">
        <v>241</v>
      </c>
      <c r="F82">
        <v>507</v>
      </c>
    </row>
    <row r="83" spans="1:6" x14ac:dyDescent="0.25">
      <c r="A83" s="1">
        <v>42836</v>
      </c>
      <c r="B83" s="2" t="s">
        <v>27</v>
      </c>
      <c r="C83" s="2" t="s">
        <v>25</v>
      </c>
      <c r="D83">
        <v>1011</v>
      </c>
      <c r="E83">
        <v>211</v>
      </c>
      <c r="F83">
        <v>536</v>
      </c>
    </row>
    <row r="84" spans="1:6" x14ac:dyDescent="0.25">
      <c r="A84" s="1">
        <v>42837</v>
      </c>
      <c r="B84" s="2" t="s">
        <v>25</v>
      </c>
      <c r="C84" s="2" t="s">
        <v>23</v>
      </c>
      <c r="D84">
        <v>3398</v>
      </c>
      <c r="E84">
        <v>122</v>
      </c>
      <c r="F84">
        <v>163</v>
      </c>
    </row>
    <row r="85" spans="1:6" x14ac:dyDescent="0.25">
      <c r="A85" s="1">
        <v>42839</v>
      </c>
      <c r="B85" s="2" t="s">
        <v>52</v>
      </c>
      <c r="C85" s="2" t="s">
        <v>53</v>
      </c>
      <c r="D85">
        <v>5416</v>
      </c>
      <c r="E85">
        <v>156</v>
      </c>
      <c r="F85">
        <v>349</v>
      </c>
    </row>
    <row r="86" spans="1:6" x14ac:dyDescent="0.25">
      <c r="A86" s="1">
        <v>42840</v>
      </c>
      <c r="B86" s="2" t="s">
        <v>9</v>
      </c>
      <c r="C86" s="2" t="s">
        <v>54</v>
      </c>
      <c r="D86">
        <v>3914</v>
      </c>
      <c r="E86">
        <v>417</v>
      </c>
      <c r="F86">
        <v>888</v>
      </c>
    </row>
    <row r="87" spans="1:6" x14ac:dyDescent="0.25">
      <c r="A87" s="1">
        <v>42841</v>
      </c>
      <c r="B87" s="2" t="s">
        <v>54</v>
      </c>
      <c r="C87" s="2" t="s">
        <v>47</v>
      </c>
      <c r="D87">
        <v>5805</v>
      </c>
      <c r="E87">
        <v>145</v>
      </c>
      <c r="F87">
        <v>301</v>
      </c>
    </row>
    <row r="88" spans="1:6" x14ac:dyDescent="0.25">
      <c r="A88" s="1">
        <v>42842</v>
      </c>
      <c r="B88" s="2" t="s">
        <v>47</v>
      </c>
      <c r="C88" s="2" t="s">
        <v>54</v>
      </c>
      <c r="D88">
        <v>4033</v>
      </c>
      <c r="E88">
        <v>136</v>
      </c>
      <c r="F88">
        <v>297</v>
      </c>
    </row>
    <row r="89" spans="1:6" x14ac:dyDescent="0.25">
      <c r="A89" s="1">
        <v>42844</v>
      </c>
      <c r="B89" s="2" t="s">
        <v>44</v>
      </c>
      <c r="C89" s="2" t="s">
        <v>55</v>
      </c>
      <c r="D89">
        <v>1021</v>
      </c>
      <c r="E89">
        <v>184</v>
      </c>
      <c r="F89">
        <v>660</v>
      </c>
    </row>
    <row r="90" spans="1:6" x14ac:dyDescent="0.25">
      <c r="A90" s="1">
        <v>42846</v>
      </c>
      <c r="B90" s="2" t="s">
        <v>56</v>
      </c>
      <c r="C90" s="2" t="s">
        <v>45</v>
      </c>
      <c r="D90">
        <v>5162</v>
      </c>
      <c r="E90">
        <v>17</v>
      </c>
      <c r="F90">
        <v>28</v>
      </c>
    </row>
    <row r="91" spans="1:6" x14ac:dyDescent="0.25">
      <c r="A91" s="1">
        <v>42847</v>
      </c>
      <c r="B91" s="2" t="s">
        <v>45</v>
      </c>
      <c r="C91" s="2" t="s">
        <v>44</v>
      </c>
      <c r="D91">
        <v>2050</v>
      </c>
      <c r="E91">
        <v>162</v>
      </c>
      <c r="F91">
        <v>569</v>
      </c>
    </row>
    <row r="92" spans="1:6" x14ac:dyDescent="0.25">
      <c r="A92" s="1">
        <v>42849</v>
      </c>
      <c r="B92" s="2" t="s">
        <v>43</v>
      </c>
      <c r="C92" s="2" t="s">
        <v>37</v>
      </c>
      <c r="D92">
        <v>5312</v>
      </c>
      <c r="E92">
        <v>153</v>
      </c>
      <c r="F92">
        <v>356</v>
      </c>
    </row>
    <row r="93" spans="1:6" x14ac:dyDescent="0.25">
      <c r="A93" s="1">
        <v>42851</v>
      </c>
      <c r="B93" s="2" t="s">
        <v>23</v>
      </c>
      <c r="C93" s="2" t="s">
        <v>42</v>
      </c>
      <c r="D93">
        <v>2443</v>
      </c>
      <c r="E93">
        <v>392</v>
      </c>
      <c r="F93">
        <v>1392</v>
      </c>
    </row>
    <row r="94" spans="1:6" x14ac:dyDescent="0.25">
      <c r="A94" s="1">
        <v>42853</v>
      </c>
      <c r="B94" s="2" t="s">
        <v>56</v>
      </c>
      <c r="C94" s="2" t="s">
        <v>50</v>
      </c>
      <c r="D94">
        <v>1161</v>
      </c>
      <c r="E94">
        <v>174</v>
      </c>
      <c r="F94">
        <v>323</v>
      </c>
    </row>
    <row r="95" spans="1:6" x14ac:dyDescent="0.25">
      <c r="A95" s="1">
        <v>42854</v>
      </c>
      <c r="B95" s="2" t="s">
        <v>50</v>
      </c>
      <c r="C95" s="2" t="s">
        <v>17</v>
      </c>
      <c r="D95">
        <v>3435</v>
      </c>
      <c r="E95">
        <v>146</v>
      </c>
      <c r="F95">
        <v>530</v>
      </c>
    </row>
    <row r="96" spans="1:6" x14ac:dyDescent="0.25">
      <c r="A96" s="1">
        <v>42855</v>
      </c>
      <c r="B96" s="2" t="s">
        <v>57</v>
      </c>
      <c r="C96" s="2" t="s">
        <v>32</v>
      </c>
      <c r="D96">
        <v>3358</v>
      </c>
      <c r="E96">
        <v>168</v>
      </c>
      <c r="F96">
        <v>569</v>
      </c>
    </row>
    <row r="97" spans="1:6" x14ac:dyDescent="0.25">
      <c r="A97" s="1">
        <v>42856</v>
      </c>
      <c r="B97" s="2" t="s">
        <v>52</v>
      </c>
      <c r="C97" s="2" t="s">
        <v>58</v>
      </c>
      <c r="D97">
        <v>2719</v>
      </c>
      <c r="E97">
        <v>152</v>
      </c>
      <c r="F97">
        <v>240</v>
      </c>
    </row>
    <row r="98" spans="1:6" x14ac:dyDescent="0.25">
      <c r="A98" s="1">
        <v>42857</v>
      </c>
      <c r="B98" s="2" t="s">
        <v>58</v>
      </c>
      <c r="C98" s="2" t="s">
        <v>23</v>
      </c>
      <c r="D98">
        <v>1793</v>
      </c>
      <c r="E98">
        <v>197</v>
      </c>
      <c r="F98">
        <v>754</v>
      </c>
    </row>
    <row r="99" spans="1:6" x14ac:dyDescent="0.25">
      <c r="A99" s="1">
        <v>42860</v>
      </c>
      <c r="B99" s="2" t="s">
        <v>19</v>
      </c>
      <c r="C99" s="2" t="s">
        <v>29</v>
      </c>
      <c r="D99">
        <v>1858</v>
      </c>
      <c r="E99">
        <v>104</v>
      </c>
      <c r="F99">
        <v>171</v>
      </c>
    </row>
    <row r="100" spans="1:6" x14ac:dyDescent="0.25">
      <c r="A100" s="1">
        <v>42861</v>
      </c>
      <c r="B100" s="2" t="s">
        <v>29</v>
      </c>
      <c r="C100" s="2" t="s">
        <v>19</v>
      </c>
      <c r="D100">
        <v>4651</v>
      </c>
      <c r="E100">
        <v>111</v>
      </c>
      <c r="F100">
        <v>190</v>
      </c>
    </row>
    <row r="101" spans="1:6" x14ac:dyDescent="0.25">
      <c r="A101" s="1">
        <v>42862</v>
      </c>
      <c r="B101" s="2" t="s">
        <v>19</v>
      </c>
      <c r="C101" s="2" t="s">
        <v>29</v>
      </c>
      <c r="D101">
        <v>2929</v>
      </c>
      <c r="E101">
        <v>111</v>
      </c>
      <c r="F101">
        <v>395</v>
      </c>
    </row>
    <row r="102" spans="1:6" x14ac:dyDescent="0.25">
      <c r="A102" s="1">
        <v>42863</v>
      </c>
      <c r="B102" s="2" t="s">
        <v>29</v>
      </c>
      <c r="C102" s="2" t="s">
        <v>28</v>
      </c>
      <c r="D102">
        <v>2608</v>
      </c>
      <c r="E102">
        <v>123</v>
      </c>
      <c r="F102">
        <v>223</v>
      </c>
    </row>
    <row r="103" spans="1:6" x14ac:dyDescent="0.25">
      <c r="A103" s="1">
        <v>42864</v>
      </c>
      <c r="B103" s="2" t="s">
        <v>28</v>
      </c>
      <c r="C103" s="2" t="s">
        <v>14</v>
      </c>
      <c r="D103">
        <v>3094</v>
      </c>
      <c r="E103">
        <v>107</v>
      </c>
      <c r="F103">
        <v>143</v>
      </c>
    </row>
    <row r="104" spans="1:6" x14ac:dyDescent="0.25">
      <c r="A104" s="1">
        <v>42867</v>
      </c>
      <c r="B104" s="2" t="s">
        <v>19</v>
      </c>
      <c r="C104" s="2" t="s">
        <v>59</v>
      </c>
      <c r="D104">
        <v>5288</v>
      </c>
      <c r="E104">
        <v>107</v>
      </c>
      <c r="F104">
        <v>312</v>
      </c>
    </row>
    <row r="105" spans="1:6" x14ac:dyDescent="0.25">
      <c r="A105" s="1">
        <v>42868</v>
      </c>
      <c r="B105" s="2" t="s">
        <v>43</v>
      </c>
      <c r="C105" s="2" t="s">
        <v>28</v>
      </c>
      <c r="D105">
        <v>4888</v>
      </c>
      <c r="E105">
        <v>182</v>
      </c>
      <c r="F105">
        <v>248</v>
      </c>
    </row>
    <row r="106" spans="1:6" x14ac:dyDescent="0.25">
      <c r="A106" s="1">
        <v>42869</v>
      </c>
      <c r="B106" s="2" t="s">
        <v>28</v>
      </c>
      <c r="C106" s="2" t="s">
        <v>60</v>
      </c>
      <c r="D106">
        <v>5475</v>
      </c>
      <c r="E106">
        <v>129</v>
      </c>
      <c r="F106">
        <v>200</v>
      </c>
    </row>
    <row r="107" spans="1:6" x14ac:dyDescent="0.25">
      <c r="A107" s="1">
        <v>42870</v>
      </c>
      <c r="B107" s="2" t="s">
        <v>60</v>
      </c>
      <c r="C107" s="2" t="s">
        <v>47</v>
      </c>
      <c r="D107">
        <v>4863</v>
      </c>
      <c r="E107">
        <v>141</v>
      </c>
      <c r="F107">
        <v>444</v>
      </c>
    </row>
    <row r="108" spans="1:6" x14ac:dyDescent="0.25">
      <c r="A108" s="1">
        <v>42872</v>
      </c>
      <c r="B108" s="2" t="s">
        <v>29</v>
      </c>
      <c r="C108" s="2" t="s">
        <v>56</v>
      </c>
      <c r="D108">
        <v>5933</v>
      </c>
      <c r="E108">
        <v>335</v>
      </c>
      <c r="F108">
        <v>479</v>
      </c>
    </row>
    <row r="109" spans="1:6" x14ac:dyDescent="0.25">
      <c r="A109" s="1">
        <v>42873</v>
      </c>
      <c r="B109" s="2" t="s">
        <v>59</v>
      </c>
      <c r="C109" s="2" t="s">
        <v>61</v>
      </c>
      <c r="D109">
        <v>1730</v>
      </c>
      <c r="E109">
        <v>410</v>
      </c>
      <c r="F109">
        <v>1087</v>
      </c>
    </row>
    <row r="110" spans="1:6" x14ac:dyDescent="0.25">
      <c r="A110" s="1">
        <v>42874</v>
      </c>
      <c r="B110" s="2" t="s">
        <v>61</v>
      </c>
      <c r="C110" s="2" t="s">
        <v>15</v>
      </c>
      <c r="D110">
        <v>3178</v>
      </c>
      <c r="E110">
        <v>171</v>
      </c>
      <c r="F110">
        <v>646</v>
      </c>
    </row>
    <row r="111" spans="1:6" x14ac:dyDescent="0.25">
      <c r="A111" s="1">
        <v>42877</v>
      </c>
      <c r="B111" s="2" t="s">
        <v>29</v>
      </c>
      <c r="C111" s="2" t="s">
        <v>41</v>
      </c>
      <c r="D111">
        <v>3983</v>
      </c>
      <c r="E111">
        <v>153</v>
      </c>
      <c r="F111">
        <v>175</v>
      </c>
    </row>
    <row r="112" spans="1:6" x14ac:dyDescent="0.25">
      <c r="A112" s="1">
        <v>42878</v>
      </c>
      <c r="B112" s="2" t="s">
        <v>36</v>
      </c>
      <c r="C112" s="2" t="s">
        <v>13</v>
      </c>
      <c r="D112">
        <v>3007</v>
      </c>
      <c r="E112">
        <v>391</v>
      </c>
      <c r="F112">
        <v>1406</v>
      </c>
    </row>
    <row r="113" spans="1:6" x14ac:dyDescent="0.25">
      <c r="A113" s="1">
        <v>42879</v>
      </c>
      <c r="B113" s="2" t="s">
        <v>59</v>
      </c>
      <c r="C113" s="2" t="s">
        <v>18</v>
      </c>
      <c r="D113">
        <v>5832</v>
      </c>
      <c r="E113">
        <v>300</v>
      </c>
      <c r="F113">
        <v>453</v>
      </c>
    </row>
    <row r="114" spans="1:6" x14ac:dyDescent="0.25">
      <c r="A114" s="1">
        <v>42881</v>
      </c>
      <c r="B114" s="2" t="s">
        <v>35</v>
      </c>
      <c r="C114" s="2" t="s">
        <v>37</v>
      </c>
      <c r="D114">
        <v>3012</v>
      </c>
      <c r="E114">
        <v>148</v>
      </c>
      <c r="F114">
        <v>185</v>
      </c>
    </row>
    <row r="115" spans="1:6" x14ac:dyDescent="0.25">
      <c r="A115" s="1">
        <v>42882</v>
      </c>
      <c r="B115" s="2" t="s">
        <v>37</v>
      </c>
      <c r="C115" s="2" t="s">
        <v>57</v>
      </c>
      <c r="D115">
        <v>4508</v>
      </c>
      <c r="E115">
        <v>104</v>
      </c>
      <c r="F115">
        <v>399</v>
      </c>
    </row>
    <row r="116" spans="1:6" x14ac:dyDescent="0.25">
      <c r="A116" s="1">
        <v>42883</v>
      </c>
      <c r="B116" s="2" t="s">
        <v>9</v>
      </c>
      <c r="C116" s="2" t="s">
        <v>58</v>
      </c>
      <c r="D116">
        <v>1777</v>
      </c>
      <c r="E116">
        <v>552</v>
      </c>
      <c r="F116">
        <v>1964</v>
      </c>
    </row>
    <row r="117" spans="1:6" x14ac:dyDescent="0.25">
      <c r="A117" s="1">
        <v>42884</v>
      </c>
      <c r="B117" s="2" t="s">
        <v>58</v>
      </c>
      <c r="C117" s="2" t="s">
        <v>61</v>
      </c>
      <c r="D117">
        <v>4788</v>
      </c>
      <c r="E117">
        <v>203</v>
      </c>
      <c r="F117">
        <v>347</v>
      </c>
    </row>
    <row r="118" spans="1:6" x14ac:dyDescent="0.25">
      <c r="A118" s="1">
        <v>42885</v>
      </c>
      <c r="B118" s="2" t="s">
        <v>61</v>
      </c>
      <c r="C118" s="2" t="s">
        <v>62</v>
      </c>
      <c r="D118">
        <v>3035</v>
      </c>
      <c r="E118">
        <v>103</v>
      </c>
      <c r="F118">
        <v>376</v>
      </c>
    </row>
    <row r="119" spans="1:6" x14ac:dyDescent="0.25">
      <c r="A119" s="1">
        <v>42886</v>
      </c>
      <c r="B119" s="2" t="s">
        <v>62</v>
      </c>
      <c r="C119" s="2" t="s">
        <v>63</v>
      </c>
      <c r="D119">
        <v>3380</v>
      </c>
      <c r="E119">
        <v>155</v>
      </c>
      <c r="F119">
        <v>542</v>
      </c>
    </row>
    <row r="120" spans="1:6" x14ac:dyDescent="0.25">
      <c r="A120" s="1">
        <v>42887</v>
      </c>
      <c r="B120" s="2" t="s">
        <v>63</v>
      </c>
      <c r="C120" s="2" t="s">
        <v>64</v>
      </c>
      <c r="D120">
        <v>5014</v>
      </c>
      <c r="E120">
        <v>154</v>
      </c>
      <c r="F120">
        <v>577</v>
      </c>
    </row>
    <row r="121" spans="1:6" x14ac:dyDescent="0.25">
      <c r="A121" s="1">
        <v>42888</v>
      </c>
      <c r="B121" s="2" t="s">
        <v>64</v>
      </c>
      <c r="C121" s="2" t="s">
        <v>58</v>
      </c>
      <c r="D121">
        <v>1852</v>
      </c>
      <c r="E121">
        <v>110</v>
      </c>
      <c r="F121">
        <v>407</v>
      </c>
    </row>
    <row r="122" spans="1:6" x14ac:dyDescent="0.25">
      <c r="A122" s="1">
        <v>42890</v>
      </c>
      <c r="B122" s="2" t="s">
        <v>65</v>
      </c>
      <c r="C122" s="2" t="s">
        <v>11</v>
      </c>
      <c r="D122">
        <v>5493</v>
      </c>
      <c r="E122">
        <v>145</v>
      </c>
      <c r="F122">
        <v>168</v>
      </c>
    </row>
    <row r="123" spans="1:6" x14ac:dyDescent="0.25">
      <c r="A123" s="1">
        <v>42892</v>
      </c>
      <c r="B123" s="2" t="s">
        <v>51</v>
      </c>
      <c r="C123" s="2" t="s">
        <v>44</v>
      </c>
      <c r="D123">
        <v>5560</v>
      </c>
      <c r="E123">
        <v>187</v>
      </c>
      <c r="F123">
        <v>288</v>
      </c>
    </row>
    <row r="124" spans="1:6" x14ac:dyDescent="0.25">
      <c r="A124" s="1">
        <v>42893</v>
      </c>
      <c r="B124" s="2" t="s">
        <v>66</v>
      </c>
      <c r="C124" s="2" t="s">
        <v>67</v>
      </c>
      <c r="D124">
        <v>2571</v>
      </c>
      <c r="E124">
        <v>145</v>
      </c>
      <c r="F124">
        <v>567</v>
      </c>
    </row>
    <row r="125" spans="1:6" x14ac:dyDescent="0.25">
      <c r="A125" s="1">
        <v>42894</v>
      </c>
      <c r="B125" s="2" t="s">
        <v>67</v>
      </c>
      <c r="C125" s="2" t="s">
        <v>19</v>
      </c>
      <c r="D125">
        <v>3348</v>
      </c>
      <c r="E125">
        <v>111</v>
      </c>
      <c r="F125">
        <v>135</v>
      </c>
    </row>
    <row r="126" spans="1:6" x14ac:dyDescent="0.25">
      <c r="A126" s="1">
        <v>42895</v>
      </c>
      <c r="B126" s="2" t="s">
        <v>19</v>
      </c>
      <c r="C126" s="2" t="s">
        <v>46</v>
      </c>
      <c r="D126">
        <v>2906</v>
      </c>
      <c r="E126">
        <v>119</v>
      </c>
      <c r="F126">
        <v>398</v>
      </c>
    </row>
    <row r="127" spans="1:6" x14ac:dyDescent="0.25">
      <c r="A127" s="1">
        <v>42896</v>
      </c>
      <c r="B127" s="2" t="s">
        <v>46</v>
      </c>
      <c r="C127" s="2" t="s">
        <v>54</v>
      </c>
      <c r="D127">
        <v>5660</v>
      </c>
      <c r="E127">
        <v>137</v>
      </c>
      <c r="F127">
        <v>490</v>
      </c>
    </row>
    <row r="128" spans="1:6" x14ac:dyDescent="0.25">
      <c r="A128" s="1">
        <v>42897</v>
      </c>
      <c r="B128" s="2" t="s">
        <v>19</v>
      </c>
      <c r="C128" s="2" t="s">
        <v>29</v>
      </c>
      <c r="D128">
        <v>2575</v>
      </c>
      <c r="E128">
        <v>113</v>
      </c>
      <c r="F128">
        <v>277</v>
      </c>
    </row>
    <row r="129" spans="1:6" x14ac:dyDescent="0.25">
      <c r="A129" s="1">
        <v>42898</v>
      </c>
      <c r="B129" s="2" t="s">
        <v>55</v>
      </c>
      <c r="C129" s="2" t="s">
        <v>46</v>
      </c>
      <c r="D129">
        <v>1676</v>
      </c>
      <c r="E129">
        <v>217</v>
      </c>
      <c r="F129">
        <v>499</v>
      </c>
    </row>
    <row r="130" spans="1:6" x14ac:dyDescent="0.25">
      <c r="A130" s="1">
        <v>42899</v>
      </c>
      <c r="B130" s="2" t="s">
        <v>46</v>
      </c>
      <c r="C130" s="2" t="s">
        <v>47</v>
      </c>
      <c r="D130">
        <v>1536</v>
      </c>
      <c r="E130">
        <v>96</v>
      </c>
      <c r="F130">
        <v>154</v>
      </c>
    </row>
    <row r="131" spans="1:6" x14ac:dyDescent="0.25">
      <c r="A131" s="1">
        <v>42900</v>
      </c>
      <c r="B131" s="2" t="s">
        <v>47</v>
      </c>
      <c r="C131" s="2" t="s">
        <v>42</v>
      </c>
      <c r="D131">
        <v>1996</v>
      </c>
      <c r="E131">
        <v>158</v>
      </c>
      <c r="F131">
        <v>653</v>
      </c>
    </row>
    <row r="132" spans="1:6" x14ac:dyDescent="0.25">
      <c r="A132" s="1">
        <v>42902</v>
      </c>
      <c r="B132" s="2" t="s">
        <v>68</v>
      </c>
      <c r="C132" s="2" t="s">
        <v>69</v>
      </c>
      <c r="D132">
        <v>4769</v>
      </c>
      <c r="E132">
        <v>160</v>
      </c>
      <c r="F132">
        <v>522</v>
      </c>
    </row>
    <row r="133" spans="1:6" x14ac:dyDescent="0.25">
      <c r="A133" s="1">
        <v>42903</v>
      </c>
      <c r="B133" s="2" t="s">
        <v>69</v>
      </c>
      <c r="C133" s="2" t="s">
        <v>59</v>
      </c>
      <c r="D133">
        <v>4542</v>
      </c>
      <c r="E133">
        <v>205</v>
      </c>
      <c r="F133">
        <v>524</v>
      </c>
    </row>
    <row r="134" spans="1:6" x14ac:dyDescent="0.25">
      <c r="A134" s="1">
        <v>42904</v>
      </c>
      <c r="B134" s="2" t="s">
        <v>59</v>
      </c>
      <c r="C134" s="2" t="s">
        <v>60</v>
      </c>
      <c r="D134">
        <v>2286</v>
      </c>
      <c r="E134">
        <v>140</v>
      </c>
      <c r="F134">
        <v>136</v>
      </c>
    </row>
    <row r="135" spans="1:6" x14ac:dyDescent="0.25">
      <c r="A135" s="1">
        <v>42905</v>
      </c>
      <c r="B135" s="2" t="s">
        <v>60</v>
      </c>
      <c r="C135" s="2" t="s">
        <v>41</v>
      </c>
      <c r="D135">
        <v>1504</v>
      </c>
      <c r="E135">
        <v>95</v>
      </c>
      <c r="F135">
        <v>382</v>
      </c>
    </row>
    <row r="136" spans="1:6" x14ac:dyDescent="0.25">
      <c r="A136" s="1">
        <v>42906</v>
      </c>
      <c r="B136" s="2" t="s">
        <v>34</v>
      </c>
      <c r="C136" s="2" t="s">
        <v>39</v>
      </c>
      <c r="D136">
        <v>3990</v>
      </c>
      <c r="E136">
        <v>195</v>
      </c>
      <c r="F136">
        <v>468</v>
      </c>
    </row>
    <row r="137" spans="1:6" x14ac:dyDescent="0.25">
      <c r="A137" s="1">
        <v>42907</v>
      </c>
      <c r="B137" s="2" t="s">
        <v>47</v>
      </c>
      <c r="C137" s="2" t="s">
        <v>17</v>
      </c>
      <c r="D137">
        <v>4569</v>
      </c>
      <c r="E137">
        <v>123</v>
      </c>
      <c r="F137">
        <v>295</v>
      </c>
    </row>
    <row r="138" spans="1:6" x14ac:dyDescent="0.25">
      <c r="A138" s="1">
        <v>42908</v>
      </c>
      <c r="B138" s="2" t="s">
        <v>17</v>
      </c>
      <c r="C138" s="2" t="s">
        <v>18</v>
      </c>
      <c r="D138">
        <v>3469</v>
      </c>
      <c r="E138">
        <v>151</v>
      </c>
      <c r="F138">
        <v>558</v>
      </c>
    </row>
    <row r="139" spans="1:6" x14ac:dyDescent="0.25">
      <c r="A139" s="1">
        <v>42909</v>
      </c>
      <c r="B139" s="2" t="s">
        <v>18</v>
      </c>
      <c r="C139" s="2" t="s">
        <v>39</v>
      </c>
      <c r="D139">
        <v>2498</v>
      </c>
      <c r="E139">
        <v>163</v>
      </c>
      <c r="F139">
        <v>610</v>
      </c>
    </row>
    <row r="140" spans="1:6" x14ac:dyDescent="0.25">
      <c r="A140" s="1">
        <v>42910</v>
      </c>
      <c r="B140" s="2" t="s">
        <v>39</v>
      </c>
      <c r="C140" s="2" t="s">
        <v>17</v>
      </c>
      <c r="D140">
        <v>4118</v>
      </c>
      <c r="E140">
        <v>144</v>
      </c>
      <c r="F140">
        <v>256</v>
      </c>
    </row>
    <row r="141" spans="1:6" x14ac:dyDescent="0.25">
      <c r="A141" s="1">
        <v>42911</v>
      </c>
      <c r="B141" s="2" t="s">
        <v>30</v>
      </c>
      <c r="C141" s="2" t="s">
        <v>70</v>
      </c>
      <c r="D141">
        <v>5847</v>
      </c>
      <c r="E141">
        <v>137</v>
      </c>
      <c r="F141">
        <v>270</v>
      </c>
    </row>
    <row r="142" spans="1:6" x14ac:dyDescent="0.25">
      <c r="A142" s="1">
        <v>42912</v>
      </c>
      <c r="B142" s="2" t="s">
        <v>70</v>
      </c>
      <c r="C142" s="2" t="s">
        <v>30</v>
      </c>
      <c r="D142">
        <v>2032</v>
      </c>
      <c r="E142">
        <v>129</v>
      </c>
      <c r="F142">
        <v>245</v>
      </c>
    </row>
    <row r="143" spans="1:6" x14ac:dyDescent="0.25">
      <c r="A143" s="1">
        <v>42913</v>
      </c>
      <c r="B143" s="2" t="s">
        <v>30</v>
      </c>
      <c r="C143" s="2" t="s">
        <v>31</v>
      </c>
      <c r="D143">
        <v>2735</v>
      </c>
      <c r="E143">
        <v>213</v>
      </c>
      <c r="F143">
        <v>213</v>
      </c>
    </row>
    <row r="144" spans="1:6" x14ac:dyDescent="0.25">
      <c r="A144" s="1">
        <v>42914</v>
      </c>
      <c r="B144" s="2" t="s">
        <v>31</v>
      </c>
      <c r="C144" s="2" t="s">
        <v>22</v>
      </c>
      <c r="D144">
        <v>5467</v>
      </c>
      <c r="E144">
        <v>168</v>
      </c>
      <c r="F144">
        <v>336</v>
      </c>
    </row>
    <row r="145" spans="1:6" x14ac:dyDescent="0.25">
      <c r="A145" s="1">
        <v>42915</v>
      </c>
      <c r="B145" s="2" t="s">
        <v>22</v>
      </c>
      <c r="C145" s="2" t="s">
        <v>21</v>
      </c>
      <c r="D145">
        <v>3691</v>
      </c>
      <c r="E145">
        <v>170</v>
      </c>
      <c r="F145">
        <v>525</v>
      </c>
    </row>
    <row r="146" spans="1:6" x14ac:dyDescent="0.25">
      <c r="A146" s="1">
        <v>42916</v>
      </c>
      <c r="B146" s="2" t="s">
        <v>15</v>
      </c>
      <c r="C146" s="2" t="s">
        <v>52</v>
      </c>
      <c r="D146">
        <v>3681</v>
      </c>
      <c r="E146">
        <v>145</v>
      </c>
      <c r="F146">
        <v>546</v>
      </c>
    </row>
    <row r="147" spans="1:6" x14ac:dyDescent="0.25">
      <c r="A147" s="1">
        <v>42917</v>
      </c>
      <c r="B147" s="2" t="s">
        <v>62</v>
      </c>
      <c r="C147" s="2" t="s">
        <v>20</v>
      </c>
      <c r="D147">
        <v>2256</v>
      </c>
      <c r="E147">
        <v>146</v>
      </c>
      <c r="F147">
        <v>315</v>
      </c>
    </row>
    <row r="148" spans="1:6" x14ac:dyDescent="0.25">
      <c r="A148" s="1">
        <v>42918</v>
      </c>
      <c r="B148" s="2" t="s">
        <v>20</v>
      </c>
      <c r="C148" s="2" t="s">
        <v>8</v>
      </c>
      <c r="D148">
        <v>4602</v>
      </c>
      <c r="E148">
        <v>120</v>
      </c>
      <c r="F148">
        <v>288</v>
      </c>
    </row>
    <row r="149" spans="1:6" x14ac:dyDescent="0.25">
      <c r="A149" s="1">
        <v>42919</v>
      </c>
      <c r="B149" s="2" t="s">
        <v>8</v>
      </c>
      <c r="C149" s="2" t="s">
        <v>20</v>
      </c>
      <c r="D149">
        <v>4354</v>
      </c>
      <c r="E149">
        <v>135</v>
      </c>
      <c r="F149">
        <v>215</v>
      </c>
    </row>
    <row r="150" spans="1:6" x14ac:dyDescent="0.25">
      <c r="A150" s="1">
        <v>42920</v>
      </c>
      <c r="B150" s="2" t="s">
        <v>20</v>
      </c>
      <c r="C150" s="2" t="s">
        <v>60</v>
      </c>
      <c r="D150">
        <v>4260</v>
      </c>
      <c r="E150">
        <v>118</v>
      </c>
      <c r="F150">
        <v>222</v>
      </c>
    </row>
    <row r="151" spans="1:6" x14ac:dyDescent="0.25">
      <c r="A151" s="1">
        <v>42921</v>
      </c>
      <c r="B151" s="2" t="s">
        <v>40</v>
      </c>
      <c r="C151" s="2" t="s">
        <v>41</v>
      </c>
      <c r="D151">
        <v>2800</v>
      </c>
      <c r="E151">
        <v>98</v>
      </c>
      <c r="F151">
        <v>108</v>
      </c>
    </row>
    <row r="152" spans="1:6" x14ac:dyDescent="0.25">
      <c r="A152" s="1">
        <v>42922</v>
      </c>
      <c r="B152" s="2" t="s">
        <v>41</v>
      </c>
      <c r="C152" s="2" t="s">
        <v>28</v>
      </c>
      <c r="D152">
        <v>2637</v>
      </c>
      <c r="E152">
        <v>138</v>
      </c>
      <c r="F152">
        <v>179</v>
      </c>
    </row>
    <row r="153" spans="1:6" x14ac:dyDescent="0.25">
      <c r="A153" s="1">
        <v>42923</v>
      </c>
      <c r="B153" s="2" t="s">
        <v>28</v>
      </c>
      <c r="C153" s="2" t="s">
        <v>14</v>
      </c>
      <c r="D153">
        <v>5651</v>
      </c>
      <c r="E153">
        <v>116</v>
      </c>
      <c r="F153">
        <v>141</v>
      </c>
    </row>
    <row r="154" spans="1:6" x14ac:dyDescent="0.25">
      <c r="A154" s="1">
        <v>42924</v>
      </c>
      <c r="B154" s="2" t="s">
        <v>14</v>
      </c>
      <c r="C154" s="2" t="s">
        <v>48</v>
      </c>
      <c r="D154">
        <v>2511</v>
      </c>
      <c r="E154">
        <v>120</v>
      </c>
      <c r="F154">
        <v>438</v>
      </c>
    </row>
    <row r="155" spans="1:6" x14ac:dyDescent="0.25">
      <c r="A155" s="1">
        <v>42926</v>
      </c>
      <c r="B155" s="2" t="s">
        <v>56</v>
      </c>
      <c r="C155" s="2" t="s">
        <v>30</v>
      </c>
      <c r="D155">
        <v>2448</v>
      </c>
      <c r="E155">
        <v>744</v>
      </c>
      <c r="F155">
        <v>2887</v>
      </c>
    </row>
    <row r="156" spans="1:6" x14ac:dyDescent="0.25">
      <c r="A156" s="1">
        <v>42927</v>
      </c>
      <c r="B156" s="2" t="s">
        <v>10</v>
      </c>
      <c r="C156" s="2" t="s">
        <v>71</v>
      </c>
      <c r="D156">
        <v>3414</v>
      </c>
      <c r="E156">
        <v>114</v>
      </c>
      <c r="F156">
        <v>301</v>
      </c>
    </row>
    <row r="157" spans="1:6" x14ac:dyDescent="0.25">
      <c r="A157" s="1">
        <v>42928</v>
      </c>
      <c r="B157" s="2" t="s">
        <v>70</v>
      </c>
      <c r="C157" s="2" t="s">
        <v>36</v>
      </c>
      <c r="D157">
        <v>4039</v>
      </c>
      <c r="E157">
        <v>204</v>
      </c>
      <c r="F157">
        <v>614</v>
      </c>
    </row>
    <row r="158" spans="1:6" x14ac:dyDescent="0.25">
      <c r="A158" s="1">
        <v>42929</v>
      </c>
      <c r="B158" s="2" t="s">
        <v>36</v>
      </c>
      <c r="C158" s="2" t="s">
        <v>70</v>
      </c>
      <c r="D158">
        <v>5862</v>
      </c>
      <c r="E158">
        <v>202</v>
      </c>
      <c r="F158">
        <v>518</v>
      </c>
    </row>
    <row r="159" spans="1:6" x14ac:dyDescent="0.25">
      <c r="A159" s="1">
        <v>42931</v>
      </c>
      <c r="B159" s="2" t="s">
        <v>44</v>
      </c>
      <c r="C159" s="2" t="s">
        <v>56</v>
      </c>
      <c r="D159">
        <v>3077</v>
      </c>
      <c r="E159">
        <v>148</v>
      </c>
      <c r="F159">
        <v>454</v>
      </c>
    </row>
    <row r="160" spans="1:6" x14ac:dyDescent="0.25">
      <c r="A160" s="1">
        <v>42932</v>
      </c>
      <c r="B160" s="2" t="s">
        <v>55</v>
      </c>
      <c r="C160" s="2" t="s">
        <v>26</v>
      </c>
      <c r="D160">
        <v>5569</v>
      </c>
      <c r="E160">
        <v>604</v>
      </c>
      <c r="F160">
        <v>1446</v>
      </c>
    </row>
    <row r="161" spans="1:6" x14ac:dyDescent="0.25">
      <c r="A161" s="1">
        <v>42933</v>
      </c>
      <c r="B161" s="2" t="s">
        <v>26</v>
      </c>
      <c r="C161" s="2" t="s">
        <v>48</v>
      </c>
      <c r="D161">
        <v>4513</v>
      </c>
      <c r="E161">
        <v>114</v>
      </c>
      <c r="F161">
        <v>125</v>
      </c>
    </row>
    <row r="162" spans="1:6" x14ac:dyDescent="0.25">
      <c r="A162" s="1">
        <v>42935</v>
      </c>
      <c r="B162" s="2" t="s">
        <v>18</v>
      </c>
      <c r="C162" s="2" t="s">
        <v>16</v>
      </c>
      <c r="D162">
        <v>2771</v>
      </c>
      <c r="E162">
        <v>239</v>
      </c>
      <c r="F162">
        <v>396</v>
      </c>
    </row>
    <row r="163" spans="1:6" x14ac:dyDescent="0.25">
      <c r="A163" s="1">
        <v>42936</v>
      </c>
      <c r="B163" s="2" t="s">
        <v>50</v>
      </c>
      <c r="C163" s="2" t="s">
        <v>42</v>
      </c>
      <c r="D163">
        <v>1079</v>
      </c>
      <c r="E163">
        <v>438</v>
      </c>
      <c r="F163">
        <v>899</v>
      </c>
    </row>
    <row r="164" spans="1:6" x14ac:dyDescent="0.25">
      <c r="A164" s="1">
        <v>42937</v>
      </c>
      <c r="B164" s="2" t="s">
        <v>42</v>
      </c>
      <c r="C164" s="2" t="s">
        <v>32</v>
      </c>
      <c r="D164">
        <v>3126</v>
      </c>
      <c r="E164">
        <v>124</v>
      </c>
      <c r="F164">
        <v>317</v>
      </c>
    </row>
    <row r="165" spans="1:6" x14ac:dyDescent="0.25">
      <c r="A165" s="1">
        <v>42938</v>
      </c>
      <c r="B165" s="2" t="s">
        <v>32</v>
      </c>
      <c r="C165" s="2" t="s">
        <v>60</v>
      </c>
      <c r="D165">
        <v>3650</v>
      </c>
      <c r="E165">
        <v>137</v>
      </c>
      <c r="F165">
        <v>308</v>
      </c>
    </row>
    <row r="166" spans="1:6" x14ac:dyDescent="0.25">
      <c r="A166" s="1">
        <v>42939</v>
      </c>
      <c r="B166" s="2" t="s">
        <v>55</v>
      </c>
      <c r="C166" s="2" t="s">
        <v>68</v>
      </c>
      <c r="D166">
        <v>5721</v>
      </c>
      <c r="E166">
        <v>122</v>
      </c>
      <c r="F166">
        <v>280</v>
      </c>
    </row>
    <row r="167" spans="1:6" x14ac:dyDescent="0.25">
      <c r="A167" s="1">
        <v>42940</v>
      </c>
      <c r="B167" s="2" t="s">
        <v>68</v>
      </c>
      <c r="C167" s="2" t="s">
        <v>19</v>
      </c>
      <c r="D167">
        <v>5759</v>
      </c>
      <c r="E167">
        <v>175</v>
      </c>
      <c r="F167">
        <v>297</v>
      </c>
    </row>
    <row r="168" spans="1:6" x14ac:dyDescent="0.25">
      <c r="A168" s="1">
        <v>42941</v>
      </c>
      <c r="B168" s="2" t="s">
        <v>19</v>
      </c>
      <c r="C168" s="2" t="s">
        <v>59</v>
      </c>
      <c r="D168">
        <v>2871</v>
      </c>
      <c r="E168">
        <v>113</v>
      </c>
      <c r="F168">
        <v>110</v>
      </c>
    </row>
    <row r="169" spans="1:6" x14ac:dyDescent="0.25">
      <c r="A169" s="1">
        <v>42944</v>
      </c>
      <c r="B169" s="2" t="s">
        <v>8</v>
      </c>
      <c r="C169" s="2" t="s">
        <v>9</v>
      </c>
      <c r="D169">
        <v>3571</v>
      </c>
      <c r="E169">
        <v>162</v>
      </c>
      <c r="F169">
        <v>292</v>
      </c>
    </row>
    <row r="170" spans="1:6" x14ac:dyDescent="0.25">
      <c r="A170" s="1">
        <v>42945</v>
      </c>
      <c r="B170" s="2" t="s">
        <v>9</v>
      </c>
      <c r="C170" s="2" t="s">
        <v>59</v>
      </c>
      <c r="D170">
        <v>3061</v>
      </c>
      <c r="E170">
        <v>107</v>
      </c>
      <c r="F170">
        <v>258</v>
      </c>
    </row>
    <row r="171" spans="1:6" x14ac:dyDescent="0.25">
      <c r="A171" s="1">
        <v>42946</v>
      </c>
      <c r="B171" s="2" t="s">
        <v>59</v>
      </c>
      <c r="C171" s="2" t="s">
        <v>65</v>
      </c>
      <c r="D171">
        <v>5336</v>
      </c>
      <c r="E171">
        <v>107</v>
      </c>
      <c r="F171">
        <v>171</v>
      </c>
    </row>
    <row r="172" spans="1:6" x14ac:dyDescent="0.25">
      <c r="A172" s="1">
        <v>42947</v>
      </c>
      <c r="B172" s="2" t="s">
        <v>29</v>
      </c>
      <c r="C172" s="2" t="s">
        <v>27</v>
      </c>
      <c r="D172">
        <v>5658</v>
      </c>
      <c r="E172">
        <v>249</v>
      </c>
      <c r="F172">
        <v>967</v>
      </c>
    </row>
    <row r="173" spans="1:6" x14ac:dyDescent="0.25">
      <c r="A173" s="1">
        <v>42948</v>
      </c>
      <c r="B173" s="2" t="s">
        <v>27</v>
      </c>
      <c r="C173" s="2" t="s">
        <v>25</v>
      </c>
      <c r="D173">
        <v>2697</v>
      </c>
      <c r="E173">
        <v>209</v>
      </c>
      <c r="F173">
        <v>699</v>
      </c>
    </row>
    <row r="174" spans="1:6" x14ac:dyDescent="0.25">
      <c r="A174" s="1">
        <v>42949</v>
      </c>
      <c r="B174" s="2" t="s">
        <v>25</v>
      </c>
      <c r="C174" s="2" t="s">
        <v>48</v>
      </c>
      <c r="D174">
        <v>5368</v>
      </c>
      <c r="E174">
        <v>122</v>
      </c>
      <c r="F174">
        <v>491</v>
      </c>
    </row>
    <row r="175" spans="1:6" x14ac:dyDescent="0.25">
      <c r="A175" s="1">
        <v>42950</v>
      </c>
      <c r="B175" s="2" t="s">
        <v>48</v>
      </c>
      <c r="C175" s="2" t="s">
        <v>14</v>
      </c>
      <c r="D175">
        <v>2706</v>
      </c>
      <c r="E175">
        <v>137</v>
      </c>
      <c r="F175">
        <v>292</v>
      </c>
    </row>
    <row r="176" spans="1:6" x14ac:dyDescent="0.25">
      <c r="A176" s="1">
        <v>42953</v>
      </c>
      <c r="B176" s="2" t="s">
        <v>67</v>
      </c>
      <c r="C176" s="2" t="s">
        <v>48</v>
      </c>
      <c r="D176">
        <v>3456</v>
      </c>
      <c r="E176">
        <v>542</v>
      </c>
      <c r="F176">
        <v>1891</v>
      </c>
    </row>
    <row r="177" spans="1:6" x14ac:dyDescent="0.25">
      <c r="A177" s="1">
        <v>42954</v>
      </c>
      <c r="B177" s="2" t="s">
        <v>48</v>
      </c>
      <c r="C177" s="2" t="s">
        <v>14</v>
      </c>
      <c r="D177">
        <v>1914</v>
      </c>
      <c r="E177">
        <v>138</v>
      </c>
      <c r="F177">
        <v>405</v>
      </c>
    </row>
    <row r="178" spans="1:6" x14ac:dyDescent="0.25">
      <c r="A178" s="1">
        <v>42955</v>
      </c>
      <c r="B178" s="2" t="s">
        <v>14</v>
      </c>
      <c r="C178" s="2" t="s">
        <v>21</v>
      </c>
      <c r="D178">
        <v>1134</v>
      </c>
      <c r="E178">
        <v>95</v>
      </c>
      <c r="F178">
        <v>115</v>
      </c>
    </row>
    <row r="179" spans="1:6" x14ac:dyDescent="0.25">
      <c r="A179" s="1">
        <v>42956</v>
      </c>
      <c r="B179" s="2" t="s">
        <v>21</v>
      </c>
      <c r="C179" s="2" t="s">
        <v>25</v>
      </c>
      <c r="D179">
        <v>2935</v>
      </c>
      <c r="E179">
        <v>160</v>
      </c>
      <c r="F179">
        <v>275</v>
      </c>
    </row>
    <row r="180" spans="1:6" x14ac:dyDescent="0.25">
      <c r="A180" s="1">
        <v>42957</v>
      </c>
      <c r="B180" s="2" t="s">
        <v>25</v>
      </c>
      <c r="C180" s="2" t="s">
        <v>15</v>
      </c>
      <c r="D180">
        <v>4379</v>
      </c>
      <c r="E180">
        <v>93</v>
      </c>
      <c r="F180">
        <v>147</v>
      </c>
    </row>
    <row r="181" spans="1:6" x14ac:dyDescent="0.25">
      <c r="A181" s="1">
        <v>42959</v>
      </c>
      <c r="B181" s="2" t="s">
        <v>37</v>
      </c>
      <c r="C181" s="2" t="s">
        <v>35</v>
      </c>
      <c r="D181">
        <v>1328</v>
      </c>
      <c r="E181">
        <v>148</v>
      </c>
      <c r="F181">
        <v>516</v>
      </c>
    </row>
    <row r="182" spans="1:6" x14ac:dyDescent="0.25">
      <c r="A182" s="1">
        <v>42960</v>
      </c>
      <c r="B182" s="2" t="s">
        <v>70</v>
      </c>
      <c r="C182" s="2" t="s">
        <v>30</v>
      </c>
      <c r="D182">
        <v>4133</v>
      </c>
      <c r="E182">
        <v>130</v>
      </c>
      <c r="F182">
        <v>398</v>
      </c>
    </row>
    <row r="183" spans="1:6" x14ac:dyDescent="0.25">
      <c r="A183" s="1">
        <v>42962</v>
      </c>
      <c r="B183" s="2" t="s">
        <v>47</v>
      </c>
      <c r="C183" s="2" t="s">
        <v>20</v>
      </c>
      <c r="D183">
        <v>5370</v>
      </c>
      <c r="E183">
        <v>266</v>
      </c>
      <c r="F183">
        <v>699</v>
      </c>
    </row>
    <row r="184" spans="1:6" x14ac:dyDescent="0.25">
      <c r="A184" s="1">
        <v>42963</v>
      </c>
      <c r="B184" s="2" t="s">
        <v>20</v>
      </c>
      <c r="C184" s="2" t="s">
        <v>8</v>
      </c>
      <c r="D184">
        <v>4663</v>
      </c>
      <c r="E184">
        <v>122</v>
      </c>
      <c r="F184">
        <v>256</v>
      </c>
    </row>
    <row r="185" spans="1:6" x14ac:dyDescent="0.25">
      <c r="A185" s="1">
        <v>42964</v>
      </c>
      <c r="B185" s="2" t="s">
        <v>8</v>
      </c>
      <c r="C185" s="2" t="s">
        <v>40</v>
      </c>
      <c r="D185">
        <v>5151</v>
      </c>
      <c r="E185">
        <v>151</v>
      </c>
      <c r="F185">
        <v>195</v>
      </c>
    </row>
    <row r="186" spans="1:6" x14ac:dyDescent="0.25">
      <c r="A186" s="1">
        <v>42965</v>
      </c>
      <c r="B186" s="2" t="s">
        <v>40</v>
      </c>
      <c r="C186" s="2" t="s">
        <v>20</v>
      </c>
      <c r="D186">
        <v>3035</v>
      </c>
      <c r="E186">
        <v>118</v>
      </c>
      <c r="F186">
        <v>207</v>
      </c>
    </row>
    <row r="187" spans="1:6" x14ac:dyDescent="0.25">
      <c r="A187" s="1">
        <v>42967</v>
      </c>
      <c r="B187" s="2" t="s">
        <v>72</v>
      </c>
      <c r="C187" s="2" t="s">
        <v>11</v>
      </c>
      <c r="D187">
        <v>1090</v>
      </c>
      <c r="E187">
        <v>200</v>
      </c>
      <c r="F187">
        <v>585</v>
      </c>
    </row>
    <row r="188" spans="1:6" x14ac:dyDescent="0.25">
      <c r="A188" s="1">
        <v>42968</v>
      </c>
      <c r="B188" s="2" t="s">
        <v>11</v>
      </c>
      <c r="C188" s="2" t="s">
        <v>13</v>
      </c>
      <c r="D188">
        <v>5746</v>
      </c>
      <c r="E188">
        <v>145</v>
      </c>
      <c r="F188">
        <v>214</v>
      </c>
    </row>
    <row r="189" spans="1:6" x14ac:dyDescent="0.25">
      <c r="A189" s="1">
        <v>42970</v>
      </c>
      <c r="B189" s="2" t="s">
        <v>46</v>
      </c>
      <c r="C189" s="2" t="s">
        <v>56</v>
      </c>
      <c r="D189">
        <v>3200</v>
      </c>
      <c r="E189">
        <v>138</v>
      </c>
      <c r="F189">
        <v>417</v>
      </c>
    </row>
    <row r="190" spans="1:6" x14ac:dyDescent="0.25">
      <c r="A190" s="1">
        <v>42971</v>
      </c>
      <c r="B190" s="2" t="s">
        <v>56</v>
      </c>
      <c r="C190" s="2" t="s">
        <v>50</v>
      </c>
      <c r="D190">
        <v>3586</v>
      </c>
      <c r="E190">
        <v>155</v>
      </c>
      <c r="F190">
        <v>290</v>
      </c>
    </row>
    <row r="191" spans="1:6" x14ac:dyDescent="0.25">
      <c r="A191" s="1">
        <v>42972</v>
      </c>
      <c r="B191" s="2" t="s">
        <v>50</v>
      </c>
      <c r="C191" s="2" t="s">
        <v>17</v>
      </c>
      <c r="D191">
        <v>3460</v>
      </c>
      <c r="E191">
        <v>145</v>
      </c>
      <c r="F191">
        <v>162</v>
      </c>
    </row>
    <row r="192" spans="1:6" x14ac:dyDescent="0.25">
      <c r="A192" s="1">
        <v>42973</v>
      </c>
      <c r="B192" s="2" t="s">
        <v>68</v>
      </c>
      <c r="C192" s="2" t="s">
        <v>19</v>
      </c>
      <c r="D192">
        <v>1347</v>
      </c>
      <c r="E192">
        <v>173</v>
      </c>
      <c r="F192">
        <v>576</v>
      </c>
    </row>
    <row r="193" spans="1:6" x14ac:dyDescent="0.25">
      <c r="A193" s="1">
        <v>42974</v>
      </c>
      <c r="B193" s="2" t="s">
        <v>19</v>
      </c>
      <c r="C193" s="2" t="s">
        <v>60</v>
      </c>
      <c r="D193">
        <v>2421</v>
      </c>
      <c r="E193">
        <v>148</v>
      </c>
      <c r="F193">
        <v>552</v>
      </c>
    </row>
    <row r="194" spans="1:6" x14ac:dyDescent="0.25">
      <c r="A194" s="1">
        <v>42975</v>
      </c>
      <c r="B194" s="2" t="s">
        <v>60</v>
      </c>
      <c r="C194" s="2" t="s">
        <v>47</v>
      </c>
      <c r="D194">
        <v>2939</v>
      </c>
      <c r="E194">
        <v>125</v>
      </c>
      <c r="F194">
        <v>307</v>
      </c>
    </row>
    <row r="195" spans="1:6" x14ac:dyDescent="0.25">
      <c r="A195" s="1">
        <v>42976</v>
      </c>
      <c r="B195" s="2" t="s">
        <v>47</v>
      </c>
      <c r="C195" s="2" t="s">
        <v>17</v>
      </c>
      <c r="D195">
        <v>4921</v>
      </c>
      <c r="E195">
        <v>124</v>
      </c>
      <c r="F195">
        <v>472</v>
      </c>
    </row>
    <row r="196" spans="1:6" x14ac:dyDescent="0.25">
      <c r="A196" s="1">
        <v>42977</v>
      </c>
      <c r="B196" s="2" t="s">
        <v>17</v>
      </c>
      <c r="C196" s="2" t="s">
        <v>38</v>
      </c>
      <c r="D196">
        <v>3580</v>
      </c>
      <c r="E196">
        <v>173</v>
      </c>
      <c r="F196">
        <v>382</v>
      </c>
    </row>
    <row r="197" spans="1:6" x14ac:dyDescent="0.25">
      <c r="A197" s="1">
        <v>42978</v>
      </c>
      <c r="B197" s="2" t="s">
        <v>38</v>
      </c>
      <c r="C197" s="2" t="s">
        <v>73</v>
      </c>
      <c r="D197">
        <v>5215</v>
      </c>
      <c r="E197">
        <v>158</v>
      </c>
      <c r="F197">
        <v>375</v>
      </c>
    </row>
    <row r="198" spans="1:6" x14ac:dyDescent="0.25">
      <c r="A198" s="1">
        <v>42979</v>
      </c>
      <c r="B198" s="2" t="s">
        <v>73</v>
      </c>
      <c r="C198" s="2" t="s">
        <v>51</v>
      </c>
      <c r="D198">
        <v>1369</v>
      </c>
      <c r="E198">
        <v>170</v>
      </c>
      <c r="F198">
        <v>276</v>
      </c>
    </row>
    <row r="199" spans="1:6" x14ac:dyDescent="0.25">
      <c r="A199" s="1">
        <v>42980</v>
      </c>
      <c r="B199" s="2" t="s">
        <v>51</v>
      </c>
      <c r="C199" s="2" t="s">
        <v>67</v>
      </c>
      <c r="D199">
        <v>1655</v>
      </c>
      <c r="E199">
        <v>180</v>
      </c>
      <c r="F199">
        <v>332</v>
      </c>
    </row>
    <row r="200" spans="1:6" x14ac:dyDescent="0.25">
      <c r="A200" s="1">
        <v>42981</v>
      </c>
      <c r="B200" s="2" t="s">
        <v>48</v>
      </c>
      <c r="C200" s="2" t="s">
        <v>61</v>
      </c>
      <c r="D200">
        <v>2192</v>
      </c>
      <c r="E200">
        <v>114</v>
      </c>
      <c r="F200">
        <v>137</v>
      </c>
    </row>
    <row r="201" spans="1:6" x14ac:dyDescent="0.25">
      <c r="A201" s="1">
        <v>42982</v>
      </c>
      <c r="B201" s="2" t="s">
        <v>12</v>
      </c>
      <c r="C201" s="2" t="s">
        <v>59</v>
      </c>
      <c r="D201">
        <v>5919</v>
      </c>
      <c r="E201">
        <v>103</v>
      </c>
      <c r="F201">
        <v>279</v>
      </c>
    </row>
    <row r="202" spans="1:6" x14ac:dyDescent="0.25">
      <c r="A202" s="1">
        <v>42983</v>
      </c>
      <c r="B202" s="2" t="s">
        <v>67</v>
      </c>
      <c r="C202" s="2" t="s">
        <v>17</v>
      </c>
      <c r="D202">
        <v>5986</v>
      </c>
      <c r="E202">
        <v>222</v>
      </c>
      <c r="F202">
        <v>501</v>
      </c>
    </row>
    <row r="203" spans="1:6" x14ac:dyDescent="0.25">
      <c r="A203" s="1">
        <v>42984</v>
      </c>
      <c r="B203" s="2" t="s">
        <v>17</v>
      </c>
      <c r="C203" s="2" t="s">
        <v>39</v>
      </c>
      <c r="D203">
        <v>2750</v>
      </c>
      <c r="E203">
        <v>144</v>
      </c>
      <c r="F203">
        <v>422</v>
      </c>
    </row>
    <row r="204" spans="1:6" x14ac:dyDescent="0.25">
      <c r="A204" s="1">
        <v>42985</v>
      </c>
      <c r="B204" s="2" t="s">
        <v>39</v>
      </c>
      <c r="C204" s="2" t="s">
        <v>50</v>
      </c>
      <c r="D204">
        <v>1381</v>
      </c>
      <c r="E204">
        <v>192</v>
      </c>
      <c r="F204">
        <v>556</v>
      </c>
    </row>
    <row r="205" spans="1:6" x14ac:dyDescent="0.25">
      <c r="A205" s="1">
        <v>42986</v>
      </c>
      <c r="B205" s="2" t="s">
        <v>60</v>
      </c>
      <c r="C205" s="2" t="s">
        <v>59</v>
      </c>
      <c r="D205">
        <v>2219</v>
      </c>
      <c r="E205">
        <v>136</v>
      </c>
      <c r="F205">
        <v>162</v>
      </c>
    </row>
    <row r="206" spans="1:6" x14ac:dyDescent="0.25">
      <c r="A206" s="1">
        <v>42987</v>
      </c>
      <c r="B206" s="2" t="s">
        <v>59</v>
      </c>
      <c r="C206" s="2" t="s">
        <v>65</v>
      </c>
      <c r="D206">
        <v>5041</v>
      </c>
      <c r="E206">
        <v>101</v>
      </c>
      <c r="F206">
        <v>319</v>
      </c>
    </row>
    <row r="207" spans="1:6" x14ac:dyDescent="0.25">
      <c r="A207" s="1">
        <v>42989</v>
      </c>
      <c r="B207" s="2" t="s">
        <v>31</v>
      </c>
      <c r="C207" s="2" t="s">
        <v>23</v>
      </c>
      <c r="D207">
        <v>4432</v>
      </c>
      <c r="E207">
        <v>159</v>
      </c>
      <c r="F207">
        <v>585</v>
      </c>
    </row>
    <row r="208" spans="1:6" x14ac:dyDescent="0.25">
      <c r="A208" s="1">
        <v>42990</v>
      </c>
      <c r="B208" s="2" t="s">
        <v>6</v>
      </c>
      <c r="C208" s="2" t="s">
        <v>12</v>
      </c>
      <c r="D208">
        <v>2761</v>
      </c>
      <c r="E208">
        <v>129</v>
      </c>
      <c r="F208">
        <v>288</v>
      </c>
    </row>
    <row r="209" spans="1:6" x14ac:dyDescent="0.25">
      <c r="A209" s="1">
        <v>42991</v>
      </c>
      <c r="B209" s="2" t="s">
        <v>12</v>
      </c>
      <c r="C209" s="2" t="s">
        <v>7</v>
      </c>
      <c r="D209">
        <v>2935</v>
      </c>
      <c r="E209">
        <v>162</v>
      </c>
      <c r="F209">
        <v>572</v>
      </c>
    </row>
    <row r="210" spans="1:6" x14ac:dyDescent="0.25">
      <c r="A210" s="1">
        <v>42992</v>
      </c>
      <c r="B210" s="2" t="s">
        <v>36</v>
      </c>
      <c r="C210" s="2" t="s">
        <v>40</v>
      </c>
      <c r="D210">
        <v>3565</v>
      </c>
      <c r="E210">
        <v>176</v>
      </c>
      <c r="F210">
        <v>224</v>
      </c>
    </row>
    <row r="211" spans="1:6" x14ac:dyDescent="0.25">
      <c r="A211" s="1">
        <v>42993</v>
      </c>
      <c r="B211" s="2" t="s">
        <v>8</v>
      </c>
      <c r="C211" s="2" t="s">
        <v>38</v>
      </c>
      <c r="D211">
        <v>3096</v>
      </c>
      <c r="E211">
        <v>353</v>
      </c>
      <c r="F211">
        <v>993</v>
      </c>
    </row>
    <row r="212" spans="1:6" x14ac:dyDescent="0.25">
      <c r="A212" s="1">
        <v>42995</v>
      </c>
      <c r="B212" s="2" t="s">
        <v>50</v>
      </c>
      <c r="C212" s="2" t="s">
        <v>11</v>
      </c>
      <c r="D212">
        <v>3325</v>
      </c>
      <c r="E212">
        <v>517</v>
      </c>
      <c r="F212">
        <v>1107</v>
      </c>
    </row>
    <row r="213" spans="1:6" x14ac:dyDescent="0.25">
      <c r="A213" s="1">
        <v>42997</v>
      </c>
      <c r="B213" s="2" t="s">
        <v>15</v>
      </c>
      <c r="C213" s="2" t="s">
        <v>59</v>
      </c>
      <c r="D213">
        <v>2563</v>
      </c>
      <c r="E213">
        <v>480</v>
      </c>
      <c r="F213">
        <v>1849</v>
      </c>
    </row>
    <row r="214" spans="1:6" x14ac:dyDescent="0.25">
      <c r="A214" s="1">
        <v>42998</v>
      </c>
      <c r="B214" s="2" t="s">
        <v>59</v>
      </c>
      <c r="C214" s="2" t="s">
        <v>19</v>
      </c>
      <c r="D214">
        <v>2914</v>
      </c>
      <c r="E214">
        <v>104</v>
      </c>
      <c r="F214">
        <v>275</v>
      </c>
    </row>
    <row r="215" spans="1:6" x14ac:dyDescent="0.25">
      <c r="A215" s="1">
        <v>42999</v>
      </c>
      <c r="B215" s="2" t="s">
        <v>19</v>
      </c>
      <c r="C215" s="2" t="s">
        <v>29</v>
      </c>
      <c r="D215">
        <v>2832</v>
      </c>
      <c r="E215">
        <v>106</v>
      </c>
      <c r="F215">
        <v>396</v>
      </c>
    </row>
    <row r="216" spans="1:6" x14ac:dyDescent="0.25">
      <c r="A216" s="1">
        <v>43000</v>
      </c>
      <c r="B216" s="2" t="s">
        <v>59</v>
      </c>
      <c r="C216" s="2" t="s">
        <v>43</v>
      </c>
      <c r="D216">
        <v>5257</v>
      </c>
      <c r="E216">
        <v>407</v>
      </c>
      <c r="F216">
        <v>551</v>
      </c>
    </row>
    <row r="217" spans="1:6" x14ac:dyDescent="0.25">
      <c r="A217" s="1">
        <v>43001</v>
      </c>
      <c r="B217" s="2" t="s">
        <v>57</v>
      </c>
      <c r="C217" s="2" t="s">
        <v>43</v>
      </c>
      <c r="D217">
        <v>5983</v>
      </c>
      <c r="E217">
        <v>227</v>
      </c>
      <c r="F217">
        <v>832</v>
      </c>
    </row>
    <row r="218" spans="1:6" x14ac:dyDescent="0.25">
      <c r="A218" s="1">
        <v>43002</v>
      </c>
      <c r="B218" s="2" t="s">
        <v>43</v>
      </c>
      <c r="C218" s="2" t="s">
        <v>64</v>
      </c>
      <c r="D218">
        <v>4378</v>
      </c>
      <c r="E218">
        <v>187</v>
      </c>
      <c r="F218">
        <v>653</v>
      </c>
    </row>
    <row r="219" spans="1:6" x14ac:dyDescent="0.25">
      <c r="A219" s="1">
        <v>43003</v>
      </c>
      <c r="B219" s="2" t="s">
        <v>64</v>
      </c>
      <c r="C219" s="2" t="s">
        <v>25</v>
      </c>
      <c r="D219">
        <v>3108</v>
      </c>
      <c r="E219">
        <v>114</v>
      </c>
      <c r="F219">
        <v>174</v>
      </c>
    </row>
    <row r="220" spans="1:6" x14ac:dyDescent="0.25">
      <c r="A220" s="1">
        <v>43004</v>
      </c>
      <c r="B220" s="2" t="s">
        <v>25</v>
      </c>
      <c r="C220" s="2" t="s">
        <v>52</v>
      </c>
      <c r="D220">
        <v>2133</v>
      </c>
      <c r="E220">
        <v>166</v>
      </c>
      <c r="F220">
        <v>513</v>
      </c>
    </row>
    <row r="221" spans="1:6" x14ac:dyDescent="0.25">
      <c r="A221" s="1">
        <v>43005</v>
      </c>
      <c r="B221" s="2" t="s">
        <v>52</v>
      </c>
      <c r="C221" s="2" t="s">
        <v>48</v>
      </c>
      <c r="D221">
        <v>1125</v>
      </c>
      <c r="E221">
        <v>98</v>
      </c>
      <c r="F221">
        <v>194</v>
      </c>
    </row>
    <row r="222" spans="1:6" x14ac:dyDescent="0.25">
      <c r="A222" s="1">
        <v>43006</v>
      </c>
      <c r="B222" s="2" t="s">
        <v>48</v>
      </c>
      <c r="C222" s="2" t="s">
        <v>25</v>
      </c>
      <c r="D222">
        <v>4375</v>
      </c>
      <c r="E222">
        <v>140</v>
      </c>
      <c r="F222">
        <v>134</v>
      </c>
    </row>
    <row r="223" spans="1:6" x14ac:dyDescent="0.25">
      <c r="A223" s="1">
        <v>43008</v>
      </c>
      <c r="B223" s="2" t="s">
        <v>41</v>
      </c>
      <c r="C223" s="2" t="s">
        <v>12</v>
      </c>
      <c r="D223">
        <v>5455</v>
      </c>
      <c r="E223">
        <v>124</v>
      </c>
      <c r="F223">
        <v>231</v>
      </c>
    </row>
    <row r="224" spans="1:6" x14ac:dyDescent="0.25">
      <c r="A224" s="1">
        <v>43009</v>
      </c>
      <c r="B224" s="2" t="s">
        <v>29</v>
      </c>
      <c r="C224" s="2" t="s">
        <v>28</v>
      </c>
      <c r="D224">
        <v>4649</v>
      </c>
      <c r="E224">
        <v>125</v>
      </c>
      <c r="F224">
        <v>356</v>
      </c>
    </row>
    <row r="225" spans="1:6" x14ac:dyDescent="0.25">
      <c r="A225" s="1">
        <v>43010</v>
      </c>
      <c r="B225" s="2" t="s">
        <v>28</v>
      </c>
      <c r="C225" s="2" t="s">
        <v>60</v>
      </c>
      <c r="D225">
        <v>4016</v>
      </c>
      <c r="E225">
        <v>115</v>
      </c>
      <c r="F225">
        <v>145</v>
      </c>
    </row>
    <row r="226" spans="1:6" x14ac:dyDescent="0.25">
      <c r="A226" s="1">
        <v>43011</v>
      </c>
      <c r="B226" s="2" t="s">
        <v>60</v>
      </c>
      <c r="C226" s="2" t="s">
        <v>32</v>
      </c>
      <c r="D226">
        <v>1211</v>
      </c>
      <c r="E226">
        <v>139</v>
      </c>
      <c r="F226">
        <v>218</v>
      </c>
    </row>
    <row r="227" spans="1:6" x14ac:dyDescent="0.25">
      <c r="A227" s="1">
        <v>43012</v>
      </c>
      <c r="B227" s="2" t="s">
        <v>32</v>
      </c>
      <c r="C227" s="2" t="s">
        <v>42</v>
      </c>
      <c r="D227">
        <v>4633</v>
      </c>
      <c r="E227">
        <v>120</v>
      </c>
      <c r="F227">
        <v>280</v>
      </c>
    </row>
    <row r="228" spans="1:6" x14ac:dyDescent="0.25">
      <c r="A228" s="1">
        <v>43013</v>
      </c>
      <c r="B228" s="2" t="s">
        <v>42</v>
      </c>
      <c r="C228" s="2" t="s">
        <v>37</v>
      </c>
      <c r="D228">
        <v>2488</v>
      </c>
      <c r="E228">
        <v>144</v>
      </c>
      <c r="F228">
        <v>252</v>
      </c>
    </row>
    <row r="229" spans="1:6" x14ac:dyDescent="0.25">
      <c r="A229" s="1">
        <v>43014</v>
      </c>
      <c r="B229" s="2" t="s">
        <v>37</v>
      </c>
      <c r="C229" s="2" t="s">
        <v>35</v>
      </c>
      <c r="D229">
        <v>5798</v>
      </c>
      <c r="E229">
        <v>142</v>
      </c>
      <c r="F229">
        <v>501</v>
      </c>
    </row>
    <row r="230" spans="1:6" x14ac:dyDescent="0.25">
      <c r="A230" s="1">
        <v>43015</v>
      </c>
      <c r="B230" s="2" t="s">
        <v>42</v>
      </c>
      <c r="C230" s="2" t="s">
        <v>62</v>
      </c>
      <c r="D230">
        <v>2918</v>
      </c>
      <c r="E230">
        <v>181</v>
      </c>
      <c r="F230">
        <v>289</v>
      </c>
    </row>
    <row r="231" spans="1:6" x14ac:dyDescent="0.25">
      <c r="A231" s="1">
        <v>43016</v>
      </c>
      <c r="B231" s="2" t="s">
        <v>62</v>
      </c>
      <c r="C231" s="2" t="s">
        <v>61</v>
      </c>
      <c r="D231">
        <v>1886</v>
      </c>
      <c r="E231">
        <v>110</v>
      </c>
      <c r="F231">
        <v>254</v>
      </c>
    </row>
    <row r="232" spans="1:6" x14ac:dyDescent="0.25">
      <c r="A232" s="1">
        <v>43017</v>
      </c>
      <c r="B232" s="2" t="s">
        <v>70</v>
      </c>
      <c r="C232" s="2" t="s">
        <v>30</v>
      </c>
      <c r="D232">
        <v>4431</v>
      </c>
      <c r="E232">
        <v>128</v>
      </c>
      <c r="F232">
        <v>213</v>
      </c>
    </row>
    <row r="233" spans="1:6" x14ac:dyDescent="0.25">
      <c r="A233" s="1">
        <v>43018</v>
      </c>
      <c r="B233" s="2" t="s">
        <v>30</v>
      </c>
      <c r="C233" s="2" t="s">
        <v>40</v>
      </c>
      <c r="D233">
        <v>1956</v>
      </c>
      <c r="E233">
        <v>176</v>
      </c>
      <c r="F233">
        <v>248</v>
      </c>
    </row>
    <row r="234" spans="1:6" x14ac:dyDescent="0.25">
      <c r="A234" s="1">
        <v>43019</v>
      </c>
      <c r="B234" s="2" t="s">
        <v>15</v>
      </c>
      <c r="C234" s="2" t="s">
        <v>26</v>
      </c>
      <c r="D234">
        <v>4059</v>
      </c>
      <c r="E234">
        <v>162</v>
      </c>
      <c r="F234">
        <v>550</v>
      </c>
    </row>
    <row r="235" spans="1:6" x14ac:dyDescent="0.25">
      <c r="A235" s="1">
        <v>43020</v>
      </c>
      <c r="B235" s="2" t="s">
        <v>26</v>
      </c>
      <c r="C235" s="2" t="s">
        <v>23</v>
      </c>
      <c r="D235">
        <v>2157</v>
      </c>
      <c r="E235">
        <v>115</v>
      </c>
      <c r="F235">
        <v>182</v>
      </c>
    </row>
    <row r="236" spans="1:6" x14ac:dyDescent="0.25">
      <c r="A236" s="1">
        <v>43021</v>
      </c>
      <c r="B236" s="2" t="s">
        <v>23</v>
      </c>
      <c r="C236" s="2" t="s">
        <v>24</v>
      </c>
      <c r="D236">
        <v>3353</v>
      </c>
      <c r="E236">
        <v>117</v>
      </c>
      <c r="F236">
        <v>312</v>
      </c>
    </row>
    <row r="237" spans="1:6" x14ac:dyDescent="0.25">
      <c r="A237" s="1">
        <v>43022</v>
      </c>
      <c r="B237" s="2" t="s">
        <v>24</v>
      </c>
      <c r="C237" s="2" t="s">
        <v>21</v>
      </c>
      <c r="D237">
        <v>4677</v>
      </c>
      <c r="E237">
        <v>219</v>
      </c>
      <c r="F237">
        <v>255</v>
      </c>
    </row>
    <row r="238" spans="1:6" x14ac:dyDescent="0.25">
      <c r="A238" s="1">
        <v>43023</v>
      </c>
      <c r="B238" s="2" t="s">
        <v>21</v>
      </c>
      <c r="C238" s="2" t="s">
        <v>25</v>
      </c>
      <c r="D238">
        <v>2059</v>
      </c>
      <c r="E238">
        <v>164</v>
      </c>
      <c r="F238">
        <v>630</v>
      </c>
    </row>
    <row r="239" spans="1:6" x14ac:dyDescent="0.25">
      <c r="A239" s="1">
        <v>43025</v>
      </c>
      <c r="B239" s="2" t="s">
        <v>8</v>
      </c>
      <c r="C239" s="2" t="s">
        <v>29</v>
      </c>
      <c r="D239">
        <v>5537</v>
      </c>
      <c r="E239">
        <v>141</v>
      </c>
      <c r="F239">
        <v>240</v>
      </c>
    </row>
    <row r="240" spans="1:6" x14ac:dyDescent="0.25">
      <c r="A240" s="1">
        <v>43026</v>
      </c>
      <c r="B240" s="2" t="s">
        <v>29</v>
      </c>
      <c r="C240" s="2" t="s">
        <v>59</v>
      </c>
      <c r="D240">
        <v>2987</v>
      </c>
      <c r="E240">
        <v>149</v>
      </c>
      <c r="F240">
        <v>464</v>
      </c>
    </row>
    <row r="241" spans="1:6" x14ac:dyDescent="0.25">
      <c r="A241" s="1">
        <v>43028</v>
      </c>
      <c r="B241" s="2" t="s">
        <v>69</v>
      </c>
      <c r="C241" s="2" t="s">
        <v>67</v>
      </c>
      <c r="D241">
        <v>5570</v>
      </c>
      <c r="E241">
        <v>166</v>
      </c>
      <c r="F241">
        <v>577</v>
      </c>
    </row>
    <row r="242" spans="1:6" x14ac:dyDescent="0.25">
      <c r="A242" s="1">
        <v>43029</v>
      </c>
      <c r="B242" s="2" t="s">
        <v>67</v>
      </c>
      <c r="C242" s="2" t="s">
        <v>66</v>
      </c>
      <c r="D242">
        <v>3948</v>
      </c>
      <c r="E242">
        <v>137</v>
      </c>
      <c r="F242">
        <v>469</v>
      </c>
    </row>
    <row r="243" spans="1:6" x14ac:dyDescent="0.25">
      <c r="A243" s="1">
        <v>43030</v>
      </c>
      <c r="B243" s="2" t="s">
        <v>56</v>
      </c>
      <c r="C243" s="2" t="s">
        <v>59</v>
      </c>
      <c r="D243">
        <v>4201</v>
      </c>
      <c r="E243">
        <v>380</v>
      </c>
      <c r="F243">
        <v>528</v>
      </c>
    </row>
    <row r="244" spans="1:6" x14ac:dyDescent="0.25">
      <c r="A244" s="1">
        <v>43031</v>
      </c>
      <c r="B244" s="2" t="s">
        <v>59</v>
      </c>
      <c r="C244" s="2" t="s">
        <v>12</v>
      </c>
      <c r="D244">
        <v>3592</v>
      </c>
      <c r="E244">
        <v>109</v>
      </c>
      <c r="F244">
        <v>134</v>
      </c>
    </row>
    <row r="245" spans="1:6" x14ac:dyDescent="0.25">
      <c r="A245" s="1">
        <v>43032</v>
      </c>
      <c r="B245" s="2" t="s">
        <v>12</v>
      </c>
      <c r="C245" s="2" t="s">
        <v>41</v>
      </c>
      <c r="D245">
        <v>4543</v>
      </c>
      <c r="E245">
        <v>135</v>
      </c>
      <c r="F245">
        <v>345</v>
      </c>
    </row>
    <row r="246" spans="1:6" x14ac:dyDescent="0.25">
      <c r="A246" s="1">
        <v>43034</v>
      </c>
      <c r="B246" s="2" t="s">
        <v>12</v>
      </c>
      <c r="C246" s="2" t="s">
        <v>9</v>
      </c>
      <c r="D246">
        <v>1813</v>
      </c>
      <c r="E246">
        <v>86</v>
      </c>
      <c r="F246">
        <v>163</v>
      </c>
    </row>
    <row r="247" spans="1:6" x14ac:dyDescent="0.25">
      <c r="A247" s="1">
        <v>43035</v>
      </c>
      <c r="B247" s="2" t="s">
        <v>38</v>
      </c>
      <c r="C247" s="2" t="s">
        <v>49</v>
      </c>
      <c r="D247">
        <v>4567</v>
      </c>
      <c r="E247">
        <v>31</v>
      </c>
      <c r="F247">
        <v>54</v>
      </c>
    </row>
    <row r="248" spans="1:6" x14ac:dyDescent="0.25">
      <c r="A248" s="1">
        <v>43036</v>
      </c>
      <c r="B248" s="2" t="s">
        <v>49</v>
      </c>
      <c r="C248" s="2" t="s">
        <v>37</v>
      </c>
      <c r="D248">
        <v>1830</v>
      </c>
      <c r="E248">
        <v>152</v>
      </c>
      <c r="F248">
        <v>301</v>
      </c>
    </row>
    <row r="249" spans="1:6" x14ac:dyDescent="0.25">
      <c r="A249" s="1">
        <v>43037</v>
      </c>
      <c r="B249" s="2" t="s">
        <v>37</v>
      </c>
      <c r="C249" s="2" t="s">
        <v>57</v>
      </c>
      <c r="D249">
        <v>3678</v>
      </c>
      <c r="E249">
        <v>104</v>
      </c>
      <c r="F249">
        <v>275</v>
      </c>
    </row>
    <row r="250" spans="1:6" x14ac:dyDescent="0.25">
      <c r="A250" s="1">
        <v>43038</v>
      </c>
      <c r="B250" s="2" t="s">
        <v>17</v>
      </c>
      <c r="C250" s="2" t="s">
        <v>38</v>
      </c>
      <c r="D250">
        <v>1782</v>
      </c>
      <c r="E250">
        <v>171</v>
      </c>
      <c r="F250">
        <v>193</v>
      </c>
    </row>
    <row r="251" spans="1:6" x14ac:dyDescent="0.25">
      <c r="A251" s="1">
        <v>43040</v>
      </c>
      <c r="B251" s="2" t="s">
        <v>12</v>
      </c>
      <c r="C251" s="2" t="s">
        <v>6</v>
      </c>
      <c r="D251">
        <v>2966</v>
      </c>
      <c r="E251">
        <v>125</v>
      </c>
      <c r="F251">
        <v>170</v>
      </c>
    </row>
    <row r="252" spans="1:6" x14ac:dyDescent="0.25">
      <c r="A252" s="1">
        <v>43042</v>
      </c>
      <c r="B252" s="2" t="s">
        <v>32</v>
      </c>
      <c r="C252" s="2" t="s">
        <v>47</v>
      </c>
      <c r="D252">
        <v>4746</v>
      </c>
      <c r="E252">
        <v>131</v>
      </c>
      <c r="F252">
        <v>245</v>
      </c>
    </row>
    <row r="253" spans="1:6" x14ac:dyDescent="0.25">
      <c r="A253" s="1">
        <v>43044</v>
      </c>
      <c r="B253" s="2" t="s">
        <v>37</v>
      </c>
      <c r="C253" s="2" t="s">
        <v>18</v>
      </c>
      <c r="D253">
        <v>3161</v>
      </c>
      <c r="E253">
        <v>101</v>
      </c>
      <c r="F253">
        <v>115</v>
      </c>
    </row>
    <row r="254" spans="1:6" x14ac:dyDescent="0.25">
      <c r="A254" s="1">
        <v>43045</v>
      </c>
      <c r="B254" s="2" t="s">
        <v>60</v>
      </c>
      <c r="C254" s="2" t="s">
        <v>71</v>
      </c>
      <c r="D254">
        <v>3600</v>
      </c>
      <c r="E254">
        <v>211</v>
      </c>
      <c r="F254">
        <v>670</v>
      </c>
    </row>
    <row r="255" spans="1:6" x14ac:dyDescent="0.25">
      <c r="A255" s="1">
        <v>43046</v>
      </c>
      <c r="B255" s="2" t="s">
        <v>71</v>
      </c>
      <c r="C255" s="2" t="s">
        <v>10</v>
      </c>
      <c r="D255">
        <v>4093</v>
      </c>
      <c r="E255">
        <v>119</v>
      </c>
      <c r="F255">
        <v>254</v>
      </c>
    </row>
    <row r="256" spans="1:6" x14ac:dyDescent="0.25">
      <c r="A256" s="1">
        <v>43047</v>
      </c>
      <c r="B256" s="2" t="s">
        <v>10</v>
      </c>
      <c r="C256" s="2" t="s">
        <v>9</v>
      </c>
      <c r="D256">
        <v>1981</v>
      </c>
      <c r="E256">
        <v>159</v>
      </c>
      <c r="F256">
        <v>192</v>
      </c>
    </row>
    <row r="257" spans="1:6" x14ac:dyDescent="0.25">
      <c r="A257" s="1">
        <v>43048</v>
      </c>
      <c r="B257" s="2" t="s">
        <v>9</v>
      </c>
      <c r="C257" s="2" t="s">
        <v>6</v>
      </c>
      <c r="D257">
        <v>3154</v>
      </c>
      <c r="E257">
        <v>127</v>
      </c>
      <c r="F257">
        <v>390</v>
      </c>
    </row>
    <row r="258" spans="1:6" x14ac:dyDescent="0.25">
      <c r="A258" s="1">
        <v>43051</v>
      </c>
      <c r="B258" s="2" t="s">
        <v>8</v>
      </c>
      <c r="C258" s="2" t="s">
        <v>67</v>
      </c>
      <c r="D258">
        <v>4876</v>
      </c>
      <c r="E258">
        <v>280</v>
      </c>
      <c r="F258">
        <v>688</v>
      </c>
    </row>
    <row r="259" spans="1:6" x14ac:dyDescent="0.25">
      <c r="A259" s="1">
        <v>43052</v>
      </c>
      <c r="B259" s="2" t="s">
        <v>67</v>
      </c>
      <c r="C259" s="2" t="s">
        <v>66</v>
      </c>
      <c r="D259">
        <v>5153</v>
      </c>
      <c r="E259">
        <v>141</v>
      </c>
      <c r="F259">
        <v>547</v>
      </c>
    </row>
    <row r="260" spans="1:6" x14ac:dyDescent="0.25">
      <c r="A260" s="1">
        <v>43053</v>
      </c>
      <c r="B260" s="2" t="s">
        <v>66</v>
      </c>
      <c r="C260" s="2" t="s">
        <v>45</v>
      </c>
      <c r="D260">
        <v>1720</v>
      </c>
      <c r="E260">
        <v>122</v>
      </c>
      <c r="F260">
        <v>363</v>
      </c>
    </row>
    <row r="261" spans="1:6" x14ac:dyDescent="0.25">
      <c r="A261" s="1">
        <v>43054</v>
      </c>
      <c r="B261" s="2" t="s">
        <v>45</v>
      </c>
      <c r="C261" s="2" t="s">
        <v>44</v>
      </c>
      <c r="D261">
        <v>5392</v>
      </c>
      <c r="E261">
        <v>161</v>
      </c>
      <c r="F261">
        <v>240</v>
      </c>
    </row>
    <row r="262" spans="1:6" x14ac:dyDescent="0.25">
      <c r="A262" s="1">
        <v>43055</v>
      </c>
      <c r="B262" s="2" t="s">
        <v>70</v>
      </c>
      <c r="C262" s="2" t="s">
        <v>23</v>
      </c>
      <c r="D262">
        <v>1698</v>
      </c>
      <c r="E262">
        <v>224</v>
      </c>
      <c r="F262">
        <v>579</v>
      </c>
    </row>
    <row r="263" spans="1:6" x14ac:dyDescent="0.25">
      <c r="A263" s="1">
        <v>43056</v>
      </c>
      <c r="B263" s="2" t="s">
        <v>23</v>
      </c>
      <c r="C263" s="2" t="s">
        <v>21</v>
      </c>
      <c r="D263">
        <v>3411</v>
      </c>
      <c r="E263">
        <v>166</v>
      </c>
      <c r="F263">
        <v>574</v>
      </c>
    </row>
    <row r="264" spans="1:6" x14ac:dyDescent="0.25">
      <c r="A264" s="1">
        <v>43057</v>
      </c>
      <c r="B264" s="2" t="s">
        <v>21</v>
      </c>
      <c r="C264" s="2" t="s">
        <v>14</v>
      </c>
      <c r="D264">
        <v>5558</v>
      </c>
      <c r="E264">
        <v>107</v>
      </c>
      <c r="F264">
        <v>202</v>
      </c>
    </row>
    <row r="265" spans="1:6" x14ac:dyDescent="0.25">
      <c r="A265" s="1">
        <v>43058</v>
      </c>
      <c r="B265" s="2" t="s">
        <v>14</v>
      </c>
      <c r="C265" s="2" t="s">
        <v>40</v>
      </c>
      <c r="D265">
        <v>2592</v>
      </c>
      <c r="E265">
        <v>136</v>
      </c>
      <c r="F265">
        <v>325</v>
      </c>
    </row>
    <row r="266" spans="1:6" x14ac:dyDescent="0.25">
      <c r="A266" s="1">
        <v>43059</v>
      </c>
      <c r="B266" s="2" t="s">
        <v>40</v>
      </c>
      <c r="C266" s="2" t="s">
        <v>30</v>
      </c>
      <c r="D266">
        <v>5214</v>
      </c>
      <c r="E266">
        <v>178</v>
      </c>
      <c r="F266">
        <v>634</v>
      </c>
    </row>
    <row r="267" spans="1:6" x14ac:dyDescent="0.25">
      <c r="A267" s="1">
        <v>43060</v>
      </c>
      <c r="B267" s="2" t="s">
        <v>30</v>
      </c>
      <c r="C267" s="2" t="s">
        <v>40</v>
      </c>
      <c r="D267">
        <v>5491</v>
      </c>
      <c r="E267">
        <v>162</v>
      </c>
      <c r="F267">
        <v>408</v>
      </c>
    </row>
    <row r="268" spans="1:6" x14ac:dyDescent="0.25">
      <c r="A268" s="1">
        <v>43061</v>
      </c>
      <c r="B268" s="2" t="s">
        <v>16</v>
      </c>
      <c r="C268" s="2" t="s">
        <v>35</v>
      </c>
      <c r="D268">
        <v>4594</v>
      </c>
      <c r="E268">
        <v>443</v>
      </c>
      <c r="F268">
        <v>1098</v>
      </c>
    </row>
    <row r="269" spans="1:6" x14ac:dyDescent="0.25">
      <c r="A269" s="1">
        <v>43062</v>
      </c>
      <c r="B269" s="2" t="s">
        <v>35</v>
      </c>
      <c r="C269" s="2" t="s">
        <v>37</v>
      </c>
      <c r="D269">
        <v>1047</v>
      </c>
      <c r="E269">
        <v>147</v>
      </c>
      <c r="F269">
        <v>432</v>
      </c>
    </row>
    <row r="270" spans="1:6" x14ac:dyDescent="0.25">
      <c r="A270" s="1">
        <v>43063</v>
      </c>
      <c r="B270" s="2" t="s">
        <v>15</v>
      </c>
      <c r="C270" s="2" t="s">
        <v>59</v>
      </c>
      <c r="D270">
        <v>5517</v>
      </c>
      <c r="E270">
        <v>494</v>
      </c>
      <c r="F270">
        <v>1185</v>
      </c>
    </row>
    <row r="271" spans="1:6" x14ac:dyDescent="0.25">
      <c r="A271" s="1">
        <v>43064</v>
      </c>
      <c r="B271" s="2" t="s">
        <v>59</v>
      </c>
      <c r="C271" s="2" t="s">
        <v>12</v>
      </c>
      <c r="D271">
        <v>4155</v>
      </c>
      <c r="E271">
        <v>93</v>
      </c>
      <c r="F271">
        <v>181</v>
      </c>
    </row>
    <row r="272" spans="1:6" x14ac:dyDescent="0.25">
      <c r="A272" s="1">
        <v>43067</v>
      </c>
      <c r="B272" s="2" t="s">
        <v>61</v>
      </c>
      <c r="C272" s="2" t="s">
        <v>48</v>
      </c>
      <c r="D272">
        <v>2798</v>
      </c>
      <c r="E272">
        <v>109</v>
      </c>
      <c r="F272">
        <v>366</v>
      </c>
    </row>
    <row r="273" spans="1:6" x14ac:dyDescent="0.25">
      <c r="A273" s="1">
        <v>43068</v>
      </c>
      <c r="B273" s="2" t="s">
        <v>48</v>
      </c>
      <c r="C273" s="2" t="s">
        <v>61</v>
      </c>
      <c r="D273">
        <v>4217</v>
      </c>
      <c r="E273">
        <v>112</v>
      </c>
      <c r="F273">
        <v>263</v>
      </c>
    </row>
    <row r="274" spans="1:6" x14ac:dyDescent="0.25">
      <c r="A274" s="1">
        <v>43069</v>
      </c>
      <c r="B274" s="2" t="s">
        <v>61</v>
      </c>
      <c r="C274" s="2" t="s">
        <v>48</v>
      </c>
      <c r="D274">
        <v>4327</v>
      </c>
      <c r="E274">
        <v>109</v>
      </c>
      <c r="F274">
        <v>196</v>
      </c>
    </row>
    <row r="275" spans="1:6" x14ac:dyDescent="0.25">
      <c r="A275" s="1">
        <v>43070</v>
      </c>
      <c r="B275" s="2" t="s">
        <v>32</v>
      </c>
      <c r="C275" s="2" t="s">
        <v>38</v>
      </c>
      <c r="D275">
        <v>2555</v>
      </c>
      <c r="E275">
        <v>124</v>
      </c>
      <c r="F275">
        <v>150</v>
      </c>
    </row>
    <row r="276" spans="1:6" x14ac:dyDescent="0.25">
      <c r="A276" s="1">
        <v>43071</v>
      </c>
      <c r="B276" s="2" t="s">
        <v>38</v>
      </c>
      <c r="C276" s="2" t="s">
        <v>57</v>
      </c>
      <c r="D276">
        <v>5150</v>
      </c>
      <c r="E276">
        <v>104</v>
      </c>
      <c r="F276">
        <v>435</v>
      </c>
    </row>
    <row r="277" spans="1:6" x14ac:dyDescent="0.25">
      <c r="A277" s="1">
        <v>43072</v>
      </c>
      <c r="B277" s="2" t="s">
        <v>56</v>
      </c>
      <c r="C277" s="2" t="s">
        <v>47</v>
      </c>
      <c r="D277">
        <v>5697</v>
      </c>
      <c r="E277">
        <v>257</v>
      </c>
      <c r="F277">
        <v>717</v>
      </c>
    </row>
    <row r="278" spans="1:6" x14ac:dyDescent="0.25">
      <c r="A278" s="1">
        <v>43073</v>
      </c>
      <c r="B278" s="2" t="s">
        <v>47</v>
      </c>
      <c r="C278" s="2" t="s">
        <v>46</v>
      </c>
      <c r="D278">
        <v>3192</v>
      </c>
      <c r="E278">
        <v>113</v>
      </c>
      <c r="F278">
        <v>310</v>
      </c>
    </row>
    <row r="279" spans="1:6" x14ac:dyDescent="0.25">
      <c r="A279" s="1">
        <v>43075</v>
      </c>
      <c r="B279" s="2" t="s">
        <v>38</v>
      </c>
      <c r="C279" s="2" t="s">
        <v>59</v>
      </c>
      <c r="D279">
        <v>2781</v>
      </c>
      <c r="E279">
        <v>409</v>
      </c>
      <c r="F279">
        <v>1436</v>
      </c>
    </row>
    <row r="280" spans="1:6" x14ac:dyDescent="0.25">
      <c r="A280" s="1">
        <v>43076</v>
      </c>
      <c r="B280" s="2" t="s">
        <v>59</v>
      </c>
      <c r="C280" s="2" t="s">
        <v>8</v>
      </c>
      <c r="D280">
        <v>1093</v>
      </c>
      <c r="E280">
        <v>110</v>
      </c>
      <c r="F280">
        <v>400</v>
      </c>
    </row>
    <row r="281" spans="1:6" x14ac:dyDescent="0.25">
      <c r="A281" s="1">
        <v>43077</v>
      </c>
      <c r="B281" s="2" t="s">
        <v>8</v>
      </c>
      <c r="C281" s="2" t="s">
        <v>20</v>
      </c>
      <c r="D281">
        <v>2291</v>
      </c>
      <c r="E281">
        <v>132</v>
      </c>
      <c r="F281">
        <v>163</v>
      </c>
    </row>
    <row r="282" spans="1:6" x14ac:dyDescent="0.25">
      <c r="A282" s="1">
        <v>43078</v>
      </c>
      <c r="B282" s="2" t="s">
        <v>15</v>
      </c>
      <c r="C282" s="2" t="s">
        <v>23</v>
      </c>
      <c r="D282">
        <v>2962</v>
      </c>
      <c r="E282">
        <v>170</v>
      </c>
      <c r="F282">
        <v>273</v>
      </c>
    </row>
    <row r="283" spans="1:6" x14ac:dyDescent="0.25">
      <c r="A283" s="1">
        <v>43079</v>
      </c>
      <c r="B283" s="2" t="s">
        <v>7</v>
      </c>
      <c r="C283" s="2" t="s">
        <v>8</v>
      </c>
      <c r="D283">
        <v>2939</v>
      </c>
      <c r="E283">
        <v>110</v>
      </c>
      <c r="F283">
        <v>279</v>
      </c>
    </row>
    <row r="284" spans="1:6" x14ac:dyDescent="0.25">
      <c r="A284" s="1">
        <v>43080</v>
      </c>
      <c r="B284" s="2" t="s">
        <v>8</v>
      </c>
      <c r="C284" s="2" t="s">
        <v>20</v>
      </c>
      <c r="D284">
        <v>4981</v>
      </c>
      <c r="E284">
        <v>138</v>
      </c>
      <c r="F284">
        <v>455</v>
      </c>
    </row>
    <row r="285" spans="1:6" x14ac:dyDescent="0.25">
      <c r="A285" s="1">
        <v>43081</v>
      </c>
      <c r="B285" s="2" t="s">
        <v>20</v>
      </c>
      <c r="C285" s="2" t="s">
        <v>60</v>
      </c>
      <c r="D285">
        <v>3436</v>
      </c>
      <c r="E285">
        <v>114</v>
      </c>
      <c r="F285">
        <v>370</v>
      </c>
    </row>
    <row r="286" spans="1:6" x14ac:dyDescent="0.25">
      <c r="A286" s="1">
        <v>43082</v>
      </c>
      <c r="B286" s="2" t="s">
        <v>60</v>
      </c>
      <c r="C286" s="2" t="s">
        <v>47</v>
      </c>
      <c r="D286">
        <v>2342</v>
      </c>
      <c r="E286">
        <v>141</v>
      </c>
      <c r="F286">
        <v>319</v>
      </c>
    </row>
    <row r="287" spans="1:6" x14ac:dyDescent="0.25">
      <c r="A287" s="1">
        <v>43083</v>
      </c>
      <c r="B287" s="2" t="s">
        <v>47</v>
      </c>
      <c r="C287" s="2" t="s">
        <v>54</v>
      </c>
      <c r="D287">
        <v>1981</v>
      </c>
      <c r="E287">
        <v>126</v>
      </c>
      <c r="F287">
        <v>396</v>
      </c>
    </row>
    <row r="288" spans="1:6" x14ac:dyDescent="0.25">
      <c r="A288" s="1">
        <v>43084</v>
      </c>
      <c r="B288" s="2" t="s">
        <v>54</v>
      </c>
      <c r="C288" s="2" t="s">
        <v>49</v>
      </c>
      <c r="D288">
        <v>5238</v>
      </c>
      <c r="E288">
        <v>131</v>
      </c>
      <c r="F288">
        <v>158</v>
      </c>
    </row>
    <row r="289" spans="1:6" x14ac:dyDescent="0.25">
      <c r="A289" s="1">
        <v>43085</v>
      </c>
      <c r="B289" s="2" t="s">
        <v>49</v>
      </c>
      <c r="C289" s="2" t="s">
        <v>37</v>
      </c>
      <c r="D289">
        <v>2823</v>
      </c>
      <c r="E289">
        <v>156</v>
      </c>
      <c r="F289">
        <v>280</v>
      </c>
    </row>
    <row r="290" spans="1:6" x14ac:dyDescent="0.25">
      <c r="A290" s="1">
        <v>43086</v>
      </c>
      <c r="B290" s="2" t="s">
        <v>37</v>
      </c>
      <c r="C290" s="2" t="s">
        <v>38</v>
      </c>
      <c r="D290">
        <v>1173</v>
      </c>
      <c r="E290">
        <v>139</v>
      </c>
      <c r="F290">
        <v>475</v>
      </c>
    </row>
    <row r="291" spans="1:6" x14ac:dyDescent="0.25">
      <c r="A291" s="1">
        <v>43087</v>
      </c>
      <c r="B291" s="2" t="s">
        <v>38</v>
      </c>
      <c r="C291" s="2" t="s">
        <v>39</v>
      </c>
      <c r="D291">
        <v>1465</v>
      </c>
      <c r="E291">
        <v>121</v>
      </c>
      <c r="F291">
        <v>193</v>
      </c>
    </row>
    <row r="292" spans="1:6" x14ac:dyDescent="0.25">
      <c r="A292" s="1">
        <v>43088</v>
      </c>
      <c r="B292" s="2" t="s">
        <v>39</v>
      </c>
      <c r="C292" s="2" t="s">
        <v>18</v>
      </c>
      <c r="D292">
        <v>1572</v>
      </c>
      <c r="E292">
        <v>159</v>
      </c>
      <c r="F292">
        <v>476</v>
      </c>
    </row>
    <row r="293" spans="1:6" x14ac:dyDescent="0.25">
      <c r="A293" s="1">
        <v>43089</v>
      </c>
      <c r="B293" s="2" t="s">
        <v>18</v>
      </c>
      <c r="C293" s="2" t="s">
        <v>39</v>
      </c>
      <c r="D293">
        <v>4084</v>
      </c>
      <c r="E293">
        <v>160</v>
      </c>
      <c r="F293">
        <v>338</v>
      </c>
    </row>
    <row r="294" spans="1:6" x14ac:dyDescent="0.25">
      <c r="A294" s="1">
        <v>43090</v>
      </c>
      <c r="B294" s="2" t="s">
        <v>15</v>
      </c>
      <c r="C294" s="2" t="s">
        <v>23</v>
      </c>
      <c r="D294">
        <v>4635</v>
      </c>
      <c r="E294">
        <v>163</v>
      </c>
      <c r="F294">
        <v>359</v>
      </c>
    </row>
    <row r="295" spans="1:6" x14ac:dyDescent="0.25">
      <c r="A295" s="1">
        <v>43092</v>
      </c>
      <c r="B295" s="2" t="s">
        <v>30</v>
      </c>
      <c r="C295" s="2" t="s">
        <v>72</v>
      </c>
      <c r="D295">
        <v>3705</v>
      </c>
      <c r="E295">
        <v>182</v>
      </c>
      <c r="F295">
        <v>760</v>
      </c>
    </row>
    <row r="296" spans="1:6" x14ac:dyDescent="0.25">
      <c r="A296" s="1">
        <v>43094</v>
      </c>
      <c r="B296" s="2" t="s">
        <v>6</v>
      </c>
      <c r="C296" s="2" t="s">
        <v>38</v>
      </c>
      <c r="D296">
        <v>5624</v>
      </c>
      <c r="E296">
        <v>541</v>
      </c>
      <c r="F296">
        <v>1198</v>
      </c>
    </row>
    <row r="297" spans="1:6" x14ac:dyDescent="0.25">
      <c r="A297" s="1">
        <v>43095</v>
      </c>
      <c r="B297" s="2" t="s">
        <v>38</v>
      </c>
      <c r="C297" s="2" t="s">
        <v>37</v>
      </c>
      <c r="D297">
        <v>4157</v>
      </c>
      <c r="E297">
        <v>151</v>
      </c>
      <c r="F297">
        <v>168</v>
      </c>
    </row>
    <row r="298" spans="1:6" x14ac:dyDescent="0.25">
      <c r="A298" s="1">
        <v>43096</v>
      </c>
      <c r="B298" s="2" t="s">
        <v>37</v>
      </c>
      <c r="C298" s="2" t="s">
        <v>43</v>
      </c>
      <c r="D298">
        <v>3021</v>
      </c>
      <c r="E298">
        <v>137</v>
      </c>
      <c r="F298">
        <v>323</v>
      </c>
    </row>
    <row r="299" spans="1:6" x14ac:dyDescent="0.25">
      <c r="A299" s="1">
        <v>43097</v>
      </c>
      <c r="B299" s="2" t="s">
        <v>43</v>
      </c>
      <c r="C299" s="2" t="s">
        <v>52</v>
      </c>
      <c r="D299">
        <v>3573</v>
      </c>
      <c r="E299">
        <v>149</v>
      </c>
      <c r="F299">
        <v>341</v>
      </c>
    </row>
    <row r="300" spans="1:6" x14ac:dyDescent="0.25">
      <c r="A300" s="1">
        <v>43098</v>
      </c>
      <c r="B300" s="2" t="s">
        <v>52</v>
      </c>
      <c r="C300" s="2" t="s">
        <v>15</v>
      </c>
      <c r="D300">
        <v>4748</v>
      </c>
      <c r="E300">
        <v>152</v>
      </c>
      <c r="F300">
        <v>491</v>
      </c>
    </row>
    <row r="301" spans="1:6" x14ac:dyDescent="0.25">
      <c r="A301" s="1">
        <v>43100</v>
      </c>
      <c r="B301" s="2" t="s">
        <v>12</v>
      </c>
      <c r="C301" s="2" t="s">
        <v>6</v>
      </c>
      <c r="D301">
        <v>2293</v>
      </c>
      <c r="E301">
        <v>126</v>
      </c>
      <c r="F301">
        <v>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257C-F67A-4564-A79C-133252DE9B01}">
  <dimension ref="A1:J301"/>
  <sheetViews>
    <sheetView workbookViewId="0">
      <selection activeCell="I5" sqref="I5"/>
    </sheetView>
  </sheetViews>
  <sheetFormatPr defaultRowHeight="15" x14ac:dyDescent="0.25"/>
  <cols>
    <col min="1" max="1" width="10.140625" bestFit="1" customWidth="1"/>
    <col min="2" max="3" width="20" bestFit="1" customWidth="1"/>
    <col min="4" max="4" width="8.28515625" bestFit="1" customWidth="1"/>
    <col min="5" max="5" width="12" bestFit="1" customWidth="1"/>
    <col min="6" max="6" width="7.7109375" bestFit="1" customWidth="1"/>
    <col min="7" max="7" width="33" bestFit="1" customWidth="1"/>
    <col min="9" max="9" width="22.140625" bestFit="1" customWidth="1"/>
    <col min="10" max="10" width="18.7109375" bestFit="1" customWidth="1"/>
    <col min="11" max="11" width="1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78</v>
      </c>
      <c r="I1" s="10" t="s">
        <v>82</v>
      </c>
      <c r="J1" t="s">
        <v>81</v>
      </c>
    </row>
    <row r="2" spans="1:10" x14ac:dyDescent="0.25">
      <c r="A2" s="1">
        <v>42737</v>
      </c>
      <c r="B2" s="2" t="s">
        <v>6</v>
      </c>
      <c r="C2" s="2" t="s">
        <v>7</v>
      </c>
      <c r="D2">
        <v>3527</v>
      </c>
      <c r="E2">
        <v>167</v>
      </c>
      <c r="F2">
        <v>206</v>
      </c>
      <c r="G2" t="str">
        <f>CONCATENATE(kursy5[[#This Row],[Poczatek]],kursy5[[#This Row],[Koniec]])</f>
        <v>OlsztynTorun</v>
      </c>
      <c r="I2" s="11" t="s">
        <v>79</v>
      </c>
      <c r="J2" s="2">
        <v>15736</v>
      </c>
    </row>
    <row r="3" spans="1:10" x14ac:dyDescent="0.25">
      <c r="A3" s="1">
        <v>42738</v>
      </c>
      <c r="B3" s="2" t="s">
        <v>7</v>
      </c>
      <c r="C3" s="2" t="s">
        <v>8</v>
      </c>
      <c r="D3">
        <v>3666</v>
      </c>
      <c r="E3">
        <v>112</v>
      </c>
      <c r="F3">
        <v>280</v>
      </c>
      <c r="G3" t="str">
        <f>CONCATENATE(kursy5[[#This Row],[Poczatek]],kursy5[[#This Row],[Koniec]])</f>
        <v>TorunPlock</v>
      </c>
      <c r="I3" s="11" t="s">
        <v>80</v>
      </c>
      <c r="J3" s="2">
        <v>15736</v>
      </c>
    </row>
    <row r="4" spans="1:10" x14ac:dyDescent="0.25">
      <c r="A4" s="1">
        <v>42739</v>
      </c>
      <c r="B4" s="2" t="s">
        <v>8</v>
      </c>
      <c r="C4" s="2" t="s">
        <v>9</v>
      </c>
      <c r="D4">
        <v>4888</v>
      </c>
      <c r="E4">
        <v>167</v>
      </c>
      <c r="F4">
        <v>624</v>
      </c>
      <c r="G4" t="str">
        <f>CONCATENATE(kursy5[[#This Row],[Poczatek]],kursy5[[#This Row],[Koniec]])</f>
        <v>PlockOstroleka</v>
      </c>
    </row>
    <row r="5" spans="1:10" x14ac:dyDescent="0.25">
      <c r="A5" s="1">
        <v>42740</v>
      </c>
      <c r="B5" s="2" t="s">
        <v>9</v>
      </c>
      <c r="C5" s="2" t="s">
        <v>10</v>
      </c>
      <c r="D5">
        <v>1099</v>
      </c>
      <c r="E5">
        <v>167</v>
      </c>
      <c r="F5">
        <v>390</v>
      </c>
      <c r="G5" t="str">
        <f>CONCATENATE(kursy5[[#This Row],[Poczatek]],kursy5[[#This Row],[Koniec]])</f>
        <v>OstrolekaSuwalki</v>
      </c>
      <c r="I5" s="8" t="s">
        <v>83</v>
      </c>
    </row>
    <row r="6" spans="1:10" x14ac:dyDescent="0.25">
      <c r="A6" s="1">
        <v>42742</v>
      </c>
      <c r="B6" s="2" t="s">
        <v>11</v>
      </c>
      <c r="C6" s="2" t="s">
        <v>12</v>
      </c>
      <c r="D6">
        <v>4881</v>
      </c>
      <c r="E6">
        <v>118</v>
      </c>
      <c r="F6">
        <v>219</v>
      </c>
      <c r="G6" t="str">
        <f>CONCATENATE(kursy5[[#This Row],[Poczatek]],kursy5[[#This Row],[Koniec]])</f>
        <v>LomzaCiechanow</v>
      </c>
    </row>
    <row r="7" spans="1:10" x14ac:dyDescent="0.25">
      <c r="A7" s="1">
        <v>42743</v>
      </c>
      <c r="B7" s="2" t="s">
        <v>12</v>
      </c>
      <c r="C7" s="2" t="s">
        <v>11</v>
      </c>
      <c r="D7">
        <v>5851</v>
      </c>
      <c r="E7">
        <v>113</v>
      </c>
      <c r="F7">
        <v>160</v>
      </c>
      <c r="G7" t="str">
        <f>CONCATENATE(kursy5[[#This Row],[Poczatek]],kursy5[[#This Row],[Koniec]])</f>
        <v>CiechanowLomza</v>
      </c>
    </row>
    <row r="8" spans="1:10" x14ac:dyDescent="0.25">
      <c r="A8" s="1">
        <v>42744</v>
      </c>
      <c r="B8" s="2" t="s">
        <v>11</v>
      </c>
      <c r="C8" s="2" t="s">
        <v>13</v>
      </c>
      <c r="D8">
        <v>5963</v>
      </c>
      <c r="E8">
        <v>141</v>
      </c>
      <c r="F8">
        <v>168</v>
      </c>
      <c r="G8" t="str">
        <f>CONCATENATE(kursy5[[#This Row],[Poczatek]],kursy5[[#This Row],[Koniec]])</f>
        <v>LomzaKuznica Bialostocka</v>
      </c>
    </row>
    <row r="9" spans="1:10" x14ac:dyDescent="0.25">
      <c r="A9" s="1">
        <v>42745</v>
      </c>
      <c r="B9" s="2" t="s">
        <v>13</v>
      </c>
      <c r="C9" s="2" t="s">
        <v>9</v>
      </c>
      <c r="D9">
        <v>1364</v>
      </c>
      <c r="E9">
        <v>179</v>
      </c>
      <c r="F9">
        <v>533</v>
      </c>
      <c r="G9" t="str">
        <f>CONCATENATE(kursy5[[#This Row],[Poczatek]],kursy5[[#This Row],[Koniec]])</f>
        <v>Kuznica BialostockaOstroleka</v>
      </c>
    </row>
    <row r="10" spans="1:10" x14ac:dyDescent="0.25">
      <c r="A10" s="1">
        <v>42746</v>
      </c>
      <c r="B10" s="2" t="s">
        <v>9</v>
      </c>
      <c r="C10" s="2" t="s">
        <v>10</v>
      </c>
      <c r="D10">
        <v>1245</v>
      </c>
      <c r="E10">
        <v>166</v>
      </c>
      <c r="F10">
        <v>209</v>
      </c>
      <c r="G10" t="str">
        <f>CONCATENATE(kursy5[[#This Row],[Poczatek]],kursy5[[#This Row],[Koniec]])</f>
        <v>OstrolekaSuwalki</v>
      </c>
    </row>
    <row r="11" spans="1:10" x14ac:dyDescent="0.25">
      <c r="A11" s="1">
        <v>42747</v>
      </c>
      <c r="B11" s="2" t="s">
        <v>14</v>
      </c>
      <c r="C11" s="2" t="s">
        <v>15</v>
      </c>
      <c r="D11">
        <v>3771</v>
      </c>
      <c r="E11">
        <v>196</v>
      </c>
      <c r="F11">
        <v>696</v>
      </c>
      <c r="G11" t="str">
        <f>CONCATENATE(kursy5[[#This Row],[Poczatek]],kursy5[[#This Row],[Koniec]])</f>
        <v>PoznanGubin</v>
      </c>
    </row>
    <row r="12" spans="1:10" x14ac:dyDescent="0.25">
      <c r="A12" s="1">
        <v>42749</v>
      </c>
      <c r="B12" s="2" t="s">
        <v>16</v>
      </c>
      <c r="C12" s="2" t="s">
        <v>17</v>
      </c>
      <c r="D12">
        <v>4522</v>
      </c>
      <c r="E12">
        <v>300</v>
      </c>
      <c r="F12">
        <v>1113</v>
      </c>
      <c r="G12" t="str">
        <f>CONCATENATE(kursy5[[#This Row],[Poczatek]],kursy5[[#This Row],[Koniec]])</f>
        <v>SkierniewiceTarnow</v>
      </c>
    </row>
    <row r="13" spans="1:10" x14ac:dyDescent="0.25">
      <c r="A13" s="1">
        <v>42750</v>
      </c>
      <c r="B13" s="2" t="s">
        <v>17</v>
      </c>
      <c r="C13" s="2" t="s">
        <v>18</v>
      </c>
      <c r="D13">
        <v>4588</v>
      </c>
      <c r="E13">
        <v>148</v>
      </c>
      <c r="F13">
        <v>494</v>
      </c>
      <c r="G13" t="str">
        <f>CONCATENATE(kursy5[[#This Row],[Poczatek]],kursy5[[#This Row],[Koniec]])</f>
        <v>TarnowKatowice</v>
      </c>
    </row>
    <row r="14" spans="1:10" x14ac:dyDescent="0.25">
      <c r="A14" s="1">
        <v>42751</v>
      </c>
      <c r="B14" s="2" t="s">
        <v>19</v>
      </c>
      <c r="C14" s="2" t="s">
        <v>20</v>
      </c>
      <c r="D14">
        <v>1952</v>
      </c>
      <c r="E14">
        <v>267</v>
      </c>
      <c r="F14">
        <v>602</v>
      </c>
      <c r="G14" t="str">
        <f>CONCATENATE(kursy5[[#This Row],[Poczatek]],kursy5[[#This Row],[Koniec]])</f>
        <v>RadomKonin</v>
      </c>
    </row>
    <row r="15" spans="1:10" x14ac:dyDescent="0.25">
      <c r="A15" s="1">
        <v>42752</v>
      </c>
      <c r="B15" s="2" t="s">
        <v>20</v>
      </c>
      <c r="C15" s="2" t="s">
        <v>7</v>
      </c>
      <c r="D15">
        <v>3318</v>
      </c>
      <c r="E15">
        <v>110</v>
      </c>
      <c r="F15">
        <v>422</v>
      </c>
      <c r="G15" t="str">
        <f>CONCATENATE(kursy5[[#This Row],[Poczatek]],kursy5[[#This Row],[Koniec]])</f>
        <v>KoninTorun</v>
      </c>
    </row>
    <row r="16" spans="1:10" x14ac:dyDescent="0.25">
      <c r="A16" s="1">
        <v>42755</v>
      </c>
      <c r="B16" s="2" t="s">
        <v>13</v>
      </c>
      <c r="C16" s="2" t="s">
        <v>9</v>
      </c>
      <c r="D16">
        <v>3106</v>
      </c>
      <c r="E16">
        <v>173</v>
      </c>
      <c r="F16">
        <v>312</v>
      </c>
      <c r="G16" t="str">
        <f>CONCATENATE(kursy5[[#This Row],[Poczatek]],kursy5[[#This Row],[Koniec]])</f>
        <v>Kuznica BialostockaOstroleka</v>
      </c>
    </row>
    <row r="17" spans="1:7" x14ac:dyDescent="0.25">
      <c r="A17" s="1">
        <v>42756</v>
      </c>
      <c r="B17" s="2" t="s">
        <v>9</v>
      </c>
      <c r="C17" s="2" t="s">
        <v>6</v>
      </c>
      <c r="D17">
        <v>5593</v>
      </c>
      <c r="E17">
        <v>127</v>
      </c>
      <c r="F17">
        <v>421</v>
      </c>
      <c r="G17" t="str">
        <f>CONCATENATE(kursy5[[#This Row],[Poczatek]],kursy5[[#This Row],[Koniec]])</f>
        <v>OstrolekaOlsztyn</v>
      </c>
    </row>
    <row r="18" spans="1:7" x14ac:dyDescent="0.25">
      <c r="A18" s="1">
        <v>42757</v>
      </c>
      <c r="B18" s="2" t="s">
        <v>6</v>
      </c>
      <c r="C18" s="2" t="s">
        <v>12</v>
      </c>
      <c r="D18">
        <v>5983</v>
      </c>
      <c r="E18">
        <v>118</v>
      </c>
      <c r="F18">
        <v>416</v>
      </c>
      <c r="G18" t="str">
        <f>CONCATENATE(kursy5[[#This Row],[Poczatek]],kursy5[[#This Row],[Koniec]])</f>
        <v>OlsztynCiechanow</v>
      </c>
    </row>
    <row r="19" spans="1:7" x14ac:dyDescent="0.25">
      <c r="A19" s="1">
        <v>42758</v>
      </c>
      <c r="B19" s="2" t="s">
        <v>12</v>
      </c>
      <c r="C19" s="2" t="s">
        <v>6</v>
      </c>
      <c r="D19">
        <v>5496</v>
      </c>
      <c r="E19">
        <v>115</v>
      </c>
      <c r="F19">
        <v>291</v>
      </c>
      <c r="G19" t="str">
        <f>CONCATENATE(kursy5[[#This Row],[Poczatek]],kursy5[[#This Row],[Koniec]])</f>
        <v>CiechanowOlsztyn</v>
      </c>
    </row>
    <row r="20" spans="1:7" x14ac:dyDescent="0.25">
      <c r="A20" s="1">
        <v>42759</v>
      </c>
      <c r="B20" s="2" t="s">
        <v>6</v>
      </c>
      <c r="C20" s="2" t="s">
        <v>11</v>
      </c>
      <c r="D20">
        <v>4572</v>
      </c>
      <c r="E20">
        <v>164</v>
      </c>
      <c r="F20">
        <v>550</v>
      </c>
      <c r="G20" t="str">
        <f>CONCATENATE(kursy5[[#This Row],[Poczatek]],kursy5[[#This Row],[Koniec]])</f>
        <v>OlsztynLomza</v>
      </c>
    </row>
    <row r="21" spans="1:7" x14ac:dyDescent="0.25">
      <c r="A21" s="1">
        <v>42760</v>
      </c>
      <c r="B21" s="2" t="s">
        <v>11</v>
      </c>
      <c r="C21" s="2" t="s">
        <v>12</v>
      </c>
      <c r="D21">
        <v>4529</v>
      </c>
      <c r="E21">
        <v>121</v>
      </c>
      <c r="F21">
        <v>373</v>
      </c>
      <c r="G21" t="str">
        <f>CONCATENATE(kursy5[[#This Row],[Poczatek]],kursy5[[#This Row],[Koniec]])</f>
        <v>LomzaCiechanow</v>
      </c>
    </row>
    <row r="22" spans="1:7" x14ac:dyDescent="0.25">
      <c r="A22" s="1">
        <v>42761</v>
      </c>
      <c r="B22" s="2" t="s">
        <v>12</v>
      </c>
      <c r="C22" s="2" t="s">
        <v>6</v>
      </c>
      <c r="D22">
        <v>4981</v>
      </c>
      <c r="E22">
        <v>123</v>
      </c>
      <c r="F22">
        <v>218</v>
      </c>
      <c r="G22" t="str">
        <f>CONCATENATE(kursy5[[#This Row],[Poczatek]],kursy5[[#This Row],[Koniec]])</f>
        <v>CiechanowOlsztyn</v>
      </c>
    </row>
    <row r="23" spans="1:7" x14ac:dyDescent="0.25">
      <c r="A23" s="1">
        <v>42762</v>
      </c>
      <c r="B23" s="2" t="s">
        <v>6</v>
      </c>
      <c r="C23" s="2" t="s">
        <v>7</v>
      </c>
      <c r="D23">
        <v>3808</v>
      </c>
      <c r="E23">
        <v>163</v>
      </c>
      <c r="F23">
        <v>655</v>
      </c>
      <c r="G23" t="str">
        <f>CONCATENATE(kursy5[[#This Row],[Poczatek]],kursy5[[#This Row],[Koniec]])</f>
        <v>OlsztynTorun</v>
      </c>
    </row>
    <row r="24" spans="1:7" x14ac:dyDescent="0.25">
      <c r="A24" s="1">
        <v>42763</v>
      </c>
      <c r="B24" s="2" t="s">
        <v>7</v>
      </c>
      <c r="C24" s="2" t="s">
        <v>21</v>
      </c>
      <c r="D24">
        <v>1359</v>
      </c>
      <c r="E24">
        <v>130</v>
      </c>
      <c r="F24">
        <v>346</v>
      </c>
      <c r="G24" t="str">
        <f>CONCATENATE(kursy5[[#This Row],[Poczatek]],kursy5[[#This Row],[Koniec]])</f>
        <v>TorunPila</v>
      </c>
    </row>
    <row r="25" spans="1:7" x14ac:dyDescent="0.25">
      <c r="A25" s="1">
        <v>42764</v>
      </c>
      <c r="B25" s="2" t="s">
        <v>22</v>
      </c>
      <c r="C25" s="2" t="s">
        <v>23</v>
      </c>
      <c r="D25">
        <v>2320</v>
      </c>
      <c r="E25">
        <v>24</v>
      </c>
      <c r="F25">
        <v>68</v>
      </c>
      <c r="G25" t="str">
        <f>CONCATENATE(kursy5[[#This Row],[Poczatek]],kursy5[[#This Row],[Koniec]])</f>
        <v>KolbaskowoSzczecin</v>
      </c>
    </row>
    <row r="26" spans="1:7" x14ac:dyDescent="0.25">
      <c r="A26" s="1">
        <v>42765</v>
      </c>
      <c r="B26" s="2" t="s">
        <v>23</v>
      </c>
      <c r="C26" s="2" t="s">
        <v>24</v>
      </c>
      <c r="D26">
        <v>2607</v>
      </c>
      <c r="E26">
        <v>115</v>
      </c>
      <c r="F26">
        <v>264</v>
      </c>
      <c r="G26" t="str">
        <f>CONCATENATE(kursy5[[#This Row],[Poczatek]],kursy5[[#This Row],[Koniec]])</f>
        <v>SzczecinSwinoujscie</v>
      </c>
    </row>
    <row r="27" spans="1:7" x14ac:dyDescent="0.25">
      <c r="A27" s="1">
        <v>42766</v>
      </c>
      <c r="B27" s="2" t="s">
        <v>24</v>
      </c>
      <c r="C27" s="2" t="s">
        <v>23</v>
      </c>
      <c r="D27">
        <v>3657</v>
      </c>
      <c r="E27">
        <v>100</v>
      </c>
      <c r="F27">
        <v>424</v>
      </c>
      <c r="G27" t="str">
        <f>CONCATENATE(kursy5[[#This Row],[Poczatek]],kursy5[[#This Row],[Koniec]])</f>
        <v>SwinoujscieSzczecin</v>
      </c>
    </row>
    <row r="28" spans="1:7" x14ac:dyDescent="0.25">
      <c r="A28" s="1">
        <v>42767</v>
      </c>
      <c r="B28" s="2" t="s">
        <v>23</v>
      </c>
      <c r="C28" s="2" t="s">
        <v>25</v>
      </c>
      <c r="D28">
        <v>5671</v>
      </c>
      <c r="E28">
        <v>118</v>
      </c>
      <c r="F28">
        <v>390</v>
      </c>
      <c r="G28" t="str">
        <f>CONCATENATE(kursy5[[#This Row],[Poczatek]],kursy5[[#This Row],[Koniec]])</f>
        <v>SzczecinKostrzyn</v>
      </c>
    </row>
    <row r="29" spans="1:7" x14ac:dyDescent="0.25">
      <c r="A29" s="1">
        <v>42768</v>
      </c>
      <c r="B29" s="2" t="s">
        <v>25</v>
      </c>
      <c r="C29" s="2" t="s">
        <v>22</v>
      </c>
      <c r="D29">
        <v>4871</v>
      </c>
      <c r="E29">
        <v>126</v>
      </c>
      <c r="F29">
        <v>185</v>
      </c>
      <c r="G29" t="str">
        <f>CONCATENATE(kursy5[[#This Row],[Poczatek]],kursy5[[#This Row],[Koniec]])</f>
        <v>KostrzynKolbaskowo</v>
      </c>
    </row>
    <row r="30" spans="1:7" x14ac:dyDescent="0.25">
      <c r="A30" s="1">
        <v>42769</v>
      </c>
      <c r="B30" s="2" t="s">
        <v>22</v>
      </c>
      <c r="C30" s="2" t="s">
        <v>26</v>
      </c>
      <c r="D30">
        <v>1686</v>
      </c>
      <c r="E30">
        <v>102</v>
      </c>
      <c r="F30">
        <v>167</v>
      </c>
      <c r="G30" t="str">
        <f>CONCATENATE(kursy5[[#This Row],[Poczatek]],kursy5[[#This Row],[Koniec]])</f>
        <v>KolbaskowoGorzow Wielkopolski</v>
      </c>
    </row>
    <row r="31" spans="1:7" x14ac:dyDescent="0.25">
      <c r="A31" s="1">
        <v>42770</v>
      </c>
      <c r="B31" s="2" t="s">
        <v>26</v>
      </c>
      <c r="C31" s="2" t="s">
        <v>21</v>
      </c>
      <c r="D31">
        <v>5628</v>
      </c>
      <c r="E31">
        <v>123</v>
      </c>
      <c r="F31">
        <v>450</v>
      </c>
      <c r="G31" t="str">
        <f>CONCATENATE(kursy5[[#This Row],[Poczatek]],kursy5[[#This Row],[Koniec]])</f>
        <v>Gorzow WielkopolskiPila</v>
      </c>
    </row>
    <row r="32" spans="1:7" x14ac:dyDescent="0.25">
      <c r="A32" s="1">
        <v>42771</v>
      </c>
      <c r="B32" s="2" t="s">
        <v>21</v>
      </c>
      <c r="C32" s="2" t="s">
        <v>14</v>
      </c>
      <c r="D32">
        <v>3295</v>
      </c>
      <c r="E32">
        <v>103</v>
      </c>
      <c r="F32">
        <v>346</v>
      </c>
      <c r="G32" t="str">
        <f>CONCATENATE(kursy5[[#This Row],[Poczatek]],kursy5[[#This Row],[Koniec]])</f>
        <v>PilaPoznan</v>
      </c>
    </row>
    <row r="33" spans="1:7" x14ac:dyDescent="0.25">
      <c r="A33" s="1">
        <v>42772</v>
      </c>
      <c r="B33" s="2" t="s">
        <v>27</v>
      </c>
      <c r="C33" s="2" t="s">
        <v>28</v>
      </c>
      <c r="D33">
        <v>5291</v>
      </c>
      <c r="E33">
        <v>273</v>
      </c>
      <c r="F33">
        <v>520</v>
      </c>
      <c r="G33" t="str">
        <f>CONCATENATE(kursy5[[#This Row],[Poczatek]],kursy5[[#This Row],[Koniec]])</f>
        <v>JakuszyceKalisz</v>
      </c>
    </row>
    <row r="34" spans="1:7" x14ac:dyDescent="0.25">
      <c r="A34" s="1">
        <v>42773</v>
      </c>
      <c r="B34" s="2" t="s">
        <v>28</v>
      </c>
      <c r="C34" s="2" t="s">
        <v>29</v>
      </c>
      <c r="D34">
        <v>5838</v>
      </c>
      <c r="E34">
        <v>128</v>
      </c>
      <c r="F34">
        <v>518</v>
      </c>
      <c r="G34" t="str">
        <f>CONCATENATE(kursy5[[#This Row],[Poczatek]],kursy5[[#This Row],[Koniec]])</f>
        <v>KaliszPiotrkow Trybunalski</v>
      </c>
    </row>
    <row r="35" spans="1:7" x14ac:dyDescent="0.25">
      <c r="A35" s="1">
        <v>42774</v>
      </c>
      <c r="B35" s="2" t="s">
        <v>29</v>
      </c>
      <c r="C35" s="2" t="s">
        <v>20</v>
      </c>
      <c r="D35">
        <v>3319</v>
      </c>
      <c r="E35">
        <v>154</v>
      </c>
      <c r="F35">
        <v>314</v>
      </c>
      <c r="G35" t="str">
        <f>CONCATENATE(kursy5[[#This Row],[Poczatek]],kursy5[[#This Row],[Koniec]])</f>
        <v>Piotrkow TrybunalskiKonin</v>
      </c>
    </row>
    <row r="36" spans="1:7" x14ac:dyDescent="0.25">
      <c r="A36" s="1">
        <v>42775</v>
      </c>
      <c r="B36" s="2" t="s">
        <v>30</v>
      </c>
      <c r="C36" s="2" t="s">
        <v>7</v>
      </c>
      <c r="D36">
        <v>2152</v>
      </c>
      <c r="E36">
        <v>190</v>
      </c>
      <c r="F36">
        <v>406</v>
      </c>
      <c r="G36" t="str">
        <f>CONCATENATE(kursy5[[#This Row],[Poczatek]],kursy5[[#This Row],[Koniec]])</f>
        <v>GdanskTorun</v>
      </c>
    </row>
    <row r="37" spans="1:7" x14ac:dyDescent="0.25">
      <c r="A37" s="1">
        <v>42776</v>
      </c>
      <c r="B37" s="2" t="s">
        <v>7</v>
      </c>
      <c r="C37" s="2" t="s">
        <v>21</v>
      </c>
      <c r="D37">
        <v>3810</v>
      </c>
      <c r="E37">
        <v>135</v>
      </c>
      <c r="F37">
        <v>221</v>
      </c>
      <c r="G37" t="str">
        <f>CONCATENATE(kursy5[[#This Row],[Poczatek]],kursy5[[#This Row],[Koniec]])</f>
        <v>TorunPila</v>
      </c>
    </row>
    <row r="38" spans="1:7" x14ac:dyDescent="0.25">
      <c r="A38" s="1">
        <v>42777</v>
      </c>
      <c r="B38" s="2" t="s">
        <v>21</v>
      </c>
      <c r="C38" s="2" t="s">
        <v>31</v>
      </c>
      <c r="D38">
        <v>5713</v>
      </c>
      <c r="E38">
        <v>128</v>
      </c>
      <c r="F38">
        <v>376</v>
      </c>
      <c r="G38" t="str">
        <f>CONCATENATE(kursy5[[#This Row],[Poczatek]],kursy5[[#This Row],[Koniec]])</f>
        <v>PilaKoszalin</v>
      </c>
    </row>
    <row r="39" spans="1:7" x14ac:dyDescent="0.25">
      <c r="A39" s="1">
        <v>42778</v>
      </c>
      <c r="B39" s="2" t="s">
        <v>31</v>
      </c>
      <c r="C39" s="2" t="s">
        <v>21</v>
      </c>
      <c r="D39">
        <v>4163</v>
      </c>
      <c r="E39">
        <v>128</v>
      </c>
      <c r="F39">
        <v>257</v>
      </c>
      <c r="G39" t="str">
        <f>CONCATENATE(kursy5[[#This Row],[Poczatek]],kursy5[[#This Row],[Koniec]])</f>
        <v>KoszalinPila</v>
      </c>
    </row>
    <row r="40" spans="1:7" x14ac:dyDescent="0.25">
      <c r="A40" s="1">
        <v>42779</v>
      </c>
      <c r="B40" s="2" t="s">
        <v>21</v>
      </c>
      <c r="C40" s="2" t="s">
        <v>32</v>
      </c>
      <c r="D40">
        <v>3216</v>
      </c>
      <c r="E40">
        <v>162</v>
      </c>
      <c r="F40">
        <v>278</v>
      </c>
      <c r="G40" t="str">
        <f>CONCATENATE(kursy5[[#This Row],[Poczatek]],kursy5[[#This Row],[Koniec]])</f>
        <v>PilaCzestochowa</v>
      </c>
    </row>
    <row r="41" spans="1:7" x14ac:dyDescent="0.25">
      <c r="A41" s="1">
        <v>42780</v>
      </c>
      <c r="B41" s="2" t="s">
        <v>11</v>
      </c>
      <c r="C41" s="2" t="s">
        <v>33</v>
      </c>
      <c r="D41">
        <v>5060</v>
      </c>
      <c r="E41">
        <v>550</v>
      </c>
      <c r="F41">
        <v>1622</v>
      </c>
      <c r="G41" t="str">
        <f>CONCATENATE(kursy5[[#This Row],[Poczatek]],kursy5[[#This Row],[Koniec]])</f>
        <v>LomzaChyzne</v>
      </c>
    </row>
    <row r="42" spans="1:7" x14ac:dyDescent="0.25">
      <c r="A42" s="1">
        <v>42782</v>
      </c>
      <c r="B42" s="2" t="s">
        <v>31</v>
      </c>
      <c r="C42" s="2" t="s">
        <v>24</v>
      </c>
      <c r="D42">
        <v>2446</v>
      </c>
      <c r="E42">
        <v>161</v>
      </c>
      <c r="F42">
        <v>379</v>
      </c>
      <c r="G42" t="str">
        <f>CONCATENATE(kursy5[[#This Row],[Poczatek]],kursy5[[#This Row],[Koniec]])</f>
        <v>KoszalinSwinoujscie</v>
      </c>
    </row>
    <row r="43" spans="1:7" x14ac:dyDescent="0.25">
      <c r="A43" s="1">
        <v>42783</v>
      </c>
      <c r="B43" s="2" t="s">
        <v>24</v>
      </c>
      <c r="C43" s="2" t="s">
        <v>23</v>
      </c>
      <c r="D43">
        <v>3305</v>
      </c>
      <c r="E43">
        <v>106</v>
      </c>
      <c r="F43">
        <v>116</v>
      </c>
      <c r="G43" t="str">
        <f>CONCATENATE(kursy5[[#This Row],[Poczatek]],kursy5[[#This Row],[Koniec]])</f>
        <v>SwinoujscieSzczecin</v>
      </c>
    </row>
    <row r="44" spans="1:7" x14ac:dyDescent="0.25">
      <c r="A44" s="1">
        <v>42785</v>
      </c>
      <c r="B44" s="2" t="s">
        <v>21</v>
      </c>
      <c r="C44" s="2" t="s">
        <v>7</v>
      </c>
      <c r="D44">
        <v>1743</v>
      </c>
      <c r="E44">
        <v>145</v>
      </c>
      <c r="F44">
        <v>376</v>
      </c>
      <c r="G44" t="str">
        <f>CONCATENATE(kursy5[[#This Row],[Poczatek]],kursy5[[#This Row],[Koniec]])</f>
        <v>PilaTorun</v>
      </c>
    </row>
    <row r="45" spans="1:7" x14ac:dyDescent="0.25">
      <c r="A45" s="1">
        <v>42788</v>
      </c>
      <c r="B45" s="2" t="s">
        <v>17</v>
      </c>
      <c r="C45" s="2" t="s">
        <v>34</v>
      </c>
      <c r="D45">
        <v>4053</v>
      </c>
      <c r="E45">
        <v>146</v>
      </c>
      <c r="F45">
        <v>441</v>
      </c>
      <c r="G45" t="str">
        <f>CONCATENATE(kursy5[[#This Row],[Poczatek]],kursy5[[#This Row],[Koniec]])</f>
        <v>TarnowKrosno</v>
      </c>
    </row>
    <row r="46" spans="1:7" x14ac:dyDescent="0.25">
      <c r="A46" s="1">
        <v>42789</v>
      </c>
      <c r="B46" s="2" t="s">
        <v>18</v>
      </c>
      <c r="C46" s="2" t="s">
        <v>29</v>
      </c>
      <c r="D46">
        <v>4905</v>
      </c>
      <c r="E46">
        <v>157</v>
      </c>
      <c r="F46">
        <v>392</v>
      </c>
      <c r="G46" t="str">
        <f>CONCATENATE(kursy5[[#This Row],[Poczatek]],kursy5[[#This Row],[Koniec]])</f>
        <v>KatowicePiotrkow Trybunalski</v>
      </c>
    </row>
    <row r="47" spans="1:7" x14ac:dyDescent="0.25">
      <c r="A47" s="1">
        <v>42791</v>
      </c>
      <c r="B47" s="2" t="s">
        <v>8</v>
      </c>
      <c r="C47" s="2" t="s">
        <v>7</v>
      </c>
      <c r="D47">
        <v>1624</v>
      </c>
      <c r="E47">
        <v>111</v>
      </c>
      <c r="F47">
        <v>221</v>
      </c>
      <c r="G47" t="str">
        <f>CONCATENATE(kursy5[[#This Row],[Poczatek]],kursy5[[#This Row],[Koniec]])</f>
        <v>PlockTorun</v>
      </c>
    </row>
    <row r="48" spans="1:7" x14ac:dyDescent="0.25">
      <c r="A48" s="1">
        <v>42793</v>
      </c>
      <c r="B48" s="2" t="s">
        <v>35</v>
      </c>
      <c r="C48" s="2" t="s">
        <v>27</v>
      </c>
      <c r="D48">
        <v>5326</v>
      </c>
      <c r="E48">
        <v>171</v>
      </c>
      <c r="F48">
        <v>263</v>
      </c>
      <c r="G48" t="str">
        <f>CONCATENATE(kursy5[[#This Row],[Poczatek]],kursy5[[#This Row],[Koniec]])</f>
        <v>Kudowa-SloneJakuszyce</v>
      </c>
    </row>
    <row r="49" spans="1:7" x14ac:dyDescent="0.25">
      <c r="A49" s="1">
        <v>42794</v>
      </c>
      <c r="B49" s="2" t="s">
        <v>36</v>
      </c>
      <c r="C49" s="2" t="s">
        <v>12</v>
      </c>
      <c r="D49">
        <v>4398</v>
      </c>
      <c r="E49">
        <v>225</v>
      </c>
      <c r="F49">
        <v>400</v>
      </c>
      <c r="G49" t="str">
        <f>CONCATENATE(kursy5[[#This Row],[Poczatek]],kursy5[[#This Row],[Koniec]])</f>
        <v>ElblagCiechanow</v>
      </c>
    </row>
    <row r="50" spans="1:7" x14ac:dyDescent="0.25">
      <c r="A50" s="1">
        <v>42795</v>
      </c>
      <c r="B50" s="2" t="s">
        <v>35</v>
      </c>
      <c r="C50" s="2" t="s">
        <v>37</v>
      </c>
      <c r="D50">
        <v>4494</v>
      </c>
      <c r="E50">
        <v>143</v>
      </c>
      <c r="F50">
        <v>252</v>
      </c>
      <c r="G50" t="str">
        <f>CONCATENATE(kursy5[[#This Row],[Poczatek]],kursy5[[#This Row],[Koniec]])</f>
        <v>Kudowa-SloneOpole</v>
      </c>
    </row>
    <row r="51" spans="1:7" x14ac:dyDescent="0.25">
      <c r="A51" s="1">
        <v>42796</v>
      </c>
      <c r="B51" s="2" t="s">
        <v>37</v>
      </c>
      <c r="C51" s="2" t="s">
        <v>38</v>
      </c>
      <c r="D51">
        <v>2136</v>
      </c>
      <c r="E51">
        <v>139</v>
      </c>
      <c r="F51">
        <v>522</v>
      </c>
      <c r="G51" t="str">
        <f>CONCATENATE(kursy5[[#This Row],[Poczatek]],kursy5[[#This Row],[Koniec]])</f>
        <v>OpoleBielsko-Biala</v>
      </c>
    </row>
    <row r="52" spans="1:7" x14ac:dyDescent="0.25">
      <c r="A52" s="1">
        <v>42797</v>
      </c>
      <c r="B52" s="2" t="s">
        <v>38</v>
      </c>
      <c r="C52" s="2" t="s">
        <v>39</v>
      </c>
      <c r="D52">
        <v>4481</v>
      </c>
      <c r="E52">
        <v>121</v>
      </c>
      <c r="F52">
        <v>446</v>
      </c>
      <c r="G52" t="str">
        <f>CONCATENATE(kursy5[[#This Row],[Poczatek]],kursy5[[#This Row],[Koniec]])</f>
        <v>Bielsko-BialaZakopane</v>
      </c>
    </row>
    <row r="53" spans="1:7" x14ac:dyDescent="0.25">
      <c r="A53" s="1">
        <v>42798</v>
      </c>
      <c r="B53" s="2" t="s">
        <v>29</v>
      </c>
      <c r="C53" s="2" t="s">
        <v>14</v>
      </c>
      <c r="D53">
        <v>1749</v>
      </c>
      <c r="E53">
        <v>232</v>
      </c>
      <c r="F53">
        <v>928</v>
      </c>
      <c r="G53" t="str">
        <f>CONCATENATE(kursy5[[#This Row],[Poczatek]],kursy5[[#This Row],[Koniec]])</f>
        <v>Piotrkow TrybunalskiPoznan</v>
      </c>
    </row>
    <row r="54" spans="1:7" x14ac:dyDescent="0.25">
      <c r="A54" s="1">
        <v>42802</v>
      </c>
      <c r="B54" s="2" t="s">
        <v>29</v>
      </c>
      <c r="C54" s="2" t="s">
        <v>20</v>
      </c>
      <c r="D54">
        <v>1203</v>
      </c>
      <c r="E54">
        <v>146</v>
      </c>
      <c r="F54">
        <v>330</v>
      </c>
      <c r="G54" t="str">
        <f>CONCATENATE(kursy5[[#This Row],[Poczatek]],kursy5[[#This Row],[Koniec]])</f>
        <v>Piotrkow TrybunalskiKonin</v>
      </c>
    </row>
    <row r="55" spans="1:7" x14ac:dyDescent="0.25">
      <c r="A55" s="1">
        <v>42803</v>
      </c>
      <c r="B55" s="2" t="s">
        <v>20</v>
      </c>
      <c r="C55" s="2" t="s">
        <v>40</v>
      </c>
      <c r="D55">
        <v>4505</v>
      </c>
      <c r="E55">
        <v>118</v>
      </c>
      <c r="F55">
        <v>374</v>
      </c>
      <c r="G55" t="str">
        <f>CONCATENATE(kursy5[[#This Row],[Poczatek]],kursy5[[#This Row],[Koniec]])</f>
        <v>KoninBydgoszcz</v>
      </c>
    </row>
    <row r="56" spans="1:7" x14ac:dyDescent="0.25">
      <c r="A56" s="1">
        <v>42804</v>
      </c>
      <c r="B56" s="2" t="s">
        <v>40</v>
      </c>
      <c r="C56" s="2" t="s">
        <v>41</v>
      </c>
      <c r="D56">
        <v>1454</v>
      </c>
      <c r="E56">
        <v>95</v>
      </c>
      <c r="F56">
        <v>197</v>
      </c>
      <c r="G56" t="str">
        <f>CONCATENATE(kursy5[[#This Row],[Poczatek]],kursy5[[#This Row],[Koniec]])</f>
        <v>BydgoszczWloclawek</v>
      </c>
    </row>
    <row r="57" spans="1:7" x14ac:dyDescent="0.25">
      <c r="A57" s="1">
        <v>42805</v>
      </c>
      <c r="B57" s="2" t="s">
        <v>41</v>
      </c>
      <c r="C57" s="2" t="s">
        <v>16</v>
      </c>
      <c r="D57">
        <v>2835</v>
      </c>
      <c r="E57">
        <v>136</v>
      </c>
      <c r="F57">
        <v>418</v>
      </c>
      <c r="G57" t="str">
        <f>CONCATENATE(kursy5[[#This Row],[Poczatek]],kursy5[[#This Row],[Koniec]])</f>
        <v>WloclawekSkierniewice</v>
      </c>
    </row>
    <row r="58" spans="1:7" x14ac:dyDescent="0.25">
      <c r="A58" s="1">
        <v>42806</v>
      </c>
      <c r="B58" s="2" t="s">
        <v>16</v>
      </c>
      <c r="C58" s="2" t="s">
        <v>42</v>
      </c>
      <c r="D58">
        <v>2338</v>
      </c>
      <c r="E58">
        <v>123</v>
      </c>
      <c r="F58">
        <v>215</v>
      </c>
      <c r="G58" t="str">
        <f>CONCATENATE(kursy5[[#This Row],[Poczatek]],kursy5[[#This Row],[Koniec]])</f>
        <v>SkierniewiceSieradz</v>
      </c>
    </row>
    <row r="59" spans="1:7" x14ac:dyDescent="0.25">
      <c r="A59" s="1">
        <v>42807</v>
      </c>
      <c r="B59" s="2" t="s">
        <v>26</v>
      </c>
      <c r="C59" s="2" t="s">
        <v>43</v>
      </c>
      <c r="D59">
        <v>4154</v>
      </c>
      <c r="E59">
        <v>277</v>
      </c>
      <c r="F59">
        <v>924</v>
      </c>
      <c r="G59" t="str">
        <f>CONCATENATE(kursy5[[#This Row],[Poczatek]],kursy5[[#This Row],[Koniec]])</f>
        <v>Gorzow WielkopolskiWalbrzych</v>
      </c>
    </row>
    <row r="60" spans="1:7" x14ac:dyDescent="0.25">
      <c r="A60" s="1">
        <v>42810</v>
      </c>
      <c r="B60" s="2" t="s">
        <v>15</v>
      </c>
      <c r="C60" s="2" t="s">
        <v>25</v>
      </c>
      <c r="D60">
        <v>1767</v>
      </c>
      <c r="E60">
        <v>91</v>
      </c>
      <c r="F60">
        <v>247</v>
      </c>
      <c r="G60" t="str">
        <f>CONCATENATE(kursy5[[#This Row],[Poczatek]],kursy5[[#This Row],[Koniec]])</f>
        <v>GubinKostrzyn</v>
      </c>
    </row>
    <row r="61" spans="1:7" x14ac:dyDescent="0.25">
      <c r="A61" s="1">
        <v>42812</v>
      </c>
      <c r="B61" s="2" t="s">
        <v>44</v>
      </c>
      <c r="C61" s="2" t="s">
        <v>45</v>
      </c>
      <c r="D61">
        <v>2929</v>
      </c>
      <c r="E61">
        <v>152</v>
      </c>
      <c r="F61">
        <v>278</v>
      </c>
      <c r="G61" t="str">
        <f>CONCATENATE(kursy5[[#This Row],[Poczatek]],kursy5[[#This Row],[Koniec]])</f>
        <v>ZamoscMedyka</v>
      </c>
    </row>
    <row r="62" spans="1:7" x14ac:dyDescent="0.25">
      <c r="A62" s="1">
        <v>42813</v>
      </c>
      <c r="B62" s="2" t="s">
        <v>45</v>
      </c>
      <c r="C62" s="2" t="s">
        <v>46</v>
      </c>
      <c r="D62">
        <v>2151</v>
      </c>
      <c r="E62">
        <v>177</v>
      </c>
      <c r="F62">
        <v>365</v>
      </c>
      <c r="G62" t="str">
        <f>CONCATENATE(kursy5[[#This Row],[Poczatek]],kursy5[[#This Row],[Koniec]])</f>
        <v>MedykaTarnobrzeg</v>
      </c>
    </row>
    <row r="63" spans="1:7" x14ac:dyDescent="0.25">
      <c r="A63" s="1">
        <v>42814</v>
      </c>
      <c r="B63" s="2" t="s">
        <v>46</v>
      </c>
      <c r="C63" s="2" t="s">
        <v>47</v>
      </c>
      <c r="D63">
        <v>2431</v>
      </c>
      <c r="E63">
        <v>96</v>
      </c>
      <c r="F63">
        <v>409</v>
      </c>
      <c r="G63" t="str">
        <f>CONCATENATE(kursy5[[#This Row],[Poczatek]],kursy5[[#This Row],[Koniec]])</f>
        <v>TarnobrzegKielce</v>
      </c>
    </row>
    <row r="64" spans="1:7" x14ac:dyDescent="0.25">
      <c r="A64" s="1">
        <v>42815</v>
      </c>
      <c r="B64" s="2" t="s">
        <v>34</v>
      </c>
      <c r="C64" s="2" t="s">
        <v>46</v>
      </c>
      <c r="D64">
        <v>1168</v>
      </c>
      <c r="E64">
        <v>143</v>
      </c>
      <c r="F64">
        <v>501</v>
      </c>
      <c r="G64" t="str">
        <f>CONCATENATE(kursy5[[#This Row],[Poczatek]],kursy5[[#This Row],[Koniec]])</f>
        <v>KrosnoTarnobrzeg</v>
      </c>
    </row>
    <row r="65" spans="1:7" x14ac:dyDescent="0.25">
      <c r="A65" s="1">
        <v>42816</v>
      </c>
      <c r="B65" s="2" t="s">
        <v>46</v>
      </c>
      <c r="C65" s="2" t="s">
        <v>19</v>
      </c>
      <c r="D65">
        <v>4251</v>
      </c>
      <c r="E65">
        <v>122</v>
      </c>
      <c r="F65">
        <v>227</v>
      </c>
      <c r="G65" t="str">
        <f>CONCATENATE(kursy5[[#This Row],[Poczatek]],kursy5[[#This Row],[Koniec]])</f>
        <v>TarnobrzegRadom</v>
      </c>
    </row>
    <row r="66" spans="1:7" x14ac:dyDescent="0.25">
      <c r="A66" s="1">
        <v>42817</v>
      </c>
      <c r="B66" s="2" t="s">
        <v>19</v>
      </c>
      <c r="C66" s="2" t="s">
        <v>16</v>
      </c>
      <c r="D66">
        <v>4347</v>
      </c>
      <c r="E66">
        <v>117</v>
      </c>
      <c r="F66">
        <v>158</v>
      </c>
      <c r="G66" t="str">
        <f>CONCATENATE(kursy5[[#This Row],[Poczatek]],kursy5[[#This Row],[Koniec]])</f>
        <v>RadomSkierniewice</v>
      </c>
    </row>
    <row r="67" spans="1:7" x14ac:dyDescent="0.25">
      <c r="A67" s="1">
        <v>42818</v>
      </c>
      <c r="B67" s="2" t="s">
        <v>16</v>
      </c>
      <c r="C67" s="2" t="s">
        <v>41</v>
      </c>
      <c r="D67">
        <v>5287</v>
      </c>
      <c r="E67">
        <v>127</v>
      </c>
      <c r="F67">
        <v>495</v>
      </c>
      <c r="G67" t="str">
        <f>CONCATENATE(kursy5[[#This Row],[Poczatek]],kursy5[[#This Row],[Koniec]])</f>
        <v>SkierniewiceWloclawek</v>
      </c>
    </row>
    <row r="68" spans="1:7" x14ac:dyDescent="0.25">
      <c r="A68" s="1">
        <v>42820</v>
      </c>
      <c r="B68" s="2" t="s">
        <v>17</v>
      </c>
      <c r="C68" s="2" t="s">
        <v>18</v>
      </c>
      <c r="D68">
        <v>5177</v>
      </c>
      <c r="E68">
        <v>147</v>
      </c>
      <c r="F68">
        <v>443</v>
      </c>
      <c r="G68" t="str">
        <f>CONCATENATE(kursy5[[#This Row],[Poczatek]],kursy5[[#This Row],[Koniec]])</f>
        <v>TarnowKatowice</v>
      </c>
    </row>
    <row r="69" spans="1:7" x14ac:dyDescent="0.25">
      <c r="A69" s="1">
        <v>42821</v>
      </c>
      <c r="B69" s="2" t="s">
        <v>15</v>
      </c>
      <c r="C69" s="2" t="s">
        <v>26</v>
      </c>
      <c r="D69">
        <v>3858</v>
      </c>
      <c r="E69">
        <v>155</v>
      </c>
      <c r="F69">
        <v>261</v>
      </c>
      <c r="G69" t="str">
        <f>CONCATENATE(kursy5[[#This Row],[Poczatek]],kursy5[[#This Row],[Koniec]])</f>
        <v>GubinGorzow Wielkopolski</v>
      </c>
    </row>
    <row r="70" spans="1:7" x14ac:dyDescent="0.25">
      <c r="A70" s="1">
        <v>42822</v>
      </c>
      <c r="B70" s="2" t="s">
        <v>26</v>
      </c>
      <c r="C70" s="2" t="s">
        <v>48</v>
      </c>
      <c r="D70">
        <v>4637</v>
      </c>
      <c r="E70">
        <v>116</v>
      </c>
      <c r="F70">
        <v>242</v>
      </c>
      <c r="G70" t="str">
        <f>CONCATENATE(kursy5[[#This Row],[Poczatek]],kursy5[[#This Row],[Koniec]])</f>
        <v>Gorzow WielkopolskiZielona Gora</v>
      </c>
    </row>
    <row r="71" spans="1:7" x14ac:dyDescent="0.25">
      <c r="A71" s="1">
        <v>42823</v>
      </c>
      <c r="B71" s="2" t="s">
        <v>48</v>
      </c>
      <c r="C71" s="2" t="s">
        <v>14</v>
      </c>
      <c r="D71">
        <v>5212</v>
      </c>
      <c r="E71">
        <v>123</v>
      </c>
      <c r="F71">
        <v>517</v>
      </c>
      <c r="G71" t="str">
        <f>CONCATENATE(kursy5[[#This Row],[Poczatek]],kursy5[[#This Row],[Koniec]])</f>
        <v>Zielona GoraPoznan</v>
      </c>
    </row>
    <row r="72" spans="1:7" x14ac:dyDescent="0.25">
      <c r="A72" s="1">
        <v>42824</v>
      </c>
      <c r="B72" s="2" t="s">
        <v>14</v>
      </c>
      <c r="C72" s="2" t="s">
        <v>40</v>
      </c>
      <c r="D72">
        <v>1099</v>
      </c>
      <c r="E72">
        <v>128</v>
      </c>
      <c r="F72">
        <v>205</v>
      </c>
      <c r="G72" t="str">
        <f>CONCATENATE(kursy5[[#This Row],[Poczatek]],kursy5[[#This Row],[Koniec]])</f>
        <v>PoznanBydgoszcz</v>
      </c>
    </row>
    <row r="73" spans="1:7" x14ac:dyDescent="0.25">
      <c r="A73" s="1">
        <v>42825</v>
      </c>
      <c r="B73" s="2" t="s">
        <v>40</v>
      </c>
      <c r="C73" s="2" t="s">
        <v>41</v>
      </c>
      <c r="D73">
        <v>4422</v>
      </c>
      <c r="E73">
        <v>105</v>
      </c>
      <c r="F73">
        <v>145</v>
      </c>
      <c r="G73" t="str">
        <f>CONCATENATE(kursy5[[#This Row],[Poczatek]],kursy5[[#This Row],[Koniec]])</f>
        <v>BydgoszczWloclawek</v>
      </c>
    </row>
    <row r="74" spans="1:7" x14ac:dyDescent="0.25">
      <c r="A74" s="1">
        <v>42827</v>
      </c>
      <c r="B74" s="2" t="s">
        <v>33</v>
      </c>
      <c r="C74" s="2" t="s">
        <v>38</v>
      </c>
      <c r="D74">
        <v>2742</v>
      </c>
      <c r="E74">
        <v>109</v>
      </c>
      <c r="F74">
        <v>117</v>
      </c>
      <c r="G74" t="str">
        <f>CONCATENATE(kursy5[[#This Row],[Poczatek]],kursy5[[#This Row],[Koniec]])</f>
        <v>ChyzneBielsko-Biala</v>
      </c>
    </row>
    <row r="75" spans="1:7" x14ac:dyDescent="0.25">
      <c r="A75" s="1">
        <v>42828</v>
      </c>
      <c r="B75" s="2" t="s">
        <v>38</v>
      </c>
      <c r="C75" s="2" t="s">
        <v>33</v>
      </c>
      <c r="D75">
        <v>2100</v>
      </c>
      <c r="E75">
        <v>115</v>
      </c>
      <c r="F75">
        <v>172</v>
      </c>
      <c r="G75" t="str">
        <f>CONCATENATE(kursy5[[#This Row],[Poczatek]],kursy5[[#This Row],[Koniec]])</f>
        <v>Bielsko-BialaChyzne</v>
      </c>
    </row>
    <row r="76" spans="1:7" x14ac:dyDescent="0.25">
      <c r="A76" s="1">
        <v>42829</v>
      </c>
      <c r="B76" s="2" t="s">
        <v>33</v>
      </c>
      <c r="C76" s="2" t="s">
        <v>38</v>
      </c>
      <c r="D76">
        <v>5626</v>
      </c>
      <c r="E76">
        <v>123</v>
      </c>
      <c r="F76">
        <v>377</v>
      </c>
      <c r="G76" t="str">
        <f>CONCATENATE(kursy5[[#This Row],[Poczatek]],kursy5[[#This Row],[Koniec]])</f>
        <v>ChyzneBielsko-Biala</v>
      </c>
    </row>
    <row r="77" spans="1:7" x14ac:dyDescent="0.25">
      <c r="A77" s="1">
        <v>42830</v>
      </c>
      <c r="B77" s="2" t="s">
        <v>38</v>
      </c>
      <c r="C77" s="2" t="s">
        <v>33</v>
      </c>
      <c r="D77">
        <v>1629</v>
      </c>
      <c r="E77">
        <v>109</v>
      </c>
      <c r="F77">
        <v>258</v>
      </c>
      <c r="G77" t="str">
        <f>CONCATENATE(kursy5[[#This Row],[Poczatek]],kursy5[[#This Row],[Koniec]])</f>
        <v>Bielsko-BialaChyzne</v>
      </c>
    </row>
    <row r="78" spans="1:7" x14ac:dyDescent="0.25">
      <c r="A78" s="1">
        <v>42831</v>
      </c>
      <c r="B78" s="2" t="s">
        <v>33</v>
      </c>
      <c r="C78" s="2" t="s">
        <v>49</v>
      </c>
      <c r="D78">
        <v>4787</v>
      </c>
      <c r="E78">
        <v>155</v>
      </c>
      <c r="F78">
        <v>354</v>
      </c>
      <c r="G78" t="str">
        <f>CONCATENATE(kursy5[[#This Row],[Poczatek]],kursy5[[#This Row],[Koniec]])</f>
        <v>ChyzneCieszyn</v>
      </c>
    </row>
    <row r="79" spans="1:7" x14ac:dyDescent="0.25">
      <c r="A79" s="1">
        <v>42832</v>
      </c>
      <c r="B79" s="2" t="s">
        <v>50</v>
      </c>
      <c r="C79" s="2" t="s">
        <v>45</v>
      </c>
      <c r="D79">
        <v>4678</v>
      </c>
      <c r="E79">
        <v>182</v>
      </c>
      <c r="F79">
        <v>254</v>
      </c>
      <c r="G79" t="str">
        <f>CONCATENATE(kursy5[[#This Row],[Poczatek]],kursy5[[#This Row],[Koniec]])</f>
        <v>BarwinekMedyka</v>
      </c>
    </row>
    <row r="80" spans="1:7" x14ac:dyDescent="0.25">
      <c r="A80" s="1">
        <v>42833</v>
      </c>
      <c r="B80" s="2" t="s">
        <v>45</v>
      </c>
      <c r="C80" s="2" t="s">
        <v>44</v>
      </c>
      <c r="D80">
        <v>5869</v>
      </c>
      <c r="E80">
        <v>152</v>
      </c>
      <c r="F80">
        <v>599</v>
      </c>
      <c r="G80" t="str">
        <f>CONCATENATE(kursy5[[#This Row],[Poczatek]],kursy5[[#This Row],[Koniec]])</f>
        <v>MedykaZamosc</v>
      </c>
    </row>
    <row r="81" spans="1:7" x14ac:dyDescent="0.25">
      <c r="A81" s="1">
        <v>42834</v>
      </c>
      <c r="B81" s="2" t="s">
        <v>51</v>
      </c>
      <c r="C81" s="2" t="s">
        <v>44</v>
      </c>
      <c r="D81">
        <v>2678</v>
      </c>
      <c r="E81">
        <v>178</v>
      </c>
      <c r="F81">
        <v>481</v>
      </c>
      <c r="G81" t="str">
        <f>CONCATENATE(kursy5[[#This Row],[Poczatek]],kursy5[[#This Row],[Koniec]])</f>
        <v>RzeszowZamosc</v>
      </c>
    </row>
    <row r="82" spans="1:7" x14ac:dyDescent="0.25">
      <c r="A82" s="1">
        <v>42835</v>
      </c>
      <c r="B82" s="2" t="s">
        <v>20</v>
      </c>
      <c r="C82" s="2" t="s">
        <v>43</v>
      </c>
      <c r="D82">
        <v>3193</v>
      </c>
      <c r="E82">
        <v>241</v>
      </c>
      <c r="F82">
        <v>507</v>
      </c>
      <c r="G82" t="str">
        <f>CONCATENATE(kursy5[[#This Row],[Poczatek]],kursy5[[#This Row],[Koniec]])</f>
        <v>KoninWalbrzych</v>
      </c>
    </row>
    <row r="83" spans="1:7" x14ac:dyDescent="0.25">
      <c r="A83" s="1">
        <v>42836</v>
      </c>
      <c r="B83" s="2" t="s">
        <v>27</v>
      </c>
      <c r="C83" s="2" t="s">
        <v>25</v>
      </c>
      <c r="D83">
        <v>1011</v>
      </c>
      <c r="E83">
        <v>211</v>
      </c>
      <c r="F83">
        <v>536</v>
      </c>
      <c r="G83" t="str">
        <f>CONCATENATE(kursy5[[#This Row],[Poczatek]],kursy5[[#This Row],[Koniec]])</f>
        <v>JakuszyceKostrzyn</v>
      </c>
    </row>
    <row r="84" spans="1:7" x14ac:dyDescent="0.25">
      <c r="A84" s="1">
        <v>42837</v>
      </c>
      <c r="B84" s="2" t="s">
        <v>25</v>
      </c>
      <c r="C84" s="2" t="s">
        <v>23</v>
      </c>
      <c r="D84">
        <v>3398</v>
      </c>
      <c r="E84">
        <v>122</v>
      </c>
      <c r="F84">
        <v>163</v>
      </c>
      <c r="G84" t="str">
        <f>CONCATENATE(kursy5[[#This Row],[Poczatek]],kursy5[[#This Row],[Koniec]])</f>
        <v>KostrzynSzczecin</v>
      </c>
    </row>
    <row r="85" spans="1:7" x14ac:dyDescent="0.25">
      <c r="A85" s="1">
        <v>42839</v>
      </c>
      <c r="B85" s="2" t="s">
        <v>52</v>
      </c>
      <c r="C85" s="2" t="s">
        <v>53</v>
      </c>
      <c r="D85">
        <v>5416</v>
      </c>
      <c r="E85">
        <v>156</v>
      </c>
      <c r="F85">
        <v>349</v>
      </c>
      <c r="G85" t="str">
        <f>CONCATENATE(kursy5[[#This Row],[Poczatek]],kursy5[[#This Row],[Koniec]])</f>
        <v>ZgorzelecWroclaw</v>
      </c>
    </row>
    <row r="86" spans="1:7" x14ac:dyDescent="0.25">
      <c r="A86" s="1">
        <v>42840</v>
      </c>
      <c r="B86" s="2" t="s">
        <v>9</v>
      </c>
      <c r="C86" s="2" t="s">
        <v>54</v>
      </c>
      <c r="D86">
        <v>3914</v>
      </c>
      <c r="E86">
        <v>417</v>
      </c>
      <c r="F86">
        <v>888</v>
      </c>
      <c r="G86" t="str">
        <f>CONCATENATE(kursy5[[#This Row],[Poczatek]],kursy5[[#This Row],[Koniec]])</f>
        <v>OstrolekaKrakow</v>
      </c>
    </row>
    <row r="87" spans="1:7" x14ac:dyDescent="0.25">
      <c r="A87" s="1">
        <v>42841</v>
      </c>
      <c r="B87" s="2" t="s">
        <v>54</v>
      </c>
      <c r="C87" s="2" t="s">
        <v>47</v>
      </c>
      <c r="D87">
        <v>5805</v>
      </c>
      <c r="E87">
        <v>145</v>
      </c>
      <c r="F87">
        <v>301</v>
      </c>
      <c r="G87" t="str">
        <f>CONCATENATE(kursy5[[#This Row],[Poczatek]],kursy5[[#This Row],[Koniec]])</f>
        <v>KrakowKielce</v>
      </c>
    </row>
    <row r="88" spans="1:7" x14ac:dyDescent="0.25">
      <c r="A88" s="1">
        <v>42842</v>
      </c>
      <c r="B88" s="2" t="s">
        <v>47</v>
      </c>
      <c r="C88" s="2" t="s">
        <v>54</v>
      </c>
      <c r="D88">
        <v>4033</v>
      </c>
      <c r="E88">
        <v>136</v>
      </c>
      <c r="F88">
        <v>297</v>
      </c>
      <c r="G88" t="str">
        <f>CONCATENATE(kursy5[[#This Row],[Poczatek]],kursy5[[#This Row],[Koniec]])</f>
        <v>KielceKrakow</v>
      </c>
    </row>
    <row r="89" spans="1:7" x14ac:dyDescent="0.25">
      <c r="A89" s="1">
        <v>42844</v>
      </c>
      <c r="B89" s="2" t="s">
        <v>44</v>
      </c>
      <c r="C89" s="2" t="s">
        <v>55</v>
      </c>
      <c r="D89">
        <v>1021</v>
      </c>
      <c r="E89">
        <v>184</v>
      </c>
      <c r="F89">
        <v>660</v>
      </c>
      <c r="G89" t="str">
        <f>CONCATENATE(kursy5[[#This Row],[Poczatek]],kursy5[[#This Row],[Koniec]])</f>
        <v>ZamoscBiala Podlaska</v>
      </c>
    </row>
    <row r="90" spans="1:7" x14ac:dyDescent="0.25">
      <c r="A90" s="1">
        <v>42846</v>
      </c>
      <c r="B90" s="2" t="s">
        <v>56</v>
      </c>
      <c r="C90" s="2" t="s">
        <v>45</v>
      </c>
      <c r="D90">
        <v>5162</v>
      </c>
      <c r="E90">
        <v>17</v>
      </c>
      <c r="F90">
        <v>28</v>
      </c>
      <c r="G90" t="str">
        <f>CONCATENATE(kursy5[[#This Row],[Poczatek]],kursy5[[#This Row],[Koniec]])</f>
        <v>PrzemyslMedyka</v>
      </c>
    </row>
    <row r="91" spans="1:7" x14ac:dyDescent="0.25">
      <c r="A91" s="1">
        <v>42847</v>
      </c>
      <c r="B91" s="2" t="s">
        <v>45</v>
      </c>
      <c r="C91" s="2" t="s">
        <v>44</v>
      </c>
      <c r="D91">
        <v>2050</v>
      </c>
      <c r="E91">
        <v>162</v>
      </c>
      <c r="F91">
        <v>569</v>
      </c>
      <c r="G91" t="str">
        <f>CONCATENATE(kursy5[[#This Row],[Poczatek]],kursy5[[#This Row],[Koniec]])</f>
        <v>MedykaZamosc</v>
      </c>
    </row>
    <row r="92" spans="1:7" x14ac:dyDescent="0.25">
      <c r="A92" s="1">
        <v>42849</v>
      </c>
      <c r="B92" s="2" t="s">
        <v>43</v>
      </c>
      <c r="C92" s="2" t="s">
        <v>37</v>
      </c>
      <c r="D92">
        <v>5312</v>
      </c>
      <c r="E92">
        <v>153</v>
      </c>
      <c r="F92">
        <v>356</v>
      </c>
      <c r="G92" t="str">
        <f>CONCATENATE(kursy5[[#This Row],[Poczatek]],kursy5[[#This Row],[Koniec]])</f>
        <v>WalbrzychOpole</v>
      </c>
    </row>
    <row r="93" spans="1:7" x14ac:dyDescent="0.25">
      <c r="A93" s="1">
        <v>42851</v>
      </c>
      <c r="B93" s="2" t="s">
        <v>23</v>
      </c>
      <c r="C93" s="2" t="s">
        <v>42</v>
      </c>
      <c r="D93">
        <v>2443</v>
      </c>
      <c r="E93">
        <v>392</v>
      </c>
      <c r="F93">
        <v>1392</v>
      </c>
      <c r="G93" t="str">
        <f>CONCATENATE(kursy5[[#This Row],[Poczatek]],kursy5[[#This Row],[Koniec]])</f>
        <v>SzczecinSieradz</v>
      </c>
    </row>
    <row r="94" spans="1:7" x14ac:dyDescent="0.25">
      <c r="A94" s="1">
        <v>42853</v>
      </c>
      <c r="B94" s="2" t="s">
        <v>56</v>
      </c>
      <c r="C94" s="2" t="s">
        <v>50</v>
      </c>
      <c r="D94">
        <v>1161</v>
      </c>
      <c r="E94">
        <v>174</v>
      </c>
      <c r="F94">
        <v>323</v>
      </c>
      <c r="G94" t="str">
        <f>CONCATENATE(kursy5[[#This Row],[Poczatek]],kursy5[[#This Row],[Koniec]])</f>
        <v>PrzemyslBarwinek</v>
      </c>
    </row>
    <row r="95" spans="1:7" x14ac:dyDescent="0.25">
      <c r="A95" s="1">
        <v>42854</v>
      </c>
      <c r="B95" s="2" t="s">
        <v>50</v>
      </c>
      <c r="C95" s="2" t="s">
        <v>17</v>
      </c>
      <c r="D95">
        <v>3435</v>
      </c>
      <c r="E95">
        <v>146</v>
      </c>
      <c r="F95">
        <v>530</v>
      </c>
      <c r="G95" t="str">
        <f>CONCATENATE(kursy5[[#This Row],[Poczatek]],kursy5[[#This Row],[Koniec]])</f>
        <v>BarwinekTarnow</v>
      </c>
    </row>
    <row r="96" spans="1:7" x14ac:dyDescent="0.25">
      <c r="A96" s="1">
        <v>42855</v>
      </c>
      <c r="B96" s="2" t="s">
        <v>57</v>
      </c>
      <c r="C96" s="2" t="s">
        <v>32</v>
      </c>
      <c r="D96">
        <v>3358</v>
      </c>
      <c r="E96">
        <v>168</v>
      </c>
      <c r="F96">
        <v>569</v>
      </c>
      <c r="G96" t="str">
        <f>CONCATENATE(kursy5[[#This Row],[Poczatek]],kursy5[[#This Row],[Koniec]])</f>
        <v>ChalupkiCzestochowa</v>
      </c>
    </row>
    <row r="97" spans="1:7" x14ac:dyDescent="0.25">
      <c r="A97" s="1">
        <v>42856</v>
      </c>
      <c r="B97" s="2" t="s">
        <v>52</v>
      </c>
      <c r="C97" s="2" t="s">
        <v>58</v>
      </c>
      <c r="D97">
        <v>2719</v>
      </c>
      <c r="E97">
        <v>152</v>
      </c>
      <c r="F97">
        <v>240</v>
      </c>
      <c r="G97" t="str">
        <f>CONCATENATE(kursy5[[#This Row],[Poczatek]],kursy5[[#This Row],[Koniec]])</f>
        <v>ZgorzelecSwiecko</v>
      </c>
    </row>
    <row r="98" spans="1:7" x14ac:dyDescent="0.25">
      <c r="A98" s="1">
        <v>42857</v>
      </c>
      <c r="B98" s="2" t="s">
        <v>58</v>
      </c>
      <c r="C98" s="2" t="s">
        <v>23</v>
      </c>
      <c r="D98">
        <v>1793</v>
      </c>
      <c r="E98">
        <v>197</v>
      </c>
      <c r="F98">
        <v>754</v>
      </c>
      <c r="G98" t="str">
        <f>CONCATENATE(kursy5[[#This Row],[Poczatek]],kursy5[[#This Row],[Koniec]])</f>
        <v>SwieckoSzczecin</v>
      </c>
    </row>
    <row r="99" spans="1:7" x14ac:dyDescent="0.25">
      <c r="A99" s="1">
        <v>42860</v>
      </c>
      <c r="B99" s="2" t="s">
        <v>19</v>
      </c>
      <c r="C99" s="2" t="s">
        <v>29</v>
      </c>
      <c r="D99">
        <v>1858</v>
      </c>
      <c r="E99">
        <v>104</v>
      </c>
      <c r="F99">
        <v>171</v>
      </c>
      <c r="G99" t="str">
        <f>CONCATENATE(kursy5[[#This Row],[Poczatek]],kursy5[[#This Row],[Koniec]])</f>
        <v>RadomPiotrkow Trybunalski</v>
      </c>
    </row>
    <row r="100" spans="1:7" x14ac:dyDescent="0.25">
      <c r="A100" s="1">
        <v>42861</v>
      </c>
      <c r="B100" s="2" t="s">
        <v>29</v>
      </c>
      <c r="C100" s="2" t="s">
        <v>19</v>
      </c>
      <c r="D100">
        <v>4651</v>
      </c>
      <c r="E100">
        <v>111</v>
      </c>
      <c r="F100">
        <v>190</v>
      </c>
      <c r="G100" t="str">
        <f>CONCATENATE(kursy5[[#This Row],[Poczatek]],kursy5[[#This Row],[Koniec]])</f>
        <v>Piotrkow TrybunalskiRadom</v>
      </c>
    </row>
    <row r="101" spans="1:7" x14ac:dyDescent="0.25">
      <c r="A101" s="1">
        <v>42862</v>
      </c>
      <c r="B101" s="2" t="s">
        <v>19</v>
      </c>
      <c r="C101" s="2" t="s">
        <v>29</v>
      </c>
      <c r="D101">
        <v>2929</v>
      </c>
      <c r="E101">
        <v>111</v>
      </c>
      <c r="F101">
        <v>395</v>
      </c>
      <c r="G101" t="str">
        <f>CONCATENATE(kursy5[[#This Row],[Poczatek]],kursy5[[#This Row],[Koniec]])</f>
        <v>RadomPiotrkow Trybunalski</v>
      </c>
    </row>
    <row r="102" spans="1:7" x14ac:dyDescent="0.25">
      <c r="A102" s="1">
        <v>42863</v>
      </c>
      <c r="B102" s="2" t="s">
        <v>29</v>
      </c>
      <c r="C102" s="2" t="s">
        <v>28</v>
      </c>
      <c r="D102">
        <v>2608</v>
      </c>
      <c r="E102">
        <v>123</v>
      </c>
      <c r="F102">
        <v>223</v>
      </c>
      <c r="G102" t="str">
        <f>CONCATENATE(kursy5[[#This Row],[Poczatek]],kursy5[[#This Row],[Koniec]])</f>
        <v>Piotrkow TrybunalskiKalisz</v>
      </c>
    </row>
    <row r="103" spans="1:7" x14ac:dyDescent="0.25">
      <c r="A103" s="1">
        <v>42864</v>
      </c>
      <c r="B103" s="2" t="s">
        <v>28</v>
      </c>
      <c r="C103" s="2" t="s">
        <v>14</v>
      </c>
      <c r="D103">
        <v>3094</v>
      </c>
      <c r="E103">
        <v>107</v>
      </c>
      <c r="F103">
        <v>143</v>
      </c>
      <c r="G103" t="str">
        <f>CONCATENATE(kursy5[[#This Row],[Poczatek]],kursy5[[#This Row],[Koniec]])</f>
        <v>KaliszPoznan</v>
      </c>
    </row>
    <row r="104" spans="1:7" x14ac:dyDescent="0.25">
      <c r="A104" s="1">
        <v>42867</v>
      </c>
      <c r="B104" s="2" t="s">
        <v>19</v>
      </c>
      <c r="C104" s="2" t="s">
        <v>59</v>
      </c>
      <c r="D104">
        <v>5288</v>
      </c>
      <c r="E104">
        <v>107</v>
      </c>
      <c r="F104">
        <v>312</v>
      </c>
      <c r="G104" t="str">
        <f>CONCATENATE(kursy5[[#This Row],[Poczatek]],kursy5[[#This Row],[Koniec]])</f>
        <v>RadomWarszawa</v>
      </c>
    </row>
    <row r="105" spans="1:7" x14ac:dyDescent="0.25">
      <c r="A105" s="1">
        <v>42868</v>
      </c>
      <c r="B105" s="2" t="s">
        <v>43</v>
      </c>
      <c r="C105" s="2" t="s">
        <v>28</v>
      </c>
      <c r="D105">
        <v>4888</v>
      </c>
      <c r="E105">
        <v>182</v>
      </c>
      <c r="F105">
        <v>248</v>
      </c>
      <c r="G105" t="str">
        <f>CONCATENATE(kursy5[[#This Row],[Poczatek]],kursy5[[#This Row],[Koniec]])</f>
        <v>WalbrzychKalisz</v>
      </c>
    </row>
    <row r="106" spans="1:7" x14ac:dyDescent="0.25">
      <c r="A106" s="1">
        <v>42869</v>
      </c>
      <c r="B106" s="2" t="s">
        <v>28</v>
      </c>
      <c r="C106" s="2" t="s">
        <v>60</v>
      </c>
      <c r="D106">
        <v>5475</v>
      </c>
      <c r="E106">
        <v>129</v>
      </c>
      <c r="F106">
        <v>200</v>
      </c>
      <c r="G106" t="str">
        <f>CONCATENATE(kursy5[[#This Row],[Poczatek]],kursy5[[#This Row],[Koniec]])</f>
        <v>KaliszLodz</v>
      </c>
    </row>
    <row r="107" spans="1:7" x14ac:dyDescent="0.25">
      <c r="A107" s="1">
        <v>42870</v>
      </c>
      <c r="B107" s="2" t="s">
        <v>60</v>
      </c>
      <c r="C107" s="2" t="s">
        <v>47</v>
      </c>
      <c r="D107">
        <v>4863</v>
      </c>
      <c r="E107">
        <v>141</v>
      </c>
      <c r="F107">
        <v>444</v>
      </c>
      <c r="G107" t="str">
        <f>CONCATENATE(kursy5[[#This Row],[Poczatek]],kursy5[[#This Row],[Koniec]])</f>
        <v>LodzKielce</v>
      </c>
    </row>
    <row r="108" spans="1:7" x14ac:dyDescent="0.25">
      <c r="A108" s="1">
        <v>42872</v>
      </c>
      <c r="B108" s="2" t="s">
        <v>29</v>
      </c>
      <c r="C108" s="2" t="s">
        <v>56</v>
      </c>
      <c r="D108">
        <v>5933</v>
      </c>
      <c r="E108">
        <v>335</v>
      </c>
      <c r="F108">
        <v>479</v>
      </c>
      <c r="G108" t="str">
        <f>CONCATENATE(kursy5[[#This Row],[Poczatek]],kursy5[[#This Row],[Koniec]])</f>
        <v>Piotrkow TrybunalskiPrzemysl</v>
      </c>
    </row>
    <row r="109" spans="1:7" x14ac:dyDescent="0.25">
      <c r="A109" s="1">
        <v>42873</v>
      </c>
      <c r="B109" s="2" t="s">
        <v>59</v>
      </c>
      <c r="C109" s="2" t="s">
        <v>61</v>
      </c>
      <c r="D109">
        <v>1730</v>
      </c>
      <c r="E109">
        <v>410</v>
      </c>
      <c r="F109">
        <v>1087</v>
      </c>
      <c r="G109" t="str">
        <f>CONCATENATE(kursy5[[#This Row],[Poczatek]],kursy5[[#This Row],[Koniec]])</f>
        <v>WarszawaLegnica</v>
      </c>
    </row>
    <row r="110" spans="1:7" x14ac:dyDescent="0.25">
      <c r="A110" s="1">
        <v>42874</v>
      </c>
      <c r="B110" s="2" t="s">
        <v>61</v>
      </c>
      <c r="C110" s="2" t="s">
        <v>15</v>
      </c>
      <c r="D110">
        <v>3178</v>
      </c>
      <c r="E110">
        <v>171</v>
      </c>
      <c r="F110">
        <v>646</v>
      </c>
      <c r="G110" t="str">
        <f>CONCATENATE(kursy5[[#This Row],[Poczatek]],kursy5[[#This Row],[Koniec]])</f>
        <v>LegnicaGubin</v>
      </c>
    </row>
    <row r="111" spans="1:7" x14ac:dyDescent="0.25">
      <c r="A111" s="1">
        <v>42877</v>
      </c>
      <c r="B111" s="2" t="s">
        <v>29</v>
      </c>
      <c r="C111" s="2" t="s">
        <v>41</v>
      </c>
      <c r="D111">
        <v>3983</v>
      </c>
      <c r="E111">
        <v>153</v>
      </c>
      <c r="F111">
        <v>175</v>
      </c>
      <c r="G111" t="str">
        <f>CONCATENATE(kursy5[[#This Row],[Poczatek]],kursy5[[#This Row],[Koniec]])</f>
        <v>Piotrkow TrybunalskiWloclawek</v>
      </c>
    </row>
    <row r="112" spans="1:7" x14ac:dyDescent="0.25">
      <c r="A112" s="1">
        <v>42878</v>
      </c>
      <c r="B112" s="2" t="s">
        <v>36</v>
      </c>
      <c r="C112" s="2" t="s">
        <v>13</v>
      </c>
      <c r="D112">
        <v>3007</v>
      </c>
      <c r="E112">
        <v>391</v>
      </c>
      <c r="F112">
        <v>1406</v>
      </c>
      <c r="G112" t="str">
        <f>CONCATENATE(kursy5[[#This Row],[Poczatek]],kursy5[[#This Row],[Koniec]])</f>
        <v>ElblagKuznica Bialostocka</v>
      </c>
    </row>
    <row r="113" spans="1:7" x14ac:dyDescent="0.25">
      <c r="A113" s="1">
        <v>42879</v>
      </c>
      <c r="B113" s="2" t="s">
        <v>59</v>
      </c>
      <c r="C113" s="2" t="s">
        <v>18</v>
      </c>
      <c r="D113">
        <v>5832</v>
      </c>
      <c r="E113">
        <v>300</v>
      </c>
      <c r="F113">
        <v>453</v>
      </c>
      <c r="G113" t="str">
        <f>CONCATENATE(kursy5[[#This Row],[Poczatek]],kursy5[[#This Row],[Koniec]])</f>
        <v>WarszawaKatowice</v>
      </c>
    </row>
    <row r="114" spans="1:7" x14ac:dyDescent="0.25">
      <c r="A114" s="1">
        <v>42881</v>
      </c>
      <c r="B114" s="2" t="s">
        <v>35</v>
      </c>
      <c r="C114" s="2" t="s">
        <v>37</v>
      </c>
      <c r="D114">
        <v>3012</v>
      </c>
      <c r="E114">
        <v>148</v>
      </c>
      <c r="F114">
        <v>185</v>
      </c>
      <c r="G114" t="str">
        <f>CONCATENATE(kursy5[[#This Row],[Poczatek]],kursy5[[#This Row],[Koniec]])</f>
        <v>Kudowa-SloneOpole</v>
      </c>
    </row>
    <row r="115" spans="1:7" x14ac:dyDescent="0.25">
      <c r="A115" s="1">
        <v>42882</v>
      </c>
      <c r="B115" s="2" t="s">
        <v>37</v>
      </c>
      <c r="C115" s="2" t="s">
        <v>57</v>
      </c>
      <c r="D115">
        <v>4508</v>
      </c>
      <c r="E115">
        <v>104</v>
      </c>
      <c r="F115">
        <v>399</v>
      </c>
      <c r="G115" t="str">
        <f>CONCATENATE(kursy5[[#This Row],[Poczatek]],kursy5[[#This Row],[Koniec]])</f>
        <v>OpoleChalupki</v>
      </c>
    </row>
    <row r="116" spans="1:7" x14ac:dyDescent="0.25">
      <c r="A116" s="1">
        <v>42883</v>
      </c>
      <c r="B116" s="2" t="s">
        <v>9</v>
      </c>
      <c r="C116" s="2" t="s">
        <v>58</v>
      </c>
      <c r="D116">
        <v>1777</v>
      </c>
      <c r="E116">
        <v>552</v>
      </c>
      <c r="F116">
        <v>1964</v>
      </c>
      <c r="G116" t="str">
        <f>CONCATENATE(kursy5[[#This Row],[Poczatek]],kursy5[[#This Row],[Koniec]])</f>
        <v>OstrolekaSwiecko</v>
      </c>
    </row>
    <row r="117" spans="1:7" x14ac:dyDescent="0.25">
      <c r="A117" s="1">
        <v>42884</v>
      </c>
      <c r="B117" s="2" t="s">
        <v>58</v>
      </c>
      <c r="C117" s="2" t="s">
        <v>61</v>
      </c>
      <c r="D117">
        <v>4788</v>
      </c>
      <c r="E117">
        <v>203</v>
      </c>
      <c r="F117">
        <v>347</v>
      </c>
      <c r="G117" t="str">
        <f>CONCATENATE(kursy5[[#This Row],[Poczatek]],kursy5[[#This Row],[Koniec]])</f>
        <v>SwieckoLegnica</v>
      </c>
    </row>
    <row r="118" spans="1:7" x14ac:dyDescent="0.25">
      <c r="A118" s="1">
        <v>42885</v>
      </c>
      <c r="B118" s="2" t="s">
        <v>61</v>
      </c>
      <c r="C118" s="2" t="s">
        <v>62</v>
      </c>
      <c r="D118">
        <v>3035</v>
      </c>
      <c r="E118">
        <v>103</v>
      </c>
      <c r="F118">
        <v>376</v>
      </c>
      <c r="G118" t="str">
        <f>CONCATENATE(kursy5[[#This Row],[Poczatek]],kursy5[[#This Row],[Koniec]])</f>
        <v>LegnicaLeszno</v>
      </c>
    </row>
    <row r="119" spans="1:7" x14ac:dyDescent="0.25">
      <c r="A119" s="1">
        <v>42886</v>
      </c>
      <c r="B119" s="2" t="s">
        <v>62</v>
      </c>
      <c r="C119" s="2" t="s">
        <v>63</v>
      </c>
      <c r="D119">
        <v>3380</v>
      </c>
      <c r="E119">
        <v>155</v>
      </c>
      <c r="F119">
        <v>542</v>
      </c>
      <c r="G119" t="str">
        <f>CONCATENATE(kursy5[[#This Row],[Poczatek]],kursy5[[#This Row],[Koniec]])</f>
        <v>LesznoJelenia Gora</v>
      </c>
    </row>
    <row r="120" spans="1:7" x14ac:dyDescent="0.25">
      <c r="A120" s="1">
        <v>42887</v>
      </c>
      <c r="B120" s="2" t="s">
        <v>63</v>
      </c>
      <c r="C120" s="2" t="s">
        <v>64</v>
      </c>
      <c r="D120">
        <v>5014</v>
      </c>
      <c r="E120">
        <v>154</v>
      </c>
      <c r="F120">
        <v>577</v>
      </c>
      <c r="G120" t="str">
        <f>CONCATENATE(kursy5[[#This Row],[Poczatek]],kursy5[[#This Row],[Koniec]])</f>
        <v>Jelenia GoraOlszyna</v>
      </c>
    </row>
    <row r="121" spans="1:7" x14ac:dyDescent="0.25">
      <c r="A121" s="1">
        <v>42888</v>
      </c>
      <c r="B121" s="2" t="s">
        <v>64</v>
      </c>
      <c r="C121" s="2" t="s">
        <v>58</v>
      </c>
      <c r="D121">
        <v>1852</v>
      </c>
      <c r="E121">
        <v>110</v>
      </c>
      <c r="F121">
        <v>407</v>
      </c>
      <c r="G121" t="str">
        <f>CONCATENATE(kursy5[[#This Row],[Poczatek]],kursy5[[#This Row],[Koniec]])</f>
        <v>OlszynaSwiecko</v>
      </c>
    </row>
    <row r="122" spans="1:7" x14ac:dyDescent="0.25">
      <c r="A122" s="1">
        <v>42890</v>
      </c>
      <c r="B122" s="2" t="s">
        <v>65</v>
      </c>
      <c r="C122" s="2" t="s">
        <v>11</v>
      </c>
      <c r="D122">
        <v>5493</v>
      </c>
      <c r="E122">
        <v>145</v>
      </c>
      <c r="F122">
        <v>168</v>
      </c>
      <c r="G122" t="str">
        <f>CONCATENATE(kursy5[[#This Row],[Poczatek]],kursy5[[#This Row],[Koniec]])</f>
        <v>SiedlceLomza</v>
      </c>
    </row>
    <row r="123" spans="1:7" x14ac:dyDescent="0.25">
      <c r="A123" s="1">
        <v>42892</v>
      </c>
      <c r="B123" s="2" t="s">
        <v>51</v>
      </c>
      <c r="C123" s="2" t="s">
        <v>44</v>
      </c>
      <c r="D123">
        <v>5560</v>
      </c>
      <c r="E123">
        <v>187</v>
      </c>
      <c r="F123">
        <v>288</v>
      </c>
      <c r="G123" t="str">
        <f>CONCATENATE(kursy5[[#This Row],[Poczatek]],kursy5[[#This Row],[Koniec]])</f>
        <v>RzeszowZamosc</v>
      </c>
    </row>
    <row r="124" spans="1:7" x14ac:dyDescent="0.25">
      <c r="A124" s="1">
        <v>42893</v>
      </c>
      <c r="B124" s="2" t="s">
        <v>66</v>
      </c>
      <c r="C124" s="2" t="s">
        <v>67</v>
      </c>
      <c r="D124">
        <v>2571</v>
      </c>
      <c r="E124">
        <v>145</v>
      </c>
      <c r="F124">
        <v>567</v>
      </c>
      <c r="G124" t="str">
        <f>CONCATENATE(kursy5[[#This Row],[Poczatek]],kursy5[[#This Row],[Koniec]])</f>
        <v>HrebenneLublin</v>
      </c>
    </row>
    <row r="125" spans="1:7" x14ac:dyDescent="0.25">
      <c r="A125" s="1">
        <v>42894</v>
      </c>
      <c r="B125" s="2" t="s">
        <v>67</v>
      </c>
      <c r="C125" s="2" t="s">
        <v>19</v>
      </c>
      <c r="D125">
        <v>3348</v>
      </c>
      <c r="E125">
        <v>111</v>
      </c>
      <c r="F125">
        <v>135</v>
      </c>
      <c r="G125" t="str">
        <f>CONCATENATE(kursy5[[#This Row],[Poczatek]],kursy5[[#This Row],[Koniec]])</f>
        <v>LublinRadom</v>
      </c>
    </row>
    <row r="126" spans="1:7" x14ac:dyDescent="0.25">
      <c r="A126" s="1">
        <v>42895</v>
      </c>
      <c r="B126" s="2" t="s">
        <v>19</v>
      </c>
      <c r="C126" s="2" t="s">
        <v>46</v>
      </c>
      <c r="D126">
        <v>2906</v>
      </c>
      <c r="E126">
        <v>119</v>
      </c>
      <c r="F126">
        <v>398</v>
      </c>
      <c r="G126" t="str">
        <f>CONCATENATE(kursy5[[#This Row],[Poczatek]],kursy5[[#This Row],[Koniec]])</f>
        <v>RadomTarnobrzeg</v>
      </c>
    </row>
    <row r="127" spans="1:7" x14ac:dyDescent="0.25">
      <c r="A127" s="1">
        <v>42896</v>
      </c>
      <c r="B127" s="2" t="s">
        <v>46</v>
      </c>
      <c r="C127" s="2" t="s">
        <v>54</v>
      </c>
      <c r="D127">
        <v>5660</v>
      </c>
      <c r="E127">
        <v>137</v>
      </c>
      <c r="F127">
        <v>490</v>
      </c>
      <c r="G127" t="str">
        <f>CONCATENATE(kursy5[[#This Row],[Poczatek]],kursy5[[#This Row],[Koniec]])</f>
        <v>TarnobrzegKrakow</v>
      </c>
    </row>
    <row r="128" spans="1:7" x14ac:dyDescent="0.25">
      <c r="A128" s="1">
        <v>42897</v>
      </c>
      <c r="B128" s="2" t="s">
        <v>19</v>
      </c>
      <c r="C128" s="2" t="s">
        <v>29</v>
      </c>
      <c r="D128">
        <v>2575</v>
      </c>
      <c r="E128">
        <v>113</v>
      </c>
      <c r="F128">
        <v>277</v>
      </c>
      <c r="G128" t="str">
        <f>CONCATENATE(kursy5[[#This Row],[Poczatek]],kursy5[[#This Row],[Koniec]])</f>
        <v>RadomPiotrkow Trybunalski</v>
      </c>
    </row>
    <row r="129" spans="1:7" x14ac:dyDescent="0.25">
      <c r="A129" s="1">
        <v>42898</v>
      </c>
      <c r="B129" s="2" t="s">
        <v>55</v>
      </c>
      <c r="C129" s="2" t="s">
        <v>46</v>
      </c>
      <c r="D129">
        <v>1676</v>
      </c>
      <c r="E129">
        <v>217</v>
      </c>
      <c r="F129">
        <v>499</v>
      </c>
      <c r="G129" t="str">
        <f>CONCATENATE(kursy5[[#This Row],[Poczatek]],kursy5[[#This Row],[Koniec]])</f>
        <v>Biala PodlaskaTarnobrzeg</v>
      </c>
    </row>
    <row r="130" spans="1:7" x14ac:dyDescent="0.25">
      <c r="A130" s="1">
        <v>42899</v>
      </c>
      <c r="B130" s="2" t="s">
        <v>46</v>
      </c>
      <c r="C130" s="2" t="s">
        <v>47</v>
      </c>
      <c r="D130">
        <v>1536</v>
      </c>
      <c r="E130">
        <v>96</v>
      </c>
      <c r="F130">
        <v>154</v>
      </c>
      <c r="G130" t="str">
        <f>CONCATENATE(kursy5[[#This Row],[Poczatek]],kursy5[[#This Row],[Koniec]])</f>
        <v>TarnobrzegKielce</v>
      </c>
    </row>
    <row r="131" spans="1:7" x14ac:dyDescent="0.25">
      <c r="A131" s="1">
        <v>42900</v>
      </c>
      <c r="B131" s="2" t="s">
        <v>47</v>
      </c>
      <c r="C131" s="2" t="s">
        <v>42</v>
      </c>
      <c r="D131">
        <v>1996</v>
      </c>
      <c r="E131">
        <v>158</v>
      </c>
      <c r="F131">
        <v>653</v>
      </c>
      <c r="G131" t="str">
        <f>CONCATENATE(kursy5[[#This Row],[Poczatek]],kursy5[[#This Row],[Koniec]])</f>
        <v>KielceSieradz</v>
      </c>
    </row>
    <row r="132" spans="1:7" x14ac:dyDescent="0.25">
      <c r="A132" s="1">
        <v>42902</v>
      </c>
      <c r="B132" s="2" t="s">
        <v>68</v>
      </c>
      <c r="C132" s="2" t="s">
        <v>69</v>
      </c>
      <c r="D132">
        <v>4769</v>
      </c>
      <c r="E132">
        <v>160</v>
      </c>
      <c r="F132">
        <v>522</v>
      </c>
      <c r="G132" t="str">
        <f>CONCATENATE(kursy5[[#This Row],[Poczatek]],kursy5[[#This Row],[Koniec]])</f>
        <v>ChelmTerespol</v>
      </c>
    </row>
    <row r="133" spans="1:7" x14ac:dyDescent="0.25">
      <c r="A133" s="1">
        <v>42903</v>
      </c>
      <c r="B133" s="2" t="s">
        <v>69</v>
      </c>
      <c r="C133" s="2" t="s">
        <v>59</v>
      </c>
      <c r="D133">
        <v>4542</v>
      </c>
      <c r="E133">
        <v>205</v>
      </c>
      <c r="F133">
        <v>524</v>
      </c>
      <c r="G133" t="str">
        <f>CONCATENATE(kursy5[[#This Row],[Poczatek]],kursy5[[#This Row],[Koniec]])</f>
        <v>TerespolWarszawa</v>
      </c>
    </row>
    <row r="134" spans="1:7" x14ac:dyDescent="0.25">
      <c r="A134" s="1">
        <v>42904</v>
      </c>
      <c r="B134" s="2" t="s">
        <v>59</v>
      </c>
      <c r="C134" s="2" t="s">
        <v>60</v>
      </c>
      <c r="D134">
        <v>2286</v>
      </c>
      <c r="E134">
        <v>140</v>
      </c>
      <c r="F134">
        <v>136</v>
      </c>
      <c r="G134" t="str">
        <f>CONCATENATE(kursy5[[#This Row],[Poczatek]],kursy5[[#This Row],[Koniec]])</f>
        <v>WarszawaLodz</v>
      </c>
    </row>
    <row r="135" spans="1:7" x14ac:dyDescent="0.25">
      <c r="A135" s="1">
        <v>42905</v>
      </c>
      <c r="B135" s="2" t="s">
        <v>60</v>
      </c>
      <c r="C135" s="2" t="s">
        <v>41</v>
      </c>
      <c r="D135">
        <v>1504</v>
      </c>
      <c r="E135">
        <v>95</v>
      </c>
      <c r="F135">
        <v>382</v>
      </c>
      <c r="G135" t="str">
        <f>CONCATENATE(kursy5[[#This Row],[Poczatek]],kursy5[[#This Row],[Koniec]])</f>
        <v>LodzWloclawek</v>
      </c>
    </row>
    <row r="136" spans="1:7" x14ac:dyDescent="0.25">
      <c r="A136" s="1">
        <v>42906</v>
      </c>
      <c r="B136" s="2" t="s">
        <v>34</v>
      </c>
      <c r="C136" s="2" t="s">
        <v>39</v>
      </c>
      <c r="D136">
        <v>3990</v>
      </c>
      <c r="E136">
        <v>195</v>
      </c>
      <c r="F136">
        <v>468</v>
      </c>
      <c r="G136" t="str">
        <f>CONCATENATE(kursy5[[#This Row],[Poczatek]],kursy5[[#This Row],[Koniec]])</f>
        <v>KrosnoZakopane</v>
      </c>
    </row>
    <row r="137" spans="1:7" x14ac:dyDescent="0.25">
      <c r="A137" s="1">
        <v>42907</v>
      </c>
      <c r="B137" s="2" t="s">
        <v>47</v>
      </c>
      <c r="C137" s="2" t="s">
        <v>17</v>
      </c>
      <c r="D137">
        <v>4569</v>
      </c>
      <c r="E137">
        <v>123</v>
      </c>
      <c r="F137">
        <v>295</v>
      </c>
      <c r="G137" t="str">
        <f>CONCATENATE(kursy5[[#This Row],[Poczatek]],kursy5[[#This Row],[Koniec]])</f>
        <v>KielceTarnow</v>
      </c>
    </row>
    <row r="138" spans="1:7" x14ac:dyDescent="0.25">
      <c r="A138" s="1">
        <v>42908</v>
      </c>
      <c r="B138" s="2" t="s">
        <v>17</v>
      </c>
      <c r="C138" s="2" t="s">
        <v>18</v>
      </c>
      <c r="D138">
        <v>3469</v>
      </c>
      <c r="E138">
        <v>151</v>
      </c>
      <c r="F138">
        <v>558</v>
      </c>
      <c r="G138" t="str">
        <f>CONCATENATE(kursy5[[#This Row],[Poczatek]],kursy5[[#This Row],[Koniec]])</f>
        <v>TarnowKatowice</v>
      </c>
    </row>
    <row r="139" spans="1:7" x14ac:dyDescent="0.25">
      <c r="A139" s="1">
        <v>42909</v>
      </c>
      <c r="B139" s="2" t="s">
        <v>18</v>
      </c>
      <c r="C139" s="2" t="s">
        <v>39</v>
      </c>
      <c r="D139">
        <v>2498</v>
      </c>
      <c r="E139">
        <v>163</v>
      </c>
      <c r="F139">
        <v>610</v>
      </c>
      <c r="G139" t="str">
        <f>CONCATENATE(kursy5[[#This Row],[Poczatek]],kursy5[[#This Row],[Koniec]])</f>
        <v>KatowiceZakopane</v>
      </c>
    </row>
    <row r="140" spans="1:7" x14ac:dyDescent="0.25">
      <c r="A140" s="1">
        <v>42910</v>
      </c>
      <c r="B140" s="2" t="s">
        <v>39</v>
      </c>
      <c r="C140" s="2" t="s">
        <v>17</v>
      </c>
      <c r="D140">
        <v>4118</v>
      </c>
      <c r="E140">
        <v>144</v>
      </c>
      <c r="F140">
        <v>256</v>
      </c>
      <c r="G140" t="str">
        <f>CONCATENATE(kursy5[[#This Row],[Poczatek]],kursy5[[#This Row],[Koniec]])</f>
        <v>ZakopaneTarnow</v>
      </c>
    </row>
    <row r="141" spans="1:7" x14ac:dyDescent="0.25">
      <c r="A141" s="1">
        <v>42911</v>
      </c>
      <c r="B141" s="2" t="s">
        <v>30</v>
      </c>
      <c r="C141" s="2" t="s">
        <v>70</v>
      </c>
      <c r="D141">
        <v>5847</v>
      </c>
      <c r="E141">
        <v>137</v>
      </c>
      <c r="F141">
        <v>270</v>
      </c>
      <c r="G141" t="str">
        <f>CONCATENATE(kursy5[[#This Row],[Poczatek]],kursy5[[#This Row],[Koniec]])</f>
        <v>GdanskSlupsk</v>
      </c>
    </row>
    <row r="142" spans="1:7" x14ac:dyDescent="0.25">
      <c r="A142" s="1">
        <v>42912</v>
      </c>
      <c r="B142" s="2" t="s">
        <v>70</v>
      </c>
      <c r="C142" s="2" t="s">
        <v>30</v>
      </c>
      <c r="D142">
        <v>2032</v>
      </c>
      <c r="E142">
        <v>129</v>
      </c>
      <c r="F142">
        <v>245</v>
      </c>
      <c r="G142" t="str">
        <f>CONCATENATE(kursy5[[#This Row],[Poczatek]],kursy5[[#This Row],[Koniec]])</f>
        <v>SlupskGdansk</v>
      </c>
    </row>
    <row r="143" spans="1:7" x14ac:dyDescent="0.25">
      <c r="A143" s="1">
        <v>42913</v>
      </c>
      <c r="B143" s="2" t="s">
        <v>30</v>
      </c>
      <c r="C143" s="2" t="s">
        <v>31</v>
      </c>
      <c r="D143">
        <v>2735</v>
      </c>
      <c r="E143">
        <v>213</v>
      </c>
      <c r="F143">
        <v>213</v>
      </c>
      <c r="G143" t="str">
        <f>CONCATENATE(kursy5[[#This Row],[Poczatek]],kursy5[[#This Row],[Koniec]])</f>
        <v>GdanskKoszalin</v>
      </c>
    </row>
    <row r="144" spans="1:7" x14ac:dyDescent="0.25">
      <c r="A144" s="1">
        <v>42914</v>
      </c>
      <c r="B144" s="2" t="s">
        <v>31</v>
      </c>
      <c r="C144" s="2" t="s">
        <v>22</v>
      </c>
      <c r="D144">
        <v>5467</v>
      </c>
      <c r="E144">
        <v>168</v>
      </c>
      <c r="F144">
        <v>336</v>
      </c>
      <c r="G144" t="str">
        <f>CONCATENATE(kursy5[[#This Row],[Poczatek]],kursy5[[#This Row],[Koniec]])</f>
        <v>KoszalinKolbaskowo</v>
      </c>
    </row>
    <row r="145" spans="1:7" x14ac:dyDescent="0.25">
      <c r="A145" s="1">
        <v>42915</v>
      </c>
      <c r="B145" s="2" t="s">
        <v>22</v>
      </c>
      <c r="C145" s="2" t="s">
        <v>21</v>
      </c>
      <c r="D145">
        <v>3691</v>
      </c>
      <c r="E145">
        <v>170</v>
      </c>
      <c r="F145">
        <v>525</v>
      </c>
      <c r="G145" t="str">
        <f>CONCATENATE(kursy5[[#This Row],[Poczatek]],kursy5[[#This Row],[Koniec]])</f>
        <v>KolbaskowoPila</v>
      </c>
    </row>
    <row r="146" spans="1:7" x14ac:dyDescent="0.25">
      <c r="A146" s="1">
        <v>42916</v>
      </c>
      <c r="B146" s="2" t="s">
        <v>15</v>
      </c>
      <c r="C146" s="2" t="s">
        <v>52</v>
      </c>
      <c r="D146">
        <v>3681</v>
      </c>
      <c r="E146">
        <v>145</v>
      </c>
      <c r="F146">
        <v>546</v>
      </c>
      <c r="G146" t="str">
        <f>CONCATENATE(kursy5[[#This Row],[Poczatek]],kursy5[[#This Row],[Koniec]])</f>
        <v>GubinZgorzelec</v>
      </c>
    </row>
    <row r="147" spans="1:7" x14ac:dyDescent="0.25">
      <c r="A147" s="1">
        <v>42917</v>
      </c>
      <c r="B147" s="2" t="s">
        <v>62</v>
      </c>
      <c r="C147" s="2" t="s">
        <v>20</v>
      </c>
      <c r="D147">
        <v>2256</v>
      </c>
      <c r="E147">
        <v>146</v>
      </c>
      <c r="F147">
        <v>315</v>
      </c>
      <c r="G147" t="str">
        <f>CONCATENATE(kursy5[[#This Row],[Poczatek]],kursy5[[#This Row],[Koniec]])</f>
        <v>LesznoKonin</v>
      </c>
    </row>
    <row r="148" spans="1:7" x14ac:dyDescent="0.25">
      <c r="A148" s="1">
        <v>42918</v>
      </c>
      <c r="B148" s="2" t="s">
        <v>20</v>
      </c>
      <c r="C148" s="2" t="s">
        <v>8</v>
      </c>
      <c r="D148">
        <v>4602</v>
      </c>
      <c r="E148">
        <v>120</v>
      </c>
      <c r="F148">
        <v>288</v>
      </c>
      <c r="G148" t="str">
        <f>CONCATENATE(kursy5[[#This Row],[Poczatek]],kursy5[[#This Row],[Koniec]])</f>
        <v>KoninPlock</v>
      </c>
    </row>
    <row r="149" spans="1:7" x14ac:dyDescent="0.25">
      <c r="A149" s="1">
        <v>42919</v>
      </c>
      <c r="B149" s="2" t="s">
        <v>8</v>
      </c>
      <c r="C149" s="2" t="s">
        <v>20</v>
      </c>
      <c r="D149">
        <v>4354</v>
      </c>
      <c r="E149">
        <v>135</v>
      </c>
      <c r="F149">
        <v>215</v>
      </c>
      <c r="G149" t="str">
        <f>CONCATENATE(kursy5[[#This Row],[Poczatek]],kursy5[[#This Row],[Koniec]])</f>
        <v>PlockKonin</v>
      </c>
    </row>
    <row r="150" spans="1:7" x14ac:dyDescent="0.25">
      <c r="A150" s="1">
        <v>42920</v>
      </c>
      <c r="B150" s="2" t="s">
        <v>20</v>
      </c>
      <c r="C150" s="2" t="s">
        <v>60</v>
      </c>
      <c r="D150">
        <v>4260</v>
      </c>
      <c r="E150">
        <v>118</v>
      </c>
      <c r="F150">
        <v>222</v>
      </c>
      <c r="G150" t="str">
        <f>CONCATENATE(kursy5[[#This Row],[Poczatek]],kursy5[[#This Row],[Koniec]])</f>
        <v>KoninLodz</v>
      </c>
    </row>
    <row r="151" spans="1:7" x14ac:dyDescent="0.25">
      <c r="A151" s="1">
        <v>42921</v>
      </c>
      <c r="B151" s="2" t="s">
        <v>40</v>
      </c>
      <c r="C151" s="2" t="s">
        <v>41</v>
      </c>
      <c r="D151">
        <v>2800</v>
      </c>
      <c r="E151">
        <v>98</v>
      </c>
      <c r="F151">
        <v>108</v>
      </c>
      <c r="G151" t="str">
        <f>CONCATENATE(kursy5[[#This Row],[Poczatek]],kursy5[[#This Row],[Koniec]])</f>
        <v>BydgoszczWloclawek</v>
      </c>
    </row>
    <row r="152" spans="1:7" x14ac:dyDescent="0.25">
      <c r="A152" s="1">
        <v>42922</v>
      </c>
      <c r="B152" s="2" t="s">
        <v>41</v>
      </c>
      <c r="C152" s="2" t="s">
        <v>28</v>
      </c>
      <c r="D152">
        <v>2637</v>
      </c>
      <c r="E152">
        <v>138</v>
      </c>
      <c r="F152">
        <v>179</v>
      </c>
      <c r="G152" t="str">
        <f>CONCATENATE(kursy5[[#This Row],[Poczatek]],kursy5[[#This Row],[Koniec]])</f>
        <v>WloclawekKalisz</v>
      </c>
    </row>
    <row r="153" spans="1:7" x14ac:dyDescent="0.25">
      <c r="A153" s="1">
        <v>42923</v>
      </c>
      <c r="B153" s="2" t="s">
        <v>28</v>
      </c>
      <c r="C153" s="2" t="s">
        <v>14</v>
      </c>
      <c r="D153">
        <v>5651</v>
      </c>
      <c r="E153">
        <v>116</v>
      </c>
      <c r="F153">
        <v>141</v>
      </c>
      <c r="G153" t="str">
        <f>CONCATENATE(kursy5[[#This Row],[Poczatek]],kursy5[[#This Row],[Koniec]])</f>
        <v>KaliszPoznan</v>
      </c>
    </row>
    <row r="154" spans="1:7" x14ac:dyDescent="0.25">
      <c r="A154" s="1">
        <v>42924</v>
      </c>
      <c r="B154" s="2" t="s">
        <v>14</v>
      </c>
      <c r="C154" s="2" t="s">
        <v>48</v>
      </c>
      <c r="D154">
        <v>2511</v>
      </c>
      <c r="E154">
        <v>120</v>
      </c>
      <c r="F154">
        <v>438</v>
      </c>
      <c r="G154" t="str">
        <f>CONCATENATE(kursy5[[#This Row],[Poczatek]],kursy5[[#This Row],[Koniec]])</f>
        <v>PoznanZielona Gora</v>
      </c>
    </row>
    <row r="155" spans="1:7" x14ac:dyDescent="0.25">
      <c r="A155" s="1">
        <v>42926</v>
      </c>
      <c r="B155" s="2" t="s">
        <v>56</v>
      </c>
      <c r="C155" s="2" t="s">
        <v>30</v>
      </c>
      <c r="D155">
        <v>2448</v>
      </c>
      <c r="E155">
        <v>744</v>
      </c>
      <c r="F155">
        <v>2887</v>
      </c>
      <c r="G155" t="str">
        <f>CONCATENATE(kursy5[[#This Row],[Poczatek]],kursy5[[#This Row],[Koniec]])</f>
        <v>PrzemyslGdansk</v>
      </c>
    </row>
    <row r="156" spans="1:7" x14ac:dyDescent="0.25">
      <c r="A156" s="1">
        <v>42927</v>
      </c>
      <c r="B156" s="2" t="s">
        <v>10</v>
      </c>
      <c r="C156" s="2" t="s">
        <v>71</v>
      </c>
      <c r="D156">
        <v>3414</v>
      </c>
      <c r="E156">
        <v>114</v>
      </c>
      <c r="F156">
        <v>301</v>
      </c>
      <c r="G156" t="str">
        <f>CONCATENATE(kursy5[[#This Row],[Poczatek]],kursy5[[#This Row],[Koniec]])</f>
        <v>SuwalkiBialystok</v>
      </c>
    </row>
    <row r="157" spans="1:7" x14ac:dyDescent="0.25">
      <c r="A157" s="1">
        <v>42928</v>
      </c>
      <c r="B157" s="2" t="s">
        <v>70</v>
      </c>
      <c r="C157" s="2" t="s">
        <v>36</v>
      </c>
      <c r="D157">
        <v>4039</v>
      </c>
      <c r="E157">
        <v>204</v>
      </c>
      <c r="F157">
        <v>614</v>
      </c>
      <c r="G157" t="str">
        <f>CONCATENATE(kursy5[[#This Row],[Poczatek]],kursy5[[#This Row],[Koniec]])</f>
        <v>SlupskElblag</v>
      </c>
    </row>
    <row r="158" spans="1:7" x14ac:dyDescent="0.25">
      <c r="A158" s="1">
        <v>42929</v>
      </c>
      <c r="B158" s="2" t="s">
        <v>36</v>
      </c>
      <c r="C158" s="2" t="s">
        <v>70</v>
      </c>
      <c r="D158">
        <v>5862</v>
      </c>
      <c r="E158">
        <v>202</v>
      </c>
      <c r="F158">
        <v>518</v>
      </c>
      <c r="G158" t="str">
        <f>CONCATENATE(kursy5[[#This Row],[Poczatek]],kursy5[[#This Row],[Koniec]])</f>
        <v>ElblagSlupsk</v>
      </c>
    </row>
    <row r="159" spans="1:7" x14ac:dyDescent="0.25">
      <c r="A159" s="1">
        <v>42931</v>
      </c>
      <c r="B159" s="2" t="s">
        <v>44</v>
      </c>
      <c r="C159" s="2" t="s">
        <v>56</v>
      </c>
      <c r="D159">
        <v>3077</v>
      </c>
      <c r="E159">
        <v>148</v>
      </c>
      <c r="F159">
        <v>454</v>
      </c>
      <c r="G159" t="str">
        <f>CONCATENATE(kursy5[[#This Row],[Poczatek]],kursy5[[#This Row],[Koniec]])</f>
        <v>ZamoscPrzemysl</v>
      </c>
    </row>
    <row r="160" spans="1:7" x14ac:dyDescent="0.25">
      <c r="A160" s="1">
        <v>42932</v>
      </c>
      <c r="B160" s="2" t="s">
        <v>55</v>
      </c>
      <c r="C160" s="2" t="s">
        <v>26</v>
      </c>
      <c r="D160">
        <v>5569</v>
      </c>
      <c r="E160">
        <v>604</v>
      </c>
      <c r="F160">
        <v>1446</v>
      </c>
      <c r="G160" t="str">
        <f>CONCATENATE(kursy5[[#This Row],[Poczatek]],kursy5[[#This Row],[Koniec]])</f>
        <v>Biala PodlaskaGorzow Wielkopolski</v>
      </c>
    </row>
    <row r="161" spans="1:7" x14ac:dyDescent="0.25">
      <c r="A161" s="1">
        <v>42933</v>
      </c>
      <c r="B161" s="2" t="s">
        <v>26</v>
      </c>
      <c r="C161" s="2" t="s">
        <v>48</v>
      </c>
      <c r="D161">
        <v>4513</v>
      </c>
      <c r="E161">
        <v>114</v>
      </c>
      <c r="F161">
        <v>125</v>
      </c>
      <c r="G161" t="str">
        <f>CONCATENATE(kursy5[[#This Row],[Poczatek]],kursy5[[#This Row],[Koniec]])</f>
        <v>Gorzow WielkopolskiZielona Gora</v>
      </c>
    </row>
    <row r="162" spans="1:7" x14ac:dyDescent="0.25">
      <c r="A162" s="1">
        <v>42935</v>
      </c>
      <c r="B162" s="2" t="s">
        <v>18</v>
      </c>
      <c r="C162" s="2" t="s">
        <v>16</v>
      </c>
      <c r="D162">
        <v>2771</v>
      </c>
      <c r="E162">
        <v>239</v>
      </c>
      <c r="F162">
        <v>396</v>
      </c>
      <c r="G162" t="str">
        <f>CONCATENATE(kursy5[[#This Row],[Poczatek]],kursy5[[#This Row],[Koniec]])</f>
        <v>KatowiceSkierniewice</v>
      </c>
    </row>
    <row r="163" spans="1:7" x14ac:dyDescent="0.25">
      <c r="A163" s="1">
        <v>42936</v>
      </c>
      <c r="B163" s="2" t="s">
        <v>50</v>
      </c>
      <c r="C163" s="2" t="s">
        <v>42</v>
      </c>
      <c r="D163">
        <v>1079</v>
      </c>
      <c r="E163">
        <v>438</v>
      </c>
      <c r="F163">
        <v>899</v>
      </c>
      <c r="G163" t="str">
        <f>CONCATENATE(kursy5[[#This Row],[Poczatek]],kursy5[[#This Row],[Koniec]])</f>
        <v>BarwinekSieradz</v>
      </c>
    </row>
    <row r="164" spans="1:7" x14ac:dyDescent="0.25">
      <c r="A164" s="1">
        <v>42937</v>
      </c>
      <c r="B164" s="2" t="s">
        <v>42</v>
      </c>
      <c r="C164" s="2" t="s">
        <v>32</v>
      </c>
      <c r="D164">
        <v>3126</v>
      </c>
      <c r="E164">
        <v>124</v>
      </c>
      <c r="F164">
        <v>317</v>
      </c>
      <c r="G164" t="str">
        <f>CONCATENATE(kursy5[[#This Row],[Poczatek]],kursy5[[#This Row],[Koniec]])</f>
        <v>SieradzCzestochowa</v>
      </c>
    </row>
    <row r="165" spans="1:7" x14ac:dyDescent="0.25">
      <c r="A165" s="1">
        <v>42938</v>
      </c>
      <c r="B165" s="2" t="s">
        <v>32</v>
      </c>
      <c r="C165" s="2" t="s">
        <v>60</v>
      </c>
      <c r="D165">
        <v>3650</v>
      </c>
      <c r="E165">
        <v>137</v>
      </c>
      <c r="F165">
        <v>308</v>
      </c>
      <c r="G165" t="str">
        <f>CONCATENATE(kursy5[[#This Row],[Poczatek]],kursy5[[#This Row],[Koniec]])</f>
        <v>CzestochowaLodz</v>
      </c>
    </row>
    <row r="166" spans="1:7" x14ac:dyDescent="0.25">
      <c r="A166" s="1">
        <v>42939</v>
      </c>
      <c r="B166" s="2" t="s">
        <v>55</v>
      </c>
      <c r="C166" s="2" t="s">
        <v>68</v>
      </c>
      <c r="D166">
        <v>5721</v>
      </c>
      <c r="E166">
        <v>122</v>
      </c>
      <c r="F166">
        <v>280</v>
      </c>
      <c r="G166" t="str">
        <f>CONCATENATE(kursy5[[#This Row],[Poczatek]],kursy5[[#This Row],[Koniec]])</f>
        <v>Biala PodlaskaChelm</v>
      </c>
    </row>
    <row r="167" spans="1:7" x14ac:dyDescent="0.25">
      <c r="A167" s="1">
        <v>42940</v>
      </c>
      <c r="B167" s="2" t="s">
        <v>68</v>
      </c>
      <c r="C167" s="2" t="s">
        <v>19</v>
      </c>
      <c r="D167">
        <v>5759</v>
      </c>
      <c r="E167">
        <v>175</v>
      </c>
      <c r="F167">
        <v>297</v>
      </c>
      <c r="G167" t="str">
        <f>CONCATENATE(kursy5[[#This Row],[Poczatek]],kursy5[[#This Row],[Koniec]])</f>
        <v>ChelmRadom</v>
      </c>
    </row>
    <row r="168" spans="1:7" x14ac:dyDescent="0.25">
      <c r="A168" s="1">
        <v>42941</v>
      </c>
      <c r="B168" s="2" t="s">
        <v>19</v>
      </c>
      <c r="C168" s="2" t="s">
        <v>59</v>
      </c>
      <c r="D168">
        <v>2871</v>
      </c>
      <c r="E168">
        <v>113</v>
      </c>
      <c r="F168">
        <v>110</v>
      </c>
      <c r="G168" t="str">
        <f>CONCATENATE(kursy5[[#This Row],[Poczatek]],kursy5[[#This Row],[Koniec]])</f>
        <v>RadomWarszawa</v>
      </c>
    </row>
    <row r="169" spans="1:7" x14ac:dyDescent="0.25">
      <c r="A169" s="1">
        <v>42944</v>
      </c>
      <c r="B169" s="2" t="s">
        <v>8</v>
      </c>
      <c r="C169" s="2" t="s">
        <v>9</v>
      </c>
      <c r="D169">
        <v>3571</v>
      </c>
      <c r="E169">
        <v>162</v>
      </c>
      <c r="F169">
        <v>292</v>
      </c>
      <c r="G169" t="str">
        <f>CONCATENATE(kursy5[[#This Row],[Poczatek]],kursy5[[#This Row],[Koniec]])</f>
        <v>PlockOstroleka</v>
      </c>
    </row>
    <row r="170" spans="1:7" x14ac:dyDescent="0.25">
      <c r="A170" s="1">
        <v>42945</v>
      </c>
      <c r="B170" s="2" t="s">
        <v>9</v>
      </c>
      <c r="C170" s="2" t="s">
        <v>59</v>
      </c>
      <c r="D170">
        <v>3061</v>
      </c>
      <c r="E170">
        <v>107</v>
      </c>
      <c r="F170">
        <v>258</v>
      </c>
      <c r="G170" t="str">
        <f>CONCATENATE(kursy5[[#This Row],[Poczatek]],kursy5[[#This Row],[Koniec]])</f>
        <v>OstrolekaWarszawa</v>
      </c>
    </row>
    <row r="171" spans="1:7" x14ac:dyDescent="0.25">
      <c r="A171" s="1">
        <v>42946</v>
      </c>
      <c r="B171" s="2" t="s">
        <v>59</v>
      </c>
      <c r="C171" s="2" t="s">
        <v>65</v>
      </c>
      <c r="D171">
        <v>5336</v>
      </c>
      <c r="E171">
        <v>107</v>
      </c>
      <c r="F171">
        <v>171</v>
      </c>
      <c r="G171" t="str">
        <f>CONCATENATE(kursy5[[#This Row],[Poczatek]],kursy5[[#This Row],[Koniec]])</f>
        <v>WarszawaSiedlce</v>
      </c>
    </row>
    <row r="172" spans="1:7" x14ac:dyDescent="0.25">
      <c r="A172" s="1">
        <v>42947</v>
      </c>
      <c r="B172" s="2" t="s">
        <v>29</v>
      </c>
      <c r="C172" s="2" t="s">
        <v>27</v>
      </c>
      <c r="D172">
        <v>5658</v>
      </c>
      <c r="E172">
        <v>249</v>
      </c>
      <c r="F172">
        <v>967</v>
      </c>
      <c r="G172" t="str">
        <f>CONCATENATE(kursy5[[#This Row],[Poczatek]],kursy5[[#This Row],[Koniec]])</f>
        <v>Piotrkow TrybunalskiJakuszyce</v>
      </c>
    </row>
    <row r="173" spans="1:7" x14ac:dyDescent="0.25">
      <c r="A173" s="1">
        <v>42948</v>
      </c>
      <c r="B173" s="2" t="s">
        <v>27</v>
      </c>
      <c r="C173" s="2" t="s">
        <v>25</v>
      </c>
      <c r="D173">
        <v>2697</v>
      </c>
      <c r="E173">
        <v>209</v>
      </c>
      <c r="F173">
        <v>699</v>
      </c>
      <c r="G173" t="str">
        <f>CONCATENATE(kursy5[[#This Row],[Poczatek]],kursy5[[#This Row],[Koniec]])</f>
        <v>JakuszyceKostrzyn</v>
      </c>
    </row>
    <row r="174" spans="1:7" x14ac:dyDescent="0.25">
      <c r="A174" s="1">
        <v>42949</v>
      </c>
      <c r="B174" s="2" t="s">
        <v>25</v>
      </c>
      <c r="C174" s="2" t="s">
        <v>48</v>
      </c>
      <c r="D174">
        <v>5368</v>
      </c>
      <c r="E174">
        <v>122</v>
      </c>
      <c r="F174">
        <v>491</v>
      </c>
      <c r="G174" t="str">
        <f>CONCATENATE(kursy5[[#This Row],[Poczatek]],kursy5[[#This Row],[Koniec]])</f>
        <v>KostrzynZielona Gora</v>
      </c>
    </row>
    <row r="175" spans="1:7" x14ac:dyDescent="0.25">
      <c r="A175" s="1">
        <v>42950</v>
      </c>
      <c r="B175" s="2" t="s">
        <v>48</v>
      </c>
      <c r="C175" s="2" t="s">
        <v>14</v>
      </c>
      <c r="D175">
        <v>2706</v>
      </c>
      <c r="E175">
        <v>137</v>
      </c>
      <c r="F175">
        <v>292</v>
      </c>
      <c r="G175" t="str">
        <f>CONCATENATE(kursy5[[#This Row],[Poczatek]],kursy5[[#This Row],[Koniec]])</f>
        <v>Zielona GoraPoznan</v>
      </c>
    </row>
    <row r="176" spans="1:7" x14ac:dyDescent="0.25">
      <c r="A176" s="1">
        <v>42953</v>
      </c>
      <c r="B176" s="2" t="s">
        <v>67</v>
      </c>
      <c r="C176" s="2" t="s">
        <v>48</v>
      </c>
      <c r="D176">
        <v>3456</v>
      </c>
      <c r="E176">
        <v>542</v>
      </c>
      <c r="F176">
        <v>1891</v>
      </c>
      <c r="G176" t="str">
        <f>CONCATENATE(kursy5[[#This Row],[Poczatek]],kursy5[[#This Row],[Koniec]])</f>
        <v>LublinZielona Gora</v>
      </c>
    </row>
    <row r="177" spans="1:7" x14ac:dyDescent="0.25">
      <c r="A177" s="1">
        <v>42954</v>
      </c>
      <c r="B177" s="2" t="s">
        <v>48</v>
      </c>
      <c r="C177" s="2" t="s">
        <v>14</v>
      </c>
      <c r="D177">
        <v>1914</v>
      </c>
      <c r="E177">
        <v>138</v>
      </c>
      <c r="F177">
        <v>405</v>
      </c>
      <c r="G177" t="str">
        <f>CONCATENATE(kursy5[[#This Row],[Poczatek]],kursy5[[#This Row],[Koniec]])</f>
        <v>Zielona GoraPoznan</v>
      </c>
    </row>
    <row r="178" spans="1:7" x14ac:dyDescent="0.25">
      <c r="A178" s="1">
        <v>42955</v>
      </c>
      <c r="B178" s="2" t="s">
        <v>14</v>
      </c>
      <c r="C178" s="2" t="s">
        <v>21</v>
      </c>
      <c r="D178">
        <v>1134</v>
      </c>
      <c r="E178">
        <v>95</v>
      </c>
      <c r="F178">
        <v>115</v>
      </c>
      <c r="G178" t="str">
        <f>CONCATENATE(kursy5[[#This Row],[Poczatek]],kursy5[[#This Row],[Koniec]])</f>
        <v>PoznanPila</v>
      </c>
    </row>
    <row r="179" spans="1:7" x14ac:dyDescent="0.25">
      <c r="A179" s="1">
        <v>42956</v>
      </c>
      <c r="B179" s="2" t="s">
        <v>21</v>
      </c>
      <c r="C179" s="2" t="s">
        <v>25</v>
      </c>
      <c r="D179">
        <v>2935</v>
      </c>
      <c r="E179">
        <v>160</v>
      </c>
      <c r="F179">
        <v>275</v>
      </c>
      <c r="G179" t="str">
        <f>CONCATENATE(kursy5[[#This Row],[Poczatek]],kursy5[[#This Row],[Koniec]])</f>
        <v>PilaKostrzyn</v>
      </c>
    </row>
    <row r="180" spans="1:7" x14ac:dyDescent="0.25">
      <c r="A180" s="1">
        <v>42957</v>
      </c>
      <c r="B180" s="2" t="s">
        <v>25</v>
      </c>
      <c r="C180" s="2" t="s">
        <v>15</v>
      </c>
      <c r="D180">
        <v>4379</v>
      </c>
      <c r="E180">
        <v>93</v>
      </c>
      <c r="F180">
        <v>147</v>
      </c>
      <c r="G180" t="str">
        <f>CONCATENATE(kursy5[[#This Row],[Poczatek]],kursy5[[#This Row],[Koniec]])</f>
        <v>KostrzynGubin</v>
      </c>
    </row>
    <row r="181" spans="1:7" x14ac:dyDescent="0.25">
      <c r="A181" s="1">
        <v>42959</v>
      </c>
      <c r="B181" s="2" t="s">
        <v>37</v>
      </c>
      <c r="C181" s="2" t="s">
        <v>35</v>
      </c>
      <c r="D181">
        <v>1328</v>
      </c>
      <c r="E181">
        <v>148</v>
      </c>
      <c r="F181">
        <v>516</v>
      </c>
      <c r="G181" t="str">
        <f>CONCATENATE(kursy5[[#This Row],[Poczatek]],kursy5[[#This Row],[Koniec]])</f>
        <v>OpoleKudowa-Slone</v>
      </c>
    </row>
    <row r="182" spans="1:7" x14ac:dyDescent="0.25">
      <c r="A182" s="1">
        <v>42960</v>
      </c>
      <c r="B182" s="2" t="s">
        <v>70</v>
      </c>
      <c r="C182" s="2" t="s">
        <v>30</v>
      </c>
      <c r="D182">
        <v>4133</v>
      </c>
      <c r="E182">
        <v>130</v>
      </c>
      <c r="F182">
        <v>398</v>
      </c>
      <c r="G182" t="str">
        <f>CONCATENATE(kursy5[[#This Row],[Poczatek]],kursy5[[#This Row],[Koniec]])</f>
        <v>SlupskGdansk</v>
      </c>
    </row>
    <row r="183" spans="1:7" x14ac:dyDescent="0.25">
      <c r="A183" s="1">
        <v>42962</v>
      </c>
      <c r="B183" s="2" t="s">
        <v>47</v>
      </c>
      <c r="C183" s="2" t="s">
        <v>20</v>
      </c>
      <c r="D183">
        <v>5370</v>
      </c>
      <c r="E183">
        <v>266</v>
      </c>
      <c r="F183">
        <v>699</v>
      </c>
      <c r="G183" t="str">
        <f>CONCATENATE(kursy5[[#This Row],[Poczatek]],kursy5[[#This Row],[Koniec]])</f>
        <v>KielceKonin</v>
      </c>
    </row>
    <row r="184" spans="1:7" x14ac:dyDescent="0.25">
      <c r="A184" s="1">
        <v>42963</v>
      </c>
      <c r="B184" s="2" t="s">
        <v>20</v>
      </c>
      <c r="C184" s="2" t="s">
        <v>8</v>
      </c>
      <c r="D184">
        <v>4663</v>
      </c>
      <c r="E184">
        <v>122</v>
      </c>
      <c r="F184">
        <v>256</v>
      </c>
      <c r="G184" t="str">
        <f>CONCATENATE(kursy5[[#This Row],[Poczatek]],kursy5[[#This Row],[Koniec]])</f>
        <v>KoninPlock</v>
      </c>
    </row>
    <row r="185" spans="1:7" x14ac:dyDescent="0.25">
      <c r="A185" s="1">
        <v>42964</v>
      </c>
      <c r="B185" s="2" t="s">
        <v>8</v>
      </c>
      <c r="C185" s="2" t="s">
        <v>40</v>
      </c>
      <c r="D185">
        <v>5151</v>
      </c>
      <c r="E185">
        <v>151</v>
      </c>
      <c r="F185">
        <v>195</v>
      </c>
      <c r="G185" t="str">
        <f>CONCATENATE(kursy5[[#This Row],[Poczatek]],kursy5[[#This Row],[Koniec]])</f>
        <v>PlockBydgoszcz</v>
      </c>
    </row>
    <row r="186" spans="1:7" x14ac:dyDescent="0.25">
      <c r="A186" s="1">
        <v>42965</v>
      </c>
      <c r="B186" s="2" t="s">
        <v>40</v>
      </c>
      <c r="C186" s="2" t="s">
        <v>20</v>
      </c>
      <c r="D186">
        <v>3035</v>
      </c>
      <c r="E186">
        <v>118</v>
      </c>
      <c r="F186">
        <v>207</v>
      </c>
      <c r="G186" t="str">
        <f>CONCATENATE(kursy5[[#This Row],[Poczatek]],kursy5[[#This Row],[Koniec]])</f>
        <v>BydgoszczKonin</v>
      </c>
    </row>
    <row r="187" spans="1:7" x14ac:dyDescent="0.25">
      <c r="A187" s="1">
        <v>42967</v>
      </c>
      <c r="B187" s="2" t="s">
        <v>72</v>
      </c>
      <c r="C187" s="2" t="s">
        <v>11</v>
      </c>
      <c r="D187">
        <v>1090</v>
      </c>
      <c r="E187">
        <v>200</v>
      </c>
      <c r="F187">
        <v>585</v>
      </c>
      <c r="G187" t="str">
        <f>CONCATENATE(kursy5[[#This Row],[Poczatek]],kursy5[[#This Row],[Koniec]])</f>
        <v>BezledyLomza</v>
      </c>
    </row>
    <row r="188" spans="1:7" x14ac:dyDescent="0.25">
      <c r="A188" s="1">
        <v>42968</v>
      </c>
      <c r="B188" s="2" t="s">
        <v>11</v>
      </c>
      <c r="C188" s="2" t="s">
        <v>13</v>
      </c>
      <c r="D188">
        <v>5746</v>
      </c>
      <c r="E188">
        <v>145</v>
      </c>
      <c r="F188">
        <v>214</v>
      </c>
      <c r="G188" t="str">
        <f>CONCATENATE(kursy5[[#This Row],[Poczatek]],kursy5[[#This Row],[Koniec]])</f>
        <v>LomzaKuznica Bialostocka</v>
      </c>
    </row>
    <row r="189" spans="1:7" x14ac:dyDescent="0.25">
      <c r="A189" s="1">
        <v>42970</v>
      </c>
      <c r="B189" s="2" t="s">
        <v>46</v>
      </c>
      <c r="C189" s="2" t="s">
        <v>56</v>
      </c>
      <c r="D189">
        <v>3200</v>
      </c>
      <c r="E189">
        <v>138</v>
      </c>
      <c r="F189">
        <v>417</v>
      </c>
      <c r="G189" t="str">
        <f>CONCATENATE(kursy5[[#This Row],[Poczatek]],kursy5[[#This Row],[Koniec]])</f>
        <v>TarnobrzegPrzemysl</v>
      </c>
    </row>
    <row r="190" spans="1:7" x14ac:dyDescent="0.25">
      <c r="A190" s="1">
        <v>42971</v>
      </c>
      <c r="B190" s="2" t="s">
        <v>56</v>
      </c>
      <c r="C190" s="2" t="s">
        <v>50</v>
      </c>
      <c r="D190">
        <v>3586</v>
      </c>
      <c r="E190">
        <v>155</v>
      </c>
      <c r="F190">
        <v>290</v>
      </c>
      <c r="G190" t="str">
        <f>CONCATENATE(kursy5[[#This Row],[Poczatek]],kursy5[[#This Row],[Koniec]])</f>
        <v>PrzemyslBarwinek</v>
      </c>
    </row>
    <row r="191" spans="1:7" x14ac:dyDescent="0.25">
      <c r="A191" s="1">
        <v>42972</v>
      </c>
      <c r="B191" s="2" t="s">
        <v>50</v>
      </c>
      <c r="C191" s="2" t="s">
        <v>17</v>
      </c>
      <c r="D191">
        <v>3460</v>
      </c>
      <c r="E191">
        <v>145</v>
      </c>
      <c r="F191">
        <v>162</v>
      </c>
      <c r="G191" t="str">
        <f>CONCATENATE(kursy5[[#This Row],[Poczatek]],kursy5[[#This Row],[Koniec]])</f>
        <v>BarwinekTarnow</v>
      </c>
    </row>
    <row r="192" spans="1:7" x14ac:dyDescent="0.25">
      <c r="A192" s="1">
        <v>42973</v>
      </c>
      <c r="B192" s="2" t="s">
        <v>68</v>
      </c>
      <c r="C192" s="2" t="s">
        <v>19</v>
      </c>
      <c r="D192">
        <v>1347</v>
      </c>
      <c r="E192">
        <v>173</v>
      </c>
      <c r="F192">
        <v>576</v>
      </c>
      <c r="G192" t="str">
        <f>CONCATENATE(kursy5[[#This Row],[Poczatek]],kursy5[[#This Row],[Koniec]])</f>
        <v>ChelmRadom</v>
      </c>
    </row>
    <row r="193" spans="1:7" x14ac:dyDescent="0.25">
      <c r="A193" s="1">
        <v>42974</v>
      </c>
      <c r="B193" s="2" t="s">
        <v>19</v>
      </c>
      <c r="C193" s="2" t="s">
        <v>60</v>
      </c>
      <c r="D193">
        <v>2421</v>
      </c>
      <c r="E193">
        <v>148</v>
      </c>
      <c r="F193">
        <v>552</v>
      </c>
      <c r="G193" t="str">
        <f>CONCATENATE(kursy5[[#This Row],[Poczatek]],kursy5[[#This Row],[Koniec]])</f>
        <v>RadomLodz</v>
      </c>
    </row>
    <row r="194" spans="1:7" x14ac:dyDescent="0.25">
      <c r="A194" s="1">
        <v>42975</v>
      </c>
      <c r="B194" s="2" t="s">
        <v>60</v>
      </c>
      <c r="C194" s="2" t="s">
        <v>47</v>
      </c>
      <c r="D194">
        <v>2939</v>
      </c>
      <c r="E194">
        <v>125</v>
      </c>
      <c r="F194">
        <v>307</v>
      </c>
      <c r="G194" t="str">
        <f>CONCATENATE(kursy5[[#This Row],[Poczatek]],kursy5[[#This Row],[Koniec]])</f>
        <v>LodzKielce</v>
      </c>
    </row>
    <row r="195" spans="1:7" x14ac:dyDescent="0.25">
      <c r="A195" s="1">
        <v>42976</v>
      </c>
      <c r="B195" s="2" t="s">
        <v>47</v>
      </c>
      <c r="C195" s="2" t="s">
        <v>17</v>
      </c>
      <c r="D195">
        <v>4921</v>
      </c>
      <c r="E195">
        <v>124</v>
      </c>
      <c r="F195">
        <v>472</v>
      </c>
      <c r="G195" t="str">
        <f>CONCATENATE(kursy5[[#This Row],[Poczatek]],kursy5[[#This Row],[Koniec]])</f>
        <v>KielceTarnow</v>
      </c>
    </row>
    <row r="196" spans="1:7" x14ac:dyDescent="0.25">
      <c r="A196" s="1">
        <v>42977</v>
      </c>
      <c r="B196" s="2" t="s">
        <v>17</v>
      </c>
      <c r="C196" s="2" t="s">
        <v>38</v>
      </c>
      <c r="D196">
        <v>3580</v>
      </c>
      <c r="E196">
        <v>173</v>
      </c>
      <c r="F196">
        <v>382</v>
      </c>
      <c r="G196" t="str">
        <f>CONCATENATE(kursy5[[#This Row],[Poczatek]],kursy5[[#This Row],[Koniec]])</f>
        <v>TarnowBielsko-Biala</v>
      </c>
    </row>
    <row r="197" spans="1:7" x14ac:dyDescent="0.25">
      <c r="A197" s="1">
        <v>42978</v>
      </c>
      <c r="B197" s="2" t="s">
        <v>38</v>
      </c>
      <c r="C197" s="2" t="s">
        <v>73</v>
      </c>
      <c r="D197">
        <v>5215</v>
      </c>
      <c r="E197">
        <v>158</v>
      </c>
      <c r="F197">
        <v>375</v>
      </c>
      <c r="G197" t="str">
        <f>CONCATENATE(kursy5[[#This Row],[Poczatek]],kursy5[[#This Row],[Koniec]])</f>
        <v>Bielsko-BialaNowy Sacz</v>
      </c>
    </row>
    <row r="198" spans="1:7" x14ac:dyDescent="0.25">
      <c r="A198" s="1">
        <v>42979</v>
      </c>
      <c r="B198" s="2" t="s">
        <v>73</v>
      </c>
      <c r="C198" s="2" t="s">
        <v>51</v>
      </c>
      <c r="D198">
        <v>1369</v>
      </c>
      <c r="E198">
        <v>170</v>
      </c>
      <c r="F198">
        <v>276</v>
      </c>
      <c r="G198" t="str">
        <f>CONCATENATE(kursy5[[#This Row],[Poczatek]],kursy5[[#This Row],[Koniec]])</f>
        <v>Nowy SaczRzeszow</v>
      </c>
    </row>
    <row r="199" spans="1:7" x14ac:dyDescent="0.25">
      <c r="A199" s="1">
        <v>42980</v>
      </c>
      <c r="B199" s="2" t="s">
        <v>51</v>
      </c>
      <c r="C199" s="2" t="s">
        <v>67</v>
      </c>
      <c r="D199">
        <v>1655</v>
      </c>
      <c r="E199">
        <v>180</v>
      </c>
      <c r="F199">
        <v>332</v>
      </c>
      <c r="G199" t="str">
        <f>CONCATENATE(kursy5[[#This Row],[Poczatek]],kursy5[[#This Row],[Koniec]])</f>
        <v>RzeszowLublin</v>
      </c>
    </row>
    <row r="200" spans="1:7" x14ac:dyDescent="0.25">
      <c r="A200" s="1">
        <v>42981</v>
      </c>
      <c r="B200" s="2" t="s">
        <v>48</v>
      </c>
      <c r="C200" s="2" t="s">
        <v>61</v>
      </c>
      <c r="D200">
        <v>2192</v>
      </c>
      <c r="E200">
        <v>114</v>
      </c>
      <c r="F200">
        <v>137</v>
      </c>
      <c r="G200" t="str">
        <f>CONCATENATE(kursy5[[#This Row],[Poczatek]],kursy5[[#This Row],[Koniec]])</f>
        <v>Zielona GoraLegnica</v>
      </c>
    </row>
    <row r="201" spans="1:7" x14ac:dyDescent="0.25">
      <c r="A201" s="1">
        <v>42982</v>
      </c>
      <c r="B201" s="2" t="s">
        <v>12</v>
      </c>
      <c r="C201" s="2" t="s">
        <v>59</v>
      </c>
      <c r="D201">
        <v>5919</v>
      </c>
      <c r="E201">
        <v>103</v>
      </c>
      <c r="F201">
        <v>279</v>
      </c>
      <c r="G201" t="str">
        <f>CONCATENATE(kursy5[[#This Row],[Poczatek]],kursy5[[#This Row],[Koniec]])</f>
        <v>CiechanowWarszawa</v>
      </c>
    </row>
    <row r="202" spans="1:7" x14ac:dyDescent="0.25">
      <c r="A202" s="1">
        <v>42983</v>
      </c>
      <c r="B202" s="2" t="s">
        <v>67</v>
      </c>
      <c r="C202" s="2" t="s">
        <v>17</v>
      </c>
      <c r="D202">
        <v>5986</v>
      </c>
      <c r="E202">
        <v>222</v>
      </c>
      <c r="F202">
        <v>501</v>
      </c>
      <c r="G202" t="str">
        <f>CONCATENATE(kursy5[[#This Row],[Poczatek]],kursy5[[#This Row],[Koniec]])</f>
        <v>LublinTarnow</v>
      </c>
    </row>
    <row r="203" spans="1:7" x14ac:dyDescent="0.25">
      <c r="A203" s="1">
        <v>42984</v>
      </c>
      <c r="B203" s="2" t="s">
        <v>17</v>
      </c>
      <c r="C203" s="2" t="s">
        <v>39</v>
      </c>
      <c r="D203">
        <v>2750</v>
      </c>
      <c r="E203">
        <v>144</v>
      </c>
      <c r="F203">
        <v>422</v>
      </c>
      <c r="G203" t="str">
        <f>CONCATENATE(kursy5[[#This Row],[Poczatek]],kursy5[[#This Row],[Koniec]])</f>
        <v>TarnowZakopane</v>
      </c>
    </row>
    <row r="204" spans="1:7" x14ac:dyDescent="0.25">
      <c r="A204" s="1">
        <v>42985</v>
      </c>
      <c r="B204" s="2" t="s">
        <v>39</v>
      </c>
      <c r="C204" s="2" t="s">
        <v>50</v>
      </c>
      <c r="D204">
        <v>1381</v>
      </c>
      <c r="E204">
        <v>192</v>
      </c>
      <c r="F204">
        <v>556</v>
      </c>
      <c r="G204" t="str">
        <f>CONCATENATE(kursy5[[#This Row],[Poczatek]],kursy5[[#This Row],[Koniec]])</f>
        <v>ZakopaneBarwinek</v>
      </c>
    </row>
    <row r="205" spans="1:7" x14ac:dyDescent="0.25">
      <c r="A205" s="1">
        <v>42986</v>
      </c>
      <c r="B205" s="2" t="s">
        <v>60</v>
      </c>
      <c r="C205" s="2" t="s">
        <v>59</v>
      </c>
      <c r="D205">
        <v>2219</v>
      </c>
      <c r="E205">
        <v>136</v>
      </c>
      <c r="F205">
        <v>162</v>
      </c>
      <c r="G205" t="str">
        <f>CONCATENATE(kursy5[[#This Row],[Poczatek]],kursy5[[#This Row],[Koniec]])</f>
        <v>LodzWarszawa</v>
      </c>
    </row>
    <row r="206" spans="1:7" x14ac:dyDescent="0.25">
      <c r="A206" s="1">
        <v>42987</v>
      </c>
      <c r="B206" s="2" t="s">
        <v>59</v>
      </c>
      <c r="C206" s="2" t="s">
        <v>65</v>
      </c>
      <c r="D206">
        <v>5041</v>
      </c>
      <c r="E206">
        <v>101</v>
      </c>
      <c r="F206">
        <v>319</v>
      </c>
      <c r="G206" t="str">
        <f>CONCATENATE(kursy5[[#This Row],[Poczatek]],kursy5[[#This Row],[Koniec]])</f>
        <v>WarszawaSiedlce</v>
      </c>
    </row>
    <row r="207" spans="1:7" x14ac:dyDescent="0.25">
      <c r="A207" s="1">
        <v>42989</v>
      </c>
      <c r="B207" s="2" t="s">
        <v>31</v>
      </c>
      <c r="C207" s="2" t="s">
        <v>23</v>
      </c>
      <c r="D207">
        <v>4432</v>
      </c>
      <c r="E207">
        <v>159</v>
      </c>
      <c r="F207">
        <v>585</v>
      </c>
      <c r="G207" t="str">
        <f>CONCATENATE(kursy5[[#This Row],[Poczatek]],kursy5[[#This Row],[Koniec]])</f>
        <v>KoszalinSzczecin</v>
      </c>
    </row>
    <row r="208" spans="1:7" x14ac:dyDescent="0.25">
      <c r="A208" s="1">
        <v>42990</v>
      </c>
      <c r="B208" s="2" t="s">
        <v>6</v>
      </c>
      <c r="C208" s="2" t="s">
        <v>12</v>
      </c>
      <c r="D208">
        <v>2761</v>
      </c>
      <c r="E208">
        <v>129</v>
      </c>
      <c r="F208">
        <v>288</v>
      </c>
      <c r="G208" t="str">
        <f>CONCATENATE(kursy5[[#This Row],[Poczatek]],kursy5[[#This Row],[Koniec]])</f>
        <v>OlsztynCiechanow</v>
      </c>
    </row>
    <row r="209" spans="1:7" x14ac:dyDescent="0.25">
      <c r="A209" s="1">
        <v>42991</v>
      </c>
      <c r="B209" s="2" t="s">
        <v>12</v>
      </c>
      <c r="C209" s="2" t="s">
        <v>7</v>
      </c>
      <c r="D209">
        <v>2935</v>
      </c>
      <c r="E209">
        <v>162</v>
      </c>
      <c r="F209">
        <v>572</v>
      </c>
      <c r="G209" t="str">
        <f>CONCATENATE(kursy5[[#This Row],[Poczatek]],kursy5[[#This Row],[Koniec]])</f>
        <v>CiechanowTorun</v>
      </c>
    </row>
    <row r="210" spans="1:7" x14ac:dyDescent="0.25">
      <c r="A210" s="1">
        <v>42992</v>
      </c>
      <c r="B210" s="2" t="s">
        <v>36</v>
      </c>
      <c r="C210" s="2" t="s">
        <v>40</v>
      </c>
      <c r="D210">
        <v>3565</v>
      </c>
      <c r="E210">
        <v>176</v>
      </c>
      <c r="F210">
        <v>224</v>
      </c>
      <c r="G210" t="str">
        <f>CONCATENATE(kursy5[[#This Row],[Poczatek]],kursy5[[#This Row],[Koniec]])</f>
        <v>ElblagBydgoszcz</v>
      </c>
    </row>
    <row r="211" spans="1:7" x14ac:dyDescent="0.25">
      <c r="A211" s="1">
        <v>42993</v>
      </c>
      <c r="B211" s="2" t="s">
        <v>8</v>
      </c>
      <c r="C211" s="2" t="s">
        <v>38</v>
      </c>
      <c r="D211">
        <v>3096</v>
      </c>
      <c r="E211">
        <v>353</v>
      </c>
      <c r="F211">
        <v>993</v>
      </c>
      <c r="G211" t="str">
        <f>CONCATENATE(kursy5[[#This Row],[Poczatek]],kursy5[[#This Row],[Koniec]])</f>
        <v>PlockBielsko-Biala</v>
      </c>
    </row>
    <row r="212" spans="1:7" x14ac:dyDescent="0.25">
      <c r="A212" s="1">
        <v>42995</v>
      </c>
      <c r="B212" s="2" t="s">
        <v>50</v>
      </c>
      <c r="C212" s="2" t="s">
        <v>11</v>
      </c>
      <c r="D212">
        <v>3325</v>
      </c>
      <c r="E212">
        <v>517</v>
      </c>
      <c r="F212">
        <v>1107</v>
      </c>
      <c r="G212" t="str">
        <f>CONCATENATE(kursy5[[#This Row],[Poczatek]],kursy5[[#This Row],[Koniec]])</f>
        <v>BarwinekLomza</v>
      </c>
    </row>
    <row r="213" spans="1:7" x14ac:dyDescent="0.25">
      <c r="A213" s="1">
        <v>42997</v>
      </c>
      <c r="B213" s="2" t="s">
        <v>15</v>
      </c>
      <c r="C213" s="2" t="s">
        <v>59</v>
      </c>
      <c r="D213">
        <v>2563</v>
      </c>
      <c r="E213">
        <v>480</v>
      </c>
      <c r="F213">
        <v>1849</v>
      </c>
      <c r="G213" t="str">
        <f>CONCATENATE(kursy5[[#This Row],[Poczatek]],kursy5[[#This Row],[Koniec]])</f>
        <v>GubinWarszawa</v>
      </c>
    </row>
    <row r="214" spans="1:7" x14ac:dyDescent="0.25">
      <c r="A214" s="1">
        <v>42998</v>
      </c>
      <c r="B214" s="2" t="s">
        <v>59</v>
      </c>
      <c r="C214" s="2" t="s">
        <v>19</v>
      </c>
      <c r="D214">
        <v>2914</v>
      </c>
      <c r="E214">
        <v>104</v>
      </c>
      <c r="F214">
        <v>275</v>
      </c>
      <c r="G214" t="str">
        <f>CONCATENATE(kursy5[[#This Row],[Poczatek]],kursy5[[#This Row],[Koniec]])</f>
        <v>WarszawaRadom</v>
      </c>
    </row>
    <row r="215" spans="1:7" x14ac:dyDescent="0.25">
      <c r="A215" s="1">
        <v>42999</v>
      </c>
      <c r="B215" s="2" t="s">
        <v>19</v>
      </c>
      <c r="C215" s="2" t="s">
        <v>29</v>
      </c>
      <c r="D215">
        <v>2832</v>
      </c>
      <c r="E215">
        <v>106</v>
      </c>
      <c r="F215">
        <v>396</v>
      </c>
      <c r="G215" t="str">
        <f>CONCATENATE(kursy5[[#This Row],[Poczatek]],kursy5[[#This Row],[Koniec]])</f>
        <v>RadomPiotrkow Trybunalski</v>
      </c>
    </row>
    <row r="216" spans="1:7" x14ac:dyDescent="0.25">
      <c r="A216" s="1">
        <v>43000</v>
      </c>
      <c r="B216" s="2" t="s">
        <v>59</v>
      </c>
      <c r="C216" s="2" t="s">
        <v>43</v>
      </c>
      <c r="D216">
        <v>5257</v>
      </c>
      <c r="E216">
        <v>407</v>
      </c>
      <c r="F216">
        <v>551</v>
      </c>
      <c r="G216" t="str">
        <f>CONCATENATE(kursy5[[#This Row],[Poczatek]],kursy5[[#This Row],[Koniec]])</f>
        <v>WarszawaWalbrzych</v>
      </c>
    </row>
    <row r="217" spans="1:7" x14ac:dyDescent="0.25">
      <c r="A217" s="1">
        <v>43001</v>
      </c>
      <c r="B217" s="2" t="s">
        <v>57</v>
      </c>
      <c r="C217" s="2" t="s">
        <v>43</v>
      </c>
      <c r="D217">
        <v>5983</v>
      </c>
      <c r="E217">
        <v>227</v>
      </c>
      <c r="F217">
        <v>832</v>
      </c>
      <c r="G217" t="str">
        <f>CONCATENATE(kursy5[[#This Row],[Poczatek]],kursy5[[#This Row],[Koniec]])</f>
        <v>ChalupkiWalbrzych</v>
      </c>
    </row>
    <row r="218" spans="1:7" x14ac:dyDescent="0.25">
      <c r="A218" s="1">
        <v>43002</v>
      </c>
      <c r="B218" s="2" t="s">
        <v>43</v>
      </c>
      <c r="C218" s="2" t="s">
        <v>64</v>
      </c>
      <c r="D218">
        <v>4378</v>
      </c>
      <c r="E218">
        <v>187</v>
      </c>
      <c r="F218">
        <v>653</v>
      </c>
      <c r="G218" t="str">
        <f>CONCATENATE(kursy5[[#This Row],[Poczatek]],kursy5[[#This Row],[Koniec]])</f>
        <v>WalbrzychOlszyna</v>
      </c>
    </row>
    <row r="219" spans="1:7" x14ac:dyDescent="0.25">
      <c r="A219" s="1">
        <v>43003</v>
      </c>
      <c r="B219" s="2" t="s">
        <v>64</v>
      </c>
      <c r="C219" s="2" t="s">
        <v>25</v>
      </c>
      <c r="D219">
        <v>3108</v>
      </c>
      <c r="E219">
        <v>114</v>
      </c>
      <c r="F219">
        <v>174</v>
      </c>
      <c r="G219" t="str">
        <f>CONCATENATE(kursy5[[#This Row],[Poczatek]],kursy5[[#This Row],[Koniec]])</f>
        <v>OlszynaKostrzyn</v>
      </c>
    </row>
    <row r="220" spans="1:7" x14ac:dyDescent="0.25">
      <c r="A220" s="1">
        <v>43004</v>
      </c>
      <c r="B220" s="2" t="s">
        <v>25</v>
      </c>
      <c r="C220" s="2" t="s">
        <v>52</v>
      </c>
      <c r="D220">
        <v>2133</v>
      </c>
      <c r="E220">
        <v>166</v>
      </c>
      <c r="F220">
        <v>513</v>
      </c>
      <c r="G220" t="str">
        <f>CONCATENATE(kursy5[[#This Row],[Poczatek]],kursy5[[#This Row],[Koniec]])</f>
        <v>KostrzynZgorzelec</v>
      </c>
    </row>
    <row r="221" spans="1:7" x14ac:dyDescent="0.25">
      <c r="A221" s="1">
        <v>43005</v>
      </c>
      <c r="B221" s="2" t="s">
        <v>52</v>
      </c>
      <c r="C221" s="2" t="s">
        <v>48</v>
      </c>
      <c r="D221">
        <v>1125</v>
      </c>
      <c r="E221">
        <v>98</v>
      </c>
      <c r="F221">
        <v>194</v>
      </c>
      <c r="G221" t="str">
        <f>CONCATENATE(kursy5[[#This Row],[Poczatek]],kursy5[[#This Row],[Koniec]])</f>
        <v>ZgorzelecZielona Gora</v>
      </c>
    </row>
    <row r="222" spans="1:7" x14ac:dyDescent="0.25">
      <c r="A222" s="1">
        <v>43006</v>
      </c>
      <c r="B222" s="2" t="s">
        <v>48</v>
      </c>
      <c r="C222" s="2" t="s">
        <v>25</v>
      </c>
      <c r="D222">
        <v>4375</v>
      </c>
      <c r="E222">
        <v>140</v>
      </c>
      <c r="F222">
        <v>134</v>
      </c>
      <c r="G222" t="str">
        <f>CONCATENATE(kursy5[[#This Row],[Poczatek]],kursy5[[#This Row],[Koniec]])</f>
        <v>Zielona GoraKostrzyn</v>
      </c>
    </row>
    <row r="223" spans="1:7" x14ac:dyDescent="0.25">
      <c r="A223" s="1">
        <v>43008</v>
      </c>
      <c r="B223" s="2" t="s">
        <v>41</v>
      </c>
      <c r="C223" s="2" t="s">
        <v>12</v>
      </c>
      <c r="D223">
        <v>5455</v>
      </c>
      <c r="E223">
        <v>124</v>
      </c>
      <c r="F223">
        <v>231</v>
      </c>
      <c r="G223" t="str">
        <f>CONCATENATE(kursy5[[#This Row],[Poczatek]],kursy5[[#This Row],[Koniec]])</f>
        <v>WloclawekCiechanow</v>
      </c>
    </row>
    <row r="224" spans="1:7" x14ac:dyDescent="0.25">
      <c r="A224" s="1">
        <v>43009</v>
      </c>
      <c r="B224" s="2" t="s">
        <v>29</v>
      </c>
      <c r="C224" s="2" t="s">
        <v>28</v>
      </c>
      <c r="D224">
        <v>4649</v>
      </c>
      <c r="E224">
        <v>125</v>
      </c>
      <c r="F224">
        <v>356</v>
      </c>
      <c r="G224" t="str">
        <f>CONCATENATE(kursy5[[#This Row],[Poczatek]],kursy5[[#This Row],[Koniec]])</f>
        <v>Piotrkow TrybunalskiKalisz</v>
      </c>
    </row>
    <row r="225" spans="1:7" x14ac:dyDescent="0.25">
      <c r="A225" s="1">
        <v>43010</v>
      </c>
      <c r="B225" s="2" t="s">
        <v>28</v>
      </c>
      <c r="C225" s="2" t="s">
        <v>60</v>
      </c>
      <c r="D225">
        <v>4016</v>
      </c>
      <c r="E225">
        <v>115</v>
      </c>
      <c r="F225">
        <v>145</v>
      </c>
      <c r="G225" t="str">
        <f>CONCATENATE(kursy5[[#This Row],[Poczatek]],kursy5[[#This Row],[Koniec]])</f>
        <v>KaliszLodz</v>
      </c>
    </row>
    <row r="226" spans="1:7" x14ac:dyDescent="0.25">
      <c r="A226" s="1">
        <v>43011</v>
      </c>
      <c r="B226" s="2" t="s">
        <v>60</v>
      </c>
      <c r="C226" s="2" t="s">
        <v>32</v>
      </c>
      <c r="D226">
        <v>1211</v>
      </c>
      <c r="E226">
        <v>139</v>
      </c>
      <c r="F226">
        <v>218</v>
      </c>
      <c r="G226" t="str">
        <f>CONCATENATE(kursy5[[#This Row],[Poczatek]],kursy5[[#This Row],[Koniec]])</f>
        <v>LodzCzestochowa</v>
      </c>
    </row>
    <row r="227" spans="1:7" x14ac:dyDescent="0.25">
      <c r="A227" s="1">
        <v>43012</v>
      </c>
      <c r="B227" s="2" t="s">
        <v>32</v>
      </c>
      <c r="C227" s="2" t="s">
        <v>42</v>
      </c>
      <c r="D227">
        <v>4633</v>
      </c>
      <c r="E227">
        <v>120</v>
      </c>
      <c r="F227">
        <v>280</v>
      </c>
      <c r="G227" t="str">
        <f>CONCATENATE(kursy5[[#This Row],[Poczatek]],kursy5[[#This Row],[Koniec]])</f>
        <v>CzestochowaSieradz</v>
      </c>
    </row>
    <row r="228" spans="1:7" x14ac:dyDescent="0.25">
      <c r="A228" s="1">
        <v>43013</v>
      </c>
      <c r="B228" s="2" t="s">
        <v>42</v>
      </c>
      <c r="C228" s="2" t="s">
        <v>37</v>
      </c>
      <c r="D228">
        <v>2488</v>
      </c>
      <c r="E228">
        <v>144</v>
      </c>
      <c r="F228">
        <v>252</v>
      </c>
      <c r="G228" t="str">
        <f>CONCATENATE(kursy5[[#This Row],[Poczatek]],kursy5[[#This Row],[Koniec]])</f>
        <v>SieradzOpole</v>
      </c>
    </row>
    <row r="229" spans="1:7" x14ac:dyDescent="0.25">
      <c r="A229" s="1">
        <v>43014</v>
      </c>
      <c r="B229" s="2" t="s">
        <v>37</v>
      </c>
      <c r="C229" s="2" t="s">
        <v>35</v>
      </c>
      <c r="D229">
        <v>5798</v>
      </c>
      <c r="E229">
        <v>142</v>
      </c>
      <c r="F229">
        <v>501</v>
      </c>
      <c r="G229" t="str">
        <f>CONCATENATE(kursy5[[#This Row],[Poczatek]],kursy5[[#This Row],[Koniec]])</f>
        <v>OpoleKudowa-Slone</v>
      </c>
    </row>
    <row r="230" spans="1:7" x14ac:dyDescent="0.25">
      <c r="A230" s="1">
        <v>43015</v>
      </c>
      <c r="B230" s="2" t="s">
        <v>42</v>
      </c>
      <c r="C230" s="2" t="s">
        <v>62</v>
      </c>
      <c r="D230">
        <v>2918</v>
      </c>
      <c r="E230">
        <v>181</v>
      </c>
      <c r="F230">
        <v>289</v>
      </c>
      <c r="G230" t="str">
        <f>CONCATENATE(kursy5[[#This Row],[Poczatek]],kursy5[[#This Row],[Koniec]])</f>
        <v>SieradzLeszno</v>
      </c>
    </row>
    <row r="231" spans="1:7" x14ac:dyDescent="0.25">
      <c r="A231" s="1">
        <v>43016</v>
      </c>
      <c r="B231" s="2" t="s">
        <v>62</v>
      </c>
      <c r="C231" s="2" t="s">
        <v>61</v>
      </c>
      <c r="D231">
        <v>1886</v>
      </c>
      <c r="E231">
        <v>110</v>
      </c>
      <c r="F231">
        <v>254</v>
      </c>
      <c r="G231" t="str">
        <f>CONCATENATE(kursy5[[#This Row],[Poczatek]],kursy5[[#This Row],[Koniec]])</f>
        <v>LesznoLegnica</v>
      </c>
    </row>
    <row r="232" spans="1:7" x14ac:dyDescent="0.25">
      <c r="A232" s="1">
        <v>43017</v>
      </c>
      <c r="B232" s="2" t="s">
        <v>70</v>
      </c>
      <c r="C232" s="2" t="s">
        <v>30</v>
      </c>
      <c r="D232">
        <v>4431</v>
      </c>
      <c r="E232">
        <v>128</v>
      </c>
      <c r="F232">
        <v>213</v>
      </c>
      <c r="G232" t="str">
        <f>CONCATENATE(kursy5[[#This Row],[Poczatek]],kursy5[[#This Row],[Koniec]])</f>
        <v>SlupskGdansk</v>
      </c>
    </row>
    <row r="233" spans="1:7" x14ac:dyDescent="0.25">
      <c r="A233" s="1">
        <v>43018</v>
      </c>
      <c r="B233" s="2" t="s">
        <v>30</v>
      </c>
      <c r="C233" s="2" t="s">
        <v>40</v>
      </c>
      <c r="D233">
        <v>1956</v>
      </c>
      <c r="E233">
        <v>176</v>
      </c>
      <c r="F233">
        <v>248</v>
      </c>
      <c r="G233" t="str">
        <f>CONCATENATE(kursy5[[#This Row],[Poczatek]],kursy5[[#This Row],[Koniec]])</f>
        <v>GdanskBydgoszcz</v>
      </c>
    </row>
    <row r="234" spans="1:7" x14ac:dyDescent="0.25">
      <c r="A234" s="1">
        <v>43019</v>
      </c>
      <c r="B234" s="2" t="s">
        <v>15</v>
      </c>
      <c r="C234" s="2" t="s">
        <v>26</v>
      </c>
      <c r="D234">
        <v>4059</v>
      </c>
      <c r="E234">
        <v>162</v>
      </c>
      <c r="F234">
        <v>550</v>
      </c>
      <c r="G234" t="str">
        <f>CONCATENATE(kursy5[[#This Row],[Poczatek]],kursy5[[#This Row],[Koniec]])</f>
        <v>GubinGorzow Wielkopolski</v>
      </c>
    </row>
    <row r="235" spans="1:7" x14ac:dyDescent="0.25">
      <c r="A235" s="1">
        <v>43020</v>
      </c>
      <c r="B235" s="2" t="s">
        <v>26</v>
      </c>
      <c r="C235" s="2" t="s">
        <v>23</v>
      </c>
      <c r="D235">
        <v>2157</v>
      </c>
      <c r="E235">
        <v>115</v>
      </c>
      <c r="F235">
        <v>182</v>
      </c>
      <c r="G235" t="str">
        <f>CONCATENATE(kursy5[[#This Row],[Poczatek]],kursy5[[#This Row],[Koniec]])</f>
        <v>Gorzow WielkopolskiSzczecin</v>
      </c>
    </row>
    <row r="236" spans="1:7" x14ac:dyDescent="0.25">
      <c r="A236" s="1">
        <v>43021</v>
      </c>
      <c r="B236" s="2" t="s">
        <v>23</v>
      </c>
      <c r="C236" s="2" t="s">
        <v>24</v>
      </c>
      <c r="D236">
        <v>3353</v>
      </c>
      <c r="E236">
        <v>117</v>
      </c>
      <c r="F236">
        <v>312</v>
      </c>
      <c r="G236" t="str">
        <f>CONCATENATE(kursy5[[#This Row],[Poczatek]],kursy5[[#This Row],[Koniec]])</f>
        <v>SzczecinSwinoujscie</v>
      </c>
    </row>
    <row r="237" spans="1:7" x14ac:dyDescent="0.25">
      <c r="A237" s="1">
        <v>43022</v>
      </c>
      <c r="B237" s="2" t="s">
        <v>24</v>
      </c>
      <c r="C237" s="2" t="s">
        <v>21</v>
      </c>
      <c r="D237">
        <v>4677</v>
      </c>
      <c r="E237">
        <v>219</v>
      </c>
      <c r="F237">
        <v>255</v>
      </c>
      <c r="G237" t="str">
        <f>CONCATENATE(kursy5[[#This Row],[Poczatek]],kursy5[[#This Row],[Koniec]])</f>
        <v>SwinoujsciePila</v>
      </c>
    </row>
    <row r="238" spans="1:7" x14ac:dyDescent="0.25">
      <c r="A238" s="1">
        <v>43023</v>
      </c>
      <c r="B238" s="2" t="s">
        <v>21</v>
      </c>
      <c r="C238" s="2" t="s">
        <v>25</v>
      </c>
      <c r="D238">
        <v>2059</v>
      </c>
      <c r="E238">
        <v>164</v>
      </c>
      <c r="F238">
        <v>630</v>
      </c>
      <c r="G238" t="str">
        <f>CONCATENATE(kursy5[[#This Row],[Poczatek]],kursy5[[#This Row],[Koniec]])</f>
        <v>PilaKostrzyn</v>
      </c>
    </row>
    <row r="239" spans="1:7" x14ac:dyDescent="0.25">
      <c r="A239" s="1">
        <v>43025</v>
      </c>
      <c r="B239" s="2" t="s">
        <v>8</v>
      </c>
      <c r="C239" s="2" t="s">
        <v>29</v>
      </c>
      <c r="D239">
        <v>5537</v>
      </c>
      <c r="E239">
        <v>141</v>
      </c>
      <c r="F239">
        <v>240</v>
      </c>
      <c r="G239" t="str">
        <f>CONCATENATE(kursy5[[#This Row],[Poczatek]],kursy5[[#This Row],[Koniec]])</f>
        <v>PlockPiotrkow Trybunalski</v>
      </c>
    </row>
    <row r="240" spans="1:7" x14ac:dyDescent="0.25">
      <c r="A240" s="1">
        <v>43026</v>
      </c>
      <c r="B240" s="2" t="s">
        <v>29</v>
      </c>
      <c r="C240" s="2" t="s">
        <v>59</v>
      </c>
      <c r="D240">
        <v>2987</v>
      </c>
      <c r="E240">
        <v>149</v>
      </c>
      <c r="F240">
        <v>464</v>
      </c>
      <c r="G240" t="str">
        <f>CONCATENATE(kursy5[[#This Row],[Poczatek]],kursy5[[#This Row],[Koniec]])</f>
        <v>Piotrkow TrybunalskiWarszawa</v>
      </c>
    </row>
    <row r="241" spans="1:7" x14ac:dyDescent="0.25">
      <c r="A241" s="1">
        <v>43028</v>
      </c>
      <c r="B241" s="2" t="s">
        <v>69</v>
      </c>
      <c r="C241" s="2" t="s">
        <v>67</v>
      </c>
      <c r="D241">
        <v>5570</v>
      </c>
      <c r="E241">
        <v>166</v>
      </c>
      <c r="F241">
        <v>577</v>
      </c>
      <c r="G241" t="str">
        <f>CONCATENATE(kursy5[[#This Row],[Poczatek]],kursy5[[#This Row],[Koniec]])</f>
        <v>TerespolLublin</v>
      </c>
    </row>
    <row r="242" spans="1:7" x14ac:dyDescent="0.25">
      <c r="A242" s="1">
        <v>43029</v>
      </c>
      <c r="B242" s="2" t="s">
        <v>67</v>
      </c>
      <c r="C242" s="2" t="s">
        <v>66</v>
      </c>
      <c r="D242">
        <v>3948</v>
      </c>
      <c r="E242">
        <v>137</v>
      </c>
      <c r="F242">
        <v>469</v>
      </c>
      <c r="G242" t="str">
        <f>CONCATENATE(kursy5[[#This Row],[Poczatek]],kursy5[[#This Row],[Koniec]])</f>
        <v>LublinHrebenne</v>
      </c>
    </row>
    <row r="243" spans="1:7" x14ac:dyDescent="0.25">
      <c r="A243" s="1">
        <v>43030</v>
      </c>
      <c r="B243" s="2" t="s">
        <v>56</v>
      </c>
      <c r="C243" s="2" t="s">
        <v>59</v>
      </c>
      <c r="D243">
        <v>4201</v>
      </c>
      <c r="E243">
        <v>380</v>
      </c>
      <c r="F243">
        <v>528</v>
      </c>
      <c r="G243" t="str">
        <f>CONCATENATE(kursy5[[#This Row],[Poczatek]],kursy5[[#This Row],[Koniec]])</f>
        <v>PrzemyslWarszawa</v>
      </c>
    </row>
    <row r="244" spans="1:7" x14ac:dyDescent="0.25">
      <c r="A244" s="1">
        <v>43031</v>
      </c>
      <c r="B244" s="2" t="s">
        <v>59</v>
      </c>
      <c r="C244" s="2" t="s">
        <v>12</v>
      </c>
      <c r="D244">
        <v>3592</v>
      </c>
      <c r="E244">
        <v>109</v>
      </c>
      <c r="F244">
        <v>134</v>
      </c>
      <c r="G244" t="str">
        <f>CONCATENATE(kursy5[[#This Row],[Poczatek]],kursy5[[#This Row],[Koniec]])</f>
        <v>WarszawaCiechanow</v>
      </c>
    </row>
    <row r="245" spans="1:7" x14ac:dyDescent="0.25">
      <c r="A245" s="1">
        <v>43032</v>
      </c>
      <c r="B245" s="2" t="s">
        <v>12</v>
      </c>
      <c r="C245" s="2" t="s">
        <v>41</v>
      </c>
      <c r="D245">
        <v>4543</v>
      </c>
      <c r="E245">
        <v>135</v>
      </c>
      <c r="F245">
        <v>345</v>
      </c>
      <c r="G245" t="str">
        <f>CONCATENATE(kursy5[[#This Row],[Poczatek]],kursy5[[#This Row],[Koniec]])</f>
        <v>CiechanowWloclawek</v>
      </c>
    </row>
    <row r="246" spans="1:7" x14ac:dyDescent="0.25">
      <c r="A246" s="1">
        <v>43034</v>
      </c>
      <c r="B246" s="2" t="s">
        <v>12</v>
      </c>
      <c r="C246" s="2" t="s">
        <v>9</v>
      </c>
      <c r="D246">
        <v>1813</v>
      </c>
      <c r="E246">
        <v>86</v>
      </c>
      <c r="F246">
        <v>163</v>
      </c>
      <c r="G246" t="str">
        <f>CONCATENATE(kursy5[[#This Row],[Poczatek]],kursy5[[#This Row],[Koniec]])</f>
        <v>CiechanowOstroleka</v>
      </c>
    </row>
    <row r="247" spans="1:7" x14ac:dyDescent="0.25">
      <c r="A247" s="1">
        <v>43035</v>
      </c>
      <c r="B247" s="2" t="s">
        <v>38</v>
      </c>
      <c r="C247" s="2" t="s">
        <v>49</v>
      </c>
      <c r="D247">
        <v>4567</v>
      </c>
      <c r="E247">
        <v>31</v>
      </c>
      <c r="F247">
        <v>54</v>
      </c>
      <c r="G247" t="str">
        <f>CONCATENATE(kursy5[[#This Row],[Poczatek]],kursy5[[#This Row],[Koniec]])</f>
        <v>Bielsko-BialaCieszyn</v>
      </c>
    </row>
    <row r="248" spans="1:7" x14ac:dyDescent="0.25">
      <c r="A248" s="1">
        <v>43036</v>
      </c>
      <c r="B248" s="2" t="s">
        <v>49</v>
      </c>
      <c r="C248" s="2" t="s">
        <v>37</v>
      </c>
      <c r="D248">
        <v>1830</v>
      </c>
      <c r="E248">
        <v>152</v>
      </c>
      <c r="F248">
        <v>301</v>
      </c>
      <c r="G248" t="str">
        <f>CONCATENATE(kursy5[[#This Row],[Poczatek]],kursy5[[#This Row],[Koniec]])</f>
        <v>CieszynOpole</v>
      </c>
    </row>
    <row r="249" spans="1:7" x14ac:dyDescent="0.25">
      <c r="A249" s="1">
        <v>43037</v>
      </c>
      <c r="B249" s="2" t="s">
        <v>37</v>
      </c>
      <c r="C249" s="2" t="s">
        <v>57</v>
      </c>
      <c r="D249">
        <v>3678</v>
      </c>
      <c r="E249">
        <v>104</v>
      </c>
      <c r="F249">
        <v>275</v>
      </c>
      <c r="G249" t="str">
        <f>CONCATENATE(kursy5[[#This Row],[Poczatek]],kursy5[[#This Row],[Koniec]])</f>
        <v>OpoleChalupki</v>
      </c>
    </row>
    <row r="250" spans="1:7" x14ac:dyDescent="0.25">
      <c r="A250" s="1">
        <v>43038</v>
      </c>
      <c r="B250" s="2" t="s">
        <v>17</v>
      </c>
      <c r="C250" s="2" t="s">
        <v>38</v>
      </c>
      <c r="D250">
        <v>1782</v>
      </c>
      <c r="E250">
        <v>171</v>
      </c>
      <c r="F250">
        <v>193</v>
      </c>
      <c r="G250" t="str">
        <f>CONCATENATE(kursy5[[#This Row],[Poczatek]],kursy5[[#This Row],[Koniec]])</f>
        <v>TarnowBielsko-Biala</v>
      </c>
    </row>
    <row r="251" spans="1:7" x14ac:dyDescent="0.25">
      <c r="A251" s="1">
        <v>43040</v>
      </c>
      <c r="B251" s="2" t="s">
        <v>12</v>
      </c>
      <c r="C251" s="2" t="s">
        <v>6</v>
      </c>
      <c r="D251">
        <v>2966</v>
      </c>
      <c r="E251">
        <v>125</v>
      </c>
      <c r="F251">
        <v>170</v>
      </c>
      <c r="G251" t="str">
        <f>CONCATENATE(kursy5[[#This Row],[Poczatek]],kursy5[[#This Row],[Koniec]])</f>
        <v>CiechanowOlsztyn</v>
      </c>
    </row>
    <row r="252" spans="1:7" x14ac:dyDescent="0.25">
      <c r="A252" s="1">
        <v>43042</v>
      </c>
      <c r="B252" s="2" t="s">
        <v>32</v>
      </c>
      <c r="C252" s="2" t="s">
        <v>47</v>
      </c>
      <c r="D252">
        <v>4746</v>
      </c>
      <c r="E252">
        <v>131</v>
      </c>
      <c r="F252">
        <v>245</v>
      </c>
      <c r="G252" t="str">
        <f>CONCATENATE(kursy5[[#This Row],[Poczatek]],kursy5[[#This Row],[Koniec]])</f>
        <v>CzestochowaKielce</v>
      </c>
    </row>
    <row r="253" spans="1:7" x14ac:dyDescent="0.25">
      <c r="A253" s="1">
        <v>43044</v>
      </c>
      <c r="B253" s="2" t="s">
        <v>37</v>
      </c>
      <c r="C253" s="2" t="s">
        <v>18</v>
      </c>
      <c r="D253">
        <v>3161</v>
      </c>
      <c r="E253">
        <v>101</v>
      </c>
      <c r="F253">
        <v>115</v>
      </c>
      <c r="G253" t="str">
        <f>CONCATENATE(kursy5[[#This Row],[Poczatek]],kursy5[[#This Row],[Koniec]])</f>
        <v>OpoleKatowice</v>
      </c>
    </row>
    <row r="254" spans="1:7" x14ac:dyDescent="0.25">
      <c r="A254" s="1">
        <v>43045</v>
      </c>
      <c r="B254" s="2" t="s">
        <v>60</v>
      </c>
      <c r="C254" s="2" t="s">
        <v>71</v>
      </c>
      <c r="D254">
        <v>3600</v>
      </c>
      <c r="E254">
        <v>211</v>
      </c>
      <c r="F254">
        <v>670</v>
      </c>
      <c r="G254" t="str">
        <f>CONCATENATE(kursy5[[#This Row],[Poczatek]],kursy5[[#This Row],[Koniec]])</f>
        <v>LodzBialystok</v>
      </c>
    </row>
    <row r="255" spans="1:7" x14ac:dyDescent="0.25">
      <c r="A255" s="1">
        <v>43046</v>
      </c>
      <c r="B255" s="2" t="s">
        <v>71</v>
      </c>
      <c r="C255" s="2" t="s">
        <v>10</v>
      </c>
      <c r="D255">
        <v>4093</v>
      </c>
      <c r="E255">
        <v>119</v>
      </c>
      <c r="F255">
        <v>254</v>
      </c>
      <c r="G255" t="str">
        <f>CONCATENATE(kursy5[[#This Row],[Poczatek]],kursy5[[#This Row],[Koniec]])</f>
        <v>BialystokSuwalki</v>
      </c>
    </row>
    <row r="256" spans="1:7" x14ac:dyDescent="0.25">
      <c r="A256" s="1">
        <v>43047</v>
      </c>
      <c r="B256" s="2" t="s">
        <v>10</v>
      </c>
      <c r="C256" s="2" t="s">
        <v>9</v>
      </c>
      <c r="D256">
        <v>1981</v>
      </c>
      <c r="E256">
        <v>159</v>
      </c>
      <c r="F256">
        <v>192</v>
      </c>
      <c r="G256" t="str">
        <f>CONCATENATE(kursy5[[#This Row],[Poczatek]],kursy5[[#This Row],[Koniec]])</f>
        <v>SuwalkiOstroleka</v>
      </c>
    </row>
    <row r="257" spans="1:7" x14ac:dyDescent="0.25">
      <c r="A257" s="1">
        <v>43048</v>
      </c>
      <c r="B257" s="2" t="s">
        <v>9</v>
      </c>
      <c r="C257" s="2" t="s">
        <v>6</v>
      </c>
      <c r="D257">
        <v>3154</v>
      </c>
      <c r="E257">
        <v>127</v>
      </c>
      <c r="F257">
        <v>390</v>
      </c>
      <c r="G257" t="str">
        <f>CONCATENATE(kursy5[[#This Row],[Poczatek]],kursy5[[#This Row],[Koniec]])</f>
        <v>OstrolekaOlsztyn</v>
      </c>
    </row>
    <row r="258" spans="1:7" x14ac:dyDescent="0.25">
      <c r="A258" s="1">
        <v>43051</v>
      </c>
      <c r="B258" s="2" t="s">
        <v>8</v>
      </c>
      <c r="C258" s="2" t="s">
        <v>67</v>
      </c>
      <c r="D258">
        <v>4876</v>
      </c>
      <c r="E258">
        <v>280</v>
      </c>
      <c r="F258">
        <v>688</v>
      </c>
      <c r="G258" t="str">
        <f>CONCATENATE(kursy5[[#This Row],[Poczatek]],kursy5[[#This Row],[Koniec]])</f>
        <v>PlockLublin</v>
      </c>
    </row>
    <row r="259" spans="1:7" x14ac:dyDescent="0.25">
      <c r="A259" s="1">
        <v>43052</v>
      </c>
      <c r="B259" s="2" t="s">
        <v>67</v>
      </c>
      <c r="C259" s="2" t="s">
        <v>66</v>
      </c>
      <c r="D259">
        <v>5153</v>
      </c>
      <c r="E259">
        <v>141</v>
      </c>
      <c r="F259">
        <v>547</v>
      </c>
      <c r="G259" t="str">
        <f>CONCATENATE(kursy5[[#This Row],[Poczatek]],kursy5[[#This Row],[Koniec]])</f>
        <v>LublinHrebenne</v>
      </c>
    </row>
    <row r="260" spans="1:7" x14ac:dyDescent="0.25">
      <c r="A260" s="1">
        <v>43053</v>
      </c>
      <c r="B260" s="2" t="s">
        <v>66</v>
      </c>
      <c r="C260" s="2" t="s">
        <v>45</v>
      </c>
      <c r="D260">
        <v>1720</v>
      </c>
      <c r="E260">
        <v>122</v>
      </c>
      <c r="F260">
        <v>363</v>
      </c>
      <c r="G260" t="str">
        <f>CONCATENATE(kursy5[[#This Row],[Poczatek]],kursy5[[#This Row],[Koniec]])</f>
        <v>HrebenneMedyka</v>
      </c>
    </row>
    <row r="261" spans="1:7" x14ac:dyDescent="0.25">
      <c r="A261" s="1">
        <v>43054</v>
      </c>
      <c r="B261" s="2" t="s">
        <v>45</v>
      </c>
      <c r="C261" s="2" t="s">
        <v>44</v>
      </c>
      <c r="D261">
        <v>5392</v>
      </c>
      <c r="E261">
        <v>161</v>
      </c>
      <c r="F261">
        <v>240</v>
      </c>
      <c r="G261" t="str">
        <f>CONCATENATE(kursy5[[#This Row],[Poczatek]],kursy5[[#This Row],[Koniec]])</f>
        <v>MedykaZamosc</v>
      </c>
    </row>
    <row r="262" spans="1:7" x14ac:dyDescent="0.25">
      <c r="A262" s="1">
        <v>43055</v>
      </c>
      <c r="B262" s="2" t="s">
        <v>70</v>
      </c>
      <c r="C262" s="2" t="s">
        <v>23</v>
      </c>
      <c r="D262">
        <v>1698</v>
      </c>
      <c r="E262">
        <v>224</v>
      </c>
      <c r="F262">
        <v>579</v>
      </c>
      <c r="G262" t="str">
        <f>CONCATENATE(kursy5[[#This Row],[Poczatek]],kursy5[[#This Row],[Koniec]])</f>
        <v>SlupskSzczecin</v>
      </c>
    </row>
    <row r="263" spans="1:7" x14ac:dyDescent="0.25">
      <c r="A263" s="1">
        <v>43056</v>
      </c>
      <c r="B263" s="2" t="s">
        <v>23</v>
      </c>
      <c r="C263" s="2" t="s">
        <v>21</v>
      </c>
      <c r="D263">
        <v>3411</v>
      </c>
      <c r="E263">
        <v>166</v>
      </c>
      <c r="F263">
        <v>574</v>
      </c>
      <c r="G263" t="str">
        <f>CONCATENATE(kursy5[[#This Row],[Poczatek]],kursy5[[#This Row],[Koniec]])</f>
        <v>SzczecinPila</v>
      </c>
    </row>
    <row r="264" spans="1:7" x14ac:dyDescent="0.25">
      <c r="A264" s="1">
        <v>43057</v>
      </c>
      <c r="B264" s="2" t="s">
        <v>21</v>
      </c>
      <c r="C264" s="2" t="s">
        <v>14</v>
      </c>
      <c r="D264">
        <v>5558</v>
      </c>
      <c r="E264">
        <v>107</v>
      </c>
      <c r="F264">
        <v>202</v>
      </c>
      <c r="G264" t="str">
        <f>CONCATENATE(kursy5[[#This Row],[Poczatek]],kursy5[[#This Row],[Koniec]])</f>
        <v>PilaPoznan</v>
      </c>
    </row>
    <row r="265" spans="1:7" x14ac:dyDescent="0.25">
      <c r="A265" s="1">
        <v>43058</v>
      </c>
      <c r="B265" s="2" t="s">
        <v>14</v>
      </c>
      <c r="C265" s="2" t="s">
        <v>40</v>
      </c>
      <c r="D265">
        <v>2592</v>
      </c>
      <c r="E265">
        <v>136</v>
      </c>
      <c r="F265">
        <v>325</v>
      </c>
      <c r="G265" t="str">
        <f>CONCATENATE(kursy5[[#This Row],[Poczatek]],kursy5[[#This Row],[Koniec]])</f>
        <v>PoznanBydgoszcz</v>
      </c>
    </row>
    <row r="266" spans="1:7" x14ac:dyDescent="0.25">
      <c r="A266" s="1">
        <v>43059</v>
      </c>
      <c r="B266" s="2" t="s">
        <v>40</v>
      </c>
      <c r="C266" s="2" t="s">
        <v>30</v>
      </c>
      <c r="D266">
        <v>5214</v>
      </c>
      <c r="E266">
        <v>178</v>
      </c>
      <c r="F266">
        <v>634</v>
      </c>
      <c r="G266" t="str">
        <f>CONCATENATE(kursy5[[#This Row],[Poczatek]],kursy5[[#This Row],[Koniec]])</f>
        <v>BydgoszczGdansk</v>
      </c>
    </row>
    <row r="267" spans="1:7" x14ac:dyDescent="0.25">
      <c r="A267" s="1">
        <v>43060</v>
      </c>
      <c r="B267" s="2" t="s">
        <v>30</v>
      </c>
      <c r="C267" s="2" t="s">
        <v>40</v>
      </c>
      <c r="D267">
        <v>5491</v>
      </c>
      <c r="E267">
        <v>162</v>
      </c>
      <c r="F267">
        <v>408</v>
      </c>
      <c r="G267" t="str">
        <f>CONCATENATE(kursy5[[#This Row],[Poczatek]],kursy5[[#This Row],[Koniec]])</f>
        <v>GdanskBydgoszcz</v>
      </c>
    </row>
    <row r="268" spans="1:7" x14ac:dyDescent="0.25">
      <c r="A268" s="1">
        <v>43061</v>
      </c>
      <c r="B268" s="2" t="s">
        <v>16</v>
      </c>
      <c r="C268" s="2" t="s">
        <v>35</v>
      </c>
      <c r="D268">
        <v>4594</v>
      </c>
      <c r="E268">
        <v>443</v>
      </c>
      <c r="F268">
        <v>1098</v>
      </c>
      <c r="G268" t="str">
        <f>CONCATENATE(kursy5[[#This Row],[Poczatek]],kursy5[[#This Row],[Koniec]])</f>
        <v>SkierniewiceKudowa-Slone</v>
      </c>
    </row>
    <row r="269" spans="1:7" x14ac:dyDescent="0.25">
      <c r="A269" s="1">
        <v>43062</v>
      </c>
      <c r="B269" s="2" t="s">
        <v>35</v>
      </c>
      <c r="C269" s="2" t="s">
        <v>37</v>
      </c>
      <c r="D269">
        <v>1047</v>
      </c>
      <c r="E269">
        <v>147</v>
      </c>
      <c r="F269">
        <v>432</v>
      </c>
      <c r="G269" t="str">
        <f>CONCATENATE(kursy5[[#This Row],[Poczatek]],kursy5[[#This Row],[Koniec]])</f>
        <v>Kudowa-SloneOpole</v>
      </c>
    </row>
    <row r="270" spans="1:7" x14ac:dyDescent="0.25">
      <c r="A270" s="1">
        <v>43063</v>
      </c>
      <c r="B270" s="2" t="s">
        <v>15</v>
      </c>
      <c r="C270" s="2" t="s">
        <v>59</v>
      </c>
      <c r="D270">
        <v>5517</v>
      </c>
      <c r="E270">
        <v>494</v>
      </c>
      <c r="F270">
        <v>1185</v>
      </c>
      <c r="G270" t="str">
        <f>CONCATENATE(kursy5[[#This Row],[Poczatek]],kursy5[[#This Row],[Koniec]])</f>
        <v>GubinWarszawa</v>
      </c>
    </row>
    <row r="271" spans="1:7" x14ac:dyDescent="0.25">
      <c r="A271" s="1">
        <v>43064</v>
      </c>
      <c r="B271" s="2" t="s">
        <v>59</v>
      </c>
      <c r="C271" s="2" t="s">
        <v>12</v>
      </c>
      <c r="D271">
        <v>4155</v>
      </c>
      <c r="E271">
        <v>93</v>
      </c>
      <c r="F271">
        <v>181</v>
      </c>
      <c r="G271" t="str">
        <f>CONCATENATE(kursy5[[#This Row],[Poczatek]],kursy5[[#This Row],[Koniec]])</f>
        <v>WarszawaCiechanow</v>
      </c>
    </row>
    <row r="272" spans="1:7" x14ac:dyDescent="0.25">
      <c r="A272" s="1">
        <v>43067</v>
      </c>
      <c r="B272" s="2" t="s">
        <v>61</v>
      </c>
      <c r="C272" s="2" t="s">
        <v>48</v>
      </c>
      <c r="D272">
        <v>2798</v>
      </c>
      <c r="E272">
        <v>109</v>
      </c>
      <c r="F272">
        <v>366</v>
      </c>
      <c r="G272" t="str">
        <f>CONCATENATE(kursy5[[#This Row],[Poczatek]],kursy5[[#This Row],[Koniec]])</f>
        <v>LegnicaZielona Gora</v>
      </c>
    </row>
    <row r="273" spans="1:7" x14ac:dyDescent="0.25">
      <c r="A273" s="1">
        <v>43068</v>
      </c>
      <c r="B273" s="2" t="s">
        <v>48</v>
      </c>
      <c r="C273" s="2" t="s">
        <v>61</v>
      </c>
      <c r="D273">
        <v>4217</v>
      </c>
      <c r="E273">
        <v>112</v>
      </c>
      <c r="F273">
        <v>263</v>
      </c>
      <c r="G273" t="str">
        <f>CONCATENATE(kursy5[[#This Row],[Poczatek]],kursy5[[#This Row],[Koniec]])</f>
        <v>Zielona GoraLegnica</v>
      </c>
    </row>
    <row r="274" spans="1:7" x14ac:dyDescent="0.25">
      <c r="A274" s="1">
        <v>43069</v>
      </c>
      <c r="B274" s="2" t="s">
        <v>61</v>
      </c>
      <c r="C274" s="2" t="s">
        <v>48</v>
      </c>
      <c r="D274">
        <v>4327</v>
      </c>
      <c r="E274">
        <v>109</v>
      </c>
      <c r="F274">
        <v>196</v>
      </c>
      <c r="G274" t="str">
        <f>CONCATENATE(kursy5[[#This Row],[Poczatek]],kursy5[[#This Row],[Koniec]])</f>
        <v>LegnicaZielona Gora</v>
      </c>
    </row>
    <row r="275" spans="1:7" x14ac:dyDescent="0.25">
      <c r="A275" s="1">
        <v>43070</v>
      </c>
      <c r="B275" s="2" t="s">
        <v>32</v>
      </c>
      <c r="C275" s="2" t="s">
        <v>38</v>
      </c>
      <c r="D275">
        <v>2555</v>
      </c>
      <c r="E275">
        <v>124</v>
      </c>
      <c r="F275">
        <v>150</v>
      </c>
      <c r="G275" t="str">
        <f>CONCATENATE(kursy5[[#This Row],[Poczatek]],kursy5[[#This Row],[Koniec]])</f>
        <v>CzestochowaBielsko-Biala</v>
      </c>
    </row>
    <row r="276" spans="1:7" x14ac:dyDescent="0.25">
      <c r="A276" s="1">
        <v>43071</v>
      </c>
      <c r="B276" s="2" t="s">
        <v>38</v>
      </c>
      <c r="C276" s="2" t="s">
        <v>57</v>
      </c>
      <c r="D276">
        <v>5150</v>
      </c>
      <c r="E276">
        <v>104</v>
      </c>
      <c r="F276">
        <v>435</v>
      </c>
      <c r="G276" t="str">
        <f>CONCATENATE(kursy5[[#This Row],[Poczatek]],kursy5[[#This Row],[Koniec]])</f>
        <v>Bielsko-BialaChalupki</v>
      </c>
    </row>
    <row r="277" spans="1:7" x14ac:dyDescent="0.25">
      <c r="A277" s="1">
        <v>43072</v>
      </c>
      <c r="B277" s="2" t="s">
        <v>56</v>
      </c>
      <c r="C277" s="2" t="s">
        <v>47</v>
      </c>
      <c r="D277">
        <v>5697</v>
      </c>
      <c r="E277">
        <v>257</v>
      </c>
      <c r="F277">
        <v>717</v>
      </c>
      <c r="G277" t="str">
        <f>CONCATENATE(kursy5[[#This Row],[Poczatek]],kursy5[[#This Row],[Koniec]])</f>
        <v>PrzemyslKielce</v>
      </c>
    </row>
    <row r="278" spans="1:7" x14ac:dyDescent="0.25">
      <c r="A278" s="1">
        <v>43073</v>
      </c>
      <c r="B278" s="2" t="s">
        <v>47</v>
      </c>
      <c r="C278" s="2" t="s">
        <v>46</v>
      </c>
      <c r="D278">
        <v>3192</v>
      </c>
      <c r="E278">
        <v>113</v>
      </c>
      <c r="F278">
        <v>310</v>
      </c>
      <c r="G278" t="str">
        <f>CONCATENATE(kursy5[[#This Row],[Poczatek]],kursy5[[#This Row],[Koniec]])</f>
        <v>KielceTarnobrzeg</v>
      </c>
    </row>
    <row r="279" spans="1:7" x14ac:dyDescent="0.25">
      <c r="A279" s="1">
        <v>43075</v>
      </c>
      <c r="B279" s="2" t="s">
        <v>38</v>
      </c>
      <c r="C279" s="2" t="s">
        <v>59</v>
      </c>
      <c r="D279">
        <v>2781</v>
      </c>
      <c r="E279">
        <v>409</v>
      </c>
      <c r="F279">
        <v>1436</v>
      </c>
      <c r="G279" t="str">
        <f>CONCATENATE(kursy5[[#This Row],[Poczatek]],kursy5[[#This Row],[Koniec]])</f>
        <v>Bielsko-BialaWarszawa</v>
      </c>
    </row>
    <row r="280" spans="1:7" x14ac:dyDescent="0.25">
      <c r="A280" s="1">
        <v>43076</v>
      </c>
      <c r="B280" s="2" t="s">
        <v>59</v>
      </c>
      <c r="C280" s="2" t="s">
        <v>8</v>
      </c>
      <c r="D280">
        <v>1093</v>
      </c>
      <c r="E280">
        <v>110</v>
      </c>
      <c r="F280">
        <v>400</v>
      </c>
      <c r="G280" t="str">
        <f>CONCATENATE(kursy5[[#This Row],[Poczatek]],kursy5[[#This Row],[Koniec]])</f>
        <v>WarszawaPlock</v>
      </c>
    </row>
    <row r="281" spans="1:7" x14ac:dyDescent="0.25">
      <c r="A281" s="1">
        <v>43077</v>
      </c>
      <c r="B281" s="2" t="s">
        <v>8</v>
      </c>
      <c r="C281" s="2" t="s">
        <v>20</v>
      </c>
      <c r="D281">
        <v>2291</v>
      </c>
      <c r="E281">
        <v>132</v>
      </c>
      <c r="F281">
        <v>163</v>
      </c>
      <c r="G281" t="str">
        <f>CONCATENATE(kursy5[[#This Row],[Poczatek]],kursy5[[#This Row],[Koniec]])</f>
        <v>PlockKonin</v>
      </c>
    </row>
    <row r="282" spans="1:7" x14ac:dyDescent="0.25">
      <c r="A282" s="1">
        <v>43078</v>
      </c>
      <c r="B282" s="2" t="s">
        <v>15</v>
      </c>
      <c r="C282" s="2" t="s">
        <v>23</v>
      </c>
      <c r="D282">
        <v>2962</v>
      </c>
      <c r="E282">
        <v>170</v>
      </c>
      <c r="F282">
        <v>273</v>
      </c>
      <c r="G282" t="str">
        <f>CONCATENATE(kursy5[[#This Row],[Poczatek]],kursy5[[#This Row],[Koniec]])</f>
        <v>GubinSzczecin</v>
      </c>
    </row>
    <row r="283" spans="1:7" x14ac:dyDescent="0.25">
      <c r="A283" s="1">
        <v>43079</v>
      </c>
      <c r="B283" s="2" t="s">
        <v>7</v>
      </c>
      <c r="C283" s="2" t="s">
        <v>8</v>
      </c>
      <c r="D283">
        <v>2939</v>
      </c>
      <c r="E283">
        <v>110</v>
      </c>
      <c r="F283">
        <v>279</v>
      </c>
      <c r="G283" t="str">
        <f>CONCATENATE(kursy5[[#This Row],[Poczatek]],kursy5[[#This Row],[Koniec]])</f>
        <v>TorunPlock</v>
      </c>
    </row>
    <row r="284" spans="1:7" x14ac:dyDescent="0.25">
      <c r="A284" s="1">
        <v>43080</v>
      </c>
      <c r="B284" s="2" t="s">
        <v>8</v>
      </c>
      <c r="C284" s="2" t="s">
        <v>20</v>
      </c>
      <c r="D284">
        <v>4981</v>
      </c>
      <c r="E284">
        <v>138</v>
      </c>
      <c r="F284">
        <v>455</v>
      </c>
      <c r="G284" t="str">
        <f>CONCATENATE(kursy5[[#This Row],[Poczatek]],kursy5[[#This Row],[Koniec]])</f>
        <v>PlockKonin</v>
      </c>
    </row>
    <row r="285" spans="1:7" x14ac:dyDescent="0.25">
      <c r="A285" s="1">
        <v>43081</v>
      </c>
      <c r="B285" s="2" t="s">
        <v>20</v>
      </c>
      <c r="C285" s="2" t="s">
        <v>60</v>
      </c>
      <c r="D285">
        <v>3436</v>
      </c>
      <c r="E285">
        <v>114</v>
      </c>
      <c r="F285">
        <v>370</v>
      </c>
      <c r="G285" t="str">
        <f>CONCATENATE(kursy5[[#This Row],[Poczatek]],kursy5[[#This Row],[Koniec]])</f>
        <v>KoninLodz</v>
      </c>
    </row>
    <row r="286" spans="1:7" x14ac:dyDescent="0.25">
      <c r="A286" s="1">
        <v>43082</v>
      </c>
      <c r="B286" s="2" t="s">
        <v>60</v>
      </c>
      <c r="C286" s="2" t="s">
        <v>47</v>
      </c>
      <c r="D286">
        <v>2342</v>
      </c>
      <c r="E286">
        <v>141</v>
      </c>
      <c r="F286">
        <v>319</v>
      </c>
      <c r="G286" t="str">
        <f>CONCATENATE(kursy5[[#This Row],[Poczatek]],kursy5[[#This Row],[Koniec]])</f>
        <v>LodzKielce</v>
      </c>
    </row>
    <row r="287" spans="1:7" x14ac:dyDescent="0.25">
      <c r="A287" s="1">
        <v>43083</v>
      </c>
      <c r="B287" s="2" t="s">
        <v>47</v>
      </c>
      <c r="C287" s="2" t="s">
        <v>54</v>
      </c>
      <c r="D287">
        <v>1981</v>
      </c>
      <c r="E287">
        <v>126</v>
      </c>
      <c r="F287">
        <v>396</v>
      </c>
      <c r="G287" t="str">
        <f>CONCATENATE(kursy5[[#This Row],[Poczatek]],kursy5[[#This Row],[Koniec]])</f>
        <v>KielceKrakow</v>
      </c>
    </row>
    <row r="288" spans="1:7" x14ac:dyDescent="0.25">
      <c r="A288" s="1">
        <v>43084</v>
      </c>
      <c r="B288" s="2" t="s">
        <v>54</v>
      </c>
      <c r="C288" s="2" t="s">
        <v>49</v>
      </c>
      <c r="D288">
        <v>5238</v>
      </c>
      <c r="E288">
        <v>131</v>
      </c>
      <c r="F288">
        <v>158</v>
      </c>
      <c r="G288" t="str">
        <f>CONCATENATE(kursy5[[#This Row],[Poczatek]],kursy5[[#This Row],[Koniec]])</f>
        <v>KrakowCieszyn</v>
      </c>
    </row>
    <row r="289" spans="1:7" x14ac:dyDescent="0.25">
      <c r="A289" s="1">
        <v>43085</v>
      </c>
      <c r="B289" s="2" t="s">
        <v>49</v>
      </c>
      <c r="C289" s="2" t="s">
        <v>37</v>
      </c>
      <c r="D289">
        <v>2823</v>
      </c>
      <c r="E289">
        <v>156</v>
      </c>
      <c r="F289">
        <v>280</v>
      </c>
      <c r="G289" t="str">
        <f>CONCATENATE(kursy5[[#This Row],[Poczatek]],kursy5[[#This Row],[Koniec]])</f>
        <v>CieszynOpole</v>
      </c>
    </row>
    <row r="290" spans="1:7" x14ac:dyDescent="0.25">
      <c r="A290" s="1">
        <v>43086</v>
      </c>
      <c r="B290" s="2" t="s">
        <v>37</v>
      </c>
      <c r="C290" s="2" t="s">
        <v>38</v>
      </c>
      <c r="D290">
        <v>1173</v>
      </c>
      <c r="E290">
        <v>139</v>
      </c>
      <c r="F290">
        <v>475</v>
      </c>
      <c r="G290" t="str">
        <f>CONCATENATE(kursy5[[#This Row],[Poczatek]],kursy5[[#This Row],[Koniec]])</f>
        <v>OpoleBielsko-Biala</v>
      </c>
    </row>
    <row r="291" spans="1:7" x14ac:dyDescent="0.25">
      <c r="A291" s="1">
        <v>43087</v>
      </c>
      <c r="B291" s="2" t="s">
        <v>38</v>
      </c>
      <c r="C291" s="2" t="s">
        <v>39</v>
      </c>
      <c r="D291">
        <v>1465</v>
      </c>
      <c r="E291">
        <v>121</v>
      </c>
      <c r="F291">
        <v>193</v>
      </c>
      <c r="G291" t="str">
        <f>CONCATENATE(kursy5[[#This Row],[Poczatek]],kursy5[[#This Row],[Koniec]])</f>
        <v>Bielsko-BialaZakopane</v>
      </c>
    </row>
    <row r="292" spans="1:7" x14ac:dyDescent="0.25">
      <c r="A292" s="1">
        <v>43088</v>
      </c>
      <c r="B292" s="2" t="s">
        <v>39</v>
      </c>
      <c r="C292" s="2" t="s">
        <v>18</v>
      </c>
      <c r="D292">
        <v>1572</v>
      </c>
      <c r="E292">
        <v>159</v>
      </c>
      <c r="F292">
        <v>476</v>
      </c>
      <c r="G292" t="str">
        <f>CONCATENATE(kursy5[[#This Row],[Poczatek]],kursy5[[#This Row],[Koniec]])</f>
        <v>ZakopaneKatowice</v>
      </c>
    </row>
    <row r="293" spans="1:7" x14ac:dyDescent="0.25">
      <c r="A293" s="1">
        <v>43089</v>
      </c>
      <c r="B293" s="2" t="s">
        <v>18</v>
      </c>
      <c r="C293" s="2" t="s">
        <v>39</v>
      </c>
      <c r="D293">
        <v>4084</v>
      </c>
      <c r="E293">
        <v>160</v>
      </c>
      <c r="F293">
        <v>338</v>
      </c>
      <c r="G293" t="str">
        <f>CONCATENATE(kursy5[[#This Row],[Poczatek]],kursy5[[#This Row],[Koniec]])</f>
        <v>KatowiceZakopane</v>
      </c>
    </row>
    <row r="294" spans="1:7" x14ac:dyDescent="0.25">
      <c r="A294" s="1">
        <v>43090</v>
      </c>
      <c r="B294" s="2" t="s">
        <v>15</v>
      </c>
      <c r="C294" s="2" t="s">
        <v>23</v>
      </c>
      <c r="D294">
        <v>4635</v>
      </c>
      <c r="E294">
        <v>163</v>
      </c>
      <c r="F294">
        <v>359</v>
      </c>
      <c r="G294" t="str">
        <f>CONCATENATE(kursy5[[#This Row],[Poczatek]],kursy5[[#This Row],[Koniec]])</f>
        <v>GubinSzczecin</v>
      </c>
    </row>
    <row r="295" spans="1:7" x14ac:dyDescent="0.25">
      <c r="A295" s="1">
        <v>43092</v>
      </c>
      <c r="B295" s="2" t="s">
        <v>30</v>
      </c>
      <c r="C295" s="2" t="s">
        <v>72</v>
      </c>
      <c r="D295">
        <v>3705</v>
      </c>
      <c r="E295">
        <v>182</v>
      </c>
      <c r="F295">
        <v>760</v>
      </c>
      <c r="G295" t="str">
        <f>CONCATENATE(kursy5[[#This Row],[Poczatek]],kursy5[[#This Row],[Koniec]])</f>
        <v>GdanskBezledy</v>
      </c>
    </row>
    <row r="296" spans="1:7" x14ac:dyDescent="0.25">
      <c r="A296" s="1">
        <v>43094</v>
      </c>
      <c r="B296" s="2" t="s">
        <v>6</v>
      </c>
      <c r="C296" s="2" t="s">
        <v>38</v>
      </c>
      <c r="D296">
        <v>5624</v>
      </c>
      <c r="E296">
        <v>541</v>
      </c>
      <c r="F296">
        <v>1198</v>
      </c>
      <c r="G296" t="str">
        <f>CONCATENATE(kursy5[[#This Row],[Poczatek]],kursy5[[#This Row],[Koniec]])</f>
        <v>OlsztynBielsko-Biala</v>
      </c>
    </row>
    <row r="297" spans="1:7" x14ac:dyDescent="0.25">
      <c r="A297" s="1">
        <v>43095</v>
      </c>
      <c r="B297" s="2" t="s">
        <v>38</v>
      </c>
      <c r="C297" s="2" t="s">
        <v>37</v>
      </c>
      <c r="D297">
        <v>4157</v>
      </c>
      <c r="E297">
        <v>151</v>
      </c>
      <c r="F297">
        <v>168</v>
      </c>
      <c r="G297" t="str">
        <f>CONCATENATE(kursy5[[#This Row],[Poczatek]],kursy5[[#This Row],[Koniec]])</f>
        <v>Bielsko-BialaOpole</v>
      </c>
    </row>
    <row r="298" spans="1:7" x14ac:dyDescent="0.25">
      <c r="A298" s="1">
        <v>43096</v>
      </c>
      <c r="B298" s="2" t="s">
        <v>37</v>
      </c>
      <c r="C298" s="2" t="s">
        <v>43</v>
      </c>
      <c r="D298">
        <v>3021</v>
      </c>
      <c r="E298">
        <v>137</v>
      </c>
      <c r="F298">
        <v>323</v>
      </c>
      <c r="G298" t="str">
        <f>CONCATENATE(kursy5[[#This Row],[Poczatek]],kursy5[[#This Row],[Koniec]])</f>
        <v>OpoleWalbrzych</v>
      </c>
    </row>
    <row r="299" spans="1:7" x14ac:dyDescent="0.25">
      <c r="A299" s="1">
        <v>43097</v>
      </c>
      <c r="B299" s="2" t="s">
        <v>43</v>
      </c>
      <c r="C299" s="2" t="s">
        <v>52</v>
      </c>
      <c r="D299">
        <v>3573</v>
      </c>
      <c r="E299">
        <v>149</v>
      </c>
      <c r="F299">
        <v>341</v>
      </c>
      <c r="G299" t="str">
        <f>CONCATENATE(kursy5[[#This Row],[Poczatek]],kursy5[[#This Row],[Koniec]])</f>
        <v>WalbrzychZgorzelec</v>
      </c>
    </row>
    <row r="300" spans="1:7" x14ac:dyDescent="0.25">
      <c r="A300" s="1">
        <v>43098</v>
      </c>
      <c r="B300" s="2" t="s">
        <v>52</v>
      </c>
      <c r="C300" s="2" t="s">
        <v>15</v>
      </c>
      <c r="D300">
        <v>4748</v>
      </c>
      <c r="E300">
        <v>152</v>
      </c>
      <c r="F300">
        <v>491</v>
      </c>
      <c r="G300" t="str">
        <f>CONCATENATE(kursy5[[#This Row],[Poczatek]],kursy5[[#This Row],[Koniec]])</f>
        <v>ZgorzelecGubin</v>
      </c>
    </row>
    <row r="301" spans="1:7" x14ac:dyDescent="0.25">
      <c r="A301" s="1">
        <v>43100</v>
      </c>
      <c r="B301" s="2" t="s">
        <v>12</v>
      </c>
      <c r="C301" s="2" t="s">
        <v>6</v>
      </c>
      <c r="D301">
        <v>2293</v>
      </c>
      <c r="E301">
        <v>126</v>
      </c>
      <c r="F301">
        <v>219</v>
      </c>
      <c r="G301" t="str">
        <f>CONCATENATE(kursy5[[#This Row],[Poczatek]],kursy5[[#This Row],[Koniec]])</f>
        <v>CiechanowOlsztyn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5384-7DED-47B7-A8FE-8006E60A8B9F}">
  <dimension ref="A1:P301"/>
  <sheetViews>
    <sheetView topLeftCell="C13" workbookViewId="0">
      <selection activeCell="P44" sqref="P44"/>
    </sheetView>
  </sheetViews>
  <sheetFormatPr defaultRowHeight="15" x14ac:dyDescent="0.25"/>
  <cols>
    <col min="1" max="1" width="10.140625" bestFit="1" customWidth="1"/>
    <col min="2" max="3" width="20" bestFit="1" customWidth="1"/>
    <col min="4" max="4" width="8.28515625" bestFit="1" customWidth="1"/>
    <col min="5" max="5" width="12" bestFit="1" customWidth="1"/>
    <col min="6" max="6" width="7.7109375" bestFit="1" customWidth="1"/>
    <col min="9" max="9" width="17.85546875" bestFit="1" customWidth="1"/>
    <col min="10" max="10" width="5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8" t="s">
        <v>84</v>
      </c>
      <c r="J1" s="8" t="s">
        <v>85</v>
      </c>
    </row>
    <row r="2" spans="1:10" x14ac:dyDescent="0.25">
      <c r="A2" s="1">
        <v>42737</v>
      </c>
      <c r="B2" s="2" t="s">
        <v>6</v>
      </c>
      <c r="C2" s="2" t="s">
        <v>7</v>
      </c>
      <c r="D2">
        <v>3527</v>
      </c>
      <c r="E2">
        <v>167</v>
      </c>
      <c r="F2">
        <v>206</v>
      </c>
      <c r="I2" s="12" t="s">
        <v>59</v>
      </c>
      <c r="J2" s="13">
        <v>11</v>
      </c>
    </row>
    <row r="3" spans="1:10" x14ac:dyDescent="0.25">
      <c r="A3" s="1">
        <v>42738</v>
      </c>
      <c r="B3" s="2" t="s">
        <v>7</v>
      </c>
      <c r="C3" s="2" t="s">
        <v>8</v>
      </c>
      <c r="D3">
        <v>3666</v>
      </c>
      <c r="E3">
        <v>112</v>
      </c>
      <c r="F3">
        <v>280</v>
      </c>
      <c r="I3" s="12" t="s">
        <v>23</v>
      </c>
      <c r="J3" s="13">
        <v>10</v>
      </c>
    </row>
    <row r="4" spans="1:10" x14ac:dyDescent="0.25">
      <c r="A4" s="1">
        <v>42739</v>
      </c>
      <c r="B4" s="2" t="s">
        <v>8</v>
      </c>
      <c r="C4" s="2" t="s">
        <v>9</v>
      </c>
      <c r="D4">
        <v>4888</v>
      </c>
      <c r="E4">
        <v>167</v>
      </c>
      <c r="F4">
        <v>624</v>
      </c>
      <c r="I4" s="12" t="s">
        <v>38</v>
      </c>
      <c r="J4" s="13">
        <v>9</v>
      </c>
    </row>
    <row r="5" spans="1:10" x14ac:dyDescent="0.25">
      <c r="A5" s="1">
        <v>42740</v>
      </c>
      <c r="B5" s="2" t="s">
        <v>9</v>
      </c>
      <c r="C5" s="2" t="s">
        <v>10</v>
      </c>
      <c r="D5">
        <v>1099</v>
      </c>
      <c r="E5">
        <v>167</v>
      </c>
      <c r="F5">
        <v>390</v>
      </c>
      <c r="I5" s="12" t="s">
        <v>20</v>
      </c>
      <c r="J5" s="13">
        <v>9</v>
      </c>
    </row>
    <row r="6" spans="1:10" x14ac:dyDescent="0.25">
      <c r="A6" s="1">
        <v>42742</v>
      </c>
      <c r="B6" s="2" t="s">
        <v>11</v>
      </c>
      <c r="C6" s="2" t="s">
        <v>12</v>
      </c>
      <c r="D6">
        <v>4881</v>
      </c>
      <c r="E6">
        <v>118</v>
      </c>
      <c r="F6">
        <v>219</v>
      </c>
      <c r="I6" s="12" t="s">
        <v>14</v>
      </c>
      <c r="J6" s="13">
        <v>8</v>
      </c>
    </row>
    <row r="7" spans="1:10" x14ac:dyDescent="0.25">
      <c r="A7" s="1">
        <v>42743</v>
      </c>
      <c r="B7" s="2" t="s">
        <v>12</v>
      </c>
      <c r="C7" s="2" t="s">
        <v>11</v>
      </c>
      <c r="D7">
        <v>5851</v>
      </c>
      <c r="E7">
        <v>113</v>
      </c>
      <c r="F7">
        <v>160</v>
      </c>
      <c r="I7" s="12" t="s">
        <v>21</v>
      </c>
      <c r="J7" s="13">
        <v>8</v>
      </c>
    </row>
    <row r="8" spans="1:10" x14ac:dyDescent="0.25">
      <c r="A8" s="1">
        <v>42744</v>
      </c>
      <c r="B8" s="2" t="s">
        <v>11</v>
      </c>
      <c r="C8" s="2" t="s">
        <v>13</v>
      </c>
      <c r="D8">
        <v>5963</v>
      </c>
      <c r="E8">
        <v>141</v>
      </c>
      <c r="F8">
        <v>168</v>
      </c>
      <c r="I8" s="12" t="s">
        <v>47</v>
      </c>
      <c r="J8" s="13">
        <v>8</v>
      </c>
    </row>
    <row r="9" spans="1:10" x14ac:dyDescent="0.25">
      <c r="A9" s="1">
        <v>42745</v>
      </c>
      <c r="B9" s="2" t="s">
        <v>13</v>
      </c>
      <c r="C9" s="2" t="s">
        <v>9</v>
      </c>
      <c r="D9">
        <v>1364</v>
      </c>
      <c r="E9">
        <v>179</v>
      </c>
      <c r="F9">
        <v>533</v>
      </c>
      <c r="I9" s="12" t="s">
        <v>12</v>
      </c>
      <c r="J9" s="13">
        <v>8</v>
      </c>
    </row>
    <row r="10" spans="1:10" x14ac:dyDescent="0.25">
      <c r="A10" s="1">
        <v>42746</v>
      </c>
      <c r="B10" s="2" t="s">
        <v>9</v>
      </c>
      <c r="C10" s="2" t="s">
        <v>10</v>
      </c>
      <c r="D10">
        <v>1245</v>
      </c>
      <c r="E10">
        <v>166</v>
      </c>
      <c r="F10">
        <v>209</v>
      </c>
      <c r="I10" s="12" t="s">
        <v>48</v>
      </c>
      <c r="J10" s="13">
        <v>8</v>
      </c>
    </row>
    <row r="11" spans="1:10" x14ac:dyDescent="0.25">
      <c r="A11" s="1">
        <v>42747</v>
      </c>
      <c r="B11" s="2" t="s">
        <v>14</v>
      </c>
      <c r="C11" s="2" t="s">
        <v>15</v>
      </c>
      <c r="D11">
        <v>3771</v>
      </c>
      <c r="E11">
        <v>196</v>
      </c>
      <c r="F11">
        <v>696</v>
      </c>
      <c r="I11" s="12" t="s">
        <v>25</v>
      </c>
      <c r="J11" s="13">
        <v>8</v>
      </c>
    </row>
    <row r="12" spans="1:10" x14ac:dyDescent="0.25">
      <c r="A12" s="1">
        <v>42749</v>
      </c>
      <c r="B12" s="2" t="s">
        <v>16</v>
      </c>
      <c r="C12" s="2" t="s">
        <v>17</v>
      </c>
      <c r="D12">
        <v>4522</v>
      </c>
      <c r="E12">
        <v>300</v>
      </c>
      <c r="F12">
        <v>1113</v>
      </c>
      <c r="I12" s="12" t="s">
        <v>37</v>
      </c>
      <c r="J12" s="13">
        <v>8</v>
      </c>
    </row>
    <row r="13" spans="1:10" x14ac:dyDescent="0.25">
      <c r="A13" s="1">
        <v>42750</v>
      </c>
      <c r="B13" s="2" t="s">
        <v>17</v>
      </c>
      <c r="C13" s="2" t="s">
        <v>18</v>
      </c>
      <c r="D13">
        <v>4588</v>
      </c>
      <c r="E13">
        <v>148</v>
      </c>
      <c r="F13">
        <v>494</v>
      </c>
      <c r="I13" s="11" t="s">
        <v>80</v>
      </c>
      <c r="J13" s="2">
        <v>95</v>
      </c>
    </row>
    <row r="14" spans="1:10" x14ac:dyDescent="0.25">
      <c r="A14" s="1">
        <v>42751</v>
      </c>
      <c r="B14" s="2" t="s">
        <v>19</v>
      </c>
      <c r="C14" s="2" t="s">
        <v>20</v>
      </c>
      <c r="D14">
        <v>1952</v>
      </c>
      <c r="E14">
        <v>267</v>
      </c>
      <c r="F14">
        <v>602</v>
      </c>
    </row>
    <row r="15" spans="1:10" x14ac:dyDescent="0.25">
      <c r="A15" s="1">
        <v>42752</v>
      </c>
      <c r="B15" s="2" t="s">
        <v>20</v>
      </c>
      <c r="C15" s="2" t="s">
        <v>7</v>
      </c>
      <c r="D15">
        <v>3318</v>
      </c>
      <c r="E15">
        <v>110</v>
      </c>
      <c r="F15">
        <v>422</v>
      </c>
    </row>
    <row r="16" spans="1:10" x14ac:dyDescent="0.25">
      <c r="A16" s="1">
        <v>42755</v>
      </c>
      <c r="B16" s="2" t="s">
        <v>13</v>
      </c>
      <c r="C16" s="2" t="s">
        <v>9</v>
      </c>
      <c r="D16">
        <v>3106</v>
      </c>
      <c r="E16">
        <v>173</v>
      </c>
      <c r="F16">
        <v>312</v>
      </c>
    </row>
    <row r="17" spans="1:6" x14ac:dyDescent="0.25">
      <c r="A17" s="1">
        <v>42756</v>
      </c>
      <c r="B17" s="2" t="s">
        <v>9</v>
      </c>
      <c r="C17" s="2" t="s">
        <v>6</v>
      </c>
      <c r="D17">
        <v>5593</v>
      </c>
      <c r="E17">
        <v>127</v>
      </c>
      <c r="F17">
        <v>421</v>
      </c>
    </row>
    <row r="18" spans="1:6" x14ac:dyDescent="0.25">
      <c r="A18" s="1">
        <v>42757</v>
      </c>
      <c r="B18" s="2" t="s">
        <v>6</v>
      </c>
      <c r="C18" s="2" t="s">
        <v>12</v>
      </c>
      <c r="D18">
        <v>5983</v>
      </c>
      <c r="E18">
        <v>118</v>
      </c>
      <c r="F18">
        <v>416</v>
      </c>
    </row>
    <row r="19" spans="1:6" x14ac:dyDescent="0.25">
      <c r="A19" s="1">
        <v>42758</v>
      </c>
      <c r="B19" s="2" t="s">
        <v>12</v>
      </c>
      <c r="C19" s="2" t="s">
        <v>6</v>
      </c>
      <c r="D19">
        <v>5496</v>
      </c>
      <c r="E19">
        <v>115</v>
      </c>
      <c r="F19">
        <v>291</v>
      </c>
    </row>
    <row r="20" spans="1:6" x14ac:dyDescent="0.25">
      <c r="A20" s="1">
        <v>42759</v>
      </c>
      <c r="B20" s="2" t="s">
        <v>6</v>
      </c>
      <c r="C20" s="2" t="s">
        <v>11</v>
      </c>
      <c r="D20">
        <v>4572</v>
      </c>
      <c r="E20">
        <v>164</v>
      </c>
      <c r="F20">
        <v>550</v>
      </c>
    </row>
    <row r="21" spans="1:6" x14ac:dyDescent="0.25">
      <c r="A21" s="1">
        <v>42760</v>
      </c>
      <c r="B21" s="2" t="s">
        <v>11</v>
      </c>
      <c r="C21" s="2" t="s">
        <v>12</v>
      </c>
      <c r="D21">
        <v>4529</v>
      </c>
      <c r="E21">
        <v>121</v>
      </c>
      <c r="F21">
        <v>373</v>
      </c>
    </row>
    <row r="22" spans="1:6" x14ac:dyDescent="0.25">
      <c r="A22" s="1">
        <v>42761</v>
      </c>
      <c r="B22" s="2" t="s">
        <v>12</v>
      </c>
      <c r="C22" s="2" t="s">
        <v>6</v>
      </c>
      <c r="D22">
        <v>4981</v>
      </c>
      <c r="E22">
        <v>123</v>
      </c>
      <c r="F22">
        <v>218</v>
      </c>
    </row>
    <row r="23" spans="1:6" x14ac:dyDescent="0.25">
      <c r="A23" s="1">
        <v>42762</v>
      </c>
      <c r="B23" s="2" t="s">
        <v>6</v>
      </c>
      <c r="C23" s="2" t="s">
        <v>7</v>
      </c>
      <c r="D23">
        <v>3808</v>
      </c>
      <c r="E23">
        <v>163</v>
      </c>
      <c r="F23">
        <v>655</v>
      </c>
    </row>
    <row r="24" spans="1:6" x14ac:dyDescent="0.25">
      <c r="A24" s="1">
        <v>42763</v>
      </c>
      <c r="B24" s="2" t="s">
        <v>7</v>
      </c>
      <c r="C24" s="2" t="s">
        <v>21</v>
      </c>
      <c r="D24">
        <v>1359</v>
      </c>
      <c r="E24">
        <v>130</v>
      </c>
      <c r="F24">
        <v>346</v>
      </c>
    </row>
    <row r="25" spans="1:6" x14ac:dyDescent="0.25">
      <c r="A25" s="1">
        <v>42764</v>
      </c>
      <c r="B25" s="2" t="s">
        <v>22</v>
      </c>
      <c r="C25" s="2" t="s">
        <v>23</v>
      </c>
      <c r="D25">
        <v>2320</v>
      </c>
      <c r="E25">
        <v>24</v>
      </c>
      <c r="F25">
        <v>68</v>
      </c>
    </row>
    <row r="26" spans="1:6" x14ac:dyDescent="0.25">
      <c r="A26" s="1">
        <v>42765</v>
      </c>
      <c r="B26" s="2" t="s">
        <v>23</v>
      </c>
      <c r="C26" s="2" t="s">
        <v>24</v>
      </c>
      <c r="D26">
        <v>2607</v>
      </c>
      <c r="E26">
        <v>115</v>
      </c>
      <c r="F26">
        <v>264</v>
      </c>
    </row>
    <row r="27" spans="1:6" x14ac:dyDescent="0.25">
      <c r="A27" s="1">
        <v>42766</v>
      </c>
      <c r="B27" s="2" t="s">
        <v>24</v>
      </c>
      <c r="C27" s="2" t="s">
        <v>23</v>
      </c>
      <c r="D27">
        <v>3657</v>
      </c>
      <c r="E27">
        <v>100</v>
      </c>
      <c r="F27">
        <v>424</v>
      </c>
    </row>
    <row r="28" spans="1:6" x14ac:dyDescent="0.25">
      <c r="A28" s="1">
        <v>42767</v>
      </c>
      <c r="B28" s="2" t="s">
        <v>23</v>
      </c>
      <c r="C28" s="2" t="s">
        <v>25</v>
      </c>
      <c r="D28">
        <v>5671</v>
      </c>
      <c r="E28">
        <v>118</v>
      </c>
      <c r="F28">
        <v>390</v>
      </c>
    </row>
    <row r="29" spans="1:6" x14ac:dyDescent="0.25">
      <c r="A29" s="1">
        <v>42768</v>
      </c>
      <c r="B29" s="2" t="s">
        <v>25</v>
      </c>
      <c r="C29" s="2" t="s">
        <v>22</v>
      </c>
      <c r="D29">
        <v>4871</v>
      </c>
      <c r="E29">
        <v>126</v>
      </c>
      <c r="F29">
        <v>185</v>
      </c>
    </row>
    <row r="30" spans="1:6" x14ac:dyDescent="0.25">
      <c r="A30" s="1">
        <v>42769</v>
      </c>
      <c r="B30" s="2" t="s">
        <v>22</v>
      </c>
      <c r="C30" s="2" t="s">
        <v>26</v>
      </c>
      <c r="D30">
        <v>1686</v>
      </c>
      <c r="E30">
        <v>102</v>
      </c>
      <c r="F30">
        <v>167</v>
      </c>
    </row>
    <row r="31" spans="1:6" x14ac:dyDescent="0.25">
      <c r="A31" s="1">
        <v>42770</v>
      </c>
      <c r="B31" s="2" t="s">
        <v>26</v>
      </c>
      <c r="C31" s="2" t="s">
        <v>21</v>
      </c>
      <c r="D31">
        <v>5628</v>
      </c>
      <c r="E31">
        <v>123</v>
      </c>
      <c r="F31">
        <v>450</v>
      </c>
    </row>
    <row r="32" spans="1:6" x14ac:dyDescent="0.25">
      <c r="A32" s="1">
        <v>42771</v>
      </c>
      <c r="B32" s="2" t="s">
        <v>21</v>
      </c>
      <c r="C32" s="2" t="s">
        <v>14</v>
      </c>
      <c r="D32">
        <v>3295</v>
      </c>
      <c r="E32">
        <v>103</v>
      </c>
      <c r="F32">
        <v>346</v>
      </c>
    </row>
    <row r="33" spans="1:16" x14ac:dyDescent="0.25">
      <c r="A33" s="1">
        <v>42772</v>
      </c>
      <c r="B33" s="2" t="s">
        <v>27</v>
      </c>
      <c r="C33" s="2" t="s">
        <v>28</v>
      </c>
      <c r="D33">
        <v>5291</v>
      </c>
      <c r="E33">
        <v>273</v>
      </c>
      <c r="F33">
        <v>520</v>
      </c>
    </row>
    <row r="34" spans="1:16" x14ac:dyDescent="0.25">
      <c r="A34" s="1">
        <v>42773</v>
      </c>
      <c r="B34" s="2" t="s">
        <v>28</v>
      </c>
      <c r="C34" s="2" t="s">
        <v>29</v>
      </c>
      <c r="D34">
        <v>5838</v>
      </c>
      <c r="E34">
        <v>128</v>
      </c>
      <c r="F34">
        <v>518</v>
      </c>
    </row>
    <row r="35" spans="1:16" x14ac:dyDescent="0.25">
      <c r="A35" s="1">
        <v>42774</v>
      </c>
      <c r="B35" s="2" t="s">
        <v>29</v>
      </c>
      <c r="C35" s="2" t="s">
        <v>20</v>
      </c>
      <c r="D35">
        <v>3319</v>
      </c>
      <c r="E35">
        <v>154</v>
      </c>
      <c r="F35">
        <v>314</v>
      </c>
    </row>
    <row r="36" spans="1:16" x14ac:dyDescent="0.25">
      <c r="A36" s="1">
        <v>42775</v>
      </c>
      <c r="B36" s="2" t="s">
        <v>30</v>
      </c>
      <c r="C36" s="2" t="s">
        <v>7</v>
      </c>
      <c r="D36">
        <v>2152</v>
      </c>
      <c r="E36">
        <v>190</v>
      </c>
      <c r="F36">
        <v>406</v>
      </c>
    </row>
    <row r="37" spans="1:16" x14ac:dyDescent="0.25">
      <c r="A37" s="1">
        <v>42776</v>
      </c>
      <c r="B37" s="2" t="s">
        <v>7</v>
      </c>
      <c r="C37" s="2" t="s">
        <v>21</v>
      </c>
      <c r="D37">
        <v>3810</v>
      </c>
      <c r="E37">
        <v>135</v>
      </c>
      <c r="F37">
        <v>221</v>
      </c>
    </row>
    <row r="38" spans="1:16" x14ac:dyDescent="0.25">
      <c r="A38" s="1">
        <v>42777</v>
      </c>
      <c r="B38" s="2" t="s">
        <v>21</v>
      </c>
      <c r="C38" s="2" t="s">
        <v>31</v>
      </c>
      <c r="D38">
        <v>5713</v>
      </c>
      <c r="E38">
        <v>128</v>
      </c>
      <c r="F38">
        <v>376</v>
      </c>
    </row>
    <row r="39" spans="1:16" x14ac:dyDescent="0.25">
      <c r="A39" s="1">
        <v>42778</v>
      </c>
      <c r="B39" s="2" t="s">
        <v>31</v>
      </c>
      <c r="C39" s="2" t="s">
        <v>21</v>
      </c>
      <c r="D39">
        <v>4163</v>
      </c>
      <c r="E39">
        <v>128</v>
      </c>
      <c r="F39">
        <v>257</v>
      </c>
    </row>
    <row r="40" spans="1:16" x14ac:dyDescent="0.25">
      <c r="A40" s="1">
        <v>42779</v>
      </c>
      <c r="B40" s="2" t="s">
        <v>21</v>
      </c>
      <c r="C40" s="2" t="s">
        <v>32</v>
      </c>
      <c r="D40">
        <v>3216</v>
      </c>
      <c r="E40">
        <v>162</v>
      </c>
      <c r="F40">
        <v>278</v>
      </c>
    </row>
    <row r="41" spans="1:16" x14ac:dyDescent="0.25">
      <c r="A41" s="1">
        <v>42780</v>
      </c>
      <c r="B41" s="2" t="s">
        <v>11</v>
      </c>
      <c r="C41" s="2" t="s">
        <v>33</v>
      </c>
      <c r="D41">
        <v>5060</v>
      </c>
      <c r="E41">
        <v>550</v>
      </c>
      <c r="F41">
        <v>1622</v>
      </c>
    </row>
    <row r="42" spans="1:16" x14ac:dyDescent="0.25">
      <c r="A42" s="1">
        <v>42782</v>
      </c>
      <c r="B42" s="2" t="s">
        <v>31</v>
      </c>
      <c r="C42" s="2" t="s">
        <v>24</v>
      </c>
      <c r="D42">
        <v>2446</v>
      </c>
      <c r="E42">
        <v>161</v>
      </c>
      <c r="F42">
        <v>379</v>
      </c>
    </row>
    <row r="43" spans="1:16" x14ac:dyDescent="0.25">
      <c r="A43" s="1">
        <v>42783</v>
      </c>
      <c r="B43" s="2" t="s">
        <v>24</v>
      </c>
      <c r="C43" s="2" t="s">
        <v>23</v>
      </c>
      <c r="D43">
        <v>3305</v>
      </c>
      <c r="E43">
        <v>106</v>
      </c>
      <c r="F43">
        <v>116</v>
      </c>
    </row>
    <row r="44" spans="1:16" x14ac:dyDescent="0.25">
      <c r="A44" s="1">
        <v>42785</v>
      </c>
      <c r="B44" s="2" t="s">
        <v>21</v>
      </c>
      <c r="C44" s="2" t="s">
        <v>7</v>
      </c>
      <c r="D44">
        <v>1743</v>
      </c>
      <c r="E44">
        <v>145</v>
      </c>
      <c r="F44">
        <v>376</v>
      </c>
      <c r="P44" t="s">
        <v>86</v>
      </c>
    </row>
    <row r="45" spans="1:16" x14ac:dyDescent="0.25">
      <c r="A45" s="1">
        <v>42788</v>
      </c>
      <c r="B45" s="2" t="s">
        <v>17</v>
      </c>
      <c r="C45" s="2" t="s">
        <v>34</v>
      </c>
      <c r="D45">
        <v>4053</v>
      </c>
      <c r="E45">
        <v>146</v>
      </c>
      <c r="F45">
        <v>441</v>
      </c>
    </row>
    <row r="46" spans="1:16" x14ac:dyDescent="0.25">
      <c r="A46" s="1">
        <v>42789</v>
      </c>
      <c r="B46" s="2" t="s">
        <v>18</v>
      </c>
      <c r="C46" s="2" t="s">
        <v>29</v>
      </c>
      <c r="D46">
        <v>4905</v>
      </c>
      <c r="E46">
        <v>157</v>
      </c>
      <c r="F46">
        <v>392</v>
      </c>
    </row>
    <row r="47" spans="1:16" x14ac:dyDescent="0.25">
      <c r="A47" s="1">
        <v>42791</v>
      </c>
      <c r="B47" s="2" t="s">
        <v>8</v>
      </c>
      <c r="C47" s="2" t="s">
        <v>7</v>
      </c>
      <c r="D47">
        <v>1624</v>
      </c>
      <c r="E47">
        <v>111</v>
      </c>
      <c r="F47">
        <v>221</v>
      </c>
    </row>
    <row r="48" spans="1:16" x14ac:dyDescent="0.25">
      <c r="A48" s="1">
        <v>42793</v>
      </c>
      <c r="B48" s="2" t="s">
        <v>35</v>
      </c>
      <c r="C48" s="2" t="s">
        <v>27</v>
      </c>
      <c r="D48">
        <v>5326</v>
      </c>
      <c r="E48">
        <v>171</v>
      </c>
      <c r="F48">
        <v>263</v>
      </c>
    </row>
    <row r="49" spans="1:6" x14ac:dyDescent="0.25">
      <c r="A49" s="1">
        <v>42794</v>
      </c>
      <c r="B49" s="2" t="s">
        <v>36</v>
      </c>
      <c r="C49" s="2" t="s">
        <v>12</v>
      </c>
      <c r="D49">
        <v>4398</v>
      </c>
      <c r="E49">
        <v>225</v>
      </c>
      <c r="F49">
        <v>400</v>
      </c>
    </row>
    <row r="50" spans="1:6" x14ac:dyDescent="0.25">
      <c r="A50" s="1">
        <v>42795</v>
      </c>
      <c r="B50" s="2" t="s">
        <v>35</v>
      </c>
      <c r="C50" s="2" t="s">
        <v>37</v>
      </c>
      <c r="D50">
        <v>4494</v>
      </c>
      <c r="E50">
        <v>143</v>
      </c>
      <c r="F50">
        <v>252</v>
      </c>
    </row>
    <row r="51" spans="1:6" x14ac:dyDescent="0.25">
      <c r="A51" s="1">
        <v>42796</v>
      </c>
      <c r="B51" s="2" t="s">
        <v>37</v>
      </c>
      <c r="C51" s="2" t="s">
        <v>38</v>
      </c>
      <c r="D51">
        <v>2136</v>
      </c>
      <c r="E51">
        <v>139</v>
      </c>
      <c r="F51">
        <v>522</v>
      </c>
    </row>
    <row r="52" spans="1:6" x14ac:dyDescent="0.25">
      <c r="A52" s="1">
        <v>42797</v>
      </c>
      <c r="B52" s="2" t="s">
        <v>38</v>
      </c>
      <c r="C52" s="2" t="s">
        <v>39</v>
      </c>
      <c r="D52">
        <v>4481</v>
      </c>
      <c r="E52">
        <v>121</v>
      </c>
      <c r="F52">
        <v>446</v>
      </c>
    </row>
    <row r="53" spans="1:6" x14ac:dyDescent="0.25">
      <c r="A53" s="1">
        <v>42798</v>
      </c>
      <c r="B53" s="2" t="s">
        <v>29</v>
      </c>
      <c r="C53" s="2" t="s">
        <v>14</v>
      </c>
      <c r="D53">
        <v>1749</v>
      </c>
      <c r="E53">
        <v>232</v>
      </c>
      <c r="F53">
        <v>928</v>
      </c>
    </row>
    <row r="54" spans="1:6" x14ac:dyDescent="0.25">
      <c r="A54" s="1">
        <v>42802</v>
      </c>
      <c r="B54" s="2" t="s">
        <v>29</v>
      </c>
      <c r="C54" s="2" t="s">
        <v>20</v>
      </c>
      <c r="D54">
        <v>1203</v>
      </c>
      <c r="E54">
        <v>146</v>
      </c>
      <c r="F54">
        <v>330</v>
      </c>
    </row>
    <row r="55" spans="1:6" x14ac:dyDescent="0.25">
      <c r="A55" s="1">
        <v>42803</v>
      </c>
      <c r="B55" s="2" t="s">
        <v>20</v>
      </c>
      <c r="C55" s="2" t="s">
        <v>40</v>
      </c>
      <c r="D55">
        <v>4505</v>
      </c>
      <c r="E55">
        <v>118</v>
      </c>
      <c r="F55">
        <v>374</v>
      </c>
    </row>
    <row r="56" spans="1:6" x14ac:dyDescent="0.25">
      <c r="A56" s="1">
        <v>42804</v>
      </c>
      <c r="B56" s="2" t="s">
        <v>40</v>
      </c>
      <c r="C56" s="2" t="s">
        <v>41</v>
      </c>
      <c r="D56">
        <v>1454</v>
      </c>
      <c r="E56">
        <v>95</v>
      </c>
      <c r="F56">
        <v>197</v>
      </c>
    </row>
    <row r="57" spans="1:6" x14ac:dyDescent="0.25">
      <c r="A57" s="1">
        <v>42805</v>
      </c>
      <c r="B57" s="2" t="s">
        <v>41</v>
      </c>
      <c r="C57" s="2" t="s">
        <v>16</v>
      </c>
      <c r="D57">
        <v>2835</v>
      </c>
      <c r="E57">
        <v>136</v>
      </c>
      <c r="F57">
        <v>418</v>
      </c>
    </row>
    <row r="58" spans="1:6" x14ac:dyDescent="0.25">
      <c r="A58" s="1">
        <v>42806</v>
      </c>
      <c r="B58" s="2" t="s">
        <v>16</v>
      </c>
      <c r="C58" s="2" t="s">
        <v>42</v>
      </c>
      <c r="D58">
        <v>2338</v>
      </c>
      <c r="E58">
        <v>123</v>
      </c>
      <c r="F58">
        <v>215</v>
      </c>
    </row>
    <row r="59" spans="1:6" x14ac:dyDescent="0.25">
      <c r="A59" s="1">
        <v>42807</v>
      </c>
      <c r="B59" s="2" t="s">
        <v>26</v>
      </c>
      <c r="C59" s="2" t="s">
        <v>43</v>
      </c>
      <c r="D59">
        <v>4154</v>
      </c>
      <c r="E59">
        <v>277</v>
      </c>
      <c r="F59">
        <v>924</v>
      </c>
    </row>
    <row r="60" spans="1:6" x14ac:dyDescent="0.25">
      <c r="A60" s="1">
        <v>42810</v>
      </c>
      <c r="B60" s="2" t="s">
        <v>15</v>
      </c>
      <c r="C60" s="2" t="s">
        <v>25</v>
      </c>
      <c r="D60">
        <v>1767</v>
      </c>
      <c r="E60">
        <v>91</v>
      </c>
      <c r="F60">
        <v>247</v>
      </c>
    </row>
    <row r="61" spans="1:6" x14ac:dyDescent="0.25">
      <c r="A61" s="1">
        <v>42812</v>
      </c>
      <c r="B61" s="2" t="s">
        <v>44</v>
      </c>
      <c r="C61" s="2" t="s">
        <v>45</v>
      </c>
      <c r="D61">
        <v>2929</v>
      </c>
      <c r="E61">
        <v>152</v>
      </c>
      <c r="F61">
        <v>278</v>
      </c>
    </row>
    <row r="62" spans="1:6" x14ac:dyDescent="0.25">
      <c r="A62" s="1">
        <v>42813</v>
      </c>
      <c r="B62" s="2" t="s">
        <v>45</v>
      </c>
      <c r="C62" s="2" t="s">
        <v>46</v>
      </c>
      <c r="D62">
        <v>2151</v>
      </c>
      <c r="E62">
        <v>177</v>
      </c>
      <c r="F62">
        <v>365</v>
      </c>
    </row>
    <row r="63" spans="1:6" x14ac:dyDescent="0.25">
      <c r="A63" s="1">
        <v>42814</v>
      </c>
      <c r="B63" s="2" t="s">
        <v>46</v>
      </c>
      <c r="C63" s="2" t="s">
        <v>47</v>
      </c>
      <c r="D63">
        <v>2431</v>
      </c>
      <c r="E63">
        <v>96</v>
      </c>
      <c r="F63">
        <v>409</v>
      </c>
    </row>
    <row r="64" spans="1:6" x14ac:dyDescent="0.25">
      <c r="A64" s="1">
        <v>42815</v>
      </c>
      <c r="B64" s="2" t="s">
        <v>34</v>
      </c>
      <c r="C64" s="2" t="s">
        <v>46</v>
      </c>
      <c r="D64">
        <v>1168</v>
      </c>
      <c r="E64">
        <v>143</v>
      </c>
      <c r="F64">
        <v>501</v>
      </c>
    </row>
    <row r="65" spans="1:6" x14ac:dyDescent="0.25">
      <c r="A65" s="1">
        <v>42816</v>
      </c>
      <c r="B65" s="2" t="s">
        <v>46</v>
      </c>
      <c r="C65" s="2" t="s">
        <v>19</v>
      </c>
      <c r="D65">
        <v>4251</v>
      </c>
      <c r="E65">
        <v>122</v>
      </c>
      <c r="F65">
        <v>227</v>
      </c>
    </row>
    <row r="66" spans="1:6" x14ac:dyDescent="0.25">
      <c r="A66" s="1">
        <v>42817</v>
      </c>
      <c r="B66" s="2" t="s">
        <v>19</v>
      </c>
      <c r="C66" s="2" t="s">
        <v>16</v>
      </c>
      <c r="D66">
        <v>4347</v>
      </c>
      <c r="E66">
        <v>117</v>
      </c>
      <c r="F66">
        <v>158</v>
      </c>
    </row>
    <row r="67" spans="1:6" x14ac:dyDescent="0.25">
      <c r="A67" s="1">
        <v>42818</v>
      </c>
      <c r="B67" s="2" t="s">
        <v>16</v>
      </c>
      <c r="C67" s="2" t="s">
        <v>41</v>
      </c>
      <c r="D67">
        <v>5287</v>
      </c>
      <c r="E67">
        <v>127</v>
      </c>
      <c r="F67">
        <v>495</v>
      </c>
    </row>
    <row r="68" spans="1:6" x14ac:dyDescent="0.25">
      <c r="A68" s="1">
        <v>42820</v>
      </c>
      <c r="B68" s="2" t="s">
        <v>17</v>
      </c>
      <c r="C68" s="2" t="s">
        <v>18</v>
      </c>
      <c r="D68">
        <v>5177</v>
      </c>
      <c r="E68">
        <v>147</v>
      </c>
      <c r="F68">
        <v>443</v>
      </c>
    </row>
    <row r="69" spans="1:6" x14ac:dyDescent="0.25">
      <c r="A69" s="1">
        <v>42821</v>
      </c>
      <c r="B69" s="2" t="s">
        <v>15</v>
      </c>
      <c r="C69" s="2" t="s">
        <v>26</v>
      </c>
      <c r="D69">
        <v>3858</v>
      </c>
      <c r="E69">
        <v>155</v>
      </c>
      <c r="F69">
        <v>261</v>
      </c>
    </row>
    <row r="70" spans="1:6" x14ac:dyDescent="0.25">
      <c r="A70" s="1">
        <v>42822</v>
      </c>
      <c r="B70" s="2" t="s">
        <v>26</v>
      </c>
      <c r="C70" s="2" t="s">
        <v>48</v>
      </c>
      <c r="D70">
        <v>4637</v>
      </c>
      <c r="E70">
        <v>116</v>
      </c>
      <c r="F70">
        <v>242</v>
      </c>
    </row>
    <row r="71" spans="1:6" x14ac:dyDescent="0.25">
      <c r="A71" s="1">
        <v>42823</v>
      </c>
      <c r="B71" s="2" t="s">
        <v>48</v>
      </c>
      <c r="C71" s="2" t="s">
        <v>14</v>
      </c>
      <c r="D71">
        <v>5212</v>
      </c>
      <c r="E71">
        <v>123</v>
      </c>
      <c r="F71">
        <v>517</v>
      </c>
    </row>
    <row r="72" spans="1:6" x14ac:dyDescent="0.25">
      <c r="A72" s="1">
        <v>42824</v>
      </c>
      <c r="B72" s="2" t="s">
        <v>14</v>
      </c>
      <c r="C72" s="2" t="s">
        <v>40</v>
      </c>
      <c r="D72">
        <v>1099</v>
      </c>
      <c r="E72">
        <v>128</v>
      </c>
      <c r="F72">
        <v>205</v>
      </c>
    </row>
    <row r="73" spans="1:6" x14ac:dyDescent="0.25">
      <c r="A73" s="1">
        <v>42825</v>
      </c>
      <c r="B73" s="2" t="s">
        <v>40</v>
      </c>
      <c r="C73" s="2" t="s">
        <v>41</v>
      </c>
      <c r="D73">
        <v>4422</v>
      </c>
      <c r="E73">
        <v>105</v>
      </c>
      <c r="F73">
        <v>145</v>
      </c>
    </row>
    <row r="74" spans="1:6" x14ac:dyDescent="0.25">
      <c r="A74" s="1">
        <v>42827</v>
      </c>
      <c r="B74" s="2" t="s">
        <v>33</v>
      </c>
      <c r="C74" s="2" t="s">
        <v>38</v>
      </c>
      <c r="D74">
        <v>2742</v>
      </c>
      <c r="E74">
        <v>109</v>
      </c>
      <c r="F74">
        <v>117</v>
      </c>
    </row>
    <row r="75" spans="1:6" x14ac:dyDescent="0.25">
      <c r="A75" s="1">
        <v>42828</v>
      </c>
      <c r="B75" s="2" t="s">
        <v>38</v>
      </c>
      <c r="C75" s="2" t="s">
        <v>33</v>
      </c>
      <c r="D75">
        <v>2100</v>
      </c>
      <c r="E75">
        <v>115</v>
      </c>
      <c r="F75">
        <v>172</v>
      </c>
    </row>
    <row r="76" spans="1:6" x14ac:dyDescent="0.25">
      <c r="A76" s="1">
        <v>42829</v>
      </c>
      <c r="B76" s="2" t="s">
        <v>33</v>
      </c>
      <c r="C76" s="2" t="s">
        <v>38</v>
      </c>
      <c r="D76">
        <v>5626</v>
      </c>
      <c r="E76">
        <v>123</v>
      </c>
      <c r="F76">
        <v>377</v>
      </c>
    </row>
    <row r="77" spans="1:6" x14ac:dyDescent="0.25">
      <c r="A77" s="1">
        <v>42830</v>
      </c>
      <c r="B77" s="2" t="s">
        <v>38</v>
      </c>
      <c r="C77" s="2" t="s">
        <v>33</v>
      </c>
      <c r="D77">
        <v>1629</v>
      </c>
      <c r="E77">
        <v>109</v>
      </c>
      <c r="F77">
        <v>258</v>
      </c>
    </row>
    <row r="78" spans="1:6" x14ac:dyDescent="0.25">
      <c r="A78" s="1">
        <v>42831</v>
      </c>
      <c r="B78" s="2" t="s">
        <v>33</v>
      </c>
      <c r="C78" s="2" t="s">
        <v>49</v>
      </c>
      <c r="D78">
        <v>4787</v>
      </c>
      <c r="E78">
        <v>155</v>
      </c>
      <c r="F78">
        <v>354</v>
      </c>
    </row>
    <row r="79" spans="1:6" x14ac:dyDescent="0.25">
      <c r="A79" s="1">
        <v>42832</v>
      </c>
      <c r="B79" s="2" t="s">
        <v>50</v>
      </c>
      <c r="C79" s="2" t="s">
        <v>45</v>
      </c>
      <c r="D79">
        <v>4678</v>
      </c>
      <c r="E79">
        <v>182</v>
      </c>
      <c r="F79">
        <v>254</v>
      </c>
    </row>
    <row r="80" spans="1:6" x14ac:dyDescent="0.25">
      <c r="A80" s="1">
        <v>42833</v>
      </c>
      <c r="B80" s="2" t="s">
        <v>45</v>
      </c>
      <c r="C80" s="2" t="s">
        <v>44</v>
      </c>
      <c r="D80">
        <v>5869</v>
      </c>
      <c r="E80">
        <v>152</v>
      </c>
      <c r="F80">
        <v>599</v>
      </c>
    </row>
    <row r="81" spans="1:6" x14ac:dyDescent="0.25">
      <c r="A81" s="1">
        <v>42834</v>
      </c>
      <c r="B81" s="2" t="s">
        <v>51</v>
      </c>
      <c r="C81" s="2" t="s">
        <v>44</v>
      </c>
      <c r="D81">
        <v>2678</v>
      </c>
      <c r="E81">
        <v>178</v>
      </c>
      <c r="F81">
        <v>481</v>
      </c>
    </row>
    <row r="82" spans="1:6" x14ac:dyDescent="0.25">
      <c r="A82" s="1">
        <v>42835</v>
      </c>
      <c r="B82" s="2" t="s">
        <v>20</v>
      </c>
      <c r="C82" s="2" t="s">
        <v>43</v>
      </c>
      <c r="D82">
        <v>3193</v>
      </c>
      <c r="E82">
        <v>241</v>
      </c>
      <c r="F82">
        <v>507</v>
      </c>
    </row>
    <row r="83" spans="1:6" x14ac:dyDescent="0.25">
      <c r="A83" s="1">
        <v>42836</v>
      </c>
      <c r="B83" s="2" t="s">
        <v>27</v>
      </c>
      <c r="C83" s="2" t="s">
        <v>25</v>
      </c>
      <c r="D83">
        <v>1011</v>
      </c>
      <c r="E83">
        <v>211</v>
      </c>
      <c r="F83">
        <v>536</v>
      </c>
    </row>
    <row r="84" spans="1:6" x14ac:dyDescent="0.25">
      <c r="A84" s="1">
        <v>42837</v>
      </c>
      <c r="B84" s="2" t="s">
        <v>25</v>
      </c>
      <c r="C84" s="2" t="s">
        <v>23</v>
      </c>
      <c r="D84">
        <v>3398</v>
      </c>
      <c r="E84">
        <v>122</v>
      </c>
      <c r="F84">
        <v>163</v>
      </c>
    </row>
    <row r="85" spans="1:6" x14ac:dyDescent="0.25">
      <c r="A85" s="1">
        <v>42839</v>
      </c>
      <c r="B85" s="2" t="s">
        <v>52</v>
      </c>
      <c r="C85" s="2" t="s">
        <v>53</v>
      </c>
      <c r="D85">
        <v>5416</v>
      </c>
      <c r="E85">
        <v>156</v>
      </c>
      <c r="F85">
        <v>349</v>
      </c>
    </row>
    <row r="86" spans="1:6" x14ac:dyDescent="0.25">
      <c r="A86" s="1">
        <v>42840</v>
      </c>
      <c r="B86" s="2" t="s">
        <v>9</v>
      </c>
      <c r="C86" s="2" t="s">
        <v>54</v>
      </c>
      <c r="D86">
        <v>3914</v>
      </c>
      <c r="E86">
        <v>417</v>
      </c>
      <c r="F86">
        <v>888</v>
      </c>
    </row>
    <row r="87" spans="1:6" x14ac:dyDescent="0.25">
      <c r="A87" s="1">
        <v>42841</v>
      </c>
      <c r="B87" s="2" t="s">
        <v>54</v>
      </c>
      <c r="C87" s="2" t="s">
        <v>47</v>
      </c>
      <c r="D87">
        <v>5805</v>
      </c>
      <c r="E87">
        <v>145</v>
      </c>
      <c r="F87">
        <v>301</v>
      </c>
    </row>
    <row r="88" spans="1:6" x14ac:dyDescent="0.25">
      <c r="A88" s="1">
        <v>42842</v>
      </c>
      <c r="B88" s="2" t="s">
        <v>47</v>
      </c>
      <c r="C88" s="2" t="s">
        <v>54</v>
      </c>
      <c r="D88">
        <v>4033</v>
      </c>
      <c r="E88">
        <v>136</v>
      </c>
      <c r="F88">
        <v>297</v>
      </c>
    </row>
    <row r="89" spans="1:6" x14ac:dyDescent="0.25">
      <c r="A89" s="1">
        <v>42844</v>
      </c>
      <c r="B89" s="2" t="s">
        <v>44</v>
      </c>
      <c r="C89" s="2" t="s">
        <v>55</v>
      </c>
      <c r="D89">
        <v>1021</v>
      </c>
      <c r="E89">
        <v>184</v>
      </c>
      <c r="F89">
        <v>660</v>
      </c>
    </row>
    <row r="90" spans="1:6" x14ac:dyDescent="0.25">
      <c r="A90" s="1">
        <v>42846</v>
      </c>
      <c r="B90" s="2" t="s">
        <v>56</v>
      </c>
      <c r="C90" s="2" t="s">
        <v>45</v>
      </c>
      <c r="D90">
        <v>5162</v>
      </c>
      <c r="E90">
        <v>17</v>
      </c>
      <c r="F90">
        <v>28</v>
      </c>
    </row>
    <row r="91" spans="1:6" x14ac:dyDescent="0.25">
      <c r="A91" s="1">
        <v>42847</v>
      </c>
      <c r="B91" s="2" t="s">
        <v>45</v>
      </c>
      <c r="C91" s="2" t="s">
        <v>44</v>
      </c>
      <c r="D91">
        <v>2050</v>
      </c>
      <c r="E91">
        <v>162</v>
      </c>
      <c r="F91">
        <v>569</v>
      </c>
    </row>
    <row r="92" spans="1:6" x14ac:dyDescent="0.25">
      <c r="A92" s="1">
        <v>42849</v>
      </c>
      <c r="B92" s="2" t="s">
        <v>43</v>
      </c>
      <c r="C92" s="2" t="s">
        <v>37</v>
      </c>
      <c r="D92">
        <v>5312</v>
      </c>
      <c r="E92">
        <v>153</v>
      </c>
      <c r="F92">
        <v>356</v>
      </c>
    </row>
    <row r="93" spans="1:6" x14ac:dyDescent="0.25">
      <c r="A93" s="1">
        <v>42851</v>
      </c>
      <c r="B93" s="2" t="s">
        <v>23</v>
      </c>
      <c r="C93" s="2" t="s">
        <v>42</v>
      </c>
      <c r="D93">
        <v>2443</v>
      </c>
      <c r="E93">
        <v>392</v>
      </c>
      <c r="F93">
        <v>1392</v>
      </c>
    </row>
    <row r="94" spans="1:6" x14ac:dyDescent="0.25">
      <c r="A94" s="1">
        <v>42853</v>
      </c>
      <c r="B94" s="2" t="s">
        <v>56</v>
      </c>
      <c r="C94" s="2" t="s">
        <v>50</v>
      </c>
      <c r="D94">
        <v>1161</v>
      </c>
      <c r="E94">
        <v>174</v>
      </c>
      <c r="F94">
        <v>323</v>
      </c>
    </row>
    <row r="95" spans="1:6" x14ac:dyDescent="0.25">
      <c r="A95" s="1">
        <v>42854</v>
      </c>
      <c r="B95" s="2" t="s">
        <v>50</v>
      </c>
      <c r="C95" s="2" t="s">
        <v>17</v>
      </c>
      <c r="D95">
        <v>3435</v>
      </c>
      <c r="E95">
        <v>146</v>
      </c>
      <c r="F95">
        <v>530</v>
      </c>
    </row>
    <row r="96" spans="1:6" x14ac:dyDescent="0.25">
      <c r="A96" s="1">
        <v>42855</v>
      </c>
      <c r="B96" s="2" t="s">
        <v>57</v>
      </c>
      <c r="C96" s="2" t="s">
        <v>32</v>
      </c>
      <c r="D96">
        <v>3358</v>
      </c>
      <c r="E96">
        <v>168</v>
      </c>
      <c r="F96">
        <v>569</v>
      </c>
    </row>
    <row r="97" spans="1:6" x14ac:dyDescent="0.25">
      <c r="A97" s="1">
        <v>42856</v>
      </c>
      <c r="B97" s="2" t="s">
        <v>52</v>
      </c>
      <c r="C97" s="2" t="s">
        <v>58</v>
      </c>
      <c r="D97">
        <v>2719</v>
      </c>
      <c r="E97">
        <v>152</v>
      </c>
      <c r="F97">
        <v>240</v>
      </c>
    </row>
    <row r="98" spans="1:6" x14ac:dyDescent="0.25">
      <c r="A98" s="1">
        <v>42857</v>
      </c>
      <c r="B98" s="2" t="s">
        <v>58</v>
      </c>
      <c r="C98" s="2" t="s">
        <v>23</v>
      </c>
      <c r="D98">
        <v>1793</v>
      </c>
      <c r="E98">
        <v>197</v>
      </c>
      <c r="F98">
        <v>754</v>
      </c>
    </row>
    <row r="99" spans="1:6" x14ac:dyDescent="0.25">
      <c r="A99" s="1">
        <v>42860</v>
      </c>
      <c r="B99" s="2" t="s">
        <v>19</v>
      </c>
      <c r="C99" s="2" t="s">
        <v>29</v>
      </c>
      <c r="D99">
        <v>1858</v>
      </c>
      <c r="E99">
        <v>104</v>
      </c>
      <c r="F99">
        <v>171</v>
      </c>
    </row>
    <row r="100" spans="1:6" x14ac:dyDescent="0.25">
      <c r="A100" s="1">
        <v>42861</v>
      </c>
      <c r="B100" s="2" t="s">
        <v>29</v>
      </c>
      <c r="C100" s="2" t="s">
        <v>19</v>
      </c>
      <c r="D100">
        <v>4651</v>
      </c>
      <c r="E100">
        <v>111</v>
      </c>
      <c r="F100">
        <v>190</v>
      </c>
    </row>
    <row r="101" spans="1:6" x14ac:dyDescent="0.25">
      <c r="A101" s="1">
        <v>42862</v>
      </c>
      <c r="B101" s="2" t="s">
        <v>19</v>
      </c>
      <c r="C101" s="2" t="s">
        <v>29</v>
      </c>
      <c r="D101">
        <v>2929</v>
      </c>
      <c r="E101">
        <v>111</v>
      </c>
      <c r="F101">
        <v>395</v>
      </c>
    </row>
    <row r="102" spans="1:6" x14ac:dyDescent="0.25">
      <c r="A102" s="1">
        <v>42863</v>
      </c>
      <c r="B102" s="2" t="s">
        <v>29</v>
      </c>
      <c r="C102" s="2" t="s">
        <v>28</v>
      </c>
      <c r="D102">
        <v>2608</v>
      </c>
      <c r="E102">
        <v>123</v>
      </c>
      <c r="F102">
        <v>223</v>
      </c>
    </row>
    <row r="103" spans="1:6" x14ac:dyDescent="0.25">
      <c r="A103" s="1">
        <v>42864</v>
      </c>
      <c r="B103" s="2" t="s">
        <v>28</v>
      </c>
      <c r="C103" s="2" t="s">
        <v>14</v>
      </c>
      <c r="D103">
        <v>3094</v>
      </c>
      <c r="E103">
        <v>107</v>
      </c>
      <c r="F103">
        <v>143</v>
      </c>
    </row>
    <row r="104" spans="1:6" x14ac:dyDescent="0.25">
      <c r="A104" s="1">
        <v>42867</v>
      </c>
      <c r="B104" s="2" t="s">
        <v>19</v>
      </c>
      <c r="C104" s="2" t="s">
        <v>59</v>
      </c>
      <c r="D104">
        <v>5288</v>
      </c>
      <c r="E104">
        <v>107</v>
      </c>
      <c r="F104">
        <v>312</v>
      </c>
    </row>
    <row r="105" spans="1:6" x14ac:dyDescent="0.25">
      <c r="A105" s="1">
        <v>42868</v>
      </c>
      <c r="B105" s="2" t="s">
        <v>43</v>
      </c>
      <c r="C105" s="2" t="s">
        <v>28</v>
      </c>
      <c r="D105">
        <v>4888</v>
      </c>
      <c r="E105">
        <v>182</v>
      </c>
      <c r="F105">
        <v>248</v>
      </c>
    </row>
    <row r="106" spans="1:6" x14ac:dyDescent="0.25">
      <c r="A106" s="1">
        <v>42869</v>
      </c>
      <c r="B106" s="2" t="s">
        <v>28</v>
      </c>
      <c r="C106" s="2" t="s">
        <v>60</v>
      </c>
      <c r="D106">
        <v>5475</v>
      </c>
      <c r="E106">
        <v>129</v>
      </c>
      <c r="F106">
        <v>200</v>
      </c>
    </row>
    <row r="107" spans="1:6" x14ac:dyDescent="0.25">
      <c r="A107" s="1">
        <v>42870</v>
      </c>
      <c r="B107" s="2" t="s">
        <v>60</v>
      </c>
      <c r="C107" s="2" t="s">
        <v>47</v>
      </c>
      <c r="D107">
        <v>4863</v>
      </c>
      <c r="E107">
        <v>141</v>
      </c>
      <c r="F107">
        <v>444</v>
      </c>
    </row>
    <row r="108" spans="1:6" x14ac:dyDescent="0.25">
      <c r="A108" s="1">
        <v>42872</v>
      </c>
      <c r="B108" s="2" t="s">
        <v>29</v>
      </c>
      <c r="C108" s="2" t="s">
        <v>56</v>
      </c>
      <c r="D108">
        <v>5933</v>
      </c>
      <c r="E108">
        <v>335</v>
      </c>
      <c r="F108">
        <v>479</v>
      </c>
    </row>
    <row r="109" spans="1:6" x14ac:dyDescent="0.25">
      <c r="A109" s="1">
        <v>42873</v>
      </c>
      <c r="B109" s="2" t="s">
        <v>59</v>
      </c>
      <c r="C109" s="2" t="s">
        <v>61</v>
      </c>
      <c r="D109">
        <v>1730</v>
      </c>
      <c r="E109">
        <v>410</v>
      </c>
      <c r="F109">
        <v>1087</v>
      </c>
    </row>
    <row r="110" spans="1:6" x14ac:dyDescent="0.25">
      <c r="A110" s="1">
        <v>42874</v>
      </c>
      <c r="B110" s="2" t="s">
        <v>61</v>
      </c>
      <c r="C110" s="2" t="s">
        <v>15</v>
      </c>
      <c r="D110">
        <v>3178</v>
      </c>
      <c r="E110">
        <v>171</v>
      </c>
      <c r="F110">
        <v>646</v>
      </c>
    </row>
    <row r="111" spans="1:6" x14ac:dyDescent="0.25">
      <c r="A111" s="1">
        <v>42877</v>
      </c>
      <c r="B111" s="2" t="s">
        <v>29</v>
      </c>
      <c r="C111" s="2" t="s">
        <v>41</v>
      </c>
      <c r="D111">
        <v>3983</v>
      </c>
      <c r="E111">
        <v>153</v>
      </c>
      <c r="F111">
        <v>175</v>
      </c>
    </row>
    <row r="112" spans="1:6" x14ac:dyDescent="0.25">
      <c r="A112" s="1">
        <v>42878</v>
      </c>
      <c r="B112" s="2" t="s">
        <v>36</v>
      </c>
      <c r="C112" s="2" t="s">
        <v>13</v>
      </c>
      <c r="D112">
        <v>3007</v>
      </c>
      <c r="E112">
        <v>391</v>
      </c>
      <c r="F112">
        <v>1406</v>
      </c>
    </row>
    <row r="113" spans="1:6" x14ac:dyDescent="0.25">
      <c r="A113" s="1">
        <v>42879</v>
      </c>
      <c r="B113" s="2" t="s">
        <v>59</v>
      </c>
      <c r="C113" s="2" t="s">
        <v>18</v>
      </c>
      <c r="D113">
        <v>5832</v>
      </c>
      <c r="E113">
        <v>300</v>
      </c>
      <c r="F113">
        <v>453</v>
      </c>
    </row>
    <row r="114" spans="1:6" x14ac:dyDescent="0.25">
      <c r="A114" s="1">
        <v>42881</v>
      </c>
      <c r="B114" s="2" t="s">
        <v>35</v>
      </c>
      <c r="C114" s="2" t="s">
        <v>37</v>
      </c>
      <c r="D114">
        <v>3012</v>
      </c>
      <c r="E114">
        <v>148</v>
      </c>
      <c r="F114">
        <v>185</v>
      </c>
    </row>
    <row r="115" spans="1:6" x14ac:dyDescent="0.25">
      <c r="A115" s="1">
        <v>42882</v>
      </c>
      <c r="B115" s="2" t="s">
        <v>37</v>
      </c>
      <c r="C115" s="2" t="s">
        <v>57</v>
      </c>
      <c r="D115">
        <v>4508</v>
      </c>
      <c r="E115">
        <v>104</v>
      </c>
      <c r="F115">
        <v>399</v>
      </c>
    </row>
    <row r="116" spans="1:6" x14ac:dyDescent="0.25">
      <c r="A116" s="1">
        <v>42883</v>
      </c>
      <c r="B116" s="2" t="s">
        <v>9</v>
      </c>
      <c r="C116" s="2" t="s">
        <v>58</v>
      </c>
      <c r="D116">
        <v>1777</v>
      </c>
      <c r="E116">
        <v>552</v>
      </c>
      <c r="F116">
        <v>1964</v>
      </c>
    </row>
    <row r="117" spans="1:6" x14ac:dyDescent="0.25">
      <c r="A117" s="1">
        <v>42884</v>
      </c>
      <c r="B117" s="2" t="s">
        <v>58</v>
      </c>
      <c r="C117" s="2" t="s">
        <v>61</v>
      </c>
      <c r="D117">
        <v>4788</v>
      </c>
      <c r="E117">
        <v>203</v>
      </c>
      <c r="F117">
        <v>347</v>
      </c>
    </row>
    <row r="118" spans="1:6" x14ac:dyDescent="0.25">
      <c r="A118" s="1">
        <v>42885</v>
      </c>
      <c r="B118" s="2" t="s">
        <v>61</v>
      </c>
      <c r="C118" s="2" t="s">
        <v>62</v>
      </c>
      <c r="D118">
        <v>3035</v>
      </c>
      <c r="E118">
        <v>103</v>
      </c>
      <c r="F118">
        <v>376</v>
      </c>
    </row>
    <row r="119" spans="1:6" x14ac:dyDescent="0.25">
      <c r="A119" s="1">
        <v>42886</v>
      </c>
      <c r="B119" s="2" t="s">
        <v>62</v>
      </c>
      <c r="C119" s="2" t="s">
        <v>63</v>
      </c>
      <c r="D119">
        <v>3380</v>
      </c>
      <c r="E119">
        <v>155</v>
      </c>
      <c r="F119">
        <v>542</v>
      </c>
    </row>
    <row r="120" spans="1:6" x14ac:dyDescent="0.25">
      <c r="A120" s="1">
        <v>42887</v>
      </c>
      <c r="B120" s="2" t="s">
        <v>63</v>
      </c>
      <c r="C120" s="2" t="s">
        <v>64</v>
      </c>
      <c r="D120">
        <v>5014</v>
      </c>
      <c r="E120">
        <v>154</v>
      </c>
      <c r="F120">
        <v>577</v>
      </c>
    </row>
    <row r="121" spans="1:6" x14ac:dyDescent="0.25">
      <c r="A121" s="1">
        <v>42888</v>
      </c>
      <c r="B121" s="2" t="s">
        <v>64</v>
      </c>
      <c r="C121" s="2" t="s">
        <v>58</v>
      </c>
      <c r="D121">
        <v>1852</v>
      </c>
      <c r="E121">
        <v>110</v>
      </c>
      <c r="F121">
        <v>407</v>
      </c>
    </row>
    <row r="122" spans="1:6" x14ac:dyDescent="0.25">
      <c r="A122" s="1">
        <v>42890</v>
      </c>
      <c r="B122" s="2" t="s">
        <v>65</v>
      </c>
      <c r="C122" s="2" t="s">
        <v>11</v>
      </c>
      <c r="D122">
        <v>5493</v>
      </c>
      <c r="E122">
        <v>145</v>
      </c>
      <c r="F122">
        <v>168</v>
      </c>
    </row>
    <row r="123" spans="1:6" x14ac:dyDescent="0.25">
      <c r="A123" s="1">
        <v>42892</v>
      </c>
      <c r="B123" s="2" t="s">
        <v>51</v>
      </c>
      <c r="C123" s="2" t="s">
        <v>44</v>
      </c>
      <c r="D123">
        <v>5560</v>
      </c>
      <c r="E123">
        <v>187</v>
      </c>
      <c r="F123">
        <v>288</v>
      </c>
    </row>
    <row r="124" spans="1:6" x14ac:dyDescent="0.25">
      <c r="A124" s="1">
        <v>42893</v>
      </c>
      <c r="B124" s="2" t="s">
        <v>66</v>
      </c>
      <c r="C124" s="2" t="s">
        <v>67</v>
      </c>
      <c r="D124">
        <v>2571</v>
      </c>
      <c r="E124">
        <v>145</v>
      </c>
      <c r="F124">
        <v>567</v>
      </c>
    </row>
    <row r="125" spans="1:6" x14ac:dyDescent="0.25">
      <c r="A125" s="1">
        <v>42894</v>
      </c>
      <c r="B125" s="2" t="s">
        <v>67</v>
      </c>
      <c r="C125" s="2" t="s">
        <v>19</v>
      </c>
      <c r="D125">
        <v>3348</v>
      </c>
      <c r="E125">
        <v>111</v>
      </c>
      <c r="F125">
        <v>135</v>
      </c>
    </row>
    <row r="126" spans="1:6" x14ac:dyDescent="0.25">
      <c r="A126" s="1">
        <v>42895</v>
      </c>
      <c r="B126" s="2" t="s">
        <v>19</v>
      </c>
      <c r="C126" s="2" t="s">
        <v>46</v>
      </c>
      <c r="D126">
        <v>2906</v>
      </c>
      <c r="E126">
        <v>119</v>
      </c>
      <c r="F126">
        <v>398</v>
      </c>
    </row>
    <row r="127" spans="1:6" x14ac:dyDescent="0.25">
      <c r="A127" s="1">
        <v>42896</v>
      </c>
      <c r="B127" s="2" t="s">
        <v>46</v>
      </c>
      <c r="C127" s="2" t="s">
        <v>54</v>
      </c>
      <c r="D127">
        <v>5660</v>
      </c>
      <c r="E127">
        <v>137</v>
      </c>
      <c r="F127">
        <v>490</v>
      </c>
    </row>
    <row r="128" spans="1:6" x14ac:dyDescent="0.25">
      <c r="A128" s="1">
        <v>42897</v>
      </c>
      <c r="B128" s="2" t="s">
        <v>19</v>
      </c>
      <c r="C128" s="2" t="s">
        <v>29</v>
      </c>
      <c r="D128">
        <v>2575</v>
      </c>
      <c r="E128">
        <v>113</v>
      </c>
      <c r="F128">
        <v>277</v>
      </c>
    </row>
    <row r="129" spans="1:6" x14ac:dyDescent="0.25">
      <c r="A129" s="1">
        <v>42898</v>
      </c>
      <c r="B129" s="2" t="s">
        <v>55</v>
      </c>
      <c r="C129" s="2" t="s">
        <v>46</v>
      </c>
      <c r="D129">
        <v>1676</v>
      </c>
      <c r="E129">
        <v>217</v>
      </c>
      <c r="F129">
        <v>499</v>
      </c>
    </row>
    <row r="130" spans="1:6" x14ac:dyDescent="0.25">
      <c r="A130" s="1">
        <v>42899</v>
      </c>
      <c r="B130" s="2" t="s">
        <v>46</v>
      </c>
      <c r="C130" s="2" t="s">
        <v>47</v>
      </c>
      <c r="D130">
        <v>1536</v>
      </c>
      <c r="E130">
        <v>96</v>
      </c>
      <c r="F130">
        <v>154</v>
      </c>
    </row>
    <row r="131" spans="1:6" x14ac:dyDescent="0.25">
      <c r="A131" s="1">
        <v>42900</v>
      </c>
      <c r="B131" s="2" t="s">
        <v>47</v>
      </c>
      <c r="C131" s="2" t="s">
        <v>42</v>
      </c>
      <c r="D131">
        <v>1996</v>
      </c>
      <c r="E131">
        <v>158</v>
      </c>
      <c r="F131">
        <v>653</v>
      </c>
    </row>
    <row r="132" spans="1:6" x14ac:dyDescent="0.25">
      <c r="A132" s="1">
        <v>42902</v>
      </c>
      <c r="B132" s="2" t="s">
        <v>68</v>
      </c>
      <c r="C132" s="2" t="s">
        <v>69</v>
      </c>
      <c r="D132">
        <v>4769</v>
      </c>
      <c r="E132">
        <v>160</v>
      </c>
      <c r="F132">
        <v>522</v>
      </c>
    </row>
    <row r="133" spans="1:6" x14ac:dyDescent="0.25">
      <c r="A133" s="1">
        <v>42903</v>
      </c>
      <c r="B133" s="2" t="s">
        <v>69</v>
      </c>
      <c r="C133" s="2" t="s">
        <v>59</v>
      </c>
      <c r="D133">
        <v>4542</v>
      </c>
      <c r="E133">
        <v>205</v>
      </c>
      <c r="F133">
        <v>524</v>
      </c>
    </row>
    <row r="134" spans="1:6" x14ac:dyDescent="0.25">
      <c r="A134" s="1">
        <v>42904</v>
      </c>
      <c r="B134" s="2" t="s">
        <v>59</v>
      </c>
      <c r="C134" s="2" t="s">
        <v>60</v>
      </c>
      <c r="D134">
        <v>2286</v>
      </c>
      <c r="E134">
        <v>140</v>
      </c>
      <c r="F134">
        <v>136</v>
      </c>
    </row>
    <row r="135" spans="1:6" x14ac:dyDescent="0.25">
      <c r="A135" s="1">
        <v>42905</v>
      </c>
      <c r="B135" s="2" t="s">
        <v>60</v>
      </c>
      <c r="C135" s="2" t="s">
        <v>41</v>
      </c>
      <c r="D135">
        <v>1504</v>
      </c>
      <c r="E135">
        <v>95</v>
      </c>
      <c r="F135">
        <v>382</v>
      </c>
    </row>
    <row r="136" spans="1:6" x14ac:dyDescent="0.25">
      <c r="A136" s="1">
        <v>42906</v>
      </c>
      <c r="B136" s="2" t="s">
        <v>34</v>
      </c>
      <c r="C136" s="2" t="s">
        <v>39</v>
      </c>
      <c r="D136">
        <v>3990</v>
      </c>
      <c r="E136">
        <v>195</v>
      </c>
      <c r="F136">
        <v>468</v>
      </c>
    </row>
    <row r="137" spans="1:6" x14ac:dyDescent="0.25">
      <c r="A137" s="1">
        <v>42907</v>
      </c>
      <c r="B137" s="2" t="s">
        <v>47</v>
      </c>
      <c r="C137" s="2" t="s">
        <v>17</v>
      </c>
      <c r="D137">
        <v>4569</v>
      </c>
      <c r="E137">
        <v>123</v>
      </c>
      <c r="F137">
        <v>295</v>
      </c>
    </row>
    <row r="138" spans="1:6" x14ac:dyDescent="0.25">
      <c r="A138" s="1">
        <v>42908</v>
      </c>
      <c r="B138" s="2" t="s">
        <v>17</v>
      </c>
      <c r="C138" s="2" t="s">
        <v>18</v>
      </c>
      <c r="D138">
        <v>3469</v>
      </c>
      <c r="E138">
        <v>151</v>
      </c>
      <c r="F138">
        <v>558</v>
      </c>
    </row>
    <row r="139" spans="1:6" x14ac:dyDescent="0.25">
      <c r="A139" s="1">
        <v>42909</v>
      </c>
      <c r="B139" s="2" t="s">
        <v>18</v>
      </c>
      <c r="C139" s="2" t="s">
        <v>39</v>
      </c>
      <c r="D139">
        <v>2498</v>
      </c>
      <c r="E139">
        <v>163</v>
      </c>
      <c r="F139">
        <v>610</v>
      </c>
    </row>
    <row r="140" spans="1:6" x14ac:dyDescent="0.25">
      <c r="A140" s="1">
        <v>42910</v>
      </c>
      <c r="B140" s="2" t="s">
        <v>39</v>
      </c>
      <c r="C140" s="2" t="s">
        <v>17</v>
      </c>
      <c r="D140">
        <v>4118</v>
      </c>
      <c r="E140">
        <v>144</v>
      </c>
      <c r="F140">
        <v>256</v>
      </c>
    </row>
    <row r="141" spans="1:6" x14ac:dyDescent="0.25">
      <c r="A141" s="1">
        <v>42911</v>
      </c>
      <c r="B141" s="2" t="s">
        <v>30</v>
      </c>
      <c r="C141" s="2" t="s">
        <v>70</v>
      </c>
      <c r="D141">
        <v>5847</v>
      </c>
      <c r="E141">
        <v>137</v>
      </c>
      <c r="F141">
        <v>270</v>
      </c>
    </row>
    <row r="142" spans="1:6" x14ac:dyDescent="0.25">
      <c r="A142" s="1">
        <v>42912</v>
      </c>
      <c r="B142" s="2" t="s">
        <v>70</v>
      </c>
      <c r="C142" s="2" t="s">
        <v>30</v>
      </c>
      <c r="D142">
        <v>2032</v>
      </c>
      <c r="E142">
        <v>129</v>
      </c>
      <c r="F142">
        <v>245</v>
      </c>
    </row>
    <row r="143" spans="1:6" x14ac:dyDescent="0.25">
      <c r="A143" s="1">
        <v>42913</v>
      </c>
      <c r="B143" s="2" t="s">
        <v>30</v>
      </c>
      <c r="C143" s="2" t="s">
        <v>31</v>
      </c>
      <c r="D143">
        <v>2735</v>
      </c>
      <c r="E143">
        <v>213</v>
      </c>
      <c r="F143">
        <v>213</v>
      </c>
    </row>
    <row r="144" spans="1:6" x14ac:dyDescent="0.25">
      <c r="A144" s="1">
        <v>42914</v>
      </c>
      <c r="B144" s="2" t="s">
        <v>31</v>
      </c>
      <c r="C144" s="2" t="s">
        <v>22</v>
      </c>
      <c r="D144">
        <v>5467</v>
      </c>
      <c r="E144">
        <v>168</v>
      </c>
      <c r="F144">
        <v>336</v>
      </c>
    </row>
    <row r="145" spans="1:6" x14ac:dyDescent="0.25">
      <c r="A145" s="1">
        <v>42915</v>
      </c>
      <c r="B145" s="2" t="s">
        <v>22</v>
      </c>
      <c r="C145" s="2" t="s">
        <v>21</v>
      </c>
      <c r="D145">
        <v>3691</v>
      </c>
      <c r="E145">
        <v>170</v>
      </c>
      <c r="F145">
        <v>525</v>
      </c>
    </row>
    <row r="146" spans="1:6" x14ac:dyDescent="0.25">
      <c r="A146" s="1">
        <v>42916</v>
      </c>
      <c r="B146" s="2" t="s">
        <v>15</v>
      </c>
      <c r="C146" s="2" t="s">
        <v>52</v>
      </c>
      <c r="D146">
        <v>3681</v>
      </c>
      <c r="E146">
        <v>145</v>
      </c>
      <c r="F146">
        <v>546</v>
      </c>
    </row>
    <row r="147" spans="1:6" x14ac:dyDescent="0.25">
      <c r="A147" s="1">
        <v>42917</v>
      </c>
      <c r="B147" s="2" t="s">
        <v>62</v>
      </c>
      <c r="C147" s="2" t="s">
        <v>20</v>
      </c>
      <c r="D147">
        <v>2256</v>
      </c>
      <c r="E147">
        <v>146</v>
      </c>
      <c r="F147">
        <v>315</v>
      </c>
    </row>
    <row r="148" spans="1:6" x14ac:dyDescent="0.25">
      <c r="A148" s="1">
        <v>42918</v>
      </c>
      <c r="B148" s="2" t="s">
        <v>20</v>
      </c>
      <c r="C148" s="2" t="s">
        <v>8</v>
      </c>
      <c r="D148">
        <v>4602</v>
      </c>
      <c r="E148">
        <v>120</v>
      </c>
      <c r="F148">
        <v>288</v>
      </c>
    </row>
    <row r="149" spans="1:6" x14ac:dyDescent="0.25">
      <c r="A149" s="1">
        <v>42919</v>
      </c>
      <c r="B149" s="2" t="s">
        <v>8</v>
      </c>
      <c r="C149" s="2" t="s">
        <v>20</v>
      </c>
      <c r="D149">
        <v>4354</v>
      </c>
      <c r="E149">
        <v>135</v>
      </c>
      <c r="F149">
        <v>215</v>
      </c>
    </row>
    <row r="150" spans="1:6" x14ac:dyDescent="0.25">
      <c r="A150" s="1">
        <v>42920</v>
      </c>
      <c r="B150" s="2" t="s">
        <v>20</v>
      </c>
      <c r="C150" s="2" t="s">
        <v>60</v>
      </c>
      <c r="D150">
        <v>4260</v>
      </c>
      <c r="E150">
        <v>118</v>
      </c>
      <c r="F150">
        <v>222</v>
      </c>
    </row>
    <row r="151" spans="1:6" x14ac:dyDescent="0.25">
      <c r="A151" s="1">
        <v>42921</v>
      </c>
      <c r="B151" s="2" t="s">
        <v>40</v>
      </c>
      <c r="C151" s="2" t="s">
        <v>41</v>
      </c>
      <c r="D151">
        <v>2800</v>
      </c>
      <c r="E151">
        <v>98</v>
      </c>
      <c r="F151">
        <v>108</v>
      </c>
    </row>
    <row r="152" spans="1:6" x14ac:dyDescent="0.25">
      <c r="A152" s="1">
        <v>42922</v>
      </c>
      <c r="B152" s="2" t="s">
        <v>41</v>
      </c>
      <c r="C152" s="2" t="s">
        <v>28</v>
      </c>
      <c r="D152">
        <v>2637</v>
      </c>
      <c r="E152">
        <v>138</v>
      </c>
      <c r="F152">
        <v>179</v>
      </c>
    </row>
    <row r="153" spans="1:6" x14ac:dyDescent="0.25">
      <c r="A153" s="1">
        <v>42923</v>
      </c>
      <c r="B153" s="2" t="s">
        <v>28</v>
      </c>
      <c r="C153" s="2" t="s">
        <v>14</v>
      </c>
      <c r="D153">
        <v>5651</v>
      </c>
      <c r="E153">
        <v>116</v>
      </c>
      <c r="F153">
        <v>141</v>
      </c>
    </row>
    <row r="154" spans="1:6" x14ac:dyDescent="0.25">
      <c r="A154" s="1">
        <v>42924</v>
      </c>
      <c r="B154" s="2" t="s">
        <v>14</v>
      </c>
      <c r="C154" s="2" t="s">
        <v>48</v>
      </c>
      <c r="D154">
        <v>2511</v>
      </c>
      <c r="E154">
        <v>120</v>
      </c>
      <c r="F154">
        <v>438</v>
      </c>
    </row>
    <row r="155" spans="1:6" x14ac:dyDescent="0.25">
      <c r="A155" s="1">
        <v>42926</v>
      </c>
      <c r="B155" s="2" t="s">
        <v>56</v>
      </c>
      <c r="C155" s="2" t="s">
        <v>30</v>
      </c>
      <c r="D155">
        <v>2448</v>
      </c>
      <c r="E155">
        <v>744</v>
      </c>
      <c r="F155">
        <v>2887</v>
      </c>
    </row>
    <row r="156" spans="1:6" x14ac:dyDescent="0.25">
      <c r="A156" s="1">
        <v>42927</v>
      </c>
      <c r="B156" s="2" t="s">
        <v>10</v>
      </c>
      <c r="C156" s="2" t="s">
        <v>71</v>
      </c>
      <c r="D156">
        <v>3414</v>
      </c>
      <c r="E156">
        <v>114</v>
      </c>
      <c r="F156">
        <v>301</v>
      </c>
    </row>
    <row r="157" spans="1:6" x14ac:dyDescent="0.25">
      <c r="A157" s="1">
        <v>42928</v>
      </c>
      <c r="B157" s="2" t="s">
        <v>70</v>
      </c>
      <c r="C157" s="2" t="s">
        <v>36</v>
      </c>
      <c r="D157">
        <v>4039</v>
      </c>
      <c r="E157">
        <v>204</v>
      </c>
      <c r="F157">
        <v>614</v>
      </c>
    </row>
    <row r="158" spans="1:6" x14ac:dyDescent="0.25">
      <c r="A158" s="1">
        <v>42929</v>
      </c>
      <c r="B158" s="2" t="s">
        <v>36</v>
      </c>
      <c r="C158" s="2" t="s">
        <v>70</v>
      </c>
      <c r="D158">
        <v>5862</v>
      </c>
      <c r="E158">
        <v>202</v>
      </c>
      <c r="F158">
        <v>518</v>
      </c>
    </row>
    <row r="159" spans="1:6" x14ac:dyDescent="0.25">
      <c r="A159" s="1">
        <v>42931</v>
      </c>
      <c r="B159" s="2" t="s">
        <v>44</v>
      </c>
      <c r="C159" s="2" t="s">
        <v>56</v>
      </c>
      <c r="D159">
        <v>3077</v>
      </c>
      <c r="E159">
        <v>148</v>
      </c>
      <c r="F159">
        <v>454</v>
      </c>
    </row>
    <row r="160" spans="1:6" x14ac:dyDescent="0.25">
      <c r="A160" s="1">
        <v>42932</v>
      </c>
      <c r="B160" s="2" t="s">
        <v>55</v>
      </c>
      <c r="C160" s="2" t="s">
        <v>26</v>
      </c>
      <c r="D160">
        <v>5569</v>
      </c>
      <c r="E160">
        <v>604</v>
      </c>
      <c r="F160">
        <v>1446</v>
      </c>
    </row>
    <row r="161" spans="1:6" x14ac:dyDescent="0.25">
      <c r="A161" s="1">
        <v>42933</v>
      </c>
      <c r="B161" s="2" t="s">
        <v>26</v>
      </c>
      <c r="C161" s="2" t="s">
        <v>48</v>
      </c>
      <c r="D161">
        <v>4513</v>
      </c>
      <c r="E161">
        <v>114</v>
      </c>
      <c r="F161">
        <v>125</v>
      </c>
    </row>
    <row r="162" spans="1:6" x14ac:dyDescent="0.25">
      <c r="A162" s="1">
        <v>42935</v>
      </c>
      <c r="B162" s="2" t="s">
        <v>18</v>
      </c>
      <c r="C162" s="2" t="s">
        <v>16</v>
      </c>
      <c r="D162">
        <v>2771</v>
      </c>
      <c r="E162">
        <v>239</v>
      </c>
      <c r="F162">
        <v>396</v>
      </c>
    </row>
    <row r="163" spans="1:6" x14ac:dyDescent="0.25">
      <c r="A163" s="1">
        <v>42936</v>
      </c>
      <c r="B163" s="2" t="s">
        <v>50</v>
      </c>
      <c r="C163" s="2" t="s">
        <v>42</v>
      </c>
      <c r="D163">
        <v>1079</v>
      </c>
      <c r="E163">
        <v>438</v>
      </c>
      <c r="F163">
        <v>899</v>
      </c>
    </row>
    <row r="164" spans="1:6" x14ac:dyDescent="0.25">
      <c r="A164" s="1">
        <v>42937</v>
      </c>
      <c r="B164" s="2" t="s">
        <v>42</v>
      </c>
      <c r="C164" s="2" t="s">
        <v>32</v>
      </c>
      <c r="D164">
        <v>3126</v>
      </c>
      <c r="E164">
        <v>124</v>
      </c>
      <c r="F164">
        <v>317</v>
      </c>
    </row>
    <row r="165" spans="1:6" x14ac:dyDescent="0.25">
      <c r="A165" s="1">
        <v>42938</v>
      </c>
      <c r="B165" s="2" t="s">
        <v>32</v>
      </c>
      <c r="C165" s="2" t="s">
        <v>60</v>
      </c>
      <c r="D165">
        <v>3650</v>
      </c>
      <c r="E165">
        <v>137</v>
      </c>
      <c r="F165">
        <v>308</v>
      </c>
    </row>
    <row r="166" spans="1:6" x14ac:dyDescent="0.25">
      <c r="A166" s="1">
        <v>42939</v>
      </c>
      <c r="B166" s="2" t="s">
        <v>55</v>
      </c>
      <c r="C166" s="2" t="s">
        <v>68</v>
      </c>
      <c r="D166">
        <v>5721</v>
      </c>
      <c r="E166">
        <v>122</v>
      </c>
      <c r="F166">
        <v>280</v>
      </c>
    </row>
    <row r="167" spans="1:6" x14ac:dyDescent="0.25">
      <c r="A167" s="1">
        <v>42940</v>
      </c>
      <c r="B167" s="2" t="s">
        <v>68</v>
      </c>
      <c r="C167" s="2" t="s">
        <v>19</v>
      </c>
      <c r="D167">
        <v>5759</v>
      </c>
      <c r="E167">
        <v>175</v>
      </c>
      <c r="F167">
        <v>297</v>
      </c>
    </row>
    <row r="168" spans="1:6" x14ac:dyDescent="0.25">
      <c r="A168" s="1">
        <v>42941</v>
      </c>
      <c r="B168" s="2" t="s">
        <v>19</v>
      </c>
      <c r="C168" s="2" t="s">
        <v>59</v>
      </c>
      <c r="D168">
        <v>2871</v>
      </c>
      <c r="E168">
        <v>113</v>
      </c>
      <c r="F168">
        <v>110</v>
      </c>
    </row>
    <row r="169" spans="1:6" x14ac:dyDescent="0.25">
      <c r="A169" s="1">
        <v>42944</v>
      </c>
      <c r="B169" s="2" t="s">
        <v>8</v>
      </c>
      <c r="C169" s="2" t="s">
        <v>9</v>
      </c>
      <c r="D169">
        <v>3571</v>
      </c>
      <c r="E169">
        <v>162</v>
      </c>
      <c r="F169">
        <v>292</v>
      </c>
    </row>
    <row r="170" spans="1:6" x14ac:dyDescent="0.25">
      <c r="A170" s="1">
        <v>42945</v>
      </c>
      <c r="B170" s="2" t="s">
        <v>9</v>
      </c>
      <c r="C170" s="2" t="s">
        <v>59</v>
      </c>
      <c r="D170">
        <v>3061</v>
      </c>
      <c r="E170">
        <v>107</v>
      </c>
      <c r="F170">
        <v>258</v>
      </c>
    </row>
    <row r="171" spans="1:6" x14ac:dyDescent="0.25">
      <c r="A171" s="1">
        <v>42946</v>
      </c>
      <c r="B171" s="2" t="s">
        <v>59</v>
      </c>
      <c r="C171" s="2" t="s">
        <v>65</v>
      </c>
      <c r="D171">
        <v>5336</v>
      </c>
      <c r="E171">
        <v>107</v>
      </c>
      <c r="F171">
        <v>171</v>
      </c>
    </row>
    <row r="172" spans="1:6" x14ac:dyDescent="0.25">
      <c r="A172" s="1">
        <v>42947</v>
      </c>
      <c r="B172" s="2" t="s">
        <v>29</v>
      </c>
      <c r="C172" s="2" t="s">
        <v>27</v>
      </c>
      <c r="D172">
        <v>5658</v>
      </c>
      <c r="E172">
        <v>249</v>
      </c>
      <c r="F172">
        <v>967</v>
      </c>
    </row>
    <row r="173" spans="1:6" x14ac:dyDescent="0.25">
      <c r="A173" s="1">
        <v>42948</v>
      </c>
      <c r="B173" s="2" t="s">
        <v>27</v>
      </c>
      <c r="C173" s="2" t="s">
        <v>25</v>
      </c>
      <c r="D173">
        <v>2697</v>
      </c>
      <c r="E173">
        <v>209</v>
      </c>
      <c r="F173">
        <v>699</v>
      </c>
    </row>
    <row r="174" spans="1:6" x14ac:dyDescent="0.25">
      <c r="A174" s="1">
        <v>42949</v>
      </c>
      <c r="B174" s="2" t="s">
        <v>25</v>
      </c>
      <c r="C174" s="2" t="s">
        <v>48</v>
      </c>
      <c r="D174">
        <v>5368</v>
      </c>
      <c r="E174">
        <v>122</v>
      </c>
      <c r="F174">
        <v>491</v>
      </c>
    </row>
    <row r="175" spans="1:6" x14ac:dyDescent="0.25">
      <c r="A175" s="1">
        <v>42950</v>
      </c>
      <c r="B175" s="2" t="s">
        <v>48</v>
      </c>
      <c r="C175" s="2" t="s">
        <v>14</v>
      </c>
      <c r="D175">
        <v>2706</v>
      </c>
      <c r="E175">
        <v>137</v>
      </c>
      <c r="F175">
        <v>292</v>
      </c>
    </row>
    <row r="176" spans="1:6" x14ac:dyDescent="0.25">
      <c r="A176" s="1">
        <v>42953</v>
      </c>
      <c r="B176" s="2" t="s">
        <v>67</v>
      </c>
      <c r="C176" s="2" t="s">
        <v>48</v>
      </c>
      <c r="D176">
        <v>3456</v>
      </c>
      <c r="E176">
        <v>542</v>
      </c>
      <c r="F176">
        <v>1891</v>
      </c>
    </row>
    <row r="177" spans="1:6" x14ac:dyDescent="0.25">
      <c r="A177" s="1">
        <v>42954</v>
      </c>
      <c r="B177" s="2" t="s">
        <v>48</v>
      </c>
      <c r="C177" s="2" t="s">
        <v>14</v>
      </c>
      <c r="D177">
        <v>1914</v>
      </c>
      <c r="E177">
        <v>138</v>
      </c>
      <c r="F177">
        <v>405</v>
      </c>
    </row>
    <row r="178" spans="1:6" x14ac:dyDescent="0.25">
      <c r="A178" s="1">
        <v>42955</v>
      </c>
      <c r="B178" s="2" t="s">
        <v>14</v>
      </c>
      <c r="C178" s="2" t="s">
        <v>21</v>
      </c>
      <c r="D178">
        <v>1134</v>
      </c>
      <c r="E178">
        <v>95</v>
      </c>
      <c r="F178">
        <v>115</v>
      </c>
    </row>
    <row r="179" spans="1:6" x14ac:dyDescent="0.25">
      <c r="A179" s="1">
        <v>42956</v>
      </c>
      <c r="B179" s="2" t="s">
        <v>21</v>
      </c>
      <c r="C179" s="2" t="s">
        <v>25</v>
      </c>
      <c r="D179">
        <v>2935</v>
      </c>
      <c r="E179">
        <v>160</v>
      </c>
      <c r="F179">
        <v>275</v>
      </c>
    </row>
    <row r="180" spans="1:6" x14ac:dyDescent="0.25">
      <c r="A180" s="1">
        <v>42957</v>
      </c>
      <c r="B180" s="2" t="s">
        <v>25</v>
      </c>
      <c r="C180" s="2" t="s">
        <v>15</v>
      </c>
      <c r="D180">
        <v>4379</v>
      </c>
      <c r="E180">
        <v>93</v>
      </c>
      <c r="F180">
        <v>147</v>
      </c>
    </row>
    <row r="181" spans="1:6" x14ac:dyDescent="0.25">
      <c r="A181" s="1">
        <v>42959</v>
      </c>
      <c r="B181" s="2" t="s">
        <v>37</v>
      </c>
      <c r="C181" s="2" t="s">
        <v>35</v>
      </c>
      <c r="D181">
        <v>1328</v>
      </c>
      <c r="E181">
        <v>148</v>
      </c>
      <c r="F181">
        <v>516</v>
      </c>
    </row>
    <row r="182" spans="1:6" x14ac:dyDescent="0.25">
      <c r="A182" s="1">
        <v>42960</v>
      </c>
      <c r="B182" s="2" t="s">
        <v>70</v>
      </c>
      <c r="C182" s="2" t="s">
        <v>30</v>
      </c>
      <c r="D182">
        <v>4133</v>
      </c>
      <c r="E182">
        <v>130</v>
      </c>
      <c r="F182">
        <v>398</v>
      </c>
    </row>
    <row r="183" spans="1:6" x14ac:dyDescent="0.25">
      <c r="A183" s="1">
        <v>42962</v>
      </c>
      <c r="B183" s="2" t="s">
        <v>47</v>
      </c>
      <c r="C183" s="2" t="s">
        <v>20</v>
      </c>
      <c r="D183">
        <v>5370</v>
      </c>
      <c r="E183">
        <v>266</v>
      </c>
      <c r="F183">
        <v>699</v>
      </c>
    </row>
    <row r="184" spans="1:6" x14ac:dyDescent="0.25">
      <c r="A184" s="1">
        <v>42963</v>
      </c>
      <c r="B184" s="2" t="s">
        <v>20</v>
      </c>
      <c r="C184" s="2" t="s">
        <v>8</v>
      </c>
      <c r="D184">
        <v>4663</v>
      </c>
      <c r="E184">
        <v>122</v>
      </c>
      <c r="F184">
        <v>256</v>
      </c>
    </row>
    <row r="185" spans="1:6" x14ac:dyDescent="0.25">
      <c r="A185" s="1">
        <v>42964</v>
      </c>
      <c r="B185" s="2" t="s">
        <v>8</v>
      </c>
      <c r="C185" s="2" t="s">
        <v>40</v>
      </c>
      <c r="D185">
        <v>5151</v>
      </c>
      <c r="E185">
        <v>151</v>
      </c>
      <c r="F185">
        <v>195</v>
      </c>
    </row>
    <row r="186" spans="1:6" x14ac:dyDescent="0.25">
      <c r="A186" s="1">
        <v>42965</v>
      </c>
      <c r="B186" s="2" t="s">
        <v>40</v>
      </c>
      <c r="C186" s="2" t="s">
        <v>20</v>
      </c>
      <c r="D186">
        <v>3035</v>
      </c>
      <c r="E186">
        <v>118</v>
      </c>
      <c r="F186">
        <v>207</v>
      </c>
    </row>
    <row r="187" spans="1:6" x14ac:dyDescent="0.25">
      <c r="A187" s="1">
        <v>42967</v>
      </c>
      <c r="B187" s="2" t="s">
        <v>72</v>
      </c>
      <c r="C187" s="2" t="s">
        <v>11</v>
      </c>
      <c r="D187">
        <v>1090</v>
      </c>
      <c r="E187">
        <v>200</v>
      </c>
      <c r="F187">
        <v>585</v>
      </c>
    </row>
    <row r="188" spans="1:6" x14ac:dyDescent="0.25">
      <c r="A188" s="1">
        <v>42968</v>
      </c>
      <c r="B188" s="2" t="s">
        <v>11</v>
      </c>
      <c r="C188" s="2" t="s">
        <v>13</v>
      </c>
      <c r="D188">
        <v>5746</v>
      </c>
      <c r="E188">
        <v>145</v>
      </c>
      <c r="F188">
        <v>214</v>
      </c>
    </row>
    <row r="189" spans="1:6" x14ac:dyDescent="0.25">
      <c r="A189" s="1">
        <v>42970</v>
      </c>
      <c r="B189" s="2" t="s">
        <v>46</v>
      </c>
      <c r="C189" s="2" t="s">
        <v>56</v>
      </c>
      <c r="D189">
        <v>3200</v>
      </c>
      <c r="E189">
        <v>138</v>
      </c>
      <c r="F189">
        <v>417</v>
      </c>
    </row>
    <row r="190" spans="1:6" x14ac:dyDescent="0.25">
      <c r="A190" s="1">
        <v>42971</v>
      </c>
      <c r="B190" s="2" t="s">
        <v>56</v>
      </c>
      <c r="C190" s="2" t="s">
        <v>50</v>
      </c>
      <c r="D190">
        <v>3586</v>
      </c>
      <c r="E190">
        <v>155</v>
      </c>
      <c r="F190">
        <v>290</v>
      </c>
    </row>
    <row r="191" spans="1:6" x14ac:dyDescent="0.25">
      <c r="A191" s="1">
        <v>42972</v>
      </c>
      <c r="B191" s="2" t="s">
        <v>50</v>
      </c>
      <c r="C191" s="2" t="s">
        <v>17</v>
      </c>
      <c r="D191">
        <v>3460</v>
      </c>
      <c r="E191">
        <v>145</v>
      </c>
      <c r="F191">
        <v>162</v>
      </c>
    </row>
    <row r="192" spans="1:6" x14ac:dyDescent="0.25">
      <c r="A192" s="1">
        <v>42973</v>
      </c>
      <c r="B192" s="2" t="s">
        <v>68</v>
      </c>
      <c r="C192" s="2" t="s">
        <v>19</v>
      </c>
      <c r="D192">
        <v>1347</v>
      </c>
      <c r="E192">
        <v>173</v>
      </c>
      <c r="F192">
        <v>576</v>
      </c>
    </row>
    <row r="193" spans="1:6" x14ac:dyDescent="0.25">
      <c r="A193" s="1">
        <v>42974</v>
      </c>
      <c r="B193" s="2" t="s">
        <v>19</v>
      </c>
      <c r="C193" s="2" t="s">
        <v>60</v>
      </c>
      <c r="D193">
        <v>2421</v>
      </c>
      <c r="E193">
        <v>148</v>
      </c>
      <c r="F193">
        <v>552</v>
      </c>
    </row>
    <row r="194" spans="1:6" x14ac:dyDescent="0.25">
      <c r="A194" s="1">
        <v>42975</v>
      </c>
      <c r="B194" s="2" t="s">
        <v>60</v>
      </c>
      <c r="C194" s="2" t="s">
        <v>47</v>
      </c>
      <c r="D194">
        <v>2939</v>
      </c>
      <c r="E194">
        <v>125</v>
      </c>
      <c r="F194">
        <v>307</v>
      </c>
    </row>
    <row r="195" spans="1:6" x14ac:dyDescent="0.25">
      <c r="A195" s="1">
        <v>42976</v>
      </c>
      <c r="B195" s="2" t="s">
        <v>47</v>
      </c>
      <c r="C195" s="2" t="s">
        <v>17</v>
      </c>
      <c r="D195">
        <v>4921</v>
      </c>
      <c r="E195">
        <v>124</v>
      </c>
      <c r="F195">
        <v>472</v>
      </c>
    </row>
    <row r="196" spans="1:6" x14ac:dyDescent="0.25">
      <c r="A196" s="1">
        <v>42977</v>
      </c>
      <c r="B196" s="2" t="s">
        <v>17</v>
      </c>
      <c r="C196" s="2" t="s">
        <v>38</v>
      </c>
      <c r="D196">
        <v>3580</v>
      </c>
      <c r="E196">
        <v>173</v>
      </c>
      <c r="F196">
        <v>382</v>
      </c>
    </row>
    <row r="197" spans="1:6" x14ac:dyDescent="0.25">
      <c r="A197" s="1">
        <v>42978</v>
      </c>
      <c r="B197" s="2" t="s">
        <v>38</v>
      </c>
      <c r="C197" s="2" t="s">
        <v>73</v>
      </c>
      <c r="D197">
        <v>5215</v>
      </c>
      <c r="E197">
        <v>158</v>
      </c>
      <c r="F197">
        <v>375</v>
      </c>
    </row>
    <row r="198" spans="1:6" x14ac:dyDescent="0.25">
      <c r="A198" s="1">
        <v>42979</v>
      </c>
      <c r="B198" s="2" t="s">
        <v>73</v>
      </c>
      <c r="C198" s="2" t="s">
        <v>51</v>
      </c>
      <c r="D198">
        <v>1369</v>
      </c>
      <c r="E198">
        <v>170</v>
      </c>
      <c r="F198">
        <v>276</v>
      </c>
    </row>
    <row r="199" spans="1:6" x14ac:dyDescent="0.25">
      <c r="A199" s="1">
        <v>42980</v>
      </c>
      <c r="B199" s="2" t="s">
        <v>51</v>
      </c>
      <c r="C199" s="2" t="s">
        <v>67</v>
      </c>
      <c r="D199">
        <v>1655</v>
      </c>
      <c r="E199">
        <v>180</v>
      </c>
      <c r="F199">
        <v>332</v>
      </c>
    </row>
    <row r="200" spans="1:6" x14ac:dyDescent="0.25">
      <c r="A200" s="1">
        <v>42981</v>
      </c>
      <c r="B200" s="2" t="s">
        <v>48</v>
      </c>
      <c r="C200" s="2" t="s">
        <v>61</v>
      </c>
      <c r="D200">
        <v>2192</v>
      </c>
      <c r="E200">
        <v>114</v>
      </c>
      <c r="F200">
        <v>137</v>
      </c>
    </row>
    <row r="201" spans="1:6" x14ac:dyDescent="0.25">
      <c r="A201" s="1">
        <v>42982</v>
      </c>
      <c r="B201" s="2" t="s">
        <v>12</v>
      </c>
      <c r="C201" s="2" t="s">
        <v>59</v>
      </c>
      <c r="D201">
        <v>5919</v>
      </c>
      <c r="E201">
        <v>103</v>
      </c>
      <c r="F201">
        <v>279</v>
      </c>
    </row>
    <row r="202" spans="1:6" x14ac:dyDescent="0.25">
      <c r="A202" s="1">
        <v>42983</v>
      </c>
      <c r="B202" s="2" t="s">
        <v>67</v>
      </c>
      <c r="C202" s="2" t="s">
        <v>17</v>
      </c>
      <c r="D202">
        <v>5986</v>
      </c>
      <c r="E202">
        <v>222</v>
      </c>
      <c r="F202">
        <v>501</v>
      </c>
    </row>
    <row r="203" spans="1:6" x14ac:dyDescent="0.25">
      <c r="A203" s="1">
        <v>42984</v>
      </c>
      <c r="B203" s="2" t="s">
        <v>17</v>
      </c>
      <c r="C203" s="2" t="s">
        <v>39</v>
      </c>
      <c r="D203">
        <v>2750</v>
      </c>
      <c r="E203">
        <v>144</v>
      </c>
      <c r="F203">
        <v>422</v>
      </c>
    </row>
    <row r="204" spans="1:6" x14ac:dyDescent="0.25">
      <c r="A204" s="1">
        <v>42985</v>
      </c>
      <c r="B204" s="2" t="s">
        <v>39</v>
      </c>
      <c r="C204" s="2" t="s">
        <v>50</v>
      </c>
      <c r="D204">
        <v>1381</v>
      </c>
      <c r="E204">
        <v>192</v>
      </c>
      <c r="F204">
        <v>556</v>
      </c>
    </row>
    <row r="205" spans="1:6" x14ac:dyDescent="0.25">
      <c r="A205" s="1">
        <v>42986</v>
      </c>
      <c r="B205" s="2" t="s">
        <v>60</v>
      </c>
      <c r="C205" s="2" t="s">
        <v>59</v>
      </c>
      <c r="D205">
        <v>2219</v>
      </c>
      <c r="E205">
        <v>136</v>
      </c>
      <c r="F205">
        <v>162</v>
      </c>
    </row>
    <row r="206" spans="1:6" x14ac:dyDescent="0.25">
      <c r="A206" s="1">
        <v>42987</v>
      </c>
      <c r="B206" s="2" t="s">
        <v>59</v>
      </c>
      <c r="C206" s="2" t="s">
        <v>65</v>
      </c>
      <c r="D206">
        <v>5041</v>
      </c>
      <c r="E206">
        <v>101</v>
      </c>
      <c r="F206">
        <v>319</v>
      </c>
    </row>
    <row r="207" spans="1:6" x14ac:dyDescent="0.25">
      <c r="A207" s="1">
        <v>42989</v>
      </c>
      <c r="B207" s="2" t="s">
        <v>31</v>
      </c>
      <c r="C207" s="2" t="s">
        <v>23</v>
      </c>
      <c r="D207">
        <v>4432</v>
      </c>
      <c r="E207">
        <v>159</v>
      </c>
      <c r="F207">
        <v>585</v>
      </c>
    </row>
    <row r="208" spans="1:6" x14ac:dyDescent="0.25">
      <c r="A208" s="1">
        <v>42990</v>
      </c>
      <c r="B208" s="2" t="s">
        <v>6</v>
      </c>
      <c r="C208" s="2" t="s">
        <v>12</v>
      </c>
      <c r="D208">
        <v>2761</v>
      </c>
      <c r="E208">
        <v>129</v>
      </c>
      <c r="F208">
        <v>288</v>
      </c>
    </row>
    <row r="209" spans="1:6" x14ac:dyDescent="0.25">
      <c r="A209" s="1">
        <v>42991</v>
      </c>
      <c r="B209" s="2" t="s">
        <v>12</v>
      </c>
      <c r="C209" s="2" t="s">
        <v>7</v>
      </c>
      <c r="D209">
        <v>2935</v>
      </c>
      <c r="E209">
        <v>162</v>
      </c>
      <c r="F209">
        <v>572</v>
      </c>
    </row>
    <row r="210" spans="1:6" x14ac:dyDescent="0.25">
      <c r="A210" s="1">
        <v>42992</v>
      </c>
      <c r="B210" s="2" t="s">
        <v>36</v>
      </c>
      <c r="C210" s="2" t="s">
        <v>40</v>
      </c>
      <c r="D210">
        <v>3565</v>
      </c>
      <c r="E210">
        <v>176</v>
      </c>
      <c r="F210">
        <v>224</v>
      </c>
    </row>
    <row r="211" spans="1:6" x14ac:dyDescent="0.25">
      <c r="A211" s="1">
        <v>42993</v>
      </c>
      <c r="B211" s="2" t="s">
        <v>8</v>
      </c>
      <c r="C211" s="2" t="s">
        <v>38</v>
      </c>
      <c r="D211">
        <v>3096</v>
      </c>
      <c r="E211">
        <v>353</v>
      </c>
      <c r="F211">
        <v>993</v>
      </c>
    </row>
    <row r="212" spans="1:6" x14ac:dyDescent="0.25">
      <c r="A212" s="1">
        <v>42995</v>
      </c>
      <c r="B212" s="2" t="s">
        <v>50</v>
      </c>
      <c r="C212" s="2" t="s">
        <v>11</v>
      </c>
      <c r="D212">
        <v>3325</v>
      </c>
      <c r="E212">
        <v>517</v>
      </c>
      <c r="F212">
        <v>1107</v>
      </c>
    </row>
    <row r="213" spans="1:6" x14ac:dyDescent="0.25">
      <c r="A213" s="1">
        <v>42997</v>
      </c>
      <c r="B213" s="2" t="s">
        <v>15</v>
      </c>
      <c r="C213" s="2" t="s">
        <v>59</v>
      </c>
      <c r="D213">
        <v>2563</v>
      </c>
      <c r="E213">
        <v>480</v>
      </c>
      <c r="F213">
        <v>1849</v>
      </c>
    </row>
    <row r="214" spans="1:6" x14ac:dyDescent="0.25">
      <c r="A214" s="1">
        <v>42998</v>
      </c>
      <c r="B214" s="2" t="s">
        <v>59</v>
      </c>
      <c r="C214" s="2" t="s">
        <v>19</v>
      </c>
      <c r="D214">
        <v>2914</v>
      </c>
      <c r="E214">
        <v>104</v>
      </c>
      <c r="F214">
        <v>275</v>
      </c>
    </row>
    <row r="215" spans="1:6" x14ac:dyDescent="0.25">
      <c r="A215" s="1">
        <v>42999</v>
      </c>
      <c r="B215" s="2" t="s">
        <v>19</v>
      </c>
      <c r="C215" s="2" t="s">
        <v>29</v>
      </c>
      <c r="D215">
        <v>2832</v>
      </c>
      <c r="E215">
        <v>106</v>
      </c>
      <c r="F215">
        <v>396</v>
      </c>
    </row>
    <row r="216" spans="1:6" x14ac:dyDescent="0.25">
      <c r="A216" s="1">
        <v>43000</v>
      </c>
      <c r="B216" s="2" t="s">
        <v>59</v>
      </c>
      <c r="C216" s="2" t="s">
        <v>43</v>
      </c>
      <c r="D216">
        <v>5257</v>
      </c>
      <c r="E216">
        <v>407</v>
      </c>
      <c r="F216">
        <v>551</v>
      </c>
    </row>
    <row r="217" spans="1:6" x14ac:dyDescent="0.25">
      <c r="A217" s="1">
        <v>43001</v>
      </c>
      <c r="B217" s="2" t="s">
        <v>57</v>
      </c>
      <c r="C217" s="2" t="s">
        <v>43</v>
      </c>
      <c r="D217">
        <v>5983</v>
      </c>
      <c r="E217">
        <v>227</v>
      </c>
      <c r="F217">
        <v>832</v>
      </c>
    </row>
    <row r="218" spans="1:6" x14ac:dyDescent="0.25">
      <c r="A218" s="1">
        <v>43002</v>
      </c>
      <c r="B218" s="2" t="s">
        <v>43</v>
      </c>
      <c r="C218" s="2" t="s">
        <v>64</v>
      </c>
      <c r="D218">
        <v>4378</v>
      </c>
      <c r="E218">
        <v>187</v>
      </c>
      <c r="F218">
        <v>653</v>
      </c>
    </row>
    <row r="219" spans="1:6" x14ac:dyDescent="0.25">
      <c r="A219" s="1">
        <v>43003</v>
      </c>
      <c r="B219" s="2" t="s">
        <v>64</v>
      </c>
      <c r="C219" s="2" t="s">
        <v>25</v>
      </c>
      <c r="D219">
        <v>3108</v>
      </c>
      <c r="E219">
        <v>114</v>
      </c>
      <c r="F219">
        <v>174</v>
      </c>
    </row>
    <row r="220" spans="1:6" x14ac:dyDescent="0.25">
      <c r="A220" s="1">
        <v>43004</v>
      </c>
      <c r="B220" s="2" t="s">
        <v>25</v>
      </c>
      <c r="C220" s="2" t="s">
        <v>52</v>
      </c>
      <c r="D220">
        <v>2133</v>
      </c>
      <c r="E220">
        <v>166</v>
      </c>
      <c r="F220">
        <v>513</v>
      </c>
    </row>
    <row r="221" spans="1:6" x14ac:dyDescent="0.25">
      <c r="A221" s="1">
        <v>43005</v>
      </c>
      <c r="B221" s="2" t="s">
        <v>52</v>
      </c>
      <c r="C221" s="2" t="s">
        <v>48</v>
      </c>
      <c r="D221">
        <v>1125</v>
      </c>
      <c r="E221">
        <v>98</v>
      </c>
      <c r="F221">
        <v>194</v>
      </c>
    </row>
    <row r="222" spans="1:6" x14ac:dyDescent="0.25">
      <c r="A222" s="1">
        <v>43006</v>
      </c>
      <c r="B222" s="2" t="s">
        <v>48</v>
      </c>
      <c r="C222" s="2" t="s">
        <v>25</v>
      </c>
      <c r="D222">
        <v>4375</v>
      </c>
      <c r="E222">
        <v>140</v>
      </c>
      <c r="F222">
        <v>134</v>
      </c>
    </row>
    <row r="223" spans="1:6" x14ac:dyDescent="0.25">
      <c r="A223" s="1">
        <v>43008</v>
      </c>
      <c r="B223" s="2" t="s">
        <v>41</v>
      </c>
      <c r="C223" s="2" t="s">
        <v>12</v>
      </c>
      <c r="D223">
        <v>5455</v>
      </c>
      <c r="E223">
        <v>124</v>
      </c>
      <c r="F223">
        <v>231</v>
      </c>
    </row>
    <row r="224" spans="1:6" x14ac:dyDescent="0.25">
      <c r="A224" s="1">
        <v>43009</v>
      </c>
      <c r="B224" s="2" t="s">
        <v>29</v>
      </c>
      <c r="C224" s="2" t="s">
        <v>28</v>
      </c>
      <c r="D224">
        <v>4649</v>
      </c>
      <c r="E224">
        <v>125</v>
      </c>
      <c r="F224">
        <v>356</v>
      </c>
    </row>
    <row r="225" spans="1:6" x14ac:dyDescent="0.25">
      <c r="A225" s="1">
        <v>43010</v>
      </c>
      <c r="B225" s="2" t="s">
        <v>28</v>
      </c>
      <c r="C225" s="2" t="s">
        <v>60</v>
      </c>
      <c r="D225">
        <v>4016</v>
      </c>
      <c r="E225">
        <v>115</v>
      </c>
      <c r="F225">
        <v>145</v>
      </c>
    </row>
    <row r="226" spans="1:6" x14ac:dyDescent="0.25">
      <c r="A226" s="1">
        <v>43011</v>
      </c>
      <c r="B226" s="2" t="s">
        <v>60</v>
      </c>
      <c r="C226" s="2" t="s">
        <v>32</v>
      </c>
      <c r="D226">
        <v>1211</v>
      </c>
      <c r="E226">
        <v>139</v>
      </c>
      <c r="F226">
        <v>218</v>
      </c>
    </row>
    <row r="227" spans="1:6" x14ac:dyDescent="0.25">
      <c r="A227" s="1">
        <v>43012</v>
      </c>
      <c r="B227" s="2" t="s">
        <v>32</v>
      </c>
      <c r="C227" s="2" t="s">
        <v>42</v>
      </c>
      <c r="D227">
        <v>4633</v>
      </c>
      <c r="E227">
        <v>120</v>
      </c>
      <c r="F227">
        <v>280</v>
      </c>
    </row>
    <row r="228" spans="1:6" x14ac:dyDescent="0.25">
      <c r="A228" s="1">
        <v>43013</v>
      </c>
      <c r="B228" s="2" t="s">
        <v>42</v>
      </c>
      <c r="C228" s="2" t="s">
        <v>37</v>
      </c>
      <c r="D228">
        <v>2488</v>
      </c>
      <c r="E228">
        <v>144</v>
      </c>
      <c r="F228">
        <v>252</v>
      </c>
    </row>
    <row r="229" spans="1:6" x14ac:dyDescent="0.25">
      <c r="A229" s="1">
        <v>43014</v>
      </c>
      <c r="B229" s="2" t="s">
        <v>37</v>
      </c>
      <c r="C229" s="2" t="s">
        <v>35</v>
      </c>
      <c r="D229">
        <v>5798</v>
      </c>
      <c r="E229">
        <v>142</v>
      </c>
      <c r="F229">
        <v>501</v>
      </c>
    </row>
    <row r="230" spans="1:6" x14ac:dyDescent="0.25">
      <c r="A230" s="1">
        <v>43015</v>
      </c>
      <c r="B230" s="2" t="s">
        <v>42</v>
      </c>
      <c r="C230" s="2" t="s">
        <v>62</v>
      </c>
      <c r="D230">
        <v>2918</v>
      </c>
      <c r="E230">
        <v>181</v>
      </c>
      <c r="F230">
        <v>289</v>
      </c>
    </row>
    <row r="231" spans="1:6" x14ac:dyDescent="0.25">
      <c r="A231" s="1">
        <v>43016</v>
      </c>
      <c r="B231" s="2" t="s">
        <v>62</v>
      </c>
      <c r="C231" s="2" t="s">
        <v>61</v>
      </c>
      <c r="D231">
        <v>1886</v>
      </c>
      <c r="E231">
        <v>110</v>
      </c>
      <c r="F231">
        <v>254</v>
      </c>
    </row>
    <row r="232" spans="1:6" x14ac:dyDescent="0.25">
      <c r="A232" s="1">
        <v>43017</v>
      </c>
      <c r="B232" s="2" t="s">
        <v>70</v>
      </c>
      <c r="C232" s="2" t="s">
        <v>30</v>
      </c>
      <c r="D232">
        <v>4431</v>
      </c>
      <c r="E232">
        <v>128</v>
      </c>
      <c r="F232">
        <v>213</v>
      </c>
    </row>
    <row r="233" spans="1:6" x14ac:dyDescent="0.25">
      <c r="A233" s="1">
        <v>43018</v>
      </c>
      <c r="B233" s="2" t="s">
        <v>30</v>
      </c>
      <c r="C233" s="2" t="s">
        <v>40</v>
      </c>
      <c r="D233">
        <v>1956</v>
      </c>
      <c r="E233">
        <v>176</v>
      </c>
      <c r="F233">
        <v>248</v>
      </c>
    </row>
    <row r="234" spans="1:6" x14ac:dyDescent="0.25">
      <c r="A234" s="1">
        <v>43019</v>
      </c>
      <c r="B234" s="2" t="s">
        <v>15</v>
      </c>
      <c r="C234" s="2" t="s">
        <v>26</v>
      </c>
      <c r="D234">
        <v>4059</v>
      </c>
      <c r="E234">
        <v>162</v>
      </c>
      <c r="F234">
        <v>550</v>
      </c>
    </row>
    <row r="235" spans="1:6" x14ac:dyDescent="0.25">
      <c r="A235" s="1">
        <v>43020</v>
      </c>
      <c r="B235" s="2" t="s">
        <v>26</v>
      </c>
      <c r="C235" s="2" t="s">
        <v>23</v>
      </c>
      <c r="D235">
        <v>2157</v>
      </c>
      <c r="E235">
        <v>115</v>
      </c>
      <c r="F235">
        <v>182</v>
      </c>
    </row>
    <row r="236" spans="1:6" x14ac:dyDescent="0.25">
      <c r="A236" s="1">
        <v>43021</v>
      </c>
      <c r="B236" s="2" t="s">
        <v>23</v>
      </c>
      <c r="C236" s="2" t="s">
        <v>24</v>
      </c>
      <c r="D236">
        <v>3353</v>
      </c>
      <c r="E236">
        <v>117</v>
      </c>
      <c r="F236">
        <v>312</v>
      </c>
    </row>
    <row r="237" spans="1:6" x14ac:dyDescent="0.25">
      <c r="A237" s="1">
        <v>43022</v>
      </c>
      <c r="B237" s="2" t="s">
        <v>24</v>
      </c>
      <c r="C237" s="2" t="s">
        <v>21</v>
      </c>
      <c r="D237">
        <v>4677</v>
      </c>
      <c r="E237">
        <v>219</v>
      </c>
      <c r="F237">
        <v>255</v>
      </c>
    </row>
    <row r="238" spans="1:6" x14ac:dyDescent="0.25">
      <c r="A238" s="1">
        <v>43023</v>
      </c>
      <c r="B238" s="2" t="s">
        <v>21</v>
      </c>
      <c r="C238" s="2" t="s">
        <v>25</v>
      </c>
      <c r="D238">
        <v>2059</v>
      </c>
      <c r="E238">
        <v>164</v>
      </c>
      <c r="F238">
        <v>630</v>
      </c>
    </row>
    <row r="239" spans="1:6" x14ac:dyDescent="0.25">
      <c r="A239" s="1">
        <v>43025</v>
      </c>
      <c r="B239" s="2" t="s">
        <v>8</v>
      </c>
      <c r="C239" s="2" t="s">
        <v>29</v>
      </c>
      <c r="D239">
        <v>5537</v>
      </c>
      <c r="E239">
        <v>141</v>
      </c>
      <c r="F239">
        <v>240</v>
      </c>
    </row>
    <row r="240" spans="1:6" x14ac:dyDescent="0.25">
      <c r="A240" s="1">
        <v>43026</v>
      </c>
      <c r="B240" s="2" t="s">
        <v>29</v>
      </c>
      <c r="C240" s="2" t="s">
        <v>59</v>
      </c>
      <c r="D240">
        <v>2987</v>
      </c>
      <c r="E240">
        <v>149</v>
      </c>
      <c r="F240">
        <v>464</v>
      </c>
    </row>
    <row r="241" spans="1:6" x14ac:dyDescent="0.25">
      <c r="A241" s="1">
        <v>43028</v>
      </c>
      <c r="B241" s="2" t="s">
        <v>69</v>
      </c>
      <c r="C241" s="2" t="s">
        <v>67</v>
      </c>
      <c r="D241">
        <v>5570</v>
      </c>
      <c r="E241">
        <v>166</v>
      </c>
      <c r="F241">
        <v>577</v>
      </c>
    </row>
    <row r="242" spans="1:6" x14ac:dyDescent="0.25">
      <c r="A242" s="1">
        <v>43029</v>
      </c>
      <c r="B242" s="2" t="s">
        <v>67</v>
      </c>
      <c r="C242" s="2" t="s">
        <v>66</v>
      </c>
      <c r="D242">
        <v>3948</v>
      </c>
      <c r="E242">
        <v>137</v>
      </c>
      <c r="F242">
        <v>469</v>
      </c>
    </row>
    <row r="243" spans="1:6" x14ac:dyDescent="0.25">
      <c r="A243" s="1">
        <v>43030</v>
      </c>
      <c r="B243" s="2" t="s">
        <v>56</v>
      </c>
      <c r="C243" s="2" t="s">
        <v>59</v>
      </c>
      <c r="D243">
        <v>4201</v>
      </c>
      <c r="E243">
        <v>380</v>
      </c>
      <c r="F243">
        <v>528</v>
      </c>
    </row>
    <row r="244" spans="1:6" x14ac:dyDescent="0.25">
      <c r="A244" s="1">
        <v>43031</v>
      </c>
      <c r="B244" s="2" t="s">
        <v>59</v>
      </c>
      <c r="C244" s="2" t="s">
        <v>12</v>
      </c>
      <c r="D244">
        <v>3592</v>
      </c>
      <c r="E244">
        <v>109</v>
      </c>
      <c r="F244">
        <v>134</v>
      </c>
    </row>
    <row r="245" spans="1:6" x14ac:dyDescent="0.25">
      <c r="A245" s="1">
        <v>43032</v>
      </c>
      <c r="B245" s="2" t="s">
        <v>12</v>
      </c>
      <c r="C245" s="2" t="s">
        <v>41</v>
      </c>
      <c r="D245">
        <v>4543</v>
      </c>
      <c r="E245">
        <v>135</v>
      </c>
      <c r="F245">
        <v>345</v>
      </c>
    </row>
    <row r="246" spans="1:6" x14ac:dyDescent="0.25">
      <c r="A246" s="1">
        <v>43034</v>
      </c>
      <c r="B246" s="2" t="s">
        <v>12</v>
      </c>
      <c r="C246" s="2" t="s">
        <v>9</v>
      </c>
      <c r="D246">
        <v>1813</v>
      </c>
      <c r="E246">
        <v>86</v>
      </c>
      <c r="F246">
        <v>163</v>
      </c>
    </row>
    <row r="247" spans="1:6" x14ac:dyDescent="0.25">
      <c r="A247" s="1">
        <v>43035</v>
      </c>
      <c r="B247" s="2" t="s">
        <v>38</v>
      </c>
      <c r="C247" s="2" t="s">
        <v>49</v>
      </c>
      <c r="D247">
        <v>4567</v>
      </c>
      <c r="E247">
        <v>31</v>
      </c>
      <c r="F247">
        <v>54</v>
      </c>
    </row>
    <row r="248" spans="1:6" x14ac:dyDescent="0.25">
      <c r="A248" s="1">
        <v>43036</v>
      </c>
      <c r="B248" s="2" t="s">
        <v>49</v>
      </c>
      <c r="C248" s="2" t="s">
        <v>37</v>
      </c>
      <c r="D248">
        <v>1830</v>
      </c>
      <c r="E248">
        <v>152</v>
      </c>
      <c r="F248">
        <v>301</v>
      </c>
    </row>
    <row r="249" spans="1:6" x14ac:dyDescent="0.25">
      <c r="A249" s="1">
        <v>43037</v>
      </c>
      <c r="B249" s="2" t="s">
        <v>37</v>
      </c>
      <c r="C249" s="2" t="s">
        <v>57</v>
      </c>
      <c r="D249">
        <v>3678</v>
      </c>
      <c r="E249">
        <v>104</v>
      </c>
      <c r="F249">
        <v>275</v>
      </c>
    </row>
    <row r="250" spans="1:6" x14ac:dyDescent="0.25">
      <c r="A250" s="1">
        <v>43038</v>
      </c>
      <c r="B250" s="2" t="s">
        <v>17</v>
      </c>
      <c r="C250" s="2" t="s">
        <v>38</v>
      </c>
      <c r="D250">
        <v>1782</v>
      </c>
      <c r="E250">
        <v>171</v>
      </c>
      <c r="F250">
        <v>193</v>
      </c>
    </row>
    <row r="251" spans="1:6" x14ac:dyDescent="0.25">
      <c r="A251" s="1">
        <v>43040</v>
      </c>
      <c r="B251" s="2" t="s">
        <v>12</v>
      </c>
      <c r="C251" s="2" t="s">
        <v>6</v>
      </c>
      <c r="D251">
        <v>2966</v>
      </c>
      <c r="E251">
        <v>125</v>
      </c>
      <c r="F251">
        <v>170</v>
      </c>
    </row>
    <row r="252" spans="1:6" x14ac:dyDescent="0.25">
      <c r="A252" s="1">
        <v>43042</v>
      </c>
      <c r="B252" s="2" t="s">
        <v>32</v>
      </c>
      <c r="C252" s="2" t="s">
        <v>47</v>
      </c>
      <c r="D252">
        <v>4746</v>
      </c>
      <c r="E252">
        <v>131</v>
      </c>
      <c r="F252">
        <v>245</v>
      </c>
    </row>
    <row r="253" spans="1:6" x14ac:dyDescent="0.25">
      <c r="A253" s="1">
        <v>43044</v>
      </c>
      <c r="B253" s="2" t="s">
        <v>37</v>
      </c>
      <c r="C253" s="2" t="s">
        <v>18</v>
      </c>
      <c r="D253">
        <v>3161</v>
      </c>
      <c r="E253">
        <v>101</v>
      </c>
      <c r="F253">
        <v>115</v>
      </c>
    </row>
    <row r="254" spans="1:6" x14ac:dyDescent="0.25">
      <c r="A254" s="1">
        <v>43045</v>
      </c>
      <c r="B254" s="2" t="s">
        <v>60</v>
      </c>
      <c r="C254" s="2" t="s">
        <v>71</v>
      </c>
      <c r="D254">
        <v>3600</v>
      </c>
      <c r="E254">
        <v>211</v>
      </c>
      <c r="F254">
        <v>670</v>
      </c>
    </row>
    <row r="255" spans="1:6" x14ac:dyDescent="0.25">
      <c r="A255" s="1">
        <v>43046</v>
      </c>
      <c r="B255" s="2" t="s">
        <v>71</v>
      </c>
      <c r="C255" s="2" t="s">
        <v>10</v>
      </c>
      <c r="D255">
        <v>4093</v>
      </c>
      <c r="E255">
        <v>119</v>
      </c>
      <c r="F255">
        <v>254</v>
      </c>
    </row>
    <row r="256" spans="1:6" x14ac:dyDescent="0.25">
      <c r="A256" s="1">
        <v>43047</v>
      </c>
      <c r="B256" s="2" t="s">
        <v>10</v>
      </c>
      <c r="C256" s="2" t="s">
        <v>9</v>
      </c>
      <c r="D256">
        <v>1981</v>
      </c>
      <c r="E256">
        <v>159</v>
      </c>
      <c r="F256">
        <v>192</v>
      </c>
    </row>
    <row r="257" spans="1:6" x14ac:dyDescent="0.25">
      <c r="A257" s="1">
        <v>43048</v>
      </c>
      <c r="B257" s="2" t="s">
        <v>9</v>
      </c>
      <c r="C257" s="2" t="s">
        <v>6</v>
      </c>
      <c r="D257">
        <v>3154</v>
      </c>
      <c r="E257">
        <v>127</v>
      </c>
      <c r="F257">
        <v>390</v>
      </c>
    </row>
    <row r="258" spans="1:6" x14ac:dyDescent="0.25">
      <c r="A258" s="1">
        <v>43051</v>
      </c>
      <c r="B258" s="2" t="s">
        <v>8</v>
      </c>
      <c r="C258" s="2" t="s">
        <v>67</v>
      </c>
      <c r="D258">
        <v>4876</v>
      </c>
      <c r="E258">
        <v>280</v>
      </c>
      <c r="F258">
        <v>688</v>
      </c>
    </row>
    <row r="259" spans="1:6" x14ac:dyDescent="0.25">
      <c r="A259" s="1">
        <v>43052</v>
      </c>
      <c r="B259" s="2" t="s">
        <v>67</v>
      </c>
      <c r="C259" s="2" t="s">
        <v>66</v>
      </c>
      <c r="D259">
        <v>5153</v>
      </c>
      <c r="E259">
        <v>141</v>
      </c>
      <c r="F259">
        <v>547</v>
      </c>
    </row>
    <row r="260" spans="1:6" x14ac:dyDescent="0.25">
      <c r="A260" s="1">
        <v>43053</v>
      </c>
      <c r="B260" s="2" t="s">
        <v>66</v>
      </c>
      <c r="C260" s="2" t="s">
        <v>45</v>
      </c>
      <c r="D260">
        <v>1720</v>
      </c>
      <c r="E260">
        <v>122</v>
      </c>
      <c r="F260">
        <v>363</v>
      </c>
    </row>
    <row r="261" spans="1:6" x14ac:dyDescent="0.25">
      <c r="A261" s="1">
        <v>43054</v>
      </c>
      <c r="B261" s="2" t="s">
        <v>45</v>
      </c>
      <c r="C261" s="2" t="s">
        <v>44</v>
      </c>
      <c r="D261">
        <v>5392</v>
      </c>
      <c r="E261">
        <v>161</v>
      </c>
      <c r="F261">
        <v>240</v>
      </c>
    </row>
    <row r="262" spans="1:6" x14ac:dyDescent="0.25">
      <c r="A262" s="1">
        <v>43055</v>
      </c>
      <c r="B262" s="2" t="s">
        <v>70</v>
      </c>
      <c r="C262" s="2" t="s">
        <v>23</v>
      </c>
      <c r="D262">
        <v>1698</v>
      </c>
      <c r="E262">
        <v>224</v>
      </c>
      <c r="F262">
        <v>579</v>
      </c>
    </row>
    <row r="263" spans="1:6" x14ac:dyDescent="0.25">
      <c r="A263" s="1">
        <v>43056</v>
      </c>
      <c r="B263" s="2" t="s">
        <v>23</v>
      </c>
      <c r="C263" s="2" t="s">
        <v>21</v>
      </c>
      <c r="D263">
        <v>3411</v>
      </c>
      <c r="E263">
        <v>166</v>
      </c>
      <c r="F263">
        <v>574</v>
      </c>
    </row>
    <row r="264" spans="1:6" x14ac:dyDescent="0.25">
      <c r="A264" s="1">
        <v>43057</v>
      </c>
      <c r="B264" s="2" t="s">
        <v>21</v>
      </c>
      <c r="C264" s="2" t="s">
        <v>14</v>
      </c>
      <c r="D264">
        <v>5558</v>
      </c>
      <c r="E264">
        <v>107</v>
      </c>
      <c r="F264">
        <v>202</v>
      </c>
    </row>
    <row r="265" spans="1:6" x14ac:dyDescent="0.25">
      <c r="A265" s="1">
        <v>43058</v>
      </c>
      <c r="B265" s="2" t="s">
        <v>14</v>
      </c>
      <c r="C265" s="2" t="s">
        <v>40</v>
      </c>
      <c r="D265">
        <v>2592</v>
      </c>
      <c r="E265">
        <v>136</v>
      </c>
      <c r="F265">
        <v>325</v>
      </c>
    </row>
    <row r="266" spans="1:6" x14ac:dyDescent="0.25">
      <c r="A266" s="1">
        <v>43059</v>
      </c>
      <c r="B266" s="2" t="s">
        <v>40</v>
      </c>
      <c r="C266" s="2" t="s">
        <v>30</v>
      </c>
      <c r="D266">
        <v>5214</v>
      </c>
      <c r="E266">
        <v>178</v>
      </c>
      <c r="F266">
        <v>634</v>
      </c>
    </row>
    <row r="267" spans="1:6" x14ac:dyDescent="0.25">
      <c r="A267" s="1">
        <v>43060</v>
      </c>
      <c r="B267" s="2" t="s">
        <v>30</v>
      </c>
      <c r="C267" s="2" t="s">
        <v>40</v>
      </c>
      <c r="D267">
        <v>5491</v>
      </c>
      <c r="E267">
        <v>162</v>
      </c>
      <c r="F267">
        <v>408</v>
      </c>
    </row>
    <row r="268" spans="1:6" x14ac:dyDescent="0.25">
      <c r="A268" s="1">
        <v>43061</v>
      </c>
      <c r="B268" s="2" t="s">
        <v>16</v>
      </c>
      <c r="C268" s="2" t="s">
        <v>35</v>
      </c>
      <c r="D268">
        <v>4594</v>
      </c>
      <c r="E268">
        <v>443</v>
      </c>
      <c r="F268">
        <v>1098</v>
      </c>
    </row>
    <row r="269" spans="1:6" x14ac:dyDescent="0.25">
      <c r="A269" s="1">
        <v>43062</v>
      </c>
      <c r="B269" s="2" t="s">
        <v>35</v>
      </c>
      <c r="C269" s="2" t="s">
        <v>37</v>
      </c>
      <c r="D269">
        <v>1047</v>
      </c>
      <c r="E269">
        <v>147</v>
      </c>
      <c r="F269">
        <v>432</v>
      </c>
    </row>
    <row r="270" spans="1:6" x14ac:dyDescent="0.25">
      <c r="A270" s="1">
        <v>43063</v>
      </c>
      <c r="B270" s="2" t="s">
        <v>15</v>
      </c>
      <c r="C270" s="2" t="s">
        <v>59</v>
      </c>
      <c r="D270">
        <v>5517</v>
      </c>
      <c r="E270">
        <v>494</v>
      </c>
      <c r="F270">
        <v>1185</v>
      </c>
    </row>
    <row r="271" spans="1:6" x14ac:dyDescent="0.25">
      <c r="A271" s="1">
        <v>43064</v>
      </c>
      <c r="B271" s="2" t="s">
        <v>59</v>
      </c>
      <c r="C271" s="2" t="s">
        <v>12</v>
      </c>
      <c r="D271">
        <v>4155</v>
      </c>
      <c r="E271">
        <v>93</v>
      </c>
      <c r="F271">
        <v>181</v>
      </c>
    </row>
    <row r="272" spans="1:6" x14ac:dyDescent="0.25">
      <c r="A272" s="1">
        <v>43067</v>
      </c>
      <c r="B272" s="2" t="s">
        <v>61</v>
      </c>
      <c r="C272" s="2" t="s">
        <v>48</v>
      </c>
      <c r="D272">
        <v>2798</v>
      </c>
      <c r="E272">
        <v>109</v>
      </c>
      <c r="F272">
        <v>366</v>
      </c>
    </row>
    <row r="273" spans="1:6" x14ac:dyDescent="0.25">
      <c r="A273" s="1">
        <v>43068</v>
      </c>
      <c r="B273" s="2" t="s">
        <v>48</v>
      </c>
      <c r="C273" s="2" t="s">
        <v>61</v>
      </c>
      <c r="D273">
        <v>4217</v>
      </c>
      <c r="E273">
        <v>112</v>
      </c>
      <c r="F273">
        <v>263</v>
      </c>
    </row>
    <row r="274" spans="1:6" x14ac:dyDescent="0.25">
      <c r="A274" s="1">
        <v>43069</v>
      </c>
      <c r="B274" s="2" t="s">
        <v>61</v>
      </c>
      <c r="C274" s="2" t="s">
        <v>48</v>
      </c>
      <c r="D274">
        <v>4327</v>
      </c>
      <c r="E274">
        <v>109</v>
      </c>
      <c r="F274">
        <v>196</v>
      </c>
    </row>
    <row r="275" spans="1:6" x14ac:dyDescent="0.25">
      <c r="A275" s="1">
        <v>43070</v>
      </c>
      <c r="B275" s="2" t="s">
        <v>32</v>
      </c>
      <c r="C275" s="2" t="s">
        <v>38</v>
      </c>
      <c r="D275">
        <v>2555</v>
      </c>
      <c r="E275">
        <v>124</v>
      </c>
      <c r="F275">
        <v>150</v>
      </c>
    </row>
    <row r="276" spans="1:6" x14ac:dyDescent="0.25">
      <c r="A276" s="1">
        <v>43071</v>
      </c>
      <c r="B276" s="2" t="s">
        <v>38</v>
      </c>
      <c r="C276" s="2" t="s">
        <v>57</v>
      </c>
      <c r="D276">
        <v>5150</v>
      </c>
      <c r="E276">
        <v>104</v>
      </c>
      <c r="F276">
        <v>435</v>
      </c>
    </row>
    <row r="277" spans="1:6" x14ac:dyDescent="0.25">
      <c r="A277" s="1">
        <v>43072</v>
      </c>
      <c r="B277" s="2" t="s">
        <v>56</v>
      </c>
      <c r="C277" s="2" t="s">
        <v>47</v>
      </c>
      <c r="D277">
        <v>5697</v>
      </c>
      <c r="E277">
        <v>257</v>
      </c>
      <c r="F277">
        <v>717</v>
      </c>
    </row>
    <row r="278" spans="1:6" x14ac:dyDescent="0.25">
      <c r="A278" s="1">
        <v>43073</v>
      </c>
      <c r="B278" s="2" t="s">
        <v>47</v>
      </c>
      <c r="C278" s="2" t="s">
        <v>46</v>
      </c>
      <c r="D278">
        <v>3192</v>
      </c>
      <c r="E278">
        <v>113</v>
      </c>
      <c r="F278">
        <v>310</v>
      </c>
    </row>
    <row r="279" spans="1:6" x14ac:dyDescent="0.25">
      <c r="A279" s="1">
        <v>43075</v>
      </c>
      <c r="B279" s="2" t="s">
        <v>38</v>
      </c>
      <c r="C279" s="2" t="s">
        <v>59</v>
      </c>
      <c r="D279">
        <v>2781</v>
      </c>
      <c r="E279">
        <v>409</v>
      </c>
      <c r="F279">
        <v>1436</v>
      </c>
    </row>
    <row r="280" spans="1:6" x14ac:dyDescent="0.25">
      <c r="A280" s="1">
        <v>43076</v>
      </c>
      <c r="B280" s="2" t="s">
        <v>59</v>
      </c>
      <c r="C280" s="2" t="s">
        <v>8</v>
      </c>
      <c r="D280">
        <v>1093</v>
      </c>
      <c r="E280">
        <v>110</v>
      </c>
      <c r="F280">
        <v>400</v>
      </c>
    </row>
    <row r="281" spans="1:6" x14ac:dyDescent="0.25">
      <c r="A281" s="1">
        <v>43077</v>
      </c>
      <c r="B281" s="2" t="s">
        <v>8</v>
      </c>
      <c r="C281" s="2" t="s">
        <v>20</v>
      </c>
      <c r="D281">
        <v>2291</v>
      </c>
      <c r="E281">
        <v>132</v>
      </c>
      <c r="F281">
        <v>163</v>
      </c>
    </row>
    <row r="282" spans="1:6" x14ac:dyDescent="0.25">
      <c r="A282" s="1">
        <v>43078</v>
      </c>
      <c r="B282" s="2" t="s">
        <v>15</v>
      </c>
      <c r="C282" s="2" t="s">
        <v>23</v>
      </c>
      <c r="D282">
        <v>2962</v>
      </c>
      <c r="E282">
        <v>170</v>
      </c>
      <c r="F282">
        <v>273</v>
      </c>
    </row>
    <row r="283" spans="1:6" x14ac:dyDescent="0.25">
      <c r="A283" s="1">
        <v>43079</v>
      </c>
      <c r="B283" s="2" t="s">
        <v>7</v>
      </c>
      <c r="C283" s="2" t="s">
        <v>8</v>
      </c>
      <c r="D283">
        <v>2939</v>
      </c>
      <c r="E283">
        <v>110</v>
      </c>
      <c r="F283">
        <v>279</v>
      </c>
    </row>
    <row r="284" spans="1:6" x14ac:dyDescent="0.25">
      <c r="A284" s="1">
        <v>43080</v>
      </c>
      <c r="B284" s="2" t="s">
        <v>8</v>
      </c>
      <c r="C284" s="2" t="s">
        <v>20</v>
      </c>
      <c r="D284">
        <v>4981</v>
      </c>
      <c r="E284">
        <v>138</v>
      </c>
      <c r="F284">
        <v>455</v>
      </c>
    </row>
    <row r="285" spans="1:6" x14ac:dyDescent="0.25">
      <c r="A285" s="1">
        <v>43081</v>
      </c>
      <c r="B285" s="2" t="s">
        <v>20</v>
      </c>
      <c r="C285" s="2" t="s">
        <v>60</v>
      </c>
      <c r="D285">
        <v>3436</v>
      </c>
      <c r="E285">
        <v>114</v>
      </c>
      <c r="F285">
        <v>370</v>
      </c>
    </row>
    <row r="286" spans="1:6" x14ac:dyDescent="0.25">
      <c r="A286" s="1">
        <v>43082</v>
      </c>
      <c r="B286" s="2" t="s">
        <v>60</v>
      </c>
      <c r="C286" s="2" t="s">
        <v>47</v>
      </c>
      <c r="D286">
        <v>2342</v>
      </c>
      <c r="E286">
        <v>141</v>
      </c>
      <c r="F286">
        <v>319</v>
      </c>
    </row>
    <row r="287" spans="1:6" x14ac:dyDescent="0.25">
      <c r="A287" s="1">
        <v>43083</v>
      </c>
      <c r="B287" s="2" t="s">
        <v>47</v>
      </c>
      <c r="C287" s="2" t="s">
        <v>54</v>
      </c>
      <c r="D287">
        <v>1981</v>
      </c>
      <c r="E287">
        <v>126</v>
      </c>
      <c r="F287">
        <v>396</v>
      </c>
    </row>
    <row r="288" spans="1:6" x14ac:dyDescent="0.25">
      <c r="A288" s="1">
        <v>43084</v>
      </c>
      <c r="B288" s="2" t="s">
        <v>54</v>
      </c>
      <c r="C288" s="2" t="s">
        <v>49</v>
      </c>
      <c r="D288">
        <v>5238</v>
      </c>
      <c r="E288">
        <v>131</v>
      </c>
      <c r="F288">
        <v>158</v>
      </c>
    </row>
    <row r="289" spans="1:6" x14ac:dyDescent="0.25">
      <c r="A289" s="1">
        <v>43085</v>
      </c>
      <c r="B289" s="2" t="s">
        <v>49</v>
      </c>
      <c r="C289" s="2" t="s">
        <v>37</v>
      </c>
      <c r="D289">
        <v>2823</v>
      </c>
      <c r="E289">
        <v>156</v>
      </c>
      <c r="F289">
        <v>280</v>
      </c>
    </row>
    <row r="290" spans="1:6" x14ac:dyDescent="0.25">
      <c r="A290" s="1">
        <v>43086</v>
      </c>
      <c r="B290" s="2" t="s">
        <v>37</v>
      </c>
      <c r="C290" s="2" t="s">
        <v>38</v>
      </c>
      <c r="D290">
        <v>1173</v>
      </c>
      <c r="E290">
        <v>139</v>
      </c>
      <c r="F290">
        <v>475</v>
      </c>
    </row>
    <row r="291" spans="1:6" x14ac:dyDescent="0.25">
      <c r="A291" s="1">
        <v>43087</v>
      </c>
      <c r="B291" s="2" t="s">
        <v>38</v>
      </c>
      <c r="C291" s="2" t="s">
        <v>39</v>
      </c>
      <c r="D291">
        <v>1465</v>
      </c>
      <c r="E291">
        <v>121</v>
      </c>
      <c r="F291">
        <v>193</v>
      </c>
    </row>
    <row r="292" spans="1:6" x14ac:dyDescent="0.25">
      <c r="A292" s="1">
        <v>43088</v>
      </c>
      <c r="B292" s="2" t="s">
        <v>39</v>
      </c>
      <c r="C292" s="2" t="s">
        <v>18</v>
      </c>
      <c r="D292">
        <v>1572</v>
      </c>
      <c r="E292">
        <v>159</v>
      </c>
      <c r="F292">
        <v>476</v>
      </c>
    </row>
    <row r="293" spans="1:6" x14ac:dyDescent="0.25">
      <c r="A293" s="1">
        <v>43089</v>
      </c>
      <c r="B293" s="2" t="s">
        <v>18</v>
      </c>
      <c r="C293" s="2" t="s">
        <v>39</v>
      </c>
      <c r="D293">
        <v>4084</v>
      </c>
      <c r="E293">
        <v>160</v>
      </c>
      <c r="F293">
        <v>338</v>
      </c>
    </row>
    <row r="294" spans="1:6" x14ac:dyDescent="0.25">
      <c r="A294" s="1">
        <v>43090</v>
      </c>
      <c r="B294" s="2" t="s">
        <v>15</v>
      </c>
      <c r="C294" s="2" t="s">
        <v>23</v>
      </c>
      <c r="D294">
        <v>4635</v>
      </c>
      <c r="E294">
        <v>163</v>
      </c>
      <c r="F294">
        <v>359</v>
      </c>
    </row>
    <row r="295" spans="1:6" x14ac:dyDescent="0.25">
      <c r="A295" s="1">
        <v>43092</v>
      </c>
      <c r="B295" s="2" t="s">
        <v>30</v>
      </c>
      <c r="C295" s="2" t="s">
        <v>72</v>
      </c>
      <c r="D295">
        <v>3705</v>
      </c>
      <c r="E295">
        <v>182</v>
      </c>
      <c r="F295">
        <v>760</v>
      </c>
    </row>
    <row r="296" spans="1:6" x14ac:dyDescent="0.25">
      <c r="A296" s="1">
        <v>43094</v>
      </c>
      <c r="B296" s="2" t="s">
        <v>6</v>
      </c>
      <c r="C296" s="2" t="s">
        <v>38</v>
      </c>
      <c r="D296">
        <v>5624</v>
      </c>
      <c r="E296">
        <v>541</v>
      </c>
      <c r="F296">
        <v>1198</v>
      </c>
    </row>
    <row r="297" spans="1:6" x14ac:dyDescent="0.25">
      <c r="A297" s="1">
        <v>43095</v>
      </c>
      <c r="B297" s="2" t="s">
        <v>38</v>
      </c>
      <c r="C297" s="2" t="s">
        <v>37</v>
      </c>
      <c r="D297">
        <v>4157</v>
      </c>
      <c r="E297">
        <v>151</v>
      </c>
      <c r="F297">
        <v>168</v>
      </c>
    </row>
    <row r="298" spans="1:6" x14ac:dyDescent="0.25">
      <c r="A298" s="1">
        <v>43096</v>
      </c>
      <c r="B298" s="2" t="s">
        <v>37</v>
      </c>
      <c r="C298" s="2" t="s">
        <v>43</v>
      </c>
      <c r="D298">
        <v>3021</v>
      </c>
      <c r="E298">
        <v>137</v>
      </c>
      <c r="F298">
        <v>323</v>
      </c>
    </row>
    <row r="299" spans="1:6" x14ac:dyDescent="0.25">
      <c r="A299" s="1">
        <v>43097</v>
      </c>
      <c r="B299" s="2" t="s">
        <v>43</v>
      </c>
      <c r="C299" s="2" t="s">
        <v>52</v>
      </c>
      <c r="D299">
        <v>3573</v>
      </c>
      <c r="E299">
        <v>149</v>
      </c>
      <c r="F299">
        <v>341</v>
      </c>
    </row>
    <row r="300" spans="1:6" x14ac:dyDescent="0.25">
      <c r="A300" s="1">
        <v>43098</v>
      </c>
      <c r="B300" s="2" t="s">
        <v>52</v>
      </c>
      <c r="C300" s="2" t="s">
        <v>15</v>
      </c>
      <c r="D300">
        <v>4748</v>
      </c>
      <c r="E300">
        <v>152</v>
      </c>
      <c r="F300">
        <v>491</v>
      </c>
    </row>
    <row r="301" spans="1:6" x14ac:dyDescent="0.25">
      <c r="A301" s="1">
        <v>43100</v>
      </c>
      <c r="B301" s="2" t="s">
        <v>12</v>
      </c>
      <c r="C301" s="2" t="s">
        <v>6</v>
      </c>
      <c r="D301">
        <v>2293</v>
      </c>
      <c r="E301">
        <v>126</v>
      </c>
      <c r="F301">
        <v>219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3C0E-3DB1-4739-A811-E80D631D553D}">
  <dimension ref="A1:P301"/>
  <sheetViews>
    <sheetView tabSelected="1" workbookViewId="0">
      <selection activeCell="J16" sqref="J16"/>
    </sheetView>
  </sheetViews>
  <sheetFormatPr defaultRowHeight="15" x14ac:dyDescent="0.25"/>
  <cols>
    <col min="1" max="1" width="10.140625" bestFit="1" customWidth="1"/>
    <col min="2" max="3" width="20" bestFit="1" customWidth="1"/>
    <col min="4" max="4" width="8.28515625" bestFit="1" customWidth="1"/>
    <col min="5" max="5" width="12" bestFit="1" customWidth="1"/>
    <col min="6" max="6" width="7.7109375" bestFit="1" customWidth="1"/>
    <col min="7" max="7" width="13.28515625" bestFit="1" customWidth="1"/>
    <col min="10" max="10" width="10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87</v>
      </c>
    </row>
    <row r="2" spans="1:16" x14ac:dyDescent="0.25">
      <c r="A2" s="1">
        <v>42737</v>
      </c>
      <c r="B2" s="2" t="s">
        <v>6</v>
      </c>
      <c r="C2" s="2" t="s">
        <v>7</v>
      </c>
      <c r="D2">
        <v>3527</v>
      </c>
      <c r="E2">
        <v>167</v>
      </c>
      <c r="F2">
        <v>206</v>
      </c>
      <c r="G2">
        <v>1</v>
      </c>
      <c r="I2">
        <f>MAX(kursy7[liczbaCiaguTras])</f>
        <v>11</v>
      </c>
      <c r="J2" s="14">
        <v>43079</v>
      </c>
      <c r="K2" s="15" t="s">
        <v>7</v>
      </c>
      <c r="L2" s="15" t="s">
        <v>8</v>
      </c>
      <c r="M2" s="5">
        <v>2939</v>
      </c>
      <c r="N2" s="5">
        <v>110</v>
      </c>
      <c r="O2" s="5">
        <v>279</v>
      </c>
      <c r="P2" s="6">
        <f>IF(AND(L1=kursy7[[#This Row],[Poczatek]],J1+DATE(1900,1,1)=kursy7[[#This Row],[Data]]),P1+1,1)</f>
        <v>1</v>
      </c>
    </row>
    <row r="3" spans="1:16" x14ac:dyDescent="0.25">
      <c r="A3" s="1">
        <v>42738</v>
      </c>
      <c r="B3" s="2" t="s">
        <v>7</v>
      </c>
      <c r="C3" s="2" t="s">
        <v>8</v>
      </c>
      <c r="D3">
        <v>3666</v>
      </c>
      <c r="E3">
        <v>112</v>
      </c>
      <c r="F3">
        <v>280</v>
      </c>
      <c r="G3">
        <f>IF(AND(C2=kursy7[[#This Row],[Poczatek]],A2+DATE(1900,1,1)=kursy7[[#This Row],[Data]]),G2+1,1)</f>
        <v>2</v>
      </c>
      <c r="J3" s="16">
        <v>43080</v>
      </c>
      <c r="K3" s="7" t="s">
        <v>8</v>
      </c>
      <c r="L3" s="7" t="s">
        <v>20</v>
      </c>
      <c r="M3" s="3">
        <v>4981</v>
      </c>
      <c r="N3" s="3">
        <v>138</v>
      </c>
      <c r="O3" s="3">
        <v>455</v>
      </c>
      <c r="P3" s="4">
        <f>IF(AND(L2=kursy7[[#This Row],[Poczatek]],J2+DATE(1900,1,1)=kursy7[[#This Row],[Data]]),P2+1,1)</f>
        <v>1</v>
      </c>
    </row>
    <row r="4" spans="1:16" x14ac:dyDescent="0.25">
      <c r="A4" s="1">
        <v>42739</v>
      </c>
      <c r="B4" s="2" t="s">
        <v>8</v>
      </c>
      <c r="C4" s="2" t="s">
        <v>9</v>
      </c>
      <c r="D4">
        <v>4888</v>
      </c>
      <c r="E4">
        <v>167</v>
      </c>
      <c r="F4">
        <v>624</v>
      </c>
      <c r="G4">
        <f>IF(AND(C3=kursy7[[#This Row],[Poczatek]],A3+DATE(1900,1,1)=kursy7[[#This Row],[Data]]),G3+1,1)</f>
        <v>3</v>
      </c>
      <c r="J4" s="14">
        <v>43081</v>
      </c>
      <c r="K4" s="15" t="s">
        <v>20</v>
      </c>
      <c r="L4" s="15" t="s">
        <v>60</v>
      </c>
      <c r="M4" s="5">
        <v>3436</v>
      </c>
      <c r="N4" s="5">
        <v>114</v>
      </c>
      <c r="O4" s="5">
        <v>370</v>
      </c>
      <c r="P4" s="6">
        <f>IF(AND(L3=kursy7[[#This Row],[Poczatek]],J3+DATE(1900,1,1)=kursy7[[#This Row],[Data]]),P3+1,1)</f>
        <v>1</v>
      </c>
    </row>
    <row r="5" spans="1:16" x14ac:dyDescent="0.25">
      <c r="A5" s="1">
        <v>42740</v>
      </c>
      <c r="B5" s="2" t="s">
        <v>9</v>
      </c>
      <c r="C5" s="2" t="s">
        <v>10</v>
      </c>
      <c r="D5">
        <v>1099</v>
      </c>
      <c r="E5">
        <v>167</v>
      </c>
      <c r="F5">
        <v>390</v>
      </c>
      <c r="G5">
        <f>IF(AND(C4=kursy7[[#This Row],[Poczatek]],A4+DATE(1900,1,1)=kursy7[[#This Row],[Data]]),G4+1,1)</f>
        <v>4</v>
      </c>
      <c r="J5" s="16">
        <v>43082</v>
      </c>
      <c r="K5" s="7" t="s">
        <v>60</v>
      </c>
      <c r="L5" s="7" t="s">
        <v>47</v>
      </c>
      <c r="M5" s="3">
        <v>2342</v>
      </c>
      <c r="N5" s="3">
        <v>141</v>
      </c>
      <c r="O5" s="3">
        <v>319</v>
      </c>
      <c r="P5" s="4">
        <f>IF(AND(L4=kursy7[[#This Row],[Poczatek]],J4+DATE(1900,1,1)=kursy7[[#This Row],[Data]]),P4+1,1)</f>
        <v>1</v>
      </c>
    </row>
    <row r="6" spans="1:16" x14ac:dyDescent="0.25">
      <c r="A6" s="1">
        <v>42742</v>
      </c>
      <c r="B6" s="2" t="s">
        <v>11</v>
      </c>
      <c r="C6" s="2" t="s">
        <v>12</v>
      </c>
      <c r="D6">
        <v>4881</v>
      </c>
      <c r="E6">
        <v>118</v>
      </c>
      <c r="F6">
        <v>219</v>
      </c>
      <c r="G6">
        <f>IF(AND(C5=kursy7[[#This Row],[Poczatek]],A5+DATE(1900,1,1)=kursy7[[#This Row],[Data]]),G5+1,1)</f>
        <v>1</v>
      </c>
      <c r="J6" s="14">
        <v>43083</v>
      </c>
      <c r="K6" s="15" t="s">
        <v>47</v>
      </c>
      <c r="L6" s="15" t="s">
        <v>54</v>
      </c>
      <c r="M6" s="5">
        <v>1981</v>
      </c>
      <c r="N6" s="5">
        <v>126</v>
      </c>
      <c r="O6" s="5">
        <v>396</v>
      </c>
      <c r="P6" s="6">
        <f>IF(AND(L5=kursy7[[#This Row],[Poczatek]],J5+DATE(1900,1,1)=kursy7[[#This Row],[Data]]),P5+1,1)</f>
        <v>1</v>
      </c>
    </row>
    <row r="7" spans="1:16" x14ac:dyDescent="0.25">
      <c r="A7" s="1">
        <v>42743</v>
      </c>
      <c r="B7" s="2" t="s">
        <v>12</v>
      </c>
      <c r="C7" s="2" t="s">
        <v>11</v>
      </c>
      <c r="D7">
        <v>5851</v>
      </c>
      <c r="E7">
        <v>113</v>
      </c>
      <c r="F7">
        <v>160</v>
      </c>
      <c r="G7">
        <f>IF(AND(C6=kursy7[[#This Row],[Poczatek]],A6+DATE(1900,1,1)=kursy7[[#This Row],[Data]]),G6+1,1)</f>
        <v>2</v>
      </c>
      <c r="J7" s="16">
        <v>43084</v>
      </c>
      <c r="K7" s="7" t="s">
        <v>54</v>
      </c>
      <c r="L7" s="7" t="s">
        <v>49</v>
      </c>
      <c r="M7" s="3">
        <v>5238</v>
      </c>
      <c r="N7" s="3">
        <v>131</v>
      </c>
      <c r="O7" s="3">
        <v>158</v>
      </c>
      <c r="P7" s="4">
        <f>IF(AND(L6=kursy7[[#This Row],[Poczatek]],J6+DATE(1900,1,1)=kursy7[[#This Row],[Data]]),P6+1,1)</f>
        <v>1</v>
      </c>
    </row>
    <row r="8" spans="1:16" x14ac:dyDescent="0.25">
      <c r="A8" s="1">
        <v>42744</v>
      </c>
      <c r="B8" s="2" t="s">
        <v>11</v>
      </c>
      <c r="C8" s="2" t="s">
        <v>13</v>
      </c>
      <c r="D8">
        <v>5963</v>
      </c>
      <c r="E8">
        <v>141</v>
      </c>
      <c r="F8">
        <v>168</v>
      </c>
      <c r="G8">
        <f>IF(AND(C7=kursy7[[#This Row],[Poczatek]],A7+DATE(1900,1,1)=kursy7[[#This Row],[Data]]),G7+1,1)</f>
        <v>3</v>
      </c>
      <c r="J8" s="14">
        <v>43085</v>
      </c>
      <c r="K8" s="15" t="s">
        <v>49</v>
      </c>
      <c r="L8" s="15" t="s">
        <v>37</v>
      </c>
      <c r="M8" s="5">
        <v>2823</v>
      </c>
      <c r="N8" s="5">
        <v>156</v>
      </c>
      <c r="O8" s="5">
        <v>280</v>
      </c>
      <c r="P8" s="6">
        <f>IF(AND(L7=kursy7[[#This Row],[Poczatek]],J7+DATE(1900,1,1)=kursy7[[#This Row],[Data]]),P7+1,1)</f>
        <v>1</v>
      </c>
    </row>
    <row r="9" spans="1:16" x14ac:dyDescent="0.25">
      <c r="A9" s="1">
        <v>42745</v>
      </c>
      <c r="B9" s="2" t="s">
        <v>13</v>
      </c>
      <c r="C9" s="2" t="s">
        <v>9</v>
      </c>
      <c r="D9">
        <v>1364</v>
      </c>
      <c r="E9">
        <v>179</v>
      </c>
      <c r="F9">
        <v>533</v>
      </c>
      <c r="G9">
        <f>IF(AND(C8=kursy7[[#This Row],[Poczatek]],A8+DATE(1900,1,1)=kursy7[[#This Row],[Data]]),G8+1,1)</f>
        <v>4</v>
      </c>
      <c r="J9" s="16">
        <v>43086</v>
      </c>
      <c r="K9" s="7" t="s">
        <v>37</v>
      </c>
      <c r="L9" s="7" t="s">
        <v>38</v>
      </c>
      <c r="M9" s="3">
        <v>1173</v>
      </c>
      <c r="N9" s="3">
        <v>139</v>
      </c>
      <c r="O9" s="3">
        <v>475</v>
      </c>
      <c r="P9" s="4">
        <f>IF(AND(L8=kursy7[[#This Row],[Poczatek]],J8+DATE(1900,1,1)=kursy7[[#This Row],[Data]]),P8+1,1)</f>
        <v>1</v>
      </c>
    </row>
    <row r="10" spans="1:16" x14ac:dyDescent="0.25">
      <c r="A10" s="1">
        <v>42746</v>
      </c>
      <c r="B10" s="2" t="s">
        <v>9</v>
      </c>
      <c r="C10" s="2" t="s">
        <v>10</v>
      </c>
      <c r="D10">
        <v>1245</v>
      </c>
      <c r="E10">
        <v>166</v>
      </c>
      <c r="F10">
        <v>209</v>
      </c>
      <c r="G10">
        <f>IF(AND(C9=kursy7[[#This Row],[Poczatek]],A9+DATE(1900,1,1)=kursy7[[#This Row],[Data]]),G9+1,1)</f>
        <v>5</v>
      </c>
      <c r="J10" s="14">
        <v>43087</v>
      </c>
      <c r="K10" s="15" t="s">
        <v>38</v>
      </c>
      <c r="L10" s="15" t="s">
        <v>39</v>
      </c>
      <c r="M10" s="5">
        <v>1465</v>
      </c>
      <c r="N10" s="5">
        <v>121</v>
      </c>
      <c r="O10" s="5">
        <v>193</v>
      </c>
      <c r="P10" s="6">
        <f>IF(AND(L9=kursy7[[#This Row],[Poczatek]],J9+DATE(1900,1,1)=kursy7[[#This Row],[Data]]),P9+1,1)</f>
        <v>1</v>
      </c>
    </row>
    <row r="11" spans="1:16" x14ac:dyDescent="0.25">
      <c r="A11" s="1">
        <v>42747</v>
      </c>
      <c r="B11" s="2" t="s">
        <v>14</v>
      </c>
      <c r="C11" s="2" t="s">
        <v>15</v>
      </c>
      <c r="D11">
        <v>3771</v>
      </c>
      <c r="E11">
        <v>196</v>
      </c>
      <c r="F11">
        <v>696</v>
      </c>
      <c r="G11">
        <f>IF(AND(C10=kursy7[[#This Row],[Poczatek]],A10+DATE(1900,1,1)=kursy7[[#This Row],[Data]]),G10+1,1)</f>
        <v>1</v>
      </c>
      <c r="J11" s="16">
        <v>43088</v>
      </c>
      <c r="K11" s="7" t="s">
        <v>39</v>
      </c>
      <c r="L11" s="7" t="s">
        <v>18</v>
      </c>
      <c r="M11" s="3">
        <v>1572</v>
      </c>
      <c r="N11" s="3">
        <v>159</v>
      </c>
      <c r="O11" s="3">
        <v>476</v>
      </c>
      <c r="P11" s="4">
        <f>IF(AND(L10=kursy7[[#This Row],[Poczatek]],J10+DATE(1900,1,1)=kursy7[[#This Row],[Data]]),P10+1,1)</f>
        <v>1</v>
      </c>
    </row>
    <row r="12" spans="1:16" x14ac:dyDescent="0.25">
      <c r="A12" s="1">
        <v>42749</v>
      </c>
      <c r="B12" s="2" t="s">
        <v>16</v>
      </c>
      <c r="C12" s="2" t="s">
        <v>17</v>
      </c>
      <c r="D12">
        <v>4522</v>
      </c>
      <c r="E12">
        <v>300</v>
      </c>
      <c r="F12">
        <v>1113</v>
      </c>
      <c r="G12">
        <f>IF(AND(C11=kursy7[[#This Row],[Poczatek]],A11+DATE(1900,1,1)=kursy7[[#This Row],[Data]]),G11+1,1)</f>
        <v>1</v>
      </c>
      <c r="J12" s="14">
        <v>43089</v>
      </c>
      <c r="K12" s="15" t="s">
        <v>18</v>
      </c>
      <c r="L12" s="15" t="s">
        <v>39</v>
      </c>
      <c r="M12" s="5">
        <v>4084</v>
      </c>
      <c r="N12" s="5">
        <v>160</v>
      </c>
      <c r="O12" s="5">
        <v>338</v>
      </c>
      <c r="P12" s="6">
        <f>IF(AND(L11=kursy7[[#This Row],[Poczatek]],J11+DATE(1900,1,1)=kursy7[[#This Row],[Data]]),P11+1,1)</f>
        <v>1</v>
      </c>
    </row>
    <row r="13" spans="1:16" x14ac:dyDescent="0.25">
      <c r="A13" s="1">
        <v>42750</v>
      </c>
      <c r="B13" s="2" t="s">
        <v>17</v>
      </c>
      <c r="C13" s="2" t="s">
        <v>18</v>
      </c>
      <c r="D13">
        <v>4588</v>
      </c>
      <c r="E13">
        <v>148</v>
      </c>
      <c r="F13">
        <v>494</v>
      </c>
      <c r="G13">
        <f>IF(AND(C12=kursy7[[#This Row],[Poczatek]],A12+DATE(1900,1,1)=kursy7[[#This Row],[Data]]),G12+1,1)</f>
        <v>2</v>
      </c>
    </row>
    <row r="14" spans="1:16" x14ac:dyDescent="0.25">
      <c r="A14" s="1">
        <v>42751</v>
      </c>
      <c r="B14" s="2" t="s">
        <v>19</v>
      </c>
      <c r="C14" s="2" t="s">
        <v>20</v>
      </c>
      <c r="D14">
        <v>1952</v>
      </c>
      <c r="E14">
        <v>267</v>
      </c>
      <c r="F14">
        <v>602</v>
      </c>
      <c r="G14">
        <f>IF(AND(C13=kursy7[[#This Row],[Poczatek]],A13+DATE(1900,1,1)=kursy7[[#This Row],[Data]]),G13+1,1)</f>
        <v>1</v>
      </c>
      <c r="I14" s="8" t="s">
        <v>88</v>
      </c>
      <c r="J14" s="17">
        <v>43079</v>
      </c>
    </row>
    <row r="15" spans="1:16" x14ac:dyDescent="0.25">
      <c r="A15" s="1">
        <v>42752</v>
      </c>
      <c r="B15" s="2" t="s">
        <v>20</v>
      </c>
      <c r="C15" s="2" t="s">
        <v>7</v>
      </c>
      <c r="D15">
        <v>3318</v>
      </c>
      <c r="E15">
        <v>110</v>
      </c>
      <c r="F15">
        <v>422</v>
      </c>
      <c r="G15">
        <f>IF(AND(C14=kursy7[[#This Row],[Poczatek]],A14+DATE(1900,1,1)=kursy7[[#This Row],[Data]]),G14+1,1)</f>
        <v>2</v>
      </c>
      <c r="I15" s="8" t="s">
        <v>2</v>
      </c>
      <c r="J15" s="17">
        <v>43089</v>
      </c>
    </row>
    <row r="16" spans="1:16" x14ac:dyDescent="0.25">
      <c r="A16" s="1">
        <v>42755</v>
      </c>
      <c r="B16" s="2" t="s">
        <v>13</v>
      </c>
      <c r="C16" s="2" t="s">
        <v>9</v>
      </c>
      <c r="D16">
        <v>3106</v>
      </c>
      <c r="E16">
        <v>173</v>
      </c>
      <c r="F16">
        <v>312</v>
      </c>
      <c r="G16">
        <f>IF(AND(C15=kursy7[[#This Row],[Poczatek]],A15+DATE(1900,1,1)=kursy7[[#This Row],[Data]]),G15+1,1)</f>
        <v>1</v>
      </c>
    </row>
    <row r="17" spans="1:7" x14ac:dyDescent="0.25">
      <c r="A17" s="1">
        <v>42756</v>
      </c>
      <c r="B17" s="2" t="s">
        <v>9</v>
      </c>
      <c r="C17" s="2" t="s">
        <v>6</v>
      </c>
      <c r="D17">
        <v>5593</v>
      </c>
      <c r="E17">
        <v>127</v>
      </c>
      <c r="F17">
        <v>421</v>
      </c>
      <c r="G17">
        <f>IF(AND(C16=kursy7[[#This Row],[Poczatek]],A16+DATE(1900,1,1)=kursy7[[#This Row],[Data]]),G16+1,1)</f>
        <v>2</v>
      </c>
    </row>
    <row r="18" spans="1:7" x14ac:dyDescent="0.25">
      <c r="A18" s="1">
        <v>42757</v>
      </c>
      <c r="B18" s="2" t="s">
        <v>6</v>
      </c>
      <c r="C18" s="2" t="s">
        <v>12</v>
      </c>
      <c r="D18">
        <v>5983</v>
      </c>
      <c r="E18">
        <v>118</v>
      </c>
      <c r="F18">
        <v>416</v>
      </c>
      <c r="G18">
        <f>IF(AND(C17=kursy7[[#This Row],[Poczatek]],A17+DATE(1900,1,1)=kursy7[[#This Row],[Data]]),G17+1,1)</f>
        <v>3</v>
      </c>
    </row>
    <row r="19" spans="1:7" x14ac:dyDescent="0.25">
      <c r="A19" s="1">
        <v>42758</v>
      </c>
      <c r="B19" s="2" t="s">
        <v>12</v>
      </c>
      <c r="C19" s="2" t="s">
        <v>6</v>
      </c>
      <c r="D19">
        <v>5496</v>
      </c>
      <c r="E19">
        <v>115</v>
      </c>
      <c r="F19">
        <v>291</v>
      </c>
      <c r="G19">
        <f>IF(AND(C18=kursy7[[#This Row],[Poczatek]],A18+DATE(1900,1,1)=kursy7[[#This Row],[Data]]),G18+1,1)</f>
        <v>4</v>
      </c>
    </row>
    <row r="20" spans="1:7" x14ac:dyDescent="0.25">
      <c r="A20" s="1">
        <v>42759</v>
      </c>
      <c r="B20" s="2" t="s">
        <v>6</v>
      </c>
      <c r="C20" s="2" t="s">
        <v>11</v>
      </c>
      <c r="D20">
        <v>4572</v>
      </c>
      <c r="E20">
        <v>164</v>
      </c>
      <c r="F20">
        <v>550</v>
      </c>
      <c r="G20">
        <f>IF(AND(C19=kursy7[[#This Row],[Poczatek]],A19+DATE(1900,1,1)=kursy7[[#This Row],[Data]]),G19+1,1)</f>
        <v>5</v>
      </c>
    </row>
    <row r="21" spans="1:7" x14ac:dyDescent="0.25">
      <c r="A21" s="1">
        <v>42760</v>
      </c>
      <c r="B21" s="2" t="s">
        <v>11</v>
      </c>
      <c r="C21" s="2" t="s">
        <v>12</v>
      </c>
      <c r="D21">
        <v>4529</v>
      </c>
      <c r="E21">
        <v>121</v>
      </c>
      <c r="F21">
        <v>373</v>
      </c>
      <c r="G21">
        <f>IF(AND(C20=kursy7[[#This Row],[Poczatek]],A20+DATE(1900,1,1)=kursy7[[#This Row],[Data]]),G20+1,1)</f>
        <v>6</v>
      </c>
    </row>
    <row r="22" spans="1:7" x14ac:dyDescent="0.25">
      <c r="A22" s="1">
        <v>42761</v>
      </c>
      <c r="B22" s="2" t="s">
        <v>12</v>
      </c>
      <c r="C22" s="2" t="s">
        <v>6</v>
      </c>
      <c r="D22">
        <v>4981</v>
      </c>
      <c r="E22">
        <v>123</v>
      </c>
      <c r="F22">
        <v>218</v>
      </c>
      <c r="G22">
        <f>IF(AND(C21=kursy7[[#This Row],[Poczatek]],A21+DATE(1900,1,1)=kursy7[[#This Row],[Data]]),G21+1,1)</f>
        <v>7</v>
      </c>
    </row>
    <row r="23" spans="1:7" x14ac:dyDescent="0.25">
      <c r="A23" s="1">
        <v>42762</v>
      </c>
      <c r="B23" s="2" t="s">
        <v>6</v>
      </c>
      <c r="C23" s="2" t="s">
        <v>7</v>
      </c>
      <c r="D23">
        <v>3808</v>
      </c>
      <c r="E23">
        <v>163</v>
      </c>
      <c r="F23">
        <v>655</v>
      </c>
      <c r="G23">
        <f>IF(AND(C22=kursy7[[#This Row],[Poczatek]],A22+DATE(1900,1,1)=kursy7[[#This Row],[Data]]),G22+1,1)</f>
        <v>8</v>
      </c>
    </row>
    <row r="24" spans="1:7" x14ac:dyDescent="0.25">
      <c r="A24" s="1">
        <v>42763</v>
      </c>
      <c r="B24" s="2" t="s">
        <v>7</v>
      </c>
      <c r="C24" s="2" t="s">
        <v>21</v>
      </c>
      <c r="D24">
        <v>1359</v>
      </c>
      <c r="E24">
        <v>130</v>
      </c>
      <c r="F24">
        <v>346</v>
      </c>
      <c r="G24">
        <f>IF(AND(C23=kursy7[[#This Row],[Poczatek]],A23+DATE(1900,1,1)=kursy7[[#This Row],[Data]]),G23+1,1)</f>
        <v>9</v>
      </c>
    </row>
    <row r="25" spans="1:7" x14ac:dyDescent="0.25">
      <c r="A25" s="1">
        <v>42764</v>
      </c>
      <c r="B25" s="2" t="s">
        <v>22</v>
      </c>
      <c r="C25" s="2" t="s">
        <v>23</v>
      </c>
      <c r="D25">
        <v>2320</v>
      </c>
      <c r="E25">
        <v>24</v>
      </c>
      <c r="F25">
        <v>68</v>
      </c>
      <c r="G25">
        <f>IF(AND(C24=kursy7[[#This Row],[Poczatek]],A24+DATE(1900,1,1)=kursy7[[#This Row],[Data]]),G24+1,1)</f>
        <v>1</v>
      </c>
    </row>
    <row r="26" spans="1:7" x14ac:dyDescent="0.25">
      <c r="A26" s="1">
        <v>42765</v>
      </c>
      <c r="B26" s="2" t="s">
        <v>23</v>
      </c>
      <c r="C26" s="2" t="s">
        <v>24</v>
      </c>
      <c r="D26">
        <v>2607</v>
      </c>
      <c r="E26">
        <v>115</v>
      </c>
      <c r="F26">
        <v>264</v>
      </c>
      <c r="G26">
        <f>IF(AND(C25=kursy7[[#This Row],[Poczatek]],A25+DATE(1900,1,1)=kursy7[[#This Row],[Data]]),G25+1,1)</f>
        <v>2</v>
      </c>
    </row>
    <row r="27" spans="1:7" x14ac:dyDescent="0.25">
      <c r="A27" s="1">
        <v>42766</v>
      </c>
      <c r="B27" s="2" t="s">
        <v>24</v>
      </c>
      <c r="C27" s="2" t="s">
        <v>23</v>
      </c>
      <c r="D27">
        <v>3657</v>
      </c>
      <c r="E27">
        <v>100</v>
      </c>
      <c r="F27">
        <v>424</v>
      </c>
      <c r="G27">
        <f>IF(AND(C26=kursy7[[#This Row],[Poczatek]],A26+DATE(1900,1,1)=kursy7[[#This Row],[Data]]),G26+1,1)</f>
        <v>3</v>
      </c>
    </row>
    <row r="28" spans="1:7" x14ac:dyDescent="0.25">
      <c r="A28" s="1">
        <v>42767</v>
      </c>
      <c r="B28" s="2" t="s">
        <v>23</v>
      </c>
      <c r="C28" s="2" t="s">
        <v>25</v>
      </c>
      <c r="D28">
        <v>5671</v>
      </c>
      <c r="E28">
        <v>118</v>
      </c>
      <c r="F28">
        <v>390</v>
      </c>
      <c r="G28">
        <f>IF(AND(C27=kursy7[[#This Row],[Poczatek]],A27+DATE(1900,1,1)=kursy7[[#This Row],[Data]]),G27+1,1)</f>
        <v>4</v>
      </c>
    </row>
    <row r="29" spans="1:7" x14ac:dyDescent="0.25">
      <c r="A29" s="1">
        <v>42768</v>
      </c>
      <c r="B29" s="2" t="s">
        <v>25</v>
      </c>
      <c r="C29" s="2" t="s">
        <v>22</v>
      </c>
      <c r="D29">
        <v>4871</v>
      </c>
      <c r="E29">
        <v>126</v>
      </c>
      <c r="F29">
        <v>185</v>
      </c>
      <c r="G29">
        <f>IF(AND(C28=kursy7[[#This Row],[Poczatek]],A28+DATE(1900,1,1)=kursy7[[#This Row],[Data]]),G28+1,1)</f>
        <v>5</v>
      </c>
    </row>
    <row r="30" spans="1:7" x14ac:dyDescent="0.25">
      <c r="A30" s="1">
        <v>42769</v>
      </c>
      <c r="B30" s="2" t="s">
        <v>22</v>
      </c>
      <c r="C30" s="2" t="s">
        <v>26</v>
      </c>
      <c r="D30">
        <v>1686</v>
      </c>
      <c r="E30">
        <v>102</v>
      </c>
      <c r="F30">
        <v>167</v>
      </c>
      <c r="G30">
        <f>IF(AND(C29=kursy7[[#This Row],[Poczatek]],A29+DATE(1900,1,1)=kursy7[[#This Row],[Data]]),G29+1,1)</f>
        <v>6</v>
      </c>
    </row>
    <row r="31" spans="1:7" x14ac:dyDescent="0.25">
      <c r="A31" s="1">
        <v>42770</v>
      </c>
      <c r="B31" s="2" t="s">
        <v>26</v>
      </c>
      <c r="C31" s="2" t="s">
        <v>21</v>
      </c>
      <c r="D31">
        <v>5628</v>
      </c>
      <c r="E31">
        <v>123</v>
      </c>
      <c r="F31">
        <v>450</v>
      </c>
      <c r="G31">
        <f>IF(AND(C30=kursy7[[#This Row],[Poczatek]],A30+DATE(1900,1,1)=kursy7[[#This Row],[Data]]),G30+1,1)</f>
        <v>7</v>
      </c>
    </row>
    <row r="32" spans="1:7" x14ac:dyDescent="0.25">
      <c r="A32" s="1">
        <v>42771</v>
      </c>
      <c r="B32" s="2" t="s">
        <v>21</v>
      </c>
      <c r="C32" s="2" t="s">
        <v>14</v>
      </c>
      <c r="D32">
        <v>3295</v>
      </c>
      <c r="E32">
        <v>103</v>
      </c>
      <c r="F32">
        <v>346</v>
      </c>
      <c r="G32">
        <f>IF(AND(C31=kursy7[[#This Row],[Poczatek]],A31+DATE(1900,1,1)=kursy7[[#This Row],[Data]]),G31+1,1)</f>
        <v>8</v>
      </c>
    </row>
    <row r="33" spans="1:7" x14ac:dyDescent="0.25">
      <c r="A33" s="1">
        <v>42772</v>
      </c>
      <c r="B33" s="2" t="s">
        <v>27</v>
      </c>
      <c r="C33" s="2" t="s">
        <v>28</v>
      </c>
      <c r="D33">
        <v>5291</v>
      </c>
      <c r="E33">
        <v>273</v>
      </c>
      <c r="F33">
        <v>520</v>
      </c>
      <c r="G33">
        <f>IF(AND(C32=kursy7[[#This Row],[Poczatek]],A32+DATE(1900,1,1)=kursy7[[#This Row],[Data]]),G32+1,1)</f>
        <v>1</v>
      </c>
    </row>
    <row r="34" spans="1:7" x14ac:dyDescent="0.25">
      <c r="A34" s="1">
        <v>42773</v>
      </c>
      <c r="B34" s="2" t="s">
        <v>28</v>
      </c>
      <c r="C34" s="2" t="s">
        <v>29</v>
      </c>
      <c r="D34">
        <v>5838</v>
      </c>
      <c r="E34">
        <v>128</v>
      </c>
      <c r="F34">
        <v>518</v>
      </c>
      <c r="G34">
        <f>IF(AND(C33=kursy7[[#This Row],[Poczatek]],A33+DATE(1900,1,1)=kursy7[[#This Row],[Data]]),G33+1,1)</f>
        <v>2</v>
      </c>
    </row>
    <row r="35" spans="1:7" x14ac:dyDescent="0.25">
      <c r="A35" s="1">
        <v>42774</v>
      </c>
      <c r="B35" s="2" t="s">
        <v>29</v>
      </c>
      <c r="C35" s="2" t="s">
        <v>20</v>
      </c>
      <c r="D35">
        <v>3319</v>
      </c>
      <c r="E35">
        <v>154</v>
      </c>
      <c r="F35">
        <v>314</v>
      </c>
      <c r="G35">
        <f>IF(AND(C34=kursy7[[#This Row],[Poczatek]],A34+DATE(1900,1,1)=kursy7[[#This Row],[Data]]),G34+1,1)</f>
        <v>3</v>
      </c>
    </row>
    <row r="36" spans="1:7" x14ac:dyDescent="0.25">
      <c r="A36" s="1">
        <v>42775</v>
      </c>
      <c r="B36" s="2" t="s">
        <v>30</v>
      </c>
      <c r="C36" s="2" t="s">
        <v>7</v>
      </c>
      <c r="D36">
        <v>2152</v>
      </c>
      <c r="E36">
        <v>190</v>
      </c>
      <c r="F36">
        <v>406</v>
      </c>
      <c r="G36">
        <f>IF(AND(C35=kursy7[[#This Row],[Poczatek]],A35+DATE(1900,1,1)=kursy7[[#This Row],[Data]]),G35+1,1)</f>
        <v>1</v>
      </c>
    </row>
    <row r="37" spans="1:7" x14ac:dyDescent="0.25">
      <c r="A37" s="1">
        <v>42776</v>
      </c>
      <c r="B37" s="2" t="s">
        <v>7</v>
      </c>
      <c r="C37" s="2" t="s">
        <v>21</v>
      </c>
      <c r="D37">
        <v>3810</v>
      </c>
      <c r="E37">
        <v>135</v>
      </c>
      <c r="F37">
        <v>221</v>
      </c>
      <c r="G37">
        <f>IF(AND(C36=kursy7[[#This Row],[Poczatek]],A36+DATE(1900,1,1)=kursy7[[#This Row],[Data]]),G36+1,1)</f>
        <v>2</v>
      </c>
    </row>
    <row r="38" spans="1:7" x14ac:dyDescent="0.25">
      <c r="A38" s="1">
        <v>42777</v>
      </c>
      <c r="B38" s="2" t="s">
        <v>21</v>
      </c>
      <c r="C38" s="2" t="s">
        <v>31</v>
      </c>
      <c r="D38">
        <v>5713</v>
      </c>
      <c r="E38">
        <v>128</v>
      </c>
      <c r="F38">
        <v>376</v>
      </c>
      <c r="G38">
        <f>IF(AND(C37=kursy7[[#This Row],[Poczatek]],A37+DATE(1900,1,1)=kursy7[[#This Row],[Data]]),G37+1,1)</f>
        <v>3</v>
      </c>
    </row>
    <row r="39" spans="1:7" x14ac:dyDescent="0.25">
      <c r="A39" s="1">
        <v>42778</v>
      </c>
      <c r="B39" s="2" t="s">
        <v>31</v>
      </c>
      <c r="C39" s="2" t="s">
        <v>21</v>
      </c>
      <c r="D39">
        <v>4163</v>
      </c>
      <c r="E39">
        <v>128</v>
      </c>
      <c r="F39">
        <v>257</v>
      </c>
      <c r="G39">
        <f>IF(AND(C38=kursy7[[#This Row],[Poczatek]],A38+DATE(1900,1,1)=kursy7[[#This Row],[Data]]),G38+1,1)</f>
        <v>4</v>
      </c>
    </row>
    <row r="40" spans="1:7" x14ac:dyDescent="0.25">
      <c r="A40" s="1">
        <v>42779</v>
      </c>
      <c r="B40" s="2" t="s">
        <v>21</v>
      </c>
      <c r="C40" s="2" t="s">
        <v>32</v>
      </c>
      <c r="D40">
        <v>3216</v>
      </c>
      <c r="E40">
        <v>162</v>
      </c>
      <c r="F40">
        <v>278</v>
      </c>
      <c r="G40">
        <f>IF(AND(C39=kursy7[[#This Row],[Poczatek]],A39+DATE(1900,1,1)=kursy7[[#This Row],[Data]]),G39+1,1)</f>
        <v>5</v>
      </c>
    </row>
    <row r="41" spans="1:7" x14ac:dyDescent="0.25">
      <c r="A41" s="1">
        <v>42780</v>
      </c>
      <c r="B41" s="2" t="s">
        <v>11</v>
      </c>
      <c r="C41" s="2" t="s">
        <v>33</v>
      </c>
      <c r="D41">
        <v>5060</v>
      </c>
      <c r="E41">
        <v>550</v>
      </c>
      <c r="F41">
        <v>1622</v>
      </c>
      <c r="G41">
        <f>IF(AND(C40=kursy7[[#This Row],[Poczatek]],A40+DATE(1900,1,1)=kursy7[[#This Row],[Data]]),G40+1,1)</f>
        <v>1</v>
      </c>
    </row>
    <row r="42" spans="1:7" x14ac:dyDescent="0.25">
      <c r="A42" s="1">
        <v>42782</v>
      </c>
      <c r="B42" s="2" t="s">
        <v>31</v>
      </c>
      <c r="C42" s="2" t="s">
        <v>24</v>
      </c>
      <c r="D42">
        <v>2446</v>
      </c>
      <c r="E42">
        <v>161</v>
      </c>
      <c r="F42">
        <v>379</v>
      </c>
      <c r="G42">
        <f>IF(AND(C41=kursy7[[#This Row],[Poczatek]],A41+DATE(1900,1,1)=kursy7[[#This Row],[Data]]),G41+1,1)</f>
        <v>1</v>
      </c>
    </row>
    <row r="43" spans="1:7" x14ac:dyDescent="0.25">
      <c r="A43" s="1">
        <v>42783</v>
      </c>
      <c r="B43" s="2" t="s">
        <v>24</v>
      </c>
      <c r="C43" s="2" t="s">
        <v>23</v>
      </c>
      <c r="D43">
        <v>3305</v>
      </c>
      <c r="E43">
        <v>106</v>
      </c>
      <c r="F43">
        <v>116</v>
      </c>
      <c r="G43">
        <f>IF(AND(C42=kursy7[[#This Row],[Poczatek]],A42+DATE(1900,1,1)=kursy7[[#This Row],[Data]]),G42+1,1)</f>
        <v>2</v>
      </c>
    </row>
    <row r="44" spans="1:7" x14ac:dyDescent="0.25">
      <c r="A44" s="1">
        <v>42785</v>
      </c>
      <c r="B44" s="2" t="s">
        <v>21</v>
      </c>
      <c r="C44" s="2" t="s">
        <v>7</v>
      </c>
      <c r="D44">
        <v>1743</v>
      </c>
      <c r="E44">
        <v>145</v>
      </c>
      <c r="F44">
        <v>376</v>
      </c>
      <c r="G44">
        <f>IF(AND(C43=kursy7[[#This Row],[Poczatek]],A43+DATE(1900,1,1)=kursy7[[#This Row],[Data]]),G43+1,1)</f>
        <v>1</v>
      </c>
    </row>
    <row r="45" spans="1:7" x14ac:dyDescent="0.25">
      <c r="A45" s="1">
        <v>42788</v>
      </c>
      <c r="B45" s="2" t="s">
        <v>17</v>
      </c>
      <c r="C45" s="2" t="s">
        <v>34</v>
      </c>
      <c r="D45">
        <v>4053</v>
      </c>
      <c r="E45">
        <v>146</v>
      </c>
      <c r="F45">
        <v>441</v>
      </c>
      <c r="G45">
        <f>IF(AND(C44=kursy7[[#This Row],[Poczatek]],A44+DATE(1900,1,1)=kursy7[[#This Row],[Data]]),G44+1,1)</f>
        <v>1</v>
      </c>
    </row>
    <row r="46" spans="1:7" x14ac:dyDescent="0.25">
      <c r="A46" s="1">
        <v>42789</v>
      </c>
      <c r="B46" s="2" t="s">
        <v>18</v>
      </c>
      <c r="C46" s="2" t="s">
        <v>29</v>
      </c>
      <c r="D46">
        <v>4905</v>
      </c>
      <c r="E46">
        <v>157</v>
      </c>
      <c r="F46">
        <v>392</v>
      </c>
      <c r="G46">
        <f>IF(AND(C45=kursy7[[#This Row],[Poczatek]],A45+DATE(1900,1,1)=kursy7[[#This Row],[Data]]),G45+1,1)</f>
        <v>1</v>
      </c>
    </row>
    <row r="47" spans="1:7" x14ac:dyDescent="0.25">
      <c r="A47" s="1">
        <v>42791</v>
      </c>
      <c r="B47" s="2" t="s">
        <v>8</v>
      </c>
      <c r="C47" s="2" t="s">
        <v>7</v>
      </c>
      <c r="D47">
        <v>1624</v>
      </c>
      <c r="E47">
        <v>111</v>
      </c>
      <c r="F47">
        <v>221</v>
      </c>
      <c r="G47">
        <f>IF(AND(C46=kursy7[[#This Row],[Poczatek]],A46+DATE(1900,1,1)=kursy7[[#This Row],[Data]]),G46+1,1)</f>
        <v>1</v>
      </c>
    </row>
    <row r="48" spans="1:7" x14ac:dyDescent="0.25">
      <c r="A48" s="1">
        <v>42793</v>
      </c>
      <c r="B48" s="2" t="s">
        <v>35</v>
      </c>
      <c r="C48" s="2" t="s">
        <v>27</v>
      </c>
      <c r="D48">
        <v>5326</v>
      </c>
      <c r="E48">
        <v>171</v>
      </c>
      <c r="F48">
        <v>263</v>
      </c>
      <c r="G48">
        <f>IF(AND(C47=kursy7[[#This Row],[Poczatek]],A47+DATE(1900,1,1)=kursy7[[#This Row],[Data]]),G47+1,1)</f>
        <v>1</v>
      </c>
    </row>
    <row r="49" spans="1:7" x14ac:dyDescent="0.25">
      <c r="A49" s="1">
        <v>42794</v>
      </c>
      <c r="B49" s="2" t="s">
        <v>36</v>
      </c>
      <c r="C49" s="2" t="s">
        <v>12</v>
      </c>
      <c r="D49">
        <v>4398</v>
      </c>
      <c r="E49">
        <v>225</v>
      </c>
      <c r="F49">
        <v>400</v>
      </c>
      <c r="G49">
        <f>IF(AND(C48=kursy7[[#This Row],[Poczatek]],A48+DATE(1900,1,1)=kursy7[[#This Row],[Data]]),G48+1,1)</f>
        <v>1</v>
      </c>
    </row>
    <row r="50" spans="1:7" x14ac:dyDescent="0.25">
      <c r="A50" s="1">
        <v>42795</v>
      </c>
      <c r="B50" s="2" t="s">
        <v>35</v>
      </c>
      <c r="C50" s="2" t="s">
        <v>37</v>
      </c>
      <c r="D50">
        <v>4494</v>
      </c>
      <c r="E50">
        <v>143</v>
      </c>
      <c r="F50">
        <v>252</v>
      </c>
      <c r="G50">
        <f>IF(AND(C49=kursy7[[#This Row],[Poczatek]],A49+DATE(1900,1,1)=kursy7[[#This Row],[Data]]),G49+1,1)</f>
        <v>1</v>
      </c>
    </row>
    <row r="51" spans="1:7" x14ac:dyDescent="0.25">
      <c r="A51" s="1">
        <v>42796</v>
      </c>
      <c r="B51" s="2" t="s">
        <v>37</v>
      </c>
      <c r="C51" s="2" t="s">
        <v>38</v>
      </c>
      <c r="D51">
        <v>2136</v>
      </c>
      <c r="E51">
        <v>139</v>
      </c>
      <c r="F51">
        <v>522</v>
      </c>
      <c r="G51">
        <f>IF(AND(C50=kursy7[[#This Row],[Poczatek]],A50+DATE(1900,1,1)=kursy7[[#This Row],[Data]]),G50+1,1)</f>
        <v>2</v>
      </c>
    </row>
    <row r="52" spans="1:7" x14ac:dyDescent="0.25">
      <c r="A52" s="1">
        <v>42797</v>
      </c>
      <c r="B52" s="2" t="s">
        <v>38</v>
      </c>
      <c r="C52" s="2" t="s">
        <v>39</v>
      </c>
      <c r="D52">
        <v>4481</v>
      </c>
      <c r="E52">
        <v>121</v>
      </c>
      <c r="F52">
        <v>446</v>
      </c>
      <c r="G52">
        <f>IF(AND(C51=kursy7[[#This Row],[Poczatek]],A51+DATE(1900,1,1)=kursy7[[#This Row],[Data]]),G51+1,1)</f>
        <v>3</v>
      </c>
    </row>
    <row r="53" spans="1:7" x14ac:dyDescent="0.25">
      <c r="A53" s="1">
        <v>42798</v>
      </c>
      <c r="B53" s="2" t="s">
        <v>29</v>
      </c>
      <c r="C53" s="2" t="s">
        <v>14</v>
      </c>
      <c r="D53">
        <v>1749</v>
      </c>
      <c r="E53">
        <v>232</v>
      </c>
      <c r="F53">
        <v>928</v>
      </c>
      <c r="G53">
        <f>IF(AND(C52=kursy7[[#This Row],[Poczatek]],A52+DATE(1900,1,1)=kursy7[[#This Row],[Data]]),G52+1,1)</f>
        <v>1</v>
      </c>
    </row>
    <row r="54" spans="1:7" x14ac:dyDescent="0.25">
      <c r="A54" s="1">
        <v>42802</v>
      </c>
      <c r="B54" s="2" t="s">
        <v>29</v>
      </c>
      <c r="C54" s="2" t="s">
        <v>20</v>
      </c>
      <c r="D54">
        <v>1203</v>
      </c>
      <c r="E54">
        <v>146</v>
      </c>
      <c r="F54">
        <v>330</v>
      </c>
      <c r="G54">
        <f>IF(AND(C53=kursy7[[#This Row],[Poczatek]],A53+DATE(1900,1,1)=kursy7[[#This Row],[Data]]),G53+1,1)</f>
        <v>1</v>
      </c>
    </row>
    <row r="55" spans="1:7" x14ac:dyDescent="0.25">
      <c r="A55" s="1">
        <v>42803</v>
      </c>
      <c r="B55" s="2" t="s">
        <v>20</v>
      </c>
      <c r="C55" s="2" t="s">
        <v>40</v>
      </c>
      <c r="D55">
        <v>4505</v>
      </c>
      <c r="E55">
        <v>118</v>
      </c>
      <c r="F55">
        <v>374</v>
      </c>
      <c r="G55">
        <f>IF(AND(C54=kursy7[[#This Row],[Poczatek]],A54+DATE(1900,1,1)=kursy7[[#This Row],[Data]]),G54+1,1)</f>
        <v>2</v>
      </c>
    </row>
    <row r="56" spans="1:7" x14ac:dyDescent="0.25">
      <c r="A56" s="1">
        <v>42804</v>
      </c>
      <c r="B56" s="2" t="s">
        <v>40</v>
      </c>
      <c r="C56" s="2" t="s">
        <v>41</v>
      </c>
      <c r="D56">
        <v>1454</v>
      </c>
      <c r="E56">
        <v>95</v>
      </c>
      <c r="F56">
        <v>197</v>
      </c>
      <c r="G56">
        <f>IF(AND(C55=kursy7[[#This Row],[Poczatek]],A55+DATE(1900,1,1)=kursy7[[#This Row],[Data]]),G55+1,1)</f>
        <v>3</v>
      </c>
    </row>
    <row r="57" spans="1:7" x14ac:dyDescent="0.25">
      <c r="A57" s="1">
        <v>42805</v>
      </c>
      <c r="B57" s="2" t="s">
        <v>41</v>
      </c>
      <c r="C57" s="2" t="s">
        <v>16</v>
      </c>
      <c r="D57">
        <v>2835</v>
      </c>
      <c r="E57">
        <v>136</v>
      </c>
      <c r="F57">
        <v>418</v>
      </c>
      <c r="G57">
        <f>IF(AND(C56=kursy7[[#This Row],[Poczatek]],A56+DATE(1900,1,1)=kursy7[[#This Row],[Data]]),G56+1,1)</f>
        <v>4</v>
      </c>
    </row>
    <row r="58" spans="1:7" x14ac:dyDescent="0.25">
      <c r="A58" s="1">
        <v>42806</v>
      </c>
      <c r="B58" s="2" t="s">
        <v>16</v>
      </c>
      <c r="C58" s="2" t="s">
        <v>42</v>
      </c>
      <c r="D58">
        <v>2338</v>
      </c>
      <c r="E58">
        <v>123</v>
      </c>
      <c r="F58">
        <v>215</v>
      </c>
      <c r="G58">
        <f>IF(AND(C57=kursy7[[#This Row],[Poczatek]],A57+DATE(1900,1,1)=kursy7[[#This Row],[Data]]),G57+1,1)</f>
        <v>5</v>
      </c>
    </row>
    <row r="59" spans="1:7" x14ac:dyDescent="0.25">
      <c r="A59" s="1">
        <v>42807</v>
      </c>
      <c r="B59" s="2" t="s">
        <v>26</v>
      </c>
      <c r="C59" s="2" t="s">
        <v>43</v>
      </c>
      <c r="D59">
        <v>4154</v>
      </c>
      <c r="E59">
        <v>277</v>
      </c>
      <c r="F59">
        <v>924</v>
      </c>
      <c r="G59">
        <f>IF(AND(C58=kursy7[[#This Row],[Poczatek]],A58+DATE(1900,1,1)=kursy7[[#This Row],[Data]]),G58+1,1)</f>
        <v>1</v>
      </c>
    </row>
    <row r="60" spans="1:7" x14ac:dyDescent="0.25">
      <c r="A60" s="1">
        <v>42810</v>
      </c>
      <c r="B60" s="2" t="s">
        <v>15</v>
      </c>
      <c r="C60" s="2" t="s">
        <v>25</v>
      </c>
      <c r="D60">
        <v>1767</v>
      </c>
      <c r="E60">
        <v>91</v>
      </c>
      <c r="F60">
        <v>247</v>
      </c>
      <c r="G60">
        <f>IF(AND(C59=kursy7[[#This Row],[Poczatek]],A59+DATE(1900,1,1)=kursy7[[#This Row],[Data]]),G59+1,1)</f>
        <v>1</v>
      </c>
    </row>
    <row r="61" spans="1:7" x14ac:dyDescent="0.25">
      <c r="A61" s="1">
        <v>42812</v>
      </c>
      <c r="B61" s="2" t="s">
        <v>44</v>
      </c>
      <c r="C61" s="2" t="s">
        <v>45</v>
      </c>
      <c r="D61">
        <v>2929</v>
      </c>
      <c r="E61">
        <v>152</v>
      </c>
      <c r="F61">
        <v>278</v>
      </c>
      <c r="G61">
        <f>IF(AND(C60=kursy7[[#This Row],[Poczatek]],A60+DATE(1900,1,1)=kursy7[[#This Row],[Data]]),G60+1,1)</f>
        <v>1</v>
      </c>
    </row>
    <row r="62" spans="1:7" x14ac:dyDescent="0.25">
      <c r="A62" s="1">
        <v>42813</v>
      </c>
      <c r="B62" s="2" t="s">
        <v>45</v>
      </c>
      <c r="C62" s="2" t="s">
        <v>46</v>
      </c>
      <c r="D62">
        <v>2151</v>
      </c>
      <c r="E62">
        <v>177</v>
      </c>
      <c r="F62">
        <v>365</v>
      </c>
      <c r="G62">
        <f>IF(AND(C61=kursy7[[#This Row],[Poczatek]],A61+DATE(1900,1,1)=kursy7[[#This Row],[Data]]),G61+1,1)</f>
        <v>2</v>
      </c>
    </row>
    <row r="63" spans="1:7" x14ac:dyDescent="0.25">
      <c r="A63" s="1">
        <v>42814</v>
      </c>
      <c r="B63" s="2" t="s">
        <v>46</v>
      </c>
      <c r="C63" s="2" t="s">
        <v>47</v>
      </c>
      <c r="D63">
        <v>2431</v>
      </c>
      <c r="E63">
        <v>96</v>
      </c>
      <c r="F63">
        <v>409</v>
      </c>
      <c r="G63">
        <f>IF(AND(C62=kursy7[[#This Row],[Poczatek]],A62+DATE(1900,1,1)=kursy7[[#This Row],[Data]]),G62+1,1)</f>
        <v>3</v>
      </c>
    </row>
    <row r="64" spans="1:7" x14ac:dyDescent="0.25">
      <c r="A64" s="1">
        <v>42815</v>
      </c>
      <c r="B64" s="2" t="s">
        <v>34</v>
      </c>
      <c r="C64" s="2" t="s">
        <v>46</v>
      </c>
      <c r="D64">
        <v>1168</v>
      </c>
      <c r="E64">
        <v>143</v>
      </c>
      <c r="F64">
        <v>501</v>
      </c>
      <c r="G64">
        <f>IF(AND(C63=kursy7[[#This Row],[Poczatek]],A63+DATE(1900,1,1)=kursy7[[#This Row],[Data]]),G63+1,1)</f>
        <v>1</v>
      </c>
    </row>
    <row r="65" spans="1:7" x14ac:dyDescent="0.25">
      <c r="A65" s="1">
        <v>42816</v>
      </c>
      <c r="B65" s="2" t="s">
        <v>46</v>
      </c>
      <c r="C65" s="2" t="s">
        <v>19</v>
      </c>
      <c r="D65">
        <v>4251</v>
      </c>
      <c r="E65">
        <v>122</v>
      </c>
      <c r="F65">
        <v>227</v>
      </c>
      <c r="G65">
        <f>IF(AND(C64=kursy7[[#This Row],[Poczatek]],A64+DATE(1900,1,1)=kursy7[[#This Row],[Data]]),G64+1,1)</f>
        <v>2</v>
      </c>
    </row>
    <row r="66" spans="1:7" x14ac:dyDescent="0.25">
      <c r="A66" s="1">
        <v>42817</v>
      </c>
      <c r="B66" s="2" t="s">
        <v>19</v>
      </c>
      <c r="C66" s="2" t="s">
        <v>16</v>
      </c>
      <c r="D66">
        <v>4347</v>
      </c>
      <c r="E66">
        <v>117</v>
      </c>
      <c r="F66">
        <v>158</v>
      </c>
      <c r="G66">
        <f>IF(AND(C65=kursy7[[#This Row],[Poczatek]],A65+DATE(1900,1,1)=kursy7[[#This Row],[Data]]),G65+1,1)</f>
        <v>3</v>
      </c>
    </row>
    <row r="67" spans="1:7" x14ac:dyDescent="0.25">
      <c r="A67" s="1">
        <v>42818</v>
      </c>
      <c r="B67" s="2" t="s">
        <v>16</v>
      </c>
      <c r="C67" s="2" t="s">
        <v>41</v>
      </c>
      <c r="D67">
        <v>5287</v>
      </c>
      <c r="E67">
        <v>127</v>
      </c>
      <c r="F67">
        <v>495</v>
      </c>
      <c r="G67">
        <f>IF(AND(C66=kursy7[[#This Row],[Poczatek]],A66+DATE(1900,1,1)=kursy7[[#This Row],[Data]]),G66+1,1)</f>
        <v>4</v>
      </c>
    </row>
    <row r="68" spans="1:7" x14ac:dyDescent="0.25">
      <c r="A68" s="1">
        <v>42820</v>
      </c>
      <c r="B68" s="2" t="s">
        <v>17</v>
      </c>
      <c r="C68" s="2" t="s">
        <v>18</v>
      </c>
      <c r="D68">
        <v>5177</v>
      </c>
      <c r="E68">
        <v>147</v>
      </c>
      <c r="F68">
        <v>443</v>
      </c>
      <c r="G68">
        <f>IF(AND(C67=kursy7[[#This Row],[Poczatek]],A67+DATE(1900,1,1)=kursy7[[#This Row],[Data]]),G67+1,1)</f>
        <v>1</v>
      </c>
    </row>
    <row r="69" spans="1:7" x14ac:dyDescent="0.25">
      <c r="A69" s="1">
        <v>42821</v>
      </c>
      <c r="B69" s="2" t="s">
        <v>15</v>
      </c>
      <c r="C69" s="2" t="s">
        <v>26</v>
      </c>
      <c r="D69">
        <v>3858</v>
      </c>
      <c r="E69">
        <v>155</v>
      </c>
      <c r="F69">
        <v>261</v>
      </c>
      <c r="G69">
        <f>IF(AND(C68=kursy7[[#This Row],[Poczatek]],A68+DATE(1900,1,1)=kursy7[[#This Row],[Data]]),G68+1,1)</f>
        <v>1</v>
      </c>
    </row>
    <row r="70" spans="1:7" x14ac:dyDescent="0.25">
      <c r="A70" s="1">
        <v>42822</v>
      </c>
      <c r="B70" s="2" t="s">
        <v>26</v>
      </c>
      <c r="C70" s="2" t="s">
        <v>48</v>
      </c>
      <c r="D70">
        <v>4637</v>
      </c>
      <c r="E70">
        <v>116</v>
      </c>
      <c r="F70">
        <v>242</v>
      </c>
      <c r="G70">
        <f>IF(AND(C69=kursy7[[#This Row],[Poczatek]],A69+DATE(1900,1,1)=kursy7[[#This Row],[Data]]),G69+1,1)</f>
        <v>2</v>
      </c>
    </row>
    <row r="71" spans="1:7" x14ac:dyDescent="0.25">
      <c r="A71" s="1">
        <v>42823</v>
      </c>
      <c r="B71" s="2" t="s">
        <v>48</v>
      </c>
      <c r="C71" s="2" t="s">
        <v>14</v>
      </c>
      <c r="D71">
        <v>5212</v>
      </c>
      <c r="E71">
        <v>123</v>
      </c>
      <c r="F71">
        <v>517</v>
      </c>
      <c r="G71">
        <f>IF(AND(C70=kursy7[[#This Row],[Poczatek]],A70+DATE(1900,1,1)=kursy7[[#This Row],[Data]]),G70+1,1)</f>
        <v>3</v>
      </c>
    </row>
    <row r="72" spans="1:7" x14ac:dyDescent="0.25">
      <c r="A72" s="1">
        <v>42824</v>
      </c>
      <c r="B72" s="2" t="s">
        <v>14</v>
      </c>
      <c r="C72" s="2" t="s">
        <v>40</v>
      </c>
      <c r="D72">
        <v>1099</v>
      </c>
      <c r="E72">
        <v>128</v>
      </c>
      <c r="F72">
        <v>205</v>
      </c>
      <c r="G72">
        <f>IF(AND(C71=kursy7[[#This Row],[Poczatek]],A71+DATE(1900,1,1)=kursy7[[#This Row],[Data]]),G71+1,1)</f>
        <v>4</v>
      </c>
    </row>
    <row r="73" spans="1:7" x14ac:dyDescent="0.25">
      <c r="A73" s="1">
        <v>42825</v>
      </c>
      <c r="B73" s="2" t="s">
        <v>40</v>
      </c>
      <c r="C73" s="2" t="s">
        <v>41</v>
      </c>
      <c r="D73">
        <v>4422</v>
      </c>
      <c r="E73">
        <v>105</v>
      </c>
      <c r="F73">
        <v>145</v>
      </c>
      <c r="G73">
        <f>IF(AND(C72=kursy7[[#This Row],[Poczatek]],A72+DATE(1900,1,1)=kursy7[[#This Row],[Data]]),G72+1,1)</f>
        <v>5</v>
      </c>
    </row>
    <row r="74" spans="1:7" x14ac:dyDescent="0.25">
      <c r="A74" s="1">
        <v>42827</v>
      </c>
      <c r="B74" s="2" t="s">
        <v>33</v>
      </c>
      <c r="C74" s="2" t="s">
        <v>38</v>
      </c>
      <c r="D74">
        <v>2742</v>
      </c>
      <c r="E74">
        <v>109</v>
      </c>
      <c r="F74">
        <v>117</v>
      </c>
      <c r="G74">
        <f>IF(AND(C73=kursy7[[#This Row],[Poczatek]],A73+DATE(1900,1,1)=kursy7[[#This Row],[Data]]),G73+1,1)</f>
        <v>1</v>
      </c>
    </row>
    <row r="75" spans="1:7" x14ac:dyDescent="0.25">
      <c r="A75" s="1">
        <v>42828</v>
      </c>
      <c r="B75" s="2" t="s">
        <v>38</v>
      </c>
      <c r="C75" s="2" t="s">
        <v>33</v>
      </c>
      <c r="D75">
        <v>2100</v>
      </c>
      <c r="E75">
        <v>115</v>
      </c>
      <c r="F75">
        <v>172</v>
      </c>
      <c r="G75">
        <f>IF(AND(C74=kursy7[[#This Row],[Poczatek]],A74+DATE(1900,1,1)=kursy7[[#This Row],[Data]]),G74+1,1)</f>
        <v>2</v>
      </c>
    </row>
    <row r="76" spans="1:7" x14ac:dyDescent="0.25">
      <c r="A76" s="1">
        <v>42829</v>
      </c>
      <c r="B76" s="2" t="s">
        <v>33</v>
      </c>
      <c r="C76" s="2" t="s">
        <v>38</v>
      </c>
      <c r="D76">
        <v>5626</v>
      </c>
      <c r="E76">
        <v>123</v>
      </c>
      <c r="F76">
        <v>377</v>
      </c>
      <c r="G76">
        <f>IF(AND(C75=kursy7[[#This Row],[Poczatek]],A75+DATE(1900,1,1)=kursy7[[#This Row],[Data]]),G75+1,1)</f>
        <v>3</v>
      </c>
    </row>
    <row r="77" spans="1:7" x14ac:dyDescent="0.25">
      <c r="A77" s="1">
        <v>42830</v>
      </c>
      <c r="B77" s="2" t="s">
        <v>38</v>
      </c>
      <c r="C77" s="2" t="s">
        <v>33</v>
      </c>
      <c r="D77">
        <v>1629</v>
      </c>
      <c r="E77">
        <v>109</v>
      </c>
      <c r="F77">
        <v>258</v>
      </c>
      <c r="G77">
        <f>IF(AND(C76=kursy7[[#This Row],[Poczatek]],A76+DATE(1900,1,1)=kursy7[[#This Row],[Data]]),G76+1,1)</f>
        <v>4</v>
      </c>
    </row>
    <row r="78" spans="1:7" x14ac:dyDescent="0.25">
      <c r="A78" s="1">
        <v>42831</v>
      </c>
      <c r="B78" s="2" t="s">
        <v>33</v>
      </c>
      <c r="C78" s="2" t="s">
        <v>49</v>
      </c>
      <c r="D78">
        <v>4787</v>
      </c>
      <c r="E78">
        <v>155</v>
      </c>
      <c r="F78">
        <v>354</v>
      </c>
      <c r="G78">
        <f>IF(AND(C77=kursy7[[#This Row],[Poczatek]],A77+DATE(1900,1,1)=kursy7[[#This Row],[Data]]),G77+1,1)</f>
        <v>5</v>
      </c>
    </row>
    <row r="79" spans="1:7" x14ac:dyDescent="0.25">
      <c r="A79" s="1">
        <v>42832</v>
      </c>
      <c r="B79" s="2" t="s">
        <v>50</v>
      </c>
      <c r="C79" s="2" t="s">
        <v>45</v>
      </c>
      <c r="D79">
        <v>4678</v>
      </c>
      <c r="E79">
        <v>182</v>
      </c>
      <c r="F79">
        <v>254</v>
      </c>
      <c r="G79">
        <f>IF(AND(C78=kursy7[[#This Row],[Poczatek]],A78+DATE(1900,1,1)=kursy7[[#This Row],[Data]]),G78+1,1)</f>
        <v>1</v>
      </c>
    </row>
    <row r="80" spans="1:7" x14ac:dyDescent="0.25">
      <c r="A80" s="1">
        <v>42833</v>
      </c>
      <c r="B80" s="2" t="s">
        <v>45</v>
      </c>
      <c r="C80" s="2" t="s">
        <v>44</v>
      </c>
      <c r="D80">
        <v>5869</v>
      </c>
      <c r="E80">
        <v>152</v>
      </c>
      <c r="F80">
        <v>599</v>
      </c>
      <c r="G80">
        <f>IF(AND(C79=kursy7[[#This Row],[Poczatek]],A79+DATE(1900,1,1)=kursy7[[#This Row],[Data]]),G79+1,1)</f>
        <v>2</v>
      </c>
    </row>
    <row r="81" spans="1:7" x14ac:dyDescent="0.25">
      <c r="A81" s="1">
        <v>42834</v>
      </c>
      <c r="B81" s="2" t="s">
        <v>51</v>
      </c>
      <c r="C81" s="2" t="s">
        <v>44</v>
      </c>
      <c r="D81">
        <v>2678</v>
      </c>
      <c r="E81">
        <v>178</v>
      </c>
      <c r="F81">
        <v>481</v>
      </c>
      <c r="G81">
        <f>IF(AND(C80=kursy7[[#This Row],[Poczatek]],A80+DATE(1900,1,1)=kursy7[[#This Row],[Data]]),G80+1,1)</f>
        <v>1</v>
      </c>
    </row>
    <row r="82" spans="1:7" x14ac:dyDescent="0.25">
      <c r="A82" s="1">
        <v>42835</v>
      </c>
      <c r="B82" s="2" t="s">
        <v>20</v>
      </c>
      <c r="C82" s="2" t="s">
        <v>43</v>
      </c>
      <c r="D82">
        <v>3193</v>
      </c>
      <c r="E82">
        <v>241</v>
      </c>
      <c r="F82">
        <v>507</v>
      </c>
      <c r="G82">
        <f>IF(AND(C81=kursy7[[#This Row],[Poczatek]],A81+DATE(1900,1,1)=kursy7[[#This Row],[Data]]),G81+1,1)</f>
        <v>1</v>
      </c>
    </row>
    <row r="83" spans="1:7" x14ac:dyDescent="0.25">
      <c r="A83" s="1">
        <v>42836</v>
      </c>
      <c r="B83" s="2" t="s">
        <v>27</v>
      </c>
      <c r="C83" s="2" t="s">
        <v>25</v>
      </c>
      <c r="D83">
        <v>1011</v>
      </c>
      <c r="E83">
        <v>211</v>
      </c>
      <c r="F83">
        <v>536</v>
      </c>
      <c r="G83">
        <f>IF(AND(C82=kursy7[[#This Row],[Poczatek]],A82+DATE(1900,1,1)=kursy7[[#This Row],[Data]]),G82+1,1)</f>
        <v>1</v>
      </c>
    </row>
    <row r="84" spans="1:7" x14ac:dyDescent="0.25">
      <c r="A84" s="1">
        <v>42837</v>
      </c>
      <c r="B84" s="2" t="s">
        <v>25</v>
      </c>
      <c r="C84" s="2" t="s">
        <v>23</v>
      </c>
      <c r="D84">
        <v>3398</v>
      </c>
      <c r="E84">
        <v>122</v>
      </c>
      <c r="F84">
        <v>163</v>
      </c>
      <c r="G84">
        <f>IF(AND(C83=kursy7[[#This Row],[Poczatek]],A83+DATE(1900,1,1)=kursy7[[#This Row],[Data]]),G83+1,1)</f>
        <v>2</v>
      </c>
    </row>
    <row r="85" spans="1:7" x14ac:dyDescent="0.25">
      <c r="A85" s="1">
        <v>42839</v>
      </c>
      <c r="B85" s="2" t="s">
        <v>52</v>
      </c>
      <c r="C85" s="2" t="s">
        <v>53</v>
      </c>
      <c r="D85">
        <v>5416</v>
      </c>
      <c r="E85">
        <v>156</v>
      </c>
      <c r="F85">
        <v>349</v>
      </c>
      <c r="G85">
        <f>IF(AND(C84=kursy7[[#This Row],[Poczatek]],A84+DATE(1900,1,1)=kursy7[[#This Row],[Data]]),G84+1,1)</f>
        <v>1</v>
      </c>
    </row>
    <row r="86" spans="1:7" x14ac:dyDescent="0.25">
      <c r="A86" s="1">
        <v>42840</v>
      </c>
      <c r="B86" s="2" t="s">
        <v>9</v>
      </c>
      <c r="C86" s="2" t="s">
        <v>54</v>
      </c>
      <c r="D86">
        <v>3914</v>
      </c>
      <c r="E86">
        <v>417</v>
      </c>
      <c r="F86">
        <v>888</v>
      </c>
      <c r="G86">
        <f>IF(AND(C85=kursy7[[#This Row],[Poczatek]],A85+DATE(1900,1,1)=kursy7[[#This Row],[Data]]),G85+1,1)</f>
        <v>1</v>
      </c>
    </row>
    <row r="87" spans="1:7" x14ac:dyDescent="0.25">
      <c r="A87" s="1">
        <v>42841</v>
      </c>
      <c r="B87" s="2" t="s">
        <v>54</v>
      </c>
      <c r="C87" s="2" t="s">
        <v>47</v>
      </c>
      <c r="D87">
        <v>5805</v>
      </c>
      <c r="E87">
        <v>145</v>
      </c>
      <c r="F87">
        <v>301</v>
      </c>
      <c r="G87">
        <f>IF(AND(C86=kursy7[[#This Row],[Poczatek]],A86+DATE(1900,1,1)=kursy7[[#This Row],[Data]]),G86+1,1)</f>
        <v>2</v>
      </c>
    </row>
    <row r="88" spans="1:7" x14ac:dyDescent="0.25">
      <c r="A88" s="1">
        <v>42842</v>
      </c>
      <c r="B88" s="2" t="s">
        <v>47</v>
      </c>
      <c r="C88" s="2" t="s">
        <v>54</v>
      </c>
      <c r="D88">
        <v>4033</v>
      </c>
      <c r="E88">
        <v>136</v>
      </c>
      <c r="F88">
        <v>297</v>
      </c>
      <c r="G88">
        <f>IF(AND(C87=kursy7[[#This Row],[Poczatek]],A87+DATE(1900,1,1)=kursy7[[#This Row],[Data]]),G87+1,1)</f>
        <v>3</v>
      </c>
    </row>
    <row r="89" spans="1:7" x14ac:dyDescent="0.25">
      <c r="A89" s="1">
        <v>42844</v>
      </c>
      <c r="B89" s="2" t="s">
        <v>44</v>
      </c>
      <c r="C89" s="2" t="s">
        <v>55</v>
      </c>
      <c r="D89">
        <v>1021</v>
      </c>
      <c r="E89">
        <v>184</v>
      </c>
      <c r="F89">
        <v>660</v>
      </c>
      <c r="G89">
        <f>IF(AND(C88=kursy7[[#This Row],[Poczatek]],A88+DATE(1900,1,1)=kursy7[[#This Row],[Data]]),G88+1,1)</f>
        <v>1</v>
      </c>
    </row>
    <row r="90" spans="1:7" x14ac:dyDescent="0.25">
      <c r="A90" s="1">
        <v>42846</v>
      </c>
      <c r="B90" s="2" t="s">
        <v>56</v>
      </c>
      <c r="C90" s="2" t="s">
        <v>45</v>
      </c>
      <c r="D90">
        <v>5162</v>
      </c>
      <c r="E90">
        <v>17</v>
      </c>
      <c r="F90">
        <v>28</v>
      </c>
      <c r="G90">
        <f>IF(AND(C89=kursy7[[#This Row],[Poczatek]],A89+DATE(1900,1,1)=kursy7[[#This Row],[Data]]),G89+1,1)</f>
        <v>1</v>
      </c>
    </row>
    <row r="91" spans="1:7" x14ac:dyDescent="0.25">
      <c r="A91" s="1">
        <v>42847</v>
      </c>
      <c r="B91" s="2" t="s">
        <v>45</v>
      </c>
      <c r="C91" s="2" t="s">
        <v>44</v>
      </c>
      <c r="D91">
        <v>2050</v>
      </c>
      <c r="E91">
        <v>162</v>
      </c>
      <c r="F91">
        <v>569</v>
      </c>
      <c r="G91">
        <f>IF(AND(C90=kursy7[[#This Row],[Poczatek]],A90+DATE(1900,1,1)=kursy7[[#This Row],[Data]]),G90+1,1)</f>
        <v>2</v>
      </c>
    </row>
    <row r="92" spans="1:7" x14ac:dyDescent="0.25">
      <c r="A92" s="1">
        <v>42849</v>
      </c>
      <c r="B92" s="2" t="s">
        <v>43</v>
      </c>
      <c r="C92" s="2" t="s">
        <v>37</v>
      </c>
      <c r="D92">
        <v>5312</v>
      </c>
      <c r="E92">
        <v>153</v>
      </c>
      <c r="F92">
        <v>356</v>
      </c>
      <c r="G92">
        <f>IF(AND(C91=kursy7[[#This Row],[Poczatek]],A91+DATE(1900,1,1)=kursy7[[#This Row],[Data]]),G91+1,1)</f>
        <v>1</v>
      </c>
    </row>
    <row r="93" spans="1:7" x14ac:dyDescent="0.25">
      <c r="A93" s="1">
        <v>42851</v>
      </c>
      <c r="B93" s="2" t="s">
        <v>23</v>
      </c>
      <c r="C93" s="2" t="s">
        <v>42</v>
      </c>
      <c r="D93">
        <v>2443</v>
      </c>
      <c r="E93">
        <v>392</v>
      </c>
      <c r="F93">
        <v>1392</v>
      </c>
      <c r="G93">
        <f>IF(AND(C92=kursy7[[#This Row],[Poczatek]],A92+DATE(1900,1,1)=kursy7[[#This Row],[Data]]),G92+1,1)</f>
        <v>1</v>
      </c>
    </row>
    <row r="94" spans="1:7" x14ac:dyDescent="0.25">
      <c r="A94" s="1">
        <v>42853</v>
      </c>
      <c r="B94" s="2" t="s">
        <v>56</v>
      </c>
      <c r="C94" s="2" t="s">
        <v>50</v>
      </c>
      <c r="D94">
        <v>1161</v>
      </c>
      <c r="E94">
        <v>174</v>
      </c>
      <c r="F94">
        <v>323</v>
      </c>
      <c r="G94">
        <f>IF(AND(C93=kursy7[[#This Row],[Poczatek]],A93+DATE(1900,1,1)=kursy7[[#This Row],[Data]]),G93+1,1)</f>
        <v>1</v>
      </c>
    </row>
    <row r="95" spans="1:7" x14ac:dyDescent="0.25">
      <c r="A95" s="1">
        <v>42854</v>
      </c>
      <c r="B95" s="2" t="s">
        <v>50</v>
      </c>
      <c r="C95" s="2" t="s">
        <v>17</v>
      </c>
      <c r="D95">
        <v>3435</v>
      </c>
      <c r="E95">
        <v>146</v>
      </c>
      <c r="F95">
        <v>530</v>
      </c>
      <c r="G95">
        <f>IF(AND(C94=kursy7[[#This Row],[Poczatek]],A94+DATE(1900,1,1)=kursy7[[#This Row],[Data]]),G94+1,1)</f>
        <v>2</v>
      </c>
    </row>
    <row r="96" spans="1:7" x14ac:dyDescent="0.25">
      <c r="A96" s="1">
        <v>42855</v>
      </c>
      <c r="B96" s="2" t="s">
        <v>57</v>
      </c>
      <c r="C96" s="2" t="s">
        <v>32</v>
      </c>
      <c r="D96">
        <v>3358</v>
      </c>
      <c r="E96">
        <v>168</v>
      </c>
      <c r="F96">
        <v>569</v>
      </c>
      <c r="G96">
        <f>IF(AND(C95=kursy7[[#This Row],[Poczatek]],A95+DATE(1900,1,1)=kursy7[[#This Row],[Data]]),G95+1,1)</f>
        <v>1</v>
      </c>
    </row>
    <row r="97" spans="1:7" x14ac:dyDescent="0.25">
      <c r="A97" s="1">
        <v>42856</v>
      </c>
      <c r="B97" s="2" t="s">
        <v>52</v>
      </c>
      <c r="C97" s="2" t="s">
        <v>58</v>
      </c>
      <c r="D97">
        <v>2719</v>
      </c>
      <c r="E97">
        <v>152</v>
      </c>
      <c r="F97">
        <v>240</v>
      </c>
      <c r="G97">
        <f>IF(AND(C96=kursy7[[#This Row],[Poczatek]],A96+DATE(1900,1,1)=kursy7[[#This Row],[Data]]),G96+1,1)</f>
        <v>1</v>
      </c>
    </row>
    <row r="98" spans="1:7" x14ac:dyDescent="0.25">
      <c r="A98" s="1">
        <v>42857</v>
      </c>
      <c r="B98" s="2" t="s">
        <v>58</v>
      </c>
      <c r="C98" s="2" t="s">
        <v>23</v>
      </c>
      <c r="D98">
        <v>1793</v>
      </c>
      <c r="E98">
        <v>197</v>
      </c>
      <c r="F98">
        <v>754</v>
      </c>
      <c r="G98">
        <f>IF(AND(C97=kursy7[[#This Row],[Poczatek]],A97+DATE(1900,1,1)=kursy7[[#This Row],[Data]]),G97+1,1)</f>
        <v>2</v>
      </c>
    </row>
    <row r="99" spans="1:7" x14ac:dyDescent="0.25">
      <c r="A99" s="1">
        <v>42860</v>
      </c>
      <c r="B99" s="2" t="s">
        <v>19</v>
      </c>
      <c r="C99" s="2" t="s">
        <v>29</v>
      </c>
      <c r="D99">
        <v>1858</v>
      </c>
      <c r="E99">
        <v>104</v>
      </c>
      <c r="F99">
        <v>171</v>
      </c>
      <c r="G99">
        <f>IF(AND(C98=kursy7[[#This Row],[Poczatek]],A98+DATE(1900,1,1)=kursy7[[#This Row],[Data]]),G98+1,1)</f>
        <v>1</v>
      </c>
    </row>
    <row r="100" spans="1:7" x14ac:dyDescent="0.25">
      <c r="A100" s="1">
        <v>42861</v>
      </c>
      <c r="B100" s="2" t="s">
        <v>29</v>
      </c>
      <c r="C100" s="2" t="s">
        <v>19</v>
      </c>
      <c r="D100">
        <v>4651</v>
      </c>
      <c r="E100">
        <v>111</v>
      </c>
      <c r="F100">
        <v>190</v>
      </c>
      <c r="G100">
        <f>IF(AND(C99=kursy7[[#This Row],[Poczatek]],A99+DATE(1900,1,1)=kursy7[[#This Row],[Data]]),G99+1,1)</f>
        <v>2</v>
      </c>
    </row>
    <row r="101" spans="1:7" x14ac:dyDescent="0.25">
      <c r="A101" s="1">
        <v>42862</v>
      </c>
      <c r="B101" s="2" t="s">
        <v>19</v>
      </c>
      <c r="C101" s="2" t="s">
        <v>29</v>
      </c>
      <c r="D101">
        <v>2929</v>
      </c>
      <c r="E101">
        <v>111</v>
      </c>
      <c r="F101">
        <v>395</v>
      </c>
      <c r="G101">
        <f>IF(AND(C100=kursy7[[#This Row],[Poczatek]],A100+DATE(1900,1,1)=kursy7[[#This Row],[Data]]),G100+1,1)</f>
        <v>3</v>
      </c>
    </row>
    <row r="102" spans="1:7" x14ac:dyDescent="0.25">
      <c r="A102" s="1">
        <v>42863</v>
      </c>
      <c r="B102" s="2" t="s">
        <v>29</v>
      </c>
      <c r="C102" s="2" t="s">
        <v>28</v>
      </c>
      <c r="D102">
        <v>2608</v>
      </c>
      <c r="E102">
        <v>123</v>
      </c>
      <c r="F102">
        <v>223</v>
      </c>
      <c r="G102">
        <f>IF(AND(C101=kursy7[[#This Row],[Poczatek]],A101+DATE(1900,1,1)=kursy7[[#This Row],[Data]]),G101+1,1)</f>
        <v>4</v>
      </c>
    </row>
    <row r="103" spans="1:7" x14ac:dyDescent="0.25">
      <c r="A103" s="1">
        <v>42864</v>
      </c>
      <c r="B103" s="2" t="s">
        <v>28</v>
      </c>
      <c r="C103" s="2" t="s">
        <v>14</v>
      </c>
      <c r="D103">
        <v>3094</v>
      </c>
      <c r="E103">
        <v>107</v>
      </c>
      <c r="F103">
        <v>143</v>
      </c>
      <c r="G103">
        <f>IF(AND(C102=kursy7[[#This Row],[Poczatek]],A102+DATE(1900,1,1)=kursy7[[#This Row],[Data]]),G102+1,1)</f>
        <v>5</v>
      </c>
    </row>
    <row r="104" spans="1:7" x14ac:dyDescent="0.25">
      <c r="A104" s="1">
        <v>42867</v>
      </c>
      <c r="B104" s="2" t="s">
        <v>19</v>
      </c>
      <c r="C104" s="2" t="s">
        <v>59</v>
      </c>
      <c r="D104">
        <v>5288</v>
      </c>
      <c r="E104">
        <v>107</v>
      </c>
      <c r="F104">
        <v>312</v>
      </c>
      <c r="G104">
        <f>IF(AND(C103=kursy7[[#This Row],[Poczatek]],A103+DATE(1900,1,1)=kursy7[[#This Row],[Data]]),G103+1,1)</f>
        <v>1</v>
      </c>
    </row>
    <row r="105" spans="1:7" x14ac:dyDescent="0.25">
      <c r="A105" s="1">
        <v>42868</v>
      </c>
      <c r="B105" s="2" t="s">
        <v>43</v>
      </c>
      <c r="C105" s="2" t="s">
        <v>28</v>
      </c>
      <c r="D105">
        <v>4888</v>
      </c>
      <c r="E105">
        <v>182</v>
      </c>
      <c r="F105">
        <v>248</v>
      </c>
      <c r="G105">
        <f>IF(AND(C104=kursy7[[#This Row],[Poczatek]],A104+DATE(1900,1,1)=kursy7[[#This Row],[Data]]),G104+1,1)</f>
        <v>1</v>
      </c>
    </row>
    <row r="106" spans="1:7" x14ac:dyDescent="0.25">
      <c r="A106" s="1">
        <v>42869</v>
      </c>
      <c r="B106" s="2" t="s">
        <v>28</v>
      </c>
      <c r="C106" s="2" t="s">
        <v>60</v>
      </c>
      <c r="D106">
        <v>5475</v>
      </c>
      <c r="E106">
        <v>129</v>
      </c>
      <c r="F106">
        <v>200</v>
      </c>
      <c r="G106">
        <f>IF(AND(C105=kursy7[[#This Row],[Poczatek]],A105+DATE(1900,1,1)=kursy7[[#This Row],[Data]]),G105+1,1)</f>
        <v>2</v>
      </c>
    </row>
    <row r="107" spans="1:7" x14ac:dyDescent="0.25">
      <c r="A107" s="1">
        <v>42870</v>
      </c>
      <c r="B107" s="2" t="s">
        <v>60</v>
      </c>
      <c r="C107" s="2" t="s">
        <v>47</v>
      </c>
      <c r="D107">
        <v>4863</v>
      </c>
      <c r="E107">
        <v>141</v>
      </c>
      <c r="F107">
        <v>444</v>
      </c>
      <c r="G107">
        <f>IF(AND(C106=kursy7[[#This Row],[Poczatek]],A106+DATE(1900,1,1)=kursy7[[#This Row],[Data]]),G106+1,1)</f>
        <v>3</v>
      </c>
    </row>
    <row r="108" spans="1:7" x14ac:dyDescent="0.25">
      <c r="A108" s="1">
        <v>42872</v>
      </c>
      <c r="B108" s="2" t="s">
        <v>29</v>
      </c>
      <c r="C108" s="2" t="s">
        <v>56</v>
      </c>
      <c r="D108">
        <v>5933</v>
      </c>
      <c r="E108">
        <v>335</v>
      </c>
      <c r="F108">
        <v>479</v>
      </c>
      <c r="G108">
        <f>IF(AND(C107=kursy7[[#This Row],[Poczatek]],A107+DATE(1900,1,1)=kursy7[[#This Row],[Data]]),G107+1,1)</f>
        <v>1</v>
      </c>
    </row>
    <row r="109" spans="1:7" x14ac:dyDescent="0.25">
      <c r="A109" s="1">
        <v>42873</v>
      </c>
      <c r="B109" s="2" t="s">
        <v>59</v>
      </c>
      <c r="C109" s="2" t="s">
        <v>61</v>
      </c>
      <c r="D109">
        <v>1730</v>
      </c>
      <c r="E109">
        <v>410</v>
      </c>
      <c r="F109">
        <v>1087</v>
      </c>
      <c r="G109">
        <f>IF(AND(C108=kursy7[[#This Row],[Poczatek]],A108+DATE(1900,1,1)=kursy7[[#This Row],[Data]]),G108+1,1)</f>
        <v>1</v>
      </c>
    </row>
    <row r="110" spans="1:7" x14ac:dyDescent="0.25">
      <c r="A110" s="1">
        <v>42874</v>
      </c>
      <c r="B110" s="2" t="s">
        <v>61</v>
      </c>
      <c r="C110" s="2" t="s">
        <v>15</v>
      </c>
      <c r="D110">
        <v>3178</v>
      </c>
      <c r="E110">
        <v>171</v>
      </c>
      <c r="F110">
        <v>646</v>
      </c>
      <c r="G110">
        <f>IF(AND(C109=kursy7[[#This Row],[Poczatek]],A109+DATE(1900,1,1)=kursy7[[#This Row],[Data]]),G109+1,1)</f>
        <v>2</v>
      </c>
    </row>
    <row r="111" spans="1:7" x14ac:dyDescent="0.25">
      <c r="A111" s="1">
        <v>42877</v>
      </c>
      <c r="B111" s="2" t="s">
        <v>29</v>
      </c>
      <c r="C111" s="2" t="s">
        <v>41</v>
      </c>
      <c r="D111">
        <v>3983</v>
      </c>
      <c r="E111">
        <v>153</v>
      </c>
      <c r="F111">
        <v>175</v>
      </c>
      <c r="G111">
        <f>IF(AND(C110=kursy7[[#This Row],[Poczatek]],A110+DATE(1900,1,1)=kursy7[[#This Row],[Data]]),G110+1,1)</f>
        <v>1</v>
      </c>
    </row>
    <row r="112" spans="1:7" x14ac:dyDescent="0.25">
      <c r="A112" s="1">
        <v>42878</v>
      </c>
      <c r="B112" s="2" t="s">
        <v>36</v>
      </c>
      <c r="C112" s="2" t="s">
        <v>13</v>
      </c>
      <c r="D112">
        <v>3007</v>
      </c>
      <c r="E112">
        <v>391</v>
      </c>
      <c r="F112">
        <v>1406</v>
      </c>
      <c r="G112">
        <f>IF(AND(C111=kursy7[[#This Row],[Poczatek]],A111+DATE(1900,1,1)=kursy7[[#This Row],[Data]]),G111+1,1)</f>
        <v>1</v>
      </c>
    </row>
    <row r="113" spans="1:7" x14ac:dyDescent="0.25">
      <c r="A113" s="1">
        <v>42879</v>
      </c>
      <c r="B113" s="2" t="s">
        <v>59</v>
      </c>
      <c r="C113" s="2" t="s">
        <v>18</v>
      </c>
      <c r="D113">
        <v>5832</v>
      </c>
      <c r="E113">
        <v>300</v>
      </c>
      <c r="F113">
        <v>453</v>
      </c>
      <c r="G113">
        <f>IF(AND(C112=kursy7[[#This Row],[Poczatek]],A112+DATE(1900,1,1)=kursy7[[#This Row],[Data]]),G112+1,1)</f>
        <v>1</v>
      </c>
    </row>
    <row r="114" spans="1:7" x14ac:dyDescent="0.25">
      <c r="A114" s="1">
        <v>42881</v>
      </c>
      <c r="B114" s="2" t="s">
        <v>35</v>
      </c>
      <c r="C114" s="2" t="s">
        <v>37</v>
      </c>
      <c r="D114">
        <v>3012</v>
      </c>
      <c r="E114">
        <v>148</v>
      </c>
      <c r="F114">
        <v>185</v>
      </c>
      <c r="G114">
        <f>IF(AND(C113=kursy7[[#This Row],[Poczatek]],A113+DATE(1900,1,1)=kursy7[[#This Row],[Data]]),G113+1,1)</f>
        <v>1</v>
      </c>
    </row>
    <row r="115" spans="1:7" x14ac:dyDescent="0.25">
      <c r="A115" s="1">
        <v>42882</v>
      </c>
      <c r="B115" s="2" t="s">
        <v>37</v>
      </c>
      <c r="C115" s="2" t="s">
        <v>57</v>
      </c>
      <c r="D115">
        <v>4508</v>
      </c>
      <c r="E115">
        <v>104</v>
      </c>
      <c r="F115">
        <v>399</v>
      </c>
      <c r="G115">
        <f>IF(AND(C114=kursy7[[#This Row],[Poczatek]],A114+DATE(1900,1,1)=kursy7[[#This Row],[Data]]),G114+1,1)</f>
        <v>2</v>
      </c>
    </row>
    <row r="116" spans="1:7" x14ac:dyDescent="0.25">
      <c r="A116" s="1">
        <v>42883</v>
      </c>
      <c r="B116" s="2" t="s">
        <v>9</v>
      </c>
      <c r="C116" s="2" t="s">
        <v>58</v>
      </c>
      <c r="D116">
        <v>1777</v>
      </c>
      <c r="E116">
        <v>552</v>
      </c>
      <c r="F116">
        <v>1964</v>
      </c>
      <c r="G116">
        <f>IF(AND(C115=kursy7[[#This Row],[Poczatek]],A115+DATE(1900,1,1)=kursy7[[#This Row],[Data]]),G115+1,1)</f>
        <v>1</v>
      </c>
    </row>
    <row r="117" spans="1:7" x14ac:dyDescent="0.25">
      <c r="A117" s="1">
        <v>42884</v>
      </c>
      <c r="B117" s="2" t="s">
        <v>58</v>
      </c>
      <c r="C117" s="2" t="s">
        <v>61</v>
      </c>
      <c r="D117">
        <v>4788</v>
      </c>
      <c r="E117">
        <v>203</v>
      </c>
      <c r="F117">
        <v>347</v>
      </c>
      <c r="G117">
        <f>IF(AND(C116=kursy7[[#This Row],[Poczatek]],A116+DATE(1900,1,1)=kursy7[[#This Row],[Data]]),G116+1,1)</f>
        <v>2</v>
      </c>
    </row>
    <row r="118" spans="1:7" x14ac:dyDescent="0.25">
      <c r="A118" s="1">
        <v>42885</v>
      </c>
      <c r="B118" s="2" t="s">
        <v>61</v>
      </c>
      <c r="C118" s="2" t="s">
        <v>62</v>
      </c>
      <c r="D118">
        <v>3035</v>
      </c>
      <c r="E118">
        <v>103</v>
      </c>
      <c r="F118">
        <v>376</v>
      </c>
      <c r="G118">
        <f>IF(AND(C117=kursy7[[#This Row],[Poczatek]],A117+DATE(1900,1,1)=kursy7[[#This Row],[Data]]),G117+1,1)</f>
        <v>3</v>
      </c>
    </row>
    <row r="119" spans="1:7" x14ac:dyDescent="0.25">
      <c r="A119" s="1">
        <v>42886</v>
      </c>
      <c r="B119" s="2" t="s">
        <v>62</v>
      </c>
      <c r="C119" s="2" t="s">
        <v>63</v>
      </c>
      <c r="D119">
        <v>3380</v>
      </c>
      <c r="E119">
        <v>155</v>
      </c>
      <c r="F119">
        <v>542</v>
      </c>
      <c r="G119">
        <f>IF(AND(C118=kursy7[[#This Row],[Poczatek]],A118+DATE(1900,1,1)=kursy7[[#This Row],[Data]]),G118+1,1)</f>
        <v>4</v>
      </c>
    </row>
    <row r="120" spans="1:7" x14ac:dyDescent="0.25">
      <c r="A120" s="1">
        <v>42887</v>
      </c>
      <c r="B120" s="2" t="s">
        <v>63</v>
      </c>
      <c r="C120" s="2" t="s">
        <v>64</v>
      </c>
      <c r="D120">
        <v>5014</v>
      </c>
      <c r="E120">
        <v>154</v>
      </c>
      <c r="F120">
        <v>577</v>
      </c>
      <c r="G120">
        <f>IF(AND(C119=kursy7[[#This Row],[Poczatek]],A119+DATE(1900,1,1)=kursy7[[#This Row],[Data]]),G119+1,1)</f>
        <v>5</v>
      </c>
    </row>
    <row r="121" spans="1:7" x14ac:dyDescent="0.25">
      <c r="A121" s="1">
        <v>42888</v>
      </c>
      <c r="B121" s="2" t="s">
        <v>64</v>
      </c>
      <c r="C121" s="2" t="s">
        <v>58</v>
      </c>
      <c r="D121">
        <v>1852</v>
      </c>
      <c r="E121">
        <v>110</v>
      </c>
      <c r="F121">
        <v>407</v>
      </c>
      <c r="G121">
        <f>IF(AND(C120=kursy7[[#This Row],[Poczatek]],A120+DATE(1900,1,1)=kursy7[[#This Row],[Data]]),G120+1,1)</f>
        <v>6</v>
      </c>
    </row>
    <row r="122" spans="1:7" x14ac:dyDescent="0.25">
      <c r="A122" s="1">
        <v>42890</v>
      </c>
      <c r="B122" s="2" t="s">
        <v>65</v>
      </c>
      <c r="C122" s="2" t="s">
        <v>11</v>
      </c>
      <c r="D122">
        <v>5493</v>
      </c>
      <c r="E122">
        <v>145</v>
      </c>
      <c r="F122">
        <v>168</v>
      </c>
      <c r="G122">
        <f>IF(AND(C121=kursy7[[#This Row],[Poczatek]],A121+DATE(1900,1,1)=kursy7[[#This Row],[Data]]),G121+1,1)</f>
        <v>1</v>
      </c>
    </row>
    <row r="123" spans="1:7" x14ac:dyDescent="0.25">
      <c r="A123" s="1">
        <v>42892</v>
      </c>
      <c r="B123" s="2" t="s">
        <v>51</v>
      </c>
      <c r="C123" s="2" t="s">
        <v>44</v>
      </c>
      <c r="D123">
        <v>5560</v>
      </c>
      <c r="E123">
        <v>187</v>
      </c>
      <c r="F123">
        <v>288</v>
      </c>
      <c r="G123">
        <f>IF(AND(C122=kursy7[[#This Row],[Poczatek]],A122+DATE(1900,1,1)=kursy7[[#This Row],[Data]]),G122+1,1)</f>
        <v>1</v>
      </c>
    </row>
    <row r="124" spans="1:7" x14ac:dyDescent="0.25">
      <c r="A124" s="1">
        <v>42893</v>
      </c>
      <c r="B124" s="2" t="s">
        <v>66</v>
      </c>
      <c r="C124" s="2" t="s">
        <v>67</v>
      </c>
      <c r="D124">
        <v>2571</v>
      </c>
      <c r="E124">
        <v>145</v>
      </c>
      <c r="F124">
        <v>567</v>
      </c>
      <c r="G124">
        <f>IF(AND(C123=kursy7[[#This Row],[Poczatek]],A123+DATE(1900,1,1)=kursy7[[#This Row],[Data]]),G123+1,1)</f>
        <v>1</v>
      </c>
    </row>
    <row r="125" spans="1:7" x14ac:dyDescent="0.25">
      <c r="A125" s="1">
        <v>42894</v>
      </c>
      <c r="B125" s="2" t="s">
        <v>67</v>
      </c>
      <c r="C125" s="2" t="s">
        <v>19</v>
      </c>
      <c r="D125">
        <v>3348</v>
      </c>
      <c r="E125">
        <v>111</v>
      </c>
      <c r="F125">
        <v>135</v>
      </c>
      <c r="G125">
        <f>IF(AND(C124=kursy7[[#This Row],[Poczatek]],A124+DATE(1900,1,1)=kursy7[[#This Row],[Data]]),G124+1,1)</f>
        <v>2</v>
      </c>
    </row>
    <row r="126" spans="1:7" x14ac:dyDescent="0.25">
      <c r="A126" s="1">
        <v>42895</v>
      </c>
      <c r="B126" s="2" t="s">
        <v>19</v>
      </c>
      <c r="C126" s="2" t="s">
        <v>46</v>
      </c>
      <c r="D126">
        <v>2906</v>
      </c>
      <c r="E126">
        <v>119</v>
      </c>
      <c r="F126">
        <v>398</v>
      </c>
      <c r="G126">
        <f>IF(AND(C125=kursy7[[#This Row],[Poczatek]],A125+DATE(1900,1,1)=kursy7[[#This Row],[Data]]),G125+1,1)</f>
        <v>3</v>
      </c>
    </row>
    <row r="127" spans="1:7" x14ac:dyDescent="0.25">
      <c r="A127" s="1">
        <v>42896</v>
      </c>
      <c r="B127" s="2" t="s">
        <v>46</v>
      </c>
      <c r="C127" s="2" t="s">
        <v>54</v>
      </c>
      <c r="D127">
        <v>5660</v>
      </c>
      <c r="E127">
        <v>137</v>
      </c>
      <c r="F127">
        <v>490</v>
      </c>
      <c r="G127">
        <f>IF(AND(C126=kursy7[[#This Row],[Poczatek]],A126+DATE(1900,1,1)=kursy7[[#This Row],[Data]]),G126+1,1)</f>
        <v>4</v>
      </c>
    </row>
    <row r="128" spans="1:7" x14ac:dyDescent="0.25">
      <c r="A128" s="1">
        <v>42897</v>
      </c>
      <c r="B128" s="2" t="s">
        <v>19</v>
      </c>
      <c r="C128" s="2" t="s">
        <v>29</v>
      </c>
      <c r="D128">
        <v>2575</v>
      </c>
      <c r="E128">
        <v>113</v>
      </c>
      <c r="F128">
        <v>277</v>
      </c>
      <c r="G128">
        <f>IF(AND(C127=kursy7[[#This Row],[Poczatek]],A127+DATE(1900,1,1)=kursy7[[#This Row],[Data]]),G127+1,1)</f>
        <v>1</v>
      </c>
    </row>
    <row r="129" spans="1:7" x14ac:dyDescent="0.25">
      <c r="A129" s="1">
        <v>42898</v>
      </c>
      <c r="B129" s="2" t="s">
        <v>55</v>
      </c>
      <c r="C129" s="2" t="s">
        <v>46</v>
      </c>
      <c r="D129">
        <v>1676</v>
      </c>
      <c r="E129">
        <v>217</v>
      </c>
      <c r="F129">
        <v>499</v>
      </c>
      <c r="G129">
        <f>IF(AND(C128=kursy7[[#This Row],[Poczatek]],A128+DATE(1900,1,1)=kursy7[[#This Row],[Data]]),G128+1,1)</f>
        <v>1</v>
      </c>
    </row>
    <row r="130" spans="1:7" x14ac:dyDescent="0.25">
      <c r="A130" s="1">
        <v>42899</v>
      </c>
      <c r="B130" s="2" t="s">
        <v>46</v>
      </c>
      <c r="C130" s="2" t="s">
        <v>47</v>
      </c>
      <c r="D130">
        <v>1536</v>
      </c>
      <c r="E130">
        <v>96</v>
      </c>
      <c r="F130">
        <v>154</v>
      </c>
      <c r="G130">
        <f>IF(AND(C129=kursy7[[#This Row],[Poczatek]],A129+DATE(1900,1,1)=kursy7[[#This Row],[Data]]),G129+1,1)</f>
        <v>2</v>
      </c>
    </row>
    <row r="131" spans="1:7" x14ac:dyDescent="0.25">
      <c r="A131" s="1">
        <v>42900</v>
      </c>
      <c r="B131" s="2" t="s">
        <v>47</v>
      </c>
      <c r="C131" s="2" t="s">
        <v>42</v>
      </c>
      <c r="D131">
        <v>1996</v>
      </c>
      <c r="E131">
        <v>158</v>
      </c>
      <c r="F131">
        <v>653</v>
      </c>
      <c r="G131">
        <f>IF(AND(C130=kursy7[[#This Row],[Poczatek]],A130+DATE(1900,1,1)=kursy7[[#This Row],[Data]]),G130+1,1)</f>
        <v>3</v>
      </c>
    </row>
    <row r="132" spans="1:7" x14ac:dyDescent="0.25">
      <c r="A132" s="1">
        <v>42902</v>
      </c>
      <c r="B132" s="2" t="s">
        <v>68</v>
      </c>
      <c r="C132" s="2" t="s">
        <v>69</v>
      </c>
      <c r="D132">
        <v>4769</v>
      </c>
      <c r="E132">
        <v>160</v>
      </c>
      <c r="F132">
        <v>522</v>
      </c>
      <c r="G132">
        <f>IF(AND(C131=kursy7[[#This Row],[Poczatek]],A131+DATE(1900,1,1)=kursy7[[#This Row],[Data]]),G131+1,1)</f>
        <v>1</v>
      </c>
    </row>
    <row r="133" spans="1:7" x14ac:dyDescent="0.25">
      <c r="A133" s="1">
        <v>42903</v>
      </c>
      <c r="B133" s="2" t="s">
        <v>69</v>
      </c>
      <c r="C133" s="2" t="s">
        <v>59</v>
      </c>
      <c r="D133">
        <v>4542</v>
      </c>
      <c r="E133">
        <v>205</v>
      </c>
      <c r="F133">
        <v>524</v>
      </c>
      <c r="G133">
        <f>IF(AND(C132=kursy7[[#This Row],[Poczatek]],A132+DATE(1900,1,1)=kursy7[[#This Row],[Data]]),G132+1,1)</f>
        <v>2</v>
      </c>
    </row>
    <row r="134" spans="1:7" x14ac:dyDescent="0.25">
      <c r="A134" s="1">
        <v>42904</v>
      </c>
      <c r="B134" s="2" t="s">
        <v>59</v>
      </c>
      <c r="C134" s="2" t="s">
        <v>60</v>
      </c>
      <c r="D134">
        <v>2286</v>
      </c>
      <c r="E134">
        <v>140</v>
      </c>
      <c r="F134">
        <v>136</v>
      </c>
      <c r="G134">
        <f>IF(AND(C133=kursy7[[#This Row],[Poczatek]],A133+DATE(1900,1,1)=kursy7[[#This Row],[Data]]),G133+1,1)</f>
        <v>3</v>
      </c>
    </row>
    <row r="135" spans="1:7" x14ac:dyDescent="0.25">
      <c r="A135" s="1">
        <v>42905</v>
      </c>
      <c r="B135" s="2" t="s">
        <v>60</v>
      </c>
      <c r="C135" s="2" t="s">
        <v>41</v>
      </c>
      <c r="D135">
        <v>1504</v>
      </c>
      <c r="E135">
        <v>95</v>
      </c>
      <c r="F135">
        <v>382</v>
      </c>
      <c r="G135">
        <f>IF(AND(C134=kursy7[[#This Row],[Poczatek]],A134+DATE(1900,1,1)=kursy7[[#This Row],[Data]]),G134+1,1)</f>
        <v>4</v>
      </c>
    </row>
    <row r="136" spans="1:7" x14ac:dyDescent="0.25">
      <c r="A136" s="1">
        <v>42906</v>
      </c>
      <c r="B136" s="2" t="s">
        <v>34</v>
      </c>
      <c r="C136" s="2" t="s">
        <v>39</v>
      </c>
      <c r="D136">
        <v>3990</v>
      </c>
      <c r="E136">
        <v>195</v>
      </c>
      <c r="F136">
        <v>468</v>
      </c>
      <c r="G136">
        <f>IF(AND(C135=kursy7[[#This Row],[Poczatek]],A135+DATE(1900,1,1)=kursy7[[#This Row],[Data]]),G135+1,1)</f>
        <v>1</v>
      </c>
    </row>
    <row r="137" spans="1:7" x14ac:dyDescent="0.25">
      <c r="A137" s="1">
        <v>42907</v>
      </c>
      <c r="B137" s="2" t="s">
        <v>47</v>
      </c>
      <c r="C137" s="2" t="s">
        <v>17</v>
      </c>
      <c r="D137">
        <v>4569</v>
      </c>
      <c r="E137">
        <v>123</v>
      </c>
      <c r="F137">
        <v>295</v>
      </c>
      <c r="G137">
        <f>IF(AND(C136=kursy7[[#This Row],[Poczatek]],A136+DATE(1900,1,1)=kursy7[[#This Row],[Data]]),G136+1,1)</f>
        <v>1</v>
      </c>
    </row>
    <row r="138" spans="1:7" x14ac:dyDescent="0.25">
      <c r="A138" s="1">
        <v>42908</v>
      </c>
      <c r="B138" s="2" t="s">
        <v>17</v>
      </c>
      <c r="C138" s="2" t="s">
        <v>18</v>
      </c>
      <c r="D138">
        <v>3469</v>
      </c>
      <c r="E138">
        <v>151</v>
      </c>
      <c r="F138">
        <v>558</v>
      </c>
      <c r="G138">
        <f>IF(AND(C137=kursy7[[#This Row],[Poczatek]],A137+DATE(1900,1,1)=kursy7[[#This Row],[Data]]),G137+1,1)</f>
        <v>2</v>
      </c>
    </row>
    <row r="139" spans="1:7" x14ac:dyDescent="0.25">
      <c r="A139" s="1">
        <v>42909</v>
      </c>
      <c r="B139" s="2" t="s">
        <v>18</v>
      </c>
      <c r="C139" s="2" t="s">
        <v>39</v>
      </c>
      <c r="D139">
        <v>2498</v>
      </c>
      <c r="E139">
        <v>163</v>
      </c>
      <c r="F139">
        <v>610</v>
      </c>
      <c r="G139">
        <f>IF(AND(C138=kursy7[[#This Row],[Poczatek]],A138+DATE(1900,1,1)=kursy7[[#This Row],[Data]]),G138+1,1)</f>
        <v>3</v>
      </c>
    </row>
    <row r="140" spans="1:7" x14ac:dyDescent="0.25">
      <c r="A140" s="1">
        <v>42910</v>
      </c>
      <c r="B140" s="2" t="s">
        <v>39</v>
      </c>
      <c r="C140" s="2" t="s">
        <v>17</v>
      </c>
      <c r="D140">
        <v>4118</v>
      </c>
      <c r="E140">
        <v>144</v>
      </c>
      <c r="F140">
        <v>256</v>
      </c>
      <c r="G140">
        <f>IF(AND(C139=kursy7[[#This Row],[Poczatek]],A139+DATE(1900,1,1)=kursy7[[#This Row],[Data]]),G139+1,1)</f>
        <v>4</v>
      </c>
    </row>
    <row r="141" spans="1:7" x14ac:dyDescent="0.25">
      <c r="A141" s="1">
        <v>42911</v>
      </c>
      <c r="B141" s="2" t="s">
        <v>30</v>
      </c>
      <c r="C141" s="2" t="s">
        <v>70</v>
      </c>
      <c r="D141">
        <v>5847</v>
      </c>
      <c r="E141">
        <v>137</v>
      </c>
      <c r="F141">
        <v>270</v>
      </c>
      <c r="G141">
        <f>IF(AND(C140=kursy7[[#This Row],[Poczatek]],A140+DATE(1900,1,1)=kursy7[[#This Row],[Data]]),G140+1,1)</f>
        <v>1</v>
      </c>
    </row>
    <row r="142" spans="1:7" x14ac:dyDescent="0.25">
      <c r="A142" s="1">
        <v>42912</v>
      </c>
      <c r="B142" s="2" t="s">
        <v>70</v>
      </c>
      <c r="C142" s="2" t="s">
        <v>30</v>
      </c>
      <c r="D142">
        <v>2032</v>
      </c>
      <c r="E142">
        <v>129</v>
      </c>
      <c r="F142">
        <v>245</v>
      </c>
      <c r="G142">
        <f>IF(AND(C141=kursy7[[#This Row],[Poczatek]],A141+DATE(1900,1,1)=kursy7[[#This Row],[Data]]),G141+1,1)</f>
        <v>2</v>
      </c>
    </row>
    <row r="143" spans="1:7" x14ac:dyDescent="0.25">
      <c r="A143" s="1">
        <v>42913</v>
      </c>
      <c r="B143" s="2" t="s">
        <v>30</v>
      </c>
      <c r="C143" s="2" t="s">
        <v>31</v>
      </c>
      <c r="D143">
        <v>2735</v>
      </c>
      <c r="E143">
        <v>213</v>
      </c>
      <c r="F143">
        <v>213</v>
      </c>
      <c r="G143">
        <f>IF(AND(C142=kursy7[[#This Row],[Poczatek]],A142+DATE(1900,1,1)=kursy7[[#This Row],[Data]]),G142+1,1)</f>
        <v>3</v>
      </c>
    </row>
    <row r="144" spans="1:7" x14ac:dyDescent="0.25">
      <c r="A144" s="1">
        <v>42914</v>
      </c>
      <c r="B144" s="2" t="s">
        <v>31</v>
      </c>
      <c r="C144" s="2" t="s">
        <v>22</v>
      </c>
      <c r="D144">
        <v>5467</v>
      </c>
      <c r="E144">
        <v>168</v>
      </c>
      <c r="F144">
        <v>336</v>
      </c>
      <c r="G144">
        <f>IF(AND(C143=kursy7[[#This Row],[Poczatek]],A143+DATE(1900,1,1)=kursy7[[#This Row],[Data]]),G143+1,1)</f>
        <v>4</v>
      </c>
    </row>
    <row r="145" spans="1:7" x14ac:dyDescent="0.25">
      <c r="A145" s="1">
        <v>42915</v>
      </c>
      <c r="B145" s="2" t="s">
        <v>22</v>
      </c>
      <c r="C145" s="2" t="s">
        <v>21</v>
      </c>
      <c r="D145">
        <v>3691</v>
      </c>
      <c r="E145">
        <v>170</v>
      </c>
      <c r="F145">
        <v>525</v>
      </c>
      <c r="G145">
        <f>IF(AND(C144=kursy7[[#This Row],[Poczatek]],A144+DATE(1900,1,1)=kursy7[[#This Row],[Data]]),G144+1,1)</f>
        <v>5</v>
      </c>
    </row>
    <row r="146" spans="1:7" x14ac:dyDescent="0.25">
      <c r="A146" s="1">
        <v>42916</v>
      </c>
      <c r="B146" s="2" t="s">
        <v>15</v>
      </c>
      <c r="C146" s="2" t="s">
        <v>52</v>
      </c>
      <c r="D146">
        <v>3681</v>
      </c>
      <c r="E146">
        <v>145</v>
      </c>
      <c r="F146">
        <v>546</v>
      </c>
      <c r="G146">
        <f>IF(AND(C145=kursy7[[#This Row],[Poczatek]],A145+DATE(1900,1,1)=kursy7[[#This Row],[Data]]),G145+1,1)</f>
        <v>1</v>
      </c>
    </row>
    <row r="147" spans="1:7" x14ac:dyDescent="0.25">
      <c r="A147" s="1">
        <v>42917</v>
      </c>
      <c r="B147" s="2" t="s">
        <v>62</v>
      </c>
      <c r="C147" s="2" t="s">
        <v>20</v>
      </c>
      <c r="D147">
        <v>2256</v>
      </c>
      <c r="E147">
        <v>146</v>
      </c>
      <c r="F147">
        <v>315</v>
      </c>
      <c r="G147">
        <f>IF(AND(C146=kursy7[[#This Row],[Poczatek]],A146+DATE(1900,1,1)=kursy7[[#This Row],[Data]]),G146+1,1)</f>
        <v>1</v>
      </c>
    </row>
    <row r="148" spans="1:7" x14ac:dyDescent="0.25">
      <c r="A148" s="1">
        <v>42918</v>
      </c>
      <c r="B148" s="2" t="s">
        <v>20</v>
      </c>
      <c r="C148" s="2" t="s">
        <v>8</v>
      </c>
      <c r="D148">
        <v>4602</v>
      </c>
      <c r="E148">
        <v>120</v>
      </c>
      <c r="F148">
        <v>288</v>
      </c>
      <c r="G148">
        <f>IF(AND(C147=kursy7[[#This Row],[Poczatek]],A147+DATE(1900,1,1)=kursy7[[#This Row],[Data]]),G147+1,1)</f>
        <v>2</v>
      </c>
    </row>
    <row r="149" spans="1:7" x14ac:dyDescent="0.25">
      <c r="A149" s="1">
        <v>42919</v>
      </c>
      <c r="B149" s="2" t="s">
        <v>8</v>
      </c>
      <c r="C149" s="2" t="s">
        <v>20</v>
      </c>
      <c r="D149">
        <v>4354</v>
      </c>
      <c r="E149">
        <v>135</v>
      </c>
      <c r="F149">
        <v>215</v>
      </c>
      <c r="G149">
        <f>IF(AND(C148=kursy7[[#This Row],[Poczatek]],A148+DATE(1900,1,1)=kursy7[[#This Row],[Data]]),G148+1,1)</f>
        <v>3</v>
      </c>
    </row>
    <row r="150" spans="1:7" x14ac:dyDescent="0.25">
      <c r="A150" s="1">
        <v>42920</v>
      </c>
      <c r="B150" s="2" t="s">
        <v>20</v>
      </c>
      <c r="C150" s="2" t="s">
        <v>60</v>
      </c>
      <c r="D150">
        <v>4260</v>
      </c>
      <c r="E150">
        <v>118</v>
      </c>
      <c r="F150">
        <v>222</v>
      </c>
      <c r="G150">
        <f>IF(AND(C149=kursy7[[#This Row],[Poczatek]],A149+DATE(1900,1,1)=kursy7[[#This Row],[Data]]),G149+1,1)</f>
        <v>4</v>
      </c>
    </row>
    <row r="151" spans="1:7" x14ac:dyDescent="0.25">
      <c r="A151" s="1">
        <v>42921</v>
      </c>
      <c r="B151" s="2" t="s">
        <v>40</v>
      </c>
      <c r="C151" s="2" t="s">
        <v>41</v>
      </c>
      <c r="D151">
        <v>2800</v>
      </c>
      <c r="E151">
        <v>98</v>
      </c>
      <c r="F151">
        <v>108</v>
      </c>
      <c r="G151">
        <f>IF(AND(C150=kursy7[[#This Row],[Poczatek]],A150+DATE(1900,1,1)=kursy7[[#This Row],[Data]]),G150+1,1)</f>
        <v>1</v>
      </c>
    </row>
    <row r="152" spans="1:7" x14ac:dyDescent="0.25">
      <c r="A152" s="1">
        <v>42922</v>
      </c>
      <c r="B152" s="2" t="s">
        <v>41</v>
      </c>
      <c r="C152" s="2" t="s">
        <v>28</v>
      </c>
      <c r="D152">
        <v>2637</v>
      </c>
      <c r="E152">
        <v>138</v>
      </c>
      <c r="F152">
        <v>179</v>
      </c>
      <c r="G152">
        <f>IF(AND(C151=kursy7[[#This Row],[Poczatek]],A151+DATE(1900,1,1)=kursy7[[#This Row],[Data]]),G151+1,1)</f>
        <v>2</v>
      </c>
    </row>
    <row r="153" spans="1:7" x14ac:dyDescent="0.25">
      <c r="A153" s="1">
        <v>42923</v>
      </c>
      <c r="B153" s="2" t="s">
        <v>28</v>
      </c>
      <c r="C153" s="2" t="s">
        <v>14</v>
      </c>
      <c r="D153">
        <v>5651</v>
      </c>
      <c r="E153">
        <v>116</v>
      </c>
      <c r="F153">
        <v>141</v>
      </c>
      <c r="G153">
        <f>IF(AND(C152=kursy7[[#This Row],[Poczatek]],A152+DATE(1900,1,1)=kursy7[[#This Row],[Data]]),G152+1,1)</f>
        <v>3</v>
      </c>
    </row>
    <row r="154" spans="1:7" x14ac:dyDescent="0.25">
      <c r="A154" s="1">
        <v>42924</v>
      </c>
      <c r="B154" s="2" t="s">
        <v>14</v>
      </c>
      <c r="C154" s="2" t="s">
        <v>48</v>
      </c>
      <c r="D154">
        <v>2511</v>
      </c>
      <c r="E154">
        <v>120</v>
      </c>
      <c r="F154">
        <v>438</v>
      </c>
      <c r="G154">
        <f>IF(AND(C153=kursy7[[#This Row],[Poczatek]],A153+DATE(1900,1,1)=kursy7[[#This Row],[Data]]),G153+1,1)</f>
        <v>4</v>
      </c>
    </row>
    <row r="155" spans="1:7" x14ac:dyDescent="0.25">
      <c r="A155" s="1">
        <v>42926</v>
      </c>
      <c r="B155" s="2" t="s">
        <v>56</v>
      </c>
      <c r="C155" s="2" t="s">
        <v>30</v>
      </c>
      <c r="D155">
        <v>2448</v>
      </c>
      <c r="E155">
        <v>744</v>
      </c>
      <c r="F155">
        <v>2887</v>
      </c>
      <c r="G155">
        <f>IF(AND(C154=kursy7[[#This Row],[Poczatek]],A154+DATE(1900,1,1)=kursy7[[#This Row],[Data]]),G154+1,1)</f>
        <v>1</v>
      </c>
    </row>
    <row r="156" spans="1:7" x14ac:dyDescent="0.25">
      <c r="A156" s="1">
        <v>42927</v>
      </c>
      <c r="B156" s="2" t="s">
        <v>10</v>
      </c>
      <c r="C156" s="2" t="s">
        <v>71</v>
      </c>
      <c r="D156">
        <v>3414</v>
      </c>
      <c r="E156">
        <v>114</v>
      </c>
      <c r="F156">
        <v>301</v>
      </c>
      <c r="G156">
        <f>IF(AND(C155=kursy7[[#This Row],[Poczatek]],A155+DATE(1900,1,1)=kursy7[[#This Row],[Data]]),G155+1,1)</f>
        <v>1</v>
      </c>
    </row>
    <row r="157" spans="1:7" x14ac:dyDescent="0.25">
      <c r="A157" s="1">
        <v>42928</v>
      </c>
      <c r="B157" s="2" t="s">
        <v>70</v>
      </c>
      <c r="C157" s="2" t="s">
        <v>36</v>
      </c>
      <c r="D157">
        <v>4039</v>
      </c>
      <c r="E157">
        <v>204</v>
      </c>
      <c r="F157">
        <v>614</v>
      </c>
      <c r="G157">
        <f>IF(AND(C156=kursy7[[#This Row],[Poczatek]],A156+DATE(1900,1,1)=kursy7[[#This Row],[Data]]),G156+1,1)</f>
        <v>1</v>
      </c>
    </row>
    <row r="158" spans="1:7" x14ac:dyDescent="0.25">
      <c r="A158" s="1">
        <v>42929</v>
      </c>
      <c r="B158" s="2" t="s">
        <v>36</v>
      </c>
      <c r="C158" s="2" t="s">
        <v>70</v>
      </c>
      <c r="D158">
        <v>5862</v>
      </c>
      <c r="E158">
        <v>202</v>
      </c>
      <c r="F158">
        <v>518</v>
      </c>
      <c r="G158">
        <f>IF(AND(C157=kursy7[[#This Row],[Poczatek]],A157+DATE(1900,1,1)=kursy7[[#This Row],[Data]]),G157+1,1)</f>
        <v>2</v>
      </c>
    </row>
    <row r="159" spans="1:7" x14ac:dyDescent="0.25">
      <c r="A159" s="1">
        <v>42931</v>
      </c>
      <c r="B159" s="2" t="s">
        <v>44</v>
      </c>
      <c r="C159" s="2" t="s">
        <v>56</v>
      </c>
      <c r="D159">
        <v>3077</v>
      </c>
      <c r="E159">
        <v>148</v>
      </c>
      <c r="F159">
        <v>454</v>
      </c>
      <c r="G159">
        <f>IF(AND(C158=kursy7[[#This Row],[Poczatek]],A158+DATE(1900,1,1)=kursy7[[#This Row],[Data]]),G158+1,1)</f>
        <v>1</v>
      </c>
    </row>
    <row r="160" spans="1:7" x14ac:dyDescent="0.25">
      <c r="A160" s="1">
        <v>42932</v>
      </c>
      <c r="B160" s="2" t="s">
        <v>55</v>
      </c>
      <c r="C160" s="2" t="s">
        <v>26</v>
      </c>
      <c r="D160">
        <v>5569</v>
      </c>
      <c r="E160">
        <v>604</v>
      </c>
      <c r="F160">
        <v>1446</v>
      </c>
      <c r="G160">
        <f>IF(AND(C159=kursy7[[#This Row],[Poczatek]],A159+DATE(1900,1,1)=kursy7[[#This Row],[Data]]),G159+1,1)</f>
        <v>1</v>
      </c>
    </row>
    <row r="161" spans="1:7" x14ac:dyDescent="0.25">
      <c r="A161" s="1">
        <v>42933</v>
      </c>
      <c r="B161" s="2" t="s">
        <v>26</v>
      </c>
      <c r="C161" s="2" t="s">
        <v>48</v>
      </c>
      <c r="D161">
        <v>4513</v>
      </c>
      <c r="E161">
        <v>114</v>
      </c>
      <c r="F161">
        <v>125</v>
      </c>
      <c r="G161">
        <f>IF(AND(C160=kursy7[[#This Row],[Poczatek]],A160+DATE(1900,1,1)=kursy7[[#This Row],[Data]]),G160+1,1)</f>
        <v>2</v>
      </c>
    </row>
    <row r="162" spans="1:7" x14ac:dyDescent="0.25">
      <c r="A162" s="1">
        <v>42935</v>
      </c>
      <c r="B162" s="2" t="s">
        <v>18</v>
      </c>
      <c r="C162" s="2" t="s">
        <v>16</v>
      </c>
      <c r="D162">
        <v>2771</v>
      </c>
      <c r="E162">
        <v>239</v>
      </c>
      <c r="F162">
        <v>396</v>
      </c>
      <c r="G162">
        <f>IF(AND(C161=kursy7[[#This Row],[Poczatek]],A161+DATE(1900,1,1)=kursy7[[#This Row],[Data]]),G161+1,1)</f>
        <v>1</v>
      </c>
    </row>
    <row r="163" spans="1:7" x14ac:dyDescent="0.25">
      <c r="A163" s="1">
        <v>42936</v>
      </c>
      <c r="B163" s="2" t="s">
        <v>50</v>
      </c>
      <c r="C163" s="2" t="s">
        <v>42</v>
      </c>
      <c r="D163">
        <v>1079</v>
      </c>
      <c r="E163">
        <v>438</v>
      </c>
      <c r="F163">
        <v>899</v>
      </c>
      <c r="G163">
        <f>IF(AND(C162=kursy7[[#This Row],[Poczatek]],A162+DATE(1900,1,1)=kursy7[[#This Row],[Data]]),G162+1,1)</f>
        <v>1</v>
      </c>
    </row>
    <row r="164" spans="1:7" x14ac:dyDescent="0.25">
      <c r="A164" s="1">
        <v>42937</v>
      </c>
      <c r="B164" s="2" t="s">
        <v>42</v>
      </c>
      <c r="C164" s="2" t="s">
        <v>32</v>
      </c>
      <c r="D164">
        <v>3126</v>
      </c>
      <c r="E164">
        <v>124</v>
      </c>
      <c r="F164">
        <v>317</v>
      </c>
      <c r="G164">
        <f>IF(AND(C163=kursy7[[#This Row],[Poczatek]],A163+DATE(1900,1,1)=kursy7[[#This Row],[Data]]),G163+1,1)</f>
        <v>2</v>
      </c>
    </row>
    <row r="165" spans="1:7" x14ac:dyDescent="0.25">
      <c r="A165" s="1">
        <v>42938</v>
      </c>
      <c r="B165" s="2" t="s">
        <v>32</v>
      </c>
      <c r="C165" s="2" t="s">
        <v>60</v>
      </c>
      <c r="D165">
        <v>3650</v>
      </c>
      <c r="E165">
        <v>137</v>
      </c>
      <c r="F165">
        <v>308</v>
      </c>
      <c r="G165">
        <f>IF(AND(C164=kursy7[[#This Row],[Poczatek]],A164+DATE(1900,1,1)=kursy7[[#This Row],[Data]]),G164+1,1)</f>
        <v>3</v>
      </c>
    </row>
    <row r="166" spans="1:7" x14ac:dyDescent="0.25">
      <c r="A166" s="1">
        <v>42939</v>
      </c>
      <c r="B166" s="2" t="s">
        <v>55</v>
      </c>
      <c r="C166" s="2" t="s">
        <v>68</v>
      </c>
      <c r="D166">
        <v>5721</v>
      </c>
      <c r="E166">
        <v>122</v>
      </c>
      <c r="F166">
        <v>280</v>
      </c>
      <c r="G166">
        <f>IF(AND(C165=kursy7[[#This Row],[Poczatek]],A165+DATE(1900,1,1)=kursy7[[#This Row],[Data]]),G165+1,1)</f>
        <v>1</v>
      </c>
    </row>
    <row r="167" spans="1:7" x14ac:dyDescent="0.25">
      <c r="A167" s="1">
        <v>42940</v>
      </c>
      <c r="B167" s="2" t="s">
        <v>68</v>
      </c>
      <c r="C167" s="2" t="s">
        <v>19</v>
      </c>
      <c r="D167">
        <v>5759</v>
      </c>
      <c r="E167">
        <v>175</v>
      </c>
      <c r="F167">
        <v>297</v>
      </c>
      <c r="G167">
        <f>IF(AND(C166=kursy7[[#This Row],[Poczatek]],A166+DATE(1900,1,1)=kursy7[[#This Row],[Data]]),G166+1,1)</f>
        <v>2</v>
      </c>
    </row>
    <row r="168" spans="1:7" x14ac:dyDescent="0.25">
      <c r="A168" s="1">
        <v>42941</v>
      </c>
      <c r="B168" s="2" t="s">
        <v>19</v>
      </c>
      <c r="C168" s="2" t="s">
        <v>59</v>
      </c>
      <c r="D168">
        <v>2871</v>
      </c>
      <c r="E168">
        <v>113</v>
      </c>
      <c r="F168">
        <v>110</v>
      </c>
      <c r="G168">
        <f>IF(AND(C167=kursy7[[#This Row],[Poczatek]],A167+DATE(1900,1,1)=kursy7[[#This Row],[Data]]),G167+1,1)</f>
        <v>3</v>
      </c>
    </row>
    <row r="169" spans="1:7" x14ac:dyDescent="0.25">
      <c r="A169" s="1">
        <v>42944</v>
      </c>
      <c r="B169" s="2" t="s">
        <v>8</v>
      </c>
      <c r="C169" s="2" t="s">
        <v>9</v>
      </c>
      <c r="D169">
        <v>3571</v>
      </c>
      <c r="E169">
        <v>162</v>
      </c>
      <c r="F169">
        <v>292</v>
      </c>
      <c r="G169">
        <f>IF(AND(C168=kursy7[[#This Row],[Poczatek]],A168+DATE(1900,1,1)=kursy7[[#This Row],[Data]]),G168+1,1)</f>
        <v>1</v>
      </c>
    </row>
    <row r="170" spans="1:7" x14ac:dyDescent="0.25">
      <c r="A170" s="1">
        <v>42945</v>
      </c>
      <c r="B170" s="2" t="s">
        <v>9</v>
      </c>
      <c r="C170" s="2" t="s">
        <v>59</v>
      </c>
      <c r="D170">
        <v>3061</v>
      </c>
      <c r="E170">
        <v>107</v>
      </c>
      <c r="F170">
        <v>258</v>
      </c>
      <c r="G170">
        <f>IF(AND(C169=kursy7[[#This Row],[Poczatek]],A169+DATE(1900,1,1)=kursy7[[#This Row],[Data]]),G169+1,1)</f>
        <v>2</v>
      </c>
    </row>
    <row r="171" spans="1:7" x14ac:dyDescent="0.25">
      <c r="A171" s="1">
        <v>42946</v>
      </c>
      <c r="B171" s="2" t="s">
        <v>59</v>
      </c>
      <c r="C171" s="2" t="s">
        <v>65</v>
      </c>
      <c r="D171">
        <v>5336</v>
      </c>
      <c r="E171">
        <v>107</v>
      </c>
      <c r="F171">
        <v>171</v>
      </c>
      <c r="G171">
        <f>IF(AND(C170=kursy7[[#This Row],[Poczatek]],A170+DATE(1900,1,1)=kursy7[[#This Row],[Data]]),G170+1,1)</f>
        <v>3</v>
      </c>
    </row>
    <row r="172" spans="1:7" x14ac:dyDescent="0.25">
      <c r="A172" s="1">
        <v>42947</v>
      </c>
      <c r="B172" s="2" t="s">
        <v>29</v>
      </c>
      <c r="C172" s="2" t="s">
        <v>27</v>
      </c>
      <c r="D172">
        <v>5658</v>
      </c>
      <c r="E172">
        <v>249</v>
      </c>
      <c r="F172">
        <v>967</v>
      </c>
      <c r="G172">
        <f>IF(AND(C171=kursy7[[#This Row],[Poczatek]],A171+DATE(1900,1,1)=kursy7[[#This Row],[Data]]),G171+1,1)</f>
        <v>1</v>
      </c>
    </row>
    <row r="173" spans="1:7" x14ac:dyDescent="0.25">
      <c r="A173" s="1">
        <v>42948</v>
      </c>
      <c r="B173" s="2" t="s">
        <v>27</v>
      </c>
      <c r="C173" s="2" t="s">
        <v>25</v>
      </c>
      <c r="D173">
        <v>2697</v>
      </c>
      <c r="E173">
        <v>209</v>
      </c>
      <c r="F173">
        <v>699</v>
      </c>
      <c r="G173">
        <f>IF(AND(C172=kursy7[[#This Row],[Poczatek]],A172+DATE(1900,1,1)=kursy7[[#This Row],[Data]]),G172+1,1)</f>
        <v>2</v>
      </c>
    </row>
    <row r="174" spans="1:7" x14ac:dyDescent="0.25">
      <c r="A174" s="1">
        <v>42949</v>
      </c>
      <c r="B174" s="2" t="s">
        <v>25</v>
      </c>
      <c r="C174" s="2" t="s">
        <v>48</v>
      </c>
      <c r="D174">
        <v>5368</v>
      </c>
      <c r="E174">
        <v>122</v>
      </c>
      <c r="F174">
        <v>491</v>
      </c>
      <c r="G174">
        <f>IF(AND(C173=kursy7[[#This Row],[Poczatek]],A173+DATE(1900,1,1)=kursy7[[#This Row],[Data]]),G173+1,1)</f>
        <v>3</v>
      </c>
    </row>
    <row r="175" spans="1:7" x14ac:dyDescent="0.25">
      <c r="A175" s="1">
        <v>42950</v>
      </c>
      <c r="B175" s="2" t="s">
        <v>48</v>
      </c>
      <c r="C175" s="2" t="s">
        <v>14</v>
      </c>
      <c r="D175">
        <v>2706</v>
      </c>
      <c r="E175">
        <v>137</v>
      </c>
      <c r="F175">
        <v>292</v>
      </c>
      <c r="G175">
        <f>IF(AND(C174=kursy7[[#This Row],[Poczatek]],A174+DATE(1900,1,1)=kursy7[[#This Row],[Data]]),G174+1,1)</f>
        <v>4</v>
      </c>
    </row>
    <row r="176" spans="1:7" x14ac:dyDescent="0.25">
      <c r="A176" s="1">
        <v>42953</v>
      </c>
      <c r="B176" s="2" t="s">
        <v>67</v>
      </c>
      <c r="C176" s="2" t="s">
        <v>48</v>
      </c>
      <c r="D176">
        <v>3456</v>
      </c>
      <c r="E176">
        <v>542</v>
      </c>
      <c r="F176">
        <v>1891</v>
      </c>
      <c r="G176">
        <f>IF(AND(C175=kursy7[[#This Row],[Poczatek]],A175+DATE(1900,1,1)=kursy7[[#This Row],[Data]]),G175+1,1)</f>
        <v>1</v>
      </c>
    </row>
    <row r="177" spans="1:7" x14ac:dyDescent="0.25">
      <c r="A177" s="1">
        <v>42954</v>
      </c>
      <c r="B177" s="2" t="s">
        <v>48</v>
      </c>
      <c r="C177" s="2" t="s">
        <v>14</v>
      </c>
      <c r="D177">
        <v>1914</v>
      </c>
      <c r="E177">
        <v>138</v>
      </c>
      <c r="F177">
        <v>405</v>
      </c>
      <c r="G177">
        <f>IF(AND(C176=kursy7[[#This Row],[Poczatek]],A176+DATE(1900,1,1)=kursy7[[#This Row],[Data]]),G176+1,1)</f>
        <v>2</v>
      </c>
    </row>
    <row r="178" spans="1:7" x14ac:dyDescent="0.25">
      <c r="A178" s="1">
        <v>42955</v>
      </c>
      <c r="B178" s="2" t="s">
        <v>14</v>
      </c>
      <c r="C178" s="2" t="s">
        <v>21</v>
      </c>
      <c r="D178">
        <v>1134</v>
      </c>
      <c r="E178">
        <v>95</v>
      </c>
      <c r="F178">
        <v>115</v>
      </c>
      <c r="G178">
        <f>IF(AND(C177=kursy7[[#This Row],[Poczatek]],A177+DATE(1900,1,1)=kursy7[[#This Row],[Data]]),G177+1,1)</f>
        <v>3</v>
      </c>
    </row>
    <row r="179" spans="1:7" x14ac:dyDescent="0.25">
      <c r="A179" s="1">
        <v>42956</v>
      </c>
      <c r="B179" s="2" t="s">
        <v>21</v>
      </c>
      <c r="C179" s="2" t="s">
        <v>25</v>
      </c>
      <c r="D179">
        <v>2935</v>
      </c>
      <c r="E179">
        <v>160</v>
      </c>
      <c r="F179">
        <v>275</v>
      </c>
      <c r="G179">
        <f>IF(AND(C178=kursy7[[#This Row],[Poczatek]],A178+DATE(1900,1,1)=kursy7[[#This Row],[Data]]),G178+1,1)</f>
        <v>4</v>
      </c>
    </row>
    <row r="180" spans="1:7" x14ac:dyDescent="0.25">
      <c r="A180" s="1">
        <v>42957</v>
      </c>
      <c r="B180" s="2" t="s">
        <v>25</v>
      </c>
      <c r="C180" s="2" t="s">
        <v>15</v>
      </c>
      <c r="D180">
        <v>4379</v>
      </c>
      <c r="E180">
        <v>93</v>
      </c>
      <c r="F180">
        <v>147</v>
      </c>
      <c r="G180">
        <f>IF(AND(C179=kursy7[[#This Row],[Poczatek]],A179+DATE(1900,1,1)=kursy7[[#This Row],[Data]]),G179+1,1)</f>
        <v>5</v>
      </c>
    </row>
    <row r="181" spans="1:7" x14ac:dyDescent="0.25">
      <c r="A181" s="1">
        <v>42959</v>
      </c>
      <c r="B181" s="2" t="s">
        <v>37</v>
      </c>
      <c r="C181" s="2" t="s">
        <v>35</v>
      </c>
      <c r="D181">
        <v>1328</v>
      </c>
      <c r="E181">
        <v>148</v>
      </c>
      <c r="F181">
        <v>516</v>
      </c>
      <c r="G181">
        <f>IF(AND(C180=kursy7[[#This Row],[Poczatek]],A180+DATE(1900,1,1)=kursy7[[#This Row],[Data]]),G180+1,1)</f>
        <v>1</v>
      </c>
    </row>
    <row r="182" spans="1:7" x14ac:dyDescent="0.25">
      <c r="A182" s="1">
        <v>42960</v>
      </c>
      <c r="B182" s="2" t="s">
        <v>70</v>
      </c>
      <c r="C182" s="2" t="s">
        <v>30</v>
      </c>
      <c r="D182">
        <v>4133</v>
      </c>
      <c r="E182">
        <v>130</v>
      </c>
      <c r="F182">
        <v>398</v>
      </c>
      <c r="G182">
        <f>IF(AND(C181=kursy7[[#This Row],[Poczatek]],A181+DATE(1900,1,1)=kursy7[[#This Row],[Data]]),G181+1,1)</f>
        <v>1</v>
      </c>
    </row>
    <row r="183" spans="1:7" x14ac:dyDescent="0.25">
      <c r="A183" s="1">
        <v>42962</v>
      </c>
      <c r="B183" s="2" t="s">
        <v>47</v>
      </c>
      <c r="C183" s="2" t="s">
        <v>20</v>
      </c>
      <c r="D183">
        <v>5370</v>
      </c>
      <c r="E183">
        <v>266</v>
      </c>
      <c r="F183">
        <v>699</v>
      </c>
      <c r="G183">
        <f>IF(AND(C182=kursy7[[#This Row],[Poczatek]],A182+DATE(1900,1,1)=kursy7[[#This Row],[Data]]),G182+1,1)</f>
        <v>1</v>
      </c>
    </row>
    <row r="184" spans="1:7" x14ac:dyDescent="0.25">
      <c r="A184" s="1">
        <v>42963</v>
      </c>
      <c r="B184" s="2" t="s">
        <v>20</v>
      </c>
      <c r="C184" s="2" t="s">
        <v>8</v>
      </c>
      <c r="D184">
        <v>4663</v>
      </c>
      <c r="E184">
        <v>122</v>
      </c>
      <c r="F184">
        <v>256</v>
      </c>
      <c r="G184">
        <f>IF(AND(C183=kursy7[[#This Row],[Poczatek]],A183+DATE(1900,1,1)=kursy7[[#This Row],[Data]]),G183+1,1)</f>
        <v>2</v>
      </c>
    </row>
    <row r="185" spans="1:7" x14ac:dyDescent="0.25">
      <c r="A185" s="1">
        <v>42964</v>
      </c>
      <c r="B185" s="2" t="s">
        <v>8</v>
      </c>
      <c r="C185" s="2" t="s">
        <v>40</v>
      </c>
      <c r="D185">
        <v>5151</v>
      </c>
      <c r="E185">
        <v>151</v>
      </c>
      <c r="F185">
        <v>195</v>
      </c>
      <c r="G185">
        <f>IF(AND(C184=kursy7[[#This Row],[Poczatek]],A184+DATE(1900,1,1)=kursy7[[#This Row],[Data]]),G184+1,1)</f>
        <v>3</v>
      </c>
    </row>
    <row r="186" spans="1:7" x14ac:dyDescent="0.25">
      <c r="A186" s="1">
        <v>42965</v>
      </c>
      <c r="B186" s="2" t="s">
        <v>40</v>
      </c>
      <c r="C186" s="2" t="s">
        <v>20</v>
      </c>
      <c r="D186">
        <v>3035</v>
      </c>
      <c r="E186">
        <v>118</v>
      </c>
      <c r="F186">
        <v>207</v>
      </c>
      <c r="G186">
        <f>IF(AND(C185=kursy7[[#This Row],[Poczatek]],A185+DATE(1900,1,1)=kursy7[[#This Row],[Data]]),G185+1,1)</f>
        <v>4</v>
      </c>
    </row>
    <row r="187" spans="1:7" x14ac:dyDescent="0.25">
      <c r="A187" s="1">
        <v>42967</v>
      </c>
      <c r="B187" s="2" t="s">
        <v>72</v>
      </c>
      <c r="C187" s="2" t="s">
        <v>11</v>
      </c>
      <c r="D187">
        <v>1090</v>
      </c>
      <c r="E187">
        <v>200</v>
      </c>
      <c r="F187">
        <v>585</v>
      </c>
      <c r="G187">
        <f>IF(AND(C186=kursy7[[#This Row],[Poczatek]],A186+DATE(1900,1,1)=kursy7[[#This Row],[Data]]),G186+1,1)</f>
        <v>1</v>
      </c>
    </row>
    <row r="188" spans="1:7" x14ac:dyDescent="0.25">
      <c r="A188" s="1">
        <v>42968</v>
      </c>
      <c r="B188" s="2" t="s">
        <v>11</v>
      </c>
      <c r="C188" s="2" t="s">
        <v>13</v>
      </c>
      <c r="D188">
        <v>5746</v>
      </c>
      <c r="E188">
        <v>145</v>
      </c>
      <c r="F188">
        <v>214</v>
      </c>
      <c r="G188">
        <f>IF(AND(C187=kursy7[[#This Row],[Poczatek]],A187+DATE(1900,1,1)=kursy7[[#This Row],[Data]]),G187+1,1)</f>
        <v>2</v>
      </c>
    </row>
    <row r="189" spans="1:7" x14ac:dyDescent="0.25">
      <c r="A189" s="1">
        <v>42970</v>
      </c>
      <c r="B189" s="2" t="s">
        <v>46</v>
      </c>
      <c r="C189" s="2" t="s">
        <v>56</v>
      </c>
      <c r="D189">
        <v>3200</v>
      </c>
      <c r="E189">
        <v>138</v>
      </c>
      <c r="F189">
        <v>417</v>
      </c>
      <c r="G189">
        <f>IF(AND(C188=kursy7[[#This Row],[Poczatek]],A188+DATE(1900,1,1)=kursy7[[#This Row],[Data]]),G188+1,1)</f>
        <v>1</v>
      </c>
    </row>
    <row r="190" spans="1:7" x14ac:dyDescent="0.25">
      <c r="A190" s="1">
        <v>42971</v>
      </c>
      <c r="B190" s="2" t="s">
        <v>56</v>
      </c>
      <c r="C190" s="2" t="s">
        <v>50</v>
      </c>
      <c r="D190">
        <v>3586</v>
      </c>
      <c r="E190">
        <v>155</v>
      </c>
      <c r="F190">
        <v>290</v>
      </c>
      <c r="G190">
        <f>IF(AND(C189=kursy7[[#This Row],[Poczatek]],A189+DATE(1900,1,1)=kursy7[[#This Row],[Data]]),G189+1,1)</f>
        <v>2</v>
      </c>
    </row>
    <row r="191" spans="1:7" x14ac:dyDescent="0.25">
      <c r="A191" s="1">
        <v>42972</v>
      </c>
      <c r="B191" s="2" t="s">
        <v>50</v>
      </c>
      <c r="C191" s="2" t="s">
        <v>17</v>
      </c>
      <c r="D191">
        <v>3460</v>
      </c>
      <c r="E191">
        <v>145</v>
      </c>
      <c r="F191">
        <v>162</v>
      </c>
      <c r="G191">
        <f>IF(AND(C190=kursy7[[#This Row],[Poczatek]],A190+DATE(1900,1,1)=kursy7[[#This Row],[Data]]),G190+1,1)</f>
        <v>3</v>
      </c>
    </row>
    <row r="192" spans="1:7" x14ac:dyDescent="0.25">
      <c r="A192" s="1">
        <v>42973</v>
      </c>
      <c r="B192" s="2" t="s">
        <v>68</v>
      </c>
      <c r="C192" s="2" t="s">
        <v>19</v>
      </c>
      <c r="D192">
        <v>1347</v>
      </c>
      <c r="E192">
        <v>173</v>
      </c>
      <c r="F192">
        <v>576</v>
      </c>
      <c r="G192">
        <f>IF(AND(C191=kursy7[[#This Row],[Poczatek]],A191+DATE(1900,1,1)=kursy7[[#This Row],[Data]]),G191+1,1)</f>
        <v>1</v>
      </c>
    </row>
    <row r="193" spans="1:7" x14ac:dyDescent="0.25">
      <c r="A193" s="1">
        <v>42974</v>
      </c>
      <c r="B193" s="2" t="s">
        <v>19</v>
      </c>
      <c r="C193" s="2" t="s">
        <v>60</v>
      </c>
      <c r="D193">
        <v>2421</v>
      </c>
      <c r="E193">
        <v>148</v>
      </c>
      <c r="F193">
        <v>552</v>
      </c>
      <c r="G193">
        <f>IF(AND(C192=kursy7[[#This Row],[Poczatek]],A192+DATE(1900,1,1)=kursy7[[#This Row],[Data]]),G192+1,1)</f>
        <v>2</v>
      </c>
    </row>
    <row r="194" spans="1:7" x14ac:dyDescent="0.25">
      <c r="A194" s="1">
        <v>42975</v>
      </c>
      <c r="B194" s="2" t="s">
        <v>60</v>
      </c>
      <c r="C194" s="2" t="s">
        <v>47</v>
      </c>
      <c r="D194">
        <v>2939</v>
      </c>
      <c r="E194">
        <v>125</v>
      </c>
      <c r="F194">
        <v>307</v>
      </c>
      <c r="G194">
        <f>IF(AND(C193=kursy7[[#This Row],[Poczatek]],A193+DATE(1900,1,1)=kursy7[[#This Row],[Data]]),G193+1,1)</f>
        <v>3</v>
      </c>
    </row>
    <row r="195" spans="1:7" x14ac:dyDescent="0.25">
      <c r="A195" s="1">
        <v>42976</v>
      </c>
      <c r="B195" s="2" t="s">
        <v>47</v>
      </c>
      <c r="C195" s="2" t="s">
        <v>17</v>
      </c>
      <c r="D195">
        <v>4921</v>
      </c>
      <c r="E195">
        <v>124</v>
      </c>
      <c r="F195">
        <v>472</v>
      </c>
      <c r="G195">
        <f>IF(AND(C194=kursy7[[#This Row],[Poczatek]],A194+DATE(1900,1,1)=kursy7[[#This Row],[Data]]),G194+1,1)</f>
        <v>4</v>
      </c>
    </row>
    <row r="196" spans="1:7" x14ac:dyDescent="0.25">
      <c r="A196" s="1">
        <v>42977</v>
      </c>
      <c r="B196" s="2" t="s">
        <v>17</v>
      </c>
      <c r="C196" s="2" t="s">
        <v>38</v>
      </c>
      <c r="D196">
        <v>3580</v>
      </c>
      <c r="E196">
        <v>173</v>
      </c>
      <c r="F196">
        <v>382</v>
      </c>
      <c r="G196">
        <f>IF(AND(C195=kursy7[[#This Row],[Poczatek]],A195+DATE(1900,1,1)=kursy7[[#This Row],[Data]]),G195+1,1)</f>
        <v>5</v>
      </c>
    </row>
    <row r="197" spans="1:7" x14ac:dyDescent="0.25">
      <c r="A197" s="1">
        <v>42978</v>
      </c>
      <c r="B197" s="2" t="s">
        <v>38</v>
      </c>
      <c r="C197" s="2" t="s">
        <v>73</v>
      </c>
      <c r="D197">
        <v>5215</v>
      </c>
      <c r="E197">
        <v>158</v>
      </c>
      <c r="F197">
        <v>375</v>
      </c>
      <c r="G197">
        <f>IF(AND(C196=kursy7[[#This Row],[Poczatek]],A196+DATE(1900,1,1)=kursy7[[#This Row],[Data]]),G196+1,1)</f>
        <v>6</v>
      </c>
    </row>
    <row r="198" spans="1:7" x14ac:dyDescent="0.25">
      <c r="A198" s="1">
        <v>42979</v>
      </c>
      <c r="B198" s="2" t="s">
        <v>73</v>
      </c>
      <c r="C198" s="2" t="s">
        <v>51</v>
      </c>
      <c r="D198">
        <v>1369</v>
      </c>
      <c r="E198">
        <v>170</v>
      </c>
      <c r="F198">
        <v>276</v>
      </c>
      <c r="G198">
        <f>IF(AND(C197=kursy7[[#This Row],[Poczatek]],A197+DATE(1900,1,1)=kursy7[[#This Row],[Data]]),G197+1,1)</f>
        <v>7</v>
      </c>
    </row>
    <row r="199" spans="1:7" x14ac:dyDescent="0.25">
      <c r="A199" s="1">
        <v>42980</v>
      </c>
      <c r="B199" s="2" t="s">
        <v>51</v>
      </c>
      <c r="C199" s="2" t="s">
        <v>67</v>
      </c>
      <c r="D199">
        <v>1655</v>
      </c>
      <c r="E199">
        <v>180</v>
      </c>
      <c r="F199">
        <v>332</v>
      </c>
      <c r="G199">
        <f>IF(AND(C198=kursy7[[#This Row],[Poczatek]],A198+DATE(1900,1,1)=kursy7[[#This Row],[Data]]),G198+1,1)</f>
        <v>8</v>
      </c>
    </row>
    <row r="200" spans="1:7" x14ac:dyDescent="0.25">
      <c r="A200" s="1">
        <v>42981</v>
      </c>
      <c r="B200" s="2" t="s">
        <v>48</v>
      </c>
      <c r="C200" s="2" t="s">
        <v>61</v>
      </c>
      <c r="D200">
        <v>2192</v>
      </c>
      <c r="E200">
        <v>114</v>
      </c>
      <c r="F200">
        <v>137</v>
      </c>
      <c r="G200">
        <f>IF(AND(C199=kursy7[[#This Row],[Poczatek]],A199+DATE(1900,1,1)=kursy7[[#This Row],[Data]]),G199+1,1)</f>
        <v>1</v>
      </c>
    </row>
    <row r="201" spans="1:7" x14ac:dyDescent="0.25">
      <c r="A201" s="1">
        <v>42982</v>
      </c>
      <c r="B201" s="2" t="s">
        <v>12</v>
      </c>
      <c r="C201" s="2" t="s">
        <v>59</v>
      </c>
      <c r="D201">
        <v>5919</v>
      </c>
      <c r="E201">
        <v>103</v>
      </c>
      <c r="F201">
        <v>279</v>
      </c>
      <c r="G201">
        <f>IF(AND(C200=kursy7[[#This Row],[Poczatek]],A200+DATE(1900,1,1)=kursy7[[#This Row],[Data]]),G200+1,1)</f>
        <v>1</v>
      </c>
    </row>
    <row r="202" spans="1:7" x14ac:dyDescent="0.25">
      <c r="A202" s="1">
        <v>42983</v>
      </c>
      <c r="B202" s="2" t="s">
        <v>67</v>
      </c>
      <c r="C202" s="2" t="s">
        <v>17</v>
      </c>
      <c r="D202">
        <v>5986</v>
      </c>
      <c r="E202">
        <v>222</v>
      </c>
      <c r="F202">
        <v>501</v>
      </c>
      <c r="G202">
        <f>IF(AND(C201=kursy7[[#This Row],[Poczatek]],A201+DATE(1900,1,1)=kursy7[[#This Row],[Data]]),G201+1,1)</f>
        <v>1</v>
      </c>
    </row>
    <row r="203" spans="1:7" x14ac:dyDescent="0.25">
      <c r="A203" s="1">
        <v>42984</v>
      </c>
      <c r="B203" s="2" t="s">
        <v>17</v>
      </c>
      <c r="C203" s="2" t="s">
        <v>39</v>
      </c>
      <c r="D203">
        <v>2750</v>
      </c>
      <c r="E203">
        <v>144</v>
      </c>
      <c r="F203">
        <v>422</v>
      </c>
      <c r="G203">
        <f>IF(AND(C202=kursy7[[#This Row],[Poczatek]],A202+DATE(1900,1,1)=kursy7[[#This Row],[Data]]),G202+1,1)</f>
        <v>2</v>
      </c>
    </row>
    <row r="204" spans="1:7" x14ac:dyDescent="0.25">
      <c r="A204" s="1">
        <v>42985</v>
      </c>
      <c r="B204" s="2" t="s">
        <v>39</v>
      </c>
      <c r="C204" s="2" t="s">
        <v>50</v>
      </c>
      <c r="D204">
        <v>1381</v>
      </c>
      <c r="E204">
        <v>192</v>
      </c>
      <c r="F204">
        <v>556</v>
      </c>
      <c r="G204">
        <f>IF(AND(C203=kursy7[[#This Row],[Poczatek]],A203+DATE(1900,1,1)=kursy7[[#This Row],[Data]]),G203+1,1)</f>
        <v>3</v>
      </c>
    </row>
    <row r="205" spans="1:7" x14ac:dyDescent="0.25">
      <c r="A205" s="1">
        <v>42986</v>
      </c>
      <c r="B205" s="2" t="s">
        <v>60</v>
      </c>
      <c r="C205" s="2" t="s">
        <v>59</v>
      </c>
      <c r="D205">
        <v>2219</v>
      </c>
      <c r="E205">
        <v>136</v>
      </c>
      <c r="F205">
        <v>162</v>
      </c>
      <c r="G205">
        <f>IF(AND(C204=kursy7[[#This Row],[Poczatek]],A204+DATE(1900,1,1)=kursy7[[#This Row],[Data]]),G204+1,1)</f>
        <v>1</v>
      </c>
    </row>
    <row r="206" spans="1:7" x14ac:dyDescent="0.25">
      <c r="A206" s="1">
        <v>42987</v>
      </c>
      <c r="B206" s="2" t="s">
        <v>59</v>
      </c>
      <c r="C206" s="2" t="s">
        <v>65</v>
      </c>
      <c r="D206">
        <v>5041</v>
      </c>
      <c r="E206">
        <v>101</v>
      </c>
      <c r="F206">
        <v>319</v>
      </c>
      <c r="G206">
        <f>IF(AND(C205=kursy7[[#This Row],[Poczatek]],A205+DATE(1900,1,1)=kursy7[[#This Row],[Data]]),G205+1,1)</f>
        <v>2</v>
      </c>
    </row>
    <row r="207" spans="1:7" x14ac:dyDescent="0.25">
      <c r="A207" s="1">
        <v>42989</v>
      </c>
      <c r="B207" s="2" t="s">
        <v>31</v>
      </c>
      <c r="C207" s="2" t="s">
        <v>23</v>
      </c>
      <c r="D207">
        <v>4432</v>
      </c>
      <c r="E207">
        <v>159</v>
      </c>
      <c r="F207">
        <v>585</v>
      </c>
      <c r="G207">
        <f>IF(AND(C206=kursy7[[#This Row],[Poczatek]],A206+DATE(1900,1,1)=kursy7[[#This Row],[Data]]),G206+1,1)</f>
        <v>1</v>
      </c>
    </row>
    <row r="208" spans="1:7" x14ac:dyDescent="0.25">
      <c r="A208" s="1">
        <v>42990</v>
      </c>
      <c r="B208" s="2" t="s">
        <v>6</v>
      </c>
      <c r="C208" s="2" t="s">
        <v>12</v>
      </c>
      <c r="D208">
        <v>2761</v>
      </c>
      <c r="E208">
        <v>129</v>
      </c>
      <c r="F208">
        <v>288</v>
      </c>
      <c r="G208">
        <f>IF(AND(C207=kursy7[[#This Row],[Poczatek]],A207+DATE(1900,1,1)=kursy7[[#This Row],[Data]]),G207+1,1)</f>
        <v>1</v>
      </c>
    </row>
    <row r="209" spans="1:7" x14ac:dyDescent="0.25">
      <c r="A209" s="1">
        <v>42991</v>
      </c>
      <c r="B209" s="2" t="s">
        <v>12</v>
      </c>
      <c r="C209" s="2" t="s">
        <v>7</v>
      </c>
      <c r="D209">
        <v>2935</v>
      </c>
      <c r="E209">
        <v>162</v>
      </c>
      <c r="F209">
        <v>572</v>
      </c>
      <c r="G209">
        <f>IF(AND(C208=kursy7[[#This Row],[Poczatek]],A208+DATE(1900,1,1)=kursy7[[#This Row],[Data]]),G208+1,1)</f>
        <v>2</v>
      </c>
    </row>
    <row r="210" spans="1:7" x14ac:dyDescent="0.25">
      <c r="A210" s="1">
        <v>42992</v>
      </c>
      <c r="B210" s="2" t="s">
        <v>36</v>
      </c>
      <c r="C210" s="2" t="s">
        <v>40</v>
      </c>
      <c r="D210">
        <v>3565</v>
      </c>
      <c r="E210">
        <v>176</v>
      </c>
      <c r="F210">
        <v>224</v>
      </c>
      <c r="G210">
        <f>IF(AND(C209=kursy7[[#This Row],[Poczatek]],A209+DATE(1900,1,1)=kursy7[[#This Row],[Data]]),G209+1,1)</f>
        <v>1</v>
      </c>
    </row>
    <row r="211" spans="1:7" x14ac:dyDescent="0.25">
      <c r="A211" s="1">
        <v>42993</v>
      </c>
      <c r="B211" s="2" t="s">
        <v>8</v>
      </c>
      <c r="C211" s="2" t="s">
        <v>38</v>
      </c>
      <c r="D211">
        <v>3096</v>
      </c>
      <c r="E211">
        <v>353</v>
      </c>
      <c r="F211">
        <v>993</v>
      </c>
      <c r="G211">
        <f>IF(AND(C210=kursy7[[#This Row],[Poczatek]],A210+DATE(1900,1,1)=kursy7[[#This Row],[Data]]),G210+1,1)</f>
        <v>1</v>
      </c>
    </row>
    <row r="212" spans="1:7" x14ac:dyDescent="0.25">
      <c r="A212" s="1">
        <v>42995</v>
      </c>
      <c r="B212" s="2" t="s">
        <v>50</v>
      </c>
      <c r="C212" s="2" t="s">
        <v>11</v>
      </c>
      <c r="D212">
        <v>3325</v>
      </c>
      <c r="E212">
        <v>517</v>
      </c>
      <c r="F212">
        <v>1107</v>
      </c>
      <c r="G212">
        <f>IF(AND(C211=kursy7[[#This Row],[Poczatek]],A211+DATE(1900,1,1)=kursy7[[#This Row],[Data]]),G211+1,1)</f>
        <v>1</v>
      </c>
    </row>
    <row r="213" spans="1:7" x14ac:dyDescent="0.25">
      <c r="A213" s="1">
        <v>42997</v>
      </c>
      <c r="B213" s="2" t="s">
        <v>15</v>
      </c>
      <c r="C213" s="2" t="s">
        <v>59</v>
      </c>
      <c r="D213">
        <v>2563</v>
      </c>
      <c r="E213">
        <v>480</v>
      </c>
      <c r="F213">
        <v>1849</v>
      </c>
      <c r="G213">
        <f>IF(AND(C212=kursy7[[#This Row],[Poczatek]],A212+DATE(1900,1,1)=kursy7[[#This Row],[Data]]),G212+1,1)</f>
        <v>1</v>
      </c>
    </row>
    <row r="214" spans="1:7" x14ac:dyDescent="0.25">
      <c r="A214" s="1">
        <v>42998</v>
      </c>
      <c r="B214" s="2" t="s">
        <v>59</v>
      </c>
      <c r="C214" s="2" t="s">
        <v>19</v>
      </c>
      <c r="D214">
        <v>2914</v>
      </c>
      <c r="E214">
        <v>104</v>
      </c>
      <c r="F214">
        <v>275</v>
      </c>
      <c r="G214">
        <f>IF(AND(C213=kursy7[[#This Row],[Poczatek]],A213+DATE(1900,1,1)=kursy7[[#This Row],[Data]]),G213+1,1)</f>
        <v>2</v>
      </c>
    </row>
    <row r="215" spans="1:7" x14ac:dyDescent="0.25">
      <c r="A215" s="1">
        <v>42999</v>
      </c>
      <c r="B215" s="2" t="s">
        <v>19</v>
      </c>
      <c r="C215" s="2" t="s">
        <v>29</v>
      </c>
      <c r="D215">
        <v>2832</v>
      </c>
      <c r="E215">
        <v>106</v>
      </c>
      <c r="F215">
        <v>396</v>
      </c>
      <c r="G215">
        <f>IF(AND(C214=kursy7[[#This Row],[Poczatek]],A214+DATE(1900,1,1)=kursy7[[#This Row],[Data]]),G214+1,1)</f>
        <v>3</v>
      </c>
    </row>
    <row r="216" spans="1:7" x14ac:dyDescent="0.25">
      <c r="A216" s="1">
        <v>43000</v>
      </c>
      <c r="B216" s="2" t="s">
        <v>59</v>
      </c>
      <c r="C216" s="2" t="s">
        <v>43</v>
      </c>
      <c r="D216">
        <v>5257</v>
      </c>
      <c r="E216">
        <v>407</v>
      </c>
      <c r="F216">
        <v>551</v>
      </c>
      <c r="G216">
        <f>IF(AND(C215=kursy7[[#This Row],[Poczatek]],A215+DATE(1900,1,1)=kursy7[[#This Row],[Data]]),G215+1,1)</f>
        <v>1</v>
      </c>
    </row>
    <row r="217" spans="1:7" x14ac:dyDescent="0.25">
      <c r="A217" s="1">
        <v>43001</v>
      </c>
      <c r="B217" s="2" t="s">
        <v>57</v>
      </c>
      <c r="C217" s="2" t="s">
        <v>43</v>
      </c>
      <c r="D217">
        <v>5983</v>
      </c>
      <c r="E217">
        <v>227</v>
      </c>
      <c r="F217">
        <v>832</v>
      </c>
      <c r="G217">
        <f>IF(AND(C216=kursy7[[#This Row],[Poczatek]],A216+DATE(1900,1,1)=kursy7[[#This Row],[Data]]),G216+1,1)</f>
        <v>1</v>
      </c>
    </row>
    <row r="218" spans="1:7" x14ac:dyDescent="0.25">
      <c r="A218" s="1">
        <v>43002</v>
      </c>
      <c r="B218" s="2" t="s">
        <v>43</v>
      </c>
      <c r="C218" s="2" t="s">
        <v>64</v>
      </c>
      <c r="D218">
        <v>4378</v>
      </c>
      <c r="E218">
        <v>187</v>
      </c>
      <c r="F218">
        <v>653</v>
      </c>
      <c r="G218">
        <f>IF(AND(C217=kursy7[[#This Row],[Poczatek]],A217+DATE(1900,1,1)=kursy7[[#This Row],[Data]]),G217+1,1)</f>
        <v>2</v>
      </c>
    </row>
    <row r="219" spans="1:7" x14ac:dyDescent="0.25">
      <c r="A219" s="1">
        <v>43003</v>
      </c>
      <c r="B219" s="2" t="s">
        <v>64</v>
      </c>
      <c r="C219" s="2" t="s">
        <v>25</v>
      </c>
      <c r="D219">
        <v>3108</v>
      </c>
      <c r="E219">
        <v>114</v>
      </c>
      <c r="F219">
        <v>174</v>
      </c>
      <c r="G219">
        <f>IF(AND(C218=kursy7[[#This Row],[Poczatek]],A218+DATE(1900,1,1)=kursy7[[#This Row],[Data]]),G218+1,1)</f>
        <v>3</v>
      </c>
    </row>
    <row r="220" spans="1:7" x14ac:dyDescent="0.25">
      <c r="A220" s="1">
        <v>43004</v>
      </c>
      <c r="B220" s="2" t="s">
        <v>25</v>
      </c>
      <c r="C220" s="2" t="s">
        <v>52</v>
      </c>
      <c r="D220">
        <v>2133</v>
      </c>
      <c r="E220">
        <v>166</v>
      </c>
      <c r="F220">
        <v>513</v>
      </c>
      <c r="G220">
        <f>IF(AND(C219=kursy7[[#This Row],[Poczatek]],A219+DATE(1900,1,1)=kursy7[[#This Row],[Data]]),G219+1,1)</f>
        <v>4</v>
      </c>
    </row>
    <row r="221" spans="1:7" x14ac:dyDescent="0.25">
      <c r="A221" s="1">
        <v>43005</v>
      </c>
      <c r="B221" s="2" t="s">
        <v>52</v>
      </c>
      <c r="C221" s="2" t="s">
        <v>48</v>
      </c>
      <c r="D221">
        <v>1125</v>
      </c>
      <c r="E221">
        <v>98</v>
      </c>
      <c r="F221">
        <v>194</v>
      </c>
      <c r="G221">
        <f>IF(AND(C220=kursy7[[#This Row],[Poczatek]],A220+DATE(1900,1,1)=kursy7[[#This Row],[Data]]),G220+1,1)</f>
        <v>5</v>
      </c>
    </row>
    <row r="222" spans="1:7" x14ac:dyDescent="0.25">
      <c r="A222" s="1">
        <v>43006</v>
      </c>
      <c r="B222" s="2" t="s">
        <v>48</v>
      </c>
      <c r="C222" s="2" t="s">
        <v>25</v>
      </c>
      <c r="D222">
        <v>4375</v>
      </c>
      <c r="E222">
        <v>140</v>
      </c>
      <c r="F222">
        <v>134</v>
      </c>
      <c r="G222">
        <f>IF(AND(C221=kursy7[[#This Row],[Poczatek]],A221+DATE(1900,1,1)=kursy7[[#This Row],[Data]]),G221+1,1)</f>
        <v>6</v>
      </c>
    </row>
    <row r="223" spans="1:7" x14ac:dyDescent="0.25">
      <c r="A223" s="1">
        <v>43008</v>
      </c>
      <c r="B223" s="2" t="s">
        <v>41</v>
      </c>
      <c r="C223" s="2" t="s">
        <v>12</v>
      </c>
      <c r="D223">
        <v>5455</v>
      </c>
      <c r="E223">
        <v>124</v>
      </c>
      <c r="F223">
        <v>231</v>
      </c>
      <c r="G223">
        <f>IF(AND(C222=kursy7[[#This Row],[Poczatek]],A222+DATE(1900,1,1)=kursy7[[#This Row],[Data]]),G222+1,1)</f>
        <v>1</v>
      </c>
    </row>
    <row r="224" spans="1:7" x14ac:dyDescent="0.25">
      <c r="A224" s="1">
        <v>43009</v>
      </c>
      <c r="B224" s="2" t="s">
        <v>29</v>
      </c>
      <c r="C224" s="2" t="s">
        <v>28</v>
      </c>
      <c r="D224">
        <v>4649</v>
      </c>
      <c r="E224">
        <v>125</v>
      </c>
      <c r="F224">
        <v>356</v>
      </c>
      <c r="G224">
        <f>IF(AND(C223=kursy7[[#This Row],[Poczatek]],A223+DATE(1900,1,1)=kursy7[[#This Row],[Data]]),G223+1,1)</f>
        <v>1</v>
      </c>
    </row>
    <row r="225" spans="1:7" x14ac:dyDescent="0.25">
      <c r="A225" s="1">
        <v>43010</v>
      </c>
      <c r="B225" s="2" t="s">
        <v>28</v>
      </c>
      <c r="C225" s="2" t="s">
        <v>60</v>
      </c>
      <c r="D225">
        <v>4016</v>
      </c>
      <c r="E225">
        <v>115</v>
      </c>
      <c r="F225">
        <v>145</v>
      </c>
      <c r="G225">
        <f>IF(AND(C224=kursy7[[#This Row],[Poczatek]],A224+DATE(1900,1,1)=kursy7[[#This Row],[Data]]),G224+1,1)</f>
        <v>2</v>
      </c>
    </row>
    <row r="226" spans="1:7" x14ac:dyDescent="0.25">
      <c r="A226" s="1">
        <v>43011</v>
      </c>
      <c r="B226" s="2" t="s">
        <v>60</v>
      </c>
      <c r="C226" s="2" t="s">
        <v>32</v>
      </c>
      <c r="D226">
        <v>1211</v>
      </c>
      <c r="E226">
        <v>139</v>
      </c>
      <c r="F226">
        <v>218</v>
      </c>
      <c r="G226">
        <f>IF(AND(C225=kursy7[[#This Row],[Poczatek]],A225+DATE(1900,1,1)=kursy7[[#This Row],[Data]]),G225+1,1)</f>
        <v>3</v>
      </c>
    </row>
    <row r="227" spans="1:7" x14ac:dyDescent="0.25">
      <c r="A227" s="1">
        <v>43012</v>
      </c>
      <c r="B227" s="2" t="s">
        <v>32</v>
      </c>
      <c r="C227" s="2" t="s">
        <v>42</v>
      </c>
      <c r="D227">
        <v>4633</v>
      </c>
      <c r="E227">
        <v>120</v>
      </c>
      <c r="F227">
        <v>280</v>
      </c>
      <c r="G227">
        <f>IF(AND(C226=kursy7[[#This Row],[Poczatek]],A226+DATE(1900,1,1)=kursy7[[#This Row],[Data]]),G226+1,1)</f>
        <v>4</v>
      </c>
    </row>
    <row r="228" spans="1:7" x14ac:dyDescent="0.25">
      <c r="A228" s="1">
        <v>43013</v>
      </c>
      <c r="B228" s="2" t="s">
        <v>42</v>
      </c>
      <c r="C228" s="2" t="s">
        <v>37</v>
      </c>
      <c r="D228">
        <v>2488</v>
      </c>
      <c r="E228">
        <v>144</v>
      </c>
      <c r="F228">
        <v>252</v>
      </c>
      <c r="G228">
        <f>IF(AND(C227=kursy7[[#This Row],[Poczatek]],A227+DATE(1900,1,1)=kursy7[[#This Row],[Data]]),G227+1,1)</f>
        <v>5</v>
      </c>
    </row>
    <row r="229" spans="1:7" x14ac:dyDescent="0.25">
      <c r="A229" s="1">
        <v>43014</v>
      </c>
      <c r="B229" s="2" t="s">
        <v>37</v>
      </c>
      <c r="C229" s="2" t="s">
        <v>35</v>
      </c>
      <c r="D229">
        <v>5798</v>
      </c>
      <c r="E229">
        <v>142</v>
      </c>
      <c r="F229">
        <v>501</v>
      </c>
      <c r="G229">
        <f>IF(AND(C228=kursy7[[#This Row],[Poczatek]],A228+DATE(1900,1,1)=kursy7[[#This Row],[Data]]),G228+1,1)</f>
        <v>6</v>
      </c>
    </row>
    <row r="230" spans="1:7" x14ac:dyDescent="0.25">
      <c r="A230" s="1">
        <v>43015</v>
      </c>
      <c r="B230" s="2" t="s">
        <v>42</v>
      </c>
      <c r="C230" s="2" t="s">
        <v>62</v>
      </c>
      <c r="D230">
        <v>2918</v>
      </c>
      <c r="E230">
        <v>181</v>
      </c>
      <c r="F230">
        <v>289</v>
      </c>
      <c r="G230">
        <f>IF(AND(C229=kursy7[[#This Row],[Poczatek]],A229+DATE(1900,1,1)=kursy7[[#This Row],[Data]]),G229+1,1)</f>
        <v>1</v>
      </c>
    </row>
    <row r="231" spans="1:7" x14ac:dyDescent="0.25">
      <c r="A231" s="1">
        <v>43016</v>
      </c>
      <c r="B231" s="2" t="s">
        <v>62</v>
      </c>
      <c r="C231" s="2" t="s">
        <v>61</v>
      </c>
      <c r="D231">
        <v>1886</v>
      </c>
      <c r="E231">
        <v>110</v>
      </c>
      <c r="F231">
        <v>254</v>
      </c>
      <c r="G231">
        <f>IF(AND(C230=kursy7[[#This Row],[Poczatek]],A230+DATE(1900,1,1)=kursy7[[#This Row],[Data]]),G230+1,1)</f>
        <v>2</v>
      </c>
    </row>
    <row r="232" spans="1:7" x14ac:dyDescent="0.25">
      <c r="A232" s="1">
        <v>43017</v>
      </c>
      <c r="B232" s="2" t="s">
        <v>70</v>
      </c>
      <c r="C232" s="2" t="s">
        <v>30</v>
      </c>
      <c r="D232">
        <v>4431</v>
      </c>
      <c r="E232">
        <v>128</v>
      </c>
      <c r="F232">
        <v>213</v>
      </c>
      <c r="G232">
        <f>IF(AND(C231=kursy7[[#This Row],[Poczatek]],A231+DATE(1900,1,1)=kursy7[[#This Row],[Data]]),G231+1,1)</f>
        <v>1</v>
      </c>
    </row>
    <row r="233" spans="1:7" x14ac:dyDescent="0.25">
      <c r="A233" s="1">
        <v>43018</v>
      </c>
      <c r="B233" s="2" t="s">
        <v>30</v>
      </c>
      <c r="C233" s="2" t="s">
        <v>40</v>
      </c>
      <c r="D233">
        <v>1956</v>
      </c>
      <c r="E233">
        <v>176</v>
      </c>
      <c r="F233">
        <v>248</v>
      </c>
      <c r="G233">
        <f>IF(AND(C232=kursy7[[#This Row],[Poczatek]],A232+DATE(1900,1,1)=kursy7[[#This Row],[Data]]),G232+1,1)</f>
        <v>2</v>
      </c>
    </row>
    <row r="234" spans="1:7" x14ac:dyDescent="0.25">
      <c r="A234" s="1">
        <v>43019</v>
      </c>
      <c r="B234" s="2" t="s">
        <v>15</v>
      </c>
      <c r="C234" s="2" t="s">
        <v>26</v>
      </c>
      <c r="D234">
        <v>4059</v>
      </c>
      <c r="E234">
        <v>162</v>
      </c>
      <c r="F234">
        <v>550</v>
      </c>
      <c r="G234">
        <f>IF(AND(C233=kursy7[[#This Row],[Poczatek]],A233+DATE(1900,1,1)=kursy7[[#This Row],[Data]]),G233+1,1)</f>
        <v>1</v>
      </c>
    </row>
    <row r="235" spans="1:7" x14ac:dyDescent="0.25">
      <c r="A235" s="1">
        <v>43020</v>
      </c>
      <c r="B235" s="2" t="s">
        <v>26</v>
      </c>
      <c r="C235" s="2" t="s">
        <v>23</v>
      </c>
      <c r="D235">
        <v>2157</v>
      </c>
      <c r="E235">
        <v>115</v>
      </c>
      <c r="F235">
        <v>182</v>
      </c>
      <c r="G235">
        <f>IF(AND(C234=kursy7[[#This Row],[Poczatek]],A234+DATE(1900,1,1)=kursy7[[#This Row],[Data]]),G234+1,1)</f>
        <v>2</v>
      </c>
    </row>
    <row r="236" spans="1:7" x14ac:dyDescent="0.25">
      <c r="A236" s="1">
        <v>43021</v>
      </c>
      <c r="B236" s="2" t="s">
        <v>23</v>
      </c>
      <c r="C236" s="2" t="s">
        <v>24</v>
      </c>
      <c r="D236">
        <v>3353</v>
      </c>
      <c r="E236">
        <v>117</v>
      </c>
      <c r="F236">
        <v>312</v>
      </c>
      <c r="G236">
        <f>IF(AND(C235=kursy7[[#This Row],[Poczatek]],A235+DATE(1900,1,1)=kursy7[[#This Row],[Data]]),G235+1,1)</f>
        <v>3</v>
      </c>
    </row>
    <row r="237" spans="1:7" x14ac:dyDescent="0.25">
      <c r="A237" s="1">
        <v>43022</v>
      </c>
      <c r="B237" s="2" t="s">
        <v>24</v>
      </c>
      <c r="C237" s="2" t="s">
        <v>21</v>
      </c>
      <c r="D237">
        <v>4677</v>
      </c>
      <c r="E237">
        <v>219</v>
      </c>
      <c r="F237">
        <v>255</v>
      </c>
      <c r="G237">
        <f>IF(AND(C236=kursy7[[#This Row],[Poczatek]],A236+DATE(1900,1,1)=kursy7[[#This Row],[Data]]),G236+1,1)</f>
        <v>4</v>
      </c>
    </row>
    <row r="238" spans="1:7" x14ac:dyDescent="0.25">
      <c r="A238" s="1">
        <v>43023</v>
      </c>
      <c r="B238" s="2" t="s">
        <v>21</v>
      </c>
      <c r="C238" s="2" t="s">
        <v>25</v>
      </c>
      <c r="D238">
        <v>2059</v>
      </c>
      <c r="E238">
        <v>164</v>
      </c>
      <c r="F238">
        <v>630</v>
      </c>
      <c r="G238">
        <f>IF(AND(C237=kursy7[[#This Row],[Poczatek]],A237+DATE(1900,1,1)=kursy7[[#This Row],[Data]]),G237+1,1)</f>
        <v>5</v>
      </c>
    </row>
    <row r="239" spans="1:7" x14ac:dyDescent="0.25">
      <c r="A239" s="1">
        <v>43025</v>
      </c>
      <c r="B239" s="2" t="s">
        <v>8</v>
      </c>
      <c r="C239" s="2" t="s">
        <v>29</v>
      </c>
      <c r="D239">
        <v>5537</v>
      </c>
      <c r="E239">
        <v>141</v>
      </c>
      <c r="F239">
        <v>240</v>
      </c>
      <c r="G239">
        <f>IF(AND(C238=kursy7[[#This Row],[Poczatek]],A238+DATE(1900,1,1)=kursy7[[#This Row],[Data]]),G238+1,1)</f>
        <v>1</v>
      </c>
    </row>
    <row r="240" spans="1:7" x14ac:dyDescent="0.25">
      <c r="A240" s="1">
        <v>43026</v>
      </c>
      <c r="B240" s="2" t="s">
        <v>29</v>
      </c>
      <c r="C240" s="2" t="s">
        <v>59</v>
      </c>
      <c r="D240">
        <v>2987</v>
      </c>
      <c r="E240">
        <v>149</v>
      </c>
      <c r="F240">
        <v>464</v>
      </c>
      <c r="G240">
        <f>IF(AND(C239=kursy7[[#This Row],[Poczatek]],A239+DATE(1900,1,1)=kursy7[[#This Row],[Data]]),G239+1,1)</f>
        <v>2</v>
      </c>
    </row>
    <row r="241" spans="1:7" x14ac:dyDescent="0.25">
      <c r="A241" s="1">
        <v>43028</v>
      </c>
      <c r="B241" s="2" t="s">
        <v>69</v>
      </c>
      <c r="C241" s="2" t="s">
        <v>67</v>
      </c>
      <c r="D241">
        <v>5570</v>
      </c>
      <c r="E241">
        <v>166</v>
      </c>
      <c r="F241">
        <v>577</v>
      </c>
      <c r="G241">
        <f>IF(AND(C240=kursy7[[#This Row],[Poczatek]],A240+DATE(1900,1,1)=kursy7[[#This Row],[Data]]),G240+1,1)</f>
        <v>1</v>
      </c>
    </row>
    <row r="242" spans="1:7" x14ac:dyDescent="0.25">
      <c r="A242" s="1">
        <v>43029</v>
      </c>
      <c r="B242" s="2" t="s">
        <v>67</v>
      </c>
      <c r="C242" s="2" t="s">
        <v>66</v>
      </c>
      <c r="D242">
        <v>3948</v>
      </c>
      <c r="E242">
        <v>137</v>
      </c>
      <c r="F242">
        <v>469</v>
      </c>
      <c r="G242">
        <f>IF(AND(C241=kursy7[[#This Row],[Poczatek]],A241+DATE(1900,1,1)=kursy7[[#This Row],[Data]]),G241+1,1)</f>
        <v>2</v>
      </c>
    </row>
    <row r="243" spans="1:7" x14ac:dyDescent="0.25">
      <c r="A243" s="1">
        <v>43030</v>
      </c>
      <c r="B243" s="2" t="s">
        <v>56</v>
      </c>
      <c r="C243" s="2" t="s">
        <v>59</v>
      </c>
      <c r="D243">
        <v>4201</v>
      </c>
      <c r="E243">
        <v>380</v>
      </c>
      <c r="F243">
        <v>528</v>
      </c>
      <c r="G243">
        <f>IF(AND(C242=kursy7[[#This Row],[Poczatek]],A242+DATE(1900,1,1)=kursy7[[#This Row],[Data]]),G242+1,1)</f>
        <v>1</v>
      </c>
    </row>
    <row r="244" spans="1:7" x14ac:dyDescent="0.25">
      <c r="A244" s="1">
        <v>43031</v>
      </c>
      <c r="B244" s="2" t="s">
        <v>59</v>
      </c>
      <c r="C244" s="2" t="s">
        <v>12</v>
      </c>
      <c r="D244">
        <v>3592</v>
      </c>
      <c r="E244">
        <v>109</v>
      </c>
      <c r="F244">
        <v>134</v>
      </c>
      <c r="G244">
        <f>IF(AND(C243=kursy7[[#This Row],[Poczatek]],A243+DATE(1900,1,1)=kursy7[[#This Row],[Data]]),G243+1,1)</f>
        <v>2</v>
      </c>
    </row>
    <row r="245" spans="1:7" x14ac:dyDescent="0.25">
      <c r="A245" s="1">
        <v>43032</v>
      </c>
      <c r="B245" s="2" t="s">
        <v>12</v>
      </c>
      <c r="C245" s="2" t="s">
        <v>41</v>
      </c>
      <c r="D245">
        <v>4543</v>
      </c>
      <c r="E245">
        <v>135</v>
      </c>
      <c r="F245">
        <v>345</v>
      </c>
      <c r="G245">
        <f>IF(AND(C244=kursy7[[#This Row],[Poczatek]],A244+DATE(1900,1,1)=kursy7[[#This Row],[Data]]),G244+1,1)</f>
        <v>3</v>
      </c>
    </row>
    <row r="246" spans="1:7" x14ac:dyDescent="0.25">
      <c r="A246" s="1">
        <v>43034</v>
      </c>
      <c r="B246" s="2" t="s">
        <v>12</v>
      </c>
      <c r="C246" s="2" t="s">
        <v>9</v>
      </c>
      <c r="D246">
        <v>1813</v>
      </c>
      <c r="E246">
        <v>86</v>
      </c>
      <c r="F246">
        <v>163</v>
      </c>
      <c r="G246">
        <f>IF(AND(C245=kursy7[[#This Row],[Poczatek]],A245+DATE(1900,1,1)=kursy7[[#This Row],[Data]]),G245+1,1)</f>
        <v>1</v>
      </c>
    </row>
    <row r="247" spans="1:7" x14ac:dyDescent="0.25">
      <c r="A247" s="1">
        <v>43035</v>
      </c>
      <c r="B247" s="2" t="s">
        <v>38</v>
      </c>
      <c r="C247" s="2" t="s">
        <v>49</v>
      </c>
      <c r="D247">
        <v>4567</v>
      </c>
      <c r="E247">
        <v>31</v>
      </c>
      <c r="F247">
        <v>54</v>
      </c>
      <c r="G247">
        <f>IF(AND(C246=kursy7[[#This Row],[Poczatek]],A246+DATE(1900,1,1)=kursy7[[#This Row],[Data]]),G246+1,1)</f>
        <v>1</v>
      </c>
    </row>
    <row r="248" spans="1:7" x14ac:dyDescent="0.25">
      <c r="A248" s="1">
        <v>43036</v>
      </c>
      <c r="B248" s="2" t="s">
        <v>49</v>
      </c>
      <c r="C248" s="2" t="s">
        <v>37</v>
      </c>
      <c r="D248">
        <v>1830</v>
      </c>
      <c r="E248">
        <v>152</v>
      </c>
      <c r="F248">
        <v>301</v>
      </c>
      <c r="G248">
        <f>IF(AND(C247=kursy7[[#This Row],[Poczatek]],A247+DATE(1900,1,1)=kursy7[[#This Row],[Data]]),G247+1,1)</f>
        <v>2</v>
      </c>
    </row>
    <row r="249" spans="1:7" x14ac:dyDescent="0.25">
      <c r="A249" s="1">
        <v>43037</v>
      </c>
      <c r="B249" s="2" t="s">
        <v>37</v>
      </c>
      <c r="C249" s="2" t="s">
        <v>57</v>
      </c>
      <c r="D249">
        <v>3678</v>
      </c>
      <c r="E249">
        <v>104</v>
      </c>
      <c r="F249">
        <v>275</v>
      </c>
      <c r="G249">
        <f>IF(AND(C248=kursy7[[#This Row],[Poczatek]],A248+DATE(1900,1,1)=kursy7[[#This Row],[Data]]),G248+1,1)</f>
        <v>3</v>
      </c>
    </row>
    <row r="250" spans="1:7" x14ac:dyDescent="0.25">
      <c r="A250" s="1">
        <v>43038</v>
      </c>
      <c r="B250" s="2" t="s">
        <v>17</v>
      </c>
      <c r="C250" s="2" t="s">
        <v>38</v>
      </c>
      <c r="D250">
        <v>1782</v>
      </c>
      <c r="E250">
        <v>171</v>
      </c>
      <c r="F250">
        <v>193</v>
      </c>
      <c r="G250">
        <f>IF(AND(C249=kursy7[[#This Row],[Poczatek]],A249+DATE(1900,1,1)=kursy7[[#This Row],[Data]]),G249+1,1)</f>
        <v>1</v>
      </c>
    </row>
    <row r="251" spans="1:7" x14ac:dyDescent="0.25">
      <c r="A251" s="1">
        <v>43040</v>
      </c>
      <c r="B251" s="2" t="s">
        <v>12</v>
      </c>
      <c r="C251" s="2" t="s">
        <v>6</v>
      </c>
      <c r="D251">
        <v>2966</v>
      </c>
      <c r="E251">
        <v>125</v>
      </c>
      <c r="F251">
        <v>170</v>
      </c>
      <c r="G251">
        <f>IF(AND(C250=kursy7[[#This Row],[Poczatek]],A250+DATE(1900,1,1)=kursy7[[#This Row],[Data]]),G250+1,1)</f>
        <v>1</v>
      </c>
    </row>
    <row r="252" spans="1:7" x14ac:dyDescent="0.25">
      <c r="A252" s="1">
        <v>43042</v>
      </c>
      <c r="B252" s="2" t="s">
        <v>32</v>
      </c>
      <c r="C252" s="2" t="s">
        <v>47</v>
      </c>
      <c r="D252">
        <v>4746</v>
      </c>
      <c r="E252">
        <v>131</v>
      </c>
      <c r="F252">
        <v>245</v>
      </c>
      <c r="G252">
        <f>IF(AND(C251=kursy7[[#This Row],[Poczatek]],A251+DATE(1900,1,1)=kursy7[[#This Row],[Data]]),G251+1,1)</f>
        <v>1</v>
      </c>
    </row>
    <row r="253" spans="1:7" x14ac:dyDescent="0.25">
      <c r="A253" s="1">
        <v>43044</v>
      </c>
      <c r="B253" s="2" t="s">
        <v>37</v>
      </c>
      <c r="C253" s="2" t="s">
        <v>18</v>
      </c>
      <c r="D253">
        <v>3161</v>
      </c>
      <c r="E253">
        <v>101</v>
      </c>
      <c r="F253">
        <v>115</v>
      </c>
      <c r="G253">
        <f>IF(AND(C252=kursy7[[#This Row],[Poczatek]],A252+DATE(1900,1,1)=kursy7[[#This Row],[Data]]),G252+1,1)</f>
        <v>1</v>
      </c>
    </row>
    <row r="254" spans="1:7" x14ac:dyDescent="0.25">
      <c r="A254" s="1">
        <v>43045</v>
      </c>
      <c r="B254" s="2" t="s">
        <v>60</v>
      </c>
      <c r="C254" s="2" t="s">
        <v>71</v>
      </c>
      <c r="D254">
        <v>3600</v>
      </c>
      <c r="E254">
        <v>211</v>
      </c>
      <c r="F254">
        <v>670</v>
      </c>
      <c r="G254">
        <f>IF(AND(C253=kursy7[[#This Row],[Poczatek]],A253+DATE(1900,1,1)=kursy7[[#This Row],[Data]]),G253+1,1)</f>
        <v>1</v>
      </c>
    </row>
    <row r="255" spans="1:7" x14ac:dyDescent="0.25">
      <c r="A255" s="1">
        <v>43046</v>
      </c>
      <c r="B255" s="2" t="s">
        <v>71</v>
      </c>
      <c r="C255" s="2" t="s">
        <v>10</v>
      </c>
      <c r="D255">
        <v>4093</v>
      </c>
      <c r="E255">
        <v>119</v>
      </c>
      <c r="F255">
        <v>254</v>
      </c>
      <c r="G255">
        <f>IF(AND(C254=kursy7[[#This Row],[Poczatek]],A254+DATE(1900,1,1)=kursy7[[#This Row],[Data]]),G254+1,1)</f>
        <v>2</v>
      </c>
    </row>
    <row r="256" spans="1:7" x14ac:dyDescent="0.25">
      <c r="A256" s="1">
        <v>43047</v>
      </c>
      <c r="B256" s="2" t="s">
        <v>10</v>
      </c>
      <c r="C256" s="2" t="s">
        <v>9</v>
      </c>
      <c r="D256">
        <v>1981</v>
      </c>
      <c r="E256">
        <v>159</v>
      </c>
      <c r="F256">
        <v>192</v>
      </c>
      <c r="G256">
        <f>IF(AND(C255=kursy7[[#This Row],[Poczatek]],A255+DATE(1900,1,1)=kursy7[[#This Row],[Data]]),G255+1,1)</f>
        <v>3</v>
      </c>
    </row>
    <row r="257" spans="1:7" x14ac:dyDescent="0.25">
      <c r="A257" s="1">
        <v>43048</v>
      </c>
      <c r="B257" s="2" t="s">
        <v>9</v>
      </c>
      <c r="C257" s="2" t="s">
        <v>6</v>
      </c>
      <c r="D257">
        <v>3154</v>
      </c>
      <c r="E257">
        <v>127</v>
      </c>
      <c r="F257">
        <v>390</v>
      </c>
      <c r="G257">
        <f>IF(AND(C256=kursy7[[#This Row],[Poczatek]],A256+DATE(1900,1,1)=kursy7[[#This Row],[Data]]),G256+1,1)</f>
        <v>4</v>
      </c>
    </row>
    <row r="258" spans="1:7" x14ac:dyDescent="0.25">
      <c r="A258" s="1">
        <v>43051</v>
      </c>
      <c r="B258" s="2" t="s">
        <v>8</v>
      </c>
      <c r="C258" s="2" t="s">
        <v>67</v>
      </c>
      <c r="D258">
        <v>4876</v>
      </c>
      <c r="E258">
        <v>280</v>
      </c>
      <c r="F258">
        <v>688</v>
      </c>
      <c r="G258">
        <f>IF(AND(C257=kursy7[[#This Row],[Poczatek]],A257+DATE(1900,1,1)=kursy7[[#This Row],[Data]]),G257+1,1)</f>
        <v>1</v>
      </c>
    </row>
    <row r="259" spans="1:7" x14ac:dyDescent="0.25">
      <c r="A259" s="1">
        <v>43052</v>
      </c>
      <c r="B259" s="2" t="s">
        <v>67</v>
      </c>
      <c r="C259" s="2" t="s">
        <v>66</v>
      </c>
      <c r="D259">
        <v>5153</v>
      </c>
      <c r="E259">
        <v>141</v>
      </c>
      <c r="F259">
        <v>547</v>
      </c>
      <c r="G259">
        <f>IF(AND(C258=kursy7[[#This Row],[Poczatek]],A258+DATE(1900,1,1)=kursy7[[#This Row],[Data]]),G258+1,1)</f>
        <v>2</v>
      </c>
    </row>
    <row r="260" spans="1:7" x14ac:dyDescent="0.25">
      <c r="A260" s="1">
        <v>43053</v>
      </c>
      <c r="B260" s="2" t="s">
        <v>66</v>
      </c>
      <c r="C260" s="2" t="s">
        <v>45</v>
      </c>
      <c r="D260">
        <v>1720</v>
      </c>
      <c r="E260">
        <v>122</v>
      </c>
      <c r="F260">
        <v>363</v>
      </c>
      <c r="G260">
        <f>IF(AND(C259=kursy7[[#This Row],[Poczatek]],A259+DATE(1900,1,1)=kursy7[[#This Row],[Data]]),G259+1,1)</f>
        <v>3</v>
      </c>
    </row>
    <row r="261" spans="1:7" x14ac:dyDescent="0.25">
      <c r="A261" s="1">
        <v>43054</v>
      </c>
      <c r="B261" s="2" t="s">
        <v>45</v>
      </c>
      <c r="C261" s="2" t="s">
        <v>44</v>
      </c>
      <c r="D261">
        <v>5392</v>
      </c>
      <c r="E261">
        <v>161</v>
      </c>
      <c r="F261">
        <v>240</v>
      </c>
      <c r="G261">
        <f>IF(AND(C260=kursy7[[#This Row],[Poczatek]],A260+DATE(1900,1,1)=kursy7[[#This Row],[Data]]),G260+1,1)</f>
        <v>4</v>
      </c>
    </row>
    <row r="262" spans="1:7" x14ac:dyDescent="0.25">
      <c r="A262" s="1">
        <v>43055</v>
      </c>
      <c r="B262" s="2" t="s">
        <v>70</v>
      </c>
      <c r="C262" s="2" t="s">
        <v>23</v>
      </c>
      <c r="D262">
        <v>1698</v>
      </c>
      <c r="E262">
        <v>224</v>
      </c>
      <c r="F262">
        <v>579</v>
      </c>
      <c r="G262">
        <f>IF(AND(C261=kursy7[[#This Row],[Poczatek]],A261+DATE(1900,1,1)=kursy7[[#This Row],[Data]]),G261+1,1)</f>
        <v>1</v>
      </c>
    </row>
    <row r="263" spans="1:7" x14ac:dyDescent="0.25">
      <c r="A263" s="1">
        <v>43056</v>
      </c>
      <c r="B263" s="2" t="s">
        <v>23</v>
      </c>
      <c r="C263" s="2" t="s">
        <v>21</v>
      </c>
      <c r="D263">
        <v>3411</v>
      </c>
      <c r="E263">
        <v>166</v>
      </c>
      <c r="F263">
        <v>574</v>
      </c>
      <c r="G263">
        <f>IF(AND(C262=kursy7[[#This Row],[Poczatek]],A262+DATE(1900,1,1)=kursy7[[#This Row],[Data]]),G262+1,1)</f>
        <v>2</v>
      </c>
    </row>
    <row r="264" spans="1:7" x14ac:dyDescent="0.25">
      <c r="A264" s="1">
        <v>43057</v>
      </c>
      <c r="B264" s="2" t="s">
        <v>21</v>
      </c>
      <c r="C264" s="2" t="s">
        <v>14</v>
      </c>
      <c r="D264">
        <v>5558</v>
      </c>
      <c r="E264">
        <v>107</v>
      </c>
      <c r="F264">
        <v>202</v>
      </c>
      <c r="G264">
        <f>IF(AND(C263=kursy7[[#This Row],[Poczatek]],A263+DATE(1900,1,1)=kursy7[[#This Row],[Data]]),G263+1,1)</f>
        <v>3</v>
      </c>
    </row>
    <row r="265" spans="1:7" x14ac:dyDescent="0.25">
      <c r="A265" s="1">
        <v>43058</v>
      </c>
      <c r="B265" s="2" t="s">
        <v>14</v>
      </c>
      <c r="C265" s="2" t="s">
        <v>40</v>
      </c>
      <c r="D265">
        <v>2592</v>
      </c>
      <c r="E265">
        <v>136</v>
      </c>
      <c r="F265">
        <v>325</v>
      </c>
      <c r="G265">
        <f>IF(AND(C264=kursy7[[#This Row],[Poczatek]],A264+DATE(1900,1,1)=kursy7[[#This Row],[Data]]),G264+1,1)</f>
        <v>4</v>
      </c>
    </row>
    <row r="266" spans="1:7" x14ac:dyDescent="0.25">
      <c r="A266" s="1">
        <v>43059</v>
      </c>
      <c r="B266" s="2" t="s">
        <v>40</v>
      </c>
      <c r="C266" s="2" t="s">
        <v>30</v>
      </c>
      <c r="D266">
        <v>5214</v>
      </c>
      <c r="E266">
        <v>178</v>
      </c>
      <c r="F266">
        <v>634</v>
      </c>
      <c r="G266">
        <f>IF(AND(C265=kursy7[[#This Row],[Poczatek]],A265+DATE(1900,1,1)=kursy7[[#This Row],[Data]]),G265+1,1)</f>
        <v>5</v>
      </c>
    </row>
    <row r="267" spans="1:7" x14ac:dyDescent="0.25">
      <c r="A267" s="1">
        <v>43060</v>
      </c>
      <c r="B267" s="2" t="s">
        <v>30</v>
      </c>
      <c r="C267" s="2" t="s">
        <v>40</v>
      </c>
      <c r="D267">
        <v>5491</v>
      </c>
      <c r="E267">
        <v>162</v>
      </c>
      <c r="F267">
        <v>408</v>
      </c>
      <c r="G267">
        <f>IF(AND(C266=kursy7[[#This Row],[Poczatek]],A266+DATE(1900,1,1)=kursy7[[#This Row],[Data]]),G266+1,1)</f>
        <v>6</v>
      </c>
    </row>
    <row r="268" spans="1:7" x14ac:dyDescent="0.25">
      <c r="A268" s="1">
        <v>43061</v>
      </c>
      <c r="B268" s="2" t="s">
        <v>16</v>
      </c>
      <c r="C268" s="2" t="s">
        <v>35</v>
      </c>
      <c r="D268">
        <v>4594</v>
      </c>
      <c r="E268">
        <v>443</v>
      </c>
      <c r="F268">
        <v>1098</v>
      </c>
      <c r="G268">
        <f>IF(AND(C267=kursy7[[#This Row],[Poczatek]],A267+DATE(1900,1,1)=kursy7[[#This Row],[Data]]),G267+1,1)</f>
        <v>1</v>
      </c>
    </row>
    <row r="269" spans="1:7" x14ac:dyDescent="0.25">
      <c r="A269" s="1">
        <v>43062</v>
      </c>
      <c r="B269" s="2" t="s">
        <v>35</v>
      </c>
      <c r="C269" s="2" t="s">
        <v>37</v>
      </c>
      <c r="D269">
        <v>1047</v>
      </c>
      <c r="E269">
        <v>147</v>
      </c>
      <c r="F269">
        <v>432</v>
      </c>
      <c r="G269">
        <f>IF(AND(C268=kursy7[[#This Row],[Poczatek]],A268+DATE(1900,1,1)=kursy7[[#This Row],[Data]]),G268+1,1)</f>
        <v>2</v>
      </c>
    </row>
    <row r="270" spans="1:7" x14ac:dyDescent="0.25">
      <c r="A270" s="1">
        <v>43063</v>
      </c>
      <c r="B270" s="2" t="s">
        <v>15</v>
      </c>
      <c r="C270" s="2" t="s">
        <v>59</v>
      </c>
      <c r="D270">
        <v>5517</v>
      </c>
      <c r="E270">
        <v>494</v>
      </c>
      <c r="F270">
        <v>1185</v>
      </c>
      <c r="G270">
        <f>IF(AND(C269=kursy7[[#This Row],[Poczatek]],A269+DATE(1900,1,1)=kursy7[[#This Row],[Data]]),G269+1,1)</f>
        <v>1</v>
      </c>
    </row>
    <row r="271" spans="1:7" x14ac:dyDescent="0.25">
      <c r="A271" s="1">
        <v>43064</v>
      </c>
      <c r="B271" s="2" t="s">
        <v>59</v>
      </c>
      <c r="C271" s="2" t="s">
        <v>12</v>
      </c>
      <c r="D271">
        <v>4155</v>
      </c>
      <c r="E271">
        <v>93</v>
      </c>
      <c r="F271">
        <v>181</v>
      </c>
      <c r="G271">
        <f>IF(AND(C270=kursy7[[#This Row],[Poczatek]],A270+DATE(1900,1,1)=kursy7[[#This Row],[Data]]),G270+1,1)</f>
        <v>2</v>
      </c>
    </row>
    <row r="272" spans="1:7" x14ac:dyDescent="0.25">
      <c r="A272" s="1">
        <v>43067</v>
      </c>
      <c r="B272" s="2" t="s">
        <v>61</v>
      </c>
      <c r="C272" s="2" t="s">
        <v>48</v>
      </c>
      <c r="D272">
        <v>2798</v>
      </c>
      <c r="E272">
        <v>109</v>
      </c>
      <c r="F272">
        <v>366</v>
      </c>
      <c r="G272">
        <f>IF(AND(C271=kursy7[[#This Row],[Poczatek]],A271+DATE(1900,1,1)=kursy7[[#This Row],[Data]]),G271+1,1)</f>
        <v>1</v>
      </c>
    </row>
    <row r="273" spans="1:7" x14ac:dyDescent="0.25">
      <c r="A273" s="1">
        <v>43068</v>
      </c>
      <c r="B273" s="2" t="s">
        <v>48</v>
      </c>
      <c r="C273" s="2" t="s">
        <v>61</v>
      </c>
      <c r="D273">
        <v>4217</v>
      </c>
      <c r="E273">
        <v>112</v>
      </c>
      <c r="F273">
        <v>263</v>
      </c>
      <c r="G273">
        <f>IF(AND(C272=kursy7[[#This Row],[Poczatek]],A272+DATE(1900,1,1)=kursy7[[#This Row],[Data]]),G272+1,1)</f>
        <v>2</v>
      </c>
    </row>
    <row r="274" spans="1:7" x14ac:dyDescent="0.25">
      <c r="A274" s="1">
        <v>43069</v>
      </c>
      <c r="B274" s="2" t="s">
        <v>61</v>
      </c>
      <c r="C274" s="2" t="s">
        <v>48</v>
      </c>
      <c r="D274">
        <v>4327</v>
      </c>
      <c r="E274">
        <v>109</v>
      </c>
      <c r="F274">
        <v>196</v>
      </c>
      <c r="G274">
        <f>IF(AND(C273=kursy7[[#This Row],[Poczatek]],A273+DATE(1900,1,1)=kursy7[[#This Row],[Data]]),G273+1,1)</f>
        <v>3</v>
      </c>
    </row>
    <row r="275" spans="1:7" x14ac:dyDescent="0.25">
      <c r="A275" s="1">
        <v>43070</v>
      </c>
      <c r="B275" s="2" t="s">
        <v>32</v>
      </c>
      <c r="C275" s="2" t="s">
        <v>38</v>
      </c>
      <c r="D275">
        <v>2555</v>
      </c>
      <c r="E275">
        <v>124</v>
      </c>
      <c r="F275">
        <v>150</v>
      </c>
      <c r="G275">
        <f>IF(AND(C274=kursy7[[#This Row],[Poczatek]],A274+DATE(1900,1,1)=kursy7[[#This Row],[Data]]),G274+1,1)</f>
        <v>1</v>
      </c>
    </row>
    <row r="276" spans="1:7" x14ac:dyDescent="0.25">
      <c r="A276" s="1">
        <v>43071</v>
      </c>
      <c r="B276" s="2" t="s">
        <v>38</v>
      </c>
      <c r="C276" s="2" t="s">
        <v>57</v>
      </c>
      <c r="D276">
        <v>5150</v>
      </c>
      <c r="E276">
        <v>104</v>
      </c>
      <c r="F276">
        <v>435</v>
      </c>
      <c r="G276">
        <f>IF(AND(C275=kursy7[[#This Row],[Poczatek]],A275+DATE(1900,1,1)=kursy7[[#This Row],[Data]]),G275+1,1)</f>
        <v>2</v>
      </c>
    </row>
    <row r="277" spans="1:7" x14ac:dyDescent="0.25">
      <c r="A277" s="1">
        <v>43072</v>
      </c>
      <c r="B277" s="2" t="s">
        <v>56</v>
      </c>
      <c r="C277" s="2" t="s">
        <v>47</v>
      </c>
      <c r="D277">
        <v>5697</v>
      </c>
      <c r="E277">
        <v>257</v>
      </c>
      <c r="F277">
        <v>717</v>
      </c>
      <c r="G277">
        <f>IF(AND(C276=kursy7[[#This Row],[Poczatek]],A276+DATE(1900,1,1)=kursy7[[#This Row],[Data]]),G276+1,1)</f>
        <v>1</v>
      </c>
    </row>
    <row r="278" spans="1:7" x14ac:dyDescent="0.25">
      <c r="A278" s="1">
        <v>43073</v>
      </c>
      <c r="B278" s="2" t="s">
        <v>47</v>
      </c>
      <c r="C278" s="2" t="s">
        <v>46</v>
      </c>
      <c r="D278">
        <v>3192</v>
      </c>
      <c r="E278">
        <v>113</v>
      </c>
      <c r="F278">
        <v>310</v>
      </c>
      <c r="G278">
        <f>IF(AND(C277=kursy7[[#This Row],[Poczatek]],A277+DATE(1900,1,1)=kursy7[[#This Row],[Data]]),G277+1,1)</f>
        <v>2</v>
      </c>
    </row>
    <row r="279" spans="1:7" x14ac:dyDescent="0.25">
      <c r="A279" s="1">
        <v>43075</v>
      </c>
      <c r="B279" s="2" t="s">
        <v>38</v>
      </c>
      <c r="C279" s="2" t="s">
        <v>59</v>
      </c>
      <c r="D279">
        <v>2781</v>
      </c>
      <c r="E279">
        <v>409</v>
      </c>
      <c r="F279">
        <v>1436</v>
      </c>
      <c r="G279">
        <f>IF(AND(C278=kursy7[[#This Row],[Poczatek]],A278+DATE(1900,1,1)=kursy7[[#This Row],[Data]]),G278+1,1)</f>
        <v>1</v>
      </c>
    </row>
    <row r="280" spans="1:7" x14ac:dyDescent="0.25">
      <c r="A280" s="1">
        <v>43076</v>
      </c>
      <c r="B280" s="2" t="s">
        <v>59</v>
      </c>
      <c r="C280" s="2" t="s">
        <v>8</v>
      </c>
      <c r="D280">
        <v>1093</v>
      </c>
      <c r="E280">
        <v>110</v>
      </c>
      <c r="F280">
        <v>400</v>
      </c>
      <c r="G280">
        <f>IF(AND(C279=kursy7[[#This Row],[Poczatek]],A279+DATE(1900,1,1)=kursy7[[#This Row],[Data]]),G279+1,1)</f>
        <v>2</v>
      </c>
    </row>
    <row r="281" spans="1:7" x14ac:dyDescent="0.25">
      <c r="A281" s="1">
        <v>43077</v>
      </c>
      <c r="B281" s="2" t="s">
        <v>8</v>
      </c>
      <c r="C281" s="2" t="s">
        <v>20</v>
      </c>
      <c r="D281">
        <v>2291</v>
      </c>
      <c r="E281">
        <v>132</v>
      </c>
      <c r="F281">
        <v>163</v>
      </c>
      <c r="G281">
        <f>IF(AND(C280=kursy7[[#This Row],[Poczatek]],A280+DATE(1900,1,1)=kursy7[[#This Row],[Data]]),G280+1,1)</f>
        <v>3</v>
      </c>
    </row>
    <row r="282" spans="1:7" x14ac:dyDescent="0.25">
      <c r="A282" s="1">
        <v>43078</v>
      </c>
      <c r="B282" s="2" t="s">
        <v>15</v>
      </c>
      <c r="C282" s="2" t="s">
        <v>23</v>
      </c>
      <c r="D282">
        <v>2962</v>
      </c>
      <c r="E282">
        <v>170</v>
      </c>
      <c r="F282">
        <v>273</v>
      </c>
      <c r="G282">
        <f>IF(AND(C281=kursy7[[#This Row],[Poczatek]],A281+DATE(1900,1,1)=kursy7[[#This Row],[Data]]),G281+1,1)</f>
        <v>1</v>
      </c>
    </row>
    <row r="283" spans="1:7" x14ac:dyDescent="0.25">
      <c r="A283" s="1">
        <v>43079</v>
      </c>
      <c r="B283" s="2" t="s">
        <v>7</v>
      </c>
      <c r="C283" s="2" t="s">
        <v>8</v>
      </c>
      <c r="D283">
        <v>2939</v>
      </c>
      <c r="E283">
        <v>110</v>
      </c>
      <c r="F283">
        <v>279</v>
      </c>
      <c r="G283">
        <f>IF(AND(C282=kursy7[[#This Row],[Poczatek]],A282+DATE(1900,1,1)=kursy7[[#This Row],[Data]]),G282+1,1)</f>
        <v>1</v>
      </c>
    </row>
    <row r="284" spans="1:7" x14ac:dyDescent="0.25">
      <c r="A284" s="1">
        <v>43080</v>
      </c>
      <c r="B284" s="2" t="s">
        <v>8</v>
      </c>
      <c r="C284" s="2" t="s">
        <v>20</v>
      </c>
      <c r="D284">
        <v>4981</v>
      </c>
      <c r="E284">
        <v>138</v>
      </c>
      <c r="F284">
        <v>455</v>
      </c>
      <c r="G284">
        <f>IF(AND(C283=kursy7[[#This Row],[Poczatek]],A283+DATE(1900,1,1)=kursy7[[#This Row],[Data]]),G283+1,1)</f>
        <v>2</v>
      </c>
    </row>
    <row r="285" spans="1:7" x14ac:dyDescent="0.25">
      <c r="A285" s="1">
        <v>43081</v>
      </c>
      <c r="B285" s="2" t="s">
        <v>20</v>
      </c>
      <c r="C285" s="2" t="s">
        <v>60</v>
      </c>
      <c r="D285">
        <v>3436</v>
      </c>
      <c r="E285">
        <v>114</v>
      </c>
      <c r="F285">
        <v>370</v>
      </c>
      <c r="G285">
        <f>IF(AND(C284=kursy7[[#This Row],[Poczatek]],A284+DATE(1900,1,1)=kursy7[[#This Row],[Data]]),G284+1,1)</f>
        <v>3</v>
      </c>
    </row>
    <row r="286" spans="1:7" x14ac:dyDescent="0.25">
      <c r="A286" s="1">
        <v>43082</v>
      </c>
      <c r="B286" s="2" t="s">
        <v>60</v>
      </c>
      <c r="C286" s="2" t="s">
        <v>47</v>
      </c>
      <c r="D286">
        <v>2342</v>
      </c>
      <c r="E286">
        <v>141</v>
      </c>
      <c r="F286">
        <v>319</v>
      </c>
      <c r="G286">
        <f>IF(AND(C285=kursy7[[#This Row],[Poczatek]],A285+DATE(1900,1,1)=kursy7[[#This Row],[Data]]),G285+1,1)</f>
        <v>4</v>
      </c>
    </row>
    <row r="287" spans="1:7" x14ac:dyDescent="0.25">
      <c r="A287" s="1">
        <v>43083</v>
      </c>
      <c r="B287" s="2" t="s">
        <v>47</v>
      </c>
      <c r="C287" s="2" t="s">
        <v>54</v>
      </c>
      <c r="D287">
        <v>1981</v>
      </c>
      <c r="E287">
        <v>126</v>
      </c>
      <c r="F287">
        <v>396</v>
      </c>
      <c r="G287">
        <f>IF(AND(C286=kursy7[[#This Row],[Poczatek]],A286+DATE(1900,1,1)=kursy7[[#This Row],[Data]]),G286+1,1)</f>
        <v>5</v>
      </c>
    </row>
    <row r="288" spans="1:7" x14ac:dyDescent="0.25">
      <c r="A288" s="1">
        <v>43084</v>
      </c>
      <c r="B288" s="2" t="s">
        <v>54</v>
      </c>
      <c r="C288" s="2" t="s">
        <v>49</v>
      </c>
      <c r="D288">
        <v>5238</v>
      </c>
      <c r="E288">
        <v>131</v>
      </c>
      <c r="F288">
        <v>158</v>
      </c>
      <c r="G288">
        <f>IF(AND(C287=kursy7[[#This Row],[Poczatek]],A287+DATE(1900,1,1)=kursy7[[#This Row],[Data]]),G287+1,1)</f>
        <v>6</v>
      </c>
    </row>
    <row r="289" spans="1:7" x14ac:dyDescent="0.25">
      <c r="A289" s="1">
        <v>43085</v>
      </c>
      <c r="B289" s="2" t="s">
        <v>49</v>
      </c>
      <c r="C289" s="2" t="s">
        <v>37</v>
      </c>
      <c r="D289">
        <v>2823</v>
      </c>
      <c r="E289">
        <v>156</v>
      </c>
      <c r="F289">
        <v>280</v>
      </c>
      <c r="G289">
        <f>IF(AND(C288=kursy7[[#This Row],[Poczatek]],A288+DATE(1900,1,1)=kursy7[[#This Row],[Data]]),G288+1,1)</f>
        <v>7</v>
      </c>
    </row>
    <row r="290" spans="1:7" x14ac:dyDescent="0.25">
      <c r="A290" s="1">
        <v>43086</v>
      </c>
      <c r="B290" s="2" t="s">
        <v>37</v>
      </c>
      <c r="C290" s="2" t="s">
        <v>38</v>
      </c>
      <c r="D290">
        <v>1173</v>
      </c>
      <c r="E290">
        <v>139</v>
      </c>
      <c r="F290">
        <v>475</v>
      </c>
      <c r="G290">
        <f>IF(AND(C289=kursy7[[#This Row],[Poczatek]],A289+DATE(1900,1,1)=kursy7[[#This Row],[Data]]),G289+1,1)</f>
        <v>8</v>
      </c>
    </row>
    <row r="291" spans="1:7" x14ac:dyDescent="0.25">
      <c r="A291" s="1">
        <v>43087</v>
      </c>
      <c r="B291" s="2" t="s">
        <v>38</v>
      </c>
      <c r="C291" s="2" t="s">
        <v>39</v>
      </c>
      <c r="D291">
        <v>1465</v>
      </c>
      <c r="E291">
        <v>121</v>
      </c>
      <c r="F291">
        <v>193</v>
      </c>
      <c r="G291">
        <f>IF(AND(C290=kursy7[[#This Row],[Poczatek]],A290+DATE(1900,1,1)=kursy7[[#This Row],[Data]]),G290+1,1)</f>
        <v>9</v>
      </c>
    </row>
    <row r="292" spans="1:7" x14ac:dyDescent="0.25">
      <c r="A292" s="1">
        <v>43088</v>
      </c>
      <c r="B292" s="2" t="s">
        <v>39</v>
      </c>
      <c r="C292" s="2" t="s">
        <v>18</v>
      </c>
      <c r="D292">
        <v>1572</v>
      </c>
      <c r="E292">
        <v>159</v>
      </c>
      <c r="F292">
        <v>476</v>
      </c>
      <c r="G292">
        <f>IF(AND(C291=kursy7[[#This Row],[Poczatek]],A291+DATE(1900,1,1)=kursy7[[#This Row],[Data]]),G291+1,1)</f>
        <v>10</v>
      </c>
    </row>
    <row r="293" spans="1:7" x14ac:dyDescent="0.25">
      <c r="A293" s="1">
        <v>43089</v>
      </c>
      <c r="B293" s="2" t="s">
        <v>18</v>
      </c>
      <c r="C293" s="2" t="s">
        <v>39</v>
      </c>
      <c r="D293">
        <v>4084</v>
      </c>
      <c r="E293">
        <v>160</v>
      </c>
      <c r="F293">
        <v>338</v>
      </c>
      <c r="G293">
        <f>IF(AND(C292=kursy7[[#This Row],[Poczatek]],A292+DATE(1900,1,1)=kursy7[[#This Row],[Data]]),G292+1,1)</f>
        <v>11</v>
      </c>
    </row>
    <row r="294" spans="1:7" x14ac:dyDescent="0.25">
      <c r="A294" s="1">
        <v>43090</v>
      </c>
      <c r="B294" s="2" t="s">
        <v>15</v>
      </c>
      <c r="C294" s="2" t="s">
        <v>23</v>
      </c>
      <c r="D294">
        <v>4635</v>
      </c>
      <c r="E294">
        <v>163</v>
      </c>
      <c r="F294">
        <v>359</v>
      </c>
      <c r="G294">
        <f>IF(AND(C293=kursy7[[#This Row],[Poczatek]],A293+DATE(1900,1,1)=kursy7[[#This Row],[Data]]),G293+1,1)</f>
        <v>1</v>
      </c>
    </row>
    <row r="295" spans="1:7" x14ac:dyDescent="0.25">
      <c r="A295" s="1">
        <v>43092</v>
      </c>
      <c r="B295" s="2" t="s">
        <v>30</v>
      </c>
      <c r="C295" s="2" t="s">
        <v>72</v>
      </c>
      <c r="D295">
        <v>3705</v>
      </c>
      <c r="E295">
        <v>182</v>
      </c>
      <c r="F295">
        <v>760</v>
      </c>
      <c r="G295">
        <f>IF(AND(C294=kursy7[[#This Row],[Poczatek]],A294+DATE(1900,1,1)=kursy7[[#This Row],[Data]]),G294+1,1)</f>
        <v>1</v>
      </c>
    </row>
    <row r="296" spans="1:7" x14ac:dyDescent="0.25">
      <c r="A296" s="1">
        <v>43094</v>
      </c>
      <c r="B296" s="2" t="s">
        <v>6</v>
      </c>
      <c r="C296" s="2" t="s">
        <v>38</v>
      </c>
      <c r="D296">
        <v>5624</v>
      </c>
      <c r="E296">
        <v>541</v>
      </c>
      <c r="F296">
        <v>1198</v>
      </c>
      <c r="G296">
        <f>IF(AND(C295=kursy7[[#This Row],[Poczatek]],A295+DATE(1900,1,1)=kursy7[[#This Row],[Data]]),G295+1,1)</f>
        <v>1</v>
      </c>
    </row>
    <row r="297" spans="1:7" x14ac:dyDescent="0.25">
      <c r="A297" s="1">
        <v>43095</v>
      </c>
      <c r="B297" s="2" t="s">
        <v>38</v>
      </c>
      <c r="C297" s="2" t="s">
        <v>37</v>
      </c>
      <c r="D297">
        <v>4157</v>
      </c>
      <c r="E297">
        <v>151</v>
      </c>
      <c r="F297">
        <v>168</v>
      </c>
      <c r="G297">
        <f>IF(AND(C296=kursy7[[#This Row],[Poczatek]],A296+DATE(1900,1,1)=kursy7[[#This Row],[Data]]),G296+1,1)</f>
        <v>2</v>
      </c>
    </row>
    <row r="298" spans="1:7" x14ac:dyDescent="0.25">
      <c r="A298" s="1">
        <v>43096</v>
      </c>
      <c r="B298" s="2" t="s">
        <v>37</v>
      </c>
      <c r="C298" s="2" t="s">
        <v>43</v>
      </c>
      <c r="D298">
        <v>3021</v>
      </c>
      <c r="E298">
        <v>137</v>
      </c>
      <c r="F298">
        <v>323</v>
      </c>
      <c r="G298">
        <f>IF(AND(C297=kursy7[[#This Row],[Poczatek]],A297+DATE(1900,1,1)=kursy7[[#This Row],[Data]]),G297+1,1)</f>
        <v>3</v>
      </c>
    </row>
    <row r="299" spans="1:7" x14ac:dyDescent="0.25">
      <c r="A299" s="1">
        <v>43097</v>
      </c>
      <c r="B299" s="2" t="s">
        <v>43</v>
      </c>
      <c r="C299" s="2" t="s">
        <v>52</v>
      </c>
      <c r="D299">
        <v>3573</v>
      </c>
      <c r="E299">
        <v>149</v>
      </c>
      <c r="F299">
        <v>341</v>
      </c>
      <c r="G299">
        <f>IF(AND(C298=kursy7[[#This Row],[Poczatek]],A298+DATE(1900,1,1)=kursy7[[#This Row],[Data]]),G298+1,1)</f>
        <v>4</v>
      </c>
    </row>
    <row r="300" spans="1:7" x14ac:dyDescent="0.25">
      <c r="A300" s="1">
        <v>43098</v>
      </c>
      <c r="B300" s="2" t="s">
        <v>52</v>
      </c>
      <c r="C300" s="2" t="s">
        <v>15</v>
      </c>
      <c r="D300">
        <v>4748</v>
      </c>
      <c r="E300">
        <v>152</v>
      </c>
      <c r="F300">
        <v>491</v>
      </c>
      <c r="G300">
        <f>IF(AND(C299=kursy7[[#This Row],[Poczatek]],A299+DATE(1900,1,1)=kursy7[[#This Row],[Data]]),G299+1,1)</f>
        <v>5</v>
      </c>
    </row>
    <row r="301" spans="1:7" x14ac:dyDescent="0.25">
      <c r="A301" s="1">
        <v>43100</v>
      </c>
      <c r="B301" s="2" t="s">
        <v>12</v>
      </c>
      <c r="C301" s="2" t="s">
        <v>6</v>
      </c>
      <c r="D301">
        <v>2293</v>
      </c>
      <c r="E301">
        <v>126</v>
      </c>
      <c r="F301">
        <v>219</v>
      </c>
      <c r="G301">
        <f>IF(AND(C300=kursy7[[#This Row],[Poczatek]],A300+DATE(1900,1,1)=kursy7[[#This Row],[Data]]),G300+1,1)</f>
        <v>1</v>
      </c>
    </row>
  </sheetData>
  <conditionalFormatting sqref="G1:G1048576">
    <cfRule type="cellIs" dxfId="1" priority="2" operator="equal">
      <formula>11</formula>
    </cfRule>
  </conditionalFormatting>
  <conditionalFormatting sqref="P2:P12">
    <cfRule type="cellIs" dxfId="0" priority="1" operator="equal">
      <formula>11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18A0-EE95-4B33-BC72-BF70F1C125EC}">
  <dimension ref="A1:F301"/>
  <sheetViews>
    <sheetView workbookViewId="0">
      <selection activeCell="G1" sqref="G1"/>
    </sheetView>
  </sheetViews>
  <sheetFormatPr defaultRowHeight="15" x14ac:dyDescent="0.25"/>
  <cols>
    <col min="1" max="1" width="10.140625" bestFit="1" customWidth="1"/>
    <col min="2" max="3" width="20" bestFit="1" customWidth="1"/>
    <col min="4" max="4" width="8.28515625" bestFit="1" customWidth="1"/>
    <col min="5" max="5" width="12" bestFit="1" customWidth="1"/>
    <col min="6" max="6" width="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42737</v>
      </c>
      <c r="B2" s="2" t="s">
        <v>6</v>
      </c>
      <c r="C2" s="2" t="s">
        <v>7</v>
      </c>
      <c r="D2">
        <v>3527</v>
      </c>
      <c r="E2">
        <v>167</v>
      </c>
      <c r="F2">
        <v>206</v>
      </c>
    </row>
    <row r="3" spans="1:6" x14ac:dyDescent="0.25">
      <c r="A3" s="1">
        <v>42738</v>
      </c>
      <c r="B3" s="2" t="s">
        <v>7</v>
      </c>
      <c r="C3" s="2" t="s">
        <v>8</v>
      </c>
      <c r="D3">
        <v>3666</v>
      </c>
      <c r="E3">
        <v>112</v>
      </c>
      <c r="F3">
        <v>280</v>
      </c>
    </row>
    <row r="4" spans="1:6" x14ac:dyDescent="0.25">
      <c r="A4" s="1">
        <v>42739</v>
      </c>
      <c r="B4" s="2" t="s">
        <v>8</v>
      </c>
      <c r="C4" s="2" t="s">
        <v>9</v>
      </c>
      <c r="D4">
        <v>4888</v>
      </c>
      <c r="E4">
        <v>167</v>
      </c>
      <c r="F4">
        <v>624</v>
      </c>
    </row>
    <row r="5" spans="1:6" x14ac:dyDescent="0.25">
      <c r="A5" s="1">
        <v>42740</v>
      </c>
      <c r="B5" s="2" t="s">
        <v>9</v>
      </c>
      <c r="C5" s="2" t="s">
        <v>10</v>
      </c>
      <c r="D5">
        <v>1099</v>
      </c>
      <c r="E5">
        <v>167</v>
      </c>
      <c r="F5">
        <v>390</v>
      </c>
    </row>
    <row r="6" spans="1:6" x14ac:dyDescent="0.25">
      <c r="A6" s="1">
        <v>42742</v>
      </c>
      <c r="B6" s="2" t="s">
        <v>11</v>
      </c>
      <c r="C6" s="2" t="s">
        <v>12</v>
      </c>
      <c r="D6">
        <v>4881</v>
      </c>
      <c r="E6">
        <v>118</v>
      </c>
      <c r="F6">
        <v>219</v>
      </c>
    </row>
    <row r="7" spans="1:6" x14ac:dyDescent="0.25">
      <c r="A7" s="1">
        <v>42743</v>
      </c>
      <c r="B7" s="2" t="s">
        <v>12</v>
      </c>
      <c r="C7" s="2" t="s">
        <v>11</v>
      </c>
      <c r="D7">
        <v>5851</v>
      </c>
      <c r="E7">
        <v>113</v>
      </c>
      <c r="F7">
        <v>160</v>
      </c>
    </row>
    <row r="8" spans="1:6" x14ac:dyDescent="0.25">
      <c r="A8" s="1">
        <v>42744</v>
      </c>
      <c r="B8" s="2" t="s">
        <v>11</v>
      </c>
      <c r="C8" s="2" t="s">
        <v>13</v>
      </c>
      <c r="D8">
        <v>5963</v>
      </c>
      <c r="E8">
        <v>141</v>
      </c>
      <c r="F8">
        <v>168</v>
      </c>
    </row>
    <row r="9" spans="1:6" x14ac:dyDescent="0.25">
      <c r="A9" s="1">
        <v>42745</v>
      </c>
      <c r="B9" s="2" t="s">
        <v>13</v>
      </c>
      <c r="C9" s="2" t="s">
        <v>9</v>
      </c>
      <c r="D9">
        <v>1364</v>
      </c>
      <c r="E9">
        <v>179</v>
      </c>
      <c r="F9">
        <v>533</v>
      </c>
    </row>
    <row r="10" spans="1:6" x14ac:dyDescent="0.25">
      <c r="A10" s="1">
        <v>42746</v>
      </c>
      <c r="B10" s="2" t="s">
        <v>9</v>
      </c>
      <c r="C10" s="2" t="s">
        <v>10</v>
      </c>
      <c r="D10">
        <v>1245</v>
      </c>
      <c r="E10">
        <v>166</v>
      </c>
      <c r="F10">
        <v>209</v>
      </c>
    </row>
    <row r="11" spans="1:6" x14ac:dyDescent="0.25">
      <c r="A11" s="1">
        <v>42747</v>
      </c>
      <c r="B11" s="2" t="s">
        <v>14</v>
      </c>
      <c r="C11" s="2" t="s">
        <v>15</v>
      </c>
      <c r="D11">
        <v>3771</v>
      </c>
      <c r="E11">
        <v>196</v>
      </c>
      <c r="F11">
        <v>696</v>
      </c>
    </row>
    <row r="12" spans="1:6" x14ac:dyDescent="0.25">
      <c r="A12" s="1">
        <v>42749</v>
      </c>
      <c r="B12" s="2" t="s">
        <v>16</v>
      </c>
      <c r="C12" s="2" t="s">
        <v>17</v>
      </c>
      <c r="D12">
        <v>4522</v>
      </c>
      <c r="E12">
        <v>300</v>
      </c>
      <c r="F12">
        <v>1113</v>
      </c>
    </row>
    <row r="13" spans="1:6" x14ac:dyDescent="0.25">
      <c r="A13" s="1">
        <v>42750</v>
      </c>
      <c r="B13" s="2" t="s">
        <v>17</v>
      </c>
      <c r="C13" s="2" t="s">
        <v>18</v>
      </c>
      <c r="D13">
        <v>4588</v>
      </c>
      <c r="E13">
        <v>148</v>
      </c>
      <c r="F13">
        <v>494</v>
      </c>
    </row>
    <row r="14" spans="1:6" x14ac:dyDescent="0.25">
      <c r="A14" s="1">
        <v>42751</v>
      </c>
      <c r="B14" s="2" t="s">
        <v>19</v>
      </c>
      <c r="C14" s="2" t="s">
        <v>20</v>
      </c>
      <c r="D14">
        <v>1952</v>
      </c>
      <c r="E14">
        <v>267</v>
      </c>
      <c r="F14">
        <v>602</v>
      </c>
    </row>
    <row r="15" spans="1:6" x14ac:dyDescent="0.25">
      <c r="A15" s="1">
        <v>42752</v>
      </c>
      <c r="B15" s="2" t="s">
        <v>20</v>
      </c>
      <c r="C15" s="2" t="s">
        <v>7</v>
      </c>
      <c r="D15">
        <v>3318</v>
      </c>
      <c r="E15">
        <v>110</v>
      </c>
      <c r="F15">
        <v>422</v>
      </c>
    </row>
    <row r="16" spans="1:6" x14ac:dyDescent="0.25">
      <c r="A16" s="1">
        <v>42755</v>
      </c>
      <c r="B16" s="2" t="s">
        <v>13</v>
      </c>
      <c r="C16" s="2" t="s">
        <v>9</v>
      </c>
      <c r="D16">
        <v>3106</v>
      </c>
      <c r="E16">
        <v>173</v>
      </c>
      <c r="F16">
        <v>312</v>
      </c>
    </row>
    <row r="17" spans="1:6" x14ac:dyDescent="0.25">
      <c r="A17" s="1">
        <v>42756</v>
      </c>
      <c r="B17" s="2" t="s">
        <v>9</v>
      </c>
      <c r="C17" s="2" t="s">
        <v>6</v>
      </c>
      <c r="D17">
        <v>5593</v>
      </c>
      <c r="E17">
        <v>127</v>
      </c>
      <c r="F17">
        <v>421</v>
      </c>
    </row>
    <row r="18" spans="1:6" x14ac:dyDescent="0.25">
      <c r="A18" s="1">
        <v>42757</v>
      </c>
      <c r="B18" s="2" t="s">
        <v>6</v>
      </c>
      <c r="C18" s="2" t="s">
        <v>12</v>
      </c>
      <c r="D18">
        <v>5983</v>
      </c>
      <c r="E18">
        <v>118</v>
      </c>
      <c r="F18">
        <v>416</v>
      </c>
    </row>
    <row r="19" spans="1:6" x14ac:dyDescent="0.25">
      <c r="A19" s="1">
        <v>42758</v>
      </c>
      <c r="B19" s="2" t="s">
        <v>12</v>
      </c>
      <c r="C19" s="2" t="s">
        <v>6</v>
      </c>
      <c r="D19">
        <v>5496</v>
      </c>
      <c r="E19">
        <v>115</v>
      </c>
      <c r="F19">
        <v>291</v>
      </c>
    </row>
    <row r="20" spans="1:6" x14ac:dyDescent="0.25">
      <c r="A20" s="1">
        <v>42759</v>
      </c>
      <c r="B20" s="2" t="s">
        <v>6</v>
      </c>
      <c r="C20" s="2" t="s">
        <v>11</v>
      </c>
      <c r="D20">
        <v>4572</v>
      </c>
      <c r="E20">
        <v>164</v>
      </c>
      <c r="F20">
        <v>550</v>
      </c>
    </row>
    <row r="21" spans="1:6" x14ac:dyDescent="0.25">
      <c r="A21" s="1">
        <v>42760</v>
      </c>
      <c r="B21" s="2" t="s">
        <v>11</v>
      </c>
      <c r="C21" s="2" t="s">
        <v>12</v>
      </c>
      <c r="D21">
        <v>4529</v>
      </c>
      <c r="E21">
        <v>121</v>
      </c>
      <c r="F21">
        <v>373</v>
      </c>
    </row>
    <row r="22" spans="1:6" x14ac:dyDescent="0.25">
      <c r="A22" s="1">
        <v>42761</v>
      </c>
      <c r="B22" s="2" t="s">
        <v>12</v>
      </c>
      <c r="C22" s="2" t="s">
        <v>6</v>
      </c>
      <c r="D22">
        <v>4981</v>
      </c>
      <c r="E22">
        <v>123</v>
      </c>
      <c r="F22">
        <v>218</v>
      </c>
    </row>
    <row r="23" spans="1:6" x14ac:dyDescent="0.25">
      <c r="A23" s="1">
        <v>42762</v>
      </c>
      <c r="B23" s="2" t="s">
        <v>6</v>
      </c>
      <c r="C23" s="2" t="s">
        <v>7</v>
      </c>
      <c r="D23">
        <v>3808</v>
      </c>
      <c r="E23">
        <v>163</v>
      </c>
      <c r="F23">
        <v>655</v>
      </c>
    </row>
    <row r="24" spans="1:6" x14ac:dyDescent="0.25">
      <c r="A24" s="1">
        <v>42763</v>
      </c>
      <c r="B24" s="2" t="s">
        <v>7</v>
      </c>
      <c r="C24" s="2" t="s">
        <v>21</v>
      </c>
      <c r="D24">
        <v>1359</v>
      </c>
      <c r="E24">
        <v>130</v>
      </c>
      <c r="F24">
        <v>346</v>
      </c>
    </row>
    <row r="25" spans="1:6" x14ac:dyDescent="0.25">
      <c r="A25" s="1">
        <v>42764</v>
      </c>
      <c r="B25" s="2" t="s">
        <v>22</v>
      </c>
      <c r="C25" s="2" t="s">
        <v>23</v>
      </c>
      <c r="D25">
        <v>2320</v>
      </c>
      <c r="E25">
        <v>24</v>
      </c>
      <c r="F25">
        <v>68</v>
      </c>
    </row>
    <row r="26" spans="1:6" x14ac:dyDescent="0.25">
      <c r="A26" s="1">
        <v>42765</v>
      </c>
      <c r="B26" s="2" t="s">
        <v>23</v>
      </c>
      <c r="C26" s="2" t="s">
        <v>24</v>
      </c>
      <c r="D26">
        <v>2607</v>
      </c>
      <c r="E26">
        <v>115</v>
      </c>
      <c r="F26">
        <v>264</v>
      </c>
    </row>
    <row r="27" spans="1:6" x14ac:dyDescent="0.25">
      <c r="A27" s="1">
        <v>42766</v>
      </c>
      <c r="B27" s="2" t="s">
        <v>24</v>
      </c>
      <c r="C27" s="2" t="s">
        <v>23</v>
      </c>
      <c r="D27">
        <v>3657</v>
      </c>
      <c r="E27">
        <v>100</v>
      </c>
      <c r="F27">
        <v>424</v>
      </c>
    </row>
    <row r="28" spans="1:6" x14ac:dyDescent="0.25">
      <c r="A28" s="1">
        <v>42767</v>
      </c>
      <c r="B28" s="2" t="s">
        <v>23</v>
      </c>
      <c r="C28" s="2" t="s">
        <v>25</v>
      </c>
      <c r="D28">
        <v>5671</v>
      </c>
      <c r="E28">
        <v>118</v>
      </c>
      <c r="F28">
        <v>390</v>
      </c>
    </row>
    <row r="29" spans="1:6" x14ac:dyDescent="0.25">
      <c r="A29" s="1">
        <v>42768</v>
      </c>
      <c r="B29" s="2" t="s">
        <v>25</v>
      </c>
      <c r="C29" s="2" t="s">
        <v>22</v>
      </c>
      <c r="D29">
        <v>4871</v>
      </c>
      <c r="E29">
        <v>126</v>
      </c>
      <c r="F29">
        <v>185</v>
      </c>
    </row>
    <row r="30" spans="1:6" x14ac:dyDescent="0.25">
      <c r="A30" s="1">
        <v>42769</v>
      </c>
      <c r="B30" s="2" t="s">
        <v>22</v>
      </c>
      <c r="C30" s="2" t="s">
        <v>26</v>
      </c>
      <c r="D30">
        <v>1686</v>
      </c>
      <c r="E30">
        <v>102</v>
      </c>
      <c r="F30">
        <v>167</v>
      </c>
    </row>
    <row r="31" spans="1:6" x14ac:dyDescent="0.25">
      <c r="A31" s="1">
        <v>42770</v>
      </c>
      <c r="B31" s="2" t="s">
        <v>26</v>
      </c>
      <c r="C31" s="2" t="s">
        <v>21</v>
      </c>
      <c r="D31">
        <v>5628</v>
      </c>
      <c r="E31">
        <v>123</v>
      </c>
      <c r="F31">
        <v>450</v>
      </c>
    </row>
    <row r="32" spans="1:6" x14ac:dyDescent="0.25">
      <c r="A32" s="1">
        <v>42771</v>
      </c>
      <c r="B32" s="2" t="s">
        <v>21</v>
      </c>
      <c r="C32" s="2" t="s">
        <v>14</v>
      </c>
      <c r="D32">
        <v>3295</v>
      </c>
      <c r="E32">
        <v>103</v>
      </c>
      <c r="F32">
        <v>346</v>
      </c>
    </row>
    <row r="33" spans="1:6" x14ac:dyDescent="0.25">
      <c r="A33" s="1">
        <v>42772</v>
      </c>
      <c r="B33" s="2" t="s">
        <v>27</v>
      </c>
      <c r="C33" s="2" t="s">
        <v>28</v>
      </c>
      <c r="D33">
        <v>5291</v>
      </c>
      <c r="E33">
        <v>273</v>
      </c>
      <c r="F33">
        <v>520</v>
      </c>
    </row>
    <row r="34" spans="1:6" x14ac:dyDescent="0.25">
      <c r="A34" s="1">
        <v>42773</v>
      </c>
      <c r="B34" s="2" t="s">
        <v>28</v>
      </c>
      <c r="C34" s="2" t="s">
        <v>29</v>
      </c>
      <c r="D34">
        <v>5838</v>
      </c>
      <c r="E34">
        <v>128</v>
      </c>
      <c r="F34">
        <v>518</v>
      </c>
    </row>
    <row r="35" spans="1:6" x14ac:dyDescent="0.25">
      <c r="A35" s="1">
        <v>42774</v>
      </c>
      <c r="B35" s="2" t="s">
        <v>29</v>
      </c>
      <c r="C35" s="2" t="s">
        <v>20</v>
      </c>
      <c r="D35">
        <v>3319</v>
      </c>
      <c r="E35">
        <v>154</v>
      </c>
      <c r="F35">
        <v>314</v>
      </c>
    </row>
    <row r="36" spans="1:6" x14ac:dyDescent="0.25">
      <c r="A36" s="1">
        <v>42775</v>
      </c>
      <c r="B36" s="2" t="s">
        <v>30</v>
      </c>
      <c r="C36" s="2" t="s">
        <v>7</v>
      </c>
      <c r="D36">
        <v>2152</v>
      </c>
      <c r="E36">
        <v>190</v>
      </c>
      <c r="F36">
        <v>406</v>
      </c>
    </row>
    <row r="37" spans="1:6" x14ac:dyDescent="0.25">
      <c r="A37" s="1">
        <v>42776</v>
      </c>
      <c r="B37" s="2" t="s">
        <v>7</v>
      </c>
      <c r="C37" s="2" t="s">
        <v>21</v>
      </c>
      <c r="D37">
        <v>3810</v>
      </c>
      <c r="E37">
        <v>135</v>
      </c>
      <c r="F37">
        <v>221</v>
      </c>
    </row>
    <row r="38" spans="1:6" x14ac:dyDescent="0.25">
      <c r="A38" s="1">
        <v>42777</v>
      </c>
      <c r="B38" s="2" t="s">
        <v>21</v>
      </c>
      <c r="C38" s="2" t="s">
        <v>31</v>
      </c>
      <c r="D38">
        <v>5713</v>
      </c>
      <c r="E38">
        <v>128</v>
      </c>
      <c r="F38">
        <v>376</v>
      </c>
    </row>
    <row r="39" spans="1:6" x14ac:dyDescent="0.25">
      <c r="A39" s="1">
        <v>42778</v>
      </c>
      <c r="B39" s="2" t="s">
        <v>31</v>
      </c>
      <c r="C39" s="2" t="s">
        <v>21</v>
      </c>
      <c r="D39">
        <v>4163</v>
      </c>
      <c r="E39">
        <v>128</v>
      </c>
      <c r="F39">
        <v>257</v>
      </c>
    </row>
    <row r="40" spans="1:6" x14ac:dyDescent="0.25">
      <c r="A40" s="1">
        <v>42779</v>
      </c>
      <c r="B40" s="2" t="s">
        <v>21</v>
      </c>
      <c r="C40" s="2" t="s">
        <v>32</v>
      </c>
      <c r="D40">
        <v>3216</v>
      </c>
      <c r="E40">
        <v>162</v>
      </c>
      <c r="F40">
        <v>278</v>
      </c>
    </row>
    <row r="41" spans="1:6" x14ac:dyDescent="0.25">
      <c r="A41" s="1">
        <v>42780</v>
      </c>
      <c r="B41" s="2" t="s">
        <v>11</v>
      </c>
      <c r="C41" s="2" t="s">
        <v>33</v>
      </c>
      <c r="D41">
        <v>5060</v>
      </c>
      <c r="E41">
        <v>550</v>
      </c>
      <c r="F41">
        <v>1622</v>
      </c>
    </row>
    <row r="42" spans="1:6" x14ac:dyDescent="0.25">
      <c r="A42" s="1">
        <v>42782</v>
      </c>
      <c r="B42" s="2" t="s">
        <v>31</v>
      </c>
      <c r="C42" s="2" t="s">
        <v>24</v>
      </c>
      <c r="D42">
        <v>2446</v>
      </c>
      <c r="E42">
        <v>161</v>
      </c>
      <c r="F42">
        <v>379</v>
      </c>
    </row>
    <row r="43" spans="1:6" x14ac:dyDescent="0.25">
      <c r="A43" s="1">
        <v>42783</v>
      </c>
      <c r="B43" s="2" t="s">
        <v>24</v>
      </c>
      <c r="C43" s="2" t="s">
        <v>23</v>
      </c>
      <c r="D43">
        <v>3305</v>
      </c>
      <c r="E43">
        <v>106</v>
      </c>
      <c r="F43">
        <v>116</v>
      </c>
    </row>
    <row r="44" spans="1:6" x14ac:dyDescent="0.25">
      <c r="A44" s="1">
        <v>42785</v>
      </c>
      <c r="B44" s="2" t="s">
        <v>21</v>
      </c>
      <c r="C44" s="2" t="s">
        <v>7</v>
      </c>
      <c r="D44">
        <v>1743</v>
      </c>
      <c r="E44">
        <v>145</v>
      </c>
      <c r="F44">
        <v>376</v>
      </c>
    </row>
    <row r="45" spans="1:6" x14ac:dyDescent="0.25">
      <c r="A45" s="1">
        <v>42788</v>
      </c>
      <c r="B45" s="2" t="s">
        <v>17</v>
      </c>
      <c r="C45" s="2" t="s">
        <v>34</v>
      </c>
      <c r="D45">
        <v>4053</v>
      </c>
      <c r="E45">
        <v>146</v>
      </c>
      <c r="F45">
        <v>441</v>
      </c>
    </row>
    <row r="46" spans="1:6" x14ac:dyDescent="0.25">
      <c r="A46" s="1">
        <v>42789</v>
      </c>
      <c r="B46" s="2" t="s">
        <v>18</v>
      </c>
      <c r="C46" s="2" t="s">
        <v>29</v>
      </c>
      <c r="D46">
        <v>4905</v>
      </c>
      <c r="E46">
        <v>157</v>
      </c>
      <c r="F46">
        <v>392</v>
      </c>
    </row>
    <row r="47" spans="1:6" x14ac:dyDescent="0.25">
      <c r="A47" s="1">
        <v>42791</v>
      </c>
      <c r="B47" s="2" t="s">
        <v>8</v>
      </c>
      <c r="C47" s="2" t="s">
        <v>7</v>
      </c>
      <c r="D47">
        <v>1624</v>
      </c>
      <c r="E47">
        <v>111</v>
      </c>
      <c r="F47">
        <v>221</v>
      </c>
    </row>
    <row r="48" spans="1:6" x14ac:dyDescent="0.25">
      <c r="A48" s="1">
        <v>42793</v>
      </c>
      <c r="B48" s="2" t="s">
        <v>35</v>
      </c>
      <c r="C48" s="2" t="s">
        <v>27</v>
      </c>
      <c r="D48">
        <v>5326</v>
      </c>
      <c r="E48">
        <v>171</v>
      </c>
      <c r="F48">
        <v>263</v>
      </c>
    </row>
    <row r="49" spans="1:6" x14ac:dyDescent="0.25">
      <c r="A49" s="1">
        <v>42794</v>
      </c>
      <c r="B49" s="2" t="s">
        <v>36</v>
      </c>
      <c r="C49" s="2" t="s">
        <v>12</v>
      </c>
      <c r="D49">
        <v>4398</v>
      </c>
      <c r="E49">
        <v>225</v>
      </c>
      <c r="F49">
        <v>400</v>
      </c>
    </row>
    <row r="50" spans="1:6" x14ac:dyDescent="0.25">
      <c r="A50" s="1">
        <v>42795</v>
      </c>
      <c r="B50" s="2" t="s">
        <v>35</v>
      </c>
      <c r="C50" s="2" t="s">
        <v>37</v>
      </c>
      <c r="D50">
        <v>4494</v>
      </c>
      <c r="E50">
        <v>143</v>
      </c>
      <c r="F50">
        <v>252</v>
      </c>
    </row>
    <row r="51" spans="1:6" x14ac:dyDescent="0.25">
      <c r="A51" s="1">
        <v>42796</v>
      </c>
      <c r="B51" s="2" t="s">
        <v>37</v>
      </c>
      <c r="C51" s="2" t="s">
        <v>38</v>
      </c>
      <c r="D51">
        <v>2136</v>
      </c>
      <c r="E51">
        <v>139</v>
      </c>
      <c r="F51">
        <v>522</v>
      </c>
    </row>
    <row r="52" spans="1:6" x14ac:dyDescent="0.25">
      <c r="A52" s="1">
        <v>42797</v>
      </c>
      <c r="B52" s="2" t="s">
        <v>38</v>
      </c>
      <c r="C52" s="2" t="s">
        <v>39</v>
      </c>
      <c r="D52">
        <v>4481</v>
      </c>
      <c r="E52">
        <v>121</v>
      </c>
      <c r="F52">
        <v>446</v>
      </c>
    </row>
    <row r="53" spans="1:6" x14ac:dyDescent="0.25">
      <c r="A53" s="1">
        <v>42798</v>
      </c>
      <c r="B53" s="2" t="s">
        <v>29</v>
      </c>
      <c r="C53" s="2" t="s">
        <v>14</v>
      </c>
      <c r="D53">
        <v>1749</v>
      </c>
      <c r="E53">
        <v>232</v>
      </c>
      <c r="F53">
        <v>928</v>
      </c>
    </row>
    <row r="54" spans="1:6" x14ac:dyDescent="0.25">
      <c r="A54" s="1">
        <v>42802</v>
      </c>
      <c r="B54" s="2" t="s">
        <v>29</v>
      </c>
      <c r="C54" s="2" t="s">
        <v>20</v>
      </c>
      <c r="D54">
        <v>1203</v>
      </c>
      <c r="E54">
        <v>146</v>
      </c>
      <c r="F54">
        <v>330</v>
      </c>
    </row>
    <row r="55" spans="1:6" x14ac:dyDescent="0.25">
      <c r="A55" s="1">
        <v>42803</v>
      </c>
      <c r="B55" s="2" t="s">
        <v>20</v>
      </c>
      <c r="C55" s="2" t="s">
        <v>40</v>
      </c>
      <c r="D55">
        <v>4505</v>
      </c>
      <c r="E55">
        <v>118</v>
      </c>
      <c r="F55">
        <v>374</v>
      </c>
    </row>
    <row r="56" spans="1:6" x14ac:dyDescent="0.25">
      <c r="A56" s="1">
        <v>42804</v>
      </c>
      <c r="B56" s="2" t="s">
        <v>40</v>
      </c>
      <c r="C56" s="2" t="s">
        <v>41</v>
      </c>
      <c r="D56">
        <v>1454</v>
      </c>
      <c r="E56">
        <v>95</v>
      </c>
      <c r="F56">
        <v>197</v>
      </c>
    </row>
    <row r="57" spans="1:6" x14ac:dyDescent="0.25">
      <c r="A57" s="1">
        <v>42805</v>
      </c>
      <c r="B57" s="2" t="s">
        <v>41</v>
      </c>
      <c r="C57" s="2" t="s">
        <v>16</v>
      </c>
      <c r="D57">
        <v>2835</v>
      </c>
      <c r="E57">
        <v>136</v>
      </c>
      <c r="F57">
        <v>418</v>
      </c>
    </row>
    <row r="58" spans="1:6" x14ac:dyDescent="0.25">
      <c r="A58" s="1">
        <v>42806</v>
      </c>
      <c r="B58" s="2" t="s">
        <v>16</v>
      </c>
      <c r="C58" s="2" t="s">
        <v>42</v>
      </c>
      <c r="D58">
        <v>2338</v>
      </c>
      <c r="E58">
        <v>123</v>
      </c>
      <c r="F58">
        <v>215</v>
      </c>
    </row>
    <row r="59" spans="1:6" x14ac:dyDescent="0.25">
      <c r="A59" s="1">
        <v>42807</v>
      </c>
      <c r="B59" s="2" t="s">
        <v>26</v>
      </c>
      <c r="C59" s="2" t="s">
        <v>43</v>
      </c>
      <c r="D59">
        <v>4154</v>
      </c>
      <c r="E59">
        <v>277</v>
      </c>
      <c r="F59">
        <v>924</v>
      </c>
    </row>
    <row r="60" spans="1:6" x14ac:dyDescent="0.25">
      <c r="A60" s="1">
        <v>42810</v>
      </c>
      <c r="B60" s="2" t="s">
        <v>15</v>
      </c>
      <c r="C60" s="2" t="s">
        <v>25</v>
      </c>
      <c r="D60">
        <v>1767</v>
      </c>
      <c r="E60">
        <v>91</v>
      </c>
      <c r="F60">
        <v>247</v>
      </c>
    </row>
    <row r="61" spans="1:6" x14ac:dyDescent="0.25">
      <c r="A61" s="1">
        <v>42812</v>
      </c>
      <c r="B61" s="2" t="s">
        <v>44</v>
      </c>
      <c r="C61" s="2" t="s">
        <v>45</v>
      </c>
      <c r="D61">
        <v>2929</v>
      </c>
      <c r="E61">
        <v>152</v>
      </c>
      <c r="F61">
        <v>278</v>
      </c>
    </row>
    <row r="62" spans="1:6" x14ac:dyDescent="0.25">
      <c r="A62" s="1">
        <v>42813</v>
      </c>
      <c r="B62" s="2" t="s">
        <v>45</v>
      </c>
      <c r="C62" s="2" t="s">
        <v>46</v>
      </c>
      <c r="D62">
        <v>2151</v>
      </c>
      <c r="E62">
        <v>177</v>
      </c>
      <c r="F62">
        <v>365</v>
      </c>
    </row>
    <row r="63" spans="1:6" x14ac:dyDescent="0.25">
      <c r="A63" s="1">
        <v>42814</v>
      </c>
      <c r="B63" s="2" t="s">
        <v>46</v>
      </c>
      <c r="C63" s="2" t="s">
        <v>47</v>
      </c>
      <c r="D63">
        <v>2431</v>
      </c>
      <c r="E63">
        <v>96</v>
      </c>
      <c r="F63">
        <v>409</v>
      </c>
    </row>
    <row r="64" spans="1:6" x14ac:dyDescent="0.25">
      <c r="A64" s="1">
        <v>42815</v>
      </c>
      <c r="B64" s="2" t="s">
        <v>34</v>
      </c>
      <c r="C64" s="2" t="s">
        <v>46</v>
      </c>
      <c r="D64">
        <v>1168</v>
      </c>
      <c r="E64">
        <v>143</v>
      </c>
      <c r="F64">
        <v>501</v>
      </c>
    </row>
    <row r="65" spans="1:6" x14ac:dyDescent="0.25">
      <c r="A65" s="1">
        <v>42816</v>
      </c>
      <c r="B65" s="2" t="s">
        <v>46</v>
      </c>
      <c r="C65" s="2" t="s">
        <v>19</v>
      </c>
      <c r="D65">
        <v>4251</v>
      </c>
      <c r="E65">
        <v>122</v>
      </c>
      <c r="F65">
        <v>227</v>
      </c>
    </row>
    <row r="66" spans="1:6" x14ac:dyDescent="0.25">
      <c r="A66" s="1">
        <v>42817</v>
      </c>
      <c r="B66" s="2" t="s">
        <v>19</v>
      </c>
      <c r="C66" s="2" t="s">
        <v>16</v>
      </c>
      <c r="D66">
        <v>4347</v>
      </c>
      <c r="E66">
        <v>117</v>
      </c>
      <c r="F66">
        <v>158</v>
      </c>
    </row>
    <row r="67" spans="1:6" x14ac:dyDescent="0.25">
      <c r="A67" s="1">
        <v>42818</v>
      </c>
      <c r="B67" s="2" t="s">
        <v>16</v>
      </c>
      <c r="C67" s="2" t="s">
        <v>41</v>
      </c>
      <c r="D67">
        <v>5287</v>
      </c>
      <c r="E67">
        <v>127</v>
      </c>
      <c r="F67">
        <v>495</v>
      </c>
    </row>
    <row r="68" spans="1:6" x14ac:dyDescent="0.25">
      <c r="A68" s="1">
        <v>42820</v>
      </c>
      <c r="B68" s="2" t="s">
        <v>17</v>
      </c>
      <c r="C68" s="2" t="s">
        <v>18</v>
      </c>
      <c r="D68">
        <v>5177</v>
      </c>
      <c r="E68">
        <v>147</v>
      </c>
      <c r="F68">
        <v>443</v>
      </c>
    </row>
    <row r="69" spans="1:6" x14ac:dyDescent="0.25">
      <c r="A69" s="1">
        <v>42821</v>
      </c>
      <c r="B69" s="2" t="s">
        <v>15</v>
      </c>
      <c r="C69" s="2" t="s">
        <v>26</v>
      </c>
      <c r="D69">
        <v>3858</v>
      </c>
      <c r="E69">
        <v>155</v>
      </c>
      <c r="F69">
        <v>261</v>
      </c>
    </row>
    <row r="70" spans="1:6" x14ac:dyDescent="0.25">
      <c r="A70" s="1">
        <v>42822</v>
      </c>
      <c r="B70" s="2" t="s">
        <v>26</v>
      </c>
      <c r="C70" s="2" t="s">
        <v>48</v>
      </c>
      <c r="D70">
        <v>4637</v>
      </c>
      <c r="E70">
        <v>116</v>
      </c>
      <c r="F70">
        <v>242</v>
      </c>
    </row>
    <row r="71" spans="1:6" x14ac:dyDescent="0.25">
      <c r="A71" s="1">
        <v>42823</v>
      </c>
      <c r="B71" s="2" t="s">
        <v>48</v>
      </c>
      <c r="C71" s="2" t="s">
        <v>14</v>
      </c>
      <c r="D71">
        <v>5212</v>
      </c>
      <c r="E71">
        <v>123</v>
      </c>
      <c r="F71">
        <v>517</v>
      </c>
    </row>
    <row r="72" spans="1:6" x14ac:dyDescent="0.25">
      <c r="A72" s="1">
        <v>42824</v>
      </c>
      <c r="B72" s="2" t="s">
        <v>14</v>
      </c>
      <c r="C72" s="2" t="s">
        <v>40</v>
      </c>
      <c r="D72">
        <v>1099</v>
      </c>
      <c r="E72">
        <v>128</v>
      </c>
      <c r="F72">
        <v>205</v>
      </c>
    </row>
    <row r="73" spans="1:6" x14ac:dyDescent="0.25">
      <c r="A73" s="1">
        <v>42825</v>
      </c>
      <c r="B73" s="2" t="s">
        <v>40</v>
      </c>
      <c r="C73" s="2" t="s">
        <v>41</v>
      </c>
      <c r="D73">
        <v>4422</v>
      </c>
      <c r="E73">
        <v>105</v>
      </c>
      <c r="F73">
        <v>145</v>
      </c>
    </row>
    <row r="74" spans="1:6" x14ac:dyDescent="0.25">
      <c r="A74" s="1">
        <v>42827</v>
      </c>
      <c r="B74" s="2" t="s">
        <v>33</v>
      </c>
      <c r="C74" s="2" t="s">
        <v>38</v>
      </c>
      <c r="D74">
        <v>2742</v>
      </c>
      <c r="E74">
        <v>109</v>
      </c>
      <c r="F74">
        <v>117</v>
      </c>
    </row>
    <row r="75" spans="1:6" x14ac:dyDescent="0.25">
      <c r="A75" s="1">
        <v>42828</v>
      </c>
      <c r="B75" s="2" t="s">
        <v>38</v>
      </c>
      <c r="C75" s="2" t="s">
        <v>33</v>
      </c>
      <c r="D75">
        <v>2100</v>
      </c>
      <c r="E75">
        <v>115</v>
      </c>
      <c r="F75">
        <v>172</v>
      </c>
    </row>
    <row r="76" spans="1:6" x14ac:dyDescent="0.25">
      <c r="A76" s="1">
        <v>42829</v>
      </c>
      <c r="B76" s="2" t="s">
        <v>33</v>
      </c>
      <c r="C76" s="2" t="s">
        <v>38</v>
      </c>
      <c r="D76">
        <v>5626</v>
      </c>
      <c r="E76">
        <v>123</v>
      </c>
      <c r="F76">
        <v>377</v>
      </c>
    </row>
    <row r="77" spans="1:6" x14ac:dyDescent="0.25">
      <c r="A77" s="1">
        <v>42830</v>
      </c>
      <c r="B77" s="2" t="s">
        <v>38</v>
      </c>
      <c r="C77" s="2" t="s">
        <v>33</v>
      </c>
      <c r="D77">
        <v>1629</v>
      </c>
      <c r="E77">
        <v>109</v>
      </c>
      <c r="F77">
        <v>258</v>
      </c>
    </row>
    <row r="78" spans="1:6" x14ac:dyDescent="0.25">
      <c r="A78" s="1">
        <v>42831</v>
      </c>
      <c r="B78" s="2" t="s">
        <v>33</v>
      </c>
      <c r="C78" s="2" t="s">
        <v>49</v>
      </c>
      <c r="D78">
        <v>4787</v>
      </c>
      <c r="E78">
        <v>155</v>
      </c>
      <c r="F78">
        <v>354</v>
      </c>
    </row>
    <row r="79" spans="1:6" x14ac:dyDescent="0.25">
      <c r="A79" s="1">
        <v>42832</v>
      </c>
      <c r="B79" s="2" t="s">
        <v>50</v>
      </c>
      <c r="C79" s="2" t="s">
        <v>45</v>
      </c>
      <c r="D79">
        <v>4678</v>
      </c>
      <c r="E79">
        <v>182</v>
      </c>
      <c r="F79">
        <v>254</v>
      </c>
    </row>
    <row r="80" spans="1:6" x14ac:dyDescent="0.25">
      <c r="A80" s="1">
        <v>42833</v>
      </c>
      <c r="B80" s="2" t="s">
        <v>45</v>
      </c>
      <c r="C80" s="2" t="s">
        <v>44</v>
      </c>
      <c r="D80">
        <v>5869</v>
      </c>
      <c r="E80">
        <v>152</v>
      </c>
      <c r="F80">
        <v>599</v>
      </c>
    </row>
    <row r="81" spans="1:6" x14ac:dyDescent="0.25">
      <c r="A81" s="1">
        <v>42834</v>
      </c>
      <c r="B81" s="2" t="s">
        <v>51</v>
      </c>
      <c r="C81" s="2" t="s">
        <v>44</v>
      </c>
      <c r="D81">
        <v>2678</v>
      </c>
      <c r="E81">
        <v>178</v>
      </c>
      <c r="F81">
        <v>481</v>
      </c>
    </row>
    <row r="82" spans="1:6" x14ac:dyDescent="0.25">
      <c r="A82" s="1">
        <v>42835</v>
      </c>
      <c r="B82" s="2" t="s">
        <v>20</v>
      </c>
      <c r="C82" s="2" t="s">
        <v>43</v>
      </c>
      <c r="D82">
        <v>3193</v>
      </c>
      <c r="E82">
        <v>241</v>
      </c>
      <c r="F82">
        <v>507</v>
      </c>
    </row>
    <row r="83" spans="1:6" x14ac:dyDescent="0.25">
      <c r="A83" s="1">
        <v>42836</v>
      </c>
      <c r="B83" s="2" t="s">
        <v>27</v>
      </c>
      <c r="C83" s="2" t="s">
        <v>25</v>
      </c>
      <c r="D83">
        <v>1011</v>
      </c>
      <c r="E83">
        <v>211</v>
      </c>
      <c r="F83">
        <v>536</v>
      </c>
    </row>
    <row r="84" spans="1:6" x14ac:dyDescent="0.25">
      <c r="A84" s="1">
        <v>42837</v>
      </c>
      <c r="B84" s="2" t="s">
        <v>25</v>
      </c>
      <c r="C84" s="2" t="s">
        <v>23</v>
      </c>
      <c r="D84">
        <v>3398</v>
      </c>
      <c r="E84">
        <v>122</v>
      </c>
      <c r="F84">
        <v>163</v>
      </c>
    </row>
    <row r="85" spans="1:6" x14ac:dyDescent="0.25">
      <c r="A85" s="1">
        <v>42839</v>
      </c>
      <c r="B85" s="2" t="s">
        <v>52</v>
      </c>
      <c r="C85" s="2" t="s">
        <v>53</v>
      </c>
      <c r="D85">
        <v>5416</v>
      </c>
      <c r="E85">
        <v>156</v>
      </c>
      <c r="F85">
        <v>349</v>
      </c>
    </row>
    <row r="86" spans="1:6" x14ac:dyDescent="0.25">
      <c r="A86" s="1">
        <v>42840</v>
      </c>
      <c r="B86" s="2" t="s">
        <v>9</v>
      </c>
      <c r="C86" s="2" t="s">
        <v>54</v>
      </c>
      <c r="D86">
        <v>3914</v>
      </c>
      <c r="E86">
        <v>417</v>
      </c>
      <c r="F86">
        <v>888</v>
      </c>
    </row>
    <row r="87" spans="1:6" x14ac:dyDescent="0.25">
      <c r="A87" s="1">
        <v>42841</v>
      </c>
      <c r="B87" s="2" t="s">
        <v>54</v>
      </c>
      <c r="C87" s="2" t="s">
        <v>47</v>
      </c>
      <c r="D87">
        <v>5805</v>
      </c>
      <c r="E87">
        <v>145</v>
      </c>
      <c r="F87">
        <v>301</v>
      </c>
    </row>
    <row r="88" spans="1:6" x14ac:dyDescent="0.25">
      <c r="A88" s="1">
        <v>42842</v>
      </c>
      <c r="B88" s="2" t="s">
        <v>47</v>
      </c>
      <c r="C88" s="2" t="s">
        <v>54</v>
      </c>
      <c r="D88">
        <v>4033</v>
      </c>
      <c r="E88">
        <v>136</v>
      </c>
      <c r="F88">
        <v>297</v>
      </c>
    </row>
    <row r="89" spans="1:6" x14ac:dyDescent="0.25">
      <c r="A89" s="1">
        <v>42844</v>
      </c>
      <c r="B89" s="2" t="s">
        <v>44</v>
      </c>
      <c r="C89" s="2" t="s">
        <v>55</v>
      </c>
      <c r="D89">
        <v>1021</v>
      </c>
      <c r="E89">
        <v>184</v>
      </c>
      <c r="F89">
        <v>660</v>
      </c>
    </row>
    <row r="90" spans="1:6" x14ac:dyDescent="0.25">
      <c r="A90" s="1">
        <v>42846</v>
      </c>
      <c r="B90" s="2" t="s">
        <v>56</v>
      </c>
      <c r="C90" s="2" t="s">
        <v>45</v>
      </c>
      <c r="D90">
        <v>5162</v>
      </c>
      <c r="E90">
        <v>17</v>
      </c>
      <c r="F90">
        <v>28</v>
      </c>
    </row>
    <row r="91" spans="1:6" x14ac:dyDescent="0.25">
      <c r="A91" s="1">
        <v>42847</v>
      </c>
      <c r="B91" s="2" t="s">
        <v>45</v>
      </c>
      <c r="C91" s="2" t="s">
        <v>44</v>
      </c>
      <c r="D91">
        <v>2050</v>
      </c>
      <c r="E91">
        <v>162</v>
      </c>
      <c r="F91">
        <v>569</v>
      </c>
    </row>
    <row r="92" spans="1:6" x14ac:dyDescent="0.25">
      <c r="A92" s="1">
        <v>42849</v>
      </c>
      <c r="B92" s="2" t="s">
        <v>43</v>
      </c>
      <c r="C92" s="2" t="s">
        <v>37</v>
      </c>
      <c r="D92">
        <v>5312</v>
      </c>
      <c r="E92">
        <v>153</v>
      </c>
      <c r="F92">
        <v>356</v>
      </c>
    </row>
    <row r="93" spans="1:6" x14ac:dyDescent="0.25">
      <c r="A93" s="1">
        <v>42851</v>
      </c>
      <c r="B93" s="2" t="s">
        <v>23</v>
      </c>
      <c r="C93" s="2" t="s">
        <v>42</v>
      </c>
      <c r="D93">
        <v>2443</v>
      </c>
      <c r="E93">
        <v>392</v>
      </c>
      <c r="F93">
        <v>1392</v>
      </c>
    </row>
    <row r="94" spans="1:6" x14ac:dyDescent="0.25">
      <c r="A94" s="1">
        <v>42853</v>
      </c>
      <c r="B94" s="2" t="s">
        <v>56</v>
      </c>
      <c r="C94" s="2" t="s">
        <v>50</v>
      </c>
      <c r="D94">
        <v>1161</v>
      </c>
      <c r="E94">
        <v>174</v>
      </c>
      <c r="F94">
        <v>323</v>
      </c>
    </row>
    <row r="95" spans="1:6" x14ac:dyDescent="0.25">
      <c r="A95" s="1">
        <v>42854</v>
      </c>
      <c r="B95" s="2" t="s">
        <v>50</v>
      </c>
      <c r="C95" s="2" t="s">
        <v>17</v>
      </c>
      <c r="D95">
        <v>3435</v>
      </c>
      <c r="E95">
        <v>146</v>
      </c>
      <c r="F95">
        <v>530</v>
      </c>
    </row>
    <row r="96" spans="1:6" x14ac:dyDescent="0.25">
      <c r="A96" s="1">
        <v>42855</v>
      </c>
      <c r="B96" s="2" t="s">
        <v>57</v>
      </c>
      <c r="C96" s="2" t="s">
        <v>32</v>
      </c>
      <c r="D96">
        <v>3358</v>
      </c>
      <c r="E96">
        <v>168</v>
      </c>
      <c r="F96">
        <v>569</v>
      </c>
    </row>
    <row r="97" spans="1:6" x14ac:dyDescent="0.25">
      <c r="A97" s="1">
        <v>42856</v>
      </c>
      <c r="B97" s="2" t="s">
        <v>52</v>
      </c>
      <c r="C97" s="2" t="s">
        <v>58</v>
      </c>
      <c r="D97">
        <v>2719</v>
      </c>
      <c r="E97">
        <v>152</v>
      </c>
      <c r="F97">
        <v>240</v>
      </c>
    </row>
    <row r="98" spans="1:6" x14ac:dyDescent="0.25">
      <c r="A98" s="1">
        <v>42857</v>
      </c>
      <c r="B98" s="2" t="s">
        <v>58</v>
      </c>
      <c r="C98" s="2" t="s">
        <v>23</v>
      </c>
      <c r="D98">
        <v>1793</v>
      </c>
      <c r="E98">
        <v>197</v>
      </c>
      <c r="F98">
        <v>754</v>
      </c>
    </row>
    <row r="99" spans="1:6" x14ac:dyDescent="0.25">
      <c r="A99" s="1">
        <v>42860</v>
      </c>
      <c r="B99" s="2" t="s">
        <v>19</v>
      </c>
      <c r="C99" s="2" t="s">
        <v>29</v>
      </c>
      <c r="D99">
        <v>1858</v>
      </c>
      <c r="E99">
        <v>104</v>
      </c>
      <c r="F99">
        <v>171</v>
      </c>
    </row>
    <row r="100" spans="1:6" x14ac:dyDescent="0.25">
      <c r="A100" s="1">
        <v>42861</v>
      </c>
      <c r="B100" s="2" t="s">
        <v>29</v>
      </c>
      <c r="C100" s="2" t="s">
        <v>19</v>
      </c>
      <c r="D100">
        <v>4651</v>
      </c>
      <c r="E100">
        <v>111</v>
      </c>
      <c r="F100">
        <v>190</v>
      </c>
    </row>
    <row r="101" spans="1:6" x14ac:dyDescent="0.25">
      <c r="A101" s="1">
        <v>42862</v>
      </c>
      <c r="B101" s="2" t="s">
        <v>19</v>
      </c>
      <c r="C101" s="2" t="s">
        <v>29</v>
      </c>
      <c r="D101">
        <v>2929</v>
      </c>
      <c r="E101">
        <v>111</v>
      </c>
      <c r="F101">
        <v>395</v>
      </c>
    </row>
    <row r="102" spans="1:6" x14ac:dyDescent="0.25">
      <c r="A102" s="1">
        <v>42863</v>
      </c>
      <c r="B102" s="2" t="s">
        <v>29</v>
      </c>
      <c r="C102" s="2" t="s">
        <v>28</v>
      </c>
      <c r="D102">
        <v>2608</v>
      </c>
      <c r="E102">
        <v>123</v>
      </c>
      <c r="F102">
        <v>223</v>
      </c>
    </row>
    <row r="103" spans="1:6" x14ac:dyDescent="0.25">
      <c r="A103" s="1">
        <v>42864</v>
      </c>
      <c r="B103" s="2" t="s">
        <v>28</v>
      </c>
      <c r="C103" s="2" t="s">
        <v>14</v>
      </c>
      <c r="D103">
        <v>3094</v>
      </c>
      <c r="E103">
        <v>107</v>
      </c>
      <c r="F103">
        <v>143</v>
      </c>
    </row>
    <row r="104" spans="1:6" x14ac:dyDescent="0.25">
      <c r="A104" s="1">
        <v>42867</v>
      </c>
      <c r="B104" s="2" t="s">
        <v>19</v>
      </c>
      <c r="C104" s="2" t="s">
        <v>59</v>
      </c>
      <c r="D104">
        <v>5288</v>
      </c>
      <c r="E104">
        <v>107</v>
      </c>
      <c r="F104">
        <v>312</v>
      </c>
    </row>
    <row r="105" spans="1:6" x14ac:dyDescent="0.25">
      <c r="A105" s="1">
        <v>42868</v>
      </c>
      <c r="B105" s="2" t="s">
        <v>43</v>
      </c>
      <c r="C105" s="2" t="s">
        <v>28</v>
      </c>
      <c r="D105">
        <v>4888</v>
      </c>
      <c r="E105">
        <v>182</v>
      </c>
      <c r="F105">
        <v>248</v>
      </c>
    </row>
    <row r="106" spans="1:6" x14ac:dyDescent="0.25">
      <c r="A106" s="1">
        <v>42869</v>
      </c>
      <c r="B106" s="2" t="s">
        <v>28</v>
      </c>
      <c r="C106" s="2" t="s">
        <v>60</v>
      </c>
      <c r="D106">
        <v>5475</v>
      </c>
      <c r="E106">
        <v>129</v>
      </c>
      <c r="F106">
        <v>200</v>
      </c>
    </row>
    <row r="107" spans="1:6" x14ac:dyDescent="0.25">
      <c r="A107" s="1">
        <v>42870</v>
      </c>
      <c r="B107" s="2" t="s">
        <v>60</v>
      </c>
      <c r="C107" s="2" t="s">
        <v>47</v>
      </c>
      <c r="D107">
        <v>4863</v>
      </c>
      <c r="E107">
        <v>141</v>
      </c>
      <c r="F107">
        <v>444</v>
      </c>
    </row>
    <row r="108" spans="1:6" x14ac:dyDescent="0.25">
      <c r="A108" s="1">
        <v>42872</v>
      </c>
      <c r="B108" s="2" t="s">
        <v>29</v>
      </c>
      <c r="C108" s="2" t="s">
        <v>56</v>
      </c>
      <c r="D108">
        <v>5933</v>
      </c>
      <c r="E108">
        <v>335</v>
      </c>
      <c r="F108">
        <v>479</v>
      </c>
    </row>
    <row r="109" spans="1:6" x14ac:dyDescent="0.25">
      <c r="A109" s="1">
        <v>42873</v>
      </c>
      <c r="B109" s="2" t="s">
        <v>59</v>
      </c>
      <c r="C109" s="2" t="s">
        <v>61</v>
      </c>
      <c r="D109">
        <v>1730</v>
      </c>
      <c r="E109">
        <v>410</v>
      </c>
      <c r="F109">
        <v>1087</v>
      </c>
    </row>
    <row r="110" spans="1:6" x14ac:dyDescent="0.25">
      <c r="A110" s="1">
        <v>42874</v>
      </c>
      <c r="B110" s="2" t="s">
        <v>61</v>
      </c>
      <c r="C110" s="2" t="s">
        <v>15</v>
      </c>
      <c r="D110">
        <v>3178</v>
      </c>
      <c r="E110">
        <v>171</v>
      </c>
      <c r="F110">
        <v>646</v>
      </c>
    </row>
    <row r="111" spans="1:6" x14ac:dyDescent="0.25">
      <c r="A111" s="1">
        <v>42877</v>
      </c>
      <c r="B111" s="2" t="s">
        <v>29</v>
      </c>
      <c r="C111" s="2" t="s">
        <v>41</v>
      </c>
      <c r="D111">
        <v>3983</v>
      </c>
      <c r="E111">
        <v>153</v>
      </c>
      <c r="F111">
        <v>175</v>
      </c>
    </row>
    <row r="112" spans="1:6" x14ac:dyDescent="0.25">
      <c r="A112" s="1">
        <v>42878</v>
      </c>
      <c r="B112" s="2" t="s">
        <v>36</v>
      </c>
      <c r="C112" s="2" t="s">
        <v>13</v>
      </c>
      <c r="D112">
        <v>3007</v>
      </c>
      <c r="E112">
        <v>391</v>
      </c>
      <c r="F112">
        <v>1406</v>
      </c>
    </row>
    <row r="113" spans="1:6" x14ac:dyDescent="0.25">
      <c r="A113" s="1">
        <v>42879</v>
      </c>
      <c r="B113" s="2" t="s">
        <v>59</v>
      </c>
      <c r="C113" s="2" t="s">
        <v>18</v>
      </c>
      <c r="D113">
        <v>5832</v>
      </c>
      <c r="E113">
        <v>300</v>
      </c>
      <c r="F113">
        <v>453</v>
      </c>
    </row>
    <row r="114" spans="1:6" x14ac:dyDescent="0.25">
      <c r="A114" s="1">
        <v>42881</v>
      </c>
      <c r="B114" s="2" t="s">
        <v>35</v>
      </c>
      <c r="C114" s="2" t="s">
        <v>37</v>
      </c>
      <c r="D114">
        <v>3012</v>
      </c>
      <c r="E114">
        <v>148</v>
      </c>
      <c r="F114">
        <v>185</v>
      </c>
    </row>
    <row r="115" spans="1:6" x14ac:dyDescent="0.25">
      <c r="A115" s="1">
        <v>42882</v>
      </c>
      <c r="B115" s="2" t="s">
        <v>37</v>
      </c>
      <c r="C115" s="2" t="s">
        <v>57</v>
      </c>
      <c r="D115">
        <v>4508</v>
      </c>
      <c r="E115">
        <v>104</v>
      </c>
      <c r="F115">
        <v>399</v>
      </c>
    </row>
    <row r="116" spans="1:6" x14ac:dyDescent="0.25">
      <c r="A116" s="1">
        <v>42883</v>
      </c>
      <c r="B116" s="2" t="s">
        <v>9</v>
      </c>
      <c r="C116" s="2" t="s">
        <v>58</v>
      </c>
      <c r="D116">
        <v>1777</v>
      </c>
      <c r="E116">
        <v>552</v>
      </c>
      <c r="F116">
        <v>1964</v>
      </c>
    </row>
    <row r="117" spans="1:6" x14ac:dyDescent="0.25">
      <c r="A117" s="1">
        <v>42884</v>
      </c>
      <c r="B117" s="2" t="s">
        <v>58</v>
      </c>
      <c r="C117" s="2" t="s">
        <v>61</v>
      </c>
      <c r="D117">
        <v>4788</v>
      </c>
      <c r="E117">
        <v>203</v>
      </c>
      <c r="F117">
        <v>347</v>
      </c>
    </row>
    <row r="118" spans="1:6" x14ac:dyDescent="0.25">
      <c r="A118" s="1">
        <v>42885</v>
      </c>
      <c r="B118" s="2" t="s">
        <v>61</v>
      </c>
      <c r="C118" s="2" t="s">
        <v>62</v>
      </c>
      <c r="D118">
        <v>3035</v>
      </c>
      <c r="E118">
        <v>103</v>
      </c>
      <c r="F118">
        <v>376</v>
      </c>
    </row>
    <row r="119" spans="1:6" x14ac:dyDescent="0.25">
      <c r="A119" s="1">
        <v>42886</v>
      </c>
      <c r="B119" s="2" t="s">
        <v>62</v>
      </c>
      <c r="C119" s="2" t="s">
        <v>63</v>
      </c>
      <c r="D119">
        <v>3380</v>
      </c>
      <c r="E119">
        <v>155</v>
      </c>
      <c r="F119">
        <v>542</v>
      </c>
    </row>
    <row r="120" spans="1:6" x14ac:dyDescent="0.25">
      <c r="A120" s="1">
        <v>42887</v>
      </c>
      <c r="B120" s="2" t="s">
        <v>63</v>
      </c>
      <c r="C120" s="2" t="s">
        <v>64</v>
      </c>
      <c r="D120">
        <v>5014</v>
      </c>
      <c r="E120">
        <v>154</v>
      </c>
      <c r="F120">
        <v>577</v>
      </c>
    </row>
    <row r="121" spans="1:6" x14ac:dyDescent="0.25">
      <c r="A121" s="1">
        <v>42888</v>
      </c>
      <c r="B121" s="2" t="s">
        <v>64</v>
      </c>
      <c r="C121" s="2" t="s">
        <v>58</v>
      </c>
      <c r="D121">
        <v>1852</v>
      </c>
      <c r="E121">
        <v>110</v>
      </c>
      <c r="F121">
        <v>407</v>
      </c>
    </row>
    <row r="122" spans="1:6" x14ac:dyDescent="0.25">
      <c r="A122" s="1">
        <v>42890</v>
      </c>
      <c r="B122" s="2" t="s">
        <v>65</v>
      </c>
      <c r="C122" s="2" t="s">
        <v>11</v>
      </c>
      <c r="D122">
        <v>5493</v>
      </c>
      <c r="E122">
        <v>145</v>
      </c>
      <c r="F122">
        <v>168</v>
      </c>
    </row>
    <row r="123" spans="1:6" x14ac:dyDescent="0.25">
      <c r="A123" s="1">
        <v>42892</v>
      </c>
      <c r="B123" s="2" t="s">
        <v>51</v>
      </c>
      <c r="C123" s="2" t="s">
        <v>44</v>
      </c>
      <c r="D123">
        <v>5560</v>
      </c>
      <c r="E123">
        <v>187</v>
      </c>
      <c r="F123">
        <v>288</v>
      </c>
    </row>
    <row r="124" spans="1:6" x14ac:dyDescent="0.25">
      <c r="A124" s="1">
        <v>42893</v>
      </c>
      <c r="B124" s="2" t="s">
        <v>66</v>
      </c>
      <c r="C124" s="2" t="s">
        <v>67</v>
      </c>
      <c r="D124">
        <v>2571</v>
      </c>
      <c r="E124">
        <v>145</v>
      </c>
      <c r="F124">
        <v>567</v>
      </c>
    </row>
    <row r="125" spans="1:6" x14ac:dyDescent="0.25">
      <c r="A125" s="1">
        <v>42894</v>
      </c>
      <c r="B125" s="2" t="s">
        <v>67</v>
      </c>
      <c r="C125" s="2" t="s">
        <v>19</v>
      </c>
      <c r="D125">
        <v>3348</v>
      </c>
      <c r="E125">
        <v>111</v>
      </c>
      <c r="F125">
        <v>135</v>
      </c>
    </row>
    <row r="126" spans="1:6" x14ac:dyDescent="0.25">
      <c r="A126" s="1">
        <v>42895</v>
      </c>
      <c r="B126" s="2" t="s">
        <v>19</v>
      </c>
      <c r="C126" s="2" t="s">
        <v>46</v>
      </c>
      <c r="D126">
        <v>2906</v>
      </c>
      <c r="E126">
        <v>119</v>
      </c>
      <c r="F126">
        <v>398</v>
      </c>
    </row>
    <row r="127" spans="1:6" x14ac:dyDescent="0.25">
      <c r="A127" s="1">
        <v>42896</v>
      </c>
      <c r="B127" s="2" t="s">
        <v>46</v>
      </c>
      <c r="C127" s="2" t="s">
        <v>54</v>
      </c>
      <c r="D127">
        <v>5660</v>
      </c>
      <c r="E127">
        <v>137</v>
      </c>
      <c r="F127">
        <v>490</v>
      </c>
    </row>
    <row r="128" spans="1:6" x14ac:dyDescent="0.25">
      <c r="A128" s="1">
        <v>42897</v>
      </c>
      <c r="B128" s="2" t="s">
        <v>19</v>
      </c>
      <c r="C128" s="2" t="s">
        <v>29</v>
      </c>
      <c r="D128">
        <v>2575</v>
      </c>
      <c r="E128">
        <v>113</v>
      </c>
      <c r="F128">
        <v>277</v>
      </c>
    </row>
    <row r="129" spans="1:6" x14ac:dyDescent="0.25">
      <c r="A129" s="1">
        <v>42898</v>
      </c>
      <c r="B129" s="2" t="s">
        <v>55</v>
      </c>
      <c r="C129" s="2" t="s">
        <v>46</v>
      </c>
      <c r="D129">
        <v>1676</v>
      </c>
      <c r="E129">
        <v>217</v>
      </c>
      <c r="F129">
        <v>499</v>
      </c>
    </row>
    <row r="130" spans="1:6" x14ac:dyDescent="0.25">
      <c r="A130" s="1">
        <v>42899</v>
      </c>
      <c r="B130" s="2" t="s">
        <v>46</v>
      </c>
      <c r="C130" s="2" t="s">
        <v>47</v>
      </c>
      <c r="D130">
        <v>1536</v>
      </c>
      <c r="E130">
        <v>96</v>
      </c>
      <c r="F130">
        <v>154</v>
      </c>
    </row>
    <row r="131" spans="1:6" x14ac:dyDescent="0.25">
      <c r="A131" s="1">
        <v>42900</v>
      </c>
      <c r="B131" s="2" t="s">
        <v>47</v>
      </c>
      <c r="C131" s="2" t="s">
        <v>42</v>
      </c>
      <c r="D131">
        <v>1996</v>
      </c>
      <c r="E131">
        <v>158</v>
      </c>
      <c r="F131">
        <v>653</v>
      </c>
    </row>
    <row r="132" spans="1:6" x14ac:dyDescent="0.25">
      <c r="A132" s="1">
        <v>42902</v>
      </c>
      <c r="B132" s="2" t="s">
        <v>68</v>
      </c>
      <c r="C132" s="2" t="s">
        <v>69</v>
      </c>
      <c r="D132">
        <v>4769</v>
      </c>
      <c r="E132">
        <v>160</v>
      </c>
      <c r="F132">
        <v>522</v>
      </c>
    </row>
    <row r="133" spans="1:6" x14ac:dyDescent="0.25">
      <c r="A133" s="1">
        <v>42903</v>
      </c>
      <c r="B133" s="2" t="s">
        <v>69</v>
      </c>
      <c r="C133" s="2" t="s">
        <v>59</v>
      </c>
      <c r="D133">
        <v>4542</v>
      </c>
      <c r="E133">
        <v>205</v>
      </c>
      <c r="F133">
        <v>524</v>
      </c>
    </row>
    <row r="134" spans="1:6" x14ac:dyDescent="0.25">
      <c r="A134" s="1">
        <v>42904</v>
      </c>
      <c r="B134" s="2" t="s">
        <v>59</v>
      </c>
      <c r="C134" s="2" t="s">
        <v>60</v>
      </c>
      <c r="D134">
        <v>2286</v>
      </c>
      <c r="E134">
        <v>140</v>
      </c>
      <c r="F134">
        <v>136</v>
      </c>
    </row>
    <row r="135" spans="1:6" x14ac:dyDescent="0.25">
      <c r="A135" s="1">
        <v>42905</v>
      </c>
      <c r="B135" s="2" t="s">
        <v>60</v>
      </c>
      <c r="C135" s="2" t="s">
        <v>41</v>
      </c>
      <c r="D135">
        <v>1504</v>
      </c>
      <c r="E135">
        <v>95</v>
      </c>
      <c r="F135">
        <v>382</v>
      </c>
    </row>
    <row r="136" spans="1:6" x14ac:dyDescent="0.25">
      <c r="A136" s="1">
        <v>42906</v>
      </c>
      <c r="B136" s="2" t="s">
        <v>34</v>
      </c>
      <c r="C136" s="2" t="s">
        <v>39</v>
      </c>
      <c r="D136">
        <v>3990</v>
      </c>
      <c r="E136">
        <v>195</v>
      </c>
      <c r="F136">
        <v>468</v>
      </c>
    </row>
    <row r="137" spans="1:6" x14ac:dyDescent="0.25">
      <c r="A137" s="1">
        <v>42907</v>
      </c>
      <c r="B137" s="2" t="s">
        <v>47</v>
      </c>
      <c r="C137" s="2" t="s">
        <v>17</v>
      </c>
      <c r="D137">
        <v>4569</v>
      </c>
      <c r="E137">
        <v>123</v>
      </c>
      <c r="F137">
        <v>295</v>
      </c>
    </row>
    <row r="138" spans="1:6" x14ac:dyDescent="0.25">
      <c r="A138" s="1">
        <v>42908</v>
      </c>
      <c r="B138" s="2" t="s">
        <v>17</v>
      </c>
      <c r="C138" s="2" t="s">
        <v>18</v>
      </c>
      <c r="D138">
        <v>3469</v>
      </c>
      <c r="E138">
        <v>151</v>
      </c>
      <c r="F138">
        <v>558</v>
      </c>
    </row>
    <row r="139" spans="1:6" x14ac:dyDescent="0.25">
      <c r="A139" s="1">
        <v>42909</v>
      </c>
      <c r="B139" s="2" t="s">
        <v>18</v>
      </c>
      <c r="C139" s="2" t="s">
        <v>39</v>
      </c>
      <c r="D139">
        <v>2498</v>
      </c>
      <c r="E139">
        <v>163</v>
      </c>
      <c r="F139">
        <v>610</v>
      </c>
    </row>
    <row r="140" spans="1:6" x14ac:dyDescent="0.25">
      <c r="A140" s="1">
        <v>42910</v>
      </c>
      <c r="B140" s="2" t="s">
        <v>39</v>
      </c>
      <c r="C140" s="2" t="s">
        <v>17</v>
      </c>
      <c r="D140">
        <v>4118</v>
      </c>
      <c r="E140">
        <v>144</v>
      </c>
      <c r="F140">
        <v>256</v>
      </c>
    </row>
    <row r="141" spans="1:6" x14ac:dyDescent="0.25">
      <c r="A141" s="1">
        <v>42911</v>
      </c>
      <c r="B141" s="2" t="s">
        <v>30</v>
      </c>
      <c r="C141" s="2" t="s">
        <v>70</v>
      </c>
      <c r="D141">
        <v>5847</v>
      </c>
      <c r="E141">
        <v>137</v>
      </c>
      <c r="F141">
        <v>270</v>
      </c>
    </row>
    <row r="142" spans="1:6" x14ac:dyDescent="0.25">
      <c r="A142" s="1">
        <v>42912</v>
      </c>
      <c r="B142" s="2" t="s">
        <v>70</v>
      </c>
      <c r="C142" s="2" t="s">
        <v>30</v>
      </c>
      <c r="D142">
        <v>2032</v>
      </c>
      <c r="E142">
        <v>129</v>
      </c>
      <c r="F142">
        <v>245</v>
      </c>
    </row>
    <row r="143" spans="1:6" x14ac:dyDescent="0.25">
      <c r="A143" s="1">
        <v>42913</v>
      </c>
      <c r="B143" s="2" t="s">
        <v>30</v>
      </c>
      <c r="C143" s="2" t="s">
        <v>31</v>
      </c>
      <c r="D143">
        <v>2735</v>
      </c>
      <c r="E143">
        <v>213</v>
      </c>
      <c r="F143">
        <v>213</v>
      </c>
    </row>
    <row r="144" spans="1:6" x14ac:dyDescent="0.25">
      <c r="A144" s="1">
        <v>42914</v>
      </c>
      <c r="B144" s="2" t="s">
        <v>31</v>
      </c>
      <c r="C144" s="2" t="s">
        <v>22</v>
      </c>
      <c r="D144">
        <v>5467</v>
      </c>
      <c r="E144">
        <v>168</v>
      </c>
      <c r="F144">
        <v>336</v>
      </c>
    </row>
    <row r="145" spans="1:6" x14ac:dyDescent="0.25">
      <c r="A145" s="1">
        <v>42915</v>
      </c>
      <c r="B145" s="2" t="s">
        <v>22</v>
      </c>
      <c r="C145" s="2" t="s">
        <v>21</v>
      </c>
      <c r="D145">
        <v>3691</v>
      </c>
      <c r="E145">
        <v>170</v>
      </c>
      <c r="F145">
        <v>525</v>
      </c>
    </row>
    <row r="146" spans="1:6" x14ac:dyDescent="0.25">
      <c r="A146" s="1">
        <v>42916</v>
      </c>
      <c r="B146" s="2" t="s">
        <v>15</v>
      </c>
      <c r="C146" s="2" t="s">
        <v>52</v>
      </c>
      <c r="D146">
        <v>3681</v>
      </c>
      <c r="E146">
        <v>145</v>
      </c>
      <c r="F146">
        <v>546</v>
      </c>
    </row>
    <row r="147" spans="1:6" x14ac:dyDescent="0.25">
      <c r="A147" s="1">
        <v>42917</v>
      </c>
      <c r="B147" s="2" t="s">
        <v>62</v>
      </c>
      <c r="C147" s="2" t="s">
        <v>20</v>
      </c>
      <c r="D147">
        <v>2256</v>
      </c>
      <c r="E147">
        <v>146</v>
      </c>
      <c r="F147">
        <v>315</v>
      </c>
    </row>
    <row r="148" spans="1:6" x14ac:dyDescent="0.25">
      <c r="A148" s="1">
        <v>42918</v>
      </c>
      <c r="B148" s="2" t="s">
        <v>20</v>
      </c>
      <c r="C148" s="2" t="s">
        <v>8</v>
      </c>
      <c r="D148">
        <v>4602</v>
      </c>
      <c r="E148">
        <v>120</v>
      </c>
      <c r="F148">
        <v>288</v>
      </c>
    </row>
    <row r="149" spans="1:6" x14ac:dyDescent="0.25">
      <c r="A149" s="1">
        <v>42919</v>
      </c>
      <c r="B149" s="2" t="s">
        <v>8</v>
      </c>
      <c r="C149" s="2" t="s">
        <v>20</v>
      </c>
      <c r="D149">
        <v>4354</v>
      </c>
      <c r="E149">
        <v>135</v>
      </c>
      <c r="F149">
        <v>215</v>
      </c>
    </row>
    <row r="150" spans="1:6" x14ac:dyDescent="0.25">
      <c r="A150" s="1">
        <v>42920</v>
      </c>
      <c r="B150" s="2" t="s">
        <v>20</v>
      </c>
      <c r="C150" s="2" t="s">
        <v>60</v>
      </c>
      <c r="D150">
        <v>4260</v>
      </c>
      <c r="E150">
        <v>118</v>
      </c>
      <c r="F150">
        <v>222</v>
      </c>
    </row>
    <row r="151" spans="1:6" x14ac:dyDescent="0.25">
      <c r="A151" s="1">
        <v>42921</v>
      </c>
      <c r="B151" s="2" t="s">
        <v>40</v>
      </c>
      <c r="C151" s="2" t="s">
        <v>41</v>
      </c>
      <c r="D151">
        <v>2800</v>
      </c>
      <c r="E151">
        <v>98</v>
      </c>
      <c r="F151">
        <v>108</v>
      </c>
    </row>
    <row r="152" spans="1:6" x14ac:dyDescent="0.25">
      <c r="A152" s="1">
        <v>42922</v>
      </c>
      <c r="B152" s="2" t="s">
        <v>41</v>
      </c>
      <c r="C152" s="2" t="s">
        <v>28</v>
      </c>
      <c r="D152">
        <v>2637</v>
      </c>
      <c r="E152">
        <v>138</v>
      </c>
      <c r="F152">
        <v>179</v>
      </c>
    </row>
    <row r="153" spans="1:6" x14ac:dyDescent="0.25">
      <c r="A153" s="1">
        <v>42923</v>
      </c>
      <c r="B153" s="2" t="s">
        <v>28</v>
      </c>
      <c r="C153" s="2" t="s">
        <v>14</v>
      </c>
      <c r="D153">
        <v>5651</v>
      </c>
      <c r="E153">
        <v>116</v>
      </c>
      <c r="F153">
        <v>141</v>
      </c>
    </row>
    <row r="154" spans="1:6" x14ac:dyDescent="0.25">
      <c r="A154" s="1">
        <v>42924</v>
      </c>
      <c r="B154" s="2" t="s">
        <v>14</v>
      </c>
      <c r="C154" s="2" t="s">
        <v>48</v>
      </c>
      <c r="D154">
        <v>2511</v>
      </c>
      <c r="E154">
        <v>120</v>
      </c>
      <c r="F154">
        <v>438</v>
      </c>
    </row>
    <row r="155" spans="1:6" x14ac:dyDescent="0.25">
      <c r="A155" s="1">
        <v>42926</v>
      </c>
      <c r="B155" s="2" t="s">
        <v>56</v>
      </c>
      <c r="C155" s="2" t="s">
        <v>30</v>
      </c>
      <c r="D155">
        <v>2448</v>
      </c>
      <c r="E155">
        <v>744</v>
      </c>
      <c r="F155">
        <v>2887</v>
      </c>
    </row>
    <row r="156" spans="1:6" x14ac:dyDescent="0.25">
      <c r="A156" s="1">
        <v>42927</v>
      </c>
      <c r="B156" s="2" t="s">
        <v>10</v>
      </c>
      <c r="C156" s="2" t="s">
        <v>71</v>
      </c>
      <c r="D156">
        <v>3414</v>
      </c>
      <c r="E156">
        <v>114</v>
      </c>
      <c r="F156">
        <v>301</v>
      </c>
    </row>
    <row r="157" spans="1:6" x14ac:dyDescent="0.25">
      <c r="A157" s="1">
        <v>42928</v>
      </c>
      <c r="B157" s="2" t="s">
        <v>70</v>
      </c>
      <c r="C157" s="2" t="s">
        <v>36</v>
      </c>
      <c r="D157">
        <v>4039</v>
      </c>
      <c r="E157">
        <v>204</v>
      </c>
      <c r="F157">
        <v>614</v>
      </c>
    </row>
    <row r="158" spans="1:6" x14ac:dyDescent="0.25">
      <c r="A158" s="1">
        <v>42929</v>
      </c>
      <c r="B158" s="2" t="s">
        <v>36</v>
      </c>
      <c r="C158" s="2" t="s">
        <v>70</v>
      </c>
      <c r="D158">
        <v>5862</v>
      </c>
      <c r="E158">
        <v>202</v>
      </c>
      <c r="F158">
        <v>518</v>
      </c>
    </row>
    <row r="159" spans="1:6" x14ac:dyDescent="0.25">
      <c r="A159" s="1">
        <v>42931</v>
      </c>
      <c r="B159" s="2" t="s">
        <v>44</v>
      </c>
      <c r="C159" s="2" t="s">
        <v>56</v>
      </c>
      <c r="D159">
        <v>3077</v>
      </c>
      <c r="E159">
        <v>148</v>
      </c>
      <c r="F159">
        <v>454</v>
      </c>
    </row>
    <row r="160" spans="1:6" x14ac:dyDescent="0.25">
      <c r="A160" s="1">
        <v>42932</v>
      </c>
      <c r="B160" s="2" t="s">
        <v>55</v>
      </c>
      <c r="C160" s="2" t="s">
        <v>26</v>
      </c>
      <c r="D160">
        <v>5569</v>
      </c>
      <c r="E160">
        <v>604</v>
      </c>
      <c r="F160">
        <v>1446</v>
      </c>
    </row>
    <row r="161" spans="1:6" x14ac:dyDescent="0.25">
      <c r="A161" s="1">
        <v>42933</v>
      </c>
      <c r="B161" s="2" t="s">
        <v>26</v>
      </c>
      <c r="C161" s="2" t="s">
        <v>48</v>
      </c>
      <c r="D161">
        <v>4513</v>
      </c>
      <c r="E161">
        <v>114</v>
      </c>
      <c r="F161">
        <v>125</v>
      </c>
    </row>
    <row r="162" spans="1:6" x14ac:dyDescent="0.25">
      <c r="A162" s="1">
        <v>42935</v>
      </c>
      <c r="B162" s="2" t="s">
        <v>18</v>
      </c>
      <c r="C162" s="2" t="s">
        <v>16</v>
      </c>
      <c r="D162">
        <v>2771</v>
      </c>
      <c r="E162">
        <v>239</v>
      </c>
      <c r="F162">
        <v>396</v>
      </c>
    </row>
    <row r="163" spans="1:6" x14ac:dyDescent="0.25">
      <c r="A163" s="1">
        <v>42936</v>
      </c>
      <c r="B163" s="2" t="s">
        <v>50</v>
      </c>
      <c r="C163" s="2" t="s">
        <v>42</v>
      </c>
      <c r="D163">
        <v>1079</v>
      </c>
      <c r="E163">
        <v>438</v>
      </c>
      <c r="F163">
        <v>899</v>
      </c>
    </row>
    <row r="164" spans="1:6" x14ac:dyDescent="0.25">
      <c r="A164" s="1">
        <v>42937</v>
      </c>
      <c r="B164" s="2" t="s">
        <v>42</v>
      </c>
      <c r="C164" s="2" t="s">
        <v>32</v>
      </c>
      <c r="D164">
        <v>3126</v>
      </c>
      <c r="E164">
        <v>124</v>
      </c>
      <c r="F164">
        <v>317</v>
      </c>
    </row>
    <row r="165" spans="1:6" x14ac:dyDescent="0.25">
      <c r="A165" s="1">
        <v>42938</v>
      </c>
      <c r="B165" s="2" t="s">
        <v>32</v>
      </c>
      <c r="C165" s="2" t="s">
        <v>60</v>
      </c>
      <c r="D165">
        <v>3650</v>
      </c>
      <c r="E165">
        <v>137</v>
      </c>
      <c r="F165">
        <v>308</v>
      </c>
    </row>
    <row r="166" spans="1:6" x14ac:dyDescent="0.25">
      <c r="A166" s="1">
        <v>42939</v>
      </c>
      <c r="B166" s="2" t="s">
        <v>55</v>
      </c>
      <c r="C166" s="2" t="s">
        <v>68</v>
      </c>
      <c r="D166">
        <v>5721</v>
      </c>
      <c r="E166">
        <v>122</v>
      </c>
      <c r="F166">
        <v>280</v>
      </c>
    </row>
    <row r="167" spans="1:6" x14ac:dyDescent="0.25">
      <c r="A167" s="1">
        <v>42940</v>
      </c>
      <c r="B167" s="2" t="s">
        <v>68</v>
      </c>
      <c r="C167" s="2" t="s">
        <v>19</v>
      </c>
      <c r="D167">
        <v>5759</v>
      </c>
      <c r="E167">
        <v>175</v>
      </c>
      <c r="F167">
        <v>297</v>
      </c>
    </row>
    <row r="168" spans="1:6" x14ac:dyDescent="0.25">
      <c r="A168" s="1">
        <v>42941</v>
      </c>
      <c r="B168" s="2" t="s">
        <v>19</v>
      </c>
      <c r="C168" s="2" t="s">
        <v>59</v>
      </c>
      <c r="D168">
        <v>2871</v>
      </c>
      <c r="E168">
        <v>113</v>
      </c>
      <c r="F168">
        <v>110</v>
      </c>
    </row>
    <row r="169" spans="1:6" x14ac:dyDescent="0.25">
      <c r="A169" s="1">
        <v>42944</v>
      </c>
      <c r="B169" s="2" t="s">
        <v>8</v>
      </c>
      <c r="C169" s="2" t="s">
        <v>9</v>
      </c>
      <c r="D169">
        <v>3571</v>
      </c>
      <c r="E169">
        <v>162</v>
      </c>
      <c r="F169">
        <v>292</v>
      </c>
    </row>
    <row r="170" spans="1:6" x14ac:dyDescent="0.25">
      <c r="A170" s="1">
        <v>42945</v>
      </c>
      <c r="B170" s="2" t="s">
        <v>9</v>
      </c>
      <c r="C170" s="2" t="s">
        <v>59</v>
      </c>
      <c r="D170">
        <v>3061</v>
      </c>
      <c r="E170">
        <v>107</v>
      </c>
      <c r="F170">
        <v>258</v>
      </c>
    </row>
    <row r="171" spans="1:6" x14ac:dyDescent="0.25">
      <c r="A171" s="1">
        <v>42946</v>
      </c>
      <c r="B171" s="2" t="s">
        <v>59</v>
      </c>
      <c r="C171" s="2" t="s">
        <v>65</v>
      </c>
      <c r="D171">
        <v>5336</v>
      </c>
      <c r="E171">
        <v>107</v>
      </c>
      <c r="F171">
        <v>171</v>
      </c>
    </row>
    <row r="172" spans="1:6" x14ac:dyDescent="0.25">
      <c r="A172" s="1">
        <v>42947</v>
      </c>
      <c r="B172" s="2" t="s">
        <v>29</v>
      </c>
      <c r="C172" s="2" t="s">
        <v>27</v>
      </c>
      <c r="D172">
        <v>5658</v>
      </c>
      <c r="E172">
        <v>249</v>
      </c>
      <c r="F172">
        <v>967</v>
      </c>
    </row>
    <row r="173" spans="1:6" x14ac:dyDescent="0.25">
      <c r="A173" s="1">
        <v>42948</v>
      </c>
      <c r="B173" s="2" t="s">
        <v>27</v>
      </c>
      <c r="C173" s="2" t="s">
        <v>25</v>
      </c>
      <c r="D173">
        <v>2697</v>
      </c>
      <c r="E173">
        <v>209</v>
      </c>
      <c r="F173">
        <v>699</v>
      </c>
    </row>
    <row r="174" spans="1:6" x14ac:dyDescent="0.25">
      <c r="A174" s="1">
        <v>42949</v>
      </c>
      <c r="B174" s="2" t="s">
        <v>25</v>
      </c>
      <c r="C174" s="2" t="s">
        <v>48</v>
      </c>
      <c r="D174">
        <v>5368</v>
      </c>
      <c r="E174">
        <v>122</v>
      </c>
      <c r="F174">
        <v>491</v>
      </c>
    </row>
    <row r="175" spans="1:6" x14ac:dyDescent="0.25">
      <c r="A175" s="1">
        <v>42950</v>
      </c>
      <c r="B175" s="2" t="s">
        <v>48</v>
      </c>
      <c r="C175" s="2" t="s">
        <v>14</v>
      </c>
      <c r="D175">
        <v>2706</v>
      </c>
      <c r="E175">
        <v>137</v>
      </c>
      <c r="F175">
        <v>292</v>
      </c>
    </row>
    <row r="176" spans="1:6" x14ac:dyDescent="0.25">
      <c r="A176" s="1">
        <v>42953</v>
      </c>
      <c r="B176" s="2" t="s">
        <v>67</v>
      </c>
      <c r="C176" s="2" t="s">
        <v>48</v>
      </c>
      <c r="D176">
        <v>3456</v>
      </c>
      <c r="E176">
        <v>542</v>
      </c>
      <c r="F176">
        <v>1891</v>
      </c>
    </row>
    <row r="177" spans="1:6" x14ac:dyDescent="0.25">
      <c r="A177" s="1">
        <v>42954</v>
      </c>
      <c r="B177" s="2" t="s">
        <v>48</v>
      </c>
      <c r="C177" s="2" t="s">
        <v>14</v>
      </c>
      <c r="D177">
        <v>1914</v>
      </c>
      <c r="E177">
        <v>138</v>
      </c>
      <c r="F177">
        <v>405</v>
      </c>
    </row>
    <row r="178" spans="1:6" x14ac:dyDescent="0.25">
      <c r="A178" s="1">
        <v>42955</v>
      </c>
      <c r="B178" s="2" t="s">
        <v>14</v>
      </c>
      <c r="C178" s="2" t="s">
        <v>21</v>
      </c>
      <c r="D178">
        <v>1134</v>
      </c>
      <c r="E178">
        <v>95</v>
      </c>
      <c r="F178">
        <v>115</v>
      </c>
    </row>
    <row r="179" spans="1:6" x14ac:dyDescent="0.25">
      <c r="A179" s="1">
        <v>42956</v>
      </c>
      <c r="B179" s="2" t="s">
        <v>21</v>
      </c>
      <c r="C179" s="2" t="s">
        <v>25</v>
      </c>
      <c r="D179">
        <v>2935</v>
      </c>
      <c r="E179">
        <v>160</v>
      </c>
      <c r="F179">
        <v>275</v>
      </c>
    </row>
    <row r="180" spans="1:6" x14ac:dyDescent="0.25">
      <c r="A180" s="1">
        <v>42957</v>
      </c>
      <c r="B180" s="2" t="s">
        <v>25</v>
      </c>
      <c r="C180" s="2" t="s">
        <v>15</v>
      </c>
      <c r="D180">
        <v>4379</v>
      </c>
      <c r="E180">
        <v>93</v>
      </c>
      <c r="F180">
        <v>147</v>
      </c>
    </row>
    <row r="181" spans="1:6" x14ac:dyDescent="0.25">
      <c r="A181" s="1">
        <v>42959</v>
      </c>
      <c r="B181" s="2" t="s">
        <v>37</v>
      </c>
      <c r="C181" s="2" t="s">
        <v>35</v>
      </c>
      <c r="D181">
        <v>1328</v>
      </c>
      <c r="E181">
        <v>148</v>
      </c>
      <c r="F181">
        <v>516</v>
      </c>
    </row>
    <row r="182" spans="1:6" x14ac:dyDescent="0.25">
      <c r="A182" s="1">
        <v>42960</v>
      </c>
      <c r="B182" s="2" t="s">
        <v>70</v>
      </c>
      <c r="C182" s="2" t="s">
        <v>30</v>
      </c>
      <c r="D182">
        <v>4133</v>
      </c>
      <c r="E182">
        <v>130</v>
      </c>
      <c r="F182">
        <v>398</v>
      </c>
    </row>
    <row r="183" spans="1:6" x14ac:dyDescent="0.25">
      <c r="A183" s="1">
        <v>42962</v>
      </c>
      <c r="B183" s="2" t="s">
        <v>47</v>
      </c>
      <c r="C183" s="2" t="s">
        <v>20</v>
      </c>
      <c r="D183">
        <v>5370</v>
      </c>
      <c r="E183">
        <v>266</v>
      </c>
      <c r="F183">
        <v>699</v>
      </c>
    </row>
    <row r="184" spans="1:6" x14ac:dyDescent="0.25">
      <c r="A184" s="1">
        <v>42963</v>
      </c>
      <c r="B184" s="2" t="s">
        <v>20</v>
      </c>
      <c r="C184" s="2" t="s">
        <v>8</v>
      </c>
      <c r="D184">
        <v>4663</v>
      </c>
      <c r="E184">
        <v>122</v>
      </c>
      <c r="F184">
        <v>256</v>
      </c>
    </row>
    <row r="185" spans="1:6" x14ac:dyDescent="0.25">
      <c r="A185" s="1">
        <v>42964</v>
      </c>
      <c r="B185" s="2" t="s">
        <v>8</v>
      </c>
      <c r="C185" s="2" t="s">
        <v>40</v>
      </c>
      <c r="D185">
        <v>5151</v>
      </c>
      <c r="E185">
        <v>151</v>
      </c>
      <c r="F185">
        <v>195</v>
      </c>
    </row>
    <row r="186" spans="1:6" x14ac:dyDescent="0.25">
      <c r="A186" s="1">
        <v>42965</v>
      </c>
      <c r="B186" s="2" t="s">
        <v>40</v>
      </c>
      <c r="C186" s="2" t="s">
        <v>20</v>
      </c>
      <c r="D186">
        <v>3035</v>
      </c>
      <c r="E186">
        <v>118</v>
      </c>
      <c r="F186">
        <v>207</v>
      </c>
    </row>
    <row r="187" spans="1:6" x14ac:dyDescent="0.25">
      <c r="A187" s="1">
        <v>42967</v>
      </c>
      <c r="B187" s="2" t="s">
        <v>72</v>
      </c>
      <c r="C187" s="2" t="s">
        <v>11</v>
      </c>
      <c r="D187">
        <v>1090</v>
      </c>
      <c r="E187">
        <v>200</v>
      </c>
      <c r="F187">
        <v>585</v>
      </c>
    </row>
    <row r="188" spans="1:6" x14ac:dyDescent="0.25">
      <c r="A188" s="1">
        <v>42968</v>
      </c>
      <c r="B188" s="2" t="s">
        <v>11</v>
      </c>
      <c r="C188" s="2" t="s">
        <v>13</v>
      </c>
      <c r="D188">
        <v>5746</v>
      </c>
      <c r="E188">
        <v>145</v>
      </c>
      <c r="F188">
        <v>214</v>
      </c>
    </row>
    <row r="189" spans="1:6" x14ac:dyDescent="0.25">
      <c r="A189" s="1">
        <v>42970</v>
      </c>
      <c r="B189" s="2" t="s">
        <v>46</v>
      </c>
      <c r="C189" s="2" t="s">
        <v>56</v>
      </c>
      <c r="D189">
        <v>3200</v>
      </c>
      <c r="E189">
        <v>138</v>
      </c>
      <c r="F189">
        <v>417</v>
      </c>
    </row>
    <row r="190" spans="1:6" x14ac:dyDescent="0.25">
      <c r="A190" s="1">
        <v>42971</v>
      </c>
      <c r="B190" s="2" t="s">
        <v>56</v>
      </c>
      <c r="C190" s="2" t="s">
        <v>50</v>
      </c>
      <c r="D190">
        <v>3586</v>
      </c>
      <c r="E190">
        <v>155</v>
      </c>
      <c r="F190">
        <v>290</v>
      </c>
    </row>
    <row r="191" spans="1:6" x14ac:dyDescent="0.25">
      <c r="A191" s="1">
        <v>42972</v>
      </c>
      <c r="B191" s="2" t="s">
        <v>50</v>
      </c>
      <c r="C191" s="2" t="s">
        <v>17</v>
      </c>
      <c r="D191">
        <v>3460</v>
      </c>
      <c r="E191">
        <v>145</v>
      </c>
      <c r="F191">
        <v>162</v>
      </c>
    </row>
    <row r="192" spans="1:6" x14ac:dyDescent="0.25">
      <c r="A192" s="1">
        <v>42973</v>
      </c>
      <c r="B192" s="2" t="s">
        <v>68</v>
      </c>
      <c r="C192" s="2" t="s">
        <v>19</v>
      </c>
      <c r="D192">
        <v>1347</v>
      </c>
      <c r="E192">
        <v>173</v>
      </c>
      <c r="F192">
        <v>576</v>
      </c>
    </row>
    <row r="193" spans="1:6" x14ac:dyDescent="0.25">
      <c r="A193" s="1">
        <v>42974</v>
      </c>
      <c r="B193" s="2" t="s">
        <v>19</v>
      </c>
      <c r="C193" s="2" t="s">
        <v>60</v>
      </c>
      <c r="D193">
        <v>2421</v>
      </c>
      <c r="E193">
        <v>148</v>
      </c>
      <c r="F193">
        <v>552</v>
      </c>
    </row>
    <row r="194" spans="1:6" x14ac:dyDescent="0.25">
      <c r="A194" s="1">
        <v>42975</v>
      </c>
      <c r="B194" s="2" t="s">
        <v>60</v>
      </c>
      <c r="C194" s="2" t="s">
        <v>47</v>
      </c>
      <c r="D194">
        <v>2939</v>
      </c>
      <c r="E194">
        <v>125</v>
      </c>
      <c r="F194">
        <v>307</v>
      </c>
    </row>
    <row r="195" spans="1:6" x14ac:dyDescent="0.25">
      <c r="A195" s="1">
        <v>42976</v>
      </c>
      <c r="B195" s="2" t="s">
        <v>47</v>
      </c>
      <c r="C195" s="2" t="s">
        <v>17</v>
      </c>
      <c r="D195">
        <v>4921</v>
      </c>
      <c r="E195">
        <v>124</v>
      </c>
      <c r="F195">
        <v>472</v>
      </c>
    </row>
    <row r="196" spans="1:6" x14ac:dyDescent="0.25">
      <c r="A196" s="1">
        <v>42977</v>
      </c>
      <c r="B196" s="2" t="s">
        <v>17</v>
      </c>
      <c r="C196" s="2" t="s">
        <v>38</v>
      </c>
      <c r="D196">
        <v>3580</v>
      </c>
      <c r="E196">
        <v>173</v>
      </c>
      <c r="F196">
        <v>382</v>
      </c>
    </row>
    <row r="197" spans="1:6" x14ac:dyDescent="0.25">
      <c r="A197" s="1">
        <v>42978</v>
      </c>
      <c r="B197" s="2" t="s">
        <v>38</v>
      </c>
      <c r="C197" s="2" t="s">
        <v>73</v>
      </c>
      <c r="D197">
        <v>5215</v>
      </c>
      <c r="E197">
        <v>158</v>
      </c>
      <c r="F197">
        <v>375</v>
      </c>
    </row>
    <row r="198" spans="1:6" x14ac:dyDescent="0.25">
      <c r="A198" s="1">
        <v>42979</v>
      </c>
      <c r="B198" s="2" t="s">
        <v>73</v>
      </c>
      <c r="C198" s="2" t="s">
        <v>51</v>
      </c>
      <c r="D198">
        <v>1369</v>
      </c>
      <c r="E198">
        <v>170</v>
      </c>
      <c r="F198">
        <v>276</v>
      </c>
    </row>
    <row r="199" spans="1:6" x14ac:dyDescent="0.25">
      <c r="A199" s="1">
        <v>42980</v>
      </c>
      <c r="B199" s="2" t="s">
        <v>51</v>
      </c>
      <c r="C199" s="2" t="s">
        <v>67</v>
      </c>
      <c r="D199">
        <v>1655</v>
      </c>
      <c r="E199">
        <v>180</v>
      </c>
      <c r="F199">
        <v>332</v>
      </c>
    </row>
    <row r="200" spans="1:6" x14ac:dyDescent="0.25">
      <c r="A200" s="1">
        <v>42981</v>
      </c>
      <c r="B200" s="2" t="s">
        <v>48</v>
      </c>
      <c r="C200" s="2" t="s">
        <v>61</v>
      </c>
      <c r="D200">
        <v>2192</v>
      </c>
      <c r="E200">
        <v>114</v>
      </c>
      <c r="F200">
        <v>137</v>
      </c>
    </row>
    <row r="201" spans="1:6" x14ac:dyDescent="0.25">
      <c r="A201" s="1">
        <v>42982</v>
      </c>
      <c r="B201" s="2" t="s">
        <v>12</v>
      </c>
      <c r="C201" s="2" t="s">
        <v>59</v>
      </c>
      <c r="D201">
        <v>5919</v>
      </c>
      <c r="E201">
        <v>103</v>
      </c>
      <c r="F201">
        <v>279</v>
      </c>
    </row>
    <row r="202" spans="1:6" x14ac:dyDescent="0.25">
      <c r="A202" s="1">
        <v>42983</v>
      </c>
      <c r="B202" s="2" t="s">
        <v>67</v>
      </c>
      <c r="C202" s="2" t="s">
        <v>17</v>
      </c>
      <c r="D202">
        <v>5986</v>
      </c>
      <c r="E202">
        <v>222</v>
      </c>
      <c r="F202">
        <v>501</v>
      </c>
    </row>
    <row r="203" spans="1:6" x14ac:dyDescent="0.25">
      <c r="A203" s="1">
        <v>42984</v>
      </c>
      <c r="B203" s="2" t="s">
        <v>17</v>
      </c>
      <c r="C203" s="2" t="s">
        <v>39</v>
      </c>
      <c r="D203">
        <v>2750</v>
      </c>
      <c r="E203">
        <v>144</v>
      </c>
      <c r="F203">
        <v>422</v>
      </c>
    </row>
    <row r="204" spans="1:6" x14ac:dyDescent="0.25">
      <c r="A204" s="1">
        <v>42985</v>
      </c>
      <c r="B204" s="2" t="s">
        <v>39</v>
      </c>
      <c r="C204" s="2" t="s">
        <v>50</v>
      </c>
      <c r="D204">
        <v>1381</v>
      </c>
      <c r="E204">
        <v>192</v>
      </c>
      <c r="F204">
        <v>556</v>
      </c>
    </row>
    <row r="205" spans="1:6" x14ac:dyDescent="0.25">
      <c r="A205" s="1">
        <v>42986</v>
      </c>
      <c r="B205" s="2" t="s">
        <v>60</v>
      </c>
      <c r="C205" s="2" t="s">
        <v>59</v>
      </c>
      <c r="D205">
        <v>2219</v>
      </c>
      <c r="E205">
        <v>136</v>
      </c>
      <c r="F205">
        <v>162</v>
      </c>
    </row>
    <row r="206" spans="1:6" x14ac:dyDescent="0.25">
      <c r="A206" s="1">
        <v>42987</v>
      </c>
      <c r="B206" s="2" t="s">
        <v>59</v>
      </c>
      <c r="C206" s="2" t="s">
        <v>65</v>
      </c>
      <c r="D206">
        <v>5041</v>
      </c>
      <c r="E206">
        <v>101</v>
      </c>
      <c r="F206">
        <v>319</v>
      </c>
    </row>
    <row r="207" spans="1:6" x14ac:dyDescent="0.25">
      <c r="A207" s="1">
        <v>42989</v>
      </c>
      <c r="B207" s="2" t="s">
        <v>31</v>
      </c>
      <c r="C207" s="2" t="s">
        <v>23</v>
      </c>
      <c r="D207">
        <v>4432</v>
      </c>
      <c r="E207">
        <v>159</v>
      </c>
      <c r="F207">
        <v>585</v>
      </c>
    </row>
    <row r="208" spans="1:6" x14ac:dyDescent="0.25">
      <c r="A208" s="1">
        <v>42990</v>
      </c>
      <c r="B208" s="2" t="s">
        <v>6</v>
      </c>
      <c r="C208" s="2" t="s">
        <v>12</v>
      </c>
      <c r="D208">
        <v>2761</v>
      </c>
      <c r="E208">
        <v>129</v>
      </c>
      <c r="F208">
        <v>288</v>
      </c>
    </row>
    <row r="209" spans="1:6" x14ac:dyDescent="0.25">
      <c r="A209" s="1">
        <v>42991</v>
      </c>
      <c r="B209" s="2" t="s">
        <v>12</v>
      </c>
      <c r="C209" s="2" t="s">
        <v>7</v>
      </c>
      <c r="D209">
        <v>2935</v>
      </c>
      <c r="E209">
        <v>162</v>
      </c>
      <c r="F209">
        <v>572</v>
      </c>
    </row>
    <row r="210" spans="1:6" x14ac:dyDescent="0.25">
      <c r="A210" s="1">
        <v>42992</v>
      </c>
      <c r="B210" s="2" t="s">
        <v>36</v>
      </c>
      <c r="C210" s="2" t="s">
        <v>40</v>
      </c>
      <c r="D210">
        <v>3565</v>
      </c>
      <c r="E210">
        <v>176</v>
      </c>
      <c r="F210">
        <v>224</v>
      </c>
    </row>
    <row r="211" spans="1:6" x14ac:dyDescent="0.25">
      <c r="A211" s="1">
        <v>42993</v>
      </c>
      <c r="B211" s="2" t="s">
        <v>8</v>
      </c>
      <c r="C211" s="2" t="s">
        <v>38</v>
      </c>
      <c r="D211">
        <v>3096</v>
      </c>
      <c r="E211">
        <v>353</v>
      </c>
      <c r="F211">
        <v>993</v>
      </c>
    </row>
    <row r="212" spans="1:6" x14ac:dyDescent="0.25">
      <c r="A212" s="1">
        <v>42995</v>
      </c>
      <c r="B212" s="2" t="s">
        <v>50</v>
      </c>
      <c r="C212" s="2" t="s">
        <v>11</v>
      </c>
      <c r="D212">
        <v>3325</v>
      </c>
      <c r="E212">
        <v>517</v>
      </c>
      <c r="F212">
        <v>1107</v>
      </c>
    </row>
    <row r="213" spans="1:6" x14ac:dyDescent="0.25">
      <c r="A213" s="1">
        <v>42997</v>
      </c>
      <c r="B213" s="2" t="s">
        <v>15</v>
      </c>
      <c r="C213" s="2" t="s">
        <v>59</v>
      </c>
      <c r="D213">
        <v>2563</v>
      </c>
      <c r="E213">
        <v>480</v>
      </c>
      <c r="F213">
        <v>1849</v>
      </c>
    </row>
    <row r="214" spans="1:6" x14ac:dyDescent="0.25">
      <c r="A214" s="1">
        <v>42998</v>
      </c>
      <c r="B214" s="2" t="s">
        <v>59</v>
      </c>
      <c r="C214" s="2" t="s">
        <v>19</v>
      </c>
      <c r="D214">
        <v>2914</v>
      </c>
      <c r="E214">
        <v>104</v>
      </c>
      <c r="F214">
        <v>275</v>
      </c>
    </row>
    <row r="215" spans="1:6" x14ac:dyDescent="0.25">
      <c r="A215" s="1">
        <v>42999</v>
      </c>
      <c r="B215" s="2" t="s">
        <v>19</v>
      </c>
      <c r="C215" s="2" t="s">
        <v>29</v>
      </c>
      <c r="D215">
        <v>2832</v>
      </c>
      <c r="E215">
        <v>106</v>
      </c>
      <c r="F215">
        <v>396</v>
      </c>
    </row>
    <row r="216" spans="1:6" x14ac:dyDescent="0.25">
      <c r="A216" s="1">
        <v>43000</v>
      </c>
      <c r="B216" s="2" t="s">
        <v>59</v>
      </c>
      <c r="C216" s="2" t="s">
        <v>43</v>
      </c>
      <c r="D216">
        <v>5257</v>
      </c>
      <c r="E216">
        <v>407</v>
      </c>
      <c r="F216">
        <v>551</v>
      </c>
    </row>
    <row r="217" spans="1:6" x14ac:dyDescent="0.25">
      <c r="A217" s="1">
        <v>43001</v>
      </c>
      <c r="B217" s="2" t="s">
        <v>57</v>
      </c>
      <c r="C217" s="2" t="s">
        <v>43</v>
      </c>
      <c r="D217">
        <v>5983</v>
      </c>
      <c r="E217">
        <v>227</v>
      </c>
      <c r="F217">
        <v>832</v>
      </c>
    </row>
    <row r="218" spans="1:6" x14ac:dyDescent="0.25">
      <c r="A218" s="1">
        <v>43002</v>
      </c>
      <c r="B218" s="2" t="s">
        <v>43</v>
      </c>
      <c r="C218" s="2" t="s">
        <v>64</v>
      </c>
      <c r="D218">
        <v>4378</v>
      </c>
      <c r="E218">
        <v>187</v>
      </c>
      <c r="F218">
        <v>653</v>
      </c>
    </row>
    <row r="219" spans="1:6" x14ac:dyDescent="0.25">
      <c r="A219" s="1">
        <v>43003</v>
      </c>
      <c r="B219" s="2" t="s">
        <v>64</v>
      </c>
      <c r="C219" s="2" t="s">
        <v>25</v>
      </c>
      <c r="D219">
        <v>3108</v>
      </c>
      <c r="E219">
        <v>114</v>
      </c>
      <c r="F219">
        <v>174</v>
      </c>
    </row>
    <row r="220" spans="1:6" x14ac:dyDescent="0.25">
      <c r="A220" s="1">
        <v>43004</v>
      </c>
      <c r="B220" s="2" t="s">
        <v>25</v>
      </c>
      <c r="C220" s="2" t="s">
        <v>52</v>
      </c>
      <c r="D220">
        <v>2133</v>
      </c>
      <c r="E220">
        <v>166</v>
      </c>
      <c r="F220">
        <v>513</v>
      </c>
    </row>
    <row r="221" spans="1:6" x14ac:dyDescent="0.25">
      <c r="A221" s="1">
        <v>43005</v>
      </c>
      <c r="B221" s="2" t="s">
        <v>52</v>
      </c>
      <c r="C221" s="2" t="s">
        <v>48</v>
      </c>
      <c r="D221">
        <v>1125</v>
      </c>
      <c r="E221">
        <v>98</v>
      </c>
      <c r="F221">
        <v>194</v>
      </c>
    </row>
    <row r="222" spans="1:6" x14ac:dyDescent="0.25">
      <c r="A222" s="1">
        <v>43006</v>
      </c>
      <c r="B222" s="2" t="s">
        <v>48</v>
      </c>
      <c r="C222" s="2" t="s">
        <v>25</v>
      </c>
      <c r="D222">
        <v>4375</v>
      </c>
      <c r="E222">
        <v>140</v>
      </c>
      <c r="F222">
        <v>134</v>
      </c>
    </row>
    <row r="223" spans="1:6" x14ac:dyDescent="0.25">
      <c r="A223" s="1">
        <v>43008</v>
      </c>
      <c r="B223" s="2" t="s">
        <v>41</v>
      </c>
      <c r="C223" s="2" t="s">
        <v>12</v>
      </c>
      <c r="D223">
        <v>5455</v>
      </c>
      <c r="E223">
        <v>124</v>
      </c>
      <c r="F223">
        <v>231</v>
      </c>
    </row>
    <row r="224" spans="1:6" x14ac:dyDescent="0.25">
      <c r="A224" s="1">
        <v>43009</v>
      </c>
      <c r="B224" s="2" t="s">
        <v>29</v>
      </c>
      <c r="C224" s="2" t="s">
        <v>28</v>
      </c>
      <c r="D224">
        <v>4649</v>
      </c>
      <c r="E224">
        <v>125</v>
      </c>
      <c r="F224">
        <v>356</v>
      </c>
    </row>
    <row r="225" spans="1:6" x14ac:dyDescent="0.25">
      <c r="A225" s="1">
        <v>43010</v>
      </c>
      <c r="B225" s="2" t="s">
        <v>28</v>
      </c>
      <c r="C225" s="2" t="s">
        <v>60</v>
      </c>
      <c r="D225">
        <v>4016</v>
      </c>
      <c r="E225">
        <v>115</v>
      </c>
      <c r="F225">
        <v>145</v>
      </c>
    </row>
    <row r="226" spans="1:6" x14ac:dyDescent="0.25">
      <c r="A226" s="1">
        <v>43011</v>
      </c>
      <c r="B226" s="2" t="s">
        <v>60</v>
      </c>
      <c r="C226" s="2" t="s">
        <v>32</v>
      </c>
      <c r="D226">
        <v>1211</v>
      </c>
      <c r="E226">
        <v>139</v>
      </c>
      <c r="F226">
        <v>218</v>
      </c>
    </row>
    <row r="227" spans="1:6" x14ac:dyDescent="0.25">
      <c r="A227" s="1">
        <v>43012</v>
      </c>
      <c r="B227" s="2" t="s">
        <v>32</v>
      </c>
      <c r="C227" s="2" t="s">
        <v>42</v>
      </c>
      <c r="D227">
        <v>4633</v>
      </c>
      <c r="E227">
        <v>120</v>
      </c>
      <c r="F227">
        <v>280</v>
      </c>
    </row>
    <row r="228" spans="1:6" x14ac:dyDescent="0.25">
      <c r="A228" s="1">
        <v>43013</v>
      </c>
      <c r="B228" s="2" t="s">
        <v>42</v>
      </c>
      <c r="C228" s="2" t="s">
        <v>37</v>
      </c>
      <c r="D228">
        <v>2488</v>
      </c>
      <c r="E228">
        <v>144</v>
      </c>
      <c r="F228">
        <v>252</v>
      </c>
    </row>
    <row r="229" spans="1:6" x14ac:dyDescent="0.25">
      <c r="A229" s="1">
        <v>43014</v>
      </c>
      <c r="B229" s="2" t="s">
        <v>37</v>
      </c>
      <c r="C229" s="2" t="s">
        <v>35</v>
      </c>
      <c r="D229">
        <v>5798</v>
      </c>
      <c r="E229">
        <v>142</v>
      </c>
      <c r="F229">
        <v>501</v>
      </c>
    </row>
    <row r="230" spans="1:6" x14ac:dyDescent="0.25">
      <c r="A230" s="1">
        <v>43015</v>
      </c>
      <c r="B230" s="2" t="s">
        <v>42</v>
      </c>
      <c r="C230" s="2" t="s">
        <v>62</v>
      </c>
      <c r="D230">
        <v>2918</v>
      </c>
      <c r="E230">
        <v>181</v>
      </c>
      <c r="F230">
        <v>289</v>
      </c>
    </row>
    <row r="231" spans="1:6" x14ac:dyDescent="0.25">
      <c r="A231" s="1">
        <v>43016</v>
      </c>
      <c r="B231" s="2" t="s">
        <v>62</v>
      </c>
      <c r="C231" s="2" t="s">
        <v>61</v>
      </c>
      <c r="D231">
        <v>1886</v>
      </c>
      <c r="E231">
        <v>110</v>
      </c>
      <c r="F231">
        <v>254</v>
      </c>
    </row>
    <row r="232" spans="1:6" x14ac:dyDescent="0.25">
      <c r="A232" s="1">
        <v>43017</v>
      </c>
      <c r="B232" s="2" t="s">
        <v>70</v>
      </c>
      <c r="C232" s="2" t="s">
        <v>30</v>
      </c>
      <c r="D232">
        <v>4431</v>
      </c>
      <c r="E232">
        <v>128</v>
      </c>
      <c r="F232">
        <v>213</v>
      </c>
    </row>
    <row r="233" spans="1:6" x14ac:dyDescent="0.25">
      <c r="A233" s="1">
        <v>43018</v>
      </c>
      <c r="B233" s="2" t="s">
        <v>30</v>
      </c>
      <c r="C233" s="2" t="s">
        <v>40</v>
      </c>
      <c r="D233">
        <v>1956</v>
      </c>
      <c r="E233">
        <v>176</v>
      </c>
      <c r="F233">
        <v>248</v>
      </c>
    </row>
    <row r="234" spans="1:6" x14ac:dyDescent="0.25">
      <c r="A234" s="1">
        <v>43019</v>
      </c>
      <c r="B234" s="2" t="s">
        <v>15</v>
      </c>
      <c r="C234" s="2" t="s">
        <v>26</v>
      </c>
      <c r="D234">
        <v>4059</v>
      </c>
      <c r="E234">
        <v>162</v>
      </c>
      <c r="F234">
        <v>550</v>
      </c>
    </row>
    <row r="235" spans="1:6" x14ac:dyDescent="0.25">
      <c r="A235" s="1">
        <v>43020</v>
      </c>
      <c r="B235" s="2" t="s">
        <v>26</v>
      </c>
      <c r="C235" s="2" t="s">
        <v>23</v>
      </c>
      <c r="D235">
        <v>2157</v>
      </c>
      <c r="E235">
        <v>115</v>
      </c>
      <c r="F235">
        <v>182</v>
      </c>
    </row>
    <row r="236" spans="1:6" x14ac:dyDescent="0.25">
      <c r="A236" s="1">
        <v>43021</v>
      </c>
      <c r="B236" s="2" t="s">
        <v>23</v>
      </c>
      <c r="C236" s="2" t="s">
        <v>24</v>
      </c>
      <c r="D236">
        <v>3353</v>
      </c>
      <c r="E236">
        <v>117</v>
      </c>
      <c r="F236">
        <v>312</v>
      </c>
    </row>
    <row r="237" spans="1:6" x14ac:dyDescent="0.25">
      <c r="A237" s="1">
        <v>43022</v>
      </c>
      <c r="B237" s="2" t="s">
        <v>24</v>
      </c>
      <c r="C237" s="2" t="s">
        <v>21</v>
      </c>
      <c r="D237">
        <v>4677</v>
      </c>
      <c r="E237">
        <v>219</v>
      </c>
      <c r="F237">
        <v>255</v>
      </c>
    </row>
    <row r="238" spans="1:6" x14ac:dyDescent="0.25">
      <c r="A238" s="1">
        <v>43023</v>
      </c>
      <c r="B238" s="2" t="s">
        <v>21</v>
      </c>
      <c r="C238" s="2" t="s">
        <v>25</v>
      </c>
      <c r="D238">
        <v>2059</v>
      </c>
      <c r="E238">
        <v>164</v>
      </c>
      <c r="F238">
        <v>630</v>
      </c>
    </row>
    <row r="239" spans="1:6" x14ac:dyDescent="0.25">
      <c r="A239" s="1">
        <v>43025</v>
      </c>
      <c r="B239" s="2" t="s">
        <v>8</v>
      </c>
      <c r="C239" s="2" t="s">
        <v>29</v>
      </c>
      <c r="D239">
        <v>5537</v>
      </c>
      <c r="E239">
        <v>141</v>
      </c>
      <c r="F239">
        <v>240</v>
      </c>
    </row>
    <row r="240" spans="1:6" x14ac:dyDescent="0.25">
      <c r="A240" s="1">
        <v>43026</v>
      </c>
      <c r="B240" s="2" t="s">
        <v>29</v>
      </c>
      <c r="C240" s="2" t="s">
        <v>59</v>
      </c>
      <c r="D240">
        <v>2987</v>
      </c>
      <c r="E240">
        <v>149</v>
      </c>
      <c r="F240">
        <v>464</v>
      </c>
    </row>
    <row r="241" spans="1:6" x14ac:dyDescent="0.25">
      <c r="A241" s="1">
        <v>43028</v>
      </c>
      <c r="B241" s="2" t="s">
        <v>69</v>
      </c>
      <c r="C241" s="2" t="s">
        <v>67</v>
      </c>
      <c r="D241">
        <v>5570</v>
      </c>
      <c r="E241">
        <v>166</v>
      </c>
      <c r="F241">
        <v>577</v>
      </c>
    </row>
    <row r="242" spans="1:6" x14ac:dyDescent="0.25">
      <c r="A242" s="1">
        <v>43029</v>
      </c>
      <c r="B242" s="2" t="s">
        <v>67</v>
      </c>
      <c r="C242" s="2" t="s">
        <v>66</v>
      </c>
      <c r="D242">
        <v>3948</v>
      </c>
      <c r="E242">
        <v>137</v>
      </c>
      <c r="F242">
        <v>469</v>
      </c>
    </row>
    <row r="243" spans="1:6" x14ac:dyDescent="0.25">
      <c r="A243" s="1">
        <v>43030</v>
      </c>
      <c r="B243" s="2" t="s">
        <v>56</v>
      </c>
      <c r="C243" s="2" t="s">
        <v>59</v>
      </c>
      <c r="D243">
        <v>4201</v>
      </c>
      <c r="E243">
        <v>380</v>
      </c>
      <c r="F243">
        <v>528</v>
      </c>
    </row>
    <row r="244" spans="1:6" x14ac:dyDescent="0.25">
      <c r="A244" s="1">
        <v>43031</v>
      </c>
      <c r="B244" s="2" t="s">
        <v>59</v>
      </c>
      <c r="C244" s="2" t="s">
        <v>12</v>
      </c>
      <c r="D244">
        <v>3592</v>
      </c>
      <c r="E244">
        <v>109</v>
      </c>
      <c r="F244">
        <v>134</v>
      </c>
    </row>
    <row r="245" spans="1:6" x14ac:dyDescent="0.25">
      <c r="A245" s="1">
        <v>43032</v>
      </c>
      <c r="B245" s="2" t="s">
        <v>12</v>
      </c>
      <c r="C245" s="2" t="s">
        <v>41</v>
      </c>
      <c r="D245">
        <v>4543</v>
      </c>
      <c r="E245">
        <v>135</v>
      </c>
      <c r="F245">
        <v>345</v>
      </c>
    </row>
    <row r="246" spans="1:6" x14ac:dyDescent="0.25">
      <c r="A246" s="1">
        <v>43034</v>
      </c>
      <c r="B246" s="2" t="s">
        <v>12</v>
      </c>
      <c r="C246" s="2" t="s">
        <v>9</v>
      </c>
      <c r="D246">
        <v>1813</v>
      </c>
      <c r="E246">
        <v>86</v>
      </c>
      <c r="F246">
        <v>163</v>
      </c>
    </row>
    <row r="247" spans="1:6" x14ac:dyDescent="0.25">
      <c r="A247" s="1">
        <v>43035</v>
      </c>
      <c r="B247" s="2" t="s">
        <v>38</v>
      </c>
      <c r="C247" s="2" t="s">
        <v>49</v>
      </c>
      <c r="D247">
        <v>4567</v>
      </c>
      <c r="E247">
        <v>31</v>
      </c>
      <c r="F247">
        <v>54</v>
      </c>
    </row>
    <row r="248" spans="1:6" x14ac:dyDescent="0.25">
      <c r="A248" s="1">
        <v>43036</v>
      </c>
      <c r="B248" s="2" t="s">
        <v>49</v>
      </c>
      <c r="C248" s="2" t="s">
        <v>37</v>
      </c>
      <c r="D248">
        <v>1830</v>
      </c>
      <c r="E248">
        <v>152</v>
      </c>
      <c r="F248">
        <v>301</v>
      </c>
    </row>
    <row r="249" spans="1:6" x14ac:dyDescent="0.25">
      <c r="A249" s="1">
        <v>43037</v>
      </c>
      <c r="B249" s="2" t="s">
        <v>37</v>
      </c>
      <c r="C249" s="2" t="s">
        <v>57</v>
      </c>
      <c r="D249">
        <v>3678</v>
      </c>
      <c r="E249">
        <v>104</v>
      </c>
      <c r="F249">
        <v>275</v>
      </c>
    </row>
    <row r="250" spans="1:6" x14ac:dyDescent="0.25">
      <c r="A250" s="1">
        <v>43038</v>
      </c>
      <c r="B250" s="2" t="s">
        <v>17</v>
      </c>
      <c r="C250" s="2" t="s">
        <v>38</v>
      </c>
      <c r="D250">
        <v>1782</v>
      </c>
      <c r="E250">
        <v>171</v>
      </c>
      <c r="F250">
        <v>193</v>
      </c>
    </row>
    <row r="251" spans="1:6" x14ac:dyDescent="0.25">
      <c r="A251" s="1">
        <v>43040</v>
      </c>
      <c r="B251" s="2" t="s">
        <v>12</v>
      </c>
      <c r="C251" s="2" t="s">
        <v>6</v>
      </c>
      <c r="D251">
        <v>2966</v>
      </c>
      <c r="E251">
        <v>125</v>
      </c>
      <c r="F251">
        <v>170</v>
      </c>
    </row>
    <row r="252" spans="1:6" x14ac:dyDescent="0.25">
      <c r="A252" s="1">
        <v>43042</v>
      </c>
      <c r="B252" s="2" t="s">
        <v>32</v>
      </c>
      <c r="C252" s="2" t="s">
        <v>47</v>
      </c>
      <c r="D252">
        <v>4746</v>
      </c>
      <c r="E252">
        <v>131</v>
      </c>
      <c r="F252">
        <v>245</v>
      </c>
    </row>
    <row r="253" spans="1:6" x14ac:dyDescent="0.25">
      <c r="A253" s="1">
        <v>43044</v>
      </c>
      <c r="B253" s="2" t="s">
        <v>37</v>
      </c>
      <c r="C253" s="2" t="s">
        <v>18</v>
      </c>
      <c r="D253">
        <v>3161</v>
      </c>
      <c r="E253">
        <v>101</v>
      </c>
      <c r="F253">
        <v>115</v>
      </c>
    </row>
    <row r="254" spans="1:6" x14ac:dyDescent="0.25">
      <c r="A254" s="1">
        <v>43045</v>
      </c>
      <c r="B254" s="2" t="s">
        <v>60</v>
      </c>
      <c r="C254" s="2" t="s">
        <v>71</v>
      </c>
      <c r="D254">
        <v>3600</v>
      </c>
      <c r="E254">
        <v>211</v>
      </c>
      <c r="F254">
        <v>670</v>
      </c>
    </row>
    <row r="255" spans="1:6" x14ac:dyDescent="0.25">
      <c r="A255" s="1">
        <v>43046</v>
      </c>
      <c r="B255" s="2" t="s">
        <v>71</v>
      </c>
      <c r="C255" s="2" t="s">
        <v>10</v>
      </c>
      <c r="D255">
        <v>4093</v>
      </c>
      <c r="E255">
        <v>119</v>
      </c>
      <c r="F255">
        <v>254</v>
      </c>
    </row>
    <row r="256" spans="1:6" x14ac:dyDescent="0.25">
      <c r="A256" s="1">
        <v>43047</v>
      </c>
      <c r="B256" s="2" t="s">
        <v>10</v>
      </c>
      <c r="C256" s="2" t="s">
        <v>9</v>
      </c>
      <c r="D256">
        <v>1981</v>
      </c>
      <c r="E256">
        <v>159</v>
      </c>
      <c r="F256">
        <v>192</v>
      </c>
    </row>
    <row r="257" spans="1:6" x14ac:dyDescent="0.25">
      <c r="A257" s="1">
        <v>43048</v>
      </c>
      <c r="B257" s="2" t="s">
        <v>9</v>
      </c>
      <c r="C257" s="2" t="s">
        <v>6</v>
      </c>
      <c r="D257">
        <v>3154</v>
      </c>
      <c r="E257">
        <v>127</v>
      </c>
      <c r="F257">
        <v>390</v>
      </c>
    </row>
    <row r="258" spans="1:6" x14ac:dyDescent="0.25">
      <c r="A258" s="1">
        <v>43051</v>
      </c>
      <c r="B258" s="2" t="s">
        <v>8</v>
      </c>
      <c r="C258" s="2" t="s">
        <v>67</v>
      </c>
      <c r="D258">
        <v>4876</v>
      </c>
      <c r="E258">
        <v>280</v>
      </c>
      <c r="F258">
        <v>688</v>
      </c>
    </row>
    <row r="259" spans="1:6" x14ac:dyDescent="0.25">
      <c r="A259" s="1">
        <v>43052</v>
      </c>
      <c r="B259" s="2" t="s">
        <v>67</v>
      </c>
      <c r="C259" s="2" t="s">
        <v>66</v>
      </c>
      <c r="D259">
        <v>5153</v>
      </c>
      <c r="E259">
        <v>141</v>
      </c>
      <c r="F259">
        <v>547</v>
      </c>
    </row>
    <row r="260" spans="1:6" x14ac:dyDescent="0.25">
      <c r="A260" s="1">
        <v>43053</v>
      </c>
      <c r="B260" s="2" t="s">
        <v>66</v>
      </c>
      <c r="C260" s="2" t="s">
        <v>45</v>
      </c>
      <c r="D260">
        <v>1720</v>
      </c>
      <c r="E260">
        <v>122</v>
      </c>
      <c r="F260">
        <v>363</v>
      </c>
    </row>
    <row r="261" spans="1:6" x14ac:dyDescent="0.25">
      <c r="A261" s="1">
        <v>43054</v>
      </c>
      <c r="B261" s="2" t="s">
        <v>45</v>
      </c>
      <c r="C261" s="2" t="s">
        <v>44</v>
      </c>
      <c r="D261">
        <v>5392</v>
      </c>
      <c r="E261">
        <v>161</v>
      </c>
      <c r="F261">
        <v>240</v>
      </c>
    </row>
    <row r="262" spans="1:6" x14ac:dyDescent="0.25">
      <c r="A262" s="1">
        <v>43055</v>
      </c>
      <c r="B262" s="2" t="s">
        <v>70</v>
      </c>
      <c r="C262" s="2" t="s">
        <v>23</v>
      </c>
      <c r="D262">
        <v>1698</v>
      </c>
      <c r="E262">
        <v>224</v>
      </c>
      <c r="F262">
        <v>579</v>
      </c>
    </row>
    <row r="263" spans="1:6" x14ac:dyDescent="0.25">
      <c r="A263" s="1">
        <v>43056</v>
      </c>
      <c r="B263" s="2" t="s">
        <v>23</v>
      </c>
      <c r="C263" s="2" t="s">
        <v>21</v>
      </c>
      <c r="D263">
        <v>3411</v>
      </c>
      <c r="E263">
        <v>166</v>
      </c>
      <c r="F263">
        <v>574</v>
      </c>
    </row>
    <row r="264" spans="1:6" x14ac:dyDescent="0.25">
      <c r="A264" s="1">
        <v>43057</v>
      </c>
      <c r="B264" s="2" t="s">
        <v>21</v>
      </c>
      <c r="C264" s="2" t="s">
        <v>14</v>
      </c>
      <c r="D264">
        <v>5558</v>
      </c>
      <c r="E264">
        <v>107</v>
      </c>
      <c r="F264">
        <v>202</v>
      </c>
    </row>
    <row r="265" spans="1:6" x14ac:dyDescent="0.25">
      <c r="A265" s="1">
        <v>43058</v>
      </c>
      <c r="B265" s="2" t="s">
        <v>14</v>
      </c>
      <c r="C265" s="2" t="s">
        <v>40</v>
      </c>
      <c r="D265">
        <v>2592</v>
      </c>
      <c r="E265">
        <v>136</v>
      </c>
      <c r="F265">
        <v>325</v>
      </c>
    </row>
    <row r="266" spans="1:6" x14ac:dyDescent="0.25">
      <c r="A266" s="1">
        <v>43059</v>
      </c>
      <c r="B266" s="2" t="s">
        <v>40</v>
      </c>
      <c r="C266" s="2" t="s">
        <v>30</v>
      </c>
      <c r="D266">
        <v>5214</v>
      </c>
      <c r="E266">
        <v>178</v>
      </c>
      <c r="F266">
        <v>634</v>
      </c>
    </row>
    <row r="267" spans="1:6" x14ac:dyDescent="0.25">
      <c r="A267" s="1">
        <v>43060</v>
      </c>
      <c r="B267" s="2" t="s">
        <v>30</v>
      </c>
      <c r="C267" s="2" t="s">
        <v>40</v>
      </c>
      <c r="D267">
        <v>5491</v>
      </c>
      <c r="E267">
        <v>162</v>
      </c>
      <c r="F267">
        <v>408</v>
      </c>
    </row>
    <row r="268" spans="1:6" x14ac:dyDescent="0.25">
      <c r="A268" s="1">
        <v>43061</v>
      </c>
      <c r="B268" s="2" t="s">
        <v>16</v>
      </c>
      <c r="C268" s="2" t="s">
        <v>35</v>
      </c>
      <c r="D268">
        <v>4594</v>
      </c>
      <c r="E268">
        <v>443</v>
      </c>
      <c r="F268">
        <v>1098</v>
      </c>
    </row>
    <row r="269" spans="1:6" x14ac:dyDescent="0.25">
      <c r="A269" s="1">
        <v>43062</v>
      </c>
      <c r="B269" s="2" t="s">
        <v>35</v>
      </c>
      <c r="C269" s="2" t="s">
        <v>37</v>
      </c>
      <c r="D269">
        <v>1047</v>
      </c>
      <c r="E269">
        <v>147</v>
      </c>
      <c r="F269">
        <v>432</v>
      </c>
    </row>
    <row r="270" spans="1:6" x14ac:dyDescent="0.25">
      <c r="A270" s="1">
        <v>43063</v>
      </c>
      <c r="B270" s="2" t="s">
        <v>15</v>
      </c>
      <c r="C270" s="2" t="s">
        <v>59</v>
      </c>
      <c r="D270">
        <v>5517</v>
      </c>
      <c r="E270">
        <v>494</v>
      </c>
      <c r="F270">
        <v>1185</v>
      </c>
    </row>
    <row r="271" spans="1:6" x14ac:dyDescent="0.25">
      <c r="A271" s="1">
        <v>43064</v>
      </c>
      <c r="B271" s="2" t="s">
        <v>59</v>
      </c>
      <c r="C271" s="2" t="s">
        <v>12</v>
      </c>
      <c r="D271">
        <v>4155</v>
      </c>
      <c r="E271">
        <v>93</v>
      </c>
      <c r="F271">
        <v>181</v>
      </c>
    </row>
    <row r="272" spans="1:6" x14ac:dyDescent="0.25">
      <c r="A272" s="1">
        <v>43067</v>
      </c>
      <c r="B272" s="2" t="s">
        <v>61</v>
      </c>
      <c r="C272" s="2" t="s">
        <v>48</v>
      </c>
      <c r="D272">
        <v>2798</v>
      </c>
      <c r="E272">
        <v>109</v>
      </c>
      <c r="F272">
        <v>366</v>
      </c>
    </row>
    <row r="273" spans="1:6" x14ac:dyDescent="0.25">
      <c r="A273" s="1">
        <v>43068</v>
      </c>
      <c r="B273" s="2" t="s">
        <v>48</v>
      </c>
      <c r="C273" s="2" t="s">
        <v>61</v>
      </c>
      <c r="D273">
        <v>4217</v>
      </c>
      <c r="E273">
        <v>112</v>
      </c>
      <c r="F273">
        <v>263</v>
      </c>
    </row>
    <row r="274" spans="1:6" x14ac:dyDescent="0.25">
      <c r="A274" s="1">
        <v>43069</v>
      </c>
      <c r="B274" s="2" t="s">
        <v>61</v>
      </c>
      <c r="C274" s="2" t="s">
        <v>48</v>
      </c>
      <c r="D274">
        <v>4327</v>
      </c>
      <c r="E274">
        <v>109</v>
      </c>
      <c r="F274">
        <v>196</v>
      </c>
    </row>
    <row r="275" spans="1:6" x14ac:dyDescent="0.25">
      <c r="A275" s="1">
        <v>43070</v>
      </c>
      <c r="B275" s="2" t="s">
        <v>32</v>
      </c>
      <c r="C275" s="2" t="s">
        <v>38</v>
      </c>
      <c r="D275">
        <v>2555</v>
      </c>
      <c r="E275">
        <v>124</v>
      </c>
      <c r="F275">
        <v>150</v>
      </c>
    </row>
    <row r="276" spans="1:6" x14ac:dyDescent="0.25">
      <c r="A276" s="1">
        <v>43071</v>
      </c>
      <c r="B276" s="2" t="s">
        <v>38</v>
      </c>
      <c r="C276" s="2" t="s">
        <v>57</v>
      </c>
      <c r="D276">
        <v>5150</v>
      </c>
      <c r="E276">
        <v>104</v>
      </c>
      <c r="F276">
        <v>435</v>
      </c>
    </row>
    <row r="277" spans="1:6" x14ac:dyDescent="0.25">
      <c r="A277" s="1">
        <v>43072</v>
      </c>
      <c r="B277" s="2" t="s">
        <v>56</v>
      </c>
      <c r="C277" s="2" t="s">
        <v>47</v>
      </c>
      <c r="D277">
        <v>5697</v>
      </c>
      <c r="E277">
        <v>257</v>
      </c>
      <c r="F277">
        <v>717</v>
      </c>
    </row>
    <row r="278" spans="1:6" x14ac:dyDescent="0.25">
      <c r="A278" s="1">
        <v>43073</v>
      </c>
      <c r="B278" s="2" t="s">
        <v>47</v>
      </c>
      <c r="C278" s="2" t="s">
        <v>46</v>
      </c>
      <c r="D278">
        <v>3192</v>
      </c>
      <c r="E278">
        <v>113</v>
      </c>
      <c r="F278">
        <v>310</v>
      </c>
    </row>
    <row r="279" spans="1:6" x14ac:dyDescent="0.25">
      <c r="A279" s="1">
        <v>43075</v>
      </c>
      <c r="B279" s="2" t="s">
        <v>38</v>
      </c>
      <c r="C279" s="2" t="s">
        <v>59</v>
      </c>
      <c r="D279">
        <v>2781</v>
      </c>
      <c r="E279">
        <v>409</v>
      </c>
      <c r="F279">
        <v>1436</v>
      </c>
    </row>
    <row r="280" spans="1:6" x14ac:dyDescent="0.25">
      <c r="A280" s="1">
        <v>43076</v>
      </c>
      <c r="B280" s="2" t="s">
        <v>59</v>
      </c>
      <c r="C280" s="2" t="s">
        <v>8</v>
      </c>
      <c r="D280">
        <v>1093</v>
      </c>
      <c r="E280">
        <v>110</v>
      </c>
      <c r="F280">
        <v>400</v>
      </c>
    </row>
    <row r="281" spans="1:6" x14ac:dyDescent="0.25">
      <c r="A281" s="1">
        <v>43077</v>
      </c>
      <c r="B281" s="2" t="s">
        <v>8</v>
      </c>
      <c r="C281" s="2" t="s">
        <v>20</v>
      </c>
      <c r="D281">
        <v>2291</v>
      </c>
      <c r="E281">
        <v>132</v>
      </c>
      <c r="F281">
        <v>163</v>
      </c>
    </row>
    <row r="282" spans="1:6" x14ac:dyDescent="0.25">
      <c r="A282" s="1">
        <v>43078</v>
      </c>
      <c r="B282" s="2" t="s">
        <v>15</v>
      </c>
      <c r="C282" s="2" t="s">
        <v>23</v>
      </c>
      <c r="D282">
        <v>2962</v>
      </c>
      <c r="E282">
        <v>170</v>
      </c>
      <c r="F282">
        <v>273</v>
      </c>
    </row>
    <row r="283" spans="1:6" x14ac:dyDescent="0.25">
      <c r="A283" s="1">
        <v>43079</v>
      </c>
      <c r="B283" s="2" t="s">
        <v>7</v>
      </c>
      <c r="C283" s="2" t="s">
        <v>8</v>
      </c>
      <c r="D283">
        <v>2939</v>
      </c>
      <c r="E283">
        <v>110</v>
      </c>
      <c r="F283">
        <v>279</v>
      </c>
    </row>
    <row r="284" spans="1:6" x14ac:dyDescent="0.25">
      <c r="A284" s="1">
        <v>43080</v>
      </c>
      <c r="B284" s="2" t="s">
        <v>8</v>
      </c>
      <c r="C284" s="2" t="s">
        <v>20</v>
      </c>
      <c r="D284">
        <v>4981</v>
      </c>
      <c r="E284">
        <v>138</v>
      </c>
      <c r="F284">
        <v>455</v>
      </c>
    </row>
    <row r="285" spans="1:6" x14ac:dyDescent="0.25">
      <c r="A285" s="1">
        <v>43081</v>
      </c>
      <c r="B285" s="2" t="s">
        <v>20</v>
      </c>
      <c r="C285" s="2" t="s">
        <v>60</v>
      </c>
      <c r="D285">
        <v>3436</v>
      </c>
      <c r="E285">
        <v>114</v>
      </c>
      <c r="F285">
        <v>370</v>
      </c>
    </row>
    <row r="286" spans="1:6" x14ac:dyDescent="0.25">
      <c r="A286" s="1">
        <v>43082</v>
      </c>
      <c r="B286" s="2" t="s">
        <v>60</v>
      </c>
      <c r="C286" s="2" t="s">
        <v>47</v>
      </c>
      <c r="D286">
        <v>2342</v>
      </c>
      <c r="E286">
        <v>141</v>
      </c>
      <c r="F286">
        <v>319</v>
      </c>
    </row>
    <row r="287" spans="1:6" x14ac:dyDescent="0.25">
      <c r="A287" s="1">
        <v>43083</v>
      </c>
      <c r="B287" s="2" t="s">
        <v>47</v>
      </c>
      <c r="C287" s="2" t="s">
        <v>54</v>
      </c>
      <c r="D287">
        <v>1981</v>
      </c>
      <c r="E287">
        <v>126</v>
      </c>
      <c r="F287">
        <v>396</v>
      </c>
    </row>
    <row r="288" spans="1:6" x14ac:dyDescent="0.25">
      <c r="A288" s="1">
        <v>43084</v>
      </c>
      <c r="B288" s="2" t="s">
        <v>54</v>
      </c>
      <c r="C288" s="2" t="s">
        <v>49</v>
      </c>
      <c r="D288">
        <v>5238</v>
      </c>
      <c r="E288">
        <v>131</v>
      </c>
      <c r="F288">
        <v>158</v>
      </c>
    </row>
    <row r="289" spans="1:6" x14ac:dyDescent="0.25">
      <c r="A289" s="1">
        <v>43085</v>
      </c>
      <c r="B289" s="2" t="s">
        <v>49</v>
      </c>
      <c r="C289" s="2" t="s">
        <v>37</v>
      </c>
      <c r="D289">
        <v>2823</v>
      </c>
      <c r="E289">
        <v>156</v>
      </c>
      <c r="F289">
        <v>280</v>
      </c>
    </row>
    <row r="290" spans="1:6" x14ac:dyDescent="0.25">
      <c r="A290" s="1">
        <v>43086</v>
      </c>
      <c r="B290" s="2" t="s">
        <v>37</v>
      </c>
      <c r="C290" s="2" t="s">
        <v>38</v>
      </c>
      <c r="D290">
        <v>1173</v>
      </c>
      <c r="E290">
        <v>139</v>
      </c>
      <c r="F290">
        <v>475</v>
      </c>
    </row>
    <row r="291" spans="1:6" x14ac:dyDescent="0.25">
      <c r="A291" s="1">
        <v>43087</v>
      </c>
      <c r="B291" s="2" t="s">
        <v>38</v>
      </c>
      <c r="C291" s="2" t="s">
        <v>39</v>
      </c>
      <c r="D291">
        <v>1465</v>
      </c>
      <c r="E291">
        <v>121</v>
      </c>
      <c r="F291">
        <v>193</v>
      </c>
    </row>
    <row r="292" spans="1:6" x14ac:dyDescent="0.25">
      <c r="A292" s="1">
        <v>43088</v>
      </c>
      <c r="B292" s="2" t="s">
        <v>39</v>
      </c>
      <c r="C292" s="2" t="s">
        <v>18</v>
      </c>
      <c r="D292">
        <v>1572</v>
      </c>
      <c r="E292">
        <v>159</v>
      </c>
      <c r="F292">
        <v>476</v>
      </c>
    </row>
    <row r="293" spans="1:6" x14ac:dyDescent="0.25">
      <c r="A293" s="1">
        <v>43089</v>
      </c>
      <c r="B293" s="2" t="s">
        <v>18</v>
      </c>
      <c r="C293" s="2" t="s">
        <v>39</v>
      </c>
      <c r="D293">
        <v>4084</v>
      </c>
      <c r="E293">
        <v>160</v>
      </c>
      <c r="F293">
        <v>338</v>
      </c>
    </row>
    <row r="294" spans="1:6" x14ac:dyDescent="0.25">
      <c r="A294" s="1">
        <v>43090</v>
      </c>
      <c r="B294" s="2" t="s">
        <v>15</v>
      </c>
      <c r="C294" s="2" t="s">
        <v>23</v>
      </c>
      <c r="D294">
        <v>4635</v>
      </c>
      <c r="E294">
        <v>163</v>
      </c>
      <c r="F294">
        <v>359</v>
      </c>
    </row>
    <row r="295" spans="1:6" x14ac:dyDescent="0.25">
      <c r="A295" s="1">
        <v>43092</v>
      </c>
      <c r="B295" s="2" t="s">
        <v>30</v>
      </c>
      <c r="C295" s="2" t="s">
        <v>72</v>
      </c>
      <c r="D295">
        <v>3705</v>
      </c>
      <c r="E295">
        <v>182</v>
      </c>
      <c r="F295">
        <v>760</v>
      </c>
    </row>
    <row r="296" spans="1:6" x14ac:dyDescent="0.25">
      <c r="A296" s="1">
        <v>43094</v>
      </c>
      <c r="B296" s="2" t="s">
        <v>6</v>
      </c>
      <c r="C296" s="2" t="s">
        <v>38</v>
      </c>
      <c r="D296">
        <v>5624</v>
      </c>
      <c r="E296">
        <v>541</v>
      </c>
      <c r="F296">
        <v>1198</v>
      </c>
    </row>
    <row r="297" spans="1:6" x14ac:dyDescent="0.25">
      <c r="A297" s="1">
        <v>43095</v>
      </c>
      <c r="B297" s="2" t="s">
        <v>38</v>
      </c>
      <c r="C297" s="2" t="s">
        <v>37</v>
      </c>
      <c r="D297">
        <v>4157</v>
      </c>
      <c r="E297">
        <v>151</v>
      </c>
      <c r="F297">
        <v>168</v>
      </c>
    </row>
    <row r="298" spans="1:6" x14ac:dyDescent="0.25">
      <c r="A298" s="1">
        <v>43096</v>
      </c>
      <c r="B298" s="2" t="s">
        <v>37</v>
      </c>
      <c r="C298" s="2" t="s">
        <v>43</v>
      </c>
      <c r="D298">
        <v>3021</v>
      </c>
      <c r="E298">
        <v>137</v>
      </c>
      <c r="F298">
        <v>323</v>
      </c>
    </row>
    <row r="299" spans="1:6" x14ac:dyDescent="0.25">
      <c r="A299" s="1">
        <v>43097</v>
      </c>
      <c r="B299" s="2" t="s">
        <v>43</v>
      </c>
      <c r="C299" s="2" t="s">
        <v>52</v>
      </c>
      <c r="D299">
        <v>3573</v>
      </c>
      <c r="E299">
        <v>149</v>
      </c>
      <c r="F299">
        <v>341</v>
      </c>
    </row>
    <row r="300" spans="1:6" x14ac:dyDescent="0.25">
      <c r="A300" s="1">
        <v>43098</v>
      </c>
      <c r="B300" s="2" t="s">
        <v>52</v>
      </c>
      <c r="C300" s="2" t="s">
        <v>15</v>
      </c>
      <c r="D300">
        <v>4748</v>
      </c>
      <c r="E300">
        <v>152</v>
      </c>
      <c r="F300">
        <v>491</v>
      </c>
    </row>
    <row r="301" spans="1:6" x14ac:dyDescent="0.25">
      <c r="A301" s="1">
        <v>43100</v>
      </c>
      <c r="B301" s="2" t="s">
        <v>12</v>
      </c>
      <c r="C301" s="2" t="s">
        <v>6</v>
      </c>
      <c r="D301">
        <v>2293</v>
      </c>
      <c r="E301">
        <v>126</v>
      </c>
      <c r="F301">
        <v>219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EC3E6B-47CC-4E67-9E1C-DCE8414AAF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5.1</vt:lpstr>
      <vt:lpstr>5.2</vt:lpstr>
      <vt:lpstr>5.3</vt:lpstr>
      <vt:lpstr>5.4</vt:lpstr>
      <vt:lpstr>5.5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2026-02-01T11:55:39Z</dcterms:modified>
</cp:coreProperties>
</file>