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Desktop\informatyka-excel\2020PP\"/>
    </mc:Choice>
  </mc:AlternateContent>
  <xr:revisionPtr revIDLastSave="0" documentId="13_ncr:1_{AAA78FC7-C9AF-4752-9836-95213BD7964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1" sheetId="3" r:id="rId1"/>
    <sheet name="2" sheetId="4" r:id="rId2"/>
    <sheet name="3" sheetId="5" r:id="rId3"/>
    <sheet name="dane" sheetId="2" r:id="rId4"/>
  </sheets>
  <definedNames>
    <definedName name="ExternalData_1" localSheetId="0" hidden="1">'1'!$A$1:$C$251</definedName>
    <definedName name="ExternalData_1" localSheetId="1" hidden="1">'2'!$A$1:$C$251</definedName>
    <definedName name="ExternalData_1" localSheetId="2" hidden="1">'3'!$A$1:$C$251</definedName>
    <definedName name="ExternalData_1" localSheetId="3" hidden="1">dane!$A$1:$C$251</definedName>
  </definedNames>
  <calcPr calcId="191029"/>
  <pivotCaches>
    <pivotCache cacheId="0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 a="1"/>
  <c r="D2" i="5" s="1"/>
  <c r="D3" i="5" a="1"/>
  <c r="D3" i="5" s="1"/>
  <c r="D4" i="5" a="1"/>
  <c r="D4" i="5" s="1"/>
  <c r="D5" i="5" a="1"/>
  <c r="D5" i="5" s="1"/>
  <c r="E5" i="5" s="1"/>
  <c r="D6" i="5" a="1"/>
  <c r="D6" i="5" s="1"/>
  <c r="D7" i="5" a="1"/>
  <c r="D7" i="5" s="1"/>
  <c r="D8" i="5" a="1"/>
  <c r="D8" i="5" s="1"/>
  <c r="D9" i="5" a="1"/>
  <c r="D9" i="5" s="1"/>
  <c r="E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E17" i="5" s="1"/>
  <c r="D18" i="5" a="1"/>
  <c r="D18" i="5" s="1"/>
  <c r="D19" i="5" a="1"/>
  <c r="D19" i="5" s="1"/>
  <c r="D20" i="5" a="1"/>
  <c r="D20" i="5" s="1"/>
  <c r="D21" i="5" a="1"/>
  <c r="D21" i="5" s="1"/>
  <c r="E21" i="5" s="1"/>
  <c r="D22" i="5" a="1"/>
  <c r="D22" i="5" s="1"/>
  <c r="D23" i="5" a="1"/>
  <c r="D23" i="5" s="1"/>
  <c r="D24" i="5" a="1"/>
  <c r="D24" i="5" s="1"/>
  <c r="D25" i="5" a="1"/>
  <c r="D25" i="5" s="1"/>
  <c r="D26" i="5" a="1"/>
  <c r="D26" i="5" s="1"/>
  <c r="D27" i="5" a="1"/>
  <c r="D27" i="5" s="1"/>
  <c r="D28" i="5" a="1"/>
  <c r="D28" i="5" s="1"/>
  <c r="D29" i="5" a="1"/>
  <c r="D29" i="5" s="1"/>
  <c r="E29" i="5" s="1"/>
  <c r="D30" i="5" a="1"/>
  <c r="D30" i="5" s="1"/>
  <c r="D31" i="5" a="1"/>
  <c r="D31" i="5" s="1"/>
  <c r="D32" i="5" a="1"/>
  <c r="D32" i="5" s="1"/>
  <c r="D33" i="5" a="1"/>
  <c r="D33" i="5" s="1"/>
  <c r="E33" i="5" s="1"/>
  <c r="D34" i="5" a="1"/>
  <c r="D34" i="5" s="1"/>
  <c r="D35" i="5" a="1"/>
  <c r="D35" i="5" s="1"/>
  <c r="D36" i="5" a="1"/>
  <c r="D36" i="5" s="1"/>
  <c r="D37" i="5" a="1"/>
  <c r="D37" i="5" s="1"/>
  <c r="E37" i="5" s="1"/>
  <c r="D38" i="5" a="1"/>
  <c r="D38" i="5" s="1"/>
  <c r="D39" i="5" a="1"/>
  <c r="D39" i="5" s="1"/>
  <c r="D40" i="5" a="1"/>
  <c r="D40" i="5" s="1"/>
  <c r="D41" i="5" a="1"/>
  <c r="D41" i="5" s="1"/>
  <c r="E41" i="5" s="1"/>
  <c r="D42" i="5" a="1"/>
  <c r="D42" i="5" s="1"/>
  <c r="D43" i="5" a="1"/>
  <c r="D43" i="5" s="1"/>
  <c r="D44" i="5" a="1"/>
  <c r="D44" i="5" s="1"/>
  <c r="D45" i="5" a="1"/>
  <c r="D45" i="5" s="1"/>
  <c r="D46" i="5" a="1"/>
  <c r="D46" i="5" s="1"/>
  <c r="D47" i="5" a="1"/>
  <c r="D47" i="5" s="1"/>
  <c r="D48" i="5" a="1"/>
  <c r="D48" i="5" s="1"/>
  <c r="D49" i="5" a="1"/>
  <c r="D49" i="5" s="1"/>
  <c r="E49" i="5" s="1"/>
  <c r="D50" i="5" a="1"/>
  <c r="D50" i="5" s="1"/>
  <c r="D51" i="5" a="1"/>
  <c r="D51" i="5" s="1"/>
  <c r="D52" i="5" a="1"/>
  <c r="D52" i="5" s="1"/>
  <c r="D53" i="5" a="1"/>
  <c r="D53" i="5" s="1"/>
  <c r="E53" i="5" s="1"/>
  <c r="D54" i="5" a="1"/>
  <c r="D54" i="5" s="1"/>
  <c r="D55" i="5" a="1"/>
  <c r="D55" i="5" s="1"/>
  <c r="D56" i="5" a="1"/>
  <c r="D56" i="5" s="1"/>
  <c r="D57" i="5" a="1"/>
  <c r="D57" i="5" s="1"/>
  <c r="E57" i="5" s="1"/>
  <c r="D58" i="5" a="1"/>
  <c r="D58" i="5" s="1"/>
  <c r="D59" i="5" a="1"/>
  <c r="D59" i="5" s="1"/>
  <c r="D60" i="5" a="1"/>
  <c r="D60" i="5" s="1"/>
  <c r="D61" i="5" a="1"/>
  <c r="D61" i="5" s="1"/>
  <c r="D62" i="5" a="1"/>
  <c r="D62" i="5" s="1"/>
  <c r="D63" i="5" a="1"/>
  <c r="D63" i="5" s="1"/>
  <c r="D64" i="5" a="1"/>
  <c r="D64" i="5" s="1"/>
  <c r="D65" i="5" a="1"/>
  <c r="D65" i="5" s="1"/>
  <c r="D66" i="5" a="1"/>
  <c r="D66" i="5" s="1"/>
  <c r="D67" i="5" a="1"/>
  <c r="D67" i="5" s="1"/>
  <c r="D68" i="5" a="1"/>
  <c r="D68" i="5" s="1"/>
  <c r="D69" i="5" a="1"/>
  <c r="D69" i="5" s="1"/>
  <c r="E69" i="5" s="1"/>
  <c r="D70" i="5" a="1"/>
  <c r="D70" i="5" s="1"/>
  <c r="D71" i="5" a="1"/>
  <c r="D71" i="5" s="1"/>
  <c r="D72" i="5" a="1"/>
  <c r="D72" i="5" s="1"/>
  <c r="D73" i="5" a="1"/>
  <c r="D73" i="5" s="1"/>
  <c r="E73" i="5" s="1"/>
  <c r="D74" i="5" a="1"/>
  <c r="D74" i="5" s="1"/>
  <c r="D75" i="5" a="1"/>
  <c r="D75" i="5" s="1"/>
  <c r="D76" i="5" a="1"/>
  <c r="D76" i="5" s="1"/>
  <c r="D77" i="5" a="1"/>
  <c r="D77" i="5" s="1"/>
  <c r="E77" i="5" s="1"/>
  <c r="D78" i="5" a="1"/>
  <c r="D78" i="5" s="1"/>
  <c r="D79" i="5" a="1"/>
  <c r="D79" i="5" s="1"/>
  <c r="D80" i="5" a="1"/>
  <c r="D80" i="5" s="1"/>
  <c r="D81" i="5" a="1"/>
  <c r="D81" i="5" s="1"/>
  <c r="E81" i="5" s="1"/>
  <c r="D82" i="5" a="1"/>
  <c r="D82" i="5" s="1"/>
  <c r="D83" i="5" a="1"/>
  <c r="D83" i="5" s="1"/>
  <c r="D84" i="5" a="1"/>
  <c r="D84" i="5" s="1"/>
  <c r="D85" i="5" a="1"/>
  <c r="D85" i="5" s="1"/>
  <c r="E85" i="5" s="1"/>
  <c r="D86" i="5" a="1"/>
  <c r="D86" i="5" s="1"/>
  <c r="D87" i="5" a="1"/>
  <c r="D87" i="5" s="1"/>
  <c r="D88" i="5" a="1"/>
  <c r="D88" i="5" s="1"/>
  <c r="D89" i="5" a="1"/>
  <c r="D89" i="5" s="1"/>
  <c r="E89" i="5" s="1"/>
  <c r="D90" i="5" a="1"/>
  <c r="D90" i="5" s="1"/>
  <c r="D91" i="5" a="1"/>
  <c r="D91" i="5" s="1"/>
  <c r="D92" i="5" a="1"/>
  <c r="D92" i="5" s="1"/>
  <c r="D93" i="5" a="1"/>
  <c r="D93" i="5" s="1"/>
  <c r="D94" i="5" a="1"/>
  <c r="D94" i="5" s="1"/>
  <c r="D95" i="5" a="1"/>
  <c r="D95" i="5" s="1"/>
  <c r="D96" i="5" a="1"/>
  <c r="D96" i="5" s="1"/>
  <c r="D97" i="5" a="1"/>
  <c r="D97" i="5" s="1"/>
  <c r="D98" i="5" a="1"/>
  <c r="D98" i="5" s="1"/>
  <c r="D99" i="5" a="1"/>
  <c r="D99" i="5" s="1"/>
  <c r="D100" i="5" a="1"/>
  <c r="D100" i="5" s="1"/>
  <c r="D101" i="5" a="1"/>
  <c r="D101" i="5" s="1"/>
  <c r="E101" i="5" s="1"/>
  <c r="D102" i="5" a="1"/>
  <c r="D102" i="5" s="1"/>
  <c r="D103" i="5" a="1"/>
  <c r="D103" i="5" s="1"/>
  <c r="D104" i="5" a="1"/>
  <c r="D104" i="5" s="1"/>
  <c r="D105" i="5" a="1"/>
  <c r="D105" i="5" s="1"/>
  <c r="E105" i="5" s="1"/>
  <c r="D106" i="5" a="1"/>
  <c r="D106" i="5" s="1"/>
  <c r="D107" i="5" a="1"/>
  <c r="D107" i="5" s="1"/>
  <c r="D108" i="5" a="1"/>
  <c r="D108" i="5" s="1"/>
  <c r="D109" i="5" a="1"/>
  <c r="D109" i="5" s="1"/>
  <c r="E109" i="5" s="1"/>
  <c r="D110" i="5" a="1"/>
  <c r="D110" i="5" s="1"/>
  <c r="D111" i="5" a="1"/>
  <c r="D111" i="5" s="1"/>
  <c r="D112" i="5" a="1"/>
  <c r="D112" i="5" s="1"/>
  <c r="D113" i="5" a="1"/>
  <c r="D113" i="5" s="1"/>
  <c r="E113" i="5" s="1"/>
  <c r="D114" i="5" a="1"/>
  <c r="D114" i="5" s="1"/>
  <c r="D115" i="5" a="1"/>
  <c r="D115" i="5" s="1"/>
  <c r="D116" i="5" a="1"/>
  <c r="D116" i="5" s="1"/>
  <c r="D117" i="5" a="1"/>
  <c r="D117" i="5" s="1"/>
  <c r="E117" i="5" s="1"/>
  <c r="D118" i="5" a="1"/>
  <c r="D118" i="5" s="1"/>
  <c r="D119" i="5" a="1"/>
  <c r="D119" i="5" s="1"/>
  <c r="D120" i="5" a="1"/>
  <c r="D120" i="5" s="1"/>
  <c r="D121" i="5" a="1"/>
  <c r="D121" i="5" s="1"/>
  <c r="E121" i="5" s="1"/>
  <c r="D122" i="5" a="1"/>
  <c r="D122" i="5" s="1"/>
  <c r="D123" i="5" a="1"/>
  <c r="D123" i="5" s="1"/>
  <c r="D124" i="5" a="1"/>
  <c r="D124" i="5" s="1"/>
  <c r="D125" i="5" a="1"/>
  <c r="D125" i="5" s="1"/>
  <c r="D126" i="5" a="1"/>
  <c r="D126" i="5" s="1"/>
  <c r="D127" i="5" a="1"/>
  <c r="D127" i="5" s="1"/>
  <c r="D128" i="5" a="1"/>
  <c r="D128" i="5" s="1"/>
  <c r="D129" i="5" a="1"/>
  <c r="D129" i="5" s="1"/>
  <c r="D130" i="5" a="1"/>
  <c r="D130" i="5" s="1"/>
  <c r="D131" i="5" a="1"/>
  <c r="D131" i="5" s="1"/>
  <c r="D132" i="5" a="1"/>
  <c r="D132" i="5" s="1"/>
  <c r="D133" i="5" a="1"/>
  <c r="D133" i="5" s="1"/>
  <c r="E133" i="5" s="1"/>
  <c r="D134" i="5" a="1"/>
  <c r="D134" i="5" s="1"/>
  <c r="D135" i="5" a="1"/>
  <c r="D135" i="5" s="1"/>
  <c r="D136" i="5" a="1"/>
  <c r="D136" i="5" s="1"/>
  <c r="D137" i="5" a="1"/>
  <c r="D137" i="5" s="1"/>
  <c r="E137" i="5" s="1"/>
  <c r="D138" i="5" a="1"/>
  <c r="D138" i="5" s="1"/>
  <c r="D139" i="5" a="1"/>
  <c r="D139" i="5" s="1"/>
  <c r="D140" i="5" a="1"/>
  <c r="D140" i="5" s="1"/>
  <c r="D141" i="5" a="1"/>
  <c r="D141" i="5" s="1"/>
  <c r="E141" i="5" s="1"/>
  <c r="D142" i="5" a="1"/>
  <c r="D142" i="5" s="1"/>
  <c r="D143" i="5" a="1"/>
  <c r="D143" i="5" s="1"/>
  <c r="D144" i="5" a="1"/>
  <c r="D144" i="5" s="1"/>
  <c r="D145" i="5" a="1"/>
  <c r="D145" i="5" s="1"/>
  <c r="E145" i="5" s="1"/>
  <c r="D146" i="5" a="1"/>
  <c r="D146" i="5" s="1"/>
  <c r="D147" i="5" a="1"/>
  <c r="D147" i="5" s="1"/>
  <c r="D148" i="5" a="1"/>
  <c r="D148" i="5" s="1"/>
  <c r="D149" i="5" a="1"/>
  <c r="D149" i="5" s="1"/>
  <c r="E149" i="5" s="1"/>
  <c r="D150" i="5" a="1"/>
  <c r="D150" i="5" s="1"/>
  <c r="D151" i="5" a="1"/>
  <c r="D151" i="5" s="1"/>
  <c r="D152" i="5" a="1"/>
  <c r="D152" i="5" s="1"/>
  <c r="D153" i="5" a="1"/>
  <c r="D153" i="5" s="1"/>
  <c r="E153" i="5" s="1"/>
  <c r="D154" i="5" a="1"/>
  <c r="D154" i="5" s="1"/>
  <c r="D155" i="5" a="1"/>
  <c r="D155" i="5" s="1"/>
  <c r="D156" i="5" a="1"/>
  <c r="D156" i="5" s="1"/>
  <c r="D157" i="5" a="1"/>
  <c r="D157" i="5" s="1"/>
  <c r="D158" i="5" a="1"/>
  <c r="D158" i="5" s="1"/>
  <c r="D159" i="5" a="1"/>
  <c r="D159" i="5" s="1"/>
  <c r="D160" i="5" a="1"/>
  <c r="D160" i="5" s="1"/>
  <c r="D161" i="5" a="1"/>
  <c r="D161" i="5" s="1"/>
  <c r="D162" i="5" a="1"/>
  <c r="D162" i="5" s="1"/>
  <c r="D163" i="5" a="1"/>
  <c r="D163" i="5" s="1"/>
  <c r="D164" i="5" a="1"/>
  <c r="D164" i="5" s="1"/>
  <c r="D165" i="5" a="1"/>
  <c r="D165" i="5" s="1"/>
  <c r="E165" i="5" s="1"/>
  <c r="D166" i="5" a="1"/>
  <c r="D166" i="5" s="1"/>
  <c r="D167" i="5" a="1"/>
  <c r="D167" i="5" s="1"/>
  <c r="D168" i="5" a="1"/>
  <c r="D168" i="5" s="1"/>
  <c r="D169" i="5" a="1"/>
  <c r="D169" i="5" s="1"/>
  <c r="E169" i="5" s="1"/>
  <c r="D170" i="5" a="1"/>
  <c r="D170" i="5" s="1"/>
  <c r="D171" i="5" a="1"/>
  <c r="D171" i="5" s="1"/>
  <c r="D172" i="5" a="1"/>
  <c r="D172" i="5"/>
  <c r="E172" i="5" s="1"/>
  <c r="D173" i="5" a="1"/>
  <c r="D173" i="5"/>
  <c r="D174" i="5" a="1"/>
  <c r="D174" i="5"/>
  <c r="E174" i="5" s="1"/>
  <c r="D175" i="5" a="1"/>
  <c r="D175" i="5"/>
  <c r="D176" i="5" a="1"/>
  <c r="D176" i="5"/>
  <c r="E176" i="5" s="1"/>
  <c r="D177" i="5" a="1"/>
  <c r="D177" i="5"/>
  <c r="D178" i="5" a="1"/>
  <c r="D178" i="5"/>
  <c r="E178" i="5" s="1"/>
  <c r="D179" i="5" a="1"/>
  <c r="D179" i="5"/>
  <c r="D180" i="5" a="1"/>
  <c r="D180" i="5"/>
  <c r="E180" i="5" s="1"/>
  <c r="D181" i="5" a="1"/>
  <c r="D181" i="5"/>
  <c r="D182" i="5" a="1"/>
  <c r="D182" i="5"/>
  <c r="D183" i="5" a="1"/>
  <c r="D183" i="5" s="1"/>
  <c r="E183" i="5" s="1"/>
  <c r="D184" i="5" a="1"/>
  <c r="D184" i="5"/>
  <c r="E184" i="5" s="1"/>
  <c r="D185" i="5" a="1"/>
  <c r="D185" i="5" s="1"/>
  <c r="E185" i="5" s="1"/>
  <c r="D186" i="5" a="1"/>
  <c r="D186" i="5"/>
  <c r="E186" i="5" s="1"/>
  <c r="D187" i="5" a="1"/>
  <c r="D187" i="5" s="1"/>
  <c r="E187" i="5" s="1"/>
  <c r="D188" i="5" a="1"/>
  <c r="D188" i="5"/>
  <c r="D189" i="5" a="1"/>
  <c r="D189" i="5" s="1"/>
  <c r="E189" i="5" s="1"/>
  <c r="D190" i="5" a="1"/>
  <c r="D190" i="5"/>
  <c r="E190" i="5" s="1"/>
  <c r="D191" i="5" a="1"/>
  <c r="D191" i="5" s="1"/>
  <c r="E191" i="5" s="1"/>
  <c r="D192" i="5" a="1"/>
  <c r="D192" i="5"/>
  <c r="E192" i="5" s="1"/>
  <c r="D193" i="5" a="1"/>
  <c r="D193" i="5" s="1"/>
  <c r="E193" i="5" s="1"/>
  <c r="D194" i="5" a="1"/>
  <c r="D194" i="5"/>
  <c r="D195" i="5" a="1"/>
  <c r="D195" i="5" s="1"/>
  <c r="E195" i="5" s="1"/>
  <c r="D196" i="5" a="1"/>
  <c r="D196" i="5"/>
  <c r="E196" i="5" s="1"/>
  <c r="D197" i="5" a="1"/>
  <c r="D197" i="5" s="1"/>
  <c r="E197" i="5" s="1"/>
  <c r="D198" i="5" a="1"/>
  <c r="D198" i="5"/>
  <c r="E198" i="5" s="1"/>
  <c r="D199" i="5" a="1"/>
  <c r="D199" i="5" s="1"/>
  <c r="E199" i="5" s="1"/>
  <c r="D200" i="5" a="1"/>
  <c r="D200" i="5"/>
  <c r="D201" i="5" a="1"/>
  <c r="D201" i="5" s="1"/>
  <c r="E201" i="5" s="1"/>
  <c r="D202" i="5" a="1"/>
  <c r="D202" i="5"/>
  <c r="E202" i="5" s="1"/>
  <c r="D203" i="5" a="1"/>
  <c r="D203" i="5" s="1"/>
  <c r="E203" i="5" s="1"/>
  <c r="D204" i="5" a="1"/>
  <c r="D204" i="5"/>
  <c r="E204" i="5" s="1"/>
  <c r="D205" i="5" a="1"/>
  <c r="D205" i="5" s="1"/>
  <c r="E205" i="5" s="1"/>
  <c r="D206" i="5" a="1"/>
  <c r="D206" i="5"/>
  <c r="E206" i="5" s="1"/>
  <c r="D207" i="5" a="1"/>
  <c r="D207" i="5" s="1"/>
  <c r="E207" i="5" s="1"/>
  <c r="D208" i="5" a="1"/>
  <c r="D208" i="5"/>
  <c r="E208" i="5" s="1"/>
  <c r="D209" i="5" a="1"/>
  <c r="D209" i="5" s="1"/>
  <c r="E209" i="5" s="1"/>
  <c r="D210" i="5" a="1"/>
  <c r="D210" i="5"/>
  <c r="E210" i="5" s="1"/>
  <c r="D211" i="5" a="1"/>
  <c r="D211" i="5" s="1"/>
  <c r="E211" i="5" s="1"/>
  <c r="D212" i="5" a="1"/>
  <c r="D212" i="5"/>
  <c r="E212" i="5" s="1"/>
  <c r="D213" i="5" a="1"/>
  <c r="D213" i="5" s="1"/>
  <c r="E213" i="5" s="1"/>
  <c r="D214" i="5" a="1"/>
  <c r="D214" i="5"/>
  <c r="D215" i="5" a="1"/>
  <c r="D215" i="5" s="1"/>
  <c r="E215" i="5" s="1"/>
  <c r="D216" i="5" a="1"/>
  <c r="D216" i="5"/>
  <c r="E216" i="5" s="1"/>
  <c r="D217" i="5" a="1"/>
  <c r="D217" i="5" s="1"/>
  <c r="E217" i="5" s="1"/>
  <c r="D218" i="5" a="1"/>
  <c r="D218" i="5"/>
  <c r="E218" i="5" s="1"/>
  <c r="D219" i="5" a="1"/>
  <c r="D219" i="5" s="1"/>
  <c r="E219" i="5" s="1"/>
  <c r="D220" i="5" a="1"/>
  <c r="D220" i="5"/>
  <c r="D221" i="5" a="1"/>
  <c r="D221" i="5" s="1"/>
  <c r="E221" i="5" s="1"/>
  <c r="D222" i="5" a="1"/>
  <c r="D222" i="5"/>
  <c r="E222" i="5" s="1"/>
  <c r="D223" i="5" a="1"/>
  <c r="D223" i="5" s="1"/>
  <c r="E223" i="5" s="1"/>
  <c r="D224" i="5" a="1"/>
  <c r="D224" i="5"/>
  <c r="E224" i="5" s="1"/>
  <c r="D225" i="5" a="1"/>
  <c r="D225" i="5" s="1"/>
  <c r="E225" i="5" s="1"/>
  <c r="D226" i="5" a="1"/>
  <c r="D226" i="5"/>
  <c r="E226" i="5" s="1"/>
  <c r="D227" i="5" a="1"/>
  <c r="D227" i="5" s="1"/>
  <c r="E227" i="5" s="1"/>
  <c r="D228" i="5" a="1"/>
  <c r="D228" i="5"/>
  <c r="E228" i="5" s="1"/>
  <c r="D229" i="5" a="1"/>
  <c r="D229" i="5" s="1"/>
  <c r="E229" i="5" s="1"/>
  <c r="D230" i="5" a="1"/>
  <c r="D230" i="5"/>
  <c r="D231" i="5" a="1"/>
  <c r="D231" i="5" s="1"/>
  <c r="E231" i="5" s="1"/>
  <c r="D232" i="5" a="1"/>
  <c r="D232" i="5"/>
  <c r="E232" i="5" s="1"/>
  <c r="D233" i="5" a="1"/>
  <c r="D233" i="5" s="1"/>
  <c r="E233" i="5" s="1"/>
  <c r="D234" i="5" a="1"/>
  <c r="D234" i="5"/>
  <c r="E234" i="5" s="1"/>
  <c r="D235" i="5" a="1"/>
  <c r="D235" i="5" s="1"/>
  <c r="E235" i="5" s="1"/>
  <c r="D236" i="5" a="1"/>
  <c r="D236" i="5"/>
  <c r="D237" i="5" a="1"/>
  <c r="D237" i="5" s="1"/>
  <c r="E237" i="5" s="1"/>
  <c r="D238" i="5" a="1"/>
  <c r="D238" i="5"/>
  <c r="E238" i="5" s="1"/>
  <c r="D239" i="5" a="1"/>
  <c r="D239" i="5" s="1"/>
  <c r="E239" i="5" s="1"/>
  <c r="D240" i="5" a="1"/>
  <c r="D240" i="5"/>
  <c r="E240" i="5" s="1"/>
  <c r="D241" i="5" a="1"/>
  <c r="D241" i="5" s="1"/>
  <c r="E241" i="5" s="1"/>
  <c r="D242" i="5" a="1"/>
  <c r="D242" i="5"/>
  <c r="E242" i="5" s="1"/>
  <c r="D243" i="5" a="1"/>
  <c r="D243" i="5" s="1"/>
  <c r="E243" i="5" s="1"/>
  <c r="D244" i="5" a="1"/>
  <c r="D244" i="5"/>
  <c r="E244" i="5" s="1"/>
  <c r="D245" i="5" a="1"/>
  <c r="D245" i="5" s="1"/>
  <c r="E245" i="5" s="1"/>
  <c r="D246" i="5" a="1"/>
  <c r="D246" i="5"/>
  <c r="E246" i="5" s="1"/>
  <c r="D247" i="5" a="1"/>
  <c r="D247" i="5" s="1"/>
  <c r="E247" i="5" s="1"/>
  <c r="D248" i="5" a="1"/>
  <c r="D248" i="5"/>
  <c r="E248" i="5" s="1"/>
  <c r="D249" i="5" a="1"/>
  <c r="D249" i="5" s="1"/>
  <c r="E249" i="5" s="1"/>
  <c r="D250" i="5" a="1"/>
  <c r="D250" i="5"/>
  <c r="E250" i="5" s="1"/>
  <c r="D251" i="5" a="1"/>
  <c r="D251" i="5" s="1"/>
  <c r="E251" i="5" s="1"/>
  <c r="E4" i="5"/>
  <c r="E8" i="5"/>
  <c r="E10" i="5"/>
  <c r="E12" i="5"/>
  <c r="E16" i="5"/>
  <c r="E18" i="5"/>
  <c r="E20" i="5"/>
  <c r="E24" i="5"/>
  <c r="E26" i="5"/>
  <c r="E28" i="5"/>
  <c r="E32" i="5"/>
  <c r="E34" i="5"/>
  <c r="E36" i="5"/>
  <c r="E40" i="5"/>
  <c r="E42" i="5"/>
  <c r="E44" i="5"/>
  <c r="E48" i="5"/>
  <c r="E50" i="5"/>
  <c r="E52" i="5"/>
  <c r="E58" i="5"/>
  <c r="E66" i="5"/>
  <c r="E74" i="5"/>
  <c r="E82" i="5"/>
  <c r="E90" i="5"/>
  <c r="E98" i="5"/>
  <c r="E106" i="5"/>
  <c r="E114" i="5"/>
  <c r="E122" i="5"/>
  <c r="E130" i="5"/>
  <c r="E138" i="5"/>
  <c r="E146" i="5"/>
  <c r="E154" i="5"/>
  <c r="E162" i="5"/>
  <c r="E170" i="5"/>
  <c r="E177" i="5"/>
  <c r="E179" i="5"/>
  <c r="E181" i="5"/>
  <c r="E230" i="5"/>
  <c r="E236" i="5"/>
  <c r="E2" i="5"/>
  <c r="E3" i="5"/>
  <c r="E6" i="5"/>
  <c r="E7" i="5"/>
  <c r="E11" i="5"/>
  <c r="E13" i="5"/>
  <c r="E14" i="5"/>
  <c r="E15" i="5"/>
  <c r="E19" i="5"/>
  <c r="E22" i="5"/>
  <c r="E23" i="5"/>
  <c r="E25" i="5"/>
  <c r="E27" i="5"/>
  <c r="E30" i="5"/>
  <c r="E31" i="5"/>
  <c r="E35" i="5"/>
  <c r="E38" i="5"/>
  <c r="E39" i="5"/>
  <c r="E43" i="5"/>
  <c r="E45" i="5"/>
  <c r="E46" i="5"/>
  <c r="E47" i="5"/>
  <c r="E51" i="5"/>
  <c r="E54" i="5"/>
  <c r="E55" i="5"/>
  <c r="E56" i="5"/>
  <c r="E59" i="5"/>
  <c r="E60" i="5"/>
  <c r="E61" i="5"/>
  <c r="E62" i="5"/>
  <c r="E63" i="5"/>
  <c r="E64" i="5"/>
  <c r="E65" i="5"/>
  <c r="E67" i="5"/>
  <c r="E68" i="5"/>
  <c r="E70" i="5"/>
  <c r="E71" i="5"/>
  <c r="E72" i="5"/>
  <c r="E75" i="5"/>
  <c r="E76" i="5"/>
  <c r="E78" i="5"/>
  <c r="E79" i="5"/>
  <c r="E80" i="5"/>
  <c r="E83" i="5"/>
  <c r="E84" i="5"/>
  <c r="E86" i="5"/>
  <c r="E87" i="5"/>
  <c r="E88" i="5"/>
  <c r="E91" i="5"/>
  <c r="E92" i="5"/>
  <c r="E93" i="5"/>
  <c r="E94" i="5"/>
  <c r="E95" i="5"/>
  <c r="E96" i="5"/>
  <c r="E97" i="5"/>
  <c r="E99" i="5"/>
  <c r="E100" i="5"/>
  <c r="E102" i="5"/>
  <c r="E103" i="5"/>
  <c r="E104" i="5"/>
  <c r="E107" i="5"/>
  <c r="E108" i="5"/>
  <c r="E110" i="5"/>
  <c r="E111" i="5"/>
  <c r="E112" i="5"/>
  <c r="E115" i="5"/>
  <c r="E116" i="5"/>
  <c r="E118" i="5"/>
  <c r="E119" i="5"/>
  <c r="E120" i="5"/>
  <c r="E123" i="5"/>
  <c r="E124" i="5"/>
  <c r="E125" i="5"/>
  <c r="E126" i="5"/>
  <c r="E127" i="5"/>
  <c r="E128" i="5"/>
  <c r="E129" i="5"/>
  <c r="E131" i="5"/>
  <c r="E132" i="5"/>
  <c r="E134" i="5"/>
  <c r="E135" i="5"/>
  <c r="E136" i="5"/>
  <c r="E139" i="5"/>
  <c r="E140" i="5"/>
  <c r="E142" i="5"/>
  <c r="E143" i="5"/>
  <c r="E144" i="5"/>
  <c r="E147" i="5"/>
  <c r="E148" i="5"/>
  <c r="E150" i="5"/>
  <c r="E151" i="5"/>
  <c r="E152" i="5"/>
  <c r="E155" i="5"/>
  <c r="E156" i="5"/>
  <c r="E157" i="5"/>
  <c r="E158" i="5"/>
  <c r="E159" i="5"/>
  <c r="E160" i="5"/>
  <c r="E161" i="5"/>
  <c r="E163" i="5"/>
  <c r="E164" i="5"/>
  <c r="E166" i="5"/>
  <c r="E167" i="5"/>
  <c r="E168" i="5"/>
  <c r="E171" i="5"/>
  <c r="E173" i="5"/>
  <c r="E175" i="5"/>
  <c r="E182" i="5"/>
  <c r="E188" i="5"/>
  <c r="E194" i="5"/>
  <c r="E200" i="5"/>
  <c r="E214" i="5"/>
  <c r="E220" i="5"/>
  <c r="L2" i="4"/>
  <c r="K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0F0041-C8B6-4E26-9944-24E19308855F}" keepAlive="1" name="Zapytanie — oceny" description="Połączenie z zapytaniem „oceny” w skoroszycie." type="5" refreshedVersion="8" background="1" saveData="1">
    <dbPr connection="Provider=Microsoft.Mashup.OleDb.1;Data Source=$Workbook$;Location=oceny;Extended Properties=&quot;&quot;" command="SELECT * FROM [oceny]"/>
  </connection>
  <connection id="2" xr16:uid="{E0095156-5C73-4B36-BE77-12E46BC46FF2}" keepAlive="1" name="Zapytanie — oceny (2)" description="Połączenie z zapytaniem „oceny (2)” w skoroszycie." type="5" refreshedVersion="8" background="1" saveData="1">
    <dbPr connection="Provider=Microsoft.Mashup.OleDb.1;Data Source=$Workbook$;Location=&quot;oceny (2)&quot;;Extended Properties=&quot;&quot;" command="SELECT * FROM [oceny (2)]"/>
  </connection>
  <connection id="3" xr16:uid="{CAF7E95A-E76F-4A0C-B071-CEB5A8BF2569}" keepAlive="1" name="Zapytanie — oceny (3)" description="Połączenie z zapytaniem „oceny (3)” w skoroszycie." type="5" refreshedVersion="8" background="1" saveData="1">
    <dbPr connection="Provider=Microsoft.Mashup.OleDb.1;Data Source=$Workbook$;Location=&quot;oceny (3)&quot;;Extended Properties=&quot;&quot;" command="SELECT * FROM [oceny (3)]"/>
  </connection>
  <connection id="4" xr16:uid="{53016D6A-167E-41C7-9ACB-FF27BE01CFB8}" keepAlive="1" name="Zapytanie — oceny (4)" description="Połączenie z zapytaniem „oceny (4)” w skoroszycie." type="5" refreshedVersion="8" background="1" saveData="1">
    <dbPr connection="Provider=Microsoft.Mashup.OleDb.1;Data Source=$Workbook$;Location=&quot;oceny (4)&quot;;Extended Properties=&quot;&quot;" command="SELECT * FROM [oceny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<sst xmlns="http://schemas.openxmlformats.org/spreadsheetml/2006/main" count="2071" uniqueCount="278">
  <si>
    <t>Student</t>
  </si>
  <si>
    <t>Wynik</t>
  </si>
  <si>
    <t xml:space="preserve">Id_grupy </t>
  </si>
  <si>
    <t>Student 1</t>
  </si>
  <si>
    <t>A</t>
  </si>
  <si>
    <t>Student 2</t>
  </si>
  <si>
    <t>B</t>
  </si>
  <si>
    <t>Student 3</t>
  </si>
  <si>
    <t>D</t>
  </si>
  <si>
    <t>Student 4</t>
  </si>
  <si>
    <t>C</t>
  </si>
  <si>
    <t>Student 5</t>
  </si>
  <si>
    <t>E</t>
  </si>
  <si>
    <t>Student 6</t>
  </si>
  <si>
    <t>F</t>
  </si>
  <si>
    <t>Student 7</t>
  </si>
  <si>
    <t>G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</si>
  <si>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</si>
  <si>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</si>
  <si>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</si>
  <si>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</si>
  <si>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</si>
  <si>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</si>
  <si>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</si>
  <si>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</si>
  <si>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</si>
  <si>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</si>
  <si>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</si>
  <si>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</si>
  <si>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</si>
  <si>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</si>
  <si>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</si>
  <si>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</si>
  <si>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</si>
  <si>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</si>
  <si>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H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</si>
  <si>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</si>
  <si>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</si>
  <si>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</si>
  <si>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</si>
  <si>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</si>
  <si>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</si>
  <si>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</si>
  <si>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</si>
  <si>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</si>
  <si>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</si>
  <si>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</si>
  <si>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</si>
  <si>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</si>
  <si>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</si>
  <si>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</si>
  <si>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</si>
  <si>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</si>
  <si>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</si>
  <si>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</si>
  <si>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</si>
  <si>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</si>
  <si>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</si>
  <si>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</si>
  <si>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</si>
  <si>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</si>
  <si>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</si>
  <si>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</si>
  <si>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</si>
  <si>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</si>
  <si>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</si>
  <si>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</si>
  <si>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</si>
  <si>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</si>
  <si>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</si>
  <si>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</si>
  <si>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</si>
  <si>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</si>
  <si>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</si>
  <si>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</si>
  <si>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</si>
  <si>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</si>
  <si>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</si>
  <si>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</si>
  <si>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</si>
  <si>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</si>
  <si>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</si>
  <si>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</si>
  <si>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</si>
  <si>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</si>
  <si>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</si>
  <si>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</si>
  <si>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</si>
  <si>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</si>
  <si>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</si>
  <si>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</si>
  <si>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</si>
  <si>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</si>
  <si>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</si>
  <si>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</si>
  <si>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</si>
  <si>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</si>
  <si>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</si>
  <si>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</si>
  <si>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</si>
  <si>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</si>
  <si>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</si>
  <si>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</si>
  <si>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</si>
  <si>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</si>
  <si>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</si>
  <si>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</si>
  <si>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</si>
  <si>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</si>
  <si>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</si>
  <si>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</si>
  <si>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</si>
  <si>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</si>
  <si>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</si>
  <si>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</si>
  <si>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</si>
  <si>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</si>
  <si>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</si>
  <si>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</si>
  <si>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</si>
  <si>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</si>
  <si>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</si>
  <si>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</si>
  <si>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</si>
  <si>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</si>
  <si>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</si>
  <si>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</si>
  <si>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</si>
  <si>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</si>
  <si>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</si>
  <si>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</si>
  <si>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</si>
  <si>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</si>
  <si>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</si>
  <si>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</si>
  <si>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</si>
  <si>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</si>
  <si>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</si>
  <si>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</si>
  <si>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</si>
  <si>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</si>
  <si>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</si>
  <si>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</si>
  <si>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</si>
  <si>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</si>
  <si>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</si>
  <si>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</si>
  <si>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</si>
  <si>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</si>
  <si>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</si>
  <si>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</si>
  <si>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</si>
  <si>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</si>
  <si>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</si>
  <si>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</si>
  <si>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</si>
  <si>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</si>
  <si>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</si>
  <si>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</si>
  <si>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</si>
  <si>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</si>
  <si>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</si>
  <si>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</si>
  <si>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</si>
  <si>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</si>
  <si>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</si>
  <si>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</si>
  <si>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</si>
  <si>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</si>
  <si>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</si>
  <si>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</si>
  <si>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</si>
  <si>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</si>
  <si>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</si>
  <si>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</si>
  <si>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</si>
  <si>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</si>
  <si>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</si>
  <si>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</si>
  <si>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</si>
  <si>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</si>
  <si>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</si>
  <si>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</si>
  <si>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</si>
  <si>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</si>
  <si>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</si>
  <si>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</si>
  <si>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</si>
  <si>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</si>
  <si>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</si>
  <si>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</si>
  <si>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</si>
  <si>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</si>
  <si>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</si>
  <si>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</si>
  <si>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</si>
  <si>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</si>
  <si>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</si>
  <si>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</si>
  <si>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</si>
  <si>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</si>
  <si>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</si>
  <si>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</si>
  <si>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</si>
  <si>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</si>
  <si>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</si>
  <si>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</si>
  <si>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</si>
  <si>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</si>
  <si>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</si>
  <si>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</si>
  <si>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</si>
  <si>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</si>
  <si>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</si>
  <si>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</si>
  <si>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</si>
  <si>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</si>
  <si>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</si>
  <si>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</si>
  <si>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</si>
  <si>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</si>
  <si>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</si>
  <si>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</si>
  <si>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</si>
  <si>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</si>
  <si>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</si>
  <si>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</si>
  <si>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</si>
  <si>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</si>
  <si>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</si>
  <si>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</si>
  <si>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</si>
  <si>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</si>
  <si>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</si>
  <si>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</si>
  <si>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</si>
  <si>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</si>
  <si>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</si>
  <si>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</si>
  <si>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</si>
  <si>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</si>
  <si>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</si>
  <si>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</si>
  <si>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</si>
  <si>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</si>
  <si>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</si>
  <si>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</si>
  <si>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</si>
  <si>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</si>
  <si>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</si>
  <si>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</si>
  <si>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</si>
  <si>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</si>
  <si>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</si>
  <si>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</si>
  <si>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</si>
  <si>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</si>
  <si>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</si>
  <si>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</si>
  <si>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</si>
  <si>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</si>
  <si>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LICZBA PUNKTÓW</t>
  </si>
  <si>
    <t>min</t>
  </si>
  <si>
    <t>max</t>
  </si>
  <si>
    <t>OCENA</t>
  </si>
  <si>
    <t>celujący</t>
  </si>
  <si>
    <t>bardzo dobry</t>
  </si>
  <si>
    <t>dobry</t>
  </si>
  <si>
    <t>dostateczny</t>
  </si>
  <si>
    <t>niedostateczny</t>
  </si>
  <si>
    <t>Suma końcowa</t>
  </si>
  <si>
    <t>Grupa</t>
  </si>
  <si>
    <t>Liczba studentów w grupie</t>
  </si>
  <si>
    <t>Najczęściej występująca liczba punktów</t>
  </si>
  <si>
    <t>ocena</t>
  </si>
  <si>
    <t>nazwa_oceny</t>
  </si>
  <si>
    <t>liczba studentów</t>
  </si>
  <si>
    <t>Liczba wystąpień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</si>
</sst>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2" borderId="0" xfId="0" applyNumberFormat="1" applyFill="1"/>
  </cellXfs>
  <cellStyles count="1">
    <cellStyle name="Normalny" xfId="0" builtinId="0"/>
  </cellStyles>
  <dxfs count="3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[ZADANIE6.xlsx]3!Tabela przestawna3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Odsetek</a:t>
            </a:r>
            <a:r>
              <a:rPr lang="pl-PL" baseline="0"/>
              <a:t> studentów który uzyskał daną ocenę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'3'!$H$11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F4-4F29-A312-21288206D8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F4-4F29-A312-21288206D8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F4-4F29-A312-21288206D8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F4-4F29-A312-21288206D8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F4-4F29-A312-21288206D8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'3'!$G$12:$G$17</c:f>
              <c:strCache>
                <c:ptCount val="5"/>
                <c:pt idx="0">
                  <c:v>bardzo dobry</c:v>
                </c:pt>
                <c:pt idx="1">
                  <c:v>celujący</c:v>
                </c:pt>
                <c:pt idx="2">
                  <c:v>dobry</c:v>
                </c:pt>
                <c:pt idx="3">
                  <c:v>dostateczny</c:v>
                </c:pt>
                <c:pt idx="4">
                  <c:v>niedostateczny</c:v>
                </c:pt>
              </c:strCache>
            </c:strRef>
          </c:cat>
          <c:val>
            <c:numRef>
              <c:f>'3'!$H$12:$H$17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71</c:v>
                </c:pt>
                <c:pt idx="3">
                  <c:v>28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9-4033-AB1C-15ADA5080B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18</xdr:row>
      <xdr:rowOff>157161</xdr:rowOff>
    </xdr:from>
    <xdr:to>
      <xdr:col>13</xdr:col>
      <xdr:colOff>276225</xdr:colOff>
      <xdr:row>38</xdr:row>
      <xdr:rowOff>9524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BD0920D-6CFE-95D0-F4C8-C1F7BAB2F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7.006512037035" createdVersion="8" refreshedVersion="8" minRefreshableVersion="3" recordCount="250" xr:uid="{0ABB6BE2-D728-4A4E-9DC9-BC43FE455295}">
  <cacheSource type="worksheet">
    <worksheetSource name="oceny3"/>
  </cacheSource>
  <cacheFields count="3">
    <cacheField name="Student" numFmtId="0">
      <sharedItems/>
    </cacheField>
    <cacheField name="Wynik" numFmtId="0">
      <sharedItems containsSemiMixedTypes="0" containsString="0" containsNumber="1" containsInteger="1" minValue="1" maxValue="100"/>
    </cacheField>
    <cacheField name="Id_grupy " numFmtId="0">
      <sharedItems count="8">
        <s v="A"/>
        <s v="B"/>
        <s v="D"/>
        <s v="C"/>
        <s v="E"/>
        <s v="F"/>
        <s v="G"/>
        <s v="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7.527939120373" createdVersion="8" refreshedVersion="8" minRefreshableVersion="3" recordCount="250" xr:uid="{72336790-859B-416F-AFBB-F3C6A4B9FDB8}">
  <cacheSource type="worksheet">
    <worksheetSource name="oceny5"/>
  </cacheSource>
  <cacheFields count="5">
    <cacheField name="Student" numFmtId="0">
      <sharedItems/>
    </cacheField>
    <cacheField name="Wynik" numFmtId="0">
      <sharedItems containsSemiMixedTypes="0" containsString="0" containsNumber="1" containsInteger="1" minValue="1" maxValue="100"/>
    </cacheField>
    <cacheField name="Id_grupy " numFmtId="0">
      <sharedItems/>
    </cacheField>
    <cacheField name="ocena" numFmtId="0">
      <sharedItems containsSemiMixedTypes="0" containsString="0" containsNumber="1" containsInteger="1" minValue="2" maxValue="6"/>
    </cacheField>
    <cacheField name="nazwa_oceny" numFmtId="0">
      <sharedItems count="5">
        <s v="dobry"/>
        <s v="celujący"/>
        <s v="bardzo dobry"/>
        <s v="dostateczny"/>
        <s v="niedostatecz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Student 1"/>
    <n v="62"/>
    <x v="0"/>
  </r>
  <r>
    <s v="Student 2"/>
    <n v="92"/>
    <x v="1"/>
  </r>
  <r>
    <s v="Student 3"/>
    <n v="52"/>
    <x v="2"/>
  </r>
  <r>
    <s v="Student 4"/>
    <n v="60"/>
    <x v="3"/>
  </r>
  <r>
    <s v="Student 5"/>
    <n v="81"/>
    <x v="4"/>
  </r>
  <r>
    <s v="Student 6"/>
    <n v="66"/>
    <x v="5"/>
  </r>
  <r>
    <s v="Student 7"/>
    <n v="63"/>
    <x v="6"/>
  </r>
  <r>
    <s v="Student 8"/>
    <n v="100"/>
    <x v="3"/>
  </r>
  <r>
    <s v="Student 9"/>
    <n v="46"/>
    <x v="2"/>
  </r>
  <r>
    <s v="Student 10"/>
    <n v="87"/>
    <x v="0"/>
  </r>
  <r>
    <s v="Student 11"/>
    <n v="93"/>
    <x v="4"/>
  </r>
  <r>
    <s v="Student 12"/>
    <n v="84"/>
    <x v="1"/>
  </r>
  <r>
    <s v="Student 13"/>
    <n v="44"/>
    <x v="3"/>
  </r>
  <r>
    <s v="Student 14"/>
    <n v="71"/>
    <x v="2"/>
  </r>
  <r>
    <s v="Student 15"/>
    <n v="100"/>
    <x v="3"/>
  </r>
  <r>
    <s v="Student 16"/>
    <n v="40"/>
    <x v="2"/>
  </r>
  <r>
    <s v="Student 17"/>
    <n v="35"/>
    <x v="2"/>
  </r>
  <r>
    <s v="Student 18"/>
    <n v="73"/>
    <x v="2"/>
  </r>
  <r>
    <s v="Student 19"/>
    <n v="99"/>
    <x v="3"/>
  </r>
  <r>
    <s v="Student 20"/>
    <n v="88"/>
    <x v="5"/>
  </r>
  <r>
    <s v="Student 21"/>
    <n v="90"/>
    <x v="6"/>
  </r>
  <r>
    <s v="Student 22"/>
    <n v="90"/>
    <x v="1"/>
  </r>
  <r>
    <s v="Student 23"/>
    <n v="44"/>
    <x v="4"/>
  </r>
  <r>
    <s v="Student 24"/>
    <n v="74"/>
    <x v="6"/>
  </r>
  <r>
    <s v="Student 25"/>
    <n v="46"/>
    <x v="7"/>
  </r>
  <r>
    <s v="Student 26"/>
    <n v="74"/>
    <x v="6"/>
  </r>
  <r>
    <s v="Student 27"/>
    <n v="92"/>
    <x v="3"/>
  </r>
  <r>
    <s v="Student 28"/>
    <n v="31"/>
    <x v="1"/>
  </r>
  <r>
    <s v="Student 29"/>
    <n v="51"/>
    <x v="5"/>
  </r>
  <r>
    <s v="Student 30"/>
    <n v="59"/>
    <x v="2"/>
  </r>
  <r>
    <s v="Student 31"/>
    <n v="85"/>
    <x v="5"/>
  </r>
  <r>
    <s v="Student 32"/>
    <n v="63"/>
    <x v="2"/>
  </r>
  <r>
    <s v="Student 33"/>
    <n v="60"/>
    <x v="3"/>
  </r>
  <r>
    <s v="Student 34"/>
    <n v="83"/>
    <x v="1"/>
  </r>
  <r>
    <s v="Student 35"/>
    <n v="72"/>
    <x v="5"/>
  </r>
  <r>
    <s v="Student 36"/>
    <n v="94"/>
    <x v="7"/>
  </r>
  <r>
    <s v="Student 37"/>
    <n v="92"/>
    <x v="4"/>
  </r>
  <r>
    <s v="Student 38"/>
    <n v="92"/>
    <x v="6"/>
  </r>
  <r>
    <s v="Student 39"/>
    <n v="59"/>
    <x v="4"/>
  </r>
  <r>
    <s v="Student 40"/>
    <n v="51"/>
    <x v="6"/>
  </r>
  <r>
    <s v="Student 41"/>
    <n v="45"/>
    <x v="3"/>
  </r>
  <r>
    <s v="Student 42"/>
    <n v="89"/>
    <x v="0"/>
  </r>
  <r>
    <s v="Student 43"/>
    <n v="51"/>
    <x v="7"/>
  </r>
  <r>
    <s v="Student 44"/>
    <n v="84"/>
    <x v="5"/>
  </r>
  <r>
    <s v="Student 45"/>
    <n v="32"/>
    <x v="1"/>
  </r>
  <r>
    <s v="Student 46"/>
    <n v="73"/>
    <x v="7"/>
  </r>
  <r>
    <s v="Student 47"/>
    <n v="44"/>
    <x v="5"/>
  </r>
  <r>
    <s v="Student 48"/>
    <n v="81"/>
    <x v="7"/>
  </r>
  <r>
    <s v="Student 49"/>
    <n v="76"/>
    <x v="4"/>
  </r>
  <r>
    <s v="Student 50"/>
    <n v="89"/>
    <x v="6"/>
  </r>
  <r>
    <s v="Student 51"/>
    <n v="83"/>
    <x v="5"/>
  </r>
  <r>
    <s v="Student 52"/>
    <n v="24"/>
    <x v="0"/>
  </r>
  <r>
    <s v="Student 53"/>
    <n v="99"/>
    <x v="6"/>
  </r>
  <r>
    <s v="Student 54"/>
    <n v="98"/>
    <x v="1"/>
  </r>
  <r>
    <s v="Student 55"/>
    <n v="92"/>
    <x v="2"/>
  </r>
  <r>
    <s v="Student 56"/>
    <n v="41"/>
    <x v="2"/>
  </r>
  <r>
    <s v="Student 57"/>
    <n v="77"/>
    <x v="0"/>
  </r>
  <r>
    <s v="Student 58"/>
    <n v="84"/>
    <x v="1"/>
  </r>
  <r>
    <s v="Student 59"/>
    <n v="98"/>
    <x v="1"/>
  </r>
  <r>
    <s v="Student 60"/>
    <n v="67"/>
    <x v="1"/>
  </r>
  <r>
    <s v="Student 61"/>
    <n v="78"/>
    <x v="1"/>
  </r>
  <r>
    <s v="Student 62"/>
    <n v="59"/>
    <x v="3"/>
  </r>
  <r>
    <s v="Student 63"/>
    <n v="95"/>
    <x v="6"/>
  </r>
  <r>
    <s v="Student 64"/>
    <n v="34"/>
    <x v="5"/>
  </r>
  <r>
    <s v="Student 65"/>
    <n v="54"/>
    <x v="4"/>
  </r>
  <r>
    <s v="Student 66"/>
    <n v="64"/>
    <x v="3"/>
  </r>
  <r>
    <s v="Student 67"/>
    <n v="44"/>
    <x v="0"/>
  </r>
  <r>
    <s v="Student 68"/>
    <n v="45"/>
    <x v="0"/>
  </r>
  <r>
    <s v="Student 69"/>
    <n v="22"/>
    <x v="2"/>
  </r>
  <r>
    <s v="Student 70"/>
    <n v="61"/>
    <x v="5"/>
  </r>
  <r>
    <s v="Student 71"/>
    <n v="23"/>
    <x v="5"/>
  </r>
  <r>
    <s v="Student 72"/>
    <n v="26"/>
    <x v="0"/>
  </r>
  <r>
    <s v="Student 73"/>
    <n v="65"/>
    <x v="7"/>
  </r>
  <r>
    <s v="Student 74"/>
    <n v="64"/>
    <x v="6"/>
  </r>
  <r>
    <s v="Student 75"/>
    <n v="80"/>
    <x v="4"/>
  </r>
  <r>
    <s v="Student 76"/>
    <n v="49"/>
    <x v="7"/>
  </r>
  <r>
    <s v="Student 77"/>
    <n v="24"/>
    <x v="7"/>
  </r>
  <r>
    <s v="Student 78"/>
    <n v="78"/>
    <x v="0"/>
  </r>
  <r>
    <s v="Student 79"/>
    <n v="26"/>
    <x v="6"/>
  </r>
  <r>
    <s v="Student 80"/>
    <n v="87"/>
    <x v="0"/>
  </r>
  <r>
    <s v="Student 81"/>
    <n v="34"/>
    <x v="3"/>
  </r>
  <r>
    <s v="Student 82"/>
    <n v="72"/>
    <x v="5"/>
  </r>
  <r>
    <s v="Student 83"/>
    <n v="61"/>
    <x v="3"/>
  </r>
  <r>
    <s v="Student 84"/>
    <n v="89"/>
    <x v="3"/>
  </r>
  <r>
    <s v="Student 85"/>
    <n v="23"/>
    <x v="3"/>
  </r>
  <r>
    <s v="Student 86"/>
    <n v="9"/>
    <x v="1"/>
  </r>
  <r>
    <s v="Student 87"/>
    <n v="5"/>
    <x v="1"/>
  </r>
  <r>
    <s v="Student 88"/>
    <n v="91"/>
    <x v="5"/>
  </r>
  <r>
    <s v="Student 89"/>
    <n v="76"/>
    <x v="4"/>
  </r>
  <r>
    <s v="Student 90"/>
    <n v="57"/>
    <x v="0"/>
  </r>
  <r>
    <s v="Student 91"/>
    <n v="44"/>
    <x v="5"/>
  </r>
  <r>
    <s v="Student 92"/>
    <n v="77"/>
    <x v="2"/>
  </r>
  <r>
    <s v="Student 93"/>
    <n v="29"/>
    <x v="4"/>
  </r>
  <r>
    <s v="Student 94"/>
    <n v="10"/>
    <x v="4"/>
  </r>
  <r>
    <s v="Student 95"/>
    <n v="85"/>
    <x v="0"/>
  </r>
  <r>
    <s v="Student 96"/>
    <n v="14"/>
    <x v="5"/>
  </r>
  <r>
    <s v="Student 97"/>
    <n v="87"/>
    <x v="1"/>
  </r>
  <r>
    <s v="Student 98"/>
    <n v="86"/>
    <x v="0"/>
  </r>
  <r>
    <s v="Student 99"/>
    <n v="77"/>
    <x v="3"/>
  </r>
  <r>
    <s v="Student 100"/>
    <n v="31"/>
    <x v="0"/>
  </r>
  <r>
    <s v="Student 101"/>
    <n v="28"/>
    <x v="0"/>
  </r>
  <r>
    <s v="Student 102"/>
    <n v="42"/>
    <x v="0"/>
  </r>
  <r>
    <s v="Student 103"/>
    <n v="22"/>
    <x v="0"/>
  </r>
  <r>
    <s v="Student 104"/>
    <n v="93"/>
    <x v="0"/>
  </r>
  <r>
    <s v="Student 105"/>
    <n v="24"/>
    <x v="1"/>
  </r>
  <r>
    <s v="Student 106"/>
    <n v="94"/>
    <x v="0"/>
  </r>
  <r>
    <s v="Student 107"/>
    <n v="38"/>
    <x v="0"/>
  </r>
  <r>
    <s v="Student 108"/>
    <n v="43"/>
    <x v="0"/>
  </r>
  <r>
    <s v="Student 109"/>
    <n v="25"/>
    <x v="5"/>
  </r>
  <r>
    <s v="Student 110"/>
    <n v="60"/>
    <x v="7"/>
  </r>
  <r>
    <s v="Student 111"/>
    <n v="75"/>
    <x v="6"/>
  </r>
  <r>
    <s v="Student 112"/>
    <n v="3"/>
    <x v="0"/>
  </r>
  <r>
    <s v="Student 113"/>
    <n v="74"/>
    <x v="1"/>
  </r>
  <r>
    <s v="Student 114"/>
    <n v="40"/>
    <x v="4"/>
  </r>
  <r>
    <s v="Student 115"/>
    <n v="2"/>
    <x v="0"/>
  </r>
  <r>
    <s v="Student 116"/>
    <n v="58"/>
    <x v="3"/>
  </r>
  <r>
    <s v="Student 117"/>
    <n v="6"/>
    <x v="0"/>
  </r>
  <r>
    <s v="Student 118"/>
    <n v="32"/>
    <x v="1"/>
  </r>
  <r>
    <s v="Student 119"/>
    <n v="70"/>
    <x v="4"/>
  </r>
  <r>
    <s v="Student 120"/>
    <n v="14"/>
    <x v="3"/>
  </r>
  <r>
    <s v="Student 121"/>
    <n v="23"/>
    <x v="5"/>
  </r>
  <r>
    <s v="Student 122"/>
    <n v="100"/>
    <x v="0"/>
  </r>
  <r>
    <s v="Student 123"/>
    <n v="80"/>
    <x v="7"/>
  </r>
  <r>
    <s v="Student 124"/>
    <n v="22"/>
    <x v="6"/>
  </r>
  <r>
    <s v="Student 125"/>
    <n v="92"/>
    <x v="2"/>
  </r>
  <r>
    <s v="Student 126"/>
    <n v="69"/>
    <x v="2"/>
  </r>
  <r>
    <s v="Student 127"/>
    <n v="76"/>
    <x v="1"/>
  </r>
  <r>
    <s v="Student 128"/>
    <n v="57"/>
    <x v="7"/>
  </r>
  <r>
    <s v="Student 129"/>
    <n v="48"/>
    <x v="5"/>
  </r>
  <r>
    <s v="Student 130"/>
    <n v="22"/>
    <x v="5"/>
  </r>
  <r>
    <s v="Student 131"/>
    <n v="72"/>
    <x v="1"/>
  </r>
  <r>
    <s v="Student 132"/>
    <n v="25"/>
    <x v="4"/>
  </r>
  <r>
    <s v="Student 133"/>
    <n v="65"/>
    <x v="5"/>
  </r>
  <r>
    <s v="Student 134"/>
    <n v="14"/>
    <x v="4"/>
  </r>
  <r>
    <s v="Student 135"/>
    <n v="16"/>
    <x v="2"/>
  </r>
  <r>
    <s v="Student 136"/>
    <n v="77"/>
    <x v="2"/>
  </r>
  <r>
    <s v="Student 137"/>
    <n v="49"/>
    <x v="5"/>
  </r>
  <r>
    <s v="Student 138"/>
    <n v="39"/>
    <x v="4"/>
  </r>
  <r>
    <s v="Student 139"/>
    <n v="29"/>
    <x v="3"/>
  </r>
  <r>
    <s v="Student 140"/>
    <n v="38"/>
    <x v="3"/>
  </r>
  <r>
    <s v="Student 141"/>
    <n v="61"/>
    <x v="3"/>
  </r>
  <r>
    <s v="Student 142"/>
    <n v="72"/>
    <x v="5"/>
  </r>
  <r>
    <s v="Student 143"/>
    <n v="8"/>
    <x v="6"/>
  </r>
  <r>
    <s v="Student 144"/>
    <n v="88"/>
    <x v="1"/>
  </r>
  <r>
    <s v="Student 145"/>
    <n v="6"/>
    <x v="6"/>
  </r>
  <r>
    <s v="Student 146"/>
    <n v="5"/>
    <x v="6"/>
  </r>
  <r>
    <s v="Student 147"/>
    <n v="24"/>
    <x v="6"/>
  </r>
  <r>
    <s v="Student 148"/>
    <n v="84"/>
    <x v="6"/>
  </r>
  <r>
    <s v="Student 149"/>
    <n v="25"/>
    <x v="5"/>
  </r>
  <r>
    <s v="Student 150"/>
    <n v="26"/>
    <x v="5"/>
  </r>
  <r>
    <s v="Student 151"/>
    <n v="7"/>
    <x v="2"/>
  </r>
  <r>
    <s v="Student 152"/>
    <n v="34"/>
    <x v="2"/>
  </r>
  <r>
    <s v="Student 153"/>
    <n v="77"/>
    <x v="2"/>
  </r>
  <r>
    <s v="Student 154"/>
    <n v="46"/>
    <x v="1"/>
  </r>
  <r>
    <s v="Student 155"/>
    <n v="27"/>
    <x v="3"/>
  </r>
  <r>
    <s v="Student 156"/>
    <n v="49"/>
    <x v="3"/>
  </r>
  <r>
    <s v="Student 157"/>
    <n v="78"/>
    <x v="6"/>
  </r>
  <r>
    <s v="Student 158"/>
    <n v="57"/>
    <x v="1"/>
  </r>
  <r>
    <s v="Student 159"/>
    <n v="35"/>
    <x v="7"/>
  </r>
  <r>
    <s v="Student 160"/>
    <n v="26"/>
    <x v="1"/>
  </r>
  <r>
    <s v="Student 161"/>
    <n v="33"/>
    <x v="1"/>
  </r>
  <r>
    <s v="Student 162"/>
    <n v="2"/>
    <x v="7"/>
  </r>
  <r>
    <s v="Student 163"/>
    <n v="94"/>
    <x v="7"/>
  </r>
  <r>
    <s v="Student 164"/>
    <n v="77"/>
    <x v="6"/>
  </r>
  <r>
    <s v="Student 165"/>
    <n v="19"/>
    <x v="4"/>
  </r>
  <r>
    <s v="Student 166"/>
    <n v="13"/>
    <x v="2"/>
  </r>
  <r>
    <s v="Student 167"/>
    <n v="42"/>
    <x v="2"/>
  </r>
  <r>
    <s v="Student 168"/>
    <n v="77"/>
    <x v="6"/>
  </r>
  <r>
    <s v="Student 169"/>
    <n v="68"/>
    <x v="4"/>
  </r>
  <r>
    <s v="Student 170"/>
    <n v="30"/>
    <x v="4"/>
  </r>
  <r>
    <s v="Student 171"/>
    <n v="4"/>
    <x v="7"/>
  </r>
  <r>
    <s v="Student 172"/>
    <n v="17"/>
    <x v="5"/>
  </r>
  <r>
    <s v="Student 173"/>
    <n v="99"/>
    <x v="6"/>
  </r>
  <r>
    <s v="Student 174"/>
    <n v="67"/>
    <x v="3"/>
  </r>
  <r>
    <s v="Student 175"/>
    <n v="56"/>
    <x v="5"/>
  </r>
  <r>
    <s v="Student 176"/>
    <n v="55"/>
    <x v="4"/>
  </r>
  <r>
    <s v="Student 177"/>
    <n v="57"/>
    <x v="3"/>
  </r>
  <r>
    <s v="Student 178"/>
    <n v="70"/>
    <x v="2"/>
  </r>
  <r>
    <s v="Student 179"/>
    <n v="30"/>
    <x v="2"/>
  </r>
  <r>
    <s v="Student 180"/>
    <n v="49"/>
    <x v="2"/>
  </r>
  <r>
    <s v="Student 181"/>
    <n v="44"/>
    <x v="5"/>
  </r>
  <r>
    <s v="Student 182"/>
    <n v="19"/>
    <x v="5"/>
  </r>
  <r>
    <s v="Student 183"/>
    <n v="91"/>
    <x v="1"/>
  </r>
  <r>
    <s v="Student 184"/>
    <n v="13"/>
    <x v="1"/>
  </r>
  <r>
    <s v="Student 185"/>
    <n v="18"/>
    <x v="1"/>
  </r>
  <r>
    <s v="Student 186"/>
    <n v="6"/>
    <x v="3"/>
  </r>
  <r>
    <s v="Student 187"/>
    <n v="40"/>
    <x v="5"/>
  </r>
  <r>
    <s v="Student 188"/>
    <n v="36"/>
    <x v="4"/>
  </r>
  <r>
    <s v="Student 189"/>
    <n v="39"/>
    <x v="3"/>
  </r>
  <r>
    <s v="Student 190"/>
    <n v="1"/>
    <x v="6"/>
  </r>
  <r>
    <s v="Student 191"/>
    <n v="58"/>
    <x v="5"/>
  </r>
  <r>
    <s v="Student 192"/>
    <n v="85"/>
    <x v="5"/>
  </r>
  <r>
    <s v="Student 193"/>
    <n v="75"/>
    <x v="5"/>
  </r>
  <r>
    <s v="Student 194"/>
    <n v="45"/>
    <x v="3"/>
  </r>
  <r>
    <s v="Student 195"/>
    <n v="5"/>
    <x v="4"/>
  </r>
  <r>
    <s v="Student 196"/>
    <n v="48"/>
    <x v="4"/>
  </r>
  <r>
    <s v="Student 197"/>
    <n v="3"/>
    <x v="7"/>
  </r>
  <r>
    <s v="Student 198"/>
    <n v="44"/>
    <x v="6"/>
  </r>
  <r>
    <s v="Student 199"/>
    <n v="46"/>
    <x v="4"/>
  </r>
  <r>
    <s v="Student 200"/>
    <n v="13"/>
    <x v="2"/>
  </r>
  <r>
    <s v="Student 201"/>
    <n v="7"/>
    <x v="6"/>
  </r>
  <r>
    <s v="Student 202"/>
    <n v="29"/>
    <x v="4"/>
  </r>
  <r>
    <s v="Student 203"/>
    <n v="39"/>
    <x v="1"/>
  </r>
  <r>
    <s v="Student 204"/>
    <n v="11"/>
    <x v="7"/>
  </r>
  <r>
    <s v="Student 205"/>
    <n v="94"/>
    <x v="4"/>
  </r>
  <r>
    <s v="Student 206"/>
    <n v="13"/>
    <x v="7"/>
  </r>
  <r>
    <s v="Student 207"/>
    <n v="9"/>
    <x v="7"/>
  </r>
  <r>
    <s v="Student 208"/>
    <n v="73"/>
    <x v="4"/>
  </r>
  <r>
    <s v="Student 209"/>
    <n v="89"/>
    <x v="4"/>
  </r>
  <r>
    <s v="Student 210"/>
    <n v="94"/>
    <x v="2"/>
  </r>
  <r>
    <s v="Student 211"/>
    <n v="3"/>
    <x v="4"/>
  </r>
  <r>
    <s v="Student 212"/>
    <n v="97"/>
    <x v="7"/>
  </r>
  <r>
    <s v="Student 213"/>
    <n v="43"/>
    <x v="7"/>
  </r>
  <r>
    <s v="Student 214"/>
    <n v="86"/>
    <x v="7"/>
  </r>
  <r>
    <s v="Student 215"/>
    <n v="80"/>
    <x v="4"/>
  </r>
  <r>
    <s v="Student 216"/>
    <n v="36"/>
    <x v="2"/>
  </r>
  <r>
    <s v="Student 217"/>
    <n v="94"/>
    <x v="6"/>
  </r>
  <r>
    <s v="Student 218"/>
    <n v="12"/>
    <x v="1"/>
  </r>
  <r>
    <s v="Student 219"/>
    <n v="99"/>
    <x v="3"/>
  </r>
  <r>
    <s v="Student 220"/>
    <n v="33"/>
    <x v="6"/>
  </r>
  <r>
    <s v="Student 221"/>
    <n v="53"/>
    <x v="7"/>
  </r>
  <r>
    <s v="Student 222"/>
    <n v="39"/>
    <x v="4"/>
  </r>
  <r>
    <s v="Student 223"/>
    <n v="62"/>
    <x v="7"/>
  </r>
  <r>
    <s v="Student 224"/>
    <n v="99"/>
    <x v="2"/>
  </r>
  <r>
    <s v="Student 225"/>
    <n v="31"/>
    <x v="4"/>
  </r>
  <r>
    <s v="Student 226"/>
    <n v="49"/>
    <x v="7"/>
  </r>
  <r>
    <s v="Student 227"/>
    <n v="43"/>
    <x v="4"/>
  </r>
  <r>
    <s v="Student 228"/>
    <n v="12"/>
    <x v="6"/>
  </r>
  <r>
    <s v="Student 229"/>
    <n v="97"/>
    <x v="3"/>
  </r>
  <r>
    <s v="Student 230"/>
    <n v="12"/>
    <x v="1"/>
  </r>
  <r>
    <s v="Student 231"/>
    <n v="5"/>
    <x v="7"/>
  </r>
  <r>
    <s v="Student 232"/>
    <n v="92"/>
    <x v="2"/>
  </r>
  <r>
    <s v="Student 233"/>
    <n v="14"/>
    <x v="7"/>
  </r>
  <r>
    <s v="Student 234"/>
    <n v="24"/>
    <x v="6"/>
  </r>
  <r>
    <s v="Student 235"/>
    <n v="80"/>
    <x v="7"/>
  </r>
  <r>
    <s v="Student 236"/>
    <n v="11"/>
    <x v="2"/>
  </r>
  <r>
    <s v="Student 237"/>
    <n v="9"/>
    <x v="4"/>
  </r>
  <r>
    <s v="Student 238"/>
    <n v="77"/>
    <x v="3"/>
  </r>
  <r>
    <s v="Student 239"/>
    <n v="79"/>
    <x v="6"/>
  </r>
  <r>
    <s v="Student 240"/>
    <n v="3"/>
    <x v="2"/>
  </r>
  <r>
    <s v="Student 241"/>
    <n v="70"/>
    <x v="0"/>
  </r>
  <r>
    <s v="Student 242"/>
    <n v="13"/>
    <x v="0"/>
  </r>
  <r>
    <s v="Student 243"/>
    <n v="77"/>
    <x v="4"/>
  </r>
  <r>
    <s v="Student 244"/>
    <n v="93"/>
    <x v="0"/>
  </r>
  <r>
    <s v="Student 245"/>
    <n v="58"/>
    <x v="2"/>
  </r>
  <r>
    <s v="Student 246"/>
    <n v="48"/>
    <x v="6"/>
  </r>
  <r>
    <s v="Student 247"/>
    <n v="16"/>
    <x v="4"/>
  </r>
  <r>
    <s v="Student 248"/>
    <n v="24"/>
    <x v="4"/>
  </r>
  <r>
    <s v="Student 249"/>
    <n v="63"/>
    <x v="3"/>
  </r>
  <r>
    <s v="Student 250"/>
    <n v="6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Student 1"/>
    <n v="62"/>
    <s v="A"/>
    <n v="4"/>
    <x v="0"/>
  </r>
  <r>
    <s v="Student 2"/>
    <n v="92"/>
    <s v="B"/>
    <n v="6"/>
    <x v="1"/>
  </r>
  <r>
    <s v="Student 3"/>
    <n v="52"/>
    <s v="D"/>
    <n v="4"/>
    <x v="0"/>
  </r>
  <r>
    <s v="Student 4"/>
    <n v="60"/>
    <s v="C"/>
    <n v="4"/>
    <x v="0"/>
  </r>
  <r>
    <s v="Student 5"/>
    <n v="81"/>
    <s v="E"/>
    <n v="5"/>
    <x v="2"/>
  </r>
  <r>
    <s v="Student 6"/>
    <n v="66"/>
    <s v="F"/>
    <n v="4"/>
    <x v="0"/>
  </r>
  <r>
    <s v="Student 7"/>
    <n v="63"/>
    <s v="G"/>
    <n v="4"/>
    <x v="0"/>
  </r>
  <r>
    <s v="Student 8"/>
    <n v="100"/>
    <s v="C"/>
    <n v="6"/>
    <x v="1"/>
  </r>
  <r>
    <s v="Student 9"/>
    <n v="46"/>
    <s v="D"/>
    <n v="3"/>
    <x v="3"/>
  </r>
  <r>
    <s v="Student 10"/>
    <n v="87"/>
    <s v="A"/>
    <n v="5"/>
    <x v="2"/>
  </r>
  <r>
    <s v="Student 11"/>
    <n v="93"/>
    <s v="E"/>
    <n v="6"/>
    <x v="1"/>
  </r>
  <r>
    <s v="Student 12"/>
    <n v="84"/>
    <s v="B"/>
    <n v="5"/>
    <x v="2"/>
  </r>
  <r>
    <s v="Student 13"/>
    <n v="44"/>
    <s v="C"/>
    <n v="3"/>
    <x v="3"/>
  </r>
  <r>
    <s v="Student 14"/>
    <n v="71"/>
    <s v="D"/>
    <n v="4"/>
    <x v="0"/>
  </r>
  <r>
    <s v="Student 15"/>
    <n v="100"/>
    <s v="C"/>
    <n v="6"/>
    <x v="1"/>
  </r>
  <r>
    <s v="Student 16"/>
    <n v="40"/>
    <s v="D"/>
    <n v="2"/>
    <x v="4"/>
  </r>
  <r>
    <s v="Student 17"/>
    <n v="35"/>
    <s v="D"/>
    <n v="2"/>
    <x v="4"/>
  </r>
  <r>
    <s v="Student 18"/>
    <n v="73"/>
    <s v="D"/>
    <n v="4"/>
    <x v="0"/>
  </r>
  <r>
    <s v="Student 19"/>
    <n v="99"/>
    <s v="C"/>
    <n v="6"/>
    <x v="1"/>
  </r>
  <r>
    <s v="Student 20"/>
    <n v="88"/>
    <s v="F"/>
    <n v="5"/>
    <x v="2"/>
  </r>
  <r>
    <s v="Student 21"/>
    <n v="90"/>
    <s v="G"/>
    <n v="6"/>
    <x v="1"/>
  </r>
  <r>
    <s v="Student 22"/>
    <n v="90"/>
    <s v="B"/>
    <n v="6"/>
    <x v="1"/>
  </r>
  <r>
    <s v="Student 23"/>
    <n v="44"/>
    <s v="E"/>
    <n v="3"/>
    <x v="3"/>
  </r>
  <r>
    <s v="Student 24"/>
    <n v="74"/>
    <s v="G"/>
    <n v="4"/>
    <x v="0"/>
  </r>
  <r>
    <s v="Student 25"/>
    <n v="46"/>
    <s v="H"/>
    <n v="3"/>
    <x v="3"/>
  </r>
  <r>
    <s v="Student 26"/>
    <n v="74"/>
    <s v="G"/>
    <n v="4"/>
    <x v="0"/>
  </r>
  <r>
    <s v="Student 27"/>
    <n v="92"/>
    <s v="C"/>
    <n v="6"/>
    <x v="1"/>
  </r>
  <r>
    <s v="Student 28"/>
    <n v="31"/>
    <s v="B"/>
    <n v="2"/>
    <x v="4"/>
  </r>
  <r>
    <s v="Student 29"/>
    <n v="51"/>
    <s v="F"/>
    <n v="4"/>
    <x v="0"/>
  </r>
  <r>
    <s v="Student 30"/>
    <n v="59"/>
    <s v="D"/>
    <n v="4"/>
    <x v="0"/>
  </r>
  <r>
    <s v="Student 31"/>
    <n v="85"/>
    <s v="F"/>
    <n v="5"/>
    <x v="2"/>
  </r>
  <r>
    <s v="Student 32"/>
    <n v="63"/>
    <s v="D"/>
    <n v="4"/>
    <x v="0"/>
  </r>
  <r>
    <s v="Student 33"/>
    <n v="60"/>
    <s v="C"/>
    <n v="4"/>
    <x v="0"/>
  </r>
  <r>
    <s v="Student 34"/>
    <n v="83"/>
    <s v="B"/>
    <n v="5"/>
    <x v="2"/>
  </r>
  <r>
    <s v="Student 35"/>
    <n v="72"/>
    <s v="F"/>
    <n v="4"/>
    <x v="0"/>
  </r>
  <r>
    <s v="Student 36"/>
    <n v="94"/>
    <s v="H"/>
    <n v="6"/>
    <x v="1"/>
  </r>
  <r>
    <s v="Student 37"/>
    <n v="92"/>
    <s v="E"/>
    <n v="6"/>
    <x v="1"/>
  </r>
  <r>
    <s v="Student 38"/>
    <n v="92"/>
    <s v="G"/>
    <n v="6"/>
    <x v="1"/>
  </r>
  <r>
    <s v="Student 39"/>
    <n v="59"/>
    <s v="E"/>
    <n v="4"/>
    <x v="0"/>
  </r>
  <r>
    <s v="Student 40"/>
    <n v="51"/>
    <s v="G"/>
    <n v="4"/>
    <x v="0"/>
  </r>
  <r>
    <s v="Student 41"/>
    <n v="45"/>
    <s v="C"/>
    <n v="3"/>
    <x v="3"/>
  </r>
  <r>
    <s v="Student 42"/>
    <n v="89"/>
    <s v="A"/>
    <n v="5"/>
    <x v="2"/>
  </r>
  <r>
    <s v="Student 43"/>
    <n v="51"/>
    <s v="H"/>
    <n v="4"/>
    <x v="0"/>
  </r>
  <r>
    <s v="Student 44"/>
    <n v="84"/>
    <s v="F"/>
    <n v="5"/>
    <x v="2"/>
  </r>
  <r>
    <s v="Student 45"/>
    <n v="32"/>
    <s v="B"/>
    <n v="2"/>
    <x v="4"/>
  </r>
  <r>
    <s v="Student 46"/>
    <n v="73"/>
    <s v="H"/>
    <n v="4"/>
    <x v="0"/>
  </r>
  <r>
    <s v="Student 47"/>
    <n v="44"/>
    <s v="F"/>
    <n v="3"/>
    <x v="3"/>
  </r>
  <r>
    <s v="Student 48"/>
    <n v="81"/>
    <s v="H"/>
    <n v="5"/>
    <x v="2"/>
  </r>
  <r>
    <s v="Student 49"/>
    <n v="76"/>
    <s v="E"/>
    <n v="4"/>
    <x v="0"/>
  </r>
  <r>
    <s v="Student 50"/>
    <n v="89"/>
    <s v="G"/>
    <n v="5"/>
    <x v="2"/>
  </r>
  <r>
    <s v="Student 51"/>
    <n v="83"/>
    <s v="F"/>
    <n v="5"/>
    <x v="2"/>
  </r>
  <r>
    <s v="Student 52"/>
    <n v="24"/>
    <s v="A"/>
    <n v="2"/>
    <x v="4"/>
  </r>
  <r>
    <s v="Student 53"/>
    <n v="99"/>
    <s v="G"/>
    <n v="6"/>
    <x v="1"/>
  </r>
  <r>
    <s v="Student 54"/>
    <n v="98"/>
    <s v="B"/>
    <n v="6"/>
    <x v="1"/>
  </r>
  <r>
    <s v="Student 55"/>
    <n v="92"/>
    <s v="D"/>
    <n v="6"/>
    <x v="1"/>
  </r>
  <r>
    <s v="Student 56"/>
    <n v="41"/>
    <s v="D"/>
    <n v="3"/>
    <x v="3"/>
  </r>
  <r>
    <s v="Student 57"/>
    <n v="77"/>
    <s v="A"/>
    <n v="4"/>
    <x v="0"/>
  </r>
  <r>
    <s v="Student 58"/>
    <n v="84"/>
    <s v="B"/>
    <n v="5"/>
    <x v="2"/>
  </r>
  <r>
    <s v="Student 59"/>
    <n v="98"/>
    <s v="B"/>
    <n v="6"/>
    <x v="1"/>
  </r>
  <r>
    <s v="Student 60"/>
    <n v="67"/>
    <s v="B"/>
    <n v="4"/>
    <x v="0"/>
  </r>
  <r>
    <s v="Student 61"/>
    <n v="78"/>
    <s v="B"/>
    <n v="4"/>
    <x v="0"/>
  </r>
  <r>
    <s v="Student 62"/>
    <n v="59"/>
    <s v="C"/>
    <n v="4"/>
    <x v="0"/>
  </r>
  <r>
    <s v="Student 63"/>
    <n v="95"/>
    <s v="G"/>
    <n v="6"/>
    <x v="1"/>
  </r>
  <r>
    <s v="Student 64"/>
    <n v="34"/>
    <s v="F"/>
    <n v="2"/>
    <x v="4"/>
  </r>
  <r>
    <s v="Student 65"/>
    <n v="54"/>
    <s v="E"/>
    <n v="4"/>
    <x v="0"/>
  </r>
  <r>
    <s v="Student 66"/>
    <n v="64"/>
    <s v="C"/>
    <n v="4"/>
    <x v="0"/>
  </r>
  <r>
    <s v="Student 67"/>
    <n v="44"/>
    <s v="A"/>
    <n v="3"/>
    <x v="3"/>
  </r>
  <r>
    <s v="Student 68"/>
    <n v="45"/>
    <s v="A"/>
    <n v="3"/>
    <x v="3"/>
  </r>
  <r>
    <s v="Student 69"/>
    <n v="22"/>
    <s v="D"/>
    <n v="2"/>
    <x v="4"/>
  </r>
  <r>
    <s v="Student 70"/>
    <n v="61"/>
    <s v="F"/>
    <n v="4"/>
    <x v="0"/>
  </r>
  <r>
    <s v="Student 71"/>
    <n v="23"/>
    <s v="F"/>
    <n v="2"/>
    <x v="4"/>
  </r>
  <r>
    <s v="Student 72"/>
    <n v="26"/>
    <s v="A"/>
    <n v="2"/>
    <x v="4"/>
  </r>
  <r>
    <s v="Student 73"/>
    <n v="65"/>
    <s v="H"/>
    <n v="4"/>
    <x v="0"/>
  </r>
  <r>
    <s v="Student 74"/>
    <n v="64"/>
    <s v="G"/>
    <n v="4"/>
    <x v="0"/>
  </r>
  <r>
    <s v="Student 75"/>
    <n v="80"/>
    <s v="E"/>
    <n v="5"/>
    <x v="2"/>
  </r>
  <r>
    <s v="Student 76"/>
    <n v="49"/>
    <s v="H"/>
    <n v="3"/>
    <x v="3"/>
  </r>
  <r>
    <s v="Student 77"/>
    <n v="24"/>
    <s v="H"/>
    <n v="2"/>
    <x v="4"/>
  </r>
  <r>
    <s v="Student 78"/>
    <n v="78"/>
    <s v="A"/>
    <n v="4"/>
    <x v="0"/>
  </r>
  <r>
    <s v="Student 79"/>
    <n v="26"/>
    <s v="G"/>
    <n v="2"/>
    <x v="4"/>
  </r>
  <r>
    <s v="Student 80"/>
    <n v="87"/>
    <s v="A"/>
    <n v="5"/>
    <x v="2"/>
  </r>
  <r>
    <s v="Student 81"/>
    <n v="34"/>
    <s v="C"/>
    <n v="2"/>
    <x v="4"/>
  </r>
  <r>
    <s v="Student 82"/>
    <n v="72"/>
    <s v="F"/>
    <n v="4"/>
    <x v="0"/>
  </r>
  <r>
    <s v="Student 83"/>
    <n v="61"/>
    <s v="C"/>
    <n v="4"/>
    <x v="0"/>
  </r>
  <r>
    <s v="Student 84"/>
    <n v="89"/>
    <s v="C"/>
    <n v="5"/>
    <x v="2"/>
  </r>
  <r>
    <s v="Student 85"/>
    <n v="23"/>
    <s v="C"/>
    <n v="2"/>
    <x v="4"/>
  </r>
  <r>
    <s v="Student 86"/>
    <n v="9"/>
    <s v="B"/>
    <n v="2"/>
    <x v="4"/>
  </r>
  <r>
    <s v="Student 87"/>
    <n v="5"/>
    <s v="B"/>
    <n v="2"/>
    <x v="4"/>
  </r>
  <r>
    <s v="Student 88"/>
    <n v="91"/>
    <s v="F"/>
    <n v="6"/>
    <x v="1"/>
  </r>
  <r>
    <s v="Student 89"/>
    <n v="76"/>
    <s v="E"/>
    <n v="4"/>
    <x v="0"/>
  </r>
  <r>
    <s v="Student 90"/>
    <n v="57"/>
    <s v="A"/>
    <n v="4"/>
    <x v="0"/>
  </r>
  <r>
    <s v="Student 91"/>
    <n v="44"/>
    <s v="F"/>
    <n v="3"/>
    <x v="3"/>
  </r>
  <r>
    <s v="Student 92"/>
    <n v="77"/>
    <s v="D"/>
    <n v="4"/>
    <x v="0"/>
  </r>
  <r>
    <s v="Student 93"/>
    <n v="29"/>
    <s v="E"/>
    <n v="2"/>
    <x v="4"/>
  </r>
  <r>
    <s v="Student 94"/>
    <n v="10"/>
    <s v="E"/>
    <n v="2"/>
    <x v="4"/>
  </r>
  <r>
    <s v="Student 95"/>
    <n v="85"/>
    <s v="A"/>
    <n v="5"/>
    <x v="2"/>
  </r>
  <r>
    <s v="Student 96"/>
    <n v="14"/>
    <s v="F"/>
    <n v="2"/>
    <x v="4"/>
  </r>
  <r>
    <s v="Student 97"/>
    <n v="87"/>
    <s v="B"/>
    <n v="5"/>
    <x v="2"/>
  </r>
  <r>
    <s v="Student 98"/>
    <n v="86"/>
    <s v="A"/>
    <n v="5"/>
    <x v="2"/>
  </r>
  <r>
    <s v="Student 99"/>
    <n v="77"/>
    <s v="C"/>
    <n v="4"/>
    <x v="0"/>
  </r>
  <r>
    <s v="Student 100"/>
    <n v="31"/>
    <s v="A"/>
    <n v="2"/>
    <x v="4"/>
  </r>
  <r>
    <s v="Student 101"/>
    <n v="28"/>
    <s v="A"/>
    <n v="2"/>
    <x v="4"/>
  </r>
  <r>
    <s v="Student 102"/>
    <n v="42"/>
    <s v="A"/>
    <n v="3"/>
    <x v="3"/>
  </r>
  <r>
    <s v="Student 103"/>
    <n v="22"/>
    <s v="A"/>
    <n v="2"/>
    <x v="4"/>
  </r>
  <r>
    <s v="Student 104"/>
    <n v="93"/>
    <s v="A"/>
    <n v="6"/>
    <x v="1"/>
  </r>
  <r>
    <s v="Student 105"/>
    <n v="24"/>
    <s v="B"/>
    <n v="2"/>
    <x v="4"/>
  </r>
  <r>
    <s v="Student 106"/>
    <n v="94"/>
    <s v="A"/>
    <n v="6"/>
    <x v="1"/>
  </r>
  <r>
    <s v="Student 107"/>
    <n v="38"/>
    <s v="A"/>
    <n v="2"/>
    <x v="4"/>
  </r>
  <r>
    <s v="Student 108"/>
    <n v="43"/>
    <s v="A"/>
    <n v="3"/>
    <x v="3"/>
  </r>
  <r>
    <s v="Student 109"/>
    <n v="25"/>
    <s v="F"/>
    <n v="2"/>
    <x v="4"/>
  </r>
  <r>
    <s v="Student 110"/>
    <n v="60"/>
    <s v="H"/>
    <n v="4"/>
    <x v="0"/>
  </r>
  <r>
    <s v="Student 111"/>
    <n v="75"/>
    <s v="G"/>
    <n v="4"/>
    <x v="0"/>
  </r>
  <r>
    <s v="Student 112"/>
    <n v="3"/>
    <s v="A"/>
    <n v="2"/>
    <x v="4"/>
  </r>
  <r>
    <s v="Student 113"/>
    <n v="74"/>
    <s v="B"/>
    <n v="4"/>
    <x v="0"/>
  </r>
  <r>
    <s v="Student 114"/>
    <n v="40"/>
    <s v="E"/>
    <n v="2"/>
    <x v="4"/>
  </r>
  <r>
    <s v="Student 115"/>
    <n v="2"/>
    <s v="A"/>
    <n v="2"/>
    <x v="4"/>
  </r>
  <r>
    <s v="Student 116"/>
    <n v="58"/>
    <s v="C"/>
    <n v="4"/>
    <x v="0"/>
  </r>
  <r>
    <s v="Student 117"/>
    <n v="6"/>
    <s v="A"/>
    <n v="2"/>
    <x v="4"/>
  </r>
  <r>
    <s v="Student 118"/>
    <n v="32"/>
    <s v="B"/>
    <n v="2"/>
    <x v="4"/>
  </r>
  <r>
    <s v="Student 119"/>
    <n v="70"/>
    <s v="E"/>
    <n v="4"/>
    <x v="0"/>
  </r>
  <r>
    <s v="Student 120"/>
    <n v="14"/>
    <s v="C"/>
    <n v="2"/>
    <x v="4"/>
  </r>
  <r>
    <s v="Student 121"/>
    <n v="23"/>
    <s v="F"/>
    <n v="2"/>
    <x v="4"/>
  </r>
  <r>
    <s v="Student 122"/>
    <n v="100"/>
    <s v="A"/>
    <n v="6"/>
    <x v="1"/>
  </r>
  <r>
    <s v="Student 123"/>
    <n v="80"/>
    <s v="H"/>
    <n v="5"/>
    <x v="2"/>
  </r>
  <r>
    <s v="Student 124"/>
    <n v="22"/>
    <s v="G"/>
    <n v="2"/>
    <x v="4"/>
  </r>
  <r>
    <s v="Student 125"/>
    <n v="92"/>
    <s v="D"/>
    <n v="6"/>
    <x v="1"/>
  </r>
  <r>
    <s v="Student 126"/>
    <n v="69"/>
    <s v="D"/>
    <n v="4"/>
    <x v="0"/>
  </r>
  <r>
    <s v="Student 127"/>
    <n v="76"/>
    <s v="B"/>
    <n v="4"/>
    <x v="0"/>
  </r>
  <r>
    <s v="Student 128"/>
    <n v="57"/>
    <s v="H"/>
    <n v="4"/>
    <x v="0"/>
  </r>
  <r>
    <s v="Student 129"/>
    <n v="48"/>
    <s v="F"/>
    <n v="3"/>
    <x v="3"/>
  </r>
  <r>
    <s v="Student 130"/>
    <n v="22"/>
    <s v="F"/>
    <n v="2"/>
    <x v="4"/>
  </r>
  <r>
    <s v="Student 131"/>
    <n v="72"/>
    <s v="B"/>
    <n v="4"/>
    <x v="0"/>
  </r>
  <r>
    <s v="Student 132"/>
    <n v="25"/>
    <s v="E"/>
    <n v="2"/>
    <x v="4"/>
  </r>
  <r>
    <s v="Student 133"/>
    <n v="65"/>
    <s v="F"/>
    <n v="4"/>
    <x v="0"/>
  </r>
  <r>
    <s v="Student 134"/>
    <n v="14"/>
    <s v="E"/>
    <n v="2"/>
    <x v="4"/>
  </r>
  <r>
    <s v="Student 135"/>
    <n v="16"/>
    <s v="D"/>
    <n v="2"/>
    <x v="4"/>
  </r>
  <r>
    <s v="Student 136"/>
    <n v="77"/>
    <s v="D"/>
    <n v="4"/>
    <x v="0"/>
  </r>
  <r>
    <s v="Student 137"/>
    <n v="49"/>
    <s v="F"/>
    <n v="3"/>
    <x v="3"/>
  </r>
  <r>
    <s v="Student 138"/>
    <n v="39"/>
    <s v="E"/>
    <n v="2"/>
    <x v="4"/>
  </r>
  <r>
    <s v="Student 139"/>
    <n v="29"/>
    <s v="C"/>
    <n v="2"/>
    <x v="4"/>
  </r>
  <r>
    <s v="Student 140"/>
    <n v="38"/>
    <s v="C"/>
    <n v="2"/>
    <x v="4"/>
  </r>
  <r>
    <s v="Student 141"/>
    <n v="61"/>
    <s v="C"/>
    <n v="4"/>
    <x v="0"/>
  </r>
  <r>
    <s v="Student 142"/>
    <n v="72"/>
    <s v="F"/>
    <n v="4"/>
    <x v="0"/>
  </r>
  <r>
    <s v="Student 143"/>
    <n v="8"/>
    <s v="G"/>
    <n v="2"/>
    <x v="4"/>
  </r>
  <r>
    <s v="Student 144"/>
    <n v="88"/>
    <s v="B"/>
    <n v="5"/>
    <x v="2"/>
  </r>
  <r>
    <s v="Student 145"/>
    <n v="6"/>
    <s v="G"/>
    <n v="2"/>
    <x v="4"/>
  </r>
  <r>
    <s v="Student 146"/>
    <n v="5"/>
    <s v="G"/>
    <n v="2"/>
    <x v="4"/>
  </r>
  <r>
    <s v="Student 147"/>
    <n v="24"/>
    <s v="G"/>
    <n v="2"/>
    <x v="4"/>
  </r>
  <r>
    <s v="Student 148"/>
    <n v="84"/>
    <s v="G"/>
    <n v="5"/>
    <x v="2"/>
  </r>
  <r>
    <s v="Student 149"/>
    <n v="25"/>
    <s v="F"/>
    <n v="2"/>
    <x v="4"/>
  </r>
  <r>
    <s v="Student 150"/>
    <n v="26"/>
    <s v="F"/>
    <n v="2"/>
    <x v="4"/>
  </r>
  <r>
    <s v="Student 151"/>
    <n v="7"/>
    <s v="D"/>
    <n v="2"/>
    <x v="4"/>
  </r>
  <r>
    <s v="Student 152"/>
    <n v="34"/>
    <s v="D"/>
    <n v="2"/>
    <x v="4"/>
  </r>
  <r>
    <s v="Student 153"/>
    <n v="77"/>
    <s v="D"/>
    <n v="4"/>
    <x v="0"/>
  </r>
  <r>
    <s v="Student 154"/>
    <n v="46"/>
    <s v="B"/>
    <n v="3"/>
    <x v="3"/>
  </r>
  <r>
    <s v="Student 155"/>
    <n v="27"/>
    <s v="C"/>
    <n v="2"/>
    <x v="4"/>
  </r>
  <r>
    <s v="Student 156"/>
    <n v="49"/>
    <s v="C"/>
    <n v="3"/>
    <x v="3"/>
  </r>
  <r>
    <s v="Student 157"/>
    <n v="78"/>
    <s v="G"/>
    <n v="4"/>
    <x v="0"/>
  </r>
  <r>
    <s v="Student 158"/>
    <n v="57"/>
    <s v="B"/>
    <n v="4"/>
    <x v="0"/>
  </r>
  <r>
    <s v="Student 159"/>
    <n v="35"/>
    <s v="H"/>
    <n v="2"/>
    <x v="4"/>
  </r>
  <r>
    <s v="Student 160"/>
    <n v="26"/>
    <s v="B"/>
    <n v="2"/>
    <x v="4"/>
  </r>
  <r>
    <s v="Student 161"/>
    <n v="33"/>
    <s v="B"/>
    <n v="2"/>
    <x v="4"/>
  </r>
  <r>
    <s v="Student 162"/>
    <n v="2"/>
    <s v="H"/>
    <n v="2"/>
    <x v="4"/>
  </r>
  <r>
    <s v="Student 163"/>
    <n v="94"/>
    <s v="H"/>
    <n v="6"/>
    <x v="1"/>
  </r>
  <r>
    <s v="Student 164"/>
    <n v="77"/>
    <s v="G"/>
    <n v="4"/>
    <x v="0"/>
  </r>
  <r>
    <s v="Student 165"/>
    <n v="19"/>
    <s v="E"/>
    <n v="2"/>
    <x v="4"/>
  </r>
  <r>
    <s v="Student 166"/>
    <n v="13"/>
    <s v="D"/>
    <n v="2"/>
    <x v="4"/>
  </r>
  <r>
    <s v="Student 167"/>
    <n v="42"/>
    <s v="D"/>
    <n v="3"/>
    <x v="3"/>
  </r>
  <r>
    <s v="Student 168"/>
    <n v="77"/>
    <s v="G"/>
    <n v="4"/>
    <x v="0"/>
  </r>
  <r>
    <s v="Student 169"/>
    <n v="68"/>
    <s v="E"/>
    <n v="4"/>
    <x v="0"/>
  </r>
  <r>
    <s v="Student 170"/>
    <n v="30"/>
    <s v="E"/>
    <n v="2"/>
    <x v="4"/>
  </r>
  <r>
    <s v="Student 171"/>
    <n v="4"/>
    <s v="H"/>
    <n v="2"/>
    <x v="4"/>
  </r>
  <r>
    <s v="Student 172"/>
    <n v="17"/>
    <s v="F"/>
    <n v="2"/>
    <x v="4"/>
  </r>
  <r>
    <s v="Student 173"/>
    <n v="99"/>
    <s v="G"/>
    <n v="6"/>
    <x v="1"/>
  </r>
  <r>
    <s v="Student 174"/>
    <n v="67"/>
    <s v="C"/>
    <n v="4"/>
    <x v="0"/>
  </r>
  <r>
    <s v="Student 175"/>
    <n v="56"/>
    <s v="F"/>
    <n v="4"/>
    <x v="0"/>
  </r>
  <r>
    <s v="Student 176"/>
    <n v="55"/>
    <s v="E"/>
    <n v="4"/>
    <x v="0"/>
  </r>
  <r>
    <s v="Student 177"/>
    <n v="57"/>
    <s v="C"/>
    <n v="4"/>
    <x v="0"/>
  </r>
  <r>
    <s v="Student 178"/>
    <n v="70"/>
    <s v="D"/>
    <n v="4"/>
    <x v="0"/>
  </r>
  <r>
    <s v="Student 179"/>
    <n v="30"/>
    <s v="D"/>
    <n v="2"/>
    <x v="4"/>
  </r>
  <r>
    <s v="Student 180"/>
    <n v="49"/>
    <s v="D"/>
    <n v="3"/>
    <x v="3"/>
  </r>
  <r>
    <s v="Student 181"/>
    <n v="44"/>
    <s v="F"/>
    <n v="3"/>
    <x v="3"/>
  </r>
  <r>
    <s v="Student 182"/>
    <n v="19"/>
    <s v="F"/>
    <n v="2"/>
    <x v="4"/>
  </r>
  <r>
    <s v="Student 183"/>
    <n v="91"/>
    <s v="B"/>
    <n v="6"/>
    <x v="1"/>
  </r>
  <r>
    <s v="Student 184"/>
    <n v="13"/>
    <s v="B"/>
    <n v="2"/>
    <x v="4"/>
  </r>
  <r>
    <s v="Student 185"/>
    <n v="18"/>
    <s v="B"/>
    <n v="2"/>
    <x v="4"/>
  </r>
  <r>
    <s v="Student 186"/>
    <n v="6"/>
    <s v="C"/>
    <n v="2"/>
    <x v="4"/>
  </r>
  <r>
    <s v="Student 187"/>
    <n v="40"/>
    <s v="F"/>
    <n v="2"/>
    <x v="4"/>
  </r>
  <r>
    <s v="Student 188"/>
    <n v="36"/>
    <s v="E"/>
    <n v="2"/>
    <x v="4"/>
  </r>
  <r>
    <s v="Student 189"/>
    <n v="39"/>
    <s v="C"/>
    <n v="2"/>
    <x v="4"/>
  </r>
  <r>
    <s v="Student 190"/>
    <n v="1"/>
    <s v="G"/>
    <n v="2"/>
    <x v="4"/>
  </r>
  <r>
    <s v="Student 191"/>
    <n v="58"/>
    <s v="F"/>
    <n v="4"/>
    <x v="0"/>
  </r>
  <r>
    <s v="Student 192"/>
    <n v="85"/>
    <s v="F"/>
    <n v="5"/>
    <x v="2"/>
  </r>
  <r>
    <s v="Student 193"/>
    <n v="75"/>
    <s v="F"/>
    <n v="4"/>
    <x v="0"/>
  </r>
  <r>
    <s v="Student 194"/>
    <n v="45"/>
    <s v="C"/>
    <n v="3"/>
    <x v="3"/>
  </r>
  <r>
    <s v="Student 195"/>
    <n v="5"/>
    <s v="E"/>
    <n v="2"/>
    <x v="4"/>
  </r>
  <r>
    <s v="Student 196"/>
    <n v="48"/>
    <s v="E"/>
    <n v="3"/>
    <x v="3"/>
  </r>
  <r>
    <s v="Student 197"/>
    <n v="3"/>
    <s v="H"/>
    <n v="2"/>
    <x v="4"/>
  </r>
  <r>
    <s v="Student 198"/>
    <n v="44"/>
    <s v="G"/>
    <n v="3"/>
    <x v="3"/>
  </r>
  <r>
    <s v="Student 199"/>
    <n v="46"/>
    <s v="E"/>
    <n v="3"/>
    <x v="3"/>
  </r>
  <r>
    <s v="Student 200"/>
    <n v="13"/>
    <s v="D"/>
    <n v="2"/>
    <x v="4"/>
  </r>
  <r>
    <s v="Student 201"/>
    <n v="7"/>
    <s v="G"/>
    <n v="2"/>
    <x v="4"/>
  </r>
  <r>
    <s v="Student 202"/>
    <n v="29"/>
    <s v="E"/>
    <n v="2"/>
    <x v="4"/>
  </r>
  <r>
    <s v="Student 203"/>
    <n v="39"/>
    <s v="B"/>
    <n v="2"/>
    <x v="4"/>
  </r>
  <r>
    <s v="Student 204"/>
    <n v="11"/>
    <s v="H"/>
    <n v="2"/>
    <x v="4"/>
  </r>
  <r>
    <s v="Student 205"/>
    <n v="94"/>
    <s v="E"/>
    <n v="6"/>
    <x v="1"/>
  </r>
  <r>
    <s v="Student 206"/>
    <n v="13"/>
    <s v="H"/>
    <n v="2"/>
    <x v="4"/>
  </r>
  <r>
    <s v="Student 207"/>
    <n v="9"/>
    <s v="H"/>
    <n v="2"/>
    <x v="4"/>
  </r>
  <r>
    <s v="Student 208"/>
    <n v="73"/>
    <s v="E"/>
    <n v="4"/>
    <x v="0"/>
  </r>
  <r>
    <s v="Student 209"/>
    <n v="89"/>
    <s v="E"/>
    <n v="5"/>
    <x v="2"/>
  </r>
  <r>
    <s v="Student 210"/>
    <n v="94"/>
    <s v="D"/>
    <n v="6"/>
    <x v="1"/>
  </r>
  <r>
    <s v="Student 211"/>
    <n v="3"/>
    <s v="E"/>
    <n v="2"/>
    <x v="4"/>
  </r>
  <r>
    <s v="Student 212"/>
    <n v="97"/>
    <s v="H"/>
    <n v="6"/>
    <x v="1"/>
  </r>
  <r>
    <s v="Student 213"/>
    <n v="43"/>
    <s v="H"/>
    <n v="3"/>
    <x v="3"/>
  </r>
  <r>
    <s v="Student 214"/>
    <n v="86"/>
    <s v="H"/>
    <n v="5"/>
    <x v="2"/>
  </r>
  <r>
    <s v="Student 215"/>
    <n v="80"/>
    <s v="E"/>
    <n v="5"/>
    <x v="2"/>
  </r>
  <r>
    <s v="Student 216"/>
    <n v="36"/>
    <s v="D"/>
    <n v="2"/>
    <x v="4"/>
  </r>
  <r>
    <s v="Student 217"/>
    <n v="94"/>
    <s v="G"/>
    <n v="6"/>
    <x v="1"/>
  </r>
  <r>
    <s v="Student 218"/>
    <n v="12"/>
    <s v="B"/>
    <n v="2"/>
    <x v="4"/>
  </r>
  <r>
    <s v="Student 219"/>
    <n v="99"/>
    <s v="C"/>
    <n v="6"/>
    <x v="1"/>
  </r>
  <r>
    <s v="Student 220"/>
    <n v="33"/>
    <s v="G"/>
    <n v="2"/>
    <x v="4"/>
  </r>
  <r>
    <s v="Student 221"/>
    <n v="53"/>
    <s v="H"/>
    <n v="4"/>
    <x v="0"/>
  </r>
  <r>
    <s v="Student 222"/>
    <n v="39"/>
    <s v="E"/>
    <n v="2"/>
    <x v="4"/>
  </r>
  <r>
    <s v="Student 223"/>
    <n v="62"/>
    <s v="H"/>
    <n v="4"/>
    <x v="0"/>
  </r>
  <r>
    <s v="Student 224"/>
    <n v="99"/>
    <s v="D"/>
    <n v="6"/>
    <x v="1"/>
  </r>
  <r>
    <s v="Student 225"/>
    <n v="31"/>
    <s v="E"/>
    <n v="2"/>
    <x v="4"/>
  </r>
  <r>
    <s v="Student 226"/>
    <n v="49"/>
    <s v="H"/>
    <n v="3"/>
    <x v="3"/>
  </r>
  <r>
    <s v="Student 227"/>
    <n v="43"/>
    <s v="E"/>
    <n v="3"/>
    <x v="3"/>
  </r>
  <r>
    <s v="Student 228"/>
    <n v="12"/>
    <s v="G"/>
    <n v="2"/>
    <x v="4"/>
  </r>
  <r>
    <s v="Student 229"/>
    <n v="97"/>
    <s v="C"/>
    <n v="6"/>
    <x v="1"/>
  </r>
  <r>
    <s v="Student 230"/>
    <n v="12"/>
    <s v="B"/>
    <n v="2"/>
    <x v="4"/>
  </r>
  <r>
    <s v="Student 231"/>
    <n v="5"/>
    <s v="H"/>
    <n v="2"/>
    <x v="4"/>
  </r>
  <r>
    <s v="Student 232"/>
    <n v="92"/>
    <s v="D"/>
    <n v="6"/>
    <x v="1"/>
  </r>
  <r>
    <s v="Student 233"/>
    <n v="14"/>
    <s v="H"/>
    <n v="2"/>
    <x v="4"/>
  </r>
  <r>
    <s v="Student 234"/>
    <n v="24"/>
    <s v="G"/>
    <n v="2"/>
    <x v="4"/>
  </r>
  <r>
    <s v="Student 235"/>
    <n v="80"/>
    <s v="H"/>
    <n v="5"/>
    <x v="2"/>
  </r>
  <r>
    <s v="Student 236"/>
    <n v="11"/>
    <s v="D"/>
    <n v="2"/>
    <x v="4"/>
  </r>
  <r>
    <s v="Student 237"/>
    <n v="9"/>
    <s v="E"/>
    <n v="2"/>
    <x v="4"/>
  </r>
  <r>
    <s v="Student 238"/>
    <n v="77"/>
    <s v="C"/>
    <n v="4"/>
    <x v="0"/>
  </r>
  <r>
    <s v="Student 239"/>
    <n v="79"/>
    <s v="G"/>
    <n v="4"/>
    <x v="0"/>
  </r>
  <r>
    <s v="Student 240"/>
    <n v="3"/>
    <s v="D"/>
    <n v="2"/>
    <x v="4"/>
  </r>
  <r>
    <s v="Student 241"/>
    <n v="70"/>
    <s v="A"/>
    <n v="4"/>
    <x v="0"/>
  </r>
  <r>
    <s v="Student 242"/>
    <n v="13"/>
    <s v="A"/>
    <n v="2"/>
    <x v="4"/>
  </r>
  <r>
    <s v="Student 243"/>
    <n v="77"/>
    <s v="E"/>
    <n v="4"/>
    <x v="0"/>
  </r>
  <r>
    <s v="Student 244"/>
    <n v="93"/>
    <s v="A"/>
    <n v="6"/>
    <x v="1"/>
  </r>
  <r>
    <s v="Student 245"/>
    <n v="58"/>
    <s v="D"/>
    <n v="4"/>
    <x v="0"/>
  </r>
  <r>
    <s v="Student 246"/>
    <n v="48"/>
    <s v="G"/>
    <n v="3"/>
    <x v="3"/>
  </r>
  <r>
    <s v="Student 247"/>
    <n v="16"/>
    <s v="E"/>
    <n v="2"/>
    <x v="4"/>
  </r>
  <r>
    <s v="Student 248"/>
    <n v="24"/>
    <s v="E"/>
    <n v="2"/>
    <x v="4"/>
  </r>
  <r>
    <s v="Student 249"/>
    <n v="63"/>
    <s v="C"/>
    <n v="4"/>
    <x v="0"/>
  </r>
  <r>
    <s v="Student 250"/>
    <n v="66"/>
    <s v="D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393DF-CEA7-4F1E-81F6-F0B01AE15A38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Grupa">
  <location ref="K2:L11" firstHeaderRow="1" firstDataRow="1" firstDataCol="1"/>
  <pivotFields count="3">
    <pivotField dataField="1" showAll="0"/>
    <pivotField showAll="0"/>
    <pivotField axis="axisRow" showAll="0">
      <items count="9">
        <item x="0"/>
        <item x="1"/>
        <item x="3"/>
        <item x="2"/>
        <item x="4"/>
        <item x="5"/>
        <item x="6"/>
        <item x="7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Liczba studentów w grupie" fld="0" subtotal="count" baseField="0" baseItem="0"/>
  </dataFields>
  <formats count="4">
    <format dxfId="29">
      <pivotArea collapsedLevelsAreSubtotals="1" fieldPosition="0">
        <references count="1">
          <reference field="2" count="0"/>
        </references>
      </pivotArea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4BEA9-1EC9-43DF-BA8A-39F6C661D7E0}" name="Tabela przestawna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ocena">
  <location ref="G11:H17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ba studentów" fld="0" subtotal="count" baseField="0" baseItem="0"/>
  </dataFields>
  <formats count="4">
    <format dxfId="21">
      <pivotArea collapsedLevelsAreSubtotals="1" fieldPosition="0">
        <references count="1">
          <reference field="4" count="0"/>
        </references>
      </pivotArea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EE9AC6-6C79-4833-A612-1BFD062DE45A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Wynik" tableColumnId="2"/>
      <queryTableField id="3" name="Id_grupy 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DE2C1D0-0012-4375-8447-F219022F4481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Wynik" tableColumnId="2"/>
      <queryTableField id="3" name="Id_grupy 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4133121-C817-4C57-91E2-B2641C20D037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Student" tableColumnId="1"/>
      <queryTableField id="2" name="Wynik" tableColumnId="2"/>
      <queryTableField id="3" name="Id_grupy " tableColumnId="3"/>
      <queryTableField id="4" dataBound="0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835314-A55C-4941-B15B-C0D59C6FD8A6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Wynik" tableColumnId="2"/>
      <queryTableField id="3" name="Id_grupy 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C406E-57B6-44DB-A81F-8A07AECF990F}" name="oceny3" displayName="oceny3" ref="A1:C251" tableType="queryTable" totalsRowShown="0">
  <autoFilter ref="A1:C251" xr:uid="{2F1EC2AB-BEEA-4988-9376-C4F10707B2E1}"/>
  <tableColumns count="3">
    <tableColumn id="1" xr3:uid="{9B88191D-7A70-4EF3-801E-A6C22AC5FD50}" uniqueName="1" name="Student" queryTableFieldId="1" dataDxfId="25"/>
    <tableColumn id="2" xr3:uid="{31EE4DF6-5052-4FC4-8B78-2D0D415E116D}" uniqueName="2" name="Wynik" queryTableFieldId="2"/>
    <tableColumn id="3" xr3:uid="{1F2A5BB8-4F61-4947-A6DC-E3AF0D515D0C}" uniqueName="3" name="Id_grupy " queryTableFieldId="3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5CCF5-2A6F-4560-A025-0C98F63EA1B0}" name="oceny4" displayName="oceny4" ref="A1:C251" tableType="queryTable" totalsRowShown="0">
  <autoFilter ref="A1:C251" xr:uid="{2F1EC2AB-BEEA-4988-9376-C4F10707B2E1}"/>
  <tableColumns count="3">
    <tableColumn id="1" xr3:uid="{DA5500B6-D791-46BF-A98F-C96551F8A1F6}" uniqueName="1" name="Student" queryTableFieldId="1" dataDxfId="23"/>
    <tableColumn id="2" xr3:uid="{8BA5D97C-8240-4E8D-A553-FFE499AB74C0}" uniqueName="2" name="Wynik" queryTableFieldId="2"/>
    <tableColumn id="3" xr3:uid="{A9F1E20D-13A8-46D4-87D3-64C7A2ED9D26}" uniqueName="3" name="Id_grupy " queryTableFieldId="3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E23B04-FE12-424C-817C-B5A5296D7EDC}" name="oceny5" displayName="oceny5" ref="A1:E251" tableType="queryTable" totalsRowShown="0">
  <autoFilter ref="A1:E251" xr:uid="{2F1EC2AB-BEEA-4988-9376-C4F10707B2E1}"/>
  <tableColumns count="5">
    <tableColumn id="1" xr3:uid="{FF3C78E3-B611-4EDB-9760-6FB1F07E043A}" uniqueName="1" name="Student" queryTableFieldId="1" dataDxfId="17"/>
    <tableColumn id="2" xr3:uid="{C5008062-CC8E-45DF-B7D4-66CF3EDF594A}" uniqueName="2" name="Wynik" queryTableFieldId="2"/>
    <tableColumn id="3" xr3:uid="{4C11D3E0-E31E-4C3C-916D-B88D97EFC259}" uniqueName="3" name="Id_grupy " queryTableFieldId="3" dataDxfId="16"/>
    <tableColumn id="4" xr3:uid="{8F06A589-F867-494D-AABE-98DA2AE4D7E8}" uniqueName="4" name="ocena" queryTableFieldId="4" dataDxfId="8">
      <calculatedColumnFormula array="1">_xlfn.IFS(oceny5[[#This Row],[Wynik]]&gt;=$G$3,$I$3,oceny5[[#This Row],[Wynik]]&gt;=$G$4,$I$4,oceny5[[#This Row],[Wynik]]&gt;=$G$5,$I$5,oceny5[[#This Row],[Wynik]]&gt;=$G$6,$I$6,oceny5[[#This Row],[Wynik]]&gt;=$G$7,$I$7)</calculatedColumnFormula>
    </tableColumn>
    <tableColumn id="5" xr3:uid="{856CBB45-50F3-4A31-B6F6-0F63C3612D5A}" uniqueName="5" name="nazwa_oceny" queryTableFieldId="5" dataDxfId="15">
      <calculatedColumnFormula>VLOOKUP(oceny5[[#This Row],[ocena]],$I$3:$J$7,2,FALSE)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EC2AB-BEEA-4988-9376-C4F10707B2E1}" name="oceny" displayName="oceny" ref="A1:C251" tableType="queryTable" totalsRowShown="0">
  <autoFilter ref="A1:C251" xr:uid="{2F1EC2AB-BEEA-4988-9376-C4F10707B2E1}"/>
  <tableColumns count="3">
    <tableColumn id="1" xr3:uid="{E92676BF-69AE-4ED3-B99E-AB41F4C72346}" uniqueName="1" name="Student" queryTableFieldId="1" dataDxfId="14"/>
    <tableColumn id="2" xr3:uid="{B0B59523-7D1D-41DC-AB4C-99C094BE2677}" uniqueName="2" name="Wynik" queryTableFieldId="2"/>
    <tableColumn id="3" xr3:uid="{BF6FE50A-A73D-4184-9C30-8FBCAD912CDD}" uniqueName="3" name="Id_grupy " queryTableFieldId="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D00B-10AC-4427-B196-18B55516D76C}">
  <dimension ref="A1:L251"/>
  <sheetViews>
    <sheetView topLeftCell="A2" workbookViewId="0">
      <selection activeCell="K2" sqref="K2:L10"/>
    </sheetView>
  </sheetViews>
  <sheetFormatPr defaultRowHeight="14.4" x14ac:dyDescent="0.3"/>
  <cols>
    <col min="1" max="1" width="11.44140625" bestFit="1" customWidth="1"/>
    <col min="2" max="2" width="9" bestFit="1" customWidth="1"/>
    <col min="3" max="3" width="11.44140625" bestFit="1" customWidth="1"/>
    <col min="6" max="6" width="4.44140625" bestFit="1" customWidth="1"/>
    <col min="7" max="7" width="4.6640625" bestFit="1" customWidth="1"/>
    <col min="8" max="8" width="2" bestFit="1" customWidth="1"/>
    <col min="9" max="9" width="14.5546875" bestFit="1" customWidth="1"/>
    <col min="11" max="11" width="14.33203125" bestFit="1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F1" s="5" t="s">
        <v>261</v>
      </c>
      <c r="G1" s="5"/>
      <c r="H1" s="5" t="s">
        <v>264</v>
      </c>
      <c r="I1" s="5"/>
    </row>
    <row r="2" spans="1:12" x14ac:dyDescent="0.3">
      <c r="A2" t="s">
        <v>3</v>
      </c>
      <c r="B2">
        <v>62</v>
      </c>
      <c r="C2" t="s">
        <v>4</v>
      </c>
      <c r="F2" t="s">
        <v>262</v>
      </c>
      <c r="G2" t="s">
        <v>263</v>
      </c>
      <c r="H2" s="5"/>
      <c r="I2" s="5"/>
      <c r="K2" s="3" t="s">
        <v>271</v>
      </c>
      <c r="L2" s="3" t="s">
        <v>272</v>
      </c>
    </row>
    <row r="3" spans="1:12" x14ac:dyDescent="0.3">
      <c r="A3" t="s">
        <v>5</v>
      </c>
      <c r="B3">
        <v>92</v>
      </c>
      <c r="C3" t="s">
        <v>6</v>
      </c>
      <c r="F3">
        <v>90</v>
      </c>
      <c r="G3">
        <v>100</v>
      </c>
      <c r="H3">
        <v>6</v>
      </c>
      <c r="I3" t="s">
        <v>265</v>
      </c>
      <c r="K3" s="4" t="s">
        <v>4</v>
      </c>
      <c r="L3" s="3">
        <v>28</v>
      </c>
    </row>
    <row r="4" spans="1:12" x14ac:dyDescent="0.3">
      <c r="A4" t="s">
        <v>7</v>
      </c>
      <c r="B4">
        <v>52</v>
      </c>
      <c r="C4" t="s">
        <v>8</v>
      </c>
      <c r="F4">
        <v>80</v>
      </c>
      <c r="G4">
        <v>89</v>
      </c>
      <c r="H4">
        <v>5</v>
      </c>
      <c r="I4" t="s">
        <v>266</v>
      </c>
      <c r="K4" s="4" t="s">
        <v>6</v>
      </c>
      <c r="L4" s="3">
        <v>30</v>
      </c>
    </row>
    <row r="5" spans="1:12" x14ac:dyDescent="0.3">
      <c r="A5" t="s">
        <v>9</v>
      </c>
      <c r="B5">
        <v>60</v>
      </c>
      <c r="C5" t="s">
        <v>10</v>
      </c>
      <c r="F5">
        <v>51</v>
      </c>
      <c r="G5">
        <v>79</v>
      </c>
      <c r="H5">
        <v>4</v>
      </c>
      <c r="I5" t="s">
        <v>267</v>
      </c>
      <c r="K5" s="4" t="s">
        <v>10</v>
      </c>
      <c r="L5" s="3">
        <v>31</v>
      </c>
    </row>
    <row r="6" spans="1:12" x14ac:dyDescent="0.3">
      <c r="A6" t="s">
        <v>11</v>
      </c>
      <c r="B6">
        <v>81</v>
      </c>
      <c r="C6" t="s">
        <v>12</v>
      </c>
      <c r="F6">
        <v>41</v>
      </c>
      <c r="G6">
        <v>50</v>
      </c>
      <c r="H6">
        <v>3</v>
      </c>
      <c r="I6" t="s">
        <v>268</v>
      </c>
      <c r="K6" s="4" t="s">
        <v>8</v>
      </c>
      <c r="L6" s="3">
        <v>33</v>
      </c>
    </row>
    <row r="7" spans="1:12" x14ac:dyDescent="0.3">
      <c r="A7" t="s">
        <v>13</v>
      </c>
      <c r="B7">
        <v>66</v>
      </c>
      <c r="C7" t="s">
        <v>14</v>
      </c>
      <c r="F7">
        <v>0</v>
      </c>
      <c r="G7">
        <v>40</v>
      </c>
      <c r="H7">
        <v>2</v>
      </c>
      <c r="I7" t="s">
        <v>269</v>
      </c>
      <c r="K7" s="4" t="s">
        <v>12</v>
      </c>
      <c r="L7" s="3">
        <v>37</v>
      </c>
    </row>
    <row r="8" spans="1:12" x14ac:dyDescent="0.3">
      <c r="A8" t="s">
        <v>15</v>
      </c>
      <c r="B8">
        <v>63</v>
      </c>
      <c r="C8" t="s">
        <v>16</v>
      </c>
      <c r="K8" s="4" t="s">
        <v>14</v>
      </c>
      <c r="L8" s="3">
        <v>32</v>
      </c>
    </row>
    <row r="9" spans="1:12" x14ac:dyDescent="0.3">
      <c r="A9" t="s">
        <v>17</v>
      </c>
      <c r="B9">
        <v>100</v>
      </c>
      <c r="C9" t="s">
        <v>10</v>
      </c>
      <c r="K9" s="4" t="s">
        <v>16</v>
      </c>
      <c r="L9" s="3">
        <v>31</v>
      </c>
    </row>
    <row r="10" spans="1:12" x14ac:dyDescent="0.3">
      <c r="A10" t="s">
        <v>18</v>
      </c>
      <c r="B10">
        <v>46</v>
      </c>
      <c r="C10" t="s">
        <v>8</v>
      </c>
      <c r="K10" s="4" t="s">
        <v>35</v>
      </c>
      <c r="L10" s="3">
        <v>28</v>
      </c>
    </row>
    <row r="11" spans="1:12" x14ac:dyDescent="0.3">
      <c r="A11" t="s">
        <v>19</v>
      </c>
      <c r="B11">
        <v>87</v>
      </c>
      <c r="C11" t="s">
        <v>4</v>
      </c>
      <c r="K11" s="2" t="s">
        <v>270</v>
      </c>
      <c r="L11">
        <v>250</v>
      </c>
    </row>
    <row r="12" spans="1:12" x14ac:dyDescent="0.3">
      <c r="A12" t="s">
        <v>20</v>
      </c>
      <c r="B12">
        <v>93</v>
      </c>
      <c r="C12" t="s">
        <v>12</v>
      </c>
    </row>
    <row r="13" spans="1:12" x14ac:dyDescent="0.3">
      <c r="A13" t="s">
        <v>21</v>
      </c>
      <c r="B13">
        <v>84</v>
      </c>
      <c r="C13" t="s">
        <v>6</v>
      </c>
    </row>
    <row r="14" spans="1:12" x14ac:dyDescent="0.3">
      <c r="A14" t="s">
        <v>22</v>
      </c>
      <c r="B14">
        <v>44</v>
      </c>
      <c r="C14" t="s">
        <v>10</v>
      </c>
    </row>
    <row r="15" spans="1:12" x14ac:dyDescent="0.3">
      <c r="A15" t="s">
        <v>23</v>
      </c>
      <c r="B15">
        <v>71</v>
      </c>
      <c r="C15" t="s">
        <v>8</v>
      </c>
    </row>
    <row r="16" spans="1:12" x14ac:dyDescent="0.3">
      <c r="A16" t="s">
        <v>24</v>
      </c>
      <c r="B16">
        <v>100</v>
      </c>
      <c r="C16" t="s">
        <v>10</v>
      </c>
    </row>
    <row r="17" spans="1:3" x14ac:dyDescent="0.3">
      <c r="A17" t="s">
        <v>25</v>
      </c>
      <c r="B17">
        <v>40</v>
      </c>
      <c r="C17" t="s">
        <v>8</v>
      </c>
    </row>
    <row r="18" spans="1:3" x14ac:dyDescent="0.3">
      <c r="A18" t="s">
        <v>26</v>
      </c>
      <c r="B18">
        <v>35</v>
      </c>
      <c r="C18" t="s">
        <v>8</v>
      </c>
    </row>
    <row r="19" spans="1:3" x14ac:dyDescent="0.3">
      <c r="A19" t="s">
        <v>27</v>
      </c>
      <c r="B19">
        <v>73</v>
      </c>
      <c r="C19" t="s">
        <v>8</v>
      </c>
    </row>
    <row r="20" spans="1:3" x14ac:dyDescent="0.3">
      <c r="A20" t="s">
        <v>28</v>
      </c>
      <c r="B20">
        <v>99</v>
      </c>
      <c r="C20" t="s">
        <v>10</v>
      </c>
    </row>
    <row r="21" spans="1:3" x14ac:dyDescent="0.3">
      <c r="A21" t="s">
        <v>29</v>
      </c>
      <c r="B21">
        <v>88</v>
      </c>
      <c r="C21" t="s">
        <v>14</v>
      </c>
    </row>
    <row r="22" spans="1:3" x14ac:dyDescent="0.3">
      <c r="A22" t="s">
        <v>30</v>
      </c>
      <c r="B22">
        <v>90</v>
      </c>
      <c r="C22" t="s">
        <v>16</v>
      </c>
    </row>
    <row r="23" spans="1:3" x14ac:dyDescent="0.3">
      <c r="A23" t="s">
        <v>31</v>
      </c>
      <c r="B23">
        <v>90</v>
      </c>
      <c r="C23" t="s">
        <v>6</v>
      </c>
    </row>
    <row r="24" spans="1:3" x14ac:dyDescent="0.3">
      <c r="A24" t="s">
        <v>32</v>
      </c>
      <c r="B24">
        <v>44</v>
      </c>
      <c r="C24" t="s">
        <v>12</v>
      </c>
    </row>
    <row r="25" spans="1:3" x14ac:dyDescent="0.3">
      <c r="A25" t="s">
        <v>33</v>
      </c>
      <c r="B25">
        <v>74</v>
      </c>
      <c r="C25" t="s">
        <v>16</v>
      </c>
    </row>
    <row r="26" spans="1:3" x14ac:dyDescent="0.3">
      <c r="A26" t="s">
        <v>34</v>
      </c>
      <c r="B26">
        <v>46</v>
      </c>
      <c r="C26" t="s">
        <v>35</v>
      </c>
    </row>
    <row r="27" spans="1:3" x14ac:dyDescent="0.3">
      <c r="A27" t="s">
        <v>36</v>
      </c>
      <c r="B27">
        <v>74</v>
      </c>
      <c r="C27" t="s">
        <v>16</v>
      </c>
    </row>
    <row r="28" spans="1:3" x14ac:dyDescent="0.3">
      <c r="A28" t="s">
        <v>37</v>
      </c>
      <c r="B28">
        <v>92</v>
      </c>
      <c r="C28" t="s">
        <v>10</v>
      </c>
    </row>
    <row r="29" spans="1:3" x14ac:dyDescent="0.3">
      <c r="A29" t="s">
        <v>38</v>
      </c>
      <c r="B29">
        <v>31</v>
      </c>
      <c r="C29" t="s">
        <v>6</v>
      </c>
    </row>
    <row r="30" spans="1:3" x14ac:dyDescent="0.3">
      <c r="A30" t="s">
        <v>39</v>
      </c>
      <c r="B30">
        <v>51</v>
      </c>
      <c r="C30" t="s">
        <v>14</v>
      </c>
    </row>
    <row r="31" spans="1:3" x14ac:dyDescent="0.3">
      <c r="A31" t="s">
        <v>40</v>
      </c>
      <c r="B31">
        <v>59</v>
      </c>
      <c r="C31" t="s">
        <v>8</v>
      </c>
    </row>
    <row r="32" spans="1:3" x14ac:dyDescent="0.3">
      <c r="A32" t="s">
        <v>41</v>
      </c>
      <c r="B32">
        <v>85</v>
      </c>
      <c r="C32" t="s">
        <v>14</v>
      </c>
    </row>
    <row r="33" spans="1:3" x14ac:dyDescent="0.3">
      <c r="A33" t="s">
        <v>42</v>
      </c>
      <c r="B33">
        <v>63</v>
      </c>
      <c r="C33" t="s">
        <v>8</v>
      </c>
    </row>
    <row r="34" spans="1:3" x14ac:dyDescent="0.3">
      <c r="A34" t="s">
        <v>43</v>
      </c>
      <c r="B34">
        <v>60</v>
      </c>
      <c r="C34" t="s">
        <v>10</v>
      </c>
    </row>
    <row r="35" spans="1:3" x14ac:dyDescent="0.3">
      <c r="A35" t="s">
        <v>44</v>
      </c>
      <c r="B35">
        <v>83</v>
      </c>
      <c r="C35" t="s">
        <v>6</v>
      </c>
    </row>
    <row r="36" spans="1:3" x14ac:dyDescent="0.3">
      <c r="A36" t="s">
        <v>45</v>
      </c>
      <c r="B36">
        <v>72</v>
      </c>
      <c r="C36" t="s">
        <v>14</v>
      </c>
    </row>
    <row r="37" spans="1:3" x14ac:dyDescent="0.3">
      <c r="A37" t="s">
        <v>46</v>
      </c>
      <c r="B37">
        <v>94</v>
      </c>
      <c r="C37" t="s">
        <v>35</v>
      </c>
    </row>
    <row r="38" spans="1:3" x14ac:dyDescent="0.3">
      <c r="A38" t="s">
        <v>47</v>
      </c>
      <c r="B38">
        <v>92</v>
      </c>
      <c r="C38" t="s">
        <v>12</v>
      </c>
    </row>
    <row r="39" spans="1:3" x14ac:dyDescent="0.3">
      <c r="A39" t="s">
        <v>48</v>
      </c>
      <c r="B39">
        <v>92</v>
      </c>
      <c r="C39" t="s">
        <v>16</v>
      </c>
    </row>
    <row r="40" spans="1:3" x14ac:dyDescent="0.3">
      <c r="A40" t="s">
        <v>49</v>
      </c>
      <c r="B40">
        <v>59</v>
      </c>
      <c r="C40" t="s">
        <v>12</v>
      </c>
    </row>
    <row r="41" spans="1:3" x14ac:dyDescent="0.3">
      <c r="A41" t="s">
        <v>50</v>
      </c>
      <c r="B41">
        <v>51</v>
      </c>
      <c r="C41" t="s">
        <v>16</v>
      </c>
    </row>
    <row r="42" spans="1:3" x14ac:dyDescent="0.3">
      <c r="A42" t="s">
        <v>51</v>
      </c>
      <c r="B42">
        <v>45</v>
      </c>
      <c r="C42" t="s">
        <v>10</v>
      </c>
    </row>
    <row r="43" spans="1:3" x14ac:dyDescent="0.3">
      <c r="A43" t="s">
        <v>52</v>
      </c>
      <c r="B43">
        <v>89</v>
      </c>
      <c r="C43" t="s">
        <v>4</v>
      </c>
    </row>
    <row r="44" spans="1:3" x14ac:dyDescent="0.3">
      <c r="A44" t="s">
        <v>53</v>
      </c>
      <c r="B44">
        <v>51</v>
      </c>
      <c r="C44" t="s">
        <v>35</v>
      </c>
    </row>
    <row r="45" spans="1:3" x14ac:dyDescent="0.3">
      <c r="A45" t="s">
        <v>54</v>
      </c>
      <c r="B45">
        <v>84</v>
      </c>
      <c r="C45" t="s">
        <v>14</v>
      </c>
    </row>
    <row r="46" spans="1:3" x14ac:dyDescent="0.3">
      <c r="A46" t="s">
        <v>55</v>
      </c>
      <c r="B46">
        <v>32</v>
      </c>
      <c r="C46" t="s">
        <v>6</v>
      </c>
    </row>
    <row r="47" spans="1:3" x14ac:dyDescent="0.3">
      <c r="A47" t="s">
        <v>56</v>
      </c>
      <c r="B47">
        <v>73</v>
      </c>
      <c r="C47" t="s">
        <v>35</v>
      </c>
    </row>
    <row r="48" spans="1:3" x14ac:dyDescent="0.3">
      <c r="A48" t="s">
        <v>57</v>
      </c>
      <c r="B48">
        <v>44</v>
      </c>
      <c r="C48" t="s">
        <v>14</v>
      </c>
    </row>
    <row r="49" spans="1:3" x14ac:dyDescent="0.3">
      <c r="A49" t="s">
        <v>58</v>
      </c>
      <c r="B49">
        <v>81</v>
      </c>
      <c r="C49" t="s">
        <v>35</v>
      </c>
    </row>
    <row r="50" spans="1:3" x14ac:dyDescent="0.3">
      <c r="A50" t="s">
        <v>59</v>
      </c>
      <c r="B50">
        <v>76</v>
      </c>
      <c r="C50" t="s">
        <v>12</v>
      </c>
    </row>
    <row r="51" spans="1:3" x14ac:dyDescent="0.3">
      <c r="A51" t="s">
        <v>60</v>
      </c>
      <c r="B51">
        <v>89</v>
      </c>
      <c r="C51" t="s">
        <v>16</v>
      </c>
    </row>
    <row r="52" spans="1:3" x14ac:dyDescent="0.3">
      <c r="A52" t="s">
        <v>61</v>
      </c>
      <c r="B52">
        <v>83</v>
      </c>
      <c r="C52" t="s">
        <v>14</v>
      </c>
    </row>
    <row r="53" spans="1:3" x14ac:dyDescent="0.3">
      <c r="A53" t="s">
        <v>62</v>
      </c>
      <c r="B53">
        <v>24</v>
      </c>
      <c r="C53" t="s">
        <v>4</v>
      </c>
    </row>
    <row r="54" spans="1:3" x14ac:dyDescent="0.3">
      <c r="A54" t="s">
        <v>63</v>
      </c>
      <c r="B54">
        <v>99</v>
      </c>
      <c r="C54" t="s">
        <v>16</v>
      </c>
    </row>
    <row r="55" spans="1:3" x14ac:dyDescent="0.3">
      <c r="A55" t="s">
        <v>64</v>
      </c>
      <c r="B55">
        <v>98</v>
      </c>
      <c r="C55" t="s">
        <v>6</v>
      </c>
    </row>
    <row r="56" spans="1:3" x14ac:dyDescent="0.3">
      <c r="A56" t="s">
        <v>65</v>
      </c>
      <c r="B56">
        <v>92</v>
      </c>
      <c r="C56" t="s">
        <v>8</v>
      </c>
    </row>
    <row r="57" spans="1:3" x14ac:dyDescent="0.3">
      <c r="A57" t="s">
        <v>66</v>
      </c>
      <c r="B57">
        <v>41</v>
      </c>
      <c r="C57" t="s">
        <v>8</v>
      </c>
    </row>
    <row r="58" spans="1:3" x14ac:dyDescent="0.3">
      <c r="A58" t="s">
        <v>67</v>
      </c>
      <c r="B58">
        <v>77</v>
      </c>
      <c r="C58" t="s">
        <v>4</v>
      </c>
    </row>
    <row r="59" spans="1:3" x14ac:dyDescent="0.3">
      <c r="A59" t="s">
        <v>68</v>
      </c>
      <c r="B59">
        <v>84</v>
      </c>
      <c r="C59" t="s">
        <v>6</v>
      </c>
    </row>
    <row r="60" spans="1:3" x14ac:dyDescent="0.3">
      <c r="A60" t="s">
        <v>69</v>
      </c>
      <c r="B60">
        <v>98</v>
      </c>
      <c r="C60" t="s">
        <v>6</v>
      </c>
    </row>
    <row r="61" spans="1:3" x14ac:dyDescent="0.3">
      <c r="A61" t="s">
        <v>70</v>
      </c>
      <c r="B61">
        <v>67</v>
      </c>
      <c r="C61" t="s">
        <v>6</v>
      </c>
    </row>
    <row r="62" spans="1:3" x14ac:dyDescent="0.3">
      <c r="A62" t="s">
        <v>71</v>
      </c>
      <c r="B62">
        <v>78</v>
      </c>
      <c r="C62" t="s">
        <v>6</v>
      </c>
    </row>
    <row r="63" spans="1:3" x14ac:dyDescent="0.3">
      <c r="A63" t="s">
        <v>72</v>
      </c>
      <c r="B63">
        <v>59</v>
      </c>
      <c r="C63" t="s">
        <v>10</v>
      </c>
    </row>
    <row r="64" spans="1:3" x14ac:dyDescent="0.3">
      <c r="A64" t="s">
        <v>73</v>
      </c>
      <c r="B64">
        <v>95</v>
      </c>
      <c r="C64" t="s">
        <v>16</v>
      </c>
    </row>
    <row r="65" spans="1:3" x14ac:dyDescent="0.3">
      <c r="A65" t="s">
        <v>74</v>
      </c>
      <c r="B65">
        <v>34</v>
      </c>
      <c r="C65" t="s">
        <v>14</v>
      </c>
    </row>
    <row r="66" spans="1:3" x14ac:dyDescent="0.3">
      <c r="A66" t="s">
        <v>75</v>
      </c>
      <c r="B66">
        <v>54</v>
      </c>
      <c r="C66" t="s">
        <v>12</v>
      </c>
    </row>
    <row r="67" spans="1:3" x14ac:dyDescent="0.3">
      <c r="A67" t="s">
        <v>76</v>
      </c>
      <c r="B67">
        <v>64</v>
      </c>
      <c r="C67" t="s">
        <v>10</v>
      </c>
    </row>
    <row r="68" spans="1:3" x14ac:dyDescent="0.3">
      <c r="A68" t="s">
        <v>77</v>
      </c>
      <c r="B68">
        <v>44</v>
      </c>
      <c r="C68" t="s">
        <v>4</v>
      </c>
    </row>
    <row r="69" spans="1:3" x14ac:dyDescent="0.3">
      <c r="A69" t="s">
        <v>78</v>
      </c>
      <c r="B69">
        <v>45</v>
      </c>
      <c r="C69" t="s">
        <v>4</v>
      </c>
    </row>
    <row r="70" spans="1:3" x14ac:dyDescent="0.3">
      <c r="A70" t="s">
        <v>79</v>
      </c>
      <c r="B70">
        <v>22</v>
      </c>
      <c r="C70" t="s">
        <v>8</v>
      </c>
    </row>
    <row r="71" spans="1:3" x14ac:dyDescent="0.3">
      <c r="A71" t="s">
        <v>80</v>
      </c>
      <c r="B71">
        <v>61</v>
      </c>
      <c r="C71" t="s">
        <v>14</v>
      </c>
    </row>
    <row r="72" spans="1:3" x14ac:dyDescent="0.3">
      <c r="A72" t="s">
        <v>81</v>
      </c>
      <c r="B72">
        <v>23</v>
      </c>
      <c r="C72" t="s">
        <v>14</v>
      </c>
    </row>
    <row r="73" spans="1:3" x14ac:dyDescent="0.3">
      <c r="A73" t="s">
        <v>82</v>
      </c>
      <c r="B73">
        <v>26</v>
      </c>
      <c r="C73" t="s">
        <v>4</v>
      </c>
    </row>
    <row r="74" spans="1:3" x14ac:dyDescent="0.3">
      <c r="A74" t="s">
        <v>83</v>
      </c>
      <c r="B74">
        <v>65</v>
      </c>
      <c r="C74" t="s">
        <v>35</v>
      </c>
    </row>
    <row r="75" spans="1:3" x14ac:dyDescent="0.3">
      <c r="A75" t="s">
        <v>84</v>
      </c>
      <c r="B75">
        <v>64</v>
      </c>
      <c r="C75" t="s">
        <v>16</v>
      </c>
    </row>
    <row r="76" spans="1:3" x14ac:dyDescent="0.3">
      <c r="A76" t="s">
        <v>85</v>
      </c>
      <c r="B76">
        <v>80</v>
      </c>
      <c r="C76" t="s">
        <v>12</v>
      </c>
    </row>
    <row r="77" spans="1:3" x14ac:dyDescent="0.3">
      <c r="A77" t="s">
        <v>86</v>
      </c>
      <c r="B77">
        <v>49</v>
      </c>
      <c r="C77" t="s">
        <v>35</v>
      </c>
    </row>
    <row r="78" spans="1:3" x14ac:dyDescent="0.3">
      <c r="A78" t="s">
        <v>87</v>
      </c>
      <c r="B78">
        <v>24</v>
      </c>
      <c r="C78" t="s">
        <v>35</v>
      </c>
    </row>
    <row r="79" spans="1:3" x14ac:dyDescent="0.3">
      <c r="A79" t="s">
        <v>88</v>
      </c>
      <c r="B79">
        <v>78</v>
      </c>
      <c r="C79" t="s">
        <v>4</v>
      </c>
    </row>
    <row r="80" spans="1:3" x14ac:dyDescent="0.3">
      <c r="A80" t="s">
        <v>89</v>
      </c>
      <c r="B80">
        <v>26</v>
      </c>
      <c r="C80" t="s">
        <v>16</v>
      </c>
    </row>
    <row r="81" spans="1:3" x14ac:dyDescent="0.3">
      <c r="A81" t="s">
        <v>90</v>
      </c>
      <c r="B81">
        <v>87</v>
      </c>
      <c r="C81" t="s">
        <v>4</v>
      </c>
    </row>
    <row r="82" spans="1:3" x14ac:dyDescent="0.3">
      <c r="A82" t="s">
        <v>91</v>
      </c>
      <c r="B82">
        <v>34</v>
      </c>
      <c r="C82" t="s">
        <v>10</v>
      </c>
    </row>
    <row r="83" spans="1:3" x14ac:dyDescent="0.3">
      <c r="A83" t="s">
        <v>92</v>
      </c>
      <c r="B83">
        <v>72</v>
      </c>
      <c r="C83" t="s">
        <v>14</v>
      </c>
    </row>
    <row r="84" spans="1:3" x14ac:dyDescent="0.3">
      <c r="A84" t="s">
        <v>93</v>
      </c>
      <c r="B84">
        <v>61</v>
      </c>
      <c r="C84" t="s">
        <v>10</v>
      </c>
    </row>
    <row r="85" spans="1:3" x14ac:dyDescent="0.3">
      <c r="A85" t="s">
        <v>94</v>
      </c>
      <c r="B85">
        <v>89</v>
      </c>
      <c r="C85" t="s">
        <v>10</v>
      </c>
    </row>
    <row r="86" spans="1:3" x14ac:dyDescent="0.3">
      <c r="A86" t="s">
        <v>95</v>
      </c>
      <c r="B86">
        <v>23</v>
      </c>
      <c r="C86" t="s">
        <v>10</v>
      </c>
    </row>
    <row r="87" spans="1:3" x14ac:dyDescent="0.3">
      <c r="A87" t="s">
        <v>96</v>
      </c>
      <c r="B87">
        <v>9</v>
      </c>
      <c r="C87" t="s">
        <v>6</v>
      </c>
    </row>
    <row r="88" spans="1:3" x14ac:dyDescent="0.3">
      <c r="A88" t="s">
        <v>97</v>
      </c>
      <c r="B88">
        <v>5</v>
      </c>
      <c r="C88" t="s">
        <v>6</v>
      </c>
    </row>
    <row r="89" spans="1:3" x14ac:dyDescent="0.3">
      <c r="A89" t="s">
        <v>98</v>
      </c>
      <c r="B89">
        <v>91</v>
      </c>
      <c r="C89" t="s">
        <v>14</v>
      </c>
    </row>
    <row r="90" spans="1:3" x14ac:dyDescent="0.3">
      <c r="A90" t="s">
        <v>99</v>
      </c>
      <c r="B90">
        <v>76</v>
      </c>
      <c r="C90" t="s">
        <v>12</v>
      </c>
    </row>
    <row r="91" spans="1:3" x14ac:dyDescent="0.3">
      <c r="A91" t="s">
        <v>100</v>
      </c>
      <c r="B91">
        <v>57</v>
      </c>
      <c r="C91" t="s">
        <v>4</v>
      </c>
    </row>
    <row r="92" spans="1:3" x14ac:dyDescent="0.3">
      <c r="A92" t="s">
        <v>101</v>
      </c>
      <c r="B92">
        <v>44</v>
      </c>
      <c r="C92" t="s">
        <v>14</v>
      </c>
    </row>
    <row r="93" spans="1:3" x14ac:dyDescent="0.3">
      <c r="A93" t="s">
        <v>102</v>
      </c>
      <c r="B93">
        <v>77</v>
      </c>
      <c r="C93" t="s">
        <v>8</v>
      </c>
    </row>
    <row r="94" spans="1:3" x14ac:dyDescent="0.3">
      <c r="A94" t="s">
        <v>103</v>
      </c>
      <c r="B94">
        <v>29</v>
      </c>
      <c r="C94" t="s">
        <v>12</v>
      </c>
    </row>
    <row r="95" spans="1:3" x14ac:dyDescent="0.3">
      <c r="A95" t="s">
        <v>104</v>
      </c>
      <c r="B95">
        <v>10</v>
      </c>
      <c r="C95" t="s">
        <v>12</v>
      </c>
    </row>
    <row r="96" spans="1:3" x14ac:dyDescent="0.3">
      <c r="A96" t="s">
        <v>105</v>
      </c>
      <c r="B96">
        <v>85</v>
      </c>
      <c r="C96" t="s">
        <v>4</v>
      </c>
    </row>
    <row r="97" spans="1:3" x14ac:dyDescent="0.3">
      <c r="A97" t="s">
        <v>106</v>
      </c>
      <c r="B97">
        <v>14</v>
      </c>
      <c r="C97" t="s">
        <v>14</v>
      </c>
    </row>
    <row r="98" spans="1:3" x14ac:dyDescent="0.3">
      <c r="A98" t="s">
        <v>107</v>
      </c>
      <c r="B98">
        <v>87</v>
      </c>
      <c r="C98" t="s">
        <v>6</v>
      </c>
    </row>
    <row r="99" spans="1:3" x14ac:dyDescent="0.3">
      <c r="A99" t="s">
        <v>108</v>
      </c>
      <c r="B99">
        <v>86</v>
      </c>
      <c r="C99" t="s">
        <v>4</v>
      </c>
    </row>
    <row r="100" spans="1:3" x14ac:dyDescent="0.3">
      <c r="A100" t="s">
        <v>109</v>
      </c>
      <c r="B100">
        <v>77</v>
      </c>
      <c r="C100" t="s">
        <v>10</v>
      </c>
    </row>
    <row r="101" spans="1:3" x14ac:dyDescent="0.3">
      <c r="A101" t="s">
        <v>110</v>
      </c>
      <c r="B101">
        <v>31</v>
      </c>
      <c r="C101" t="s">
        <v>4</v>
      </c>
    </row>
    <row r="102" spans="1:3" x14ac:dyDescent="0.3">
      <c r="A102" t="s">
        <v>111</v>
      </c>
      <c r="B102">
        <v>28</v>
      </c>
      <c r="C102" t="s">
        <v>4</v>
      </c>
    </row>
    <row r="103" spans="1:3" x14ac:dyDescent="0.3">
      <c r="A103" t="s">
        <v>112</v>
      </c>
      <c r="B103">
        <v>42</v>
      </c>
      <c r="C103" t="s">
        <v>4</v>
      </c>
    </row>
    <row r="104" spans="1:3" x14ac:dyDescent="0.3">
      <c r="A104" t="s">
        <v>113</v>
      </c>
      <c r="B104">
        <v>22</v>
      </c>
      <c r="C104" t="s">
        <v>4</v>
      </c>
    </row>
    <row r="105" spans="1:3" x14ac:dyDescent="0.3">
      <c r="A105" t="s">
        <v>114</v>
      </c>
      <c r="B105">
        <v>93</v>
      </c>
      <c r="C105" t="s">
        <v>4</v>
      </c>
    </row>
    <row r="106" spans="1:3" x14ac:dyDescent="0.3">
      <c r="A106" t="s">
        <v>115</v>
      </c>
      <c r="B106">
        <v>24</v>
      </c>
      <c r="C106" t="s">
        <v>6</v>
      </c>
    </row>
    <row r="107" spans="1:3" x14ac:dyDescent="0.3">
      <c r="A107" t="s">
        <v>116</v>
      </c>
      <c r="B107">
        <v>94</v>
      </c>
      <c r="C107" t="s">
        <v>4</v>
      </c>
    </row>
    <row r="108" spans="1:3" x14ac:dyDescent="0.3">
      <c r="A108" t="s">
        <v>117</v>
      </c>
      <c r="B108">
        <v>38</v>
      </c>
      <c r="C108" t="s">
        <v>4</v>
      </c>
    </row>
    <row r="109" spans="1:3" x14ac:dyDescent="0.3">
      <c r="A109" t="s">
        <v>118</v>
      </c>
      <c r="B109">
        <v>43</v>
      </c>
      <c r="C109" t="s">
        <v>4</v>
      </c>
    </row>
    <row r="110" spans="1:3" x14ac:dyDescent="0.3">
      <c r="A110" t="s">
        <v>119</v>
      </c>
      <c r="B110">
        <v>25</v>
      </c>
      <c r="C110" t="s">
        <v>14</v>
      </c>
    </row>
    <row r="111" spans="1:3" x14ac:dyDescent="0.3">
      <c r="A111" t="s">
        <v>120</v>
      </c>
      <c r="B111">
        <v>60</v>
      </c>
      <c r="C111" t="s">
        <v>35</v>
      </c>
    </row>
    <row r="112" spans="1:3" x14ac:dyDescent="0.3">
      <c r="A112" t="s">
        <v>121</v>
      </c>
      <c r="B112">
        <v>75</v>
      </c>
      <c r="C112" t="s">
        <v>16</v>
      </c>
    </row>
    <row r="113" spans="1:3" x14ac:dyDescent="0.3">
      <c r="A113" t="s">
        <v>122</v>
      </c>
      <c r="B113">
        <v>3</v>
      </c>
      <c r="C113" t="s">
        <v>4</v>
      </c>
    </row>
    <row r="114" spans="1:3" x14ac:dyDescent="0.3">
      <c r="A114" t="s">
        <v>123</v>
      </c>
      <c r="B114">
        <v>74</v>
      </c>
      <c r="C114" t="s">
        <v>6</v>
      </c>
    </row>
    <row r="115" spans="1:3" x14ac:dyDescent="0.3">
      <c r="A115" t="s">
        <v>124</v>
      </c>
      <c r="B115">
        <v>40</v>
      </c>
      <c r="C115" t="s">
        <v>12</v>
      </c>
    </row>
    <row r="116" spans="1:3" x14ac:dyDescent="0.3">
      <c r="A116" t="s">
        <v>125</v>
      </c>
      <c r="B116">
        <v>2</v>
      </c>
      <c r="C116" t="s">
        <v>4</v>
      </c>
    </row>
    <row r="117" spans="1:3" x14ac:dyDescent="0.3">
      <c r="A117" t="s">
        <v>126</v>
      </c>
      <c r="B117">
        <v>58</v>
      </c>
      <c r="C117" t="s">
        <v>10</v>
      </c>
    </row>
    <row r="118" spans="1:3" x14ac:dyDescent="0.3">
      <c r="A118" t="s">
        <v>127</v>
      </c>
      <c r="B118">
        <v>6</v>
      </c>
      <c r="C118" t="s">
        <v>4</v>
      </c>
    </row>
    <row r="119" spans="1:3" x14ac:dyDescent="0.3">
      <c r="A119" t="s">
        <v>128</v>
      </c>
      <c r="B119">
        <v>32</v>
      </c>
      <c r="C119" t="s">
        <v>6</v>
      </c>
    </row>
    <row r="120" spans="1:3" x14ac:dyDescent="0.3">
      <c r="A120" t="s">
        <v>129</v>
      </c>
      <c r="B120">
        <v>70</v>
      </c>
      <c r="C120" t="s">
        <v>12</v>
      </c>
    </row>
    <row r="121" spans="1:3" x14ac:dyDescent="0.3">
      <c r="A121" t="s">
        <v>130</v>
      </c>
      <c r="B121">
        <v>14</v>
      </c>
      <c r="C121" t="s">
        <v>10</v>
      </c>
    </row>
    <row r="122" spans="1:3" x14ac:dyDescent="0.3">
      <c r="A122" t="s">
        <v>131</v>
      </c>
      <c r="B122">
        <v>23</v>
      </c>
      <c r="C122" t="s">
        <v>14</v>
      </c>
    </row>
    <row r="123" spans="1:3" x14ac:dyDescent="0.3">
      <c r="A123" t="s">
        <v>132</v>
      </c>
      <c r="B123">
        <v>100</v>
      </c>
      <c r="C123" t="s">
        <v>4</v>
      </c>
    </row>
    <row r="124" spans="1:3" x14ac:dyDescent="0.3">
      <c r="A124" t="s">
        <v>133</v>
      </c>
      <c r="B124">
        <v>80</v>
      </c>
      <c r="C124" t="s">
        <v>35</v>
      </c>
    </row>
    <row r="125" spans="1:3" x14ac:dyDescent="0.3">
      <c r="A125" t="s">
        <v>134</v>
      </c>
      <c r="B125">
        <v>22</v>
      </c>
      <c r="C125" t="s">
        <v>16</v>
      </c>
    </row>
    <row r="126" spans="1:3" x14ac:dyDescent="0.3">
      <c r="A126" t="s">
        <v>135</v>
      </c>
      <c r="B126">
        <v>92</v>
      </c>
      <c r="C126" t="s">
        <v>8</v>
      </c>
    </row>
    <row r="127" spans="1:3" x14ac:dyDescent="0.3">
      <c r="A127" t="s">
        <v>136</v>
      </c>
      <c r="B127">
        <v>69</v>
      </c>
      <c r="C127" t="s">
        <v>8</v>
      </c>
    </row>
    <row r="128" spans="1:3" x14ac:dyDescent="0.3">
      <c r="A128" t="s">
        <v>137</v>
      </c>
      <c r="B128">
        <v>76</v>
      </c>
      <c r="C128" t="s">
        <v>6</v>
      </c>
    </row>
    <row r="129" spans="1:3" x14ac:dyDescent="0.3">
      <c r="A129" t="s">
        <v>138</v>
      </c>
      <c r="B129">
        <v>57</v>
      </c>
      <c r="C129" t="s">
        <v>35</v>
      </c>
    </row>
    <row r="130" spans="1:3" x14ac:dyDescent="0.3">
      <c r="A130" t="s">
        <v>139</v>
      </c>
      <c r="B130">
        <v>48</v>
      </c>
      <c r="C130" t="s">
        <v>14</v>
      </c>
    </row>
    <row r="131" spans="1:3" x14ac:dyDescent="0.3">
      <c r="A131" t="s">
        <v>140</v>
      </c>
      <c r="B131">
        <v>22</v>
      </c>
      <c r="C131" t="s">
        <v>14</v>
      </c>
    </row>
    <row r="132" spans="1:3" x14ac:dyDescent="0.3">
      <c r="A132" t="s">
        <v>141</v>
      </c>
      <c r="B132">
        <v>72</v>
      </c>
      <c r="C132" t="s">
        <v>6</v>
      </c>
    </row>
    <row r="133" spans="1:3" x14ac:dyDescent="0.3">
      <c r="A133" t="s">
        <v>142</v>
      </c>
      <c r="B133">
        <v>25</v>
      </c>
      <c r="C133" t="s">
        <v>12</v>
      </c>
    </row>
    <row r="134" spans="1:3" x14ac:dyDescent="0.3">
      <c r="A134" t="s">
        <v>143</v>
      </c>
      <c r="B134">
        <v>65</v>
      </c>
      <c r="C134" t="s">
        <v>14</v>
      </c>
    </row>
    <row r="135" spans="1:3" x14ac:dyDescent="0.3">
      <c r="A135" t="s">
        <v>144</v>
      </c>
      <c r="B135">
        <v>14</v>
      </c>
      <c r="C135" t="s">
        <v>12</v>
      </c>
    </row>
    <row r="136" spans="1:3" x14ac:dyDescent="0.3">
      <c r="A136" t="s">
        <v>145</v>
      </c>
      <c r="B136">
        <v>16</v>
      </c>
      <c r="C136" t="s">
        <v>8</v>
      </c>
    </row>
    <row r="137" spans="1:3" x14ac:dyDescent="0.3">
      <c r="A137" t="s">
        <v>146</v>
      </c>
      <c r="B137">
        <v>77</v>
      </c>
      <c r="C137" t="s">
        <v>8</v>
      </c>
    </row>
    <row r="138" spans="1:3" x14ac:dyDescent="0.3">
      <c r="A138" t="s">
        <v>147</v>
      </c>
      <c r="B138">
        <v>49</v>
      </c>
      <c r="C138" t="s">
        <v>14</v>
      </c>
    </row>
    <row r="139" spans="1:3" x14ac:dyDescent="0.3">
      <c r="A139" t="s">
        <v>148</v>
      </c>
      <c r="B139">
        <v>39</v>
      </c>
      <c r="C139" t="s">
        <v>12</v>
      </c>
    </row>
    <row r="140" spans="1:3" x14ac:dyDescent="0.3">
      <c r="A140" t="s">
        <v>149</v>
      </c>
      <c r="B140">
        <v>29</v>
      </c>
      <c r="C140" t="s">
        <v>10</v>
      </c>
    </row>
    <row r="141" spans="1:3" x14ac:dyDescent="0.3">
      <c r="A141" t="s">
        <v>150</v>
      </c>
      <c r="B141">
        <v>38</v>
      </c>
      <c r="C141" t="s">
        <v>10</v>
      </c>
    </row>
    <row r="142" spans="1:3" x14ac:dyDescent="0.3">
      <c r="A142" t="s">
        <v>151</v>
      </c>
      <c r="B142">
        <v>61</v>
      </c>
      <c r="C142" t="s">
        <v>10</v>
      </c>
    </row>
    <row r="143" spans="1:3" x14ac:dyDescent="0.3">
      <c r="A143" t="s">
        <v>152</v>
      </c>
      <c r="B143">
        <v>72</v>
      </c>
      <c r="C143" t="s">
        <v>14</v>
      </c>
    </row>
    <row r="144" spans="1:3" x14ac:dyDescent="0.3">
      <c r="A144" t="s">
        <v>153</v>
      </c>
      <c r="B144">
        <v>8</v>
      </c>
      <c r="C144" t="s">
        <v>16</v>
      </c>
    </row>
    <row r="145" spans="1:3" x14ac:dyDescent="0.3">
      <c r="A145" t="s">
        <v>154</v>
      </c>
      <c r="B145">
        <v>88</v>
      </c>
      <c r="C145" t="s">
        <v>6</v>
      </c>
    </row>
    <row r="146" spans="1:3" x14ac:dyDescent="0.3">
      <c r="A146" t="s">
        <v>155</v>
      </c>
      <c r="B146">
        <v>6</v>
      </c>
      <c r="C146" t="s">
        <v>16</v>
      </c>
    </row>
    <row r="147" spans="1:3" x14ac:dyDescent="0.3">
      <c r="A147" t="s">
        <v>156</v>
      </c>
      <c r="B147">
        <v>5</v>
      </c>
      <c r="C147" t="s">
        <v>16</v>
      </c>
    </row>
    <row r="148" spans="1:3" x14ac:dyDescent="0.3">
      <c r="A148" t="s">
        <v>157</v>
      </c>
      <c r="B148">
        <v>24</v>
      </c>
      <c r="C148" t="s">
        <v>16</v>
      </c>
    </row>
    <row r="149" spans="1:3" x14ac:dyDescent="0.3">
      <c r="A149" t="s">
        <v>158</v>
      </c>
      <c r="B149">
        <v>84</v>
      </c>
      <c r="C149" t="s">
        <v>16</v>
      </c>
    </row>
    <row r="150" spans="1:3" x14ac:dyDescent="0.3">
      <c r="A150" t="s">
        <v>159</v>
      </c>
      <c r="B150">
        <v>25</v>
      </c>
      <c r="C150" t="s">
        <v>14</v>
      </c>
    </row>
    <row r="151" spans="1:3" x14ac:dyDescent="0.3">
      <c r="A151" t="s">
        <v>160</v>
      </c>
      <c r="B151">
        <v>26</v>
      </c>
      <c r="C151" t="s">
        <v>14</v>
      </c>
    </row>
    <row r="152" spans="1:3" x14ac:dyDescent="0.3">
      <c r="A152" t="s">
        <v>161</v>
      </c>
      <c r="B152">
        <v>7</v>
      </c>
      <c r="C152" t="s">
        <v>8</v>
      </c>
    </row>
    <row r="153" spans="1:3" x14ac:dyDescent="0.3">
      <c r="A153" t="s">
        <v>162</v>
      </c>
      <c r="B153">
        <v>34</v>
      </c>
      <c r="C153" t="s">
        <v>8</v>
      </c>
    </row>
    <row r="154" spans="1:3" x14ac:dyDescent="0.3">
      <c r="A154" t="s">
        <v>163</v>
      </c>
      <c r="B154">
        <v>77</v>
      </c>
      <c r="C154" t="s">
        <v>8</v>
      </c>
    </row>
    <row r="155" spans="1:3" x14ac:dyDescent="0.3">
      <c r="A155" t="s">
        <v>164</v>
      </c>
      <c r="B155">
        <v>46</v>
      </c>
      <c r="C155" t="s">
        <v>6</v>
      </c>
    </row>
    <row r="156" spans="1:3" x14ac:dyDescent="0.3">
      <c r="A156" t="s">
        <v>165</v>
      </c>
      <c r="B156">
        <v>27</v>
      </c>
      <c r="C156" t="s">
        <v>10</v>
      </c>
    </row>
    <row r="157" spans="1:3" x14ac:dyDescent="0.3">
      <c r="A157" t="s">
        <v>166</v>
      </c>
      <c r="B157">
        <v>49</v>
      </c>
      <c r="C157" t="s">
        <v>10</v>
      </c>
    </row>
    <row r="158" spans="1:3" x14ac:dyDescent="0.3">
      <c r="A158" t="s">
        <v>167</v>
      </c>
      <c r="B158">
        <v>78</v>
      </c>
      <c r="C158" t="s">
        <v>16</v>
      </c>
    </row>
    <row r="159" spans="1:3" x14ac:dyDescent="0.3">
      <c r="A159" t="s">
        <v>168</v>
      </c>
      <c r="B159">
        <v>57</v>
      </c>
      <c r="C159" t="s">
        <v>6</v>
      </c>
    </row>
    <row r="160" spans="1:3" x14ac:dyDescent="0.3">
      <c r="A160" t="s">
        <v>169</v>
      </c>
      <c r="B160">
        <v>35</v>
      </c>
      <c r="C160" t="s">
        <v>35</v>
      </c>
    </row>
    <row r="161" spans="1:3" x14ac:dyDescent="0.3">
      <c r="A161" t="s">
        <v>170</v>
      </c>
      <c r="B161">
        <v>26</v>
      </c>
      <c r="C161" t="s">
        <v>6</v>
      </c>
    </row>
    <row r="162" spans="1:3" x14ac:dyDescent="0.3">
      <c r="A162" t="s">
        <v>171</v>
      </c>
      <c r="B162">
        <v>33</v>
      </c>
      <c r="C162" t="s">
        <v>6</v>
      </c>
    </row>
    <row r="163" spans="1:3" x14ac:dyDescent="0.3">
      <c r="A163" t="s">
        <v>172</v>
      </c>
      <c r="B163">
        <v>2</v>
      </c>
      <c r="C163" t="s">
        <v>35</v>
      </c>
    </row>
    <row r="164" spans="1:3" x14ac:dyDescent="0.3">
      <c r="A164" t="s">
        <v>173</v>
      </c>
      <c r="B164">
        <v>94</v>
      </c>
      <c r="C164" t="s">
        <v>35</v>
      </c>
    </row>
    <row r="165" spans="1:3" x14ac:dyDescent="0.3">
      <c r="A165" t="s">
        <v>174</v>
      </c>
      <c r="B165">
        <v>77</v>
      </c>
      <c r="C165" t="s">
        <v>16</v>
      </c>
    </row>
    <row r="166" spans="1:3" x14ac:dyDescent="0.3">
      <c r="A166" t="s">
        <v>175</v>
      </c>
      <c r="B166">
        <v>19</v>
      </c>
      <c r="C166" t="s">
        <v>12</v>
      </c>
    </row>
    <row r="167" spans="1:3" x14ac:dyDescent="0.3">
      <c r="A167" t="s">
        <v>176</v>
      </c>
      <c r="B167">
        <v>13</v>
      </c>
      <c r="C167" t="s">
        <v>8</v>
      </c>
    </row>
    <row r="168" spans="1:3" x14ac:dyDescent="0.3">
      <c r="A168" t="s">
        <v>177</v>
      </c>
      <c r="B168">
        <v>42</v>
      </c>
      <c r="C168" t="s">
        <v>8</v>
      </c>
    </row>
    <row r="169" spans="1:3" x14ac:dyDescent="0.3">
      <c r="A169" t="s">
        <v>178</v>
      </c>
      <c r="B169">
        <v>77</v>
      </c>
      <c r="C169" t="s">
        <v>16</v>
      </c>
    </row>
    <row r="170" spans="1:3" x14ac:dyDescent="0.3">
      <c r="A170" t="s">
        <v>179</v>
      </c>
      <c r="B170">
        <v>68</v>
      </c>
      <c r="C170" t="s">
        <v>12</v>
      </c>
    </row>
    <row r="171" spans="1:3" x14ac:dyDescent="0.3">
      <c r="A171" t="s">
        <v>180</v>
      </c>
      <c r="B171">
        <v>30</v>
      </c>
      <c r="C171" t="s">
        <v>12</v>
      </c>
    </row>
    <row r="172" spans="1:3" x14ac:dyDescent="0.3">
      <c r="A172" t="s">
        <v>181</v>
      </c>
      <c r="B172">
        <v>4</v>
      </c>
      <c r="C172" t="s">
        <v>35</v>
      </c>
    </row>
    <row r="173" spans="1:3" x14ac:dyDescent="0.3">
      <c r="A173" t="s">
        <v>182</v>
      </c>
      <c r="B173">
        <v>17</v>
      </c>
      <c r="C173" t="s">
        <v>14</v>
      </c>
    </row>
    <row r="174" spans="1:3" x14ac:dyDescent="0.3">
      <c r="A174" t="s">
        <v>183</v>
      </c>
      <c r="B174">
        <v>99</v>
      </c>
      <c r="C174" t="s">
        <v>16</v>
      </c>
    </row>
    <row r="175" spans="1:3" x14ac:dyDescent="0.3">
      <c r="A175" t="s">
        <v>184</v>
      </c>
      <c r="B175">
        <v>67</v>
      </c>
      <c r="C175" t="s">
        <v>10</v>
      </c>
    </row>
    <row r="176" spans="1:3" x14ac:dyDescent="0.3">
      <c r="A176" t="s">
        <v>185</v>
      </c>
      <c r="B176">
        <v>56</v>
      </c>
      <c r="C176" t="s">
        <v>14</v>
      </c>
    </row>
    <row r="177" spans="1:3" x14ac:dyDescent="0.3">
      <c r="A177" t="s">
        <v>186</v>
      </c>
      <c r="B177">
        <v>55</v>
      </c>
      <c r="C177" t="s">
        <v>12</v>
      </c>
    </row>
    <row r="178" spans="1:3" x14ac:dyDescent="0.3">
      <c r="A178" t="s">
        <v>187</v>
      </c>
      <c r="B178">
        <v>57</v>
      </c>
      <c r="C178" t="s">
        <v>10</v>
      </c>
    </row>
    <row r="179" spans="1:3" x14ac:dyDescent="0.3">
      <c r="A179" t="s">
        <v>188</v>
      </c>
      <c r="B179">
        <v>70</v>
      </c>
      <c r="C179" t="s">
        <v>8</v>
      </c>
    </row>
    <row r="180" spans="1:3" x14ac:dyDescent="0.3">
      <c r="A180" t="s">
        <v>189</v>
      </c>
      <c r="B180">
        <v>30</v>
      </c>
      <c r="C180" t="s">
        <v>8</v>
      </c>
    </row>
    <row r="181" spans="1:3" x14ac:dyDescent="0.3">
      <c r="A181" t="s">
        <v>190</v>
      </c>
      <c r="B181">
        <v>49</v>
      </c>
      <c r="C181" t="s">
        <v>8</v>
      </c>
    </row>
    <row r="182" spans="1:3" x14ac:dyDescent="0.3">
      <c r="A182" t="s">
        <v>191</v>
      </c>
      <c r="B182">
        <v>44</v>
      </c>
      <c r="C182" t="s">
        <v>14</v>
      </c>
    </row>
    <row r="183" spans="1:3" x14ac:dyDescent="0.3">
      <c r="A183" t="s">
        <v>192</v>
      </c>
      <c r="B183">
        <v>19</v>
      </c>
      <c r="C183" t="s">
        <v>14</v>
      </c>
    </row>
    <row r="184" spans="1:3" x14ac:dyDescent="0.3">
      <c r="A184" t="s">
        <v>193</v>
      </c>
      <c r="B184">
        <v>91</v>
      </c>
      <c r="C184" t="s">
        <v>6</v>
      </c>
    </row>
    <row r="185" spans="1:3" x14ac:dyDescent="0.3">
      <c r="A185" t="s">
        <v>194</v>
      </c>
      <c r="B185">
        <v>13</v>
      </c>
      <c r="C185" t="s">
        <v>6</v>
      </c>
    </row>
    <row r="186" spans="1:3" x14ac:dyDescent="0.3">
      <c r="A186" t="s">
        <v>195</v>
      </c>
      <c r="B186">
        <v>18</v>
      </c>
      <c r="C186" t="s">
        <v>6</v>
      </c>
    </row>
    <row r="187" spans="1:3" x14ac:dyDescent="0.3">
      <c r="A187" t="s">
        <v>196</v>
      </c>
      <c r="B187">
        <v>6</v>
      </c>
      <c r="C187" t="s">
        <v>10</v>
      </c>
    </row>
    <row r="188" spans="1:3" x14ac:dyDescent="0.3">
      <c r="A188" t="s">
        <v>197</v>
      </c>
      <c r="B188">
        <v>40</v>
      </c>
      <c r="C188" t="s">
        <v>14</v>
      </c>
    </row>
    <row r="189" spans="1:3" x14ac:dyDescent="0.3">
      <c r="A189" t="s">
        <v>198</v>
      </c>
      <c r="B189">
        <v>36</v>
      </c>
      <c r="C189" t="s">
        <v>12</v>
      </c>
    </row>
    <row r="190" spans="1:3" x14ac:dyDescent="0.3">
      <c r="A190" t="s">
        <v>199</v>
      </c>
      <c r="B190">
        <v>39</v>
      </c>
      <c r="C190" t="s">
        <v>10</v>
      </c>
    </row>
    <row r="191" spans="1:3" x14ac:dyDescent="0.3">
      <c r="A191" t="s">
        <v>200</v>
      </c>
      <c r="B191">
        <v>1</v>
      </c>
      <c r="C191" t="s">
        <v>16</v>
      </c>
    </row>
    <row r="192" spans="1:3" x14ac:dyDescent="0.3">
      <c r="A192" t="s">
        <v>201</v>
      </c>
      <c r="B192">
        <v>58</v>
      </c>
      <c r="C192" t="s">
        <v>14</v>
      </c>
    </row>
    <row r="193" spans="1:3" x14ac:dyDescent="0.3">
      <c r="A193" t="s">
        <v>202</v>
      </c>
      <c r="B193">
        <v>85</v>
      </c>
      <c r="C193" t="s">
        <v>14</v>
      </c>
    </row>
    <row r="194" spans="1:3" x14ac:dyDescent="0.3">
      <c r="A194" t="s">
        <v>203</v>
      </c>
      <c r="B194">
        <v>75</v>
      </c>
      <c r="C194" t="s">
        <v>14</v>
      </c>
    </row>
    <row r="195" spans="1:3" x14ac:dyDescent="0.3">
      <c r="A195" t="s">
        <v>204</v>
      </c>
      <c r="B195">
        <v>45</v>
      </c>
      <c r="C195" t="s">
        <v>10</v>
      </c>
    </row>
    <row r="196" spans="1:3" x14ac:dyDescent="0.3">
      <c r="A196" t="s">
        <v>205</v>
      </c>
      <c r="B196">
        <v>5</v>
      </c>
      <c r="C196" t="s">
        <v>12</v>
      </c>
    </row>
    <row r="197" spans="1:3" x14ac:dyDescent="0.3">
      <c r="A197" t="s">
        <v>206</v>
      </c>
      <c r="B197">
        <v>48</v>
      </c>
      <c r="C197" t="s">
        <v>12</v>
      </c>
    </row>
    <row r="198" spans="1:3" x14ac:dyDescent="0.3">
      <c r="A198" t="s">
        <v>207</v>
      </c>
      <c r="B198">
        <v>3</v>
      </c>
      <c r="C198" t="s">
        <v>35</v>
      </c>
    </row>
    <row r="199" spans="1:3" x14ac:dyDescent="0.3">
      <c r="A199" t="s">
        <v>208</v>
      </c>
      <c r="B199">
        <v>44</v>
      </c>
      <c r="C199" t="s">
        <v>16</v>
      </c>
    </row>
    <row r="200" spans="1:3" x14ac:dyDescent="0.3">
      <c r="A200" t="s">
        <v>209</v>
      </c>
      <c r="B200">
        <v>46</v>
      </c>
      <c r="C200" t="s">
        <v>12</v>
      </c>
    </row>
    <row r="201" spans="1:3" x14ac:dyDescent="0.3">
      <c r="A201" t="s">
        <v>210</v>
      </c>
      <c r="B201">
        <v>13</v>
      </c>
      <c r="C201" t="s">
        <v>8</v>
      </c>
    </row>
    <row r="202" spans="1:3" x14ac:dyDescent="0.3">
      <c r="A202" t="s">
        <v>211</v>
      </c>
      <c r="B202">
        <v>7</v>
      </c>
      <c r="C202" t="s">
        <v>16</v>
      </c>
    </row>
    <row r="203" spans="1:3" x14ac:dyDescent="0.3">
      <c r="A203" t="s">
        <v>212</v>
      </c>
      <c r="B203">
        <v>29</v>
      </c>
      <c r="C203" t="s">
        <v>12</v>
      </c>
    </row>
    <row r="204" spans="1:3" x14ac:dyDescent="0.3">
      <c r="A204" t="s">
        <v>213</v>
      </c>
      <c r="B204">
        <v>39</v>
      </c>
      <c r="C204" t="s">
        <v>6</v>
      </c>
    </row>
    <row r="205" spans="1:3" x14ac:dyDescent="0.3">
      <c r="A205" t="s">
        <v>214</v>
      </c>
      <c r="B205">
        <v>11</v>
      </c>
      <c r="C205" t="s">
        <v>35</v>
      </c>
    </row>
    <row r="206" spans="1:3" x14ac:dyDescent="0.3">
      <c r="A206" t="s">
        <v>215</v>
      </c>
      <c r="B206">
        <v>94</v>
      </c>
      <c r="C206" t="s">
        <v>12</v>
      </c>
    </row>
    <row r="207" spans="1:3" x14ac:dyDescent="0.3">
      <c r="A207" t="s">
        <v>216</v>
      </c>
      <c r="B207">
        <v>13</v>
      </c>
      <c r="C207" t="s">
        <v>35</v>
      </c>
    </row>
    <row r="208" spans="1:3" x14ac:dyDescent="0.3">
      <c r="A208" t="s">
        <v>217</v>
      </c>
      <c r="B208">
        <v>9</v>
      </c>
      <c r="C208" t="s">
        <v>35</v>
      </c>
    </row>
    <row r="209" spans="1:3" x14ac:dyDescent="0.3">
      <c r="A209" t="s">
        <v>218</v>
      </c>
      <c r="B209">
        <v>73</v>
      </c>
      <c r="C209" t="s">
        <v>12</v>
      </c>
    </row>
    <row r="210" spans="1:3" x14ac:dyDescent="0.3">
      <c r="A210" t="s">
        <v>219</v>
      </c>
      <c r="B210">
        <v>89</v>
      </c>
      <c r="C210" t="s">
        <v>12</v>
      </c>
    </row>
    <row r="211" spans="1:3" x14ac:dyDescent="0.3">
      <c r="A211" t="s">
        <v>220</v>
      </c>
      <c r="B211">
        <v>94</v>
      </c>
      <c r="C211" t="s">
        <v>8</v>
      </c>
    </row>
    <row r="212" spans="1:3" x14ac:dyDescent="0.3">
      <c r="A212" t="s">
        <v>221</v>
      </c>
      <c r="B212">
        <v>3</v>
      </c>
      <c r="C212" t="s">
        <v>12</v>
      </c>
    </row>
    <row r="213" spans="1:3" x14ac:dyDescent="0.3">
      <c r="A213" t="s">
        <v>222</v>
      </c>
      <c r="B213">
        <v>97</v>
      </c>
      <c r="C213" t="s">
        <v>35</v>
      </c>
    </row>
    <row r="214" spans="1:3" x14ac:dyDescent="0.3">
      <c r="A214" t="s">
        <v>223</v>
      </c>
      <c r="B214">
        <v>43</v>
      </c>
      <c r="C214" t="s">
        <v>35</v>
      </c>
    </row>
    <row r="215" spans="1:3" x14ac:dyDescent="0.3">
      <c r="A215" t="s">
        <v>224</v>
      </c>
      <c r="B215">
        <v>86</v>
      </c>
      <c r="C215" t="s">
        <v>35</v>
      </c>
    </row>
    <row r="216" spans="1:3" x14ac:dyDescent="0.3">
      <c r="A216" t="s">
        <v>225</v>
      </c>
      <c r="B216">
        <v>80</v>
      </c>
      <c r="C216" t="s">
        <v>12</v>
      </c>
    </row>
    <row r="217" spans="1:3" x14ac:dyDescent="0.3">
      <c r="A217" t="s">
        <v>226</v>
      </c>
      <c r="B217">
        <v>36</v>
      </c>
      <c r="C217" t="s">
        <v>8</v>
      </c>
    </row>
    <row r="218" spans="1:3" x14ac:dyDescent="0.3">
      <c r="A218" t="s">
        <v>227</v>
      </c>
      <c r="B218">
        <v>94</v>
      </c>
      <c r="C218" t="s">
        <v>16</v>
      </c>
    </row>
    <row r="219" spans="1:3" x14ac:dyDescent="0.3">
      <c r="A219" t="s">
        <v>228</v>
      </c>
      <c r="B219">
        <v>12</v>
      </c>
      <c r="C219" t="s">
        <v>6</v>
      </c>
    </row>
    <row r="220" spans="1:3" x14ac:dyDescent="0.3">
      <c r="A220" t="s">
        <v>229</v>
      </c>
      <c r="B220">
        <v>99</v>
      </c>
      <c r="C220" t="s">
        <v>10</v>
      </c>
    </row>
    <row r="221" spans="1:3" x14ac:dyDescent="0.3">
      <c r="A221" t="s">
        <v>230</v>
      </c>
      <c r="B221">
        <v>33</v>
      </c>
      <c r="C221" t="s">
        <v>16</v>
      </c>
    </row>
    <row r="222" spans="1:3" x14ac:dyDescent="0.3">
      <c r="A222" t="s">
        <v>231</v>
      </c>
      <c r="B222">
        <v>53</v>
      </c>
      <c r="C222" t="s">
        <v>35</v>
      </c>
    </row>
    <row r="223" spans="1:3" x14ac:dyDescent="0.3">
      <c r="A223" t="s">
        <v>232</v>
      </c>
      <c r="B223">
        <v>39</v>
      </c>
      <c r="C223" t="s">
        <v>12</v>
      </c>
    </row>
    <row r="224" spans="1:3" x14ac:dyDescent="0.3">
      <c r="A224" t="s">
        <v>233</v>
      </c>
      <c r="B224">
        <v>62</v>
      </c>
      <c r="C224" t="s">
        <v>35</v>
      </c>
    </row>
    <row r="225" spans="1:3" x14ac:dyDescent="0.3">
      <c r="A225" t="s">
        <v>234</v>
      </c>
      <c r="B225">
        <v>99</v>
      </c>
      <c r="C225" t="s">
        <v>8</v>
      </c>
    </row>
    <row r="226" spans="1:3" x14ac:dyDescent="0.3">
      <c r="A226" t="s">
        <v>235</v>
      </c>
      <c r="B226">
        <v>31</v>
      </c>
      <c r="C226" t="s">
        <v>12</v>
      </c>
    </row>
    <row r="227" spans="1:3" x14ac:dyDescent="0.3">
      <c r="A227" t="s">
        <v>236</v>
      </c>
      <c r="B227">
        <v>49</v>
      </c>
      <c r="C227" t="s">
        <v>35</v>
      </c>
    </row>
    <row r="228" spans="1:3" x14ac:dyDescent="0.3">
      <c r="A228" t="s">
        <v>237</v>
      </c>
      <c r="B228">
        <v>43</v>
      </c>
      <c r="C228" t="s">
        <v>12</v>
      </c>
    </row>
    <row r="229" spans="1:3" x14ac:dyDescent="0.3">
      <c r="A229" t="s">
        <v>238</v>
      </c>
      <c r="B229">
        <v>12</v>
      </c>
      <c r="C229" t="s">
        <v>16</v>
      </c>
    </row>
    <row r="230" spans="1:3" x14ac:dyDescent="0.3">
      <c r="A230" t="s">
        <v>239</v>
      </c>
      <c r="B230">
        <v>97</v>
      </c>
      <c r="C230" t="s">
        <v>10</v>
      </c>
    </row>
    <row r="231" spans="1:3" x14ac:dyDescent="0.3">
      <c r="A231" t="s">
        <v>240</v>
      </c>
      <c r="B231">
        <v>12</v>
      </c>
      <c r="C231" t="s">
        <v>6</v>
      </c>
    </row>
    <row r="232" spans="1:3" x14ac:dyDescent="0.3">
      <c r="A232" t="s">
        <v>241</v>
      </c>
      <c r="B232">
        <v>5</v>
      </c>
      <c r="C232" t="s">
        <v>35</v>
      </c>
    </row>
    <row r="233" spans="1:3" x14ac:dyDescent="0.3">
      <c r="A233" t="s">
        <v>242</v>
      </c>
      <c r="B233">
        <v>92</v>
      </c>
      <c r="C233" t="s">
        <v>8</v>
      </c>
    </row>
    <row r="234" spans="1:3" x14ac:dyDescent="0.3">
      <c r="A234" t="s">
        <v>243</v>
      </c>
      <c r="B234">
        <v>14</v>
      </c>
      <c r="C234" t="s">
        <v>35</v>
      </c>
    </row>
    <row r="235" spans="1:3" x14ac:dyDescent="0.3">
      <c r="A235" t="s">
        <v>244</v>
      </c>
      <c r="B235">
        <v>24</v>
      </c>
      <c r="C235" t="s">
        <v>16</v>
      </c>
    </row>
    <row r="236" spans="1:3" x14ac:dyDescent="0.3">
      <c r="A236" t="s">
        <v>245</v>
      </c>
      <c r="B236">
        <v>80</v>
      </c>
      <c r="C236" t="s">
        <v>35</v>
      </c>
    </row>
    <row r="237" spans="1:3" x14ac:dyDescent="0.3">
      <c r="A237" t="s">
        <v>246</v>
      </c>
      <c r="B237">
        <v>11</v>
      </c>
      <c r="C237" t="s">
        <v>8</v>
      </c>
    </row>
    <row r="238" spans="1:3" x14ac:dyDescent="0.3">
      <c r="A238" t="s">
        <v>247</v>
      </c>
      <c r="B238">
        <v>9</v>
      </c>
      <c r="C238" t="s">
        <v>12</v>
      </c>
    </row>
    <row r="239" spans="1:3" x14ac:dyDescent="0.3">
      <c r="A239" t="s">
        <v>248</v>
      </c>
      <c r="B239">
        <v>77</v>
      </c>
      <c r="C239" t="s">
        <v>10</v>
      </c>
    </row>
    <row r="240" spans="1:3" x14ac:dyDescent="0.3">
      <c r="A240" t="s">
        <v>249</v>
      </c>
      <c r="B240">
        <v>79</v>
      </c>
      <c r="C240" t="s">
        <v>16</v>
      </c>
    </row>
    <row r="241" spans="1:3" x14ac:dyDescent="0.3">
      <c r="A241" t="s">
        <v>250</v>
      </c>
      <c r="B241">
        <v>3</v>
      </c>
      <c r="C241" t="s">
        <v>8</v>
      </c>
    </row>
    <row r="242" spans="1:3" x14ac:dyDescent="0.3">
      <c r="A242" t="s">
        <v>251</v>
      </c>
      <c r="B242">
        <v>70</v>
      </c>
      <c r="C242" t="s">
        <v>4</v>
      </c>
    </row>
    <row r="243" spans="1:3" x14ac:dyDescent="0.3">
      <c r="A243" t="s">
        <v>252</v>
      </c>
      <c r="B243">
        <v>13</v>
      </c>
      <c r="C243" t="s">
        <v>4</v>
      </c>
    </row>
    <row r="244" spans="1:3" x14ac:dyDescent="0.3">
      <c r="A244" t="s">
        <v>253</v>
      </c>
      <c r="B244">
        <v>77</v>
      </c>
      <c r="C244" t="s">
        <v>12</v>
      </c>
    </row>
    <row r="245" spans="1:3" x14ac:dyDescent="0.3">
      <c r="A245" t="s">
        <v>254</v>
      </c>
      <c r="B245">
        <v>93</v>
      </c>
      <c r="C245" t="s">
        <v>4</v>
      </c>
    </row>
    <row r="246" spans="1:3" x14ac:dyDescent="0.3">
      <c r="A246" t="s">
        <v>255</v>
      </c>
      <c r="B246">
        <v>58</v>
      </c>
      <c r="C246" t="s">
        <v>8</v>
      </c>
    </row>
    <row r="247" spans="1:3" x14ac:dyDescent="0.3">
      <c r="A247" t="s">
        <v>256</v>
      </c>
      <c r="B247">
        <v>48</v>
      </c>
      <c r="C247" t="s">
        <v>16</v>
      </c>
    </row>
    <row r="248" spans="1:3" x14ac:dyDescent="0.3">
      <c r="A248" t="s">
        <v>257</v>
      </c>
      <c r="B248">
        <v>16</v>
      </c>
      <c r="C248" t="s">
        <v>12</v>
      </c>
    </row>
    <row r="249" spans="1:3" x14ac:dyDescent="0.3">
      <c r="A249" t="s">
        <v>258</v>
      </c>
      <c r="B249">
        <v>24</v>
      </c>
      <c r="C249" t="s">
        <v>12</v>
      </c>
    </row>
    <row r="250" spans="1:3" x14ac:dyDescent="0.3">
      <c r="A250" t="s">
        <v>259</v>
      </c>
      <c r="B250">
        <v>63</v>
      </c>
      <c r="C250" t="s">
        <v>10</v>
      </c>
    </row>
    <row r="251" spans="1:3" x14ac:dyDescent="0.3">
      <c r="A251" t="s">
        <v>260</v>
      </c>
      <c r="B251">
        <v>66</v>
      </c>
      <c r="C251" t="s">
        <v>8</v>
      </c>
    </row>
  </sheetData>
  <mergeCells count="2">
    <mergeCell ref="F1:G1"/>
    <mergeCell ref="H1:I2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B049-04FD-4CD2-972B-45F35C191AB4}">
  <dimension ref="A1:L251"/>
  <sheetViews>
    <sheetView workbookViewId="0">
      <selection activeCell="K1" sqref="K1:L2"/>
    </sheetView>
  </sheetViews>
  <sheetFormatPr defaultRowHeight="14.4" x14ac:dyDescent="0.3"/>
  <cols>
    <col min="1" max="1" width="11.44140625" bestFit="1" customWidth="1"/>
    <col min="2" max="2" width="9" bestFit="1" customWidth="1"/>
    <col min="3" max="3" width="11.44140625" bestFit="1" customWidth="1"/>
    <col min="6" max="6" width="4.44140625" bestFit="1" customWidth="1"/>
    <col min="7" max="7" width="4.6640625" bestFit="1" customWidth="1"/>
    <col min="8" max="8" width="2" bestFit="1" customWidth="1"/>
    <col min="9" max="9" width="14.5546875" bestFit="1" customWidth="1"/>
    <col min="11" max="11" width="36.5546875" bestFit="1" customWidth="1"/>
    <col min="12" max="12" width="16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F1" s="5" t="s">
        <v>261</v>
      </c>
      <c r="G1" s="5"/>
      <c r="H1" s="5" t="s">
        <v>264</v>
      </c>
      <c r="I1" s="5"/>
      <c r="K1" s="3" t="s">
        <v>273</v>
      </c>
      <c r="L1" s="3" t="s">
        <v>277</v>
      </c>
    </row>
    <row r="2" spans="1:12" x14ac:dyDescent="0.3">
      <c r="A2" t="s">
        <v>3</v>
      </c>
      <c r="B2">
        <v>62</v>
      </c>
      <c r="C2" t="s">
        <v>4</v>
      </c>
      <c r="F2" t="s">
        <v>262</v>
      </c>
      <c r="G2" t="s">
        <v>263</v>
      </c>
      <c r="H2" s="5"/>
      <c r="I2" s="5"/>
      <c r="K2" s="3">
        <f>_xlfn.MODE.SNGL(oceny4[Wynik])</f>
        <v>77</v>
      </c>
      <c r="L2" s="3">
        <f>COUNTIF(oceny4[Wynik],"=77")</f>
        <v>9</v>
      </c>
    </row>
    <row r="3" spans="1:12" x14ac:dyDescent="0.3">
      <c r="A3" t="s">
        <v>5</v>
      </c>
      <c r="B3">
        <v>92</v>
      </c>
      <c r="C3" t="s">
        <v>6</v>
      </c>
      <c r="F3">
        <v>90</v>
      </c>
      <c r="G3">
        <v>100</v>
      </c>
      <c r="H3">
        <v>6</v>
      </c>
      <c r="I3" t="s">
        <v>265</v>
      </c>
    </row>
    <row r="4" spans="1:12" x14ac:dyDescent="0.3">
      <c r="A4" t="s">
        <v>7</v>
      </c>
      <c r="B4">
        <v>52</v>
      </c>
      <c r="C4" t="s">
        <v>8</v>
      </c>
      <c r="F4">
        <v>80</v>
      </c>
      <c r="G4">
        <v>89</v>
      </c>
      <c r="H4">
        <v>5</v>
      </c>
      <c r="I4" t="s">
        <v>266</v>
      </c>
    </row>
    <row r="5" spans="1:12" x14ac:dyDescent="0.3">
      <c r="A5" t="s">
        <v>9</v>
      </c>
      <c r="B5">
        <v>60</v>
      </c>
      <c r="C5" t="s">
        <v>10</v>
      </c>
      <c r="F5">
        <v>51</v>
      </c>
      <c r="G5">
        <v>79</v>
      </c>
      <c r="H5">
        <v>4</v>
      </c>
      <c r="I5" t="s">
        <v>267</v>
      </c>
    </row>
    <row r="6" spans="1:12" x14ac:dyDescent="0.3">
      <c r="A6" t="s">
        <v>11</v>
      </c>
      <c r="B6">
        <v>81</v>
      </c>
      <c r="C6" t="s">
        <v>12</v>
      </c>
      <c r="F6">
        <v>41</v>
      </c>
      <c r="G6">
        <v>50</v>
      </c>
      <c r="H6">
        <v>3</v>
      </c>
      <c r="I6" t="s">
        <v>268</v>
      </c>
    </row>
    <row r="7" spans="1:12" x14ac:dyDescent="0.3">
      <c r="A7" t="s">
        <v>13</v>
      </c>
      <c r="B7">
        <v>66</v>
      </c>
      <c r="C7" t="s">
        <v>14</v>
      </c>
      <c r="F7">
        <v>0</v>
      </c>
      <c r="G7">
        <v>40</v>
      </c>
      <c r="H7">
        <v>2</v>
      </c>
      <c r="I7" t="s">
        <v>269</v>
      </c>
    </row>
    <row r="8" spans="1:12" x14ac:dyDescent="0.3">
      <c r="A8" t="s">
        <v>15</v>
      </c>
      <c r="B8">
        <v>63</v>
      </c>
      <c r="C8" t="s">
        <v>16</v>
      </c>
    </row>
    <row r="9" spans="1:12" x14ac:dyDescent="0.3">
      <c r="A9" t="s">
        <v>17</v>
      </c>
      <c r="B9">
        <v>100</v>
      </c>
      <c r="C9" t="s">
        <v>10</v>
      </c>
    </row>
    <row r="10" spans="1:12" x14ac:dyDescent="0.3">
      <c r="A10" t="s">
        <v>18</v>
      </c>
      <c r="B10">
        <v>46</v>
      </c>
      <c r="C10" t="s">
        <v>8</v>
      </c>
    </row>
    <row r="11" spans="1:12" x14ac:dyDescent="0.3">
      <c r="A11" t="s">
        <v>19</v>
      </c>
      <c r="B11">
        <v>87</v>
      </c>
      <c r="C11" t="s">
        <v>4</v>
      </c>
    </row>
    <row r="12" spans="1:12" x14ac:dyDescent="0.3">
      <c r="A12" t="s">
        <v>20</v>
      </c>
      <c r="B12">
        <v>93</v>
      </c>
      <c r="C12" t="s">
        <v>12</v>
      </c>
    </row>
    <row r="13" spans="1:12" x14ac:dyDescent="0.3">
      <c r="A13" t="s">
        <v>21</v>
      </c>
      <c r="B13">
        <v>84</v>
      </c>
      <c r="C13" t="s">
        <v>6</v>
      </c>
    </row>
    <row r="14" spans="1:12" x14ac:dyDescent="0.3">
      <c r="A14" t="s">
        <v>22</v>
      </c>
      <c r="B14">
        <v>44</v>
      </c>
      <c r="C14" t="s">
        <v>10</v>
      </c>
    </row>
    <row r="15" spans="1:12" x14ac:dyDescent="0.3">
      <c r="A15" t="s">
        <v>23</v>
      </c>
      <c r="B15">
        <v>71</v>
      </c>
      <c r="C15" t="s">
        <v>8</v>
      </c>
    </row>
    <row r="16" spans="1:12" x14ac:dyDescent="0.3">
      <c r="A16" t="s">
        <v>24</v>
      </c>
      <c r="B16">
        <v>100</v>
      </c>
      <c r="C16" t="s">
        <v>10</v>
      </c>
    </row>
    <row r="17" spans="1:3" x14ac:dyDescent="0.3">
      <c r="A17" t="s">
        <v>25</v>
      </c>
      <c r="B17">
        <v>40</v>
      </c>
      <c r="C17" t="s">
        <v>8</v>
      </c>
    </row>
    <row r="18" spans="1:3" x14ac:dyDescent="0.3">
      <c r="A18" t="s">
        <v>26</v>
      </c>
      <c r="B18">
        <v>35</v>
      </c>
      <c r="C18" t="s">
        <v>8</v>
      </c>
    </row>
    <row r="19" spans="1:3" x14ac:dyDescent="0.3">
      <c r="A19" t="s">
        <v>27</v>
      </c>
      <c r="B19">
        <v>73</v>
      </c>
      <c r="C19" t="s">
        <v>8</v>
      </c>
    </row>
    <row r="20" spans="1:3" x14ac:dyDescent="0.3">
      <c r="A20" t="s">
        <v>28</v>
      </c>
      <c r="B20">
        <v>99</v>
      </c>
      <c r="C20" t="s">
        <v>10</v>
      </c>
    </row>
    <row r="21" spans="1:3" x14ac:dyDescent="0.3">
      <c r="A21" t="s">
        <v>29</v>
      </c>
      <c r="B21">
        <v>88</v>
      </c>
      <c r="C21" t="s">
        <v>14</v>
      </c>
    </row>
    <row r="22" spans="1:3" x14ac:dyDescent="0.3">
      <c r="A22" t="s">
        <v>30</v>
      </c>
      <c r="B22">
        <v>90</v>
      </c>
      <c r="C22" t="s">
        <v>16</v>
      </c>
    </row>
    <row r="23" spans="1:3" x14ac:dyDescent="0.3">
      <c r="A23" t="s">
        <v>31</v>
      </c>
      <c r="B23">
        <v>90</v>
      </c>
      <c r="C23" t="s">
        <v>6</v>
      </c>
    </row>
    <row r="24" spans="1:3" x14ac:dyDescent="0.3">
      <c r="A24" t="s">
        <v>32</v>
      </c>
      <c r="B24">
        <v>44</v>
      </c>
      <c r="C24" t="s">
        <v>12</v>
      </c>
    </row>
    <row r="25" spans="1:3" x14ac:dyDescent="0.3">
      <c r="A25" t="s">
        <v>33</v>
      </c>
      <c r="B25">
        <v>74</v>
      </c>
      <c r="C25" t="s">
        <v>16</v>
      </c>
    </row>
    <row r="26" spans="1:3" x14ac:dyDescent="0.3">
      <c r="A26" t="s">
        <v>34</v>
      </c>
      <c r="B26">
        <v>46</v>
      </c>
      <c r="C26" t="s">
        <v>35</v>
      </c>
    </row>
    <row r="27" spans="1:3" x14ac:dyDescent="0.3">
      <c r="A27" t="s">
        <v>36</v>
      </c>
      <c r="B27">
        <v>74</v>
      </c>
      <c r="C27" t="s">
        <v>16</v>
      </c>
    </row>
    <row r="28" spans="1:3" x14ac:dyDescent="0.3">
      <c r="A28" t="s">
        <v>37</v>
      </c>
      <c r="B28">
        <v>92</v>
      </c>
      <c r="C28" t="s">
        <v>10</v>
      </c>
    </row>
    <row r="29" spans="1:3" x14ac:dyDescent="0.3">
      <c r="A29" t="s">
        <v>38</v>
      </c>
      <c r="B29">
        <v>31</v>
      </c>
      <c r="C29" t="s">
        <v>6</v>
      </c>
    </row>
    <row r="30" spans="1:3" x14ac:dyDescent="0.3">
      <c r="A30" t="s">
        <v>39</v>
      </c>
      <c r="B30">
        <v>51</v>
      </c>
      <c r="C30" t="s">
        <v>14</v>
      </c>
    </row>
    <row r="31" spans="1:3" x14ac:dyDescent="0.3">
      <c r="A31" t="s">
        <v>40</v>
      </c>
      <c r="B31">
        <v>59</v>
      </c>
      <c r="C31" t="s">
        <v>8</v>
      </c>
    </row>
    <row r="32" spans="1:3" x14ac:dyDescent="0.3">
      <c r="A32" t="s">
        <v>41</v>
      </c>
      <c r="B32">
        <v>85</v>
      </c>
      <c r="C32" t="s">
        <v>14</v>
      </c>
    </row>
    <row r="33" spans="1:3" x14ac:dyDescent="0.3">
      <c r="A33" t="s">
        <v>42</v>
      </c>
      <c r="B33">
        <v>63</v>
      </c>
      <c r="C33" t="s">
        <v>8</v>
      </c>
    </row>
    <row r="34" spans="1:3" x14ac:dyDescent="0.3">
      <c r="A34" t="s">
        <v>43</v>
      </c>
      <c r="B34">
        <v>60</v>
      </c>
      <c r="C34" t="s">
        <v>10</v>
      </c>
    </row>
    <row r="35" spans="1:3" x14ac:dyDescent="0.3">
      <c r="A35" t="s">
        <v>44</v>
      </c>
      <c r="B35">
        <v>83</v>
      </c>
      <c r="C35" t="s">
        <v>6</v>
      </c>
    </row>
    <row r="36" spans="1:3" x14ac:dyDescent="0.3">
      <c r="A36" t="s">
        <v>45</v>
      </c>
      <c r="B36">
        <v>72</v>
      </c>
      <c r="C36" t="s">
        <v>14</v>
      </c>
    </row>
    <row r="37" spans="1:3" x14ac:dyDescent="0.3">
      <c r="A37" t="s">
        <v>46</v>
      </c>
      <c r="B37">
        <v>94</v>
      </c>
      <c r="C37" t="s">
        <v>35</v>
      </c>
    </row>
    <row r="38" spans="1:3" x14ac:dyDescent="0.3">
      <c r="A38" t="s">
        <v>47</v>
      </c>
      <c r="B38">
        <v>92</v>
      </c>
      <c r="C38" t="s">
        <v>12</v>
      </c>
    </row>
    <row r="39" spans="1:3" x14ac:dyDescent="0.3">
      <c r="A39" t="s">
        <v>48</v>
      </c>
      <c r="B39">
        <v>92</v>
      </c>
      <c r="C39" t="s">
        <v>16</v>
      </c>
    </row>
    <row r="40" spans="1:3" x14ac:dyDescent="0.3">
      <c r="A40" t="s">
        <v>49</v>
      </c>
      <c r="B40">
        <v>59</v>
      </c>
      <c r="C40" t="s">
        <v>12</v>
      </c>
    </row>
    <row r="41" spans="1:3" x14ac:dyDescent="0.3">
      <c r="A41" t="s">
        <v>50</v>
      </c>
      <c r="B41">
        <v>51</v>
      </c>
      <c r="C41" t="s">
        <v>16</v>
      </c>
    </row>
    <row r="42" spans="1:3" x14ac:dyDescent="0.3">
      <c r="A42" t="s">
        <v>51</v>
      </c>
      <c r="B42">
        <v>45</v>
      </c>
      <c r="C42" t="s">
        <v>10</v>
      </c>
    </row>
    <row r="43" spans="1:3" x14ac:dyDescent="0.3">
      <c r="A43" t="s">
        <v>52</v>
      </c>
      <c r="B43">
        <v>89</v>
      </c>
      <c r="C43" t="s">
        <v>4</v>
      </c>
    </row>
    <row r="44" spans="1:3" x14ac:dyDescent="0.3">
      <c r="A44" t="s">
        <v>53</v>
      </c>
      <c r="B44">
        <v>51</v>
      </c>
      <c r="C44" t="s">
        <v>35</v>
      </c>
    </row>
    <row r="45" spans="1:3" x14ac:dyDescent="0.3">
      <c r="A45" t="s">
        <v>54</v>
      </c>
      <c r="B45">
        <v>84</v>
      </c>
      <c r="C45" t="s">
        <v>14</v>
      </c>
    </row>
    <row r="46" spans="1:3" x14ac:dyDescent="0.3">
      <c r="A46" t="s">
        <v>55</v>
      </c>
      <c r="B46">
        <v>32</v>
      </c>
      <c r="C46" t="s">
        <v>6</v>
      </c>
    </row>
    <row r="47" spans="1:3" x14ac:dyDescent="0.3">
      <c r="A47" t="s">
        <v>56</v>
      </c>
      <c r="B47">
        <v>73</v>
      </c>
      <c r="C47" t="s">
        <v>35</v>
      </c>
    </row>
    <row r="48" spans="1:3" x14ac:dyDescent="0.3">
      <c r="A48" t="s">
        <v>57</v>
      </c>
      <c r="B48">
        <v>44</v>
      </c>
      <c r="C48" t="s">
        <v>14</v>
      </c>
    </row>
    <row r="49" spans="1:3" x14ac:dyDescent="0.3">
      <c r="A49" t="s">
        <v>58</v>
      </c>
      <c r="B49">
        <v>81</v>
      </c>
      <c r="C49" t="s">
        <v>35</v>
      </c>
    </row>
    <row r="50" spans="1:3" x14ac:dyDescent="0.3">
      <c r="A50" t="s">
        <v>59</v>
      </c>
      <c r="B50">
        <v>76</v>
      </c>
      <c r="C50" t="s">
        <v>12</v>
      </c>
    </row>
    <row r="51" spans="1:3" x14ac:dyDescent="0.3">
      <c r="A51" t="s">
        <v>60</v>
      </c>
      <c r="B51">
        <v>89</v>
      </c>
      <c r="C51" t="s">
        <v>16</v>
      </c>
    </row>
    <row r="52" spans="1:3" x14ac:dyDescent="0.3">
      <c r="A52" t="s">
        <v>61</v>
      </c>
      <c r="B52">
        <v>83</v>
      </c>
      <c r="C52" t="s">
        <v>14</v>
      </c>
    </row>
    <row r="53" spans="1:3" x14ac:dyDescent="0.3">
      <c r="A53" t="s">
        <v>62</v>
      </c>
      <c r="B53">
        <v>24</v>
      </c>
      <c r="C53" t="s">
        <v>4</v>
      </c>
    </row>
    <row r="54" spans="1:3" x14ac:dyDescent="0.3">
      <c r="A54" t="s">
        <v>63</v>
      </c>
      <c r="B54">
        <v>99</v>
      </c>
      <c r="C54" t="s">
        <v>16</v>
      </c>
    </row>
    <row r="55" spans="1:3" x14ac:dyDescent="0.3">
      <c r="A55" t="s">
        <v>64</v>
      </c>
      <c r="B55">
        <v>98</v>
      </c>
      <c r="C55" t="s">
        <v>6</v>
      </c>
    </row>
    <row r="56" spans="1:3" x14ac:dyDescent="0.3">
      <c r="A56" t="s">
        <v>65</v>
      </c>
      <c r="B56">
        <v>92</v>
      </c>
      <c r="C56" t="s">
        <v>8</v>
      </c>
    </row>
    <row r="57" spans="1:3" x14ac:dyDescent="0.3">
      <c r="A57" t="s">
        <v>66</v>
      </c>
      <c r="B57">
        <v>41</v>
      </c>
      <c r="C57" t="s">
        <v>8</v>
      </c>
    </row>
    <row r="58" spans="1:3" x14ac:dyDescent="0.3">
      <c r="A58" t="s">
        <v>67</v>
      </c>
      <c r="B58">
        <v>77</v>
      </c>
      <c r="C58" t="s">
        <v>4</v>
      </c>
    </row>
    <row r="59" spans="1:3" x14ac:dyDescent="0.3">
      <c r="A59" t="s">
        <v>68</v>
      </c>
      <c r="B59">
        <v>84</v>
      </c>
      <c r="C59" t="s">
        <v>6</v>
      </c>
    </row>
    <row r="60" spans="1:3" x14ac:dyDescent="0.3">
      <c r="A60" t="s">
        <v>69</v>
      </c>
      <c r="B60">
        <v>98</v>
      </c>
      <c r="C60" t="s">
        <v>6</v>
      </c>
    </row>
    <row r="61" spans="1:3" x14ac:dyDescent="0.3">
      <c r="A61" t="s">
        <v>70</v>
      </c>
      <c r="B61">
        <v>67</v>
      </c>
      <c r="C61" t="s">
        <v>6</v>
      </c>
    </row>
    <row r="62" spans="1:3" x14ac:dyDescent="0.3">
      <c r="A62" t="s">
        <v>71</v>
      </c>
      <c r="B62">
        <v>78</v>
      </c>
      <c r="C62" t="s">
        <v>6</v>
      </c>
    </row>
    <row r="63" spans="1:3" x14ac:dyDescent="0.3">
      <c r="A63" t="s">
        <v>72</v>
      </c>
      <c r="B63">
        <v>59</v>
      </c>
      <c r="C63" t="s">
        <v>10</v>
      </c>
    </row>
    <row r="64" spans="1:3" x14ac:dyDescent="0.3">
      <c r="A64" t="s">
        <v>73</v>
      </c>
      <c r="B64">
        <v>95</v>
      </c>
      <c r="C64" t="s">
        <v>16</v>
      </c>
    </row>
    <row r="65" spans="1:3" x14ac:dyDescent="0.3">
      <c r="A65" t="s">
        <v>74</v>
      </c>
      <c r="B65">
        <v>34</v>
      </c>
      <c r="C65" t="s">
        <v>14</v>
      </c>
    </row>
    <row r="66" spans="1:3" x14ac:dyDescent="0.3">
      <c r="A66" t="s">
        <v>75</v>
      </c>
      <c r="B66">
        <v>54</v>
      </c>
      <c r="C66" t="s">
        <v>12</v>
      </c>
    </row>
    <row r="67" spans="1:3" x14ac:dyDescent="0.3">
      <c r="A67" t="s">
        <v>76</v>
      </c>
      <c r="B67">
        <v>64</v>
      </c>
      <c r="C67" t="s">
        <v>10</v>
      </c>
    </row>
    <row r="68" spans="1:3" x14ac:dyDescent="0.3">
      <c r="A68" t="s">
        <v>77</v>
      </c>
      <c r="B68">
        <v>44</v>
      </c>
      <c r="C68" t="s">
        <v>4</v>
      </c>
    </row>
    <row r="69" spans="1:3" x14ac:dyDescent="0.3">
      <c r="A69" t="s">
        <v>78</v>
      </c>
      <c r="B69">
        <v>45</v>
      </c>
      <c r="C69" t="s">
        <v>4</v>
      </c>
    </row>
    <row r="70" spans="1:3" x14ac:dyDescent="0.3">
      <c r="A70" t="s">
        <v>79</v>
      </c>
      <c r="B70">
        <v>22</v>
      </c>
      <c r="C70" t="s">
        <v>8</v>
      </c>
    </row>
    <row r="71" spans="1:3" x14ac:dyDescent="0.3">
      <c r="A71" t="s">
        <v>80</v>
      </c>
      <c r="B71">
        <v>61</v>
      </c>
      <c r="C71" t="s">
        <v>14</v>
      </c>
    </row>
    <row r="72" spans="1:3" x14ac:dyDescent="0.3">
      <c r="A72" t="s">
        <v>81</v>
      </c>
      <c r="B72">
        <v>23</v>
      </c>
      <c r="C72" t="s">
        <v>14</v>
      </c>
    </row>
    <row r="73" spans="1:3" x14ac:dyDescent="0.3">
      <c r="A73" t="s">
        <v>82</v>
      </c>
      <c r="B73">
        <v>26</v>
      </c>
      <c r="C73" t="s">
        <v>4</v>
      </c>
    </row>
    <row r="74" spans="1:3" x14ac:dyDescent="0.3">
      <c r="A74" t="s">
        <v>83</v>
      </c>
      <c r="B74">
        <v>65</v>
      </c>
      <c r="C74" t="s">
        <v>35</v>
      </c>
    </row>
    <row r="75" spans="1:3" x14ac:dyDescent="0.3">
      <c r="A75" t="s">
        <v>84</v>
      </c>
      <c r="B75">
        <v>64</v>
      </c>
      <c r="C75" t="s">
        <v>16</v>
      </c>
    </row>
    <row r="76" spans="1:3" x14ac:dyDescent="0.3">
      <c r="A76" t="s">
        <v>85</v>
      </c>
      <c r="B76">
        <v>80</v>
      </c>
      <c r="C76" t="s">
        <v>12</v>
      </c>
    </row>
    <row r="77" spans="1:3" x14ac:dyDescent="0.3">
      <c r="A77" t="s">
        <v>86</v>
      </c>
      <c r="B77">
        <v>49</v>
      </c>
      <c r="C77" t="s">
        <v>35</v>
      </c>
    </row>
    <row r="78" spans="1:3" x14ac:dyDescent="0.3">
      <c r="A78" t="s">
        <v>87</v>
      </c>
      <c r="B78">
        <v>24</v>
      </c>
      <c r="C78" t="s">
        <v>35</v>
      </c>
    </row>
    <row r="79" spans="1:3" x14ac:dyDescent="0.3">
      <c r="A79" t="s">
        <v>88</v>
      </c>
      <c r="B79">
        <v>78</v>
      </c>
      <c r="C79" t="s">
        <v>4</v>
      </c>
    </row>
    <row r="80" spans="1:3" x14ac:dyDescent="0.3">
      <c r="A80" t="s">
        <v>89</v>
      </c>
      <c r="B80">
        <v>26</v>
      </c>
      <c r="C80" t="s">
        <v>16</v>
      </c>
    </row>
    <row r="81" spans="1:3" x14ac:dyDescent="0.3">
      <c r="A81" t="s">
        <v>90</v>
      </c>
      <c r="B81">
        <v>87</v>
      </c>
      <c r="C81" t="s">
        <v>4</v>
      </c>
    </row>
    <row r="82" spans="1:3" x14ac:dyDescent="0.3">
      <c r="A82" t="s">
        <v>91</v>
      </c>
      <c r="B82">
        <v>34</v>
      </c>
      <c r="C82" t="s">
        <v>10</v>
      </c>
    </row>
    <row r="83" spans="1:3" x14ac:dyDescent="0.3">
      <c r="A83" t="s">
        <v>92</v>
      </c>
      <c r="B83">
        <v>72</v>
      </c>
      <c r="C83" t="s">
        <v>14</v>
      </c>
    </row>
    <row r="84" spans="1:3" x14ac:dyDescent="0.3">
      <c r="A84" t="s">
        <v>93</v>
      </c>
      <c r="B84">
        <v>61</v>
      </c>
      <c r="C84" t="s">
        <v>10</v>
      </c>
    </row>
    <row r="85" spans="1:3" x14ac:dyDescent="0.3">
      <c r="A85" t="s">
        <v>94</v>
      </c>
      <c r="B85">
        <v>89</v>
      </c>
      <c r="C85" t="s">
        <v>10</v>
      </c>
    </row>
    <row r="86" spans="1:3" x14ac:dyDescent="0.3">
      <c r="A86" t="s">
        <v>95</v>
      </c>
      <c r="B86">
        <v>23</v>
      </c>
      <c r="C86" t="s">
        <v>10</v>
      </c>
    </row>
    <row r="87" spans="1:3" x14ac:dyDescent="0.3">
      <c r="A87" t="s">
        <v>96</v>
      </c>
      <c r="B87">
        <v>9</v>
      </c>
      <c r="C87" t="s">
        <v>6</v>
      </c>
    </row>
    <row r="88" spans="1:3" x14ac:dyDescent="0.3">
      <c r="A88" t="s">
        <v>97</v>
      </c>
      <c r="B88">
        <v>5</v>
      </c>
      <c r="C88" t="s">
        <v>6</v>
      </c>
    </row>
    <row r="89" spans="1:3" x14ac:dyDescent="0.3">
      <c r="A89" t="s">
        <v>98</v>
      </c>
      <c r="B89">
        <v>91</v>
      </c>
      <c r="C89" t="s">
        <v>14</v>
      </c>
    </row>
    <row r="90" spans="1:3" x14ac:dyDescent="0.3">
      <c r="A90" t="s">
        <v>99</v>
      </c>
      <c r="B90">
        <v>76</v>
      </c>
      <c r="C90" t="s">
        <v>12</v>
      </c>
    </row>
    <row r="91" spans="1:3" x14ac:dyDescent="0.3">
      <c r="A91" t="s">
        <v>100</v>
      </c>
      <c r="B91">
        <v>57</v>
      </c>
      <c r="C91" t="s">
        <v>4</v>
      </c>
    </row>
    <row r="92" spans="1:3" x14ac:dyDescent="0.3">
      <c r="A92" t="s">
        <v>101</v>
      </c>
      <c r="B92">
        <v>44</v>
      </c>
      <c r="C92" t="s">
        <v>14</v>
      </c>
    </row>
    <row r="93" spans="1:3" x14ac:dyDescent="0.3">
      <c r="A93" t="s">
        <v>102</v>
      </c>
      <c r="B93">
        <v>77</v>
      </c>
      <c r="C93" t="s">
        <v>8</v>
      </c>
    </row>
    <row r="94" spans="1:3" x14ac:dyDescent="0.3">
      <c r="A94" t="s">
        <v>103</v>
      </c>
      <c r="B94">
        <v>29</v>
      </c>
      <c r="C94" t="s">
        <v>12</v>
      </c>
    </row>
    <row r="95" spans="1:3" x14ac:dyDescent="0.3">
      <c r="A95" t="s">
        <v>104</v>
      </c>
      <c r="B95">
        <v>10</v>
      </c>
      <c r="C95" t="s">
        <v>12</v>
      </c>
    </row>
    <row r="96" spans="1:3" x14ac:dyDescent="0.3">
      <c r="A96" t="s">
        <v>105</v>
      </c>
      <c r="B96">
        <v>85</v>
      </c>
      <c r="C96" t="s">
        <v>4</v>
      </c>
    </row>
    <row r="97" spans="1:3" x14ac:dyDescent="0.3">
      <c r="A97" t="s">
        <v>106</v>
      </c>
      <c r="B97">
        <v>14</v>
      </c>
      <c r="C97" t="s">
        <v>14</v>
      </c>
    </row>
    <row r="98" spans="1:3" x14ac:dyDescent="0.3">
      <c r="A98" t="s">
        <v>107</v>
      </c>
      <c r="B98">
        <v>87</v>
      </c>
      <c r="C98" t="s">
        <v>6</v>
      </c>
    </row>
    <row r="99" spans="1:3" x14ac:dyDescent="0.3">
      <c r="A99" t="s">
        <v>108</v>
      </c>
      <c r="B99">
        <v>86</v>
      </c>
      <c r="C99" t="s">
        <v>4</v>
      </c>
    </row>
    <row r="100" spans="1:3" x14ac:dyDescent="0.3">
      <c r="A100" t="s">
        <v>109</v>
      </c>
      <c r="B100">
        <v>77</v>
      </c>
      <c r="C100" t="s">
        <v>10</v>
      </c>
    </row>
    <row r="101" spans="1:3" x14ac:dyDescent="0.3">
      <c r="A101" t="s">
        <v>110</v>
      </c>
      <c r="B101">
        <v>31</v>
      </c>
      <c r="C101" t="s">
        <v>4</v>
      </c>
    </row>
    <row r="102" spans="1:3" x14ac:dyDescent="0.3">
      <c r="A102" t="s">
        <v>111</v>
      </c>
      <c r="B102">
        <v>28</v>
      </c>
      <c r="C102" t="s">
        <v>4</v>
      </c>
    </row>
    <row r="103" spans="1:3" x14ac:dyDescent="0.3">
      <c r="A103" t="s">
        <v>112</v>
      </c>
      <c r="B103">
        <v>42</v>
      </c>
      <c r="C103" t="s">
        <v>4</v>
      </c>
    </row>
    <row r="104" spans="1:3" x14ac:dyDescent="0.3">
      <c r="A104" t="s">
        <v>113</v>
      </c>
      <c r="B104">
        <v>22</v>
      </c>
      <c r="C104" t="s">
        <v>4</v>
      </c>
    </row>
    <row r="105" spans="1:3" x14ac:dyDescent="0.3">
      <c r="A105" t="s">
        <v>114</v>
      </c>
      <c r="B105">
        <v>93</v>
      </c>
      <c r="C105" t="s">
        <v>4</v>
      </c>
    </row>
    <row r="106" spans="1:3" x14ac:dyDescent="0.3">
      <c r="A106" t="s">
        <v>115</v>
      </c>
      <c r="B106">
        <v>24</v>
      </c>
      <c r="C106" t="s">
        <v>6</v>
      </c>
    </row>
    <row r="107" spans="1:3" x14ac:dyDescent="0.3">
      <c r="A107" t="s">
        <v>116</v>
      </c>
      <c r="B107">
        <v>94</v>
      </c>
      <c r="C107" t="s">
        <v>4</v>
      </c>
    </row>
    <row r="108" spans="1:3" x14ac:dyDescent="0.3">
      <c r="A108" t="s">
        <v>117</v>
      </c>
      <c r="B108">
        <v>38</v>
      </c>
      <c r="C108" t="s">
        <v>4</v>
      </c>
    </row>
    <row r="109" spans="1:3" x14ac:dyDescent="0.3">
      <c r="A109" t="s">
        <v>118</v>
      </c>
      <c r="B109">
        <v>43</v>
      </c>
      <c r="C109" t="s">
        <v>4</v>
      </c>
    </row>
    <row r="110" spans="1:3" x14ac:dyDescent="0.3">
      <c r="A110" t="s">
        <v>119</v>
      </c>
      <c r="B110">
        <v>25</v>
      </c>
      <c r="C110" t="s">
        <v>14</v>
      </c>
    </row>
    <row r="111" spans="1:3" x14ac:dyDescent="0.3">
      <c r="A111" t="s">
        <v>120</v>
      </c>
      <c r="B111">
        <v>60</v>
      </c>
      <c r="C111" t="s">
        <v>35</v>
      </c>
    </row>
    <row r="112" spans="1:3" x14ac:dyDescent="0.3">
      <c r="A112" t="s">
        <v>121</v>
      </c>
      <c r="B112">
        <v>75</v>
      </c>
      <c r="C112" t="s">
        <v>16</v>
      </c>
    </row>
    <row r="113" spans="1:3" x14ac:dyDescent="0.3">
      <c r="A113" t="s">
        <v>122</v>
      </c>
      <c r="B113">
        <v>3</v>
      </c>
      <c r="C113" t="s">
        <v>4</v>
      </c>
    </row>
    <row r="114" spans="1:3" x14ac:dyDescent="0.3">
      <c r="A114" t="s">
        <v>123</v>
      </c>
      <c r="B114">
        <v>74</v>
      </c>
      <c r="C114" t="s">
        <v>6</v>
      </c>
    </row>
    <row r="115" spans="1:3" x14ac:dyDescent="0.3">
      <c r="A115" t="s">
        <v>124</v>
      </c>
      <c r="B115">
        <v>40</v>
      </c>
      <c r="C115" t="s">
        <v>12</v>
      </c>
    </row>
    <row r="116" spans="1:3" x14ac:dyDescent="0.3">
      <c r="A116" t="s">
        <v>125</v>
      </c>
      <c r="B116">
        <v>2</v>
      </c>
      <c r="C116" t="s">
        <v>4</v>
      </c>
    </row>
    <row r="117" spans="1:3" x14ac:dyDescent="0.3">
      <c r="A117" t="s">
        <v>126</v>
      </c>
      <c r="B117">
        <v>58</v>
      </c>
      <c r="C117" t="s">
        <v>10</v>
      </c>
    </row>
    <row r="118" spans="1:3" x14ac:dyDescent="0.3">
      <c r="A118" t="s">
        <v>127</v>
      </c>
      <c r="B118">
        <v>6</v>
      </c>
      <c r="C118" t="s">
        <v>4</v>
      </c>
    </row>
    <row r="119" spans="1:3" x14ac:dyDescent="0.3">
      <c r="A119" t="s">
        <v>128</v>
      </c>
      <c r="B119">
        <v>32</v>
      </c>
      <c r="C119" t="s">
        <v>6</v>
      </c>
    </row>
    <row r="120" spans="1:3" x14ac:dyDescent="0.3">
      <c r="A120" t="s">
        <v>129</v>
      </c>
      <c r="B120">
        <v>70</v>
      </c>
      <c r="C120" t="s">
        <v>12</v>
      </c>
    </row>
    <row r="121" spans="1:3" x14ac:dyDescent="0.3">
      <c r="A121" t="s">
        <v>130</v>
      </c>
      <c r="B121">
        <v>14</v>
      </c>
      <c r="C121" t="s">
        <v>10</v>
      </c>
    </row>
    <row r="122" spans="1:3" x14ac:dyDescent="0.3">
      <c r="A122" t="s">
        <v>131</v>
      </c>
      <c r="B122">
        <v>23</v>
      </c>
      <c r="C122" t="s">
        <v>14</v>
      </c>
    </row>
    <row r="123" spans="1:3" x14ac:dyDescent="0.3">
      <c r="A123" t="s">
        <v>132</v>
      </c>
      <c r="B123">
        <v>100</v>
      </c>
      <c r="C123" t="s">
        <v>4</v>
      </c>
    </row>
    <row r="124" spans="1:3" x14ac:dyDescent="0.3">
      <c r="A124" t="s">
        <v>133</v>
      </c>
      <c r="B124">
        <v>80</v>
      </c>
      <c r="C124" t="s">
        <v>35</v>
      </c>
    </row>
    <row r="125" spans="1:3" x14ac:dyDescent="0.3">
      <c r="A125" t="s">
        <v>134</v>
      </c>
      <c r="B125">
        <v>22</v>
      </c>
      <c r="C125" t="s">
        <v>16</v>
      </c>
    </row>
    <row r="126" spans="1:3" x14ac:dyDescent="0.3">
      <c r="A126" t="s">
        <v>135</v>
      </c>
      <c r="B126">
        <v>92</v>
      </c>
      <c r="C126" t="s">
        <v>8</v>
      </c>
    </row>
    <row r="127" spans="1:3" x14ac:dyDescent="0.3">
      <c r="A127" t="s">
        <v>136</v>
      </c>
      <c r="B127">
        <v>69</v>
      </c>
      <c r="C127" t="s">
        <v>8</v>
      </c>
    </row>
    <row r="128" spans="1:3" x14ac:dyDescent="0.3">
      <c r="A128" t="s">
        <v>137</v>
      </c>
      <c r="B128">
        <v>76</v>
      </c>
      <c r="C128" t="s">
        <v>6</v>
      </c>
    </row>
    <row r="129" spans="1:3" x14ac:dyDescent="0.3">
      <c r="A129" t="s">
        <v>138</v>
      </c>
      <c r="B129">
        <v>57</v>
      </c>
      <c r="C129" t="s">
        <v>35</v>
      </c>
    </row>
    <row r="130" spans="1:3" x14ac:dyDescent="0.3">
      <c r="A130" t="s">
        <v>139</v>
      </c>
      <c r="B130">
        <v>48</v>
      </c>
      <c r="C130" t="s">
        <v>14</v>
      </c>
    </row>
    <row r="131" spans="1:3" x14ac:dyDescent="0.3">
      <c r="A131" t="s">
        <v>140</v>
      </c>
      <c r="B131">
        <v>22</v>
      </c>
      <c r="C131" t="s">
        <v>14</v>
      </c>
    </row>
    <row r="132" spans="1:3" x14ac:dyDescent="0.3">
      <c r="A132" t="s">
        <v>141</v>
      </c>
      <c r="B132">
        <v>72</v>
      </c>
      <c r="C132" t="s">
        <v>6</v>
      </c>
    </row>
    <row r="133" spans="1:3" x14ac:dyDescent="0.3">
      <c r="A133" t="s">
        <v>142</v>
      </c>
      <c r="B133">
        <v>25</v>
      </c>
      <c r="C133" t="s">
        <v>12</v>
      </c>
    </row>
    <row r="134" spans="1:3" x14ac:dyDescent="0.3">
      <c r="A134" t="s">
        <v>143</v>
      </c>
      <c r="B134">
        <v>65</v>
      </c>
      <c r="C134" t="s">
        <v>14</v>
      </c>
    </row>
    <row r="135" spans="1:3" x14ac:dyDescent="0.3">
      <c r="A135" t="s">
        <v>144</v>
      </c>
      <c r="B135">
        <v>14</v>
      </c>
      <c r="C135" t="s">
        <v>12</v>
      </c>
    </row>
    <row r="136" spans="1:3" x14ac:dyDescent="0.3">
      <c r="A136" t="s">
        <v>145</v>
      </c>
      <c r="B136">
        <v>16</v>
      </c>
      <c r="C136" t="s">
        <v>8</v>
      </c>
    </row>
    <row r="137" spans="1:3" x14ac:dyDescent="0.3">
      <c r="A137" t="s">
        <v>146</v>
      </c>
      <c r="B137">
        <v>77</v>
      </c>
      <c r="C137" t="s">
        <v>8</v>
      </c>
    </row>
    <row r="138" spans="1:3" x14ac:dyDescent="0.3">
      <c r="A138" t="s">
        <v>147</v>
      </c>
      <c r="B138">
        <v>49</v>
      </c>
      <c r="C138" t="s">
        <v>14</v>
      </c>
    </row>
    <row r="139" spans="1:3" x14ac:dyDescent="0.3">
      <c r="A139" t="s">
        <v>148</v>
      </c>
      <c r="B139">
        <v>39</v>
      </c>
      <c r="C139" t="s">
        <v>12</v>
      </c>
    </row>
    <row r="140" spans="1:3" x14ac:dyDescent="0.3">
      <c r="A140" t="s">
        <v>149</v>
      </c>
      <c r="B140">
        <v>29</v>
      </c>
      <c r="C140" t="s">
        <v>10</v>
      </c>
    </row>
    <row r="141" spans="1:3" x14ac:dyDescent="0.3">
      <c r="A141" t="s">
        <v>150</v>
      </c>
      <c r="B141">
        <v>38</v>
      </c>
      <c r="C141" t="s">
        <v>10</v>
      </c>
    </row>
    <row r="142" spans="1:3" x14ac:dyDescent="0.3">
      <c r="A142" t="s">
        <v>151</v>
      </c>
      <c r="B142">
        <v>61</v>
      </c>
      <c r="C142" t="s">
        <v>10</v>
      </c>
    </row>
    <row r="143" spans="1:3" x14ac:dyDescent="0.3">
      <c r="A143" t="s">
        <v>152</v>
      </c>
      <c r="B143">
        <v>72</v>
      </c>
      <c r="C143" t="s">
        <v>14</v>
      </c>
    </row>
    <row r="144" spans="1:3" x14ac:dyDescent="0.3">
      <c r="A144" t="s">
        <v>153</v>
      </c>
      <c r="B144">
        <v>8</v>
      </c>
      <c r="C144" t="s">
        <v>16</v>
      </c>
    </row>
    <row r="145" spans="1:3" x14ac:dyDescent="0.3">
      <c r="A145" t="s">
        <v>154</v>
      </c>
      <c r="B145">
        <v>88</v>
      </c>
      <c r="C145" t="s">
        <v>6</v>
      </c>
    </row>
    <row r="146" spans="1:3" x14ac:dyDescent="0.3">
      <c r="A146" t="s">
        <v>155</v>
      </c>
      <c r="B146">
        <v>6</v>
      </c>
      <c r="C146" t="s">
        <v>16</v>
      </c>
    </row>
    <row r="147" spans="1:3" x14ac:dyDescent="0.3">
      <c r="A147" t="s">
        <v>156</v>
      </c>
      <c r="B147">
        <v>5</v>
      </c>
      <c r="C147" t="s">
        <v>16</v>
      </c>
    </row>
    <row r="148" spans="1:3" x14ac:dyDescent="0.3">
      <c r="A148" t="s">
        <v>157</v>
      </c>
      <c r="B148">
        <v>24</v>
      </c>
      <c r="C148" t="s">
        <v>16</v>
      </c>
    </row>
    <row r="149" spans="1:3" x14ac:dyDescent="0.3">
      <c r="A149" t="s">
        <v>158</v>
      </c>
      <c r="B149">
        <v>84</v>
      </c>
      <c r="C149" t="s">
        <v>16</v>
      </c>
    </row>
    <row r="150" spans="1:3" x14ac:dyDescent="0.3">
      <c r="A150" t="s">
        <v>159</v>
      </c>
      <c r="B150">
        <v>25</v>
      </c>
      <c r="C150" t="s">
        <v>14</v>
      </c>
    </row>
    <row r="151" spans="1:3" x14ac:dyDescent="0.3">
      <c r="A151" t="s">
        <v>160</v>
      </c>
      <c r="B151">
        <v>26</v>
      </c>
      <c r="C151" t="s">
        <v>14</v>
      </c>
    </row>
    <row r="152" spans="1:3" x14ac:dyDescent="0.3">
      <c r="A152" t="s">
        <v>161</v>
      </c>
      <c r="B152">
        <v>7</v>
      </c>
      <c r="C152" t="s">
        <v>8</v>
      </c>
    </row>
    <row r="153" spans="1:3" x14ac:dyDescent="0.3">
      <c r="A153" t="s">
        <v>162</v>
      </c>
      <c r="B153">
        <v>34</v>
      </c>
      <c r="C153" t="s">
        <v>8</v>
      </c>
    </row>
    <row r="154" spans="1:3" x14ac:dyDescent="0.3">
      <c r="A154" t="s">
        <v>163</v>
      </c>
      <c r="B154">
        <v>77</v>
      </c>
      <c r="C154" t="s">
        <v>8</v>
      </c>
    </row>
    <row r="155" spans="1:3" x14ac:dyDescent="0.3">
      <c r="A155" t="s">
        <v>164</v>
      </c>
      <c r="B155">
        <v>46</v>
      </c>
      <c r="C155" t="s">
        <v>6</v>
      </c>
    </row>
    <row r="156" spans="1:3" x14ac:dyDescent="0.3">
      <c r="A156" t="s">
        <v>165</v>
      </c>
      <c r="B156">
        <v>27</v>
      </c>
      <c r="C156" t="s">
        <v>10</v>
      </c>
    </row>
    <row r="157" spans="1:3" x14ac:dyDescent="0.3">
      <c r="A157" t="s">
        <v>166</v>
      </c>
      <c r="B157">
        <v>49</v>
      </c>
      <c r="C157" t="s">
        <v>10</v>
      </c>
    </row>
    <row r="158" spans="1:3" x14ac:dyDescent="0.3">
      <c r="A158" t="s">
        <v>167</v>
      </c>
      <c r="B158">
        <v>78</v>
      </c>
      <c r="C158" t="s">
        <v>16</v>
      </c>
    </row>
    <row r="159" spans="1:3" x14ac:dyDescent="0.3">
      <c r="A159" t="s">
        <v>168</v>
      </c>
      <c r="B159">
        <v>57</v>
      </c>
      <c r="C159" t="s">
        <v>6</v>
      </c>
    </row>
    <row r="160" spans="1:3" x14ac:dyDescent="0.3">
      <c r="A160" t="s">
        <v>169</v>
      </c>
      <c r="B160">
        <v>35</v>
      </c>
      <c r="C160" t="s">
        <v>35</v>
      </c>
    </row>
    <row r="161" spans="1:3" x14ac:dyDescent="0.3">
      <c r="A161" t="s">
        <v>170</v>
      </c>
      <c r="B161">
        <v>26</v>
      </c>
      <c r="C161" t="s">
        <v>6</v>
      </c>
    </row>
    <row r="162" spans="1:3" x14ac:dyDescent="0.3">
      <c r="A162" t="s">
        <v>171</v>
      </c>
      <c r="B162">
        <v>33</v>
      </c>
      <c r="C162" t="s">
        <v>6</v>
      </c>
    </row>
    <row r="163" spans="1:3" x14ac:dyDescent="0.3">
      <c r="A163" t="s">
        <v>172</v>
      </c>
      <c r="B163">
        <v>2</v>
      </c>
      <c r="C163" t="s">
        <v>35</v>
      </c>
    </row>
    <row r="164" spans="1:3" x14ac:dyDescent="0.3">
      <c r="A164" t="s">
        <v>173</v>
      </c>
      <c r="B164">
        <v>94</v>
      </c>
      <c r="C164" t="s">
        <v>35</v>
      </c>
    </row>
    <row r="165" spans="1:3" x14ac:dyDescent="0.3">
      <c r="A165" t="s">
        <v>174</v>
      </c>
      <c r="B165">
        <v>77</v>
      </c>
      <c r="C165" t="s">
        <v>16</v>
      </c>
    </row>
    <row r="166" spans="1:3" x14ac:dyDescent="0.3">
      <c r="A166" t="s">
        <v>175</v>
      </c>
      <c r="B166">
        <v>19</v>
      </c>
      <c r="C166" t="s">
        <v>12</v>
      </c>
    </row>
    <row r="167" spans="1:3" x14ac:dyDescent="0.3">
      <c r="A167" t="s">
        <v>176</v>
      </c>
      <c r="B167">
        <v>13</v>
      </c>
      <c r="C167" t="s">
        <v>8</v>
      </c>
    </row>
    <row r="168" spans="1:3" x14ac:dyDescent="0.3">
      <c r="A168" t="s">
        <v>177</v>
      </c>
      <c r="B168">
        <v>42</v>
      </c>
      <c r="C168" t="s">
        <v>8</v>
      </c>
    </row>
    <row r="169" spans="1:3" x14ac:dyDescent="0.3">
      <c r="A169" t="s">
        <v>178</v>
      </c>
      <c r="B169">
        <v>77</v>
      </c>
      <c r="C169" t="s">
        <v>16</v>
      </c>
    </row>
    <row r="170" spans="1:3" x14ac:dyDescent="0.3">
      <c r="A170" t="s">
        <v>179</v>
      </c>
      <c r="B170">
        <v>68</v>
      </c>
      <c r="C170" t="s">
        <v>12</v>
      </c>
    </row>
    <row r="171" spans="1:3" x14ac:dyDescent="0.3">
      <c r="A171" t="s">
        <v>180</v>
      </c>
      <c r="B171">
        <v>30</v>
      </c>
      <c r="C171" t="s">
        <v>12</v>
      </c>
    </row>
    <row r="172" spans="1:3" x14ac:dyDescent="0.3">
      <c r="A172" t="s">
        <v>181</v>
      </c>
      <c r="B172">
        <v>4</v>
      </c>
      <c r="C172" t="s">
        <v>35</v>
      </c>
    </row>
    <row r="173" spans="1:3" x14ac:dyDescent="0.3">
      <c r="A173" t="s">
        <v>182</v>
      </c>
      <c r="B173">
        <v>17</v>
      </c>
      <c r="C173" t="s">
        <v>14</v>
      </c>
    </row>
    <row r="174" spans="1:3" x14ac:dyDescent="0.3">
      <c r="A174" t="s">
        <v>183</v>
      </c>
      <c r="B174">
        <v>99</v>
      </c>
      <c r="C174" t="s">
        <v>16</v>
      </c>
    </row>
    <row r="175" spans="1:3" x14ac:dyDescent="0.3">
      <c r="A175" t="s">
        <v>184</v>
      </c>
      <c r="B175">
        <v>67</v>
      </c>
      <c r="C175" t="s">
        <v>10</v>
      </c>
    </row>
    <row r="176" spans="1:3" x14ac:dyDescent="0.3">
      <c r="A176" t="s">
        <v>185</v>
      </c>
      <c r="B176">
        <v>56</v>
      </c>
      <c r="C176" t="s">
        <v>14</v>
      </c>
    </row>
    <row r="177" spans="1:3" x14ac:dyDescent="0.3">
      <c r="A177" t="s">
        <v>186</v>
      </c>
      <c r="B177">
        <v>55</v>
      </c>
      <c r="C177" t="s">
        <v>12</v>
      </c>
    </row>
    <row r="178" spans="1:3" x14ac:dyDescent="0.3">
      <c r="A178" t="s">
        <v>187</v>
      </c>
      <c r="B178">
        <v>57</v>
      </c>
      <c r="C178" t="s">
        <v>10</v>
      </c>
    </row>
    <row r="179" spans="1:3" x14ac:dyDescent="0.3">
      <c r="A179" t="s">
        <v>188</v>
      </c>
      <c r="B179">
        <v>70</v>
      </c>
      <c r="C179" t="s">
        <v>8</v>
      </c>
    </row>
    <row r="180" spans="1:3" x14ac:dyDescent="0.3">
      <c r="A180" t="s">
        <v>189</v>
      </c>
      <c r="B180">
        <v>30</v>
      </c>
      <c r="C180" t="s">
        <v>8</v>
      </c>
    </row>
    <row r="181" spans="1:3" x14ac:dyDescent="0.3">
      <c r="A181" t="s">
        <v>190</v>
      </c>
      <c r="B181">
        <v>49</v>
      </c>
      <c r="C181" t="s">
        <v>8</v>
      </c>
    </row>
    <row r="182" spans="1:3" x14ac:dyDescent="0.3">
      <c r="A182" t="s">
        <v>191</v>
      </c>
      <c r="B182">
        <v>44</v>
      </c>
      <c r="C182" t="s">
        <v>14</v>
      </c>
    </row>
    <row r="183" spans="1:3" x14ac:dyDescent="0.3">
      <c r="A183" t="s">
        <v>192</v>
      </c>
      <c r="B183">
        <v>19</v>
      </c>
      <c r="C183" t="s">
        <v>14</v>
      </c>
    </row>
    <row r="184" spans="1:3" x14ac:dyDescent="0.3">
      <c r="A184" t="s">
        <v>193</v>
      </c>
      <c r="B184">
        <v>91</v>
      </c>
      <c r="C184" t="s">
        <v>6</v>
      </c>
    </row>
    <row r="185" spans="1:3" x14ac:dyDescent="0.3">
      <c r="A185" t="s">
        <v>194</v>
      </c>
      <c r="B185">
        <v>13</v>
      </c>
      <c r="C185" t="s">
        <v>6</v>
      </c>
    </row>
    <row r="186" spans="1:3" x14ac:dyDescent="0.3">
      <c r="A186" t="s">
        <v>195</v>
      </c>
      <c r="B186">
        <v>18</v>
      </c>
      <c r="C186" t="s">
        <v>6</v>
      </c>
    </row>
    <row r="187" spans="1:3" x14ac:dyDescent="0.3">
      <c r="A187" t="s">
        <v>196</v>
      </c>
      <c r="B187">
        <v>6</v>
      </c>
      <c r="C187" t="s">
        <v>10</v>
      </c>
    </row>
    <row r="188" spans="1:3" x14ac:dyDescent="0.3">
      <c r="A188" t="s">
        <v>197</v>
      </c>
      <c r="B188">
        <v>40</v>
      </c>
      <c r="C188" t="s">
        <v>14</v>
      </c>
    </row>
    <row r="189" spans="1:3" x14ac:dyDescent="0.3">
      <c r="A189" t="s">
        <v>198</v>
      </c>
      <c r="B189">
        <v>36</v>
      </c>
      <c r="C189" t="s">
        <v>12</v>
      </c>
    </row>
    <row r="190" spans="1:3" x14ac:dyDescent="0.3">
      <c r="A190" t="s">
        <v>199</v>
      </c>
      <c r="B190">
        <v>39</v>
      </c>
      <c r="C190" t="s">
        <v>10</v>
      </c>
    </row>
    <row r="191" spans="1:3" x14ac:dyDescent="0.3">
      <c r="A191" t="s">
        <v>200</v>
      </c>
      <c r="B191">
        <v>1</v>
      </c>
      <c r="C191" t="s">
        <v>16</v>
      </c>
    </row>
    <row r="192" spans="1:3" x14ac:dyDescent="0.3">
      <c r="A192" t="s">
        <v>201</v>
      </c>
      <c r="B192">
        <v>58</v>
      </c>
      <c r="C192" t="s">
        <v>14</v>
      </c>
    </row>
    <row r="193" spans="1:3" x14ac:dyDescent="0.3">
      <c r="A193" t="s">
        <v>202</v>
      </c>
      <c r="B193">
        <v>85</v>
      </c>
      <c r="C193" t="s">
        <v>14</v>
      </c>
    </row>
    <row r="194" spans="1:3" x14ac:dyDescent="0.3">
      <c r="A194" t="s">
        <v>203</v>
      </c>
      <c r="B194">
        <v>75</v>
      </c>
      <c r="C194" t="s">
        <v>14</v>
      </c>
    </row>
    <row r="195" spans="1:3" x14ac:dyDescent="0.3">
      <c r="A195" t="s">
        <v>204</v>
      </c>
      <c r="B195">
        <v>45</v>
      </c>
      <c r="C195" t="s">
        <v>10</v>
      </c>
    </row>
    <row r="196" spans="1:3" x14ac:dyDescent="0.3">
      <c r="A196" t="s">
        <v>205</v>
      </c>
      <c r="B196">
        <v>5</v>
      </c>
      <c r="C196" t="s">
        <v>12</v>
      </c>
    </row>
    <row r="197" spans="1:3" x14ac:dyDescent="0.3">
      <c r="A197" t="s">
        <v>206</v>
      </c>
      <c r="B197">
        <v>48</v>
      </c>
      <c r="C197" t="s">
        <v>12</v>
      </c>
    </row>
    <row r="198" spans="1:3" x14ac:dyDescent="0.3">
      <c r="A198" t="s">
        <v>207</v>
      </c>
      <c r="B198">
        <v>3</v>
      </c>
      <c r="C198" t="s">
        <v>35</v>
      </c>
    </row>
    <row r="199" spans="1:3" x14ac:dyDescent="0.3">
      <c r="A199" t="s">
        <v>208</v>
      </c>
      <c r="B199">
        <v>44</v>
      </c>
      <c r="C199" t="s">
        <v>16</v>
      </c>
    </row>
    <row r="200" spans="1:3" x14ac:dyDescent="0.3">
      <c r="A200" t="s">
        <v>209</v>
      </c>
      <c r="B200">
        <v>46</v>
      </c>
      <c r="C200" t="s">
        <v>12</v>
      </c>
    </row>
    <row r="201" spans="1:3" x14ac:dyDescent="0.3">
      <c r="A201" t="s">
        <v>210</v>
      </c>
      <c r="B201">
        <v>13</v>
      </c>
      <c r="C201" t="s">
        <v>8</v>
      </c>
    </row>
    <row r="202" spans="1:3" x14ac:dyDescent="0.3">
      <c r="A202" t="s">
        <v>211</v>
      </c>
      <c r="B202">
        <v>7</v>
      </c>
      <c r="C202" t="s">
        <v>16</v>
      </c>
    </row>
    <row r="203" spans="1:3" x14ac:dyDescent="0.3">
      <c r="A203" t="s">
        <v>212</v>
      </c>
      <c r="B203">
        <v>29</v>
      </c>
      <c r="C203" t="s">
        <v>12</v>
      </c>
    </row>
    <row r="204" spans="1:3" x14ac:dyDescent="0.3">
      <c r="A204" t="s">
        <v>213</v>
      </c>
      <c r="B204">
        <v>39</v>
      </c>
      <c r="C204" t="s">
        <v>6</v>
      </c>
    </row>
    <row r="205" spans="1:3" x14ac:dyDescent="0.3">
      <c r="A205" t="s">
        <v>214</v>
      </c>
      <c r="B205">
        <v>11</v>
      </c>
      <c r="C205" t="s">
        <v>35</v>
      </c>
    </row>
    <row r="206" spans="1:3" x14ac:dyDescent="0.3">
      <c r="A206" t="s">
        <v>215</v>
      </c>
      <c r="B206">
        <v>94</v>
      </c>
      <c r="C206" t="s">
        <v>12</v>
      </c>
    </row>
    <row r="207" spans="1:3" x14ac:dyDescent="0.3">
      <c r="A207" t="s">
        <v>216</v>
      </c>
      <c r="B207">
        <v>13</v>
      </c>
      <c r="C207" t="s">
        <v>35</v>
      </c>
    </row>
    <row r="208" spans="1:3" x14ac:dyDescent="0.3">
      <c r="A208" t="s">
        <v>217</v>
      </c>
      <c r="B208">
        <v>9</v>
      </c>
      <c r="C208" t="s">
        <v>35</v>
      </c>
    </row>
    <row r="209" spans="1:3" x14ac:dyDescent="0.3">
      <c r="A209" t="s">
        <v>218</v>
      </c>
      <c r="B209">
        <v>73</v>
      </c>
      <c r="C209" t="s">
        <v>12</v>
      </c>
    </row>
    <row r="210" spans="1:3" x14ac:dyDescent="0.3">
      <c r="A210" t="s">
        <v>219</v>
      </c>
      <c r="B210">
        <v>89</v>
      </c>
      <c r="C210" t="s">
        <v>12</v>
      </c>
    </row>
    <row r="211" spans="1:3" x14ac:dyDescent="0.3">
      <c r="A211" t="s">
        <v>220</v>
      </c>
      <c r="B211">
        <v>94</v>
      </c>
      <c r="C211" t="s">
        <v>8</v>
      </c>
    </row>
    <row r="212" spans="1:3" x14ac:dyDescent="0.3">
      <c r="A212" t="s">
        <v>221</v>
      </c>
      <c r="B212">
        <v>3</v>
      </c>
      <c r="C212" t="s">
        <v>12</v>
      </c>
    </row>
    <row r="213" spans="1:3" x14ac:dyDescent="0.3">
      <c r="A213" t="s">
        <v>222</v>
      </c>
      <c r="B213">
        <v>97</v>
      </c>
      <c r="C213" t="s">
        <v>35</v>
      </c>
    </row>
    <row r="214" spans="1:3" x14ac:dyDescent="0.3">
      <c r="A214" t="s">
        <v>223</v>
      </c>
      <c r="B214">
        <v>43</v>
      </c>
      <c r="C214" t="s">
        <v>35</v>
      </c>
    </row>
    <row r="215" spans="1:3" x14ac:dyDescent="0.3">
      <c r="A215" t="s">
        <v>224</v>
      </c>
      <c r="B215">
        <v>86</v>
      </c>
      <c r="C215" t="s">
        <v>35</v>
      </c>
    </row>
    <row r="216" spans="1:3" x14ac:dyDescent="0.3">
      <c r="A216" t="s">
        <v>225</v>
      </c>
      <c r="B216">
        <v>80</v>
      </c>
      <c r="C216" t="s">
        <v>12</v>
      </c>
    </row>
    <row r="217" spans="1:3" x14ac:dyDescent="0.3">
      <c r="A217" t="s">
        <v>226</v>
      </c>
      <c r="B217">
        <v>36</v>
      </c>
      <c r="C217" t="s">
        <v>8</v>
      </c>
    </row>
    <row r="218" spans="1:3" x14ac:dyDescent="0.3">
      <c r="A218" t="s">
        <v>227</v>
      </c>
      <c r="B218">
        <v>94</v>
      </c>
      <c r="C218" t="s">
        <v>16</v>
      </c>
    </row>
    <row r="219" spans="1:3" x14ac:dyDescent="0.3">
      <c r="A219" t="s">
        <v>228</v>
      </c>
      <c r="B219">
        <v>12</v>
      </c>
      <c r="C219" t="s">
        <v>6</v>
      </c>
    </row>
    <row r="220" spans="1:3" x14ac:dyDescent="0.3">
      <c r="A220" t="s">
        <v>229</v>
      </c>
      <c r="B220">
        <v>99</v>
      </c>
      <c r="C220" t="s">
        <v>10</v>
      </c>
    </row>
    <row r="221" spans="1:3" x14ac:dyDescent="0.3">
      <c r="A221" t="s">
        <v>230</v>
      </c>
      <c r="B221">
        <v>33</v>
      </c>
      <c r="C221" t="s">
        <v>16</v>
      </c>
    </row>
    <row r="222" spans="1:3" x14ac:dyDescent="0.3">
      <c r="A222" t="s">
        <v>231</v>
      </c>
      <c r="B222">
        <v>53</v>
      </c>
      <c r="C222" t="s">
        <v>35</v>
      </c>
    </row>
    <row r="223" spans="1:3" x14ac:dyDescent="0.3">
      <c r="A223" t="s">
        <v>232</v>
      </c>
      <c r="B223">
        <v>39</v>
      </c>
      <c r="C223" t="s">
        <v>12</v>
      </c>
    </row>
    <row r="224" spans="1:3" x14ac:dyDescent="0.3">
      <c r="A224" t="s">
        <v>233</v>
      </c>
      <c r="B224">
        <v>62</v>
      </c>
      <c r="C224" t="s">
        <v>35</v>
      </c>
    </row>
    <row r="225" spans="1:3" x14ac:dyDescent="0.3">
      <c r="A225" t="s">
        <v>234</v>
      </c>
      <c r="B225">
        <v>99</v>
      </c>
      <c r="C225" t="s">
        <v>8</v>
      </c>
    </row>
    <row r="226" spans="1:3" x14ac:dyDescent="0.3">
      <c r="A226" t="s">
        <v>235</v>
      </c>
      <c r="B226">
        <v>31</v>
      </c>
      <c r="C226" t="s">
        <v>12</v>
      </c>
    </row>
    <row r="227" spans="1:3" x14ac:dyDescent="0.3">
      <c r="A227" t="s">
        <v>236</v>
      </c>
      <c r="B227">
        <v>49</v>
      </c>
      <c r="C227" t="s">
        <v>35</v>
      </c>
    </row>
    <row r="228" spans="1:3" x14ac:dyDescent="0.3">
      <c r="A228" t="s">
        <v>237</v>
      </c>
      <c r="B228">
        <v>43</v>
      </c>
      <c r="C228" t="s">
        <v>12</v>
      </c>
    </row>
    <row r="229" spans="1:3" x14ac:dyDescent="0.3">
      <c r="A229" t="s">
        <v>238</v>
      </c>
      <c r="B229">
        <v>12</v>
      </c>
      <c r="C229" t="s">
        <v>16</v>
      </c>
    </row>
    <row r="230" spans="1:3" x14ac:dyDescent="0.3">
      <c r="A230" t="s">
        <v>239</v>
      </c>
      <c r="B230">
        <v>97</v>
      </c>
      <c r="C230" t="s">
        <v>10</v>
      </c>
    </row>
    <row r="231" spans="1:3" x14ac:dyDescent="0.3">
      <c r="A231" t="s">
        <v>240</v>
      </c>
      <c r="B231">
        <v>12</v>
      </c>
      <c r="C231" t="s">
        <v>6</v>
      </c>
    </row>
    <row r="232" spans="1:3" x14ac:dyDescent="0.3">
      <c r="A232" t="s">
        <v>241</v>
      </c>
      <c r="B232">
        <v>5</v>
      </c>
      <c r="C232" t="s">
        <v>35</v>
      </c>
    </row>
    <row r="233" spans="1:3" x14ac:dyDescent="0.3">
      <c r="A233" t="s">
        <v>242</v>
      </c>
      <c r="B233">
        <v>92</v>
      </c>
      <c r="C233" t="s">
        <v>8</v>
      </c>
    </row>
    <row r="234" spans="1:3" x14ac:dyDescent="0.3">
      <c r="A234" t="s">
        <v>243</v>
      </c>
      <c r="B234">
        <v>14</v>
      </c>
      <c r="C234" t="s">
        <v>35</v>
      </c>
    </row>
    <row r="235" spans="1:3" x14ac:dyDescent="0.3">
      <c r="A235" t="s">
        <v>244</v>
      </c>
      <c r="B235">
        <v>24</v>
      </c>
      <c r="C235" t="s">
        <v>16</v>
      </c>
    </row>
    <row r="236" spans="1:3" x14ac:dyDescent="0.3">
      <c r="A236" t="s">
        <v>245</v>
      </c>
      <c r="B236">
        <v>80</v>
      </c>
      <c r="C236" t="s">
        <v>35</v>
      </c>
    </row>
    <row r="237" spans="1:3" x14ac:dyDescent="0.3">
      <c r="A237" t="s">
        <v>246</v>
      </c>
      <c r="B237">
        <v>11</v>
      </c>
      <c r="C237" t="s">
        <v>8</v>
      </c>
    </row>
    <row r="238" spans="1:3" x14ac:dyDescent="0.3">
      <c r="A238" t="s">
        <v>247</v>
      </c>
      <c r="B238">
        <v>9</v>
      </c>
      <c r="C238" t="s">
        <v>12</v>
      </c>
    </row>
    <row r="239" spans="1:3" x14ac:dyDescent="0.3">
      <c r="A239" t="s">
        <v>248</v>
      </c>
      <c r="B239">
        <v>77</v>
      </c>
      <c r="C239" t="s">
        <v>10</v>
      </c>
    </row>
    <row r="240" spans="1:3" x14ac:dyDescent="0.3">
      <c r="A240" t="s">
        <v>249</v>
      </c>
      <c r="B240">
        <v>79</v>
      </c>
      <c r="C240" t="s">
        <v>16</v>
      </c>
    </row>
    <row r="241" spans="1:3" x14ac:dyDescent="0.3">
      <c r="A241" t="s">
        <v>250</v>
      </c>
      <c r="B241">
        <v>3</v>
      </c>
      <c r="C241" t="s">
        <v>8</v>
      </c>
    </row>
    <row r="242" spans="1:3" x14ac:dyDescent="0.3">
      <c r="A242" t="s">
        <v>251</v>
      </c>
      <c r="B242">
        <v>70</v>
      </c>
      <c r="C242" t="s">
        <v>4</v>
      </c>
    </row>
    <row r="243" spans="1:3" x14ac:dyDescent="0.3">
      <c r="A243" t="s">
        <v>252</v>
      </c>
      <c r="B243">
        <v>13</v>
      </c>
      <c r="C243" t="s">
        <v>4</v>
      </c>
    </row>
    <row r="244" spans="1:3" x14ac:dyDescent="0.3">
      <c r="A244" t="s">
        <v>253</v>
      </c>
      <c r="B244">
        <v>77</v>
      </c>
      <c r="C244" t="s">
        <v>12</v>
      </c>
    </row>
    <row r="245" spans="1:3" x14ac:dyDescent="0.3">
      <c r="A245" t="s">
        <v>254</v>
      </c>
      <c r="B245">
        <v>93</v>
      </c>
      <c r="C245" t="s">
        <v>4</v>
      </c>
    </row>
    <row r="246" spans="1:3" x14ac:dyDescent="0.3">
      <c r="A246" t="s">
        <v>255</v>
      </c>
      <c r="B246">
        <v>58</v>
      </c>
      <c r="C246" t="s">
        <v>8</v>
      </c>
    </row>
    <row r="247" spans="1:3" x14ac:dyDescent="0.3">
      <c r="A247" t="s">
        <v>256</v>
      </c>
      <c r="B247">
        <v>48</v>
      </c>
      <c r="C247" t="s">
        <v>16</v>
      </c>
    </row>
    <row r="248" spans="1:3" x14ac:dyDescent="0.3">
      <c r="A248" t="s">
        <v>257</v>
      </c>
      <c r="B248">
        <v>16</v>
      </c>
      <c r="C248" t="s">
        <v>12</v>
      </c>
    </row>
    <row r="249" spans="1:3" x14ac:dyDescent="0.3">
      <c r="A249" t="s">
        <v>258</v>
      </c>
      <c r="B249">
        <v>24</v>
      </c>
      <c r="C249" t="s">
        <v>12</v>
      </c>
    </row>
    <row r="250" spans="1:3" x14ac:dyDescent="0.3">
      <c r="A250" t="s">
        <v>259</v>
      </c>
      <c r="B250">
        <v>63</v>
      </c>
      <c r="C250" t="s">
        <v>10</v>
      </c>
    </row>
    <row r="251" spans="1:3" x14ac:dyDescent="0.3">
      <c r="A251" t="s">
        <v>260</v>
      </c>
      <c r="B251">
        <v>66</v>
      </c>
      <c r="C251" t="s">
        <v>8</v>
      </c>
    </row>
  </sheetData>
  <mergeCells count="2">
    <mergeCell ref="F1:G1"/>
    <mergeCell ref="H1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6E5-0E4F-470E-892F-028996FAD50C}">
  <dimension ref="A1:J251"/>
  <sheetViews>
    <sheetView tabSelected="1" topLeftCell="A17" workbookViewId="0">
      <selection activeCell="R27" sqref="R27"/>
    </sheetView>
  </sheetViews>
  <sheetFormatPr defaultRowHeight="14.4" x14ac:dyDescent="0.3"/>
  <cols>
    <col min="1" max="1" width="11.44140625" bestFit="1" customWidth="1"/>
    <col min="2" max="2" width="9" bestFit="1" customWidth="1"/>
    <col min="3" max="3" width="11.44140625" bestFit="1" customWidth="1"/>
    <col min="4" max="4" width="8.5546875" bestFit="1" customWidth="1"/>
    <col min="5" max="5" width="15.109375" bestFit="1" customWidth="1"/>
    <col min="6" max="6" width="5.88671875" customWidth="1"/>
    <col min="7" max="7" width="14" bestFit="1" customWidth="1"/>
    <col min="8" max="8" width="15.21875" bestFit="1" customWidth="1"/>
    <col min="9" max="9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274</v>
      </c>
      <c r="E1" t="s">
        <v>275</v>
      </c>
      <c r="G1" s="5" t="s">
        <v>261</v>
      </c>
      <c r="H1" s="5"/>
      <c r="I1" s="1" t="s">
        <v>264</v>
      </c>
      <c r="J1" s="1"/>
    </row>
    <row r="2" spans="1:10" x14ac:dyDescent="0.3">
      <c r="A2" t="s">
        <v>3</v>
      </c>
      <c r="B2">
        <v>62</v>
      </c>
      <c r="C2" t="s">
        <v>4</v>
      </c>
      <c r="D2" cm="1">
        <f t="array" ref="D2">_xlfn.IFS(oceny5[[#This Row],[Wynik]]&gt;=$G$3,$I$3,oceny5[[#This Row],[Wynik]]&gt;=$G$4,$I$4,oceny5[[#This Row],[Wynik]]&gt;=$G$5,$I$5,oceny5[[#This Row],[Wynik]]&gt;=$G$6,$I$6,oceny5[[#This Row],[Wynik]]&gt;=$G$7,$I$7)</f>
        <v>4</v>
      </c>
      <c r="E2" t="str">
        <f>VLOOKUP(oceny5[[#This Row],[ocena]],$I$3:$J$7,2,FALSE)</f>
        <v>dobry</v>
      </c>
      <c r="G2" t="s">
        <v>262</v>
      </c>
      <c r="H2" t="s">
        <v>263</v>
      </c>
      <c r="I2" s="1"/>
      <c r="J2" s="1"/>
    </row>
    <row r="3" spans="1:10" x14ac:dyDescent="0.3">
      <c r="A3" t="s">
        <v>5</v>
      </c>
      <c r="B3">
        <v>92</v>
      </c>
      <c r="C3" t="s">
        <v>6</v>
      </c>
      <c r="D3" cm="1">
        <f t="array" ref="D3">_xlfn.IFS(oceny5[[#This Row],[Wynik]]&gt;=$G$3,$I$3,oceny5[[#This Row],[Wynik]]&gt;=$G$4,$I$4,oceny5[[#This Row],[Wynik]]&gt;=$G$5,$I$5,oceny5[[#This Row],[Wynik]]&gt;=$G$6,$I$6,oceny5[[#This Row],[Wynik]]&gt;=$G$7,$I$7)</f>
        <v>6</v>
      </c>
      <c r="E3" t="str">
        <f>VLOOKUP(oceny5[[#This Row],[ocena]],$I$3:$J$7,2,FALSE)</f>
        <v>celujący</v>
      </c>
      <c r="G3">
        <v>90</v>
      </c>
      <c r="H3">
        <v>100</v>
      </c>
      <c r="I3">
        <v>6</v>
      </c>
      <c r="J3" t="s">
        <v>265</v>
      </c>
    </row>
    <row r="4" spans="1:10" x14ac:dyDescent="0.3">
      <c r="A4" t="s">
        <v>7</v>
      </c>
      <c r="B4">
        <v>52</v>
      </c>
      <c r="C4" t="s">
        <v>8</v>
      </c>
      <c r="D4" cm="1">
        <f t="array" ref="D4">_xlfn.IFS(oceny5[[#This Row],[Wynik]]&gt;=$G$3,$I$3,oceny5[[#This Row],[Wynik]]&gt;=$G$4,$I$4,oceny5[[#This Row],[Wynik]]&gt;=$G$5,$I$5,oceny5[[#This Row],[Wynik]]&gt;=$G$6,$I$6,oceny5[[#This Row],[Wynik]]&gt;=$G$7,$I$7)</f>
        <v>4</v>
      </c>
      <c r="E4" t="str">
        <f>VLOOKUP(oceny5[[#This Row],[ocena]],$I$3:$J$7,2,FALSE)</f>
        <v>dobry</v>
      </c>
      <c r="G4">
        <v>80</v>
      </c>
      <c r="H4">
        <v>89</v>
      </c>
      <c r="I4">
        <v>5</v>
      </c>
      <c r="J4" t="s">
        <v>266</v>
      </c>
    </row>
    <row r="5" spans="1:10" x14ac:dyDescent="0.3">
      <c r="A5" t="s">
        <v>9</v>
      </c>
      <c r="B5">
        <v>60</v>
      </c>
      <c r="C5" t="s">
        <v>10</v>
      </c>
      <c r="D5" cm="1">
        <f t="array" ref="D5">_xlfn.IFS(oceny5[[#This Row],[Wynik]]&gt;=$G$3,$I$3,oceny5[[#This Row],[Wynik]]&gt;=$G$4,$I$4,oceny5[[#This Row],[Wynik]]&gt;=$G$5,$I$5,oceny5[[#This Row],[Wynik]]&gt;=$G$6,$I$6,oceny5[[#This Row],[Wynik]]&gt;=$G$7,$I$7)</f>
        <v>4</v>
      </c>
      <c r="E5" t="str">
        <f>VLOOKUP(oceny5[[#This Row],[ocena]],$I$3:$J$7,2,FALSE)</f>
        <v>dobry</v>
      </c>
      <c r="G5">
        <v>51</v>
      </c>
      <c r="H5">
        <v>79</v>
      </c>
      <c r="I5">
        <v>4</v>
      </c>
      <c r="J5" t="s">
        <v>267</v>
      </c>
    </row>
    <row r="6" spans="1:10" x14ac:dyDescent="0.3">
      <c r="A6" t="s">
        <v>11</v>
      </c>
      <c r="B6">
        <v>81</v>
      </c>
      <c r="C6" t="s">
        <v>12</v>
      </c>
      <c r="D6" cm="1">
        <f t="array" ref="D6">_xlfn.IFS(oceny5[[#This Row],[Wynik]]&gt;=$G$3,$I$3,oceny5[[#This Row],[Wynik]]&gt;=$G$4,$I$4,oceny5[[#This Row],[Wynik]]&gt;=$G$5,$I$5,oceny5[[#This Row],[Wynik]]&gt;=$G$6,$I$6,oceny5[[#This Row],[Wynik]]&gt;=$G$7,$I$7)</f>
        <v>5</v>
      </c>
      <c r="E6" t="str">
        <f>VLOOKUP(oceny5[[#This Row],[ocena]],$I$3:$J$7,2,FALSE)</f>
        <v>bardzo dobry</v>
      </c>
      <c r="G6">
        <v>41</v>
      </c>
      <c r="H6">
        <v>50</v>
      </c>
      <c r="I6">
        <v>3</v>
      </c>
      <c r="J6" t="s">
        <v>268</v>
      </c>
    </row>
    <row r="7" spans="1:10" x14ac:dyDescent="0.3">
      <c r="A7" t="s">
        <v>13</v>
      </c>
      <c r="B7">
        <v>66</v>
      </c>
      <c r="C7" t="s">
        <v>14</v>
      </c>
      <c r="D7" cm="1">
        <f t="array" ref="D7">_xlfn.IFS(oceny5[[#This Row],[Wynik]]&gt;=$G$3,$I$3,oceny5[[#This Row],[Wynik]]&gt;=$G$4,$I$4,oceny5[[#This Row],[Wynik]]&gt;=$G$5,$I$5,oceny5[[#This Row],[Wynik]]&gt;=$G$6,$I$6,oceny5[[#This Row],[Wynik]]&gt;=$G$7,$I$7)</f>
        <v>4</v>
      </c>
      <c r="E7" t="str">
        <f>VLOOKUP(oceny5[[#This Row],[ocena]],$I$3:$J$7,2,FALSE)</f>
        <v>dobry</v>
      </c>
      <c r="G7">
        <v>0</v>
      </c>
      <c r="H7">
        <v>40</v>
      </c>
      <c r="I7">
        <v>2</v>
      </c>
      <c r="J7" t="s">
        <v>269</v>
      </c>
    </row>
    <row r="8" spans="1:10" x14ac:dyDescent="0.3">
      <c r="A8" t="s">
        <v>15</v>
      </c>
      <c r="B8">
        <v>63</v>
      </c>
      <c r="C8" t="s">
        <v>16</v>
      </c>
      <c r="D8" cm="1">
        <f t="array" ref="D8">_xlfn.IFS(oceny5[[#This Row],[Wynik]]&gt;=$G$3,$I$3,oceny5[[#This Row],[Wynik]]&gt;=$G$4,$I$4,oceny5[[#This Row],[Wynik]]&gt;=$G$5,$I$5,oceny5[[#This Row],[Wynik]]&gt;=$G$6,$I$6,oceny5[[#This Row],[Wynik]]&gt;=$G$7,$I$7)</f>
        <v>4</v>
      </c>
      <c r="E8" t="str">
        <f>VLOOKUP(oceny5[[#This Row],[ocena]],$I$3:$J$7,2,FALSE)</f>
        <v>dobry</v>
      </c>
    </row>
    <row r="9" spans="1:10" x14ac:dyDescent="0.3">
      <c r="A9" t="s">
        <v>17</v>
      </c>
      <c r="B9">
        <v>100</v>
      </c>
      <c r="C9" t="s">
        <v>10</v>
      </c>
      <c r="D9" cm="1">
        <f t="array" ref="D9">_xlfn.IFS(oceny5[[#This Row],[Wynik]]&gt;=$G$3,$I$3,oceny5[[#This Row],[Wynik]]&gt;=$G$4,$I$4,oceny5[[#This Row],[Wynik]]&gt;=$G$5,$I$5,oceny5[[#This Row],[Wynik]]&gt;=$G$6,$I$6,oceny5[[#This Row],[Wynik]]&gt;=$G$7,$I$7)</f>
        <v>6</v>
      </c>
      <c r="E9" t="str">
        <f>VLOOKUP(oceny5[[#This Row],[ocena]],$I$3:$J$7,2,FALSE)</f>
        <v>celujący</v>
      </c>
    </row>
    <row r="10" spans="1:10" x14ac:dyDescent="0.3">
      <c r="A10" t="s">
        <v>18</v>
      </c>
      <c r="B10">
        <v>46</v>
      </c>
      <c r="C10" t="s">
        <v>8</v>
      </c>
      <c r="D10" cm="1">
        <f t="array" ref="D10">_xlfn.IFS(oceny5[[#This Row],[Wynik]]&gt;=$G$3,$I$3,oceny5[[#This Row],[Wynik]]&gt;=$G$4,$I$4,oceny5[[#This Row],[Wynik]]&gt;=$G$5,$I$5,oceny5[[#This Row],[Wynik]]&gt;=$G$6,$I$6,oceny5[[#This Row],[Wynik]]&gt;=$G$7,$I$7)</f>
        <v>3</v>
      </c>
      <c r="E10" t="str">
        <f>VLOOKUP(oceny5[[#This Row],[ocena]],$I$3:$J$7,2,FALSE)</f>
        <v>dostateczny</v>
      </c>
    </row>
    <row r="11" spans="1:10" x14ac:dyDescent="0.3">
      <c r="A11" t="s">
        <v>19</v>
      </c>
      <c r="B11">
        <v>87</v>
      </c>
      <c r="C11" t="s">
        <v>4</v>
      </c>
      <c r="D11" cm="1">
        <f t="array" ref="D11">_xlfn.IFS(oceny5[[#This Row],[Wynik]]&gt;=$G$3,$I$3,oceny5[[#This Row],[Wynik]]&gt;=$G$4,$I$4,oceny5[[#This Row],[Wynik]]&gt;=$G$5,$I$5,oceny5[[#This Row],[Wynik]]&gt;=$G$6,$I$6,oceny5[[#This Row],[Wynik]]&gt;=$G$7,$I$7)</f>
        <v>5</v>
      </c>
      <c r="E11" t="str">
        <f>VLOOKUP(oceny5[[#This Row],[ocena]],$I$3:$J$7,2,FALSE)</f>
        <v>bardzo dobry</v>
      </c>
      <c r="G11" s="3" t="s">
        <v>274</v>
      </c>
      <c r="H11" s="3" t="s">
        <v>276</v>
      </c>
    </row>
    <row r="12" spans="1:10" x14ac:dyDescent="0.3">
      <c r="A12" t="s">
        <v>20</v>
      </c>
      <c r="B12">
        <v>93</v>
      </c>
      <c r="C12" t="s">
        <v>12</v>
      </c>
      <c r="D12" cm="1">
        <f t="array" ref="D12">_xlfn.IFS(oceny5[[#This Row],[Wynik]]&gt;=$G$3,$I$3,oceny5[[#This Row],[Wynik]]&gt;=$G$4,$I$4,oceny5[[#This Row],[Wynik]]&gt;=$G$5,$I$5,oceny5[[#This Row],[Wynik]]&gt;=$G$6,$I$6,oceny5[[#This Row],[Wynik]]&gt;=$G$7,$I$7)</f>
        <v>6</v>
      </c>
      <c r="E12" t="str">
        <f>VLOOKUP(oceny5[[#This Row],[ocena]],$I$3:$J$7,2,FALSE)</f>
        <v>celujący</v>
      </c>
      <c r="G12" s="4" t="s">
        <v>266</v>
      </c>
      <c r="H12" s="7">
        <v>26</v>
      </c>
    </row>
    <row r="13" spans="1:10" x14ac:dyDescent="0.3">
      <c r="A13" t="s">
        <v>21</v>
      </c>
      <c r="B13">
        <v>84</v>
      </c>
      <c r="C13" t="s">
        <v>6</v>
      </c>
      <c r="D13" cm="1">
        <f t="array" ref="D13">_xlfn.IFS(oceny5[[#This Row],[Wynik]]&gt;=$G$3,$I$3,oceny5[[#This Row],[Wynik]]&gt;=$G$4,$I$4,oceny5[[#This Row],[Wynik]]&gt;=$G$5,$I$5,oceny5[[#This Row],[Wynik]]&gt;=$G$6,$I$6,oceny5[[#This Row],[Wynik]]&gt;=$G$7,$I$7)</f>
        <v>5</v>
      </c>
      <c r="E13" t="str">
        <f>VLOOKUP(oceny5[[#This Row],[ocena]],$I$3:$J$7,2,FALSE)</f>
        <v>bardzo dobry</v>
      </c>
      <c r="G13" s="4" t="s">
        <v>265</v>
      </c>
      <c r="H13" s="7">
        <v>33</v>
      </c>
    </row>
    <row r="14" spans="1:10" x14ac:dyDescent="0.3">
      <c r="A14" t="s">
        <v>22</v>
      </c>
      <c r="B14">
        <v>44</v>
      </c>
      <c r="C14" t="s">
        <v>10</v>
      </c>
      <c r="D14" cm="1">
        <f t="array" ref="D14">_xlfn.IFS(oceny5[[#This Row],[Wynik]]&gt;=$G$3,$I$3,oceny5[[#This Row],[Wynik]]&gt;=$G$4,$I$4,oceny5[[#This Row],[Wynik]]&gt;=$G$5,$I$5,oceny5[[#This Row],[Wynik]]&gt;=$G$6,$I$6,oceny5[[#This Row],[Wynik]]&gt;=$G$7,$I$7)</f>
        <v>3</v>
      </c>
      <c r="E14" t="str">
        <f>VLOOKUP(oceny5[[#This Row],[ocena]],$I$3:$J$7,2,FALSE)</f>
        <v>dostateczny</v>
      </c>
      <c r="G14" s="4" t="s">
        <v>267</v>
      </c>
      <c r="H14" s="7">
        <v>71</v>
      </c>
    </row>
    <row r="15" spans="1:10" x14ac:dyDescent="0.3">
      <c r="A15" t="s">
        <v>23</v>
      </c>
      <c r="B15">
        <v>71</v>
      </c>
      <c r="C15" t="s">
        <v>8</v>
      </c>
      <c r="D15" cm="1">
        <f t="array" ref="D15">_xlfn.IFS(oceny5[[#This Row],[Wynik]]&gt;=$G$3,$I$3,oceny5[[#This Row],[Wynik]]&gt;=$G$4,$I$4,oceny5[[#This Row],[Wynik]]&gt;=$G$5,$I$5,oceny5[[#This Row],[Wynik]]&gt;=$G$6,$I$6,oceny5[[#This Row],[Wynik]]&gt;=$G$7,$I$7)</f>
        <v>4</v>
      </c>
      <c r="E15" t="str">
        <f>VLOOKUP(oceny5[[#This Row],[ocena]],$I$3:$J$7,2,FALSE)</f>
        <v>dobry</v>
      </c>
      <c r="G15" s="4" t="s">
        <v>268</v>
      </c>
      <c r="H15" s="7">
        <v>28</v>
      </c>
    </row>
    <row r="16" spans="1:10" x14ac:dyDescent="0.3">
      <c r="A16" t="s">
        <v>24</v>
      </c>
      <c r="B16">
        <v>100</v>
      </c>
      <c r="C16" t="s">
        <v>10</v>
      </c>
      <c r="D16" cm="1">
        <f t="array" ref="D16">_xlfn.IFS(oceny5[[#This Row],[Wynik]]&gt;=$G$3,$I$3,oceny5[[#This Row],[Wynik]]&gt;=$G$4,$I$4,oceny5[[#This Row],[Wynik]]&gt;=$G$5,$I$5,oceny5[[#This Row],[Wynik]]&gt;=$G$6,$I$6,oceny5[[#This Row],[Wynik]]&gt;=$G$7,$I$7)</f>
        <v>6</v>
      </c>
      <c r="E16" t="str">
        <f>VLOOKUP(oceny5[[#This Row],[ocena]],$I$3:$J$7,2,FALSE)</f>
        <v>celujący</v>
      </c>
      <c r="G16" s="4" t="s">
        <v>269</v>
      </c>
      <c r="H16" s="7">
        <v>92</v>
      </c>
    </row>
    <row r="17" spans="1:8" x14ac:dyDescent="0.3">
      <c r="A17" t="s">
        <v>25</v>
      </c>
      <c r="B17">
        <v>40</v>
      </c>
      <c r="C17" t="s">
        <v>8</v>
      </c>
      <c r="D17" cm="1">
        <f t="array" ref="D17">_xlfn.IFS(oceny5[[#This Row],[Wynik]]&gt;=$G$3,$I$3,oceny5[[#This Row],[Wynik]]&gt;=$G$4,$I$4,oceny5[[#This Row],[Wynik]]&gt;=$G$5,$I$5,oceny5[[#This Row],[Wynik]]&gt;=$G$6,$I$6,oceny5[[#This Row],[Wynik]]&gt;=$G$7,$I$7)</f>
        <v>2</v>
      </c>
      <c r="E17" t="str">
        <f>VLOOKUP(oceny5[[#This Row],[ocena]],$I$3:$J$7,2,FALSE)</f>
        <v>niedostateczny</v>
      </c>
      <c r="G17" s="2" t="s">
        <v>270</v>
      </c>
      <c r="H17" s="6">
        <v>250</v>
      </c>
    </row>
    <row r="18" spans="1:8" x14ac:dyDescent="0.3">
      <c r="A18" t="s">
        <v>26</v>
      </c>
      <c r="B18">
        <v>35</v>
      </c>
      <c r="C18" t="s">
        <v>8</v>
      </c>
      <c r="D18" cm="1">
        <f t="array" ref="D18">_xlfn.IFS(oceny5[[#This Row],[Wynik]]&gt;=$G$3,$I$3,oceny5[[#This Row],[Wynik]]&gt;=$G$4,$I$4,oceny5[[#This Row],[Wynik]]&gt;=$G$5,$I$5,oceny5[[#This Row],[Wynik]]&gt;=$G$6,$I$6,oceny5[[#This Row],[Wynik]]&gt;=$G$7,$I$7)</f>
        <v>2</v>
      </c>
      <c r="E18" t="str">
        <f>VLOOKUP(oceny5[[#This Row],[ocena]],$I$3:$J$7,2,FALSE)</f>
        <v>niedostateczny</v>
      </c>
    </row>
    <row r="19" spans="1:8" x14ac:dyDescent="0.3">
      <c r="A19" t="s">
        <v>27</v>
      </c>
      <c r="B19">
        <v>73</v>
      </c>
      <c r="C19" t="s">
        <v>8</v>
      </c>
      <c r="D19" cm="1">
        <f t="array" ref="D19">_xlfn.IFS(oceny5[[#This Row],[Wynik]]&gt;=$G$3,$I$3,oceny5[[#This Row],[Wynik]]&gt;=$G$4,$I$4,oceny5[[#This Row],[Wynik]]&gt;=$G$5,$I$5,oceny5[[#This Row],[Wynik]]&gt;=$G$6,$I$6,oceny5[[#This Row],[Wynik]]&gt;=$G$7,$I$7)</f>
        <v>4</v>
      </c>
      <c r="E19" t="str">
        <f>VLOOKUP(oceny5[[#This Row],[ocena]],$I$3:$J$7,2,FALSE)</f>
        <v>dobry</v>
      </c>
    </row>
    <row r="20" spans="1:8" x14ac:dyDescent="0.3">
      <c r="A20" t="s">
        <v>28</v>
      </c>
      <c r="B20">
        <v>99</v>
      </c>
      <c r="C20" t="s">
        <v>10</v>
      </c>
      <c r="D20" cm="1">
        <f t="array" ref="D20">_xlfn.IFS(oceny5[[#This Row],[Wynik]]&gt;=$G$3,$I$3,oceny5[[#This Row],[Wynik]]&gt;=$G$4,$I$4,oceny5[[#This Row],[Wynik]]&gt;=$G$5,$I$5,oceny5[[#This Row],[Wynik]]&gt;=$G$6,$I$6,oceny5[[#This Row],[Wynik]]&gt;=$G$7,$I$7)</f>
        <v>6</v>
      </c>
      <c r="E20" t="str">
        <f>VLOOKUP(oceny5[[#This Row],[ocena]],$I$3:$J$7,2,FALSE)</f>
        <v>celujący</v>
      </c>
    </row>
    <row r="21" spans="1:8" x14ac:dyDescent="0.3">
      <c r="A21" t="s">
        <v>29</v>
      </c>
      <c r="B21">
        <v>88</v>
      </c>
      <c r="C21" t="s">
        <v>14</v>
      </c>
      <c r="D21" cm="1">
        <f t="array" ref="D21">_xlfn.IFS(oceny5[[#This Row],[Wynik]]&gt;=$G$3,$I$3,oceny5[[#This Row],[Wynik]]&gt;=$G$4,$I$4,oceny5[[#This Row],[Wynik]]&gt;=$G$5,$I$5,oceny5[[#This Row],[Wynik]]&gt;=$G$6,$I$6,oceny5[[#This Row],[Wynik]]&gt;=$G$7,$I$7)</f>
        <v>5</v>
      </c>
      <c r="E21" t="str">
        <f>VLOOKUP(oceny5[[#This Row],[ocena]],$I$3:$J$7,2,FALSE)</f>
        <v>bardzo dobry</v>
      </c>
    </row>
    <row r="22" spans="1:8" x14ac:dyDescent="0.3">
      <c r="A22" t="s">
        <v>30</v>
      </c>
      <c r="B22">
        <v>90</v>
      </c>
      <c r="C22" t="s">
        <v>16</v>
      </c>
      <c r="D22" cm="1">
        <f t="array" ref="D22">_xlfn.IFS(oceny5[[#This Row],[Wynik]]&gt;=$G$3,$I$3,oceny5[[#This Row],[Wynik]]&gt;=$G$4,$I$4,oceny5[[#This Row],[Wynik]]&gt;=$G$5,$I$5,oceny5[[#This Row],[Wynik]]&gt;=$G$6,$I$6,oceny5[[#This Row],[Wynik]]&gt;=$G$7,$I$7)</f>
        <v>6</v>
      </c>
      <c r="E22" t="str">
        <f>VLOOKUP(oceny5[[#This Row],[ocena]],$I$3:$J$7,2,FALSE)</f>
        <v>celujący</v>
      </c>
    </row>
    <row r="23" spans="1:8" x14ac:dyDescent="0.3">
      <c r="A23" t="s">
        <v>31</v>
      </c>
      <c r="B23">
        <v>90</v>
      </c>
      <c r="C23" t="s">
        <v>6</v>
      </c>
      <c r="D23" cm="1">
        <f t="array" ref="D23">_xlfn.IFS(oceny5[[#This Row],[Wynik]]&gt;=$G$3,$I$3,oceny5[[#This Row],[Wynik]]&gt;=$G$4,$I$4,oceny5[[#This Row],[Wynik]]&gt;=$G$5,$I$5,oceny5[[#This Row],[Wynik]]&gt;=$G$6,$I$6,oceny5[[#This Row],[Wynik]]&gt;=$G$7,$I$7)</f>
        <v>6</v>
      </c>
      <c r="E23" t="str">
        <f>VLOOKUP(oceny5[[#This Row],[ocena]],$I$3:$J$7,2,FALSE)</f>
        <v>celujący</v>
      </c>
    </row>
    <row r="24" spans="1:8" x14ac:dyDescent="0.3">
      <c r="A24" t="s">
        <v>32</v>
      </c>
      <c r="B24">
        <v>44</v>
      </c>
      <c r="C24" t="s">
        <v>12</v>
      </c>
      <c r="D24" cm="1">
        <f t="array" ref="D24">_xlfn.IFS(oceny5[[#This Row],[Wynik]]&gt;=$G$3,$I$3,oceny5[[#This Row],[Wynik]]&gt;=$G$4,$I$4,oceny5[[#This Row],[Wynik]]&gt;=$G$5,$I$5,oceny5[[#This Row],[Wynik]]&gt;=$G$6,$I$6,oceny5[[#This Row],[Wynik]]&gt;=$G$7,$I$7)</f>
        <v>3</v>
      </c>
      <c r="E24" t="str">
        <f>VLOOKUP(oceny5[[#This Row],[ocena]],$I$3:$J$7,2,FALSE)</f>
        <v>dostateczny</v>
      </c>
    </row>
    <row r="25" spans="1:8" x14ac:dyDescent="0.3">
      <c r="A25" t="s">
        <v>33</v>
      </c>
      <c r="B25">
        <v>74</v>
      </c>
      <c r="C25" t="s">
        <v>16</v>
      </c>
      <c r="D25" cm="1">
        <f t="array" ref="D25">_xlfn.IFS(oceny5[[#This Row],[Wynik]]&gt;=$G$3,$I$3,oceny5[[#This Row],[Wynik]]&gt;=$G$4,$I$4,oceny5[[#This Row],[Wynik]]&gt;=$G$5,$I$5,oceny5[[#This Row],[Wynik]]&gt;=$G$6,$I$6,oceny5[[#This Row],[Wynik]]&gt;=$G$7,$I$7)</f>
        <v>4</v>
      </c>
      <c r="E25" t="str">
        <f>VLOOKUP(oceny5[[#This Row],[ocena]],$I$3:$J$7,2,FALSE)</f>
        <v>dobry</v>
      </c>
    </row>
    <row r="26" spans="1:8" x14ac:dyDescent="0.3">
      <c r="A26" t="s">
        <v>34</v>
      </c>
      <c r="B26">
        <v>46</v>
      </c>
      <c r="C26" t="s">
        <v>35</v>
      </c>
      <c r="D26" cm="1">
        <f t="array" ref="D26">_xlfn.IFS(oceny5[[#This Row],[Wynik]]&gt;=$G$3,$I$3,oceny5[[#This Row],[Wynik]]&gt;=$G$4,$I$4,oceny5[[#This Row],[Wynik]]&gt;=$G$5,$I$5,oceny5[[#This Row],[Wynik]]&gt;=$G$6,$I$6,oceny5[[#This Row],[Wynik]]&gt;=$G$7,$I$7)</f>
        <v>3</v>
      </c>
      <c r="E26" t="str">
        <f>VLOOKUP(oceny5[[#This Row],[ocena]],$I$3:$J$7,2,FALSE)</f>
        <v>dostateczny</v>
      </c>
    </row>
    <row r="27" spans="1:8" x14ac:dyDescent="0.3">
      <c r="A27" t="s">
        <v>36</v>
      </c>
      <c r="B27">
        <v>74</v>
      </c>
      <c r="C27" t="s">
        <v>16</v>
      </c>
      <c r="D27" cm="1">
        <f t="array" ref="D27">_xlfn.IFS(oceny5[[#This Row],[Wynik]]&gt;=$G$3,$I$3,oceny5[[#This Row],[Wynik]]&gt;=$G$4,$I$4,oceny5[[#This Row],[Wynik]]&gt;=$G$5,$I$5,oceny5[[#This Row],[Wynik]]&gt;=$G$6,$I$6,oceny5[[#This Row],[Wynik]]&gt;=$G$7,$I$7)</f>
        <v>4</v>
      </c>
      <c r="E27" t="str">
        <f>VLOOKUP(oceny5[[#This Row],[ocena]],$I$3:$J$7,2,FALSE)</f>
        <v>dobry</v>
      </c>
    </row>
    <row r="28" spans="1:8" x14ac:dyDescent="0.3">
      <c r="A28" t="s">
        <v>37</v>
      </c>
      <c r="B28">
        <v>92</v>
      </c>
      <c r="C28" t="s">
        <v>10</v>
      </c>
      <c r="D28" cm="1">
        <f t="array" ref="D28">_xlfn.IFS(oceny5[[#This Row],[Wynik]]&gt;=$G$3,$I$3,oceny5[[#This Row],[Wynik]]&gt;=$G$4,$I$4,oceny5[[#This Row],[Wynik]]&gt;=$G$5,$I$5,oceny5[[#This Row],[Wynik]]&gt;=$G$6,$I$6,oceny5[[#This Row],[Wynik]]&gt;=$G$7,$I$7)</f>
        <v>6</v>
      </c>
      <c r="E28" t="str">
        <f>VLOOKUP(oceny5[[#This Row],[ocena]],$I$3:$J$7,2,FALSE)</f>
        <v>celujący</v>
      </c>
    </row>
    <row r="29" spans="1:8" x14ac:dyDescent="0.3">
      <c r="A29" t="s">
        <v>38</v>
      </c>
      <c r="B29">
        <v>31</v>
      </c>
      <c r="C29" t="s">
        <v>6</v>
      </c>
      <c r="D29" cm="1">
        <f t="array" ref="D29">_xlfn.IFS(oceny5[[#This Row],[Wynik]]&gt;=$G$3,$I$3,oceny5[[#This Row],[Wynik]]&gt;=$G$4,$I$4,oceny5[[#This Row],[Wynik]]&gt;=$G$5,$I$5,oceny5[[#This Row],[Wynik]]&gt;=$G$6,$I$6,oceny5[[#This Row],[Wynik]]&gt;=$G$7,$I$7)</f>
        <v>2</v>
      </c>
      <c r="E29" t="str">
        <f>VLOOKUP(oceny5[[#This Row],[ocena]],$I$3:$J$7,2,FALSE)</f>
        <v>niedostateczny</v>
      </c>
    </row>
    <row r="30" spans="1:8" x14ac:dyDescent="0.3">
      <c r="A30" t="s">
        <v>39</v>
      </c>
      <c r="B30">
        <v>51</v>
      </c>
      <c r="C30" t="s">
        <v>14</v>
      </c>
      <c r="D30" cm="1">
        <f t="array" ref="D30">_xlfn.IFS(oceny5[[#This Row],[Wynik]]&gt;=$G$3,$I$3,oceny5[[#This Row],[Wynik]]&gt;=$G$4,$I$4,oceny5[[#This Row],[Wynik]]&gt;=$G$5,$I$5,oceny5[[#This Row],[Wynik]]&gt;=$G$6,$I$6,oceny5[[#This Row],[Wynik]]&gt;=$G$7,$I$7)</f>
        <v>4</v>
      </c>
      <c r="E30" t="str">
        <f>VLOOKUP(oceny5[[#This Row],[ocena]],$I$3:$J$7,2,FALSE)</f>
        <v>dobry</v>
      </c>
    </row>
    <row r="31" spans="1:8" x14ac:dyDescent="0.3">
      <c r="A31" t="s">
        <v>40</v>
      </c>
      <c r="B31">
        <v>59</v>
      </c>
      <c r="C31" t="s">
        <v>8</v>
      </c>
      <c r="D31" cm="1">
        <f t="array" ref="D31">_xlfn.IFS(oceny5[[#This Row],[Wynik]]&gt;=$G$3,$I$3,oceny5[[#This Row],[Wynik]]&gt;=$G$4,$I$4,oceny5[[#This Row],[Wynik]]&gt;=$G$5,$I$5,oceny5[[#This Row],[Wynik]]&gt;=$G$6,$I$6,oceny5[[#This Row],[Wynik]]&gt;=$G$7,$I$7)</f>
        <v>4</v>
      </c>
      <c r="E31" t="str">
        <f>VLOOKUP(oceny5[[#This Row],[ocena]],$I$3:$J$7,2,FALSE)</f>
        <v>dobry</v>
      </c>
    </row>
    <row r="32" spans="1:8" x14ac:dyDescent="0.3">
      <c r="A32" t="s">
        <v>41</v>
      </c>
      <c r="B32">
        <v>85</v>
      </c>
      <c r="C32" t="s">
        <v>14</v>
      </c>
      <c r="D32" cm="1">
        <f t="array" ref="D32">_xlfn.IFS(oceny5[[#This Row],[Wynik]]&gt;=$G$3,$I$3,oceny5[[#This Row],[Wynik]]&gt;=$G$4,$I$4,oceny5[[#This Row],[Wynik]]&gt;=$G$5,$I$5,oceny5[[#This Row],[Wynik]]&gt;=$G$6,$I$6,oceny5[[#This Row],[Wynik]]&gt;=$G$7,$I$7)</f>
        <v>5</v>
      </c>
      <c r="E32" t="str">
        <f>VLOOKUP(oceny5[[#This Row],[ocena]],$I$3:$J$7,2,FALSE)</f>
        <v>bardzo dobry</v>
      </c>
    </row>
    <row r="33" spans="1:5" x14ac:dyDescent="0.3">
      <c r="A33" t="s">
        <v>42</v>
      </c>
      <c r="B33">
        <v>63</v>
      </c>
      <c r="C33" t="s">
        <v>8</v>
      </c>
      <c r="D33" cm="1">
        <f t="array" ref="D33">_xlfn.IFS(oceny5[[#This Row],[Wynik]]&gt;=$G$3,$I$3,oceny5[[#This Row],[Wynik]]&gt;=$G$4,$I$4,oceny5[[#This Row],[Wynik]]&gt;=$G$5,$I$5,oceny5[[#This Row],[Wynik]]&gt;=$G$6,$I$6,oceny5[[#This Row],[Wynik]]&gt;=$G$7,$I$7)</f>
        <v>4</v>
      </c>
      <c r="E33" t="str">
        <f>VLOOKUP(oceny5[[#This Row],[ocena]],$I$3:$J$7,2,FALSE)</f>
        <v>dobry</v>
      </c>
    </row>
    <row r="34" spans="1:5" x14ac:dyDescent="0.3">
      <c r="A34" t="s">
        <v>43</v>
      </c>
      <c r="B34">
        <v>60</v>
      </c>
      <c r="C34" t="s">
        <v>10</v>
      </c>
      <c r="D34" cm="1">
        <f t="array" ref="D34">_xlfn.IFS(oceny5[[#This Row],[Wynik]]&gt;=$G$3,$I$3,oceny5[[#This Row],[Wynik]]&gt;=$G$4,$I$4,oceny5[[#This Row],[Wynik]]&gt;=$G$5,$I$5,oceny5[[#This Row],[Wynik]]&gt;=$G$6,$I$6,oceny5[[#This Row],[Wynik]]&gt;=$G$7,$I$7)</f>
        <v>4</v>
      </c>
      <c r="E34" t="str">
        <f>VLOOKUP(oceny5[[#This Row],[ocena]],$I$3:$J$7,2,FALSE)</f>
        <v>dobry</v>
      </c>
    </row>
    <row r="35" spans="1:5" x14ac:dyDescent="0.3">
      <c r="A35" t="s">
        <v>44</v>
      </c>
      <c r="B35">
        <v>83</v>
      </c>
      <c r="C35" t="s">
        <v>6</v>
      </c>
      <c r="D35" cm="1">
        <f t="array" ref="D35">_xlfn.IFS(oceny5[[#This Row],[Wynik]]&gt;=$G$3,$I$3,oceny5[[#This Row],[Wynik]]&gt;=$G$4,$I$4,oceny5[[#This Row],[Wynik]]&gt;=$G$5,$I$5,oceny5[[#This Row],[Wynik]]&gt;=$G$6,$I$6,oceny5[[#This Row],[Wynik]]&gt;=$G$7,$I$7)</f>
        <v>5</v>
      </c>
      <c r="E35" t="str">
        <f>VLOOKUP(oceny5[[#This Row],[ocena]],$I$3:$J$7,2,FALSE)</f>
        <v>bardzo dobry</v>
      </c>
    </row>
    <row r="36" spans="1:5" x14ac:dyDescent="0.3">
      <c r="A36" t="s">
        <v>45</v>
      </c>
      <c r="B36">
        <v>72</v>
      </c>
      <c r="C36" t="s">
        <v>14</v>
      </c>
      <c r="D36" cm="1">
        <f t="array" ref="D36">_xlfn.IFS(oceny5[[#This Row],[Wynik]]&gt;=$G$3,$I$3,oceny5[[#This Row],[Wynik]]&gt;=$G$4,$I$4,oceny5[[#This Row],[Wynik]]&gt;=$G$5,$I$5,oceny5[[#This Row],[Wynik]]&gt;=$G$6,$I$6,oceny5[[#This Row],[Wynik]]&gt;=$G$7,$I$7)</f>
        <v>4</v>
      </c>
      <c r="E36" t="str">
        <f>VLOOKUP(oceny5[[#This Row],[ocena]],$I$3:$J$7,2,FALSE)</f>
        <v>dobry</v>
      </c>
    </row>
    <row r="37" spans="1:5" x14ac:dyDescent="0.3">
      <c r="A37" t="s">
        <v>46</v>
      </c>
      <c r="B37">
        <v>94</v>
      </c>
      <c r="C37" t="s">
        <v>35</v>
      </c>
      <c r="D37" cm="1">
        <f t="array" ref="D37">_xlfn.IFS(oceny5[[#This Row],[Wynik]]&gt;=$G$3,$I$3,oceny5[[#This Row],[Wynik]]&gt;=$G$4,$I$4,oceny5[[#This Row],[Wynik]]&gt;=$G$5,$I$5,oceny5[[#This Row],[Wynik]]&gt;=$G$6,$I$6,oceny5[[#This Row],[Wynik]]&gt;=$G$7,$I$7)</f>
        <v>6</v>
      </c>
      <c r="E37" t="str">
        <f>VLOOKUP(oceny5[[#This Row],[ocena]],$I$3:$J$7,2,FALSE)</f>
        <v>celujący</v>
      </c>
    </row>
    <row r="38" spans="1:5" x14ac:dyDescent="0.3">
      <c r="A38" t="s">
        <v>47</v>
      </c>
      <c r="B38">
        <v>92</v>
      </c>
      <c r="C38" t="s">
        <v>12</v>
      </c>
      <c r="D38" cm="1">
        <f t="array" ref="D38">_xlfn.IFS(oceny5[[#This Row],[Wynik]]&gt;=$G$3,$I$3,oceny5[[#This Row],[Wynik]]&gt;=$G$4,$I$4,oceny5[[#This Row],[Wynik]]&gt;=$G$5,$I$5,oceny5[[#This Row],[Wynik]]&gt;=$G$6,$I$6,oceny5[[#This Row],[Wynik]]&gt;=$G$7,$I$7)</f>
        <v>6</v>
      </c>
      <c r="E38" t="str">
        <f>VLOOKUP(oceny5[[#This Row],[ocena]],$I$3:$J$7,2,FALSE)</f>
        <v>celujący</v>
      </c>
    </row>
    <row r="39" spans="1:5" x14ac:dyDescent="0.3">
      <c r="A39" t="s">
        <v>48</v>
      </c>
      <c r="B39">
        <v>92</v>
      </c>
      <c r="C39" t="s">
        <v>16</v>
      </c>
      <c r="D39" cm="1">
        <f t="array" ref="D39">_xlfn.IFS(oceny5[[#This Row],[Wynik]]&gt;=$G$3,$I$3,oceny5[[#This Row],[Wynik]]&gt;=$G$4,$I$4,oceny5[[#This Row],[Wynik]]&gt;=$G$5,$I$5,oceny5[[#This Row],[Wynik]]&gt;=$G$6,$I$6,oceny5[[#This Row],[Wynik]]&gt;=$G$7,$I$7)</f>
        <v>6</v>
      </c>
      <c r="E39" t="str">
        <f>VLOOKUP(oceny5[[#This Row],[ocena]],$I$3:$J$7,2,FALSE)</f>
        <v>celujący</v>
      </c>
    </row>
    <row r="40" spans="1:5" x14ac:dyDescent="0.3">
      <c r="A40" t="s">
        <v>49</v>
      </c>
      <c r="B40">
        <v>59</v>
      </c>
      <c r="C40" t="s">
        <v>12</v>
      </c>
      <c r="D40" cm="1">
        <f t="array" ref="D40">_xlfn.IFS(oceny5[[#This Row],[Wynik]]&gt;=$G$3,$I$3,oceny5[[#This Row],[Wynik]]&gt;=$G$4,$I$4,oceny5[[#This Row],[Wynik]]&gt;=$G$5,$I$5,oceny5[[#This Row],[Wynik]]&gt;=$G$6,$I$6,oceny5[[#This Row],[Wynik]]&gt;=$G$7,$I$7)</f>
        <v>4</v>
      </c>
      <c r="E40" t="str">
        <f>VLOOKUP(oceny5[[#This Row],[ocena]],$I$3:$J$7,2,FALSE)</f>
        <v>dobry</v>
      </c>
    </row>
    <row r="41" spans="1:5" x14ac:dyDescent="0.3">
      <c r="A41" t="s">
        <v>50</v>
      </c>
      <c r="B41">
        <v>51</v>
      </c>
      <c r="C41" t="s">
        <v>16</v>
      </c>
      <c r="D41" cm="1">
        <f t="array" ref="D41">_xlfn.IFS(oceny5[[#This Row],[Wynik]]&gt;=$G$3,$I$3,oceny5[[#This Row],[Wynik]]&gt;=$G$4,$I$4,oceny5[[#This Row],[Wynik]]&gt;=$G$5,$I$5,oceny5[[#This Row],[Wynik]]&gt;=$G$6,$I$6,oceny5[[#This Row],[Wynik]]&gt;=$G$7,$I$7)</f>
        <v>4</v>
      </c>
      <c r="E41" t="str">
        <f>VLOOKUP(oceny5[[#This Row],[ocena]],$I$3:$J$7,2,FALSE)</f>
        <v>dobry</v>
      </c>
    </row>
    <row r="42" spans="1:5" x14ac:dyDescent="0.3">
      <c r="A42" t="s">
        <v>51</v>
      </c>
      <c r="B42">
        <v>45</v>
      </c>
      <c r="C42" t="s">
        <v>10</v>
      </c>
      <c r="D42" cm="1">
        <f t="array" ref="D42">_xlfn.IFS(oceny5[[#This Row],[Wynik]]&gt;=$G$3,$I$3,oceny5[[#This Row],[Wynik]]&gt;=$G$4,$I$4,oceny5[[#This Row],[Wynik]]&gt;=$G$5,$I$5,oceny5[[#This Row],[Wynik]]&gt;=$G$6,$I$6,oceny5[[#This Row],[Wynik]]&gt;=$G$7,$I$7)</f>
        <v>3</v>
      </c>
      <c r="E42" t="str">
        <f>VLOOKUP(oceny5[[#This Row],[ocena]],$I$3:$J$7,2,FALSE)</f>
        <v>dostateczny</v>
      </c>
    </row>
    <row r="43" spans="1:5" x14ac:dyDescent="0.3">
      <c r="A43" t="s">
        <v>52</v>
      </c>
      <c r="B43">
        <v>89</v>
      </c>
      <c r="C43" t="s">
        <v>4</v>
      </c>
      <c r="D43" cm="1">
        <f t="array" ref="D43">_xlfn.IFS(oceny5[[#This Row],[Wynik]]&gt;=$G$3,$I$3,oceny5[[#This Row],[Wynik]]&gt;=$G$4,$I$4,oceny5[[#This Row],[Wynik]]&gt;=$G$5,$I$5,oceny5[[#This Row],[Wynik]]&gt;=$G$6,$I$6,oceny5[[#This Row],[Wynik]]&gt;=$G$7,$I$7)</f>
        <v>5</v>
      </c>
      <c r="E43" t="str">
        <f>VLOOKUP(oceny5[[#This Row],[ocena]],$I$3:$J$7,2,FALSE)</f>
        <v>bardzo dobry</v>
      </c>
    </row>
    <row r="44" spans="1:5" x14ac:dyDescent="0.3">
      <c r="A44" t="s">
        <v>53</v>
      </c>
      <c r="B44">
        <v>51</v>
      </c>
      <c r="C44" t="s">
        <v>35</v>
      </c>
      <c r="D44" cm="1">
        <f t="array" ref="D44">_xlfn.IFS(oceny5[[#This Row],[Wynik]]&gt;=$G$3,$I$3,oceny5[[#This Row],[Wynik]]&gt;=$G$4,$I$4,oceny5[[#This Row],[Wynik]]&gt;=$G$5,$I$5,oceny5[[#This Row],[Wynik]]&gt;=$G$6,$I$6,oceny5[[#This Row],[Wynik]]&gt;=$G$7,$I$7)</f>
        <v>4</v>
      </c>
      <c r="E44" t="str">
        <f>VLOOKUP(oceny5[[#This Row],[ocena]],$I$3:$J$7,2,FALSE)</f>
        <v>dobry</v>
      </c>
    </row>
    <row r="45" spans="1:5" x14ac:dyDescent="0.3">
      <c r="A45" t="s">
        <v>54</v>
      </c>
      <c r="B45">
        <v>84</v>
      </c>
      <c r="C45" t="s">
        <v>14</v>
      </c>
      <c r="D45" cm="1">
        <f t="array" ref="D45">_xlfn.IFS(oceny5[[#This Row],[Wynik]]&gt;=$G$3,$I$3,oceny5[[#This Row],[Wynik]]&gt;=$G$4,$I$4,oceny5[[#This Row],[Wynik]]&gt;=$G$5,$I$5,oceny5[[#This Row],[Wynik]]&gt;=$G$6,$I$6,oceny5[[#This Row],[Wynik]]&gt;=$G$7,$I$7)</f>
        <v>5</v>
      </c>
      <c r="E45" t="str">
        <f>VLOOKUP(oceny5[[#This Row],[ocena]],$I$3:$J$7,2,FALSE)</f>
        <v>bardzo dobry</v>
      </c>
    </row>
    <row r="46" spans="1:5" x14ac:dyDescent="0.3">
      <c r="A46" t="s">
        <v>55</v>
      </c>
      <c r="B46">
        <v>32</v>
      </c>
      <c r="C46" t="s">
        <v>6</v>
      </c>
      <c r="D46" cm="1">
        <f t="array" ref="D46">_xlfn.IFS(oceny5[[#This Row],[Wynik]]&gt;=$G$3,$I$3,oceny5[[#This Row],[Wynik]]&gt;=$G$4,$I$4,oceny5[[#This Row],[Wynik]]&gt;=$G$5,$I$5,oceny5[[#This Row],[Wynik]]&gt;=$G$6,$I$6,oceny5[[#This Row],[Wynik]]&gt;=$G$7,$I$7)</f>
        <v>2</v>
      </c>
      <c r="E46" t="str">
        <f>VLOOKUP(oceny5[[#This Row],[ocena]],$I$3:$J$7,2,FALSE)</f>
        <v>niedostateczny</v>
      </c>
    </row>
    <row r="47" spans="1:5" x14ac:dyDescent="0.3">
      <c r="A47" t="s">
        <v>56</v>
      </c>
      <c r="B47">
        <v>73</v>
      </c>
      <c r="C47" t="s">
        <v>35</v>
      </c>
      <c r="D47" cm="1">
        <f t="array" ref="D47">_xlfn.IFS(oceny5[[#This Row],[Wynik]]&gt;=$G$3,$I$3,oceny5[[#This Row],[Wynik]]&gt;=$G$4,$I$4,oceny5[[#This Row],[Wynik]]&gt;=$G$5,$I$5,oceny5[[#This Row],[Wynik]]&gt;=$G$6,$I$6,oceny5[[#This Row],[Wynik]]&gt;=$G$7,$I$7)</f>
        <v>4</v>
      </c>
      <c r="E47" t="str">
        <f>VLOOKUP(oceny5[[#This Row],[ocena]],$I$3:$J$7,2,FALSE)</f>
        <v>dobry</v>
      </c>
    </row>
    <row r="48" spans="1:5" x14ac:dyDescent="0.3">
      <c r="A48" t="s">
        <v>57</v>
      </c>
      <c r="B48">
        <v>44</v>
      </c>
      <c r="C48" t="s">
        <v>14</v>
      </c>
      <c r="D48" cm="1">
        <f t="array" ref="D48">_xlfn.IFS(oceny5[[#This Row],[Wynik]]&gt;=$G$3,$I$3,oceny5[[#This Row],[Wynik]]&gt;=$G$4,$I$4,oceny5[[#This Row],[Wynik]]&gt;=$G$5,$I$5,oceny5[[#This Row],[Wynik]]&gt;=$G$6,$I$6,oceny5[[#This Row],[Wynik]]&gt;=$G$7,$I$7)</f>
        <v>3</v>
      </c>
      <c r="E48" t="str">
        <f>VLOOKUP(oceny5[[#This Row],[ocena]],$I$3:$J$7,2,FALSE)</f>
        <v>dostateczny</v>
      </c>
    </row>
    <row r="49" spans="1:5" x14ac:dyDescent="0.3">
      <c r="A49" t="s">
        <v>58</v>
      </c>
      <c r="B49">
        <v>81</v>
      </c>
      <c r="C49" t="s">
        <v>35</v>
      </c>
      <c r="D49" cm="1">
        <f t="array" ref="D49">_xlfn.IFS(oceny5[[#This Row],[Wynik]]&gt;=$G$3,$I$3,oceny5[[#This Row],[Wynik]]&gt;=$G$4,$I$4,oceny5[[#This Row],[Wynik]]&gt;=$G$5,$I$5,oceny5[[#This Row],[Wynik]]&gt;=$G$6,$I$6,oceny5[[#This Row],[Wynik]]&gt;=$G$7,$I$7)</f>
        <v>5</v>
      </c>
      <c r="E49" t="str">
        <f>VLOOKUP(oceny5[[#This Row],[ocena]],$I$3:$J$7,2,FALSE)</f>
        <v>bardzo dobry</v>
      </c>
    </row>
    <row r="50" spans="1:5" x14ac:dyDescent="0.3">
      <c r="A50" t="s">
        <v>59</v>
      </c>
      <c r="B50">
        <v>76</v>
      </c>
      <c r="C50" t="s">
        <v>12</v>
      </c>
      <c r="D50" cm="1">
        <f t="array" ref="D50">_xlfn.IFS(oceny5[[#This Row],[Wynik]]&gt;=$G$3,$I$3,oceny5[[#This Row],[Wynik]]&gt;=$G$4,$I$4,oceny5[[#This Row],[Wynik]]&gt;=$G$5,$I$5,oceny5[[#This Row],[Wynik]]&gt;=$G$6,$I$6,oceny5[[#This Row],[Wynik]]&gt;=$G$7,$I$7)</f>
        <v>4</v>
      </c>
      <c r="E50" t="str">
        <f>VLOOKUP(oceny5[[#This Row],[ocena]],$I$3:$J$7,2,FALSE)</f>
        <v>dobry</v>
      </c>
    </row>
    <row r="51" spans="1:5" x14ac:dyDescent="0.3">
      <c r="A51" t="s">
        <v>60</v>
      </c>
      <c r="B51">
        <v>89</v>
      </c>
      <c r="C51" t="s">
        <v>16</v>
      </c>
      <c r="D51" cm="1">
        <f t="array" ref="D51">_xlfn.IFS(oceny5[[#This Row],[Wynik]]&gt;=$G$3,$I$3,oceny5[[#This Row],[Wynik]]&gt;=$G$4,$I$4,oceny5[[#This Row],[Wynik]]&gt;=$G$5,$I$5,oceny5[[#This Row],[Wynik]]&gt;=$G$6,$I$6,oceny5[[#This Row],[Wynik]]&gt;=$G$7,$I$7)</f>
        <v>5</v>
      </c>
      <c r="E51" t="str">
        <f>VLOOKUP(oceny5[[#This Row],[ocena]],$I$3:$J$7,2,FALSE)</f>
        <v>bardzo dobry</v>
      </c>
    </row>
    <row r="52" spans="1:5" x14ac:dyDescent="0.3">
      <c r="A52" t="s">
        <v>61</v>
      </c>
      <c r="B52">
        <v>83</v>
      </c>
      <c r="C52" t="s">
        <v>14</v>
      </c>
      <c r="D52" cm="1">
        <f t="array" ref="D52">_xlfn.IFS(oceny5[[#This Row],[Wynik]]&gt;=$G$3,$I$3,oceny5[[#This Row],[Wynik]]&gt;=$G$4,$I$4,oceny5[[#This Row],[Wynik]]&gt;=$G$5,$I$5,oceny5[[#This Row],[Wynik]]&gt;=$G$6,$I$6,oceny5[[#This Row],[Wynik]]&gt;=$G$7,$I$7)</f>
        <v>5</v>
      </c>
      <c r="E52" t="str">
        <f>VLOOKUP(oceny5[[#This Row],[ocena]],$I$3:$J$7,2,FALSE)</f>
        <v>bardzo dobry</v>
      </c>
    </row>
    <row r="53" spans="1:5" x14ac:dyDescent="0.3">
      <c r="A53" t="s">
        <v>62</v>
      </c>
      <c r="B53">
        <v>24</v>
      </c>
      <c r="C53" t="s">
        <v>4</v>
      </c>
      <c r="D53" cm="1">
        <f t="array" ref="D53">_xlfn.IFS(oceny5[[#This Row],[Wynik]]&gt;=$G$3,$I$3,oceny5[[#This Row],[Wynik]]&gt;=$G$4,$I$4,oceny5[[#This Row],[Wynik]]&gt;=$G$5,$I$5,oceny5[[#This Row],[Wynik]]&gt;=$G$6,$I$6,oceny5[[#This Row],[Wynik]]&gt;=$G$7,$I$7)</f>
        <v>2</v>
      </c>
      <c r="E53" t="str">
        <f>VLOOKUP(oceny5[[#This Row],[ocena]],$I$3:$J$7,2,FALSE)</f>
        <v>niedostateczny</v>
      </c>
    </row>
    <row r="54" spans="1:5" x14ac:dyDescent="0.3">
      <c r="A54" t="s">
        <v>63</v>
      </c>
      <c r="B54">
        <v>99</v>
      </c>
      <c r="C54" t="s">
        <v>16</v>
      </c>
      <c r="D54" cm="1">
        <f t="array" ref="D54">_xlfn.IFS(oceny5[[#This Row],[Wynik]]&gt;=$G$3,$I$3,oceny5[[#This Row],[Wynik]]&gt;=$G$4,$I$4,oceny5[[#This Row],[Wynik]]&gt;=$G$5,$I$5,oceny5[[#This Row],[Wynik]]&gt;=$G$6,$I$6,oceny5[[#This Row],[Wynik]]&gt;=$G$7,$I$7)</f>
        <v>6</v>
      </c>
      <c r="E54" t="str">
        <f>VLOOKUP(oceny5[[#This Row],[ocena]],$I$3:$J$7,2,FALSE)</f>
        <v>celujący</v>
      </c>
    </row>
    <row r="55" spans="1:5" x14ac:dyDescent="0.3">
      <c r="A55" t="s">
        <v>64</v>
      </c>
      <c r="B55">
        <v>98</v>
      </c>
      <c r="C55" t="s">
        <v>6</v>
      </c>
      <c r="D55" cm="1">
        <f t="array" ref="D55">_xlfn.IFS(oceny5[[#This Row],[Wynik]]&gt;=$G$3,$I$3,oceny5[[#This Row],[Wynik]]&gt;=$G$4,$I$4,oceny5[[#This Row],[Wynik]]&gt;=$G$5,$I$5,oceny5[[#This Row],[Wynik]]&gt;=$G$6,$I$6,oceny5[[#This Row],[Wynik]]&gt;=$G$7,$I$7)</f>
        <v>6</v>
      </c>
      <c r="E55" t="str">
        <f>VLOOKUP(oceny5[[#This Row],[ocena]],$I$3:$J$7,2,FALSE)</f>
        <v>celujący</v>
      </c>
    </row>
    <row r="56" spans="1:5" x14ac:dyDescent="0.3">
      <c r="A56" t="s">
        <v>65</v>
      </c>
      <c r="B56">
        <v>92</v>
      </c>
      <c r="C56" t="s">
        <v>8</v>
      </c>
      <c r="D56" cm="1">
        <f t="array" ref="D56">_xlfn.IFS(oceny5[[#This Row],[Wynik]]&gt;=$G$3,$I$3,oceny5[[#This Row],[Wynik]]&gt;=$G$4,$I$4,oceny5[[#This Row],[Wynik]]&gt;=$G$5,$I$5,oceny5[[#This Row],[Wynik]]&gt;=$G$6,$I$6,oceny5[[#This Row],[Wynik]]&gt;=$G$7,$I$7)</f>
        <v>6</v>
      </c>
      <c r="E56" t="str">
        <f>VLOOKUP(oceny5[[#This Row],[ocena]],$I$3:$J$7,2,FALSE)</f>
        <v>celujący</v>
      </c>
    </row>
    <row r="57" spans="1:5" x14ac:dyDescent="0.3">
      <c r="A57" t="s">
        <v>66</v>
      </c>
      <c r="B57">
        <v>41</v>
      </c>
      <c r="C57" t="s">
        <v>8</v>
      </c>
      <c r="D57" cm="1">
        <f t="array" ref="D57">_xlfn.IFS(oceny5[[#This Row],[Wynik]]&gt;=$G$3,$I$3,oceny5[[#This Row],[Wynik]]&gt;=$G$4,$I$4,oceny5[[#This Row],[Wynik]]&gt;=$G$5,$I$5,oceny5[[#This Row],[Wynik]]&gt;=$G$6,$I$6,oceny5[[#This Row],[Wynik]]&gt;=$G$7,$I$7)</f>
        <v>3</v>
      </c>
      <c r="E57" t="str">
        <f>VLOOKUP(oceny5[[#This Row],[ocena]],$I$3:$J$7,2,FALSE)</f>
        <v>dostateczny</v>
      </c>
    </row>
    <row r="58" spans="1:5" x14ac:dyDescent="0.3">
      <c r="A58" t="s">
        <v>67</v>
      </c>
      <c r="B58">
        <v>77</v>
      </c>
      <c r="C58" t="s">
        <v>4</v>
      </c>
      <c r="D58" cm="1">
        <f t="array" ref="D58">_xlfn.IFS(oceny5[[#This Row],[Wynik]]&gt;=$G$3,$I$3,oceny5[[#This Row],[Wynik]]&gt;=$G$4,$I$4,oceny5[[#This Row],[Wynik]]&gt;=$G$5,$I$5,oceny5[[#This Row],[Wynik]]&gt;=$G$6,$I$6,oceny5[[#This Row],[Wynik]]&gt;=$G$7,$I$7)</f>
        <v>4</v>
      </c>
      <c r="E58" t="str">
        <f>VLOOKUP(oceny5[[#This Row],[ocena]],$I$3:$J$7,2,FALSE)</f>
        <v>dobry</v>
      </c>
    </row>
    <row r="59" spans="1:5" x14ac:dyDescent="0.3">
      <c r="A59" t="s">
        <v>68</v>
      </c>
      <c r="B59">
        <v>84</v>
      </c>
      <c r="C59" t="s">
        <v>6</v>
      </c>
      <c r="D59" cm="1">
        <f t="array" ref="D59">_xlfn.IFS(oceny5[[#This Row],[Wynik]]&gt;=$G$3,$I$3,oceny5[[#This Row],[Wynik]]&gt;=$G$4,$I$4,oceny5[[#This Row],[Wynik]]&gt;=$G$5,$I$5,oceny5[[#This Row],[Wynik]]&gt;=$G$6,$I$6,oceny5[[#This Row],[Wynik]]&gt;=$G$7,$I$7)</f>
        <v>5</v>
      </c>
      <c r="E59" t="str">
        <f>VLOOKUP(oceny5[[#This Row],[ocena]],$I$3:$J$7,2,FALSE)</f>
        <v>bardzo dobry</v>
      </c>
    </row>
    <row r="60" spans="1:5" x14ac:dyDescent="0.3">
      <c r="A60" t="s">
        <v>69</v>
      </c>
      <c r="B60">
        <v>98</v>
      </c>
      <c r="C60" t="s">
        <v>6</v>
      </c>
      <c r="D60" cm="1">
        <f t="array" ref="D60">_xlfn.IFS(oceny5[[#This Row],[Wynik]]&gt;=$G$3,$I$3,oceny5[[#This Row],[Wynik]]&gt;=$G$4,$I$4,oceny5[[#This Row],[Wynik]]&gt;=$G$5,$I$5,oceny5[[#This Row],[Wynik]]&gt;=$G$6,$I$6,oceny5[[#This Row],[Wynik]]&gt;=$G$7,$I$7)</f>
        <v>6</v>
      </c>
      <c r="E60" t="str">
        <f>VLOOKUP(oceny5[[#This Row],[ocena]],$I$3:$J$7,2,FALSE)</f>
        <v>celujący</v>
      </c>
    </row>
    <row r="61" spans="1:5" x14ac:dyDescent="0.3">
      <c r="A61" t="s">
        <v>70</v>
      </c>
      <c r="B61">
        <v>67</v>
      </c>
      <c r="C61" t="s">
        <v>6</v>
      </c>
      <c r="D61" cm="1">
        <f t="array" ref="D61">_xlfn.IFS(oceny5[[#This Row],[Wynik]]&gt;=$G$3,$I$3,oceny5[[#This Row],[Wynik]]&gt;=$G$4,$I$4,oceny5[[#This Row],[Wynik]]&gt;=$G$5,$I$5,oceny5[[#This Row],[Wynik]]&gt;=$G$6,$I$6,oceny5[[#This Row],[Wynik]]&gt;=$G$7,$I$7)</f>
        <v>4</v>
      </c>
      <c r="E61" t="str">
        <f>VLOOKUP(oceny5[[#This Row],[ocena]],$I$3:$J$7,2,FALSE)</f>
        <v>dobry</v>
      </c>
    </row>
    <row r="62" spans="1:5" x14ac:dyDescent="0.3">
      <c r="A62" t="s">
        <v>71</v>
      </c>
      <c r="B62">
        <v>78</v>
      </c>
      <c r="C62" t="s">
        <v>6</v>
      </c>
      <c r="D62" cm="1">
        <f t="array" ref="D62">_xlfn.IFS(oceny5[[#This Row],[Wynik]]&gt;=$G$3,$I$3,oceny5[[#This Row],[Wynik]]&gt;=$G$4,$I$4,oceny5[[#This Row],[Wynik]]&gt;=$G$5,$I$5,oceny5[[#This Row],[Wynik]]&gt;=$G$6,$I$6,oceny5[[#This Row],[Wynik]]&gt;=$G$7,$I$7)</f>
        <v>4</v>
      </c>
      <c r="E62" t="str">
        <f>VLOOKUP(oceny5[[#This Row],[ocena]],$I$3:$J$7,2,FALSE)</f>
        <v>dobry</v>
      </c>
    </row>
    <row r="63" spans="1:5" x14ac:dyDescent="0.3">
      <c r="A63" t="s">
        <v>72</v>
      </c>
      <c r="B63">
        <v>59</v>
      </c>
      <c r="C63" t="s">
        <v>10</v>
      </c>
      <c r="D63" cm="1">
        <f t="array" ref="D63">_xlfn.IFS(oceny5[[#This Row],[Wynik]]&gt;=$G$3,$I$3,oceny5[[#This Row],[Wynik]]&gt;=$G$4,$I$4,oceny5[[#This Row],[Wynik]]&gt;=$G$5,$I$5,oceny5[[#This Row],[Wynik]]&gt;=$G$6,$I$6,oceny5[[#This Row],[Wynik]]&gt;=$G$7,$I$7)</f>
        <v>4</v>
      </c>
      <c r="E63" t="str">
        <f>VLOOKUP(oceny5[[#This Row],[ocena]],$I$3:$J$7,2,FALSE)</f>
        <v>dobry</v>
      </c>
    </row>
    <row r="64" spans="1:5" x14ac:dyDescent="0.3">
      <c r="A64" t="s">
        <v>73</v>
      </c>
      <c r="B64">
        <v>95</v>
      </c>
      <c r="C64" t="s">
        <v>16</v>
      </c>
      <c r="D64" cm="1">
        <f t="array" ref="D64">_xlfn.IFS(oceny5[[#This Row],[Wynik]]&gt;=$G$3,$I$3,oceny5[[#This Row],[Wynik]]&gt;=$G$4,$I$4,oceny5[[#This Row],[Wynik]]&gt;=$G$5,$I$5,oceny5[[#This Row],[Wynik]]&gt;=$G$6,$I$6,oceny5[[#This Row],[Wynik]]&gt;=$G$7,$I$7)</f>
        <v>6</v>
      </c>
      <c r="E64" t="str">
        <f>VLOOKUP(oceny5[[#This Row],[ocena]],$I$3:$J$7,2,FALSE)</f>
        <v>celujący</v>
      </c>
    </row>
    <row r="65" spans="1:5" x14ac:dyDescent="0.3">
      <c r="A65" t="s">
        <v>74</v>
      </c>
      <c r="B65">
        <v>34</v>
      </c>
      <c r="C65" t="s">
        <v>14</v>
      </c>
      <c r="D65" cm="1">
        <f t="array" ref="D65">_xlfn.IFS(oceny5[[#This Row],[Wynik]]&gt;=$G$3,$I$3,oceny5[[#This Row],[Wynik]]&gt;=$G$4,$I$4,oceny5[[#This Row],[Wynik]]&gt;=$G$5,$I$5,oceny5[[#This Row],[Wynik]]&gt;=$G$6,$I$6,oceny5[[#This Row],[Wynik]]&gt;=$G$7,$I$7)</f>
        <v>2</v>
      </c>
      <c r="E65" t="str">
        <f>VLOOKUP(oceny5[[#This Row],[ocena]],$I$3:$J$7,2,FALSE)</f>
        <v>niedostateczny</v>
      </c>
    </row>
    <row r="66" spans="1:5" x14ac:dyDescent="0.3">
      <c r="A66" t="s">
        <v>75</v>
      </c>
      <c r="B66">
        <v>54</v>
      </c>
      <c r="C66" t="s">
        <v>12</v>
      </c>
      <c r="D66" cm="1">
        <f t="array" ref="D66">_xlfn.IFS(oceny5[[#This Row],[Wynik]]&gt;=$G$3,$I$3,oceny5[[#This Row],[Wynik]]&gt;=$G$4,$I$4,oceny5[[#This Row],[Wynik]]&gt;=$G$5,$I$5,oceny5[[#This Row],[Wynik]]&gt;=$G$6,$I$6,oceny5[[#This Row],[Wynik]]&gt;=$G$7,$I$7)</f>
        <v>4</v>
      </c>
      <c r="E66" t="str">
        <f>VLOOKUP(oceny5[[#This Row],[ocena]],$I$3:$J$7,2,FALSE)</f>
        <v>dobry</v>
      </c>
    </row>
    <row r="67" spans="1:5" x14ac:dyDescent="0.3">
      <c r="A67" t="s">
        <v>76</v>
      </c>
      <c r="B67">
        <v>64</v>
      </c>
      <c r="C67" t="s">
        <v>10</v>
      </c>
      <c r="D67" cm="1">
        <f t="array" ref="D67">_xlfn.IFS(oceny5[[#This Row],[Wynik]]&gt;=$G$3,$I$3,oceny5[[#This Row],[Wynik]]&gt;=$G$4,$I$4,oceny5[[#This Row],[Wynik]]&gt;=$G$5,$I$5,oceny5[[#This Row],[Wynik]]&gt;=$G$6,$I$6,oceny5[[#This Row],[Wynik]]&gt;=$G$7,$I$7)</f>
        <v>4</v>
      </c>
      <c r="E67" t="str">
        <f>VLOOKUP(oceny5[[#This Row],[ocena]],$I$3:$J$7,2,FALSE)</f>
        <v>dobry</v>
      </c>
    </row>
    <row r="68" spans="1:5" x14ac:dyDescent="0.3">
      <c r="A68" t="s">
        <v>77</v>
      </c>
      <c r="B68">
        <v>44</v>
      </c>
      <c r="C68" t="s">
        <v>4</v>
      </c>
      <c r="D68" cm="1">
        <f t="array" ref="D68">_xlfn.IFS(oceny5[[#This Row],[Wynik]]&gt;=$G$3,$I$3,oceny5[[#This Row],[Wynik]]&gt;=$G$4,$I$4,oceny5[[#This Row],[Wynik]]&gt;=$G$5,$I$5,oceny5[[#This Row],[Wynik]]&gt;=$G$6,$I$6,oceny5[[#This Row],[Wynik]]&gt;=$G$7,$I$7)</f>
        <v>3</v>
      </c>
      <c r="E68" t="str">
        <f>VLOOKUP(oceny5[[#This Row],[ocena]],$I$3:$J$7,2,FALSE)</f>
        <v>dostateczny</v>
      </c>
    </row>
    <row r="69" spans="1:5" x14ac:dyDescent="0.3">
      <c r="A69" t="s">
        <v>78</v>
      </c>
      <c r="B69">
        <v>45</v>
      </c>
      <c r="C69" t="s">
        <v>4</v>
      </c>
      <c r="D69" cm="1">
        <f t="array" ref="D69">_xlfn.IFS(oceny5[[#This Row],[Wynik]]&gt;=$G$3,$I$3,oceny5[[#This Row],[Wynik]]&gt;=$G$4,$I$4,oceny5[[#This Row],[Wynik]]&gt;=$G$5,$I$5,oceny5[[#This Row],[Wynik]]&gt;=$G$6,$I$6,oceny5[[#This Row],[Wynik]]&gt;=$G$7,$I$7)</f>
        <v>3</v>
      </c>
      <c r="E69" t="str">
        <f>VLOOKUP(oceny5[[#This Row],[ocena]],$I$3:$J$7,2,FALSE)</f>
        <v>dostateczny</v>
      </c>
    </row>
    <row r="70" spans="1:5" x14ac:dyDescent="0.3">
      <c r="A70" t="s">
        <v>79</v>
      </c>
      <c r="B70">
        <v>22</v>
      </c>
      <c r="C70" t="s">
        <v>8</v>
      </c>
      <c r="D70" cm="1">
        <f t="array" ref="D70">_xlfn.IFS(oceny5[[#This Row],[Wynik]]&gt;=$G$3,$I$3,oceny5[[#This Row],[Wynik]]&gt;=$G$4,$I$4,oceny5[[#This Row],[Wynik]]&gt;=$G$5,$I$5,oceny5[[#This Row],[Wynik]]&gt;=$G$6,$I$6,oceny5[[#This Row],[Wynik]]&gt;=$G$7,$I$7)</f>
        <v>2</v>
      </c>
      <c r="E70" t="str">
        <f>VLOOKUP(oceny5[[#This Row],[ocena]],$I$3:$J$7,2,FALSE)</f>
        <v>niedostateczny</v>
      </c>
    </row>
    <row r="71" spans="1:5" x14ac:dyDescent="0.3">
      <c r="A71" t="s">
        <v>80</v>
      </c>
      <c r="B71">
        <v>61</v>
      </c>
      <c r="C71" t="s">
        <v>14</v>
      </c>
      <c r="D71" cm="1">
        <f t="array" ref="D71">_xlfn.IFS(oceny5[[#This Row],[Wynik]]&gt;=$G$3,$I$3,oceny5[[#This Row],[Wynik]]&gt;=$G$4,$I$4,oceny5[[#This Row],[Wynik]]&gt;=$G$5,$I$5,oceny5[[#This Row],[Wynik]]&gt;=$G$6,$I$6,oceny5[[#This Row],[Wynik]]&gt;=$G$7,$I$7)</f>
        <v>4</v>
      </c>
      <c r="E71" t="str">
        <f>VLOOKUP(oceny5[[#This Row],[ocena]],$I$3:$J$7,2,FALSE)</f>
        <v>dobry</v>
      </c>
    </row>
    <row r="72" spans="1:5" x14ac:dyDescent="0.3">
      <c r="A72" t="s">
        <v>81</v>
      </c>
      <c r="B72">
        <v>23</v>
      </c>
      <c r="C72" t="s">
        <v>14</v>
      </c>
      <c r="D72" cm="1">
        <f t="array" ref="D72">_xlfn.IFS(oceny5[[#This Row],[Wynik]]&gt;=$G$3,$I$3,oceny5[[#This Row],[Wynik]]&gt;=$G$4,$I$4,oceny5[[#This Row],[Wynik]]&gt;=$G$5,$I$5,oceny5[[#This Row],[Wynik]]&gt;=$G$6,$I$6,oceny5[[#This Row],[Wynik]]&gt;=$G$7,$I$7)</f>
        <v>2</v>
      </c>
      <c r="E72" t="str">
        <f>VLOOKUP(oceny5[[#This Row],[ocena]],$I$3:$J$7,2,FALSE)</f>
        <v>niedostateczny</v>
      </c>
    </row>
    <row r="73" spans="1:5" x14ac:dyDescent="0.3">
      <c r="A73" t="s">
        <v>82</v>
      </c>
      <c r="B73">
        <v>26</v>
      </c>
      <c r="C73" t="s">
        <v>4</v>
      </c>
      <c r="D73" cm="1">
        <f t="array" ref="D73">_xlfn.IFS(oceny5[[#This Row],[Wynik]]&gt;=$G$3,$I$3,oceny5[[#This Row],[Wynik]]&gt;=$G$4,$I$4,oceny5[[#This Row],[Wynik]]&gt;=$G$5,$I$5,oceny5[[#This Row],[Wynik]]&gt;=$G$6,$I$6,oceny5[[#This Row],[Wynik]]&gt;=$G$7,$I$7)</f>
        <v>2</v>
      </c>
      <c r="E73" t="str">
        <f>VLOOKUP(oceny5[[#This Row],[ocena]],$I$3:$J$7,2,FALSE)</f>
        <v>niedostateczny</v>
      </c>
    </row>
    <row r="74" spans="1:5" x14ac:dyDescent="0.3">
      <c r="A74" t="s">
        <v>83</v>
      </c>
      <c r="B74">
        <v>65</v>
      </c>
      <c r="C74" t="s">
        <v>35</v>
      </c>
      <c r="D74" cm="1">
        <f t="array" ref="D74">_xlfn.IFS(oceny5[[#This Row],[Wynik]]&gt;=$G$3,$I$3,oceny5[[#This Row],[Wynik]]&gt;=$G$4,$I$4,oceny5[[#This Row],[Wynik]]&gt;=$G$5,$I$5,oceny5[[#This Row],[Wynik]]&gt;=$G$6,$I$6,oceny5[[#This Row],[Wynik]]&gt;=$G$7,$I$7)</f>
        <v>4</v>
      </c>
      <c r="E74" t="str">
        <f>VLOOKUP(oceny5[[#This Row],[ocena]],$I$3:$J$7,2,FALSE)</f>
        <v>dobry</v>
      </c>
    </row>
    <row r="75" spans="1:5" x14ac:dyDescent="0.3">
      <c r="A75" t="s">
        <v>84</v>
      </c>
      <c r="B75">
        <v>64</v>
      </c>
      <c r="C75" t="s">
        <v>16</v>
      </c>
      <c r="D75" cm="1">
        <f t="array" ref="D75">_xlfn.IFS(oceny5[[#This Row],[Wynik]]&gt;=$G$3,$I$3,oceny5[[#This Row],[Wynik]]&gt;=$G$4,$I$4,oceny5[[#This Row],[Wynik]]&gt;=$G$5,$I$5,oceny5[[#This Row],[Wynik]]&gt;=$G$6,$I$6,oceny5[[#This Row],[Wynik]]&gt;=$G$7,$I$7)</f>
        <v>4</v>
      </c>
      <c r="E75" t="str">
        <f>VLOOKUP(oceny5[[#This Row],[ocena]],$I$3:$J$7,2,FALSE)</f>
        <v>dobry</v>
      </c>
    </row>
    <row r="76" spans="1:5" x14ac:dyDescent="0.3">
      <c r="A76" t="s">
        <v>85</v>
      </c>
      <c r="B76">
        <v>80</v>
      </c>
      <c r="C76" t="s">
        <v>12</v>
      </c>
      <c r="D76" cm="1">
        <f t="array" ref="D76">_xlfn.IFS(oceny5[[#This Row],[Wynik]]&gt;=$G$3,$I$3,oceny5[[#This Row],[Wynik]]&gt;=$G$4,$I$4,oceny5[[#This Row],[Wynik]]&gt;=$G$5,$I$5,oceny5[[#This Row],[Wynik]]&gt;=$G$6,$I$6,oceny5[[#This Row],[Wynik]]&gt;=$G$7,$I$7)</f>
        <v>5</v>
      </c>
      <c r="E76" t="str">
        <f>VLOOKUP(oceny5[[#This Row],[ocena]],$I$3:$J$7,2,FALSE)</f>
        <v>bardzo dobry</v>
      </c>
    </row>
    <row r="77" spans="1:5" x14ac:dyDescent="0.3">
      <c r="A77" t="s">
        <v>86</v>
      </c>
      <c r="B77">
        <v>49</v>
      </c>
      <c r="C77" t="s">
        <v>35</v>
      </c>
      <c r="D77" cm="1">
        <f t="array" ref="D77">_xlfn.IFS(oceny5[[#This Row],[Wynik]]&gt;=$G$3,$I$3,oceny5[[#This Row],[Wynik]]&gt;=$G$4,$I$4,oceny5[[#This Row],[Wynik]]&gt;=$G$5,$I$5,oceny5[[#This Row],[Wynik]]&gt;=$G$6,$I$6,oceny5[[#This Row],[Wynik]]&gt;=$G$7,$I$7)</f>
        <v>3</v>
      </c>
      <c r="E77" t="str">
        <f>VLOOKUP(oceny5[[#This Row],[ocena]],$I$3:$J$7,2,FALSE)</f>
        <v>dostateczny</v>
      </c>
    </row>
    <row r="78" spans="1:5" x14ac:dyDescent="0.3">
      <c r="A78" t="s">
        <v>87</v>
      </c>
      <c r="B78">
        <v>24</v>
      </c>
      <c r="C78" t="s">
        <v>35</v>
      </c>
      <c r="D78" cm="1">
        <f t="array" ref="D78">_xlfn.IFS(oceny5[[#This Row],[Wynik]]&gt;=$G$3,$I$3,oceny5[[#This Row],[Wynik]]&gt;=$G$4,$I$4,oceny5[[#This Row],[Wynik]]&gt;=$G$5,$I$5,oceny5[[#This Row],[Wynik]]&gt;=$G$6,$I$6,oceny5[[#This Row],[Wynik]]&gt;=$G$7,$I$7)</f>
        <v>2</v>
      </c>
      <c r="E78" t="str">
        <f>VLOOKUP(oceny5[[#This Row],[ocena]],$I$3:$J$7,2,FALSE)</f>
        <v>niedostateczny</v>
      </c>
    </row>
    <row r="79" spans="1:5" x14ac:dyDescent="0.3">
      <c r="A79" t="s">
        <v>88</v>
      </c>
      <c r="B79">
        <v>78</v>
      </c>
      <c r="C79" t="s">
        <v>4</v>
      </c>
      <c r="D79" cm="1">
        <f t="array" ref="D79">_xlfn.IFS(oceny5[[#This Row],[Wynik]]&gt;=$G$3,$I$3,oceny5[[#This Row],[Wynik]]&gt;=$G$4,$I$4,oceny5[[#This Row],[Wynik]]&gt;=$G$5,$I$5,oceny5[[#This Row],[Wynik]]&gt;=$G$6,$I$6,oceny5[[#This Row],[Wynik]]&gt;=$G$7,$I$7)</f>
        <v>4</v>
      </c>
      <c r="E79" t="str">
        <f>VLOOKUP(oceny5[[#This Row],[ocena]],$I$3:$J$7,2,FALSE)</f>
        <v>dobry</v>
      </c>
    </row>
    <row r="80" spans="1:5" x14ac:dyDescent="0.3">
      <c r="A80" t="s">
        <v>89</v>
      </c>
      <c r="B80">
        <v>26</v>
      </c>
      <c r="C80" t="s">
        <v>16</v>
      </c>
      <c r="D80" cm="1">
        <f t="array" ref="D80">_xlfn.IFS(oceny5[[#This Row],[Wynik]]&gt;=$G$3,$I$3,oceny5[[#This Row],[Wynik]]&gt;=$G$4,$I$4,oceny5[[#This Row],[Wynik]]&gt;=$G$5,$I$5,oceny5[[#This Row],[Wynik]]&gt;=$G$6,$I$6,oceny5[[#This Row],[Wynik]]&gt;=$G$7,$I$7)</f>
        <v>2</v>
      </c>
      <c r="E80" t="str">
        <f>VLOOKUP(oceny5[[#This Row],[ocena]],$I$3:$J$7,2,FALSE)</f>
        <v>niedostateczny</v>
      </c>
    </row>
    <row r="81" spans="1:5" x14ac:dyDescent="0.3">
      <c r="A81" t="s">
        <v>90</v>
      </c>
      <c r="B81">
        <v>87</v>
      </c>
      <c r="C81" t="s">
        <v>4</v>
      </c>
      <c r="D81" cm="1">
        <f t="array" ref="D81">_xlfn.IFS(oceny5[[#This Row],[Wynik]]&gt;=$G$3,$I$3,oceny5[[#This Row],[Wynik]]&gt;=$G$4,$I$4,oceny5[[#This Row],[Wynik]]&gt;=$G$5,$I$5,oceny5[[#This Row],[Wynik]]&gt;=$G$6,$I$6,oceny5[[#This Row],[Wynik]]&gt;=$G$7,$I$7)</f>
        <v>5</v>
      </c>
      <c r="E81" t="str">
        <f>VLOOKUP(oceny5[[#This Row],[ocena]],$I$3:$J$7,2,FALSE)</f>
        <v>bardzo dobry</v>
      </c>
    </row>
    <row r="82" spans="1:5" x14ac:dyDescent="0.3">
      <c r="A82" t="s">
        <v>91</v>
      </c>
      <c r="B82">
        <v>34</v>
      </c>
      <c r="C82" t="s">
        <v>10</v>
      </c>
      <c r="D82" cm="1">
        <f t="array" ref="D82">_xlfn.IFS(oceny5[[#This Row],[Wynik]]&gt;=$G$3,$I$3,oceny5[[#This Row],[Wynik]]&gt;=$G$4,$I$4,oceny5[[#This Row],[Wynik]]&gt;=$G$5,$I$5,oceny5[[#This Row],[Wynik]]&gt;=$G$6,$I$6,oceny5[[#This Row],[Wynik]]&gt;=$G$7,$I$7)</f>
        <v>2</v>
      </c>
      <c r="E82" t="str">
        <f>VLOOKUP(oceny5[[#This Row],[ocena]],$I$3:$J$7,2,FALSE)</f>
        <v>niedostateczny</v>
      </c>
    </row>
    <row r="83" spans="1:5" x14ac:dyDescent="0.3">
      <c r="A83" t="s">
        <v>92</v>
      </c>
      <c r="B83">
        <v>72</v>
      </c>
      <c r="C83" t="s">
        <v>14</v>
      </c>
      <c r="D83" cm="1">
        <f t="array" ref="D83">_xlfn.IFS(oceny5[[#This Row],[Wynik]]&gt;=$G$3,$I$3,oceny5[[#This Row],[Wynik]]&gt;=$G$4,$I$4,oceny5[[#This Row],[Wynik]]&gt;=$G$5,$I$5,oceny5[[#This Row],[Wynik]]&gt;=$G$6,$I$6,oceny5[[#This Row],[Wynik]]&gt;=$G$7,$I$7)</f>
        <v>4</v>
      </c>
      <c r="E83" t="str">
        <f>VLOOKUP(oceny5[[#This Row],[ocena]],$I$3:$J$7,2,FALSE)</f>
        <v>dobry</v>
      </c>
    </row>
    <row r="84" spans="1:5" x14ac:dyDescent="0.3">
      <c r="A84" t="s">
        <v>93</v>
      </c>
      <c r="B84">
        <v>61</v>
      </c>
      <c r="C84" t="s">
        <v>10</v>
      </c>
      <c r="D84" cm="1">
        <f t="array" ref="D84">_xlfn.IFS(oceny5[[#This Row],[Wynik]]&gt;=$G$3,$I$3,oceny5[[#This Row],[Wynik]]&gt;=$G$4,$I$4,oceny5[[#This Row],[Wynik]]&gt;=$G$5,$I$5,oceny5[[#This Row],[Wynik]]&gt;=$G$6,$I$6,oceny5[[#This Row],[Wynik]]&gt;=$G$7,$I$7)</f>
        <v>4</v>
      </c>
      <c r="E84" t="str">
        <f>VLOOKUP(oceny5[[#This Row],[ocena]],$I$3:$J$7,2,FALSE)</f>
        <v>dobry</v>
      </c>
    </row>
    <row r="85" spans="1:5" x14ac:dyDescent="0.3">
      <c r="A85" t="s">
        <v>94</v>
      </c>
      <c r="B85">
        <v>89</v>
      </c>
      <c r="C85" t="s">
        <v>10</v>
      </c>
      <c r="D85" cm="1">
        <f t="array" ref="D85">_xlfn.IFS(oceny5[[#This Row],[Wynik]]&gt;=$G$3,$I$3,oceny5[[#This Row],[Wynik]]&gt;=$G$4,$I$4,oceny5[[#This Row],[Wynik]]&gt;=$G$5,$I$5,oceny5[[#This Row],[Wynik]]&gt;=$G$6,$I$6,oceny5[[#This Row],[Wynik]]&gt;=$G$7,$I$7)</f>
        <v>5</v>
      </c>
      <c r="E85" t="str">
        <f>VLOOKUP(oceny5[[#This Row],[ocena]],$I$3:$J$7,2,FALSE)</f>
        <v>bardzo dobry</v>
      </c>
    </row>
    <row r="86" spans="1:5" x14ac:dyDescent="0.3">
      <c r="A86" t="s">
        <v>95</v>
      </c>
      <c r="B86">
        <v>23</v>
      </c>
      <c r="C86" t="s">
        <v>10</v>
      </c>
      <c r="D86" cm="1">
        <f t="array" ref="D86">_xlfn.IFS(oceny5[[#This Row],[Wynik]]&gt;=$G$3,$I$3,oceny5[[#This Row],[Wynik]]&gt;=$G$4,$I$4,oceny5[[#This Row],[Wynik]]&gt;=$G$5,$I$5,oceny5[[#This Row],[Wynik]]&gt;=$G$6,$I$6,oceny5[[#This Row],[Wynik]]&gt;=$G$7,$I$7)</f>
        <v>2</v>
      </c>
      <c r="E86" t="str">
        <f>VLOOKUP(oceny5[[#This Row],[ocena]],$I$3:$J$7,2,FALSE)</f>
        <v>niedostateczny</v>
      </c>
    </row>
    <row r="87" spans="1:5" x14ac:dyDescent="0.3">
      <c r="A87" t="s">
        <v>96</v>
      </c>
      <c r="B87">
        <v>9</v>
      </c>
      <c r="C87" t="s">
        <v>6</v>
      </c>
      <c r="D87" cm="1">
        <f t="array" ref="D87">_xlfn.IFS(oceny5[[#This Row],[Wynik]]&gt;=$G$3,$I$3,oceny5[[#This Row],[Wynik]]&gt;=$G$4,$I$4,oceny5[[#This Row],[Wynik]]&gt;=$G$5,$I$5,oceny5[[#This Row],[Wynik]]&gt;=$G$6,$I$6,oceny5[[#This Row],[Wynik]]&gt;=$G$7,$I$7)</f>
        <v>2</v>
      </c>
      <c r="E87" t="str">
        <f>VLOOKUP(oceny5[[#This Row],[ocena]],$I$3:$J$7,2,FALSE)</f>
        <v>niedostateczny</v>
      </c>
    </row>
    <row r="88" spans="1:5" x14ac:dyDescent="0.3">
      <c r="A88" t="s">
        <v>97</v>
      </c>
      <c r="B88">
        <v>5</v>
      </c>
      <c r="C88" t="s">
        <v>6</v>
      </c>
      <c r="D88" cm="1">
        <f t="array" ref="D88">_xlfn.IFS(oceny5[[#This Row],[Wynik]]&gt;=$G$3,$I$3,oceny5[[#This Row],[Wynik]]&gt;=$G$4,$I$4,oceny5[[#This Row],[Wynik]]&gt;=$G$5,$I$5,oceny5[[#This Row],[Wynik]]&gt;=$G$6,$I$6,oceny5[[#This Row],[Wynik]]&gt;=$G$7,$I$7)</f>
        <v>2</v>
      </c>
      <c r="E88" t="str">
        <f>VLOOKUP(oceny5[[#This Row],[ocena]],$I$3:$J$7,2,FALSE)</f>
        <v>niedostateczny</v>
      </c>
    </row>
    <row r="89" spans="1:5" x14ac:dyDescent="0.3">
      <c r="A89" t="s">
        <v>98</v>
      </c>
      <c r="B89">
        <v>91</v>
      </c>
      <c r="C89" t="s">
        <v>14</v>
      </c>
      <c r="D89" cm="1">
        <f t="array" ref="D89">_xlfn.IFS(oceny5[[#This Row],[Wynik]]&gt;=$G$3,$I$3,oceny5[[#This Row],[Wynik]]&gt;=$G$4,$I$4,oceny5[[#This Row],[Wynik]]&gt;=$G$5,$I$5,oceny5[[#This Row],[Wynik]]&gt;=$G$6,$I$6,oceny5[[#This Row],[Wynik]]&gt;=$G$7,$I$7)</f>
        <v>6</v>
      </c>
      <c r="E89" t="str">
        <f>VLOOKUP(oceny5[[#This Row],[ocena]],$I$3:$J$7,2,FALSE)</f>
        <v>celujący</v>
      </c>
    </row>
    <row r="90" spans="1:5" x14ac:dyDescent="0.3">
      <c r="A90" t="s">
        <v>99</v>
      </c>
      <c r="B90">
        <v>76</v>
      </c>
      <c r="C90" t="s">
        <v>12</v>
      </c>
      <c r="D90" cm="1">
        <f t="array" ref="D90">_xlfn.IFS(oceny5[[#This Row],[Wynik]]&gt;=$G$3,$I$3,oceny5[[#This Row],[Wynik]]&gt;=$G$4,$I$4,oceny5[[#This Row],[Wynik]]&gt;=$G$5,$I$5,oceny5[[#This Row],[Wynik]]&gt;=$G$6,$I$6,oceny5[[#This Row],[Wynik]]&gt;=$G$7,$I$7)</f>
        <v>4</v>
      </c>
      <c r="E90" t="str">
        <f>VLOOKUP(oceny5[[#This Row],[ocena]],$I$3:$J$7,2,FALSE)</f>
        <v>dobry</v>
      </c>
    </row>
    <row r="91" spans="1:5" x14ac:dyDescent="0.3">
      <c r="A91" t="s">
        <v>100</v>
      </c>
      <c r="B91">
        <v>57</v>
      </c>
      <c r="C91" t="s">
        <v>4</v>
      </c>
      <c r="D91" cm="1">
        <f t="array" ref="D91">_xlfn.IFS(oceny5[[#This Row],[Wynik]]&gt;=$G$3,$I$3,oceny5[[#This Row],[Wynik]]&gt;=$G$4,$I$4,oceny5[[#This Row],[Wynik]]&gt;=$G$5,$I$5,oceny5[[#This Row],[Wynik]]&gt;=$G$6,$I$6,oceny5[[#This Row],[Wynik]]&gt;=$G$7,$I$7)</f>
        <v>4</v>
      </c>
      <c r="E91" t="str">
        <f>VLOOKUP(oceny5[[#This Row],[ocena]],$I$3:$J$7,2,FALSE)</f>
        <v>dobry</v>
      </c>
    </row>
    <row r="92" spans="1:5" x14ac:dyDescent="0.3">
      <c r="A92" t="s">
        <v>101</v>
      </c>
      <c r="B92">
        <v>44</v>
      </c>
      <c r="C92" t="s">
        <v>14</v>
      </c>
      <c r="D92" cm="1">
        <f t="array" ref="D92">_xlfn.IFS(oceny5[[#This Row],[Wynik]]&gt;=$G$3,$I$3,oceny5[[#This Row],[Wynik]]&gt;=$G$4,$I$4,oceny5[[#This Row],[Wynik]]&gt;=$G$5,$I$5,oceny5[[#This Row],[Wynik]]&gt;=$G$6,$I$6,oceny5[[#This Row],[Wynik]]&gt;=$G$7,$I$7)</f>
        <v>3</v>
      </c>
      <c r="E92" t="str">
        <f>VLOOKUP(oceny5[[#This Row],[ocena]],$I$3:$J$7,2,FALSE)</f>
        <v>dostateczny</v>
      </c>
    </row>
    <row r="93" spans="1:5" x14ac:dyDescent="0.3">
      <c r="A93" t="s">
        <v>102</v>
      </c>
      <c r="B93">
        <v>77</v>
      </c>
      <c r="C93" t="s">
        <v>8</v>
      </c>
      <c r="D93" cm="1">
        <f t="array" ref="D93">_xlfn.IFS(oceny5[[#This Row],[Wynik]]&gt;=$G$3,$I$3,oceny5[[#This Row],[Wynik]]&gt;=$G$4,$I$4,oceny5[[#This Row],[Wynik]]&gt;=$G$5,$I$5,oceny5[[#This Row],[Wynik]]&gt;=$G$6,$I$6,oceny5[[#This Row],[Wynik]]&gt;=$G$7,$I$7)</f>
        <v>4</v>
      </c>
      <c r="E93" t="str">
        <f>VLOOKUP(oceny5[[#This Row],[ocena]],$I$3:$J$7,2,FALSE)</f>
        <v>dobry</v>
      </c>
    </row>
    <row r="94" spans="1:5" x14ac:dyDescent="0.3">
      <c r="A94" t="s">
        <v>103</v>
      </c>
      <c r="B94">
        <v>29</v>
      </c>
      <c r="C94" t="s">
        <v>12</v>
      </c>
      <c r="D94" cm="1">
        <f t="array" ref="D94">_xlfn.IFS(oceny5[[#This Row],[Wynik]]&gt;=$G$3,$I$3,oceny5[[#This Row],[Wynik]]&gt;=$G$4,$I$4,oceny5[[#This Row],[Wynik]]&gt;=$G$5,$I$5,oceny5[[#This Row],[Wynik]]&gt;=$G$6,$I$6,oceny5[[#This Row],[Wynik]]&gt;=$G$7,$I$7)</f>
        <v>2</v>
      </c>
      <c r="E94" t="str">
        <f>VLOOKUP(oceny5[[#This Row],[ocena]],$I$3:$J$7,2,FALSE)</f>
        <v>niedostateczny</v>
      </c>
    </row>
    <row r="95" spans="1:5" x14ac:dyDescent="0.3">
      <c r="A95" t="s">
        <v>104</v>
      </c>
      <c r="B95">
        <v>10</v>
      </c>
      <c r="C95" t="s">
        <v>12</v>
      </c>
      <c r="D95" cm="1">
        <f t="array" ref="D95">_xlfn.IFS(oceny5[[#This Row],[Wynik]]&gt;=$G$3,$I$3,oceny5[[#This Row],[Wynik]]&gt;=$G$4,$I$4,oceny5[[#This Row],[Wynik]]&gt;=$G$5,$I$5,oceny5[[#This Row],[Wynik]]&gt;=$G$6,$I$6,oceny5[[#This Row],[Wynik]]&gt;=$G$7,$I$7)</f>
        <v>2</v>
      </c>
      <c r="E95" t="str">
        <f>VLOOKUP(oceny5[[#This Row],[ocena]],$I$3:$J$7,2,FALSE)</f>
        <v>niedostateczny</v>
      </c>
    </row>
    <row r="96" spans="1:5" x14ac:dyDescent="0.3">
      <c r="A96" t="s">
        <v>105</v>
      </c>
      <c r="B96">
        <v>85</v>
      </c>
      <c r="C96" t="s">
        <v>4</v>
      </c>
      <c r="D96" cm="1">
        <f t="array" ref="D96">_xlfn.IFS(oceny5[[#This Row],[Wynik]]&gt;=$G$3,$I$3,oceny5[[#This Row],[Wynik]]&gt;=$G$4,$I$4,oceny5[[#This Row],[Wynik]]&gt;=$G$5,$I$5,oceny5[[#This Row],[Wynik]]&gt;=$G$6,$I$6,oceny5[[#This Row],[Wynik]]&gt;=$G$7,$I$7)</f>
        <v>5</v>
      </c>
      <c r="E96" t="str">
        <f>VLOOKUP(oceny5[[#This Row],[ocena]],$I$3:$J$7,2,FALSE)</f>
        <v>bardzo dobry</v>
      </c>
    </row>
    <row r="97" spans="1:5" x14ac:dyDescent="0.3">
      <c r="A97" t="s">
        <v>106</v>
      </c>
      <c r="B97">
        <v>14</v>
      </c>
      <c r="C97" t="s">
        <v>14</v>
      </c>
      <c r="D97" cm="1">
        <f t="array" ref="D97">_xlfn.IFS(oceny5[[#This Row],[Wynik]]&gt;=$G$3,$I$3,oceny5[[#This Row],[Wynik]]&gt;=$G$4,$I$4,oceny5[[#This Row],[Wynik]]&gt;=$G$5,$I$5,oceny5[[#This Row],[Wynik]]&gt;=$G$6,$I$6,oceny5[[#This Row],[Wynik]]&gt;=$G$7,$I$7)</f>
        <v>2</v>
      </c>
      <c r="E97" t="str">
        <f>VLOOKUP(oceny5[[#This Row],[ocena]],$I$3:$J$7,2,FALSE)</f>
        <v>niedostateczny</v>
      </c>
    </row>
    <row r="98" spans="1:5" x14ac:dyDescent="0.3">
      <c r="A98" t="s">
        <v>107</v>
      </c>
      <c r="B98">
        <v>87</v>
      </c>
      <c r="C98" t="s">
        <v>6</v>
      </c>
      <c r="D98" cm="1">
        <f t="array" ref="D98">_xlfn.IFS(oceny5[[#This Row],[Wynik]]&gt;=$G$3,$I$3,oceny5[[#This Row],[Wynik]]&gt;=$G$4,$I$4,oceny5[[#This Row],[Wynik]]&gt;=$G$5,$I$5,oceny5[[#This Row],[Wynik]]&gt;=$G$6,$I$6,oceny5[[#This Row],[Wynik]]&gt;=$G$7,$I$7)</f>
        <v>5</v>
      </c>
      <c r="E98" t="str">
        <f>VLOOKUP(oceny5[[#This Row],[ocena]],$I$3:$J$7,2,FALSE)</f>
        <v>bardzo dobry</v>
      </c>
    </row>
    <row r="99" spans="1:5" x14ac:dyDescent="0.3">
      <c r="A99" t="s">
        <v>108</v>
      </c>
      <c r="B99">
        <v>86</v>
      </c>
      <c r="C99" t="s">
        <v>4</v>
      </c>
      <c r="D99" cm="1">
        <f t="array" ref="D99">_xlfn.IFS(oceny5[[#This Row],[Wynik]]&gt;=$G$3,$I$3,oceny5[[#This Row],[Wynik]]&gt;=$G$4,$I$4,oceny5[[#This Row],[Wynik]]&gt;=$G$5,$I$5,oceny5[[#This Row],[Wynik]]&gt;=$G$6,$I$6,oceny5[[#This Row],[Wynik]]&gt;=$G$7,$I$7)</f>
        <v>5</v>
      </c>
      <c r="E99" t="str">
        <f>VLOOKUP(oceny5[[#This Row],[ocena]],$I$3:$J$7,2,FALSE)</f>
        <v>bardzo dobry</v>
      </c>
    </row>
    <row r="100" spans="1:5" x14ac:dyDescent="0.3">
      <c r="A100" t="s">
        <v>109</v>
      </c>
      <c r="B100">
        <v>77</v>
      </c>
      <c r="C100" t="s">
        <v>10</v>
      </c>
      <c r="D100" cm="1">
        <f t="array" ref="D100">_xlfn.IFS(oceny5[[#This Row],[Wynik]]&gt;=$G$3,$I$3,oceny5[[#This Row],[Wynik]]&gt;=$G$4,$I$4,oceny5[[#This Row],[Wynik]]&gt;=$G$5,$I$5,oceny5[[#This Row],[Wynik]]&gt;=$G$6,$I$6,oceny5[[#This Row],[Wynik]]&gt;=$G$7,$I$7)</f>
        <v>4</v>
      </c>
      <c r="E100" t="str">
        <f>VLOOKUP(oceny5[[#This Row],[ocena]],$I$3:$J$7,2,FALSE)</f>
        <v>dobry</v>
      </c>
    </row>
    <row r="101" spans="1:5" x14ac:dyDescent="0.3">
      <c r="A101" t="s">
        <v>110</v>
      </c>
      <c r="B101">
        <v>31</v>
      </c>
      <c r="C101" t="s">
        <v>4</v>
      </c>
      <c r="D101" cm="1">
        <f t="array" ref="D101">_xlfn.IFS(oceny5[[#This Row],[Wynik]]&gt;=$G$3,$I$3,oceny5[[#This Row],[Wynik]]&gt;=$G$4,$I$4,oceny5[[#This Row],[Wynik]]&gt;=$G$5,$I$5,oceny5[[#This Row],[Wynik]]&gt;=$G$6,$I$6,oceny5[[#This Row],[Wynik]]&gt;=$G$7,$I$7)</f>
        <v>2</v>
      </c>
      <c r="E101" t="str">
        <f>VLOOKUP(oceny5[[#This Row],[ocena]],$I$3:$J$7,2,FALSE)</f>
        <v>niedostateczny</v>
      </c>
    </row>
    <row r="102" spans="1:5" x14ac:dyDescent="0.3">
      <c r="A102" t="s">
        <v>111</v>
      </c>
      <c r="B102">
        <v>28</v>
      </c>
      <c r="C102" t="s">
        <v>4</v>
      </c>
      <c r="D102" cm="1">
        <f t="array" ref="D102">_xlfn.IFS(oceny5[[#This Row],[Wynik]]&gt;=$G$3,$I$3,oceny5[[#This Row],[Wynik]]&gt;=$G$4,$I$4,oceny5[[#This Row],[Wynik]]&gt;=$G$5,$I$5,oceny5[[#This Row],[Wynik]]&gt;=$G$6,$I$6,oceny5[[#This Row],[Wynik]]&gt;=$G$7,$I$7)</f>
        <v>2</v>
      </c>
      <c r="E102" t="str">
        <f>VLOOKUP(oceny5[[#This Row],[ocena]],$I$3:$J$7,2,FALSE)</f>
        <v>niedostateczny</v>
      </c>
    </row>
    <row r="103" spans="1:5" x14ac:dyDescent="0.3">
      <c r="A103" t="s">
        <v>112</v>
      </c>
      <c r="B103">
        <v>42</v>
      </c>
      <c r="C103" t="s">
        <v>4</v>
      </c>
      <c r="D103" cm="1">
        <f t="array" ref="D103">_xlfn.IFS(oceny5[[#This Row],[Wynik]]&gt;=$G$3,$I$3,oceny5[[#This Row],[Wynik]]&gt;=$G$4,$I$4,oceny5[[#This Row],[Wynik]]&gt;=$G$5,$I$5,oceny5[[#This Row],[Wynik]]&gt;=$G$6,$I$6,oceny5[[#This Row],[Wynik]]&gt;=$G$7,$I$7)</f>
        <v>3</v>
      </c>
      <c r="E103" t="str">
        <f>VLOOKUP(oceny5[[#This Row],[ocena]],$I$3:$J$7,2,FALSE)</f>
        <v>dostateczny</v>
      </c>
    </row>
    <row r="104" spans="1:5" x14ac:dyDescent="0.3">
      <c r="A104" t="s">
        <v>113</v>
      </c>
      <c r="B104">
        <v>22</v>
      </c>
      <c r="C104" t="s">
        <v>4</v>
      </c>
      <c r="D104" cm="1">
        <f t="array" ref="D104">_xlfn.IFS(oceny5[[#This Row],[Wynik]]&gt;=$G$3,$I$3,oceny5[[#This Row],[Wynik]]&gt;=$G$4,$I$4,oceny5[[#This Row],[Wynik]]&gt;=$G$5,$I$5,oceny5[[#This Row],[Wynik]]&gt;=$G$6,$I$6,oceny5[[#This Row],[Wynik]]&gt;=$G$7,$I$7)</f>
        <v>2</v>
      </c>
      <c r="E104" t="str">
        <f>VLOOKUP(oceny5[[#This Row],[ocena]],$I$3:$J$7,2,FALSE)</f>
        <v>niedostateczny</v>
      </c>
    </row>
    <row r="105" spans="1:5" x14ac:dyDescent="0.3">
      <c r="A105" t="s">
        <v>114</v>
      </c>
      <c r="B105">
        <v>93</v>
      </c>
      <c r="C105" t="s">
        <v>4</v>
      </c>
      <c r="D105" cm="1">
        <f t="array" ref="D105">_xlfn.IFS(oceny5[[#This Row],[Wynik]]&gt;=$G$3,$I$3,oceny5[[#This Row],[Wynik]]&gt;=$G$4,$I$4,oceny5[[#This Row],[Wynik]]&gt;=$G$5,$I$5,oceny5[[#This Row],[Wynik]]&gt;=$G$6,$I$6,oceny5[[#This Row],[Wynik]]&gt;=$G$7,$I$7)</f>
        <v>6</v>
      </c>
      <c r="E105" t="str">
        <f>VLOOKUP(oceny5[[#This Row],[ocena]],$I$3:$J$7,2,FALSE)</f>
        <v>celujący</v>
      </c>
    </row>
    <row r="106" spans="1:5" x14ac:dyDescent="0.3">
      <c r="A106" t="s">
        <v>115</v>
      </c>
      <c r="B106">
        <v>24</v>
      </c>
      <c r="C106" t="s">
        <v>6</v>
      </c>
      <c r="D106" cm="1">
        <f t="array" ref="D106">_xlfn.IFS(oceny5[[#This Row],[Wynik]]&gt;=$G$3,$I$3,oceny5[[#This Row],[Wynik]]&gt;=$G$4,$I$4,oceny5[[#This Row],[Wynik]]&gt;=$G$5,$I$5,oceny5[[#This Row],[Wynik]]&gt;=$G$6,$I$6,oceny5[[#This Row],[Wynik]]&gt;=$G$7,$I$7)</f>
        <v>2</v>
      </c>
      <c r="E106" t="str">
        <f>VLOOKUP(oceny5[[#This Row],[ocena]],$I$3:$J$7,2,FALSE)</f>
        <v>niedostateczny</v>
      </c>
    </row>
    <row r="107" spans="1:5" x14ac:dyDescent="0.3">
      <c r="A107" t="s">
        <v>116</v>
      </c>
      <c r="B107">
        <v>94</v>
      </c>
      <c r="C107" t="s">
        <v>4</v>
      </c>
      <c r="D107" cm="1">
        <f t="array" ref="D107">_xlfn.IFS(oceny5[[#This Row],[Wynik]]&gt;=$G$3,$I$3,oceny5[[#This Row],[Wynik]]&gt;=$G$4,$I$4,oceny5[[#This Row],[Wynik]]&gt;=$G$5,$I$5,oceny5[[#This Row],[Wynik]]&gt;=$G$6,$I$6,oceny5[[#This Row],[Wynik]]&gt;=$G$7,$I$7)</f>
        <v>6</v>
      </c>
      <c r="E107" t="str">
        <f>VLOOKUP(oceny5[[#This Row],[ocena]],$I$3:$J$7,2,FALSE)</f>
        <v>celujący</v>
      </c>
    </row>
    <row r="108" spans="1:5" x14ac:dyDescent="0.3">
      <c r="A108" t="s">
        <v>117</v>
      </c>
      <c r="B108">
        <v>38</v>
      </c>
      <c r="C108" t="s">
        <v>4</v>
      </c>
      <c r="D108" cm="1">
        <f t="array" ref="D108">_xlfn.IFS(oceny5[[#This Row],[Wynik]]&gt;=$G$3,$I$3,oceny5[[#This Row],[Wynik]]&gt;=$G$4,$I$4,oceny5[[#This Row],[Wynik]]&gt;=$G$5,$I$5,oceny5[[#This Row],[Wynik]]&gt;=$G$6,$I$6,oceny5[[#This Row],[Wynik]]&gt;=$G$7,$I$7)</f>
        <v>2</v>
      </c>
      <c r="E108" t="str">
        <f>VLOOKUP(oceny5[[#This Row],[ocena]],$I$3:$J$7,2,FALSE)</f>
        <v>niedostateczny</v>
      </c>
    </row>
    <row r="109" spans="1:5" x14ac:dyDescent="0.3">
      <c r="A109" t="s">
        <v>118</v>
      </c>
      <c r="B109">
        <v>43</v>
      </c>
      <c r="C109" t="s">
        <v>4</v>
      </c>
      <c r="D109" cm="1">
        <f t="array" ref="D109">_xlfn.IFS(oceny5[[#This Row],[Wynik]]&gt;=$G$3,$I$3,oceny5[[#This Row],[Wynik]]&gt;=$G$4,$I$4,oceny5[[#This Row],[Wynik]]&gt;=$G$5,$I$5,oceny5[[#This Row],[Wynik]]&gt;=$G$6,$I$6,oceny5[[#This Row],[Wynik]]&gt;=$G$7,$I$7)</f>
        <v>3</v>
      </c>
      <c r="E109" t="str">
        <f>VLOOKUP(oceny5[[#This Row],[ocena]],$I$3:$J$7,2,FALSE)</f>
        <v>dostateczny</v>
      </c>
    </row>
    <row r="110" spans="1:5" x14ac:dyDescent="0.3">
      <c r="A110" t="s">
        <v>119</v>
      </c>
      <c r="B110">
        <v>25</v>
      </c>
      <c r="C110" t="s">
        <v>14</v>
      </c>
      <c r="D110" cm="1">
        <f t="array" ref="D110">_xlfn.IFS(oceny5[[#This Row],[Wynik]]&gt;=$G$3,$I$3,oceny5[[#This Row],[Wynik]]&gt;=$G$4,$I$4,oceny5[[#This Row],[Wynik]]&gt;=$G$5,$I$5,oceny5[[#This Row],[Wynik]]&gt;=$G$6,$I$6,oceny5[[#This Row],[Wynik]]&gt;=$G$7,$I$7)</f>
        <v>2</v>
      </c>
      <c r="E110" t="str">
        <f>VLOOKUP(oceny5[[#This Row],[ocena]],$I$3:$J$7,2,FALSE)</f>
        <v>niedostateczny</v>
      </c>
    </row>
    <row r="111" spans="1:5" x14ac:dyDescent="0.3">
      <c r="A111" t="s">
        <v>120</v>
      </c>
      <c r="B111">
        <v>60</v>
      </c>
      <c r="C111" t="s">
        <v>35</v>
      </c>
      <c r="D111" cm="1">
        <f t="array" ref="D111">_xlfn.IFS(oceny5[[#This Row],[Wynik]]&gt;=$G$3,$I$3,oceny5[[#This Row],[Wynik]]&gt;=$G$4,$I$4,oceny5[[#This Row],[Wynik]]&gt;=$G$5,$I$5,oceny5[[#This Row],[Wynik]]&gt;=$G$6,$I$6,oceny5[[#This Row],[Wynik]]&gt;=$G$7,$I$7)</f>
        <v>4</v>
      </c>
      <c r="E111" t="str">
        <f>VLOOKUP(oceny5[[#This Row],[ocena]],$I$3:$J$7,2,FALSE)</f>
        <v>dobry</v>
      </c>
    </row>
    <row r="112" spans="1:5" x14ac:dyDescent="0.3">
      <c r="A112" t="s">
        <v>121</v>
      </c>
      <c r="B112">
        <v>75</v>
      </c>
      <c r="C112" t="s">
        <v>16</v>
      </c>
      <c r="D112" cm="1">
        <f t="array" ref="D112">_xlfn.IFS(oceny5[[#This Row],[Wynik]]&gt;=$G$3,$I$3,oceny5[[#This Row],[Wynik]]&gt;=$G$4,$I$4,oceny5[[#This Row],[Wynik]]&gt;=$G$5,$I$5,oceny5[[#This Row],[Wynik]]&gt;=$G$6,$I$6,oceny5[[#This Row],[Wynik]]&gt;=$G$7,$I$7)</f>
        <v>4</v>
      </c>
      <c r="E112" t="str">
        <f>VLOOKUP(oceny5[[#This Row],[ocena]],$I$3:$J$7,2,FALSE)</f>
        <v>dobry</v>
      </c>
    </row>
    <row r="113" spans="1:5" x14ac:dyDescent="0.3">
      <c r="A113" t="s">
        <v>122</v>
      </c>
      <c r="B113">
        <v>3</v>
      </c>
      <c r="C113" t="s">
        <v>4</v>
      </c>
      <c r="D113" cm="1">
        <f t="array" ref="D113">_xlfn.IFS(oceny5[[#This Row],[Wynik]]&gt;=$G$3,$I$3,oceny5[[#This Row],[Wynik]]&gt;=$G$4,$I$4,oceny5[[#This Row],[Wynik]]&gt;=$G$5,$I$5,oceny5[[#This Row],[Wynik]]&gt;=$G$6,$I$6,oceny5[[#This Row],[Wynik]]&gt;=$G$7,$I$7)</f>
        <v>2</v>
      </c>
      <c r="E113" t="str">
        <f>VLOOKUP(oceny5[[#This Row],[ocena]],$I$3:$J$7,2,FALSE)</f>
        <v>niedostateczny</v>
      </c>
    </row>
    <row r="114" spans="1:5" x14ac:dyDescent="0.3">
      <c r="A114" t="s">
        <v>123</v>
      </c>
      <c r="B114">
        <v>74</v>
      </c>
      <c r="C114" t="s">
        <v>6</v>
      </c>
      <c r="D114" cm="1">
        <f t="array" ref="D114">_xlfn.IFS(oceny5[[#This Row],[Wynik]]&gt;=$G$3,$I$3,oceny5[[#This Row],[Wynik]]&gt;=$G$4,$I$4,oceny5[[#This Row],[Wynik]]&gt;=$G$5,$I$5,oceny5[[#This Row],[Wynik]]&gt;=$G$6,$I$6,oceny5[[#This Row],[Wynik]]&gt;=$G$7,$I$7)</f>
        <v>4</v>
      </c>
      <c r="E114" t="str">
        <f>VLOOKUP(oceny5[[#This Row],[ocena]],$I$3:$J$7,2,FALSE)</f>
        <v>dobry</v>
      </c>
    </row>
    <row r="115" spans="1:5" x14ac:dyDescent="0.3">
      <c r="A115" t="s">
        <v>124</v>
      </c>
      <c r="B115">
        <v>40</v>
      </c>
      <c r="C115" t="s">
        <v>12</v>
      </c>
      <c r="D115" cm="1">
        <f t="array" ref="D115">_xlfn.IFS(oceny5[[#This Row],[Wynik]]&gt;=$G$3,$I$3,oceny5[[#This Row],[Wynik]]&gt;=$G$4,$I$4,oceny5[[#This Row],[Wynik]]&gt;=$G$5,$I$5,oceny5[[#This Row],[Wynik]]&gt;=$G$6,$I$6,oceny5[[#This Row],[Wynik]]&gt;=$G$7,$I$7)</f>
        <v>2</v>
      </c>
      <c r="E115" t="str">
        <f>VLOOKUP(oceny5[[#This Row],[ocena]],$I$3:$J$7,2,FALSE)</f>
        <v>niedostateczny</v>
      </c>
    </row>
    <row r="116" spans="1:5" x14ac:dyDescent="0.3">
      <c r="A116" t="s">
        <v>125</v>
      </c>
      <c r="B116">
        <v>2</v>
      </c>
      <c r="C116" t="s">
        <v>4</v>
      </c>
      <c r="D116" cm="1">
        <f t="array" ref="D116">_xlfn.IFS(oceny5[[#This Row],[Wynik]]&gt;=$G$3,$I$3,oceny5[[#This Row],[Wynik]]&gt;=$G$4,$I$4,oceny5[[#This Row],[Wynik]]&gt;=$G$5,$I$5,oceny5[[#This Row],[Wynik]]&gt;=$G$6,$I$6,oceny5[[#This Row],[Wynik]]&gt;=$G$7,$I$7)</f>
        <v>2</v>
      </c>
      <c r="E116" t="str">
        <f>VLOOKUP(oceny5[[#This Row],[ocena]],$I$3:$J$7,2,FALSE)</f>
        <v>niedostateczny</v>
      </c>
    </row>
    <row r="117" spans="1:5" x14ac:dyDescent="0.3">
      <c r="A117" t="s">
        <v>126</v>
      </c>
      <c r="B117">
        <v>58</v>
      </c>
      <c r="C117" t="s">
        <v>10</v>
      </c>
      <c r="D117" cm="1">
        <f t="array" ref="D117">_xlfn.IFS(oceny5[[#This Row],[Wynik]]&gt;=$G$3,$I$3,oceny5[[#This Row],[Wynik]]&gt;=$G$4,$I$4,oceny5[[#This Row],[Wynik]]&gt;=$G$5,$I$5,oceny5[[#This Row],[Wynik]]&gt;=$G$6,$I$6,oceny5[[#This Row],[Wynik]]&gt;=$G$7,$I$7)</f>
        <v>4</v>
      </c>
      <c r="E117" t="str">
        <f>VLOOKUP(oceny5[[#This Row],[ocena]],$I$3:$J$7,2,FALSE)</f>
        <v>dobry</v>
      </c>
    </row>
    <row r="118" spans="1:5" x14ac:dyDescent="0.3">
      <c r="A118" t="s">
        <v>127</v>
      </c>
      <c r="B118">
        <v>6</v>
      </c>
      <c r="C118" t="s">
        <v>4</v>
      </c>
      <c r="D118" cm="1">
        <f t="array" ref="D118">_xlfn.IFS(oceny5[[#This Row],[Wynik]]&gt;=$G$3,$I$3,oceny5[[#This Row],[Wynik]]&gt;=$G$4,$I$4,oceny5[[#This Row],[Wynik]]&gt;=$G$5,$I$5,oceny5[[#This Row],[Wynik]]&gt;=$G$6,$I$6,oceny5[[#This Row],[Wynik]]&gt;=$G$7,$I$7)</f>
        <v>2</v>
      </c>
      <c r="E118" t="str">
        <f>VLOOKUP(oceny5[[#This Row],[ocena]],$I$3:$J$7,2,FALSE)</f>
        <v>niedostateczny</v>
      </c>
    </row>
    <row r="119" spans="1:5" x14ac:dyDescent="0.3">
      <c r="A119" t="s">
        <v>128</v>
      </c>
      <c r="B119">
        <v>32</v>
      </c>
      <c r="C119" t="s">
        <v>6</v>
      </c>
      <c r="D119" cm="1">
        <f t="array" ref="D119">_xlfn.IFS(oceny5[[#This Row],[Wynik]]&gt;=$G$3,$I$3,oceny5[[#This Row],[Wynik]]&gt;=$G$4,$I$4,oceny5[[#This Row],[Wynik]]&gt;=$G$5,$I$5,oceny5[[#This Row],[Wynik]]&gt;=$G$6,$I$6,oceny5[[#This Row],[Wynik]]&gt;=$G$7,$I$7)</f>
        <v>2</v>
      </c>
      <c r="E119" t="str">
        <f>VLOOKUP(oceny5[[#This Row],[ocena]],$I$3:$J$7,2,FALSE)</f>
        <v>niedostateczny</v>
      </c>
    </row>
    <row r="120" spans="1:5" x14ac:dyDescent="0.3">
      <c r="A120" t="s">
        <v>129</v>
      </c>
      <c r="B120">
        <v>70</v>
      </c>
      <c r="C120" t="s">
        <v>12</v>
      </c>
      <c r="D120" cm="1">
        <f t="array" ref="D120">_xlfn.IFS(oceny5[[#This Row],[Wynik]]&gt;=$G$3,$I$3,oceny5[[#This Row],[Wynik]]&gt;=$G$4,$I$4,oceny5[[#This Row],[Wynik]]&gt;=$G$5,$I$5,oceny5[[#This Row],[Wynik]]&gt;=$G$6,$I$6,oceny5[[#This Row],[Wynik]]&gt;=$G$7,$I$7)</f>
        <v>4</v>
      </c>
      <c r="E120" t="str">
        <f>VLOOKUP(oceny5[[#This Row],[ocena]],$I$3:$J$7,2,FALSE)</f>
        <v>dobry</v>
      </c>
    </row>
    <row r="121" spans="1:5" x14ac:dyDescent="0.3">
      <c r="A121" t="s">
        <v>130</v>
      </c>
      <c r="B121">
        <v>14</v>
      </c>
      <c r="C121" t="s">
        <v>10</v>
      </c>
      <c r="D121" cm="1">
        <f t="array" ref="D121">_xlfn.IFS(oceny5[[#This Row],[Wynik]]&gt;=$G$3,$I$3,oceny5[[#This Row],[Wynik]]&gt;=$G$4,$I$4,oceny5[[#This Row],[Wynik]]&gt;=$G$5,$I$5,oceny5[[#This Row],[Wynik]]&gt;=$G$6,$I$6,oceny5[[#This Row],[Wynik]]&gt;=$G$7,$I$7)</f>
        <v>2</v>
      </c>
      <c r="E121" t="str">
        <f>VLOOKUP(oceny5[[#This Row],[ocena]],$I$3:$J$7,2,FALSE)</f>
        <v>niedostateczny</v>
      </c>
    </row>
    <row r="122" spans="1:5" x14ac:dyDescent="0.3">
      <c r="A122" t="s">
        <v>131</v>
      </c>
      <c r="B122">
        <v>23</v>
      </c>
      <c r="C122" t="s">
        <v>14</v>
      </c>
      <c r="D122" cm="1">
        <f t="array" ref="D122">_xlfn.IFS(oceny5[[#This Row],[Wynik]]&gt;=$G$3,$I$3,oceny5[[#This Row],[Wynik]]&gt;=$G$4,$I$4,oceny5[[#This Row],[Wynik]]&gt;=$G$5,$I$5,oceny5[[#This Row],[Wynik]]&gt;=$G$6,$I$6,oceny5[[#This Row],[Wynik]]&gt;=$G$7,$I$7)</f>
        <v>2</v>
      </c>
      <c r="E122" t="str">
        <f>VLOOKUP(oceny5[[#This Row],[ocena]],$I$3:$J$7,2,FALSE)</f>
        <v>niedostateczny</v>
      </c>
    </row>
    <row r="123" spans="1:5" x14ac:dyDescent="0.3">
      <c r="A123" t="s">
        <v>132</v>
      </c>
      <c r="B123">
        <v>100</v>
      </c>
      <c r="C123" t="s">
        <v>4</v>
      </c>
      <c r="D123" cm="1">
        <f t="array" ref="D123">_xlfn.IFS(oceny5[[#This Row],[Wynik]]&gt;=$G$3,$I$3,oceny5[[#This Row],[Wynik]]&gt;=$G$4,$I$4,oceny5[[#This Row],[Wynik]]&gt;=$G$5,$I$5,oceny5[[#This Row],[Wynik]]&gt;=$G$6,$I$6,oceny5[[#This Row],[Wynik]]&gt;=$G$7,$I$7)</f>
        <v>6</v>
      </c>
      <c r="E123" t="str">
        <f>VLOOKUP(oceny5[[#This Row],[ocena]],$I$3:$J$7,2,FALSE)</f>
        <v>celujący</v>
      </c>
    </row>
    <row r="124" spans="1:5" x14ac:dyDescent="0.3">
      <c r="A124" t="s">
        <v>133</v>
      </c>
      <c r="B124">
        <v>80</v>
      </c>
      <c r="C124" t="s">
        <v>35</v>
      </c>
      <c r="D124" cm="1">
        <f t="array" ref="D124">_xlfn.IFS(oceny5[[#This Row],[Wynik]]&gt;=$G$3,$I$3,oceny5[[#This Row],[Wynik]]&gt;=$G$4,$I$4,oceny5[[#This Row],[Wynik]]&gt;=$G$5,$I$5,oceny5[[#This Row],[Wynik]]&gt;=$G$6,$I$6,oceny5[[#This Row],[Wynik]]&gt;=$G$7,$I$7)</f>
        <v>5</v>
      </c>
      <c r="E124" t="str">
        <f>VLOOKUP(oceny5[[#This Row],[ocena]],$I$3:$J$7,2,FALSE)</f>
        <v>bardzo dobry</v>
      </c>
    </row>
    <row r="125" spans="1:5" x14ac:dyDescent="0.3">
      <c r="A125" t="s">
        <v>134</v>
      </c>
      <c r="B125">
        <v>22</v>
      </c>
      <c r="C125" t="s">
        <v>16</v>
      </c>
      <c r="D125" cm="1">
        <f t="array" ref="D125">_xlfn.IFS(oceny5[[#This Row],[Wynik]]&gt;=$G$3,$I$3,oceny5[[#This Row],[Wynik]]&gt;=$G$4,$I$4,oceny5[[#This Row],[Wynik]]&gt;=$G$5,$I$5,oceny5[[#This Row],[Wynik]]&gt;=$G$6,$I$6,oceny5[[#This Row],[Wynik]]&gt;=$G$7,$I$7)</f>
        <v>2</v>
      </c>
      <c r="E125" t="str">
        <f>VLOOKUP(oceny5[[#This Row],[ocena]],$I$3:$J$7,2,FALSE)</f>
        <v>niedostateczny</v>
      </c>
    </row>
    <row r="126" spans="1:5" x14ac:dyDescent="0.3">
      <c r="A126" t="s">
        <v>135</v>
      </c>
      <c r="B126">
        <v>92</v>
      </c>
      <c r="C126" t="s">
        <v>8</v>
      </c>
      <c r="D126" cm="1">
        <f t="array" ref="D126">_xlfn.IFS(oceny5[[#This Row],[Wynik]]&gt;=$G$3,$I$3,oceny5[[#This Row],[Wynik]]&gt;=$G$4,$I$4,oceny5[[#This Row],[Wynik]]&gt;=$G$5,$I$5,oceny5[[#This Row],[Wynik]]&gt;=$G$6,$I$6,oceny5[[#This Row],[Wynik]]&gt;=$G$7,$I$7)</f>
        <v>6</v>
      </c>
      <c r="E126" t="str">
        <f>VLOOKUP(oceny5[[#This Row],[ocena]],$I$3:$J$7,2,FALSE)</f>
        <v>celujący</v>
      </c>
    </row>
    <row r="127" spans="1:5" x14ac:dyDescent="0.3">
      <c r="A127" t="s">
        <v>136</v>
      </c>
      <c r="B127">
        <v>69</v>
      </c>
      <c r="C127" t="s">
        <v>8</v>
      </c>
      <c r="D127" cm="1">
        <f t="array" ref="D127">_xlfn.IFS(oceny5[[#This Row],[Wynik]]&gt;=$G$3,$I$3,oceny5[[#This Row],[Wynik]]&gt;=$G$4,$I$4,oceny5[[#This Row],[Wynik]]&gt;=$G$5,$I$5,oceny5[[#This Row],[Wynik]]&gt;=$G$6,$I$6,oceny5[[#This Row],[Wynik]]&gt;=$G$7,$I$7)</f>
        <v>4</v>
      </c>
      <c r="E127" t="str">
        <f>VLOOKUP(oceny5[[#This Row],[ocena]],$I$3:$J$7,2,FALSE)</f>
        <v>dobry</v>
      </c>
    </row>
    <row r="128" spans="1:5" x14ac:dyDescent="0.3">
      <c r="A128" t="s">
        <v>137</v>
      </c>
      <c r="B128">
        <v>76</v>
      </c>
      <c r="C128" t="s">
        <v>6</v>
      </c>
      <c r="D128" cm="1">
        <f t="array" ref="D128">_xlfn.IFS(oceny5[[#This Row],[Wynik]]&gt;=$G$3,$I$3,oceny5[[#This Row],[Wynik]]&gt;=$G$4,$I$4,oceny5[[#This Row],[Wynik]]&gt;=$G$5,$I$5,oceny5[[#This Row],[Wynik]]&gt;=$G$6,$I$6,oceny5[[#This Row],[Wynik]]&gt;=$G$7,$I$7)</f>
        <v>4</v>
      </c>
      <c r="E128" t="str">
        <f>VLOOKUP(oceny5[[#This Row],[ocena]],$I$3:$J$7,2,FALSE)</f>
        <v>dobry</v>
      </c>
    </row>
    <row r="129" spans="1:5" x14ac:dyDescent="0.3">
      <c r="A129" t="s">
        <v>138</v>
      </c>
      <c r="B129">
        <v>57</v>
      </c>
      <c r="C129" t="s">
        <v>35</v>
      </c>
      <c r="D129" cm="1">
        <f t="array" ref="D129">_xlfn.IFS(oceny5[[#This Row],[Wynik]]&gt;=$G$3,$I$3,oceny5[[#This Row],[Wynik]]&gt;=$G$4,$I$4,oceny5[[#This Row],[Wynik]]&gt;=$G$5,$I$5,oceny5[[#This Row],[Wynik]]&gt;=$G$6,$I$6,oceny5[[#This Row],[Wynik]]&gt;=$G$7,$I$7)</f>
        <v>4</v>
      </c>
      <c r="E129" t="str">
        <f>VLOOKUP(oceny5[[#This Row],[ocena]],$I$3:$J$7,2,FALSE)</f>
        <v>dobry</v>
      </c>
    </row>
    <row r="130" spans="1:5" x14ac:dyDescent="0.3">
      <c r="A130" t="s">
        <v>139</v>
      </c>
      <c r="B130">
        <v>48</v>
      </c>
      <c r="C130" t="s">
        <v>14</v>
      </c>
      <c r="D130" cm="1">
        <f t="array" ref="D130">_xlfn.IFS(oceny5[[#This Row],[Wynik]]&gt;=$G$3,$I$3,oceny5[[#This Row],[Wynik]]&gt;=$G$4,$I$4,oceny5[[#This Row],[Wynik]]&gt;=$G$5,$I$5,oceny5[[#This Row],[Wynik]]&gt;=$G$6,$I$6,oceny5[[#This Row],[Wynik]]&gt;=$G$7,$I$7)</f>
        <v>3</v>
      </c>
      <c r="E130" t="str">
        <f>VLOOKUP(oceny5[[#This Row],[ocena]],$I$3:$J$7,2,FALSE)</f>
        <v>dostateczny</v>
      </c>
    </row>
    <row r="131" spans="1:5" x14ac:dyDescent="0.3">
      <c r="A131" t="s">
        <v>140</v>
      </c>
      <c r="B131">
        <v>22</v>
      </c>
      <c r="C131" t="s">
        <v>14</v>
      </c>
      <c r="D131" cm="1">
        <f t="array" ref="D131">_xlfn.IFS(oceny5[[#This Row],[Wynik]]&gt;=$G$3,$I$3,oceny5[[#This Row],[Wynik]]&gt;=$G$4,$I$4,oceny5[[#This Row],[Wynik]]&gt;=$G$5,$I$5,oceny5[[#This Row],[Wynik]]&gt;=$G$6,$I$6,oceny5[[#This Row],[Wynik]]&gt;=$G$7,$I$7)</f>
        <v>2</v>
      </c>
      <c r="E131" t="str">
        <f>VLOOKUP(oceny5[[#This Row],[ocena]],$I$3:$J$7,2,FALSE)</f>
        <v>niedostateczny</v>
      </c>
    </row>
    <row r="132" spans="1:5" x14ac:dyDescent="0.3">
      <c r="A132" t="s">
        <v>141</v>
      </c>
      <c r="B132">
        <v>72</v>
      </c>
      <c r="C132" t="s">
        <v>6</v>
      </c>
      <c r="D132" cm="1">
        <f t="array" ref="D132">_xlfn.IFS(oceny5[[#This Row],[Wynik]]&gt;=$G$3,$I$3,oceny5[[#This Row],[Wynik]]&gt;=$G$4,$I$4,oceny5[[#This Row],[Wynik]]&gt;=$G$5,$I$5,oceny5[[#This Row],[Wynik]]&gt;=$G$6,$I$6,oceny5[[#This Row],[Wynik]]&gt;=$G$7,$I$7)</f>
        <v>4</v>
      </c>
      <c r="E132" t="str">
        <f>VLOOKUP(oceny5[[#This Row],[ocena]],$I$3:$J$7,2,FALSE)</f>
        <v>dobry</v>
      </c>
    </row>
    <row r="133" spans="1:5" x14ac:dyDescent="0.3">
      <c r="A133" t="s">
        <v>142</v>
      </c>
      <c r="B133">
        <v>25</v>
      </c>
      <c r="C133" t="s">
        <v>12</v>
      </c>
      <c r="D133" cm="1">
        <f t="array" ref="D133">_xlfn.IFS(oceny5[[#This Row],[Wynik]]&gt;=$G$3,$I$3,oceny5[[#This Row],[Wynik]]&gt;=$G$4,$I$4,oceny5[[#This Row],[Wynik]]&gt;=$G$5,$I$5,oceny5[[#This Row],[Wynik]]&gt;=$G$6,$I$6,oceny5[[#This Row],[Wynik]]&gt;=$G$7,$I$7)</f>
        <v>2</v>
      </c>
      <c r="E133" t="str">
        <f>VLOOKUP(oceny5[[#This Row],[ocena]],$I$3:$J$7,2,FALSE)</f>
        <v>niedostateczny</v>
      </c>
    </row>
    <row r="134" spans="1:5" x14ac:dyDescent="0.3">
      <c r="A134" t="s">
        <v>143</v>
      </c>
      <c r="B134">
        <v>65</v>
      </c>
      <c r="C134" t="s">
        <v>14</v>
      </c>
      <c r="D134" cm="1">
        <f t="array" ref="D134">_xlfn.IFS(oceny5[[#This Row],[Wynik]]&gt;=$G$3,$I$3,oceny5[[#This Row],[Wynik]]&gt;=$G$4,$I$4,oceny5[[#This Row],[Wynik]]&gt;=$G$5,$I$5,oceny5[[#This Row],[Wynik]]&gt;=$G$6,$I$6,oceny5[[#This Row],[Wynik]]&gt;=$G$7,$I$7)</f>
        <v>4</v>
      </c>
      <c r="E134" t="str">
        <f>VLOOKUP(oceny5[[#This Row],[ocena]],$I$3:$J$7,2,FALSE)</f>
        <v>dobry</v>
      </c>
    </row>
    <row r="135" spans="1:5" x14ac:dyDescent="0.3">
      <c r="A135" t="s">
        <v>144</v>
      </c>
      <c r="B135">
        <v>14</v>
      </c>
      <c r="C135" t="s">
        <v>12</v>
      </c>
      <c r="D135" cm="1">
        <f t="array" ref="D135">_xlfn.IFS(oceny5[[#This Row],[Wynik]]&gt;=$G$3,$I$3,oceny5[[#This Row],[Wynik]]&gt;=$G$4,$I$4,oceny5[[#This Row],[Wynik]]&gt;=$G$5,$I$5,oceny5[[#This Row],[Wynik]]&gt;=$G$6,$I$6,oceny5[[#This Row],[Wynik]]&gt;=$G$7,$I$7)</f>
        <v>2</v>
      </c>
      <c r="E135" t="str">
        <f>VLOOKUP(oceny5[[#This Row],[ocena]],$I$3:$J$7,2,FALSE)</f>
        <v>niedostateczny</v>
      </c>
    </row>
    <row r="136" spans="1:5" x14ac:dyDescent="0.3">
      <c r="A136" t="s">
        <v>145</v>
      </c>
      <c r="B136">
        <v>16</v>
      </c>
      <c r="C136" t="s">
        <v>8</v>
      </c>
      <c r="D136" cm="1">
        <f t="array" ref="D136">_xlfn.IFS(oceny5[[#This Row],[Wynik]]&gt;=$G$3,$I$3,oceny5[[#This Row],[Wynik]]&gt;=$G$4,$I$4,oceny5[[#This Row],[Wynik]]&gt;=$G$5,$I$5,oceny5[[#This Row],[Wynik]]&gt;=$G$6,$I$6,oceny5[[#This Row],[Wynik]]&gt;=$G$7,$I$7)</f>
        <v>2</v>
      </c>
      <c r="E136" t="str">
        <f>VLOOKUP(oceny5[[#This Row],[ocena]],$I$3:$J$7,2,FALSE)</f>
        <v>niedostateczny</v>
      </c>
    </row>
    <row r="137" spans="1:5" x14ac:dyDescent="0.3">
      <c r="A137" t="s">
        <v>146</v>
      </c>
      <c r="B137">
        <v>77</v>
      </c>
      <c r="C137" t="s">
        <v>8</v>
      </c>
      <c r="D137" cm="1">
        <f t="array" ref="D137">_xlfn.IFS(oceny5[[#This Row],[Wynik]]&gt;=$G$3,$I$3,oceny5[[#This Row],[Wynik]]&gt;=$G$4,$I$4,oceny5[[#This Row],[Wynik]]&gt;=$G$5,$I$5,oceny5[[#This Row],[Wynik]]&gt;=$G$6,$I$6,oceny5[[#This Row],[Wynik]]&gt;=$G$7,$I$7)</f>
        <v>4</v>
      </c>
      <c r="E137" t="str">
        <f>VLOOKUP(oceny5[[#This Row],[ocena]],$I$3:$J$7,2,FALSE)</f>
        <v>dobry</v>
      </c>
    </row>
    <row r="138" spans="1:5" x14ac:dyDescent="0.3">
      <c r="A138" t="s">
        <v>147</v>
      </c>
      <c r="B138">
        <v>49</v>
      </c>
      <c r="C138" t="s">
        <v>14</v>
      </c>
      <c r="D138" cm="1">
        <f t="array" ref="D138">_xlfn.IFS(oceny5[[#This Row],[Wynik]]&gt;=$G$3,$I$3,oceny5[[#This Row],[Wynik]]&gt;=$G$4,$I$4,oceny5[[#This Row],[Wynik]]&gt;=$G$5,$I$5,oceny5[[#This Row],[Wynik]]&gt;=$G$6,$I$6,oceny5[[#This Row],[Wynik]]&gt;=$G$7,$I$7)</f>
        <v>3</v>
      </c>
      <c r="E138" t="str">
        <f>VLOOKUP(oceny5[[#This Row],[ocena]],$I$3:$J$7,2,FALSE)</f>
        <v>dostateczny</v>
      </c>
    </row>
    <row r="139" spans="1:5" x14ac:dyDescent="0.3">
      <c r="A139" t="s">
        <v>148</v>
      </c>
      <c r="B139">
        <v>39</v>
      </c>
      <c r="C139" t="s">
        <v>12</v>
      </c>
      <c r="D139" cm="1">
        <f t="array" ref="D139">_xlfn.IFS(oceny5[[#This Row],[Wynik]]&gt;=$G$3,$I$3,oceny5[[#This Row],[Wynik]]&gt;=$G$4,$I$4,oceny5[[#This Row],[Wynik]]&gt;=$G$5,$I$5,oceny5[[#This Row],[Wynik]]&gt;=$G$6,$I$6,oceny5[[#This Row],[Wynik]]&gt;=$G$7,$I$7)</f>
        <v>2</v>
      </c>
      <c r="E139" t="str">
        <f>VLOOKUP(oceny5[[#This Row],[ocena]],$I$3:$J$7,2,FALSE)</f>
        <v>niedostateczny</v>
      </c>
    </row>
    <row r="140" spans="1:5" x14ac:dyDescent="0.3">
      <c r="A140" t="s">
        <v>149</v>
      </c>
      <c r="B140">
        <v>29</v>
      </c>
      <c r="C140" t="s">
        <v>10</v>
      </c>
      <c r="D140" cm="1">
        <f t="array" ref="D140">_xlfn.IFS(oceny5[[#This Row],[Wynik]]&gt;=$G$3,$I$3,oceny5[[#This Row],[Wynik]]&gt;=$G$4,$I$4,oceny5[[#This Row],[Wynik]]&gt;=$G$5,$I$5,oceny5[[#This Row],[Wynik]]&gt;=$G$6,$I$6,oceny5[[#This Row],[Wynik]]&gt;=$G$7,$I$7)</f>
        <v>2</v>
      </c>
      <c r="E140" t="str">
        <f>VLOOKUP(oceny5[[#This Row],[ocena]],$I$3:$J$7,2,FALSE)</f>
        <v>niedostateczny</v>
      </c>
    </row>
    <row r="141" spans="1:5" x14ac:dyDescent="0.3">
      <c r="A141" t="s">
        <v>150</v>
      </c>
      <c r="B141">
        <v>38</v>
      </c>
      <c r="C141" t="s">
        <v>10</v>
      </c>
      <c r="D141" cm="1">
        <f t="array" ref="D141">_xlfn.IFS(oceny5[[#This Row],[Wynik]]&gt;=$G$3,$I$3,oceny5[[#This Row],[Wynik]]&gt;=$G$4,$I$4,oceny5[[#This Row],[Wynik]]&gt;=$G$5,$I$5,oceny5[[#This Row],[Wynik]]&gt;=$G$6,$I$6,oceny5[[#This Row],[Wynik]]&gt;=$G$7,$I$7)</f>
        <v>2</v>
      </c>
      <c r="E141" t="str">
        <f>VLOOKUP(oceny5[[#This Row],[ocena]],$I$3:$J$7,2,FALSE)</f>
        <v>niedostateczny</v>
      </c>
    </row>
    <row r="142" spans="1:5" x14ac:dyDescent="0.3">
      <c r="A142" t="s">
        <v>151</v>
      </c>
      <c r="B142">
        <v>61</v>
      </c>
      <c r="C142" t="s">
        <v>10</v>
      </c>
      <c r="D142" cm="1">
        <f t="array" ref="D142">_xlfn.IFS(oceny5[[#This Row],[Wynik]]&gt;=$G$3,$I$3,oceny5[[#This Row],[Wynik]]&gt;=$G$4,$I$4,oceny5[[#This Row],[Wynik]]&gt;=$G$5,$I$5,oceny5[[#This Row],[Wynik]]&gt;=$G$6,$I$6,oceny5[[#This Row],[Wynik]]&gt;=$G$7,$I$7)</f>
        <v>4</v>
      </c>
      <c r="E142" t="str">
        <f>VLOOKUP(oceny5[[#This Row],[ocena]],$I$3:$J$7,2,FALSE)</f>
        <v>dobry</v>
      </c>
    </row>
    <row r="143" spans="1:5" x14ac:dyDescent="0.3">
      <c r="A143" t="s">
        <v>152</v>
      </c>
      <c r="B143">
        <v>72</v>
      </c>
      <c r="C143" t="s">
        <v>14</v>
      </c>
      <c r="D143" cm="1">
        <f t="array" ref="D143">_xlfn.IFS(oceny5[[#This Row],[Wynik]]&gt;=$G$3,$I$3,oceny5[[#This Row],[Wynik]]&gt;=$G$4,$I$4,oceny5[[#This Row],[Wynik]]&gt;=$G$5,$I$5,oceny5[[#This Row],[Wynik]]&gt;=$G$6,$I$6,oceny5[[#This Row],[Wynik]]&gt;=$G$7,$I$7)</f>
        <v>4</v>
      </c>
      <c r="E143" t="str">
        <f>VLOOKUP(oceny5[[#This Row],[ocena]],$I$3:$J$7,2,FALSE)</f>
        <v>dobry</v>
      </c>
    </row>
    <row r="144" spans="1:5" x14ac:dyDescent="0.3">
      <c r="A144" t="s">
        <v>153</v>
      </c>
      <c r="B144">
        <v>8</v>
      </c>
      <c r="C144" t="s">
        <v>16</v>
      </c>
      <c r="D144" cm="1">
        <f t="array" ref="D144">_xlfn.IFS(oceny5[[#This Row],[Wynik]]&gt;=$G$3,$I$3,oceny5[[#This Row],[Wynik]]&gt;=$G$4,$I$4,oceny5[[#This Row],[Wynik]]&gt;=$G$5,$I$5,oceny5[[#This Row],[Wynik]]&gt;=$G$6,$I$6,oceny5[[#This Row],[Wynik]]&gt;=$G$7,$I$7)</f>
        <v>2</v>
      </c>
      <c r="E144" t="str">
        <f>VLOOKUP(oceny5[[#This Row],[ocena]],$I$3:$J$7,2,FALSE)</f>
        <v>niedostateczny</v>
      </c>
    </row>
    <row r="145" spans="1:5" x14ac:dyDescent="0.3">
      <c r="A145" t="s">
        <v>154</v>
      </c>
      <c r="B145">
        <v>88</v>
      </c>
      <c r="C145" t="s">
        <v>6</v>
      </c>
      <c r="D145" cm="1">
        <f t="array" ref="D145">_xlfn.IFS(oceny5[[#This Row],[Wynik]]&gt;=$G$3,$I$3,oceny5[[#This Row],[Wynik]]&gt;=$G$4,$I$4,oceny5[[#This Row],[Wynik]]&gt;=$G$5,$I$5,oceny5[[#This Row],[Wynik]]&gt;=$G$6,$I$6,oceny5[[#This Row],[Wynik]]&gt;=$G$7,$I$7)</f>
        <v>5</v>
      </c>
      <c r="E145" t="str">
        <f>VLOOKUP(oceny5[[#This Row],[ocena]],$I$3:$J$7,2,FALSE)</f>
        <v>bardzo dobry</v>
      </c>
    </row>
    <row r="146" spans="1:5" x14ac:dyDescent="0.3">
      <c r="A146" t="s">
        <v>155</v>
      </c>
      <c r="B146">
        <v>6</v>
      </c>
      <c r="C146" t="s">
        <v>16</v>
      </c>
      <c r="D146" cm="1">
        <f t="array" ref="D146">_xlfn.IFS(oceny5[[#This Row],[Wynik]]&gt;=$G$3,$I$3,oceny5[[#This Row],[Wynik]]&gt;=$G$4,$I$4,oceny5[[#This Row],[Wynik]]&gt;=$G$5,$I$5,oceny5[[#This Row],[Wynik]]&gt;=$G$6,$I$6,oceny5[[#This Row],[Wynik]]&gt;=$G$7,$I$7)</f>
        <v>2</v>
      </c>
      <c r="E146" t="str">
        <f>VLOOKUP(oceny5[[#This Row],[ocena]],$I$3:$J$7,2,FALSE)</f>
        <v>niedostateczny</v>
      </c>
    </row>
    <row r="147" spans="1:5" x14ac:dyDescent="0.3">
      <c r="A147" t="s">
        <v>156</v>
      </c>
      <c r="B147">
        <v>5</v>
      </c>
      <c r="C147" t="s">
        <v>16</v>
      </c>
      <c r="D147" cm="1">
        <f t="array" ref="D147">_xlfn.IFS(oceny5[[#This Row],[Wynik]]&gt;=$G$3,$I$3,oceny5[[#This Row],[Wynik]]&gt;=$G$4,$I$4,oceny5[[#This Row],[Wynik]]&gt;=$G$5,$I$5,oceny5[[#This Row],[Wynik]]&gt;=$G$6,$I$6,oceny5[[#This Row],[Wynik]]&gt;=$G$7,$I$7)</f>
        <v>2</v>
      </c>
      <c r="E147" t="str">
        <f>VLOOKUP(oceny5[[#This Row],[ocena]],$I$3:$J$7,2,FALSE)</f>
        <v>niedostateczny</v>
      </c>
    </row>
    <row r="148" spans="1:5" x14ac:dyDescent="0.3">
      <c r="A148" t="s">
        <v>157</v>
      </c>
      <c r="B148">
        <v>24</v>
      </c>
      <c r="C148" t="s">
        <v>16</v>
      </c>
      <c r="D148" cm="1">
        <f t="array" ref="D148">_xlfn.IFS(oceny5[[#This Row],[Wynik]]&gt;=$G$3,$I$3,oceny5[[#This Row],[Wynik]]&gt;=$G$4,$I$4,oceny5[[#This Row],[Wynik]]&gt;=$G$5,$I$5,oceny5[[#This Row],[Wynik]]&gt;=$G$6,$I$6,oceny5[[#This Row],[Wynik]]&gt;=$G$7,$I$7)</f>
        <v>2</v>
      </c>
      <c r="E148" t="str">
        <f>VLOOKUP(oceny5[[#This Row],[ocena]],$I$3:$J$7,2,FALSE)</f>
        <v>niedostateczny</v>
      </c>
    </row>
    <row r="149" spans="1:5" x14ac:dyDescent="0.3">
      <c r="A149" t="s">
        <v>158</v>
      </c>
      <c r="B149">
        <v>84</v>
      </c>
      <c r="C149" t="s">
        <v>16</v>
      </c>
      <c r="D149" cm="1">
        <f t="array" ref="D149">_xlfn.IFS(oceny5[[#This Row],[Wynik]]&gt;=$G$3,$I$3,oceny5[[#This Row],[Wynik]]&gt;=$G$4,$I$4,oceny5[[#This Row],[Wynik]]&gt;=$G$5,$I$5,oceny5[[#This Row],[Wynik]]&gt;=$G$6,$I$6,oceny5[[#This Row],[Wynik]]&gt;=$G$7,$I$7)</f>
        <v>5</v>
      </c>
      <c r="E149" t="str">
        <f>VLOOKUP(oceny5[[#This Row],[ocena]],$I$3:$J$7,2,FALSE)</f>
        <v>bardzo dobry</v>
      </c>
    </row>
    <row r="150" spans="1:5" x14ac:dyDescent="0.3">
      <c r="A150" t="s">
        <v>159</v>
      </c>
      <c r="B150">
        <v>25</v>
      </c>
      <c r="C150" t="s">
        <v>14</v>
      </c>
      <c r="D150" cm="1">
        <f t="array" ref="D150">_xlfn.IFS(oceny5[[#This Row],[Wynik]]&gt;=$G$3,$I$3,oceny5[[#This Row],[Wynik]]&gt;=$G$4,$I$4,oceny5[[#This Row],[Wynik]]&gt;=$G$5,$I$5,oceny5[[#This Row],[Wynik]]&gt;=$G$6,$I$6,oceny5[[#This Row],[Wynik]]&gt;=$G$7,$I$7)</f>
        <v>2</v>
      </c>
      <c r="E150" t="str">
        <f>VLOOKUP(oceny5[[#This Row],[ocena]],$I$3:$J$7,2,FALSE)</f>
        <v>niedostateczny</v>
      </c>
    </row>
    <row r="151" spans="1:5" x14ac:dyDescent="0.3">
      <c r="A151" t="s">
        <v>160</v>
      </c>
      <c r="B151">
        <v>26</v>
      </c>
      <c r="C151" t="s">
        <v>14</v>
      </c>
      <c r="D151" cm="1">
        <f t="array" ref="D151">_xlfn.IFS(oceny5[[#This Row],[Wynik]]&gt;=$G$3,$I$3,oceny5[[#This Row],[Wynik]]&gt;=$G$4,$I$4,oceny5[[#This Row],[Wynik]]&gt;=$G$5,$I$5,oceny5[[#This Row],[Wynik]]&gt;=$G$6,$I$6,oceny5[[#This Row],[Wynik]]&gt;=$G$7,$I$7)</f>
        <v>2</v>
      </c>
      <c r="E151" t="str">
        <f>VLOOKUP(oceny5[[#This Row],[ocena]],$I$3:$J$7,2,FALSE)</f>
        <v>niedostateczny</v>
      </c>
    </row>
    <row r="152" spans="1:5" x14ac:dyDescent="0.3">
      <c r="A152" t="s">
        <v>161</v>
      </c>
      <c r="B152">
        <v>7</v>
      </c>
      <c r="C152" t="s">
        <v>8</v>
      </c>
      <c r="D152" cm="1">
        <f t="array" ref="D152">_xlfn.IFS(oceny5[[#This Row],[Wynik]]&gt;=$G$3,$I$3,oceny5[[#This Row],[Wynik]]&gt;=$G$4,$I$4,oceny5[[#This Row],[Wynik]]&gt;=$G$5,$I$5,oceny5[[#This Row],[Wynik]]&gt;=$G$6,$I$6,oceny5[[#This Row],[Wynik]]&gt;=$G$7,$I$7)</f>
        <v>2</v>
      </c>
      <c r="E152" t="str">
        <f>VLOOKUP(oceny5[[#This Row],[ocena]],$I$3:$J$7,2,FALSE)</f>
        <v>niedostateczny</v>
      </c>
    </row>
    <row r="153" spans="1:5" x14ac:dyDescent="0.3">
      <c r="A153" t="s">
        <v>162</v>
      </c>
      <c r="B153">
        <v>34</v>
      </c>
      <c r="C153" t="s">
        <v>8</v>
      </c>
      <c r="D153" cm="1">
        <f t="array" ref="D153">_xlfn.IFS(oceny5[[#This Row],[Wynik]]&gt;=$G$3,$I$3,oceny5[[#This Row],[Wynik]]&gt;=$G$4,$I$4,oceny5[[#This Row],[Wynik]]&gt;=$G$5,$I$5,oceny5[[#This Row],[Wynik]]&gt;=$G$6,$I$6,oceny5[[#This Row],[Wynik]]&gt;=$G$7,$I$7)</f>
        <v>2</v>
      </c>
      <c r="E153" t="str">
        <f>VLOOKUP(oceny5[[#This Row],[ocena]],$I$3:$J$7,2,FALSE)</f>
        <v>niedostateczny</v>
      </c>
    </row>
    <row r="154" spans="1:5" x14ac:dyDescent="0.3">
      <c r="A154" t="s">
        <v>163</v>
      </c>
      <c r="B154">
        <v>77</v>
      </c>
      <c r="C154" t="s">
        <v>8</v>
      </c>
      <c r="D154" cm="1">
        <f t="array" ref="D154">_xlfn.IFS(oceny5[[#This Row],[Wynik]]&gt;=$G$3,$I$3,oceny5[[#This Row],[Wynik]]&gt;=$G$4,$I$4,oceny5[[#This Row],[Wynik]]&gt;=$G$5,$I$5,oceny5[[#This Row],[Wynik]]&gt;=$G$6,$I$6,oceny5[[#This Row],[Wynik]]&gt;=$G$7,$I$7)</f>
        <v>4</v>
      </c>
      <c r="E154" t="str">
        <f>VLOOKUP(oceny5[[#This Row],[ocena]],$I$3:$J$7,2,FALSE)</f>
        <v>dobry</v>
      </c>
    </row>
    <row r="155" spans="1:5" x14ac:dyDescent="0.3">
      <c r="A155" t="s">
        <v>164</v>
      </c>
      <c r="B155">
        <v>46</v>
      </c>
      <c r="C155" t="s">
        <v>6</v>
      </c>
      <c r="D155" cm="1">
        <f t="array" ref="D155">_xlfn.IFS(oceny5[[#This Row],[Wynik]]&gt;=$G$3,$I$3,oceny5[[#This Row],[Wynik]]&gt;=$G$4,$I$4,oceny5[[#This Row],[Wynik]]&gt;=$G$5,$I$5,oceny5[[#This Row],[Wynik]]&gt;=$G$6,$I$6,oceny5[[#This Row],[Wynik]]&gt;=$G$7,$I$7)</f>
        <v>3</v>
      </c>
      <c r="E155" t="str">
        <f>VLOOKUP(oceny5[[#This Row],[ocena]],$I$3:$J$7,2,FALSE)</f>
        <v>dostateczny</v>
      </c>
    </row>
    <row r="156" spans="1:5" x14ac:dyDescent="0.3">
      <c r="A156" t="s">
        <v>165</v>
      </c>
      <c r="B156">
        <v>27</v>
      </c>
      <c r="C156" t="s">
        <v>10</v>
      </c>
      <c r="D156" cm="1">
        <f t="array" ref="D156">_xlfn.IFS(oceny5[[#This Row],[Wynik]]&gt;=$G$3,$I$3,oceny5[[#This Row],[Wynik]]&gt;=$G$4,$I$4,oceny5[[#This Row],[Wynik]]&gt;=$G$5,$I$5,oceny5[[#This Row],[Wynik]]&gt;=$G$6,$I$6,oceny5[[#This Row],[Wynik]]&gt;=$G$7,$I$7)</f>
        <v>2</v>
      </c>
      <c r="E156" t="str">
        <f>VLOOKUP(oceny5[[#This Row],[ocena]],$I$3:$J$7,2,FALSE)</f>
        <v>niedostateczny</v>
      </c>
    </row>
    <row r="157" spans="1:5" x14ac:dyDescent="0.3">
      <c r="A157" t="s">
        <v>166</v>
      </c>
      <c r="B157">
        <v>49</v>
      </c>
      <c r="C157" t="s">
        <v>10</v>
      </c>
      <c r="D157" cm="1">
        <f t="array" ref="D157">_xlfn.IFS(oceny5[[#This Row],[Wynik]]&gt;=$G$3,$I$3,oceny5[[#This Row],[Wynik]]&gt;=$G$4,$I$4,oceny5[[#This Row],[Wynik]]&gt;=$G$5,$I$5,oceny5[[#This Row],[Wynik]]&gt;=$G$6,$I$6,oceny5[[#This Row],[Wynik]]&gt;=$G$7,$I$7)</f>
        <v>3</v>
      </c>
      <c r="E157" t="str">
        <f>VLOOKUP(oceny5[[#This Row],[ocena]],$I$3:$J$7,2,FALSE)</f>
        <v>dostateczny</v>
      </c>
    </row>
    <row r="158" spans="1:5" x14ac:dyDescent="0.3">
      <c r="A158" t="s">
        <v>167</v>
      </c>
      <c r="B158">
        <v>78</v>
      </c>
      <c r="C158" t="s">
        <v>16</v>
      </c>
      <c r="D158" cm="1">
        <f t="array" ref="D158">_xlfn.IFS(oceny5[[#This Row],[Wynik]]&gt;=$G$3,$I$3,oceny5[[#This Row],[Wynik]]&gt;=$G$4,$I$4,oceny5[[#This Row],[Wynik]]&gt;=$G$5,$I$5,oceny5[[#This Row],[Wynik]]&gt;=$G$6,$I$6,oceny5[[#This Row],[Wynik]]&gt;=$G$7,$I$7)</f>
        <v>4</v>
      </c>
      <c r="E158" t="str">
        <f>VLOOKUP(oceny5[[#This Row],[ocena]],$I$3:$J$7,2,FALSE)</f>
        <v>dobry</v>
      </c>
    </row>
    <row r="159" spans="1:5" x14ac:dyDescent="0.3">
      <c r="A159" t="s">
        <v>168</v>
      </c>
      <c r="B159">
        <v>57</v>
      </c>
      <c r="C159" t="s">
        <v>6</v>
      </c>
      <c r="D159" cm="1">
        <f t="array" ref="D159">_xlfn.IFS(oceny5[[#This Row],[Wynik]]&gt;=$G$3,$I$3,oceny5[[#This Row],[Wynik]]&gt;=$G$4,$I$4,oceny5[[#This Row],[Wynik]]&gt;=$G$5,$I$5,oceny5[[#This Row],[Wynik]]&gt;=$G$6,$I$6,oceny5[[#This Row],[Wynik]]&gt;=$G$7,$I$7)</f>
        <v>4</v>
      </c>
      <c r="E159" t="str">
        <f>VLOOKUP(oceny5[[#This Row],[ocena]],$I$3:$J$7,2,FALSE)</f>
        <v>dobry</v>
      </c>
    </row>
    <row r="160" spans="1:5" x14ac:dyDescent="0.3">
      <c r="A160" t="s">
        <v>169</v>
      </c>
      <c r="B160">
        <v>35</v>
      </c>
      <c r="C160" t="s">
        <v>35</v>
      </c>
      <c r="D160" cm="1">
        <f t="array" ref="D160">_xlfn.IFS(oceny5[[#This Row],[Wynik]]&gt;=$G$3,$I$3,oceny5[[#This Row],[Wynik]]&gt;=$G$4,$I$4,oceny5[[#This Row],[Wynik]]&gt;=$G$5,$I$5,oceny5[[#This Row],[Wynik]]&gt;=$G$6,$I$6,oceny5[[#This Row],[Wynik]]&gt;=$G$7,$I$7)</f>
        <v>2</v>
      </c>
      <c r="E160" t="str">
        <f>VLOOKUP(oceny5[[#This Row],[ocena]],$I$3:$J$7,2,FALSE)</f>
        <v>niedostateczny</v>
      </c>
    </row>
    <row r="161" spans="1:5" x14ac:dyDescent="0.3">
      <c r="A161" t="s">
        <v>170</v>
      </c>
      <c r="B161">
        <v>26</v>
      </c>
      <c r="C161" t="s">
        <v>6</v>
      </c>
      <c r="D161" cm="1">
        <f t="array" ref="D161">_xlfn.IFS(oceny5[[#This Row],[Wynik]]&gt;=$G$3,$I$3,oceny5[[#This Row],[Wynik]]&gt;=$G$4,$I$4,oceny5[[#This Row],[Wynik]]&gt;=$G$5,$I$5,oceny5[[#This Row],[Wynik]]&gt;=$G$6,$I$6,oceny5[[#This Row],[Wynik]]&gt;=$G$7,$I$7)</f>
        <v>2</v>
      </c>
      <c r="E161" t="str">
        <f>VLOOKUP(oceny5[[#This Row],[ocena]],$I$3:$J$7,2,FALSE)</f>
        <v>niedostateczny</v>
      </c>
    </row>
    <row r="162" spans="1:5" x14ac:dyDescent="0.3">
      <c r="A162" t="s">
        <v>171</v>
      </c>
      <c r="B162">
        <v>33</v>
      </c>
      <c r="C162" t="s">
        <v>6</v>
      </c>
      <c r="D162" cm="1">
        <f t="array" ref="D162">_xlfn.IFS(oceny5[[#This Row],[Wynik]]&gt;=$G$3,$I$3,oceny5[[#This Row],[Wynik]]&gt;=$G$4,$I$4,oceny5[[#This Row],[Wynik]]&gt;=$G$5,$I$5,oceny5[[#This Row],[Wynik]]&gt;=$G$6,$I$6,oceny5[[#This Row],[Wynik]]&gt;=$G$7,$I$7)</f>
        <v>2</v>
      </c>
      <c r="E162" t="str">
        <f>VLOOKUP(oceny5[[#This Row],[ocena]],$I$3:$J$7,2,FALSE)</f>
        <v>niedostateczny</v>
      </c>
    </row>
    <row r="163" spans="1:5" x14ac:dyDescent="0.3">
      <c r="A163" t="s">
        <v>172</v>
      </c>
      <c r="B163">
        <v>2</v>
      </c>
      <c r="C163" t="s">
        <v>35</v>
      </c>
      <c r="D163" cm="1">
        <f t="array" ref="D163">_xlfn.IFS(oceny5[[#This Row],[Wynik]]&gt;=$G$3,$I$3,oceny5[[#This Row],[Wynik]]&gt;=$G$4,$I$4,oceny5[[#This Row],[Wynik]]&gt;=$G$5,$I$5,oceny5[[#This Row],[Wynik]]&gt;=$G$6,$I$6,oceny5[[#This Row],[Wynik]]&gt;=$G$7,$I$7)</f>
        <v>2</v>
      </c>
      <c r="E163" t="str">
        <f>VLOOKUP(oceny5[[#This Row],[ocena]],$I$3:$J$7,2,FALSE)</f>
        <v>niedostateczny</v>
      </c>
    </row>
    <row r="164" spans="1:5" x14ac:dyDescent="0.3">
      <c r="A164" t="s">
        <v>173</v>
      </c>
      <c r="B164">
        <v>94</v>
      </c>
      <c r="C164" t="s">
        <v>35</v>
      </c>
      <c r="D164" cm="1">
        <f t="array" ref="D164">_xlfn.IFS(oceny5[[#This Row],[Wynik]]&gt;=$G$3,$I$3,oceny5[[#This Row],[Wynik]]&gt;=$G$4,$I$4,oceny5[[#This Row],[Wynik]]&gt;=$G$5,$I$5,oceny5[[#This Row],[Wynik]]&gt;=$G$6,$I$6,oceny5[[#This Row],[Wynik]]&gt;=$G$7,$I$7)</f>
        <v>6</v>
      </c>
      <c r="E164" t="str">
        <f>VLOOKUP(oceny5[[#This Row],[ocena]],$I$3:$J$7,2,FALSE)</f>
        <v>celujący</v>
      </c>
    </row>
    <row r="165" spans="1:5" x14ac:dyDescent="0.3">
      <c r="A165" t="s">
        <v>174</v>
      </c>
      <c r="B165">
        <v>77</v>
      </c>
      <c r="C165" t="s">
        <v>16</v>
      </c>
      <c r="D165" cm="1">
        <f t="array" ref="D165">_xlfn.IFS(oceny5[[#This Row],[Wynik]]&gt;=$G$3,$I$3,oceny5[[#This Row],[Wynik]]&gt;=$G$4,$I$4,oceny5[[#This Row],[Wynik]]&gt;=$G$5,$I$5,oceny5[[#This Row],[Wynik]]&gt;=$G$6,$I$6,oceny5[[#This Row],[Wynik]]&gt;=$G$7,$I$7)</f>
        <v>4</v>
      </c>
      <c r="E165" t="str">
        <f>VLOOKUP(oceny5[[#This Row],[ocena]],$I$3:$J$7,2,FALSE)</f>
        <v>dobry</v>
      </c>
    </row>
    <row r="166" spans="1:5" x14ac:dyDescent="0.3">
      <c r="A166" t="s">
        <v>175</v>
      </c>
      <c r="B166">
        <v>19</v>
      </c>
      <c r="C166" t="s">
        <v>12</v>
      </c>
      <c r="D166" cm="1">
        <f t="array" ref="D166">_xlfn.IFS(oceny5[[#This Row],[Wynik]]&gt;=$G$3,$I$3,oceny5[[#This Row],[Wynik]]&gt;=$G$4,$I$4,oceny5[[#This Row],[Wynik]]&gt;=$G$5,$I$5,oceny5[[#This Row],[Wynik]]&gt;=$G$6,$I$6,oceny5[[#This Row],[Wynik]]&gt;=$G$7,$I$7)</f>
        <v>2</v>
      </c>
      <c r="E166" t="str">
        <f>VLOOKUP(oceny5[[#This Row],[ocena]],$I$3:$J$7,2,FALSE)</f>
        <v>niedostateczny</v>
      </c>
    </row>
    <row r="167" spans="1:5" x14ac:dyDescent="0.3">
      <c r="A167" t="s">
        <v>176</v>
      </c>
      <c r="B167">
        <v>13</v>
      </c>
      <c r="C167" t="s">
        <v>8</v>
      </c>
      <c r="D167" cm="1">
        <f t="array" ref="D167">_xlfn.IFS(oceny5[[#This Row],[Wynik]]&gt;=$G$3,$I$3,oceny5[[#This Row],[Wynik]]&gt;=$G$4,$I$4,oceny5[[#This Row],[Wynik]]&gt;=$G$5,$I$5,oceny5[[#This Row],[Wynik]]&gt;=$G$6,$I$6,oceny5[[#This Row],[Wynik]]&gt;=$G$7,$I$7)</f>
        <v>2</v>
      </c>
      <c r="E167" t="str">
        <f>VLOOKUP(oceny5[[#This Row],[ocena]],$I$3:$J$7,2,FALSE)</f>
        <v>niedostateczny</v>
      </c>
    </row>
    <row r="168" spans="1:5" x14ac:dyDescent="0.3">
      <c r="A168" t="s">
        <v>177</v>
      </c>
      <c r="B168">
        <v>42</v>
      </c>
      <c r="C168" t="s">
        <v>8</v>
      </c>
      <c r="D168" cm="1">
        <f t="array" ref="D168">_xlfn.IFS(oceny5[[#This Row],[Wynik]]&gt;=$G$3,$I$3,oceny5[[#This Row],[Wynik]]&gt;=$G$4,$I$4,oceny5[[#This Row],[Wynik]]&gt;=$G$5,$I$5,oceny5[[#This Row],[Wynik]]&gt;=$G$6,$I$6,oceny5[[#This Row],[Wynik]]&gt;=$G$7,$I$7)</f>
        <v>3</v>
      </c>
      <c r="E168" t="str">
        <f>VLOOKUP(oceny5[[#This Row],[ocena]],$I$3:$J$7,2,FALSE)</f>
        <v>dostateczny</v>
      </c>
    </row>
    <row r="169" spans="1:5" x14ac:dyDescent="0.3">
      <c r="A169" t="s">
        <v>178</v>
      </c>
      <c r="B169">
        <v>77</v>
      </c>
      <c r="C169" t="s">
        <v>16</v>
      </c>
      <c r="D169" cm="1">
        <f t="array" ref="D169">_xlfn.IFS(oceny5[[#This Row],[Wynik]]&gt;=$G$3,$I$3,oceny5[[#This Row],[Wynik]]&gt;=$G$4,$I$4,oceny5[[#This Row],[Wynik]]&gt;=$G$5,$I$5,oceny5[[#This Row],[Wynik]]&gt;=$G$6,$I$6,oceny5[[#This Row],[Wynik]]&gt;=$G$7,$I$7)</f>
        <v>4</v>
      </c>
      <c r="E169" t="str">
        <f>VLOOKUP(oceny5[[#This Row],[ocena]],$I$3:$J$7,2,FALSE)</f>
        <v>dobry</v>
      </c>
    </row>
    <row r="170" spans="1:5" x14ac:dyDescent="0.3">
      <c r="A170" t="s">
        <v>179</v>
      </c>
      <c r="B170">
        <v>68</v>
      </c>
      <c r="C170" t="s">
        <v>12</v>
      </c>
      <c r="D170" cm="1">
        <f t="array" ref="D170">_xlfn.IFS(oceny5[[#This Row],[Wynik]]&gt;=$G$3,$I$3,oceny5[[#This Row],[Wynik]]&gt;=$G$4,$I$4,oceny5[[#This Row],[Wynik]]&gt;=$G$5,$I$5,oceny5[[#This Row],[Wynik]]&gt;=$G$6,$I$6,oceny5[[#This Row],[Wynik]]&gt;=$G$7,$I$7)</f>
        <v>4</v>
      </c>
      <c r="E170" t="str">
        <f>VLOOKUP(oceny5[[#This Row],[ocena]],$I$3:$J$7,2,FALSE)</f>
        <v>dobry</v>
      </c>
    </row>
    <row r="171" spans="1:5" x14ac:dyDescent="0.3">
      <c r="A171" t="s">
        <v>180</v>
      </c>
      <c r="B171">
        <v>30</v>
      </c>
      <c r="C171" t="s">
        <v>12</v>
      </c>
      <c r="D171" cm="1">
        <f t="array" ref="D171">_xlfn.IFS(oceny5[[#This Row],[Wynik]]&gt;=$G$3,$I$3,oceny5[[#This Row],[Wynik]]&gt;=$G$4,$I$4,oceny5[[#This Row],[Wynik]]&gt;=$G$5,$I$5,oceny5[[#This Row],[Wynik]]&gt;=$G$6,$I$6,oceny5[[#This Row],[Wynik]]&gt;=$G$7,$I$7)</f>
        <v>2</v>
      </c>
      <c r="E171" t="str">
        <f>VLOOKUP(oceny5[[#This Row],[ocena]],$I$3:$J$7,2,FALSE)</f>
        <v>niedostateczny</v>
      </c>
    </row>
    <row r="172" spans="1:5" x14ac:dyDescent="0.3">
      <c r="A172" t="s">
        <v>181</v>
      </c>
      <c r="B172">
        <v>4</v>
      </c>
      <c r="C172" t="s">
        <v>35</v>
      </c>
      <c r="D172" cm="1">
        <f t="array" ref="D172">_xlfn.IFS(oceny5[[#This Row],[Wynik]]&gt;=$G$3,$I$3,oceny5[[#This Row],[Wynik]]&gt;=$G$4,$I$4,oceny5[[#This Row],[Wynik]]&gt;=$G$5,$I$5,oceny5[[#This Row],[Wynik]]&gt;=$G$6,$I$6,oceny5[[#This Row],[Wynik]]&gt;=$G$7,$I$7)</f>
        <v>2</v>
      </c>
      <c r="E172" t="str">
        <f>VLOOKUP(oceny5[[#This Row],[ocena]],$I$3:$J$7,2,FALSE)</f>
        <v>niedostateczny</v>
      </c>
    </row>
    <row r="173" spans="1:5" x14ac:dyDescent="0.3">
      <c r="A173" t="s">
        <v>182</v>
      </c>
      <c r="B173">
        <v>17</v>
      </c>
      <c r="C173" t="s">
        <v>14</v>
      </c>
      <c r="D173" cm="1">
        <f t="array" ref="D173">_xlfn.IFS(oceny5[[#This Row],[Wynik]]&gt;=$G$3,$I$3,oceny5[[#This Row],[Wynik]]&gt;=$G$4,$I$4,oceny5[[#This Row],[Wynik]]&gt;=$G$5,$I$5,oceny5[[#This Row],[Wynik]]&gt;=$G$6,$I$6,oceny5[[#This Row],[Wynik]]&gt;=$G$7,$I$7)</f>
        <v>2</v>
      </c>
      <c r="E173" t="str">
        <f>VLOOKUP(oceny5[[#This Row],[ocena]],$I$3:$J$7,2,FALSE)</f>
        <v>niedostateczny</v>
      </c>
    </row>
    <row r="174" spans="1:5" x14ac:dyDescent="0.3">
      <c r="A174" t="s">
        <v>183</v>
      </c>
      <c r="B174">
        <v>99</v>
      </c>
      <c r="C174" t="s">
        <v>16</v>
      </c>
      <c r="D174" cm="1">
        <f t="array" ref="D174">_xlfn.IFS(oceny5[[#This Row],[Wynik]]&gt;=$G$3,$I$3,oceny5[[#This Row],[Wynik]]&gt;=$G$4,$I$4,oceny5[[#This Row],[Wynik]]&gt;=$G$5,$I$5,oceny5[[#This Row],[Wynik]]&gt;=$G$6,$I$6,oceny5[[#This Row],[Wynik]]&gt;=$G$7,$I$7)</f>
        <v>6</v>
      </c>
      <c r="E174" t="str">
        <f>VLOOKUP(oceny5[[#This Row],[ocena]],$I$3:$J$7,2,FALSE)</f>
        <v>celujący</v>
      </c>
    </row>
    <row r="175" spans="1:5" x14ac:dyDescent="0.3">
      <c r="A175" t="s">
        <v>184</v>
      </c>
      <c r="B175">
        <v>67</v>
      </c>
      <c r="C175" t="s">
        <v>10</v>
      </c>
      <c r="D175" cm="1">
        <f t="array" ref="D175">_xlfn.IFS(oceny5[[#This Row],[Wynik]]&gt;=$G$3,$I$3,oceny5[[#This Row],[Wynik]]&gt;=$G$4,$I$4,oceny5[[#This Row],[Wynik]]&gt;=$G$5,$I$5,oceny5[[#This Row],[Wynik]]&gt;=$G$6,$I$6,oceny5[[#This Row],[Wynik]]&gt;=$G$7,$I$7)</f>
        <v>4</v>
      </c>
      <c r="E175" t="str">
        <f>VLOOKUP(oceny5[[#This Row],[ocena]],$I$3:$J$7,2,FALSE)</f>
        <v>dobry</v>
      </c>
    </row>
    <row r="176" spans="1:5" x14ac:dyDescent="0.3">
      <c r="A176" t="s">
        <v>185</v>
      </c>
      <c r="B176">
        <v>56</v>
      </c>
      <c r="C176" t="s">
        <v>14</v>
      </c>
      <c r="D176" cm="1">
        <f t="array" ref="D176">_xlfn.IFS(oceny5[[#This Row],[Wynik]]&gt;=$G$3,$I$3,oceny5[[#This Row],[Wynik]]&gt;=$G$4,$I$4,oceny5[[#This Row],[Wynik]]&gt;=$G$5,$I$5,oceny5[[#This Row],[Wynik]]&gt;=$G$6,$I$6,oceny5[[#This Row],[Wynik]]&gt;=$G$7,$I$7)</f>
        <v>4</v>
      </c>
      <c r="E176" t="str">
        <f>VLOOKUP(oceny5[[#This Row],[ocena]],$I$3:$J$7,2,FALSE)</f>
        <v>dobry</v>
      </c>
    </row>
    <row r="177" spans="1:5" x14ac:dyDescent="0.3">
      <c r="A177" t="s">
        <v>186</v>
      </c>
      <c r="B177">
        <v>55</v>
      </c>
      <c r="C177" t="s">
        <v>12</v>
      </c>
      <c r="D177" cm="1">
        <f t="array" ref="D177">_xlfn.IFS(oceny5[[#This Row],[Wynik]]&gt;=$G$3,$I$3,oceny5[[#This Row],[Wynik]]&gt;=$G$4,$I$4,oceny5[[#This Row],[Wynik]]&gt;=$G$5,$I$5,oceny5[[#This Row],[Wynik]]&gt;=$G$6,$I$6,oceny5[[#This Row],[Wynik]]&gt;=$G$7,$I$7)</f>
        <v>4</v>
      </c>
      <c r="E177" t="str">
        <f>VLOOKUP(oceny5[[#This Row],[ocena]],$I$3:$J$7,2,FALSE)</f>
        <v>dobry</v>
      </c>
    </row>
    <row r="178" spans="1:5" x14ac:dyDescent="0.3">
      <c r="A178" t="s">
        <v>187</v>
      </c>
      <c r="B178">
        <v>57</v>
      </c>
      <c r="C178" t="s">
        <v>10</v>
      </c>
      <c r="D178" cm="1">
        <f t="array" ref="D178">_xlfn.IFS(oceny5[[#This Row],[Wynik]]&gt;=$G$3,$I$3,oceny5[[#This Row],[Wynik]]&gt;=$G$4,$I$4,oceny5[[#This Row],[Wynik]]&gt;=$G$5,$I$5,oceny5[[#This Row],[Wynik]]&gt;=$G$6,$I$6,oceny5[[#This Row],[Wynik]]&gt;=$G$7,$I$7)</f>
        <v>4</v>
      </c>
      <c r="E178" t="str">
        <f>VLOOKUP(oceny5[[#This Row],[ocena]],$I$3:$J$7,2,FALSE)</f>
        <v>dobry</v>
      </c>
    </row>
    <row r="179" spans="1:5" x14ac:dyDescent="0.3">
      <c r="A179" t="s">
        <v>188</v>
      </c>
      <c r="B179">
        <v>70</v>
      </c>
      <c r="C179" t="s">
        <v>8</v>
      </c>
      <c r="D179" cm="1">
        <f t="array" ref="D179">_xlfn.IFS(oceny5[[#This Row],[Wynik]]&gt;=$G$3,$I$3,oceny5[[#This Row],[Wynik]]&gt;=$G$4,$I$4,oceny5[[#This Row],[Wynik]]&gt;=$G$5,$I$5,oceny5[[#This Row],[Wynik]]&gt;=$G$6,$I$6,oceny5[[#This Row],[Wynik]]&gt;=$G$7,$I$7)</f>
        <v>4</v>
      </c>
      <c r="E179" t="str">
        <f>VLOOKUP(oceny5[[#This Row],[ocena]],$I$3:$J$7,2,FALSE)</f>
        <v>dobry</v>
      </c>
    </row>
    <row r="180" spans="1:5" x14ac:dyDescent="0.3">
      <c r="A180" t="s">
        <v>189</v>
      </c>
      <c r="B180">
        <v>30</v>
      </c>
      <c r="C180" t="s">
        <v>8</v>
      </c>
      <c r="D180" cm="1">
        <f t="array" ref="D180">_xlfn.IFS(oceny5[[#This Row],[Wynik]]&gt;=$G$3,$I$3,oceny5[[#This Row],[Wynik]]&gt;=$G$4,$I$4,oceny5[[#This Row],[Wynik]]&gt;=$G$5,$I$5,oceny5[[#This Row],[Wynik]]&gt;=$G$6,$I$6,oceny5[[#This Row],[Wynik]]&gt;=$G$7,$I$7)</f>
        <v>2</v>
      </c>
      <c r="E180" t="str">
        <f>VLOOKUP(oceny5[[#This Row],[ocena]],$I$3:$J$7,2,FALSE)</f>
        <v>niedostateczny</v>
      </c>
    </row>
    <row r="181" spans="1:5" x14ac:dyDescent="0.3">
      <c r="A181" t="s">
        <v>190</v>
      </c>
      <c r="B181">
        <v>49</v>
      </c>
      <c r="C181" t="s">
        <v>8</v>
      </c>
      <c r="D181" cm="1">
        <f t="array" ref="D181">_xlfn.IFS(oceny5[[#This Row],[Wynik]]&gt;=$G$3,$I$3,oceny5[[#This Row],[Wynik]]&gt;=$G$4,$I$4,oceny5[[#This Row],[Wynik]]&gt;=$G$5,$I$5,oceny5[[#This Row],[Wynik]]&gt;=$G$6,$I$6,oceny5[[#This Row],[Wynik]]&gt;=$G$7,$I$7)</f>
        <v>3</v>
      </c>
      <c r="E181" t="str">
        <f>VLOOKUP(oceny5[[#This Row],[ocena]],$I$3:$J$7,2,FALSE)</f>
        <v>dostateczny</v>
      </c>
    </row>
    <row r="182" spans="1:5" x14ac:dyDescent="0.3">
      <c r="A182" t="s">
        <v>191</v>
      </c>
      <c r="B182">
        <v>44</v>
      </c>
      <c r="C182" t="s">
        <v>14</v>
      </c>
      <c r="D182" cm="1">
        <f t="array" ref="D182">_xlfn.IFS(oceny5[[#This Row],[Wynik]]&gt;=$G$3,$I$3,oceny5[[#This Row],[Wynik]]&gt;=$G$4,$I$4,oceny5[[#This Row],[Wynik]]&gt;=$G$5,$I$5,oceny5[[#This Row],[Wynik]]&gt;=$G$6,$I$6,oceny5[[#This Row],[Wynik]]&gt;=$G$7,$I$7)</f>
        <v>3</v>
      </c>
      <c r="E182" t="str">
        <f>VLOOKUP(oceny5[[#This Row],[ocena]],$I$3:$J$7,2,FALSE)</f>
        <v>dostateczny</v>
      </c>
    </row>
    <row r="183" spans="1:5" x14ac:dyDescent="0.3">
      <c r="A183" t="s">
        <v>192</v>
      </c>
      <c r="B183">
        <v>19</v>
      </c>
      <c r="C183" t="s">
        <v>14</v>
      </c>
      <c r="D183" cm="1">
        <f t="array" ref="D183">_xlfn.IFS(oceny5[[#This Row],[Wynik]]&gt;=$G$3,$I$3,oceny5[[#This Row],[Wynik]]&gt;=$G$4,$I$4,oceny5[[#This Row],[Wynik]]&gt;=$G$5,$I$5,oceny5[[#This Row],[Wynik]]&gt;=$G$6,$I$6,oceny5[[#This Row],[Wynik]]&gt;=$G$7,$I$7)</f>
        <v>2</v>
      </c>
      <c r="E183" t="str">
        <f>VLOOKUP(oceny5[[#This Row],[ocena]],$I$3:$J$7,2,FALSE)</f>
        <v>niedostateczny</v>
      </c>
    </row>
    <row r="184" spans="1:5" x14ac:dyDescent="0.3">
      <c r="A184" t="s">
        <v>193</v>
      </c>
      <c r="B184">
        <v>91</v>
      </c>
      <c r="C184" t="s">
        <v>6</v>
      </c>
      <c r="D184" cm="1">
        <f t="array" ref="D184">_xlfn.IFS(oceny5[[#This Row],[Wynik]]&gt;=$G$3,$I$3,oceny5[[#This Row],[Wynik]]&gt;=$G$4,$I$4,oceny5[[#This Row],[Wynik]]&gt;=$G$5,$I$5,oceny5[[#This Row],[Wynik]]&gt;=$G$6,$I$6,oceny5[[#This Row],[Wynik]]&gt;=$G$7,$I$7)</f>
        <v>6</v>
      </c>
      <c r="E184" t="str">
        <f>VLOOKUP(oceny5[[#This Row],[ocena]],$I$3:$J$7,2,FALSE)</f>
        <v>celujący</v>
      </c>
    </row>
    <row r="185" spans="1:5" x14ac:dyDescent="0.3">
      <c r="A185" t="s">
        <v>194</v>
      </c>
      <c r="B185">
        <v>13</v>
      </c>
      <c r="C185" t="s">
        <v>6</v>
      </c>
      <c r="D185" cm="1">
        <f t="array" ref="D185">_xlfn.IFS(oceny5[[#This Row],[Wynik]]&gt;=$G$3,$I$3,oceny5[[#This Row],[Wynik]]&gt;=$G$4,$I$4,oceny5[[#This Row],[Wynik]]&gt;=$G$5,$I$5,oceny5[[#This Row],[Wynik]]&gt;=$G$6,$I$6,oceny5[[#This Row],[Wynik]]&gt;=$G$7,$I$7)</f>
        <v>2</v>
      </c>
      <c r="E185" t="str">
        <f>VLOOKUP(oceny5[[#This Row],[ocena]],$I$3:$J$7,2,FALSE)</f>
        <v>niedostateczny</v>
      </c>
    </row>
    <row r="186" spans="1:5" x14ac:dyDescent="0.3">
      <c r="A186" t="s">
        <v>195</v>
      </c>
      <c r="B186">
        <v>18</v>
      </c>
      <c r="C186" t="s">
        <v>6</v>
      </c>
      <c r="D186" cm="1">
        <f t="array" ref="D186">_xlfn.IFS(oceny5[[#This Row],[Wynik]]&gt;=$G$3,$I$3,oceny5[[#This Row],[Wynik]]&gt;=$G$4,$I$4,oceny5[[#This Row],[Wynik]]&gt;=$G$5,$I$5,oceny5[[#This Row],[Wynik]]&gt;=$G$6,$I$6,oceny5[[#This Row],[Wynik]]&gt;=$G$7,$I$7)</f>
        <v>2</v>
      </c>
      <c r="E186" t="str">
        <f>VLOOKUP(oceny5[[#This Row],[ocena]],$I$3:$J$7,2,FALSE)</f>
        <v>niedostateczny</v>
      </c>
    </row>
    <row r="187" spans="1:5" x14ac:dyDescent="0.3">
      <c r="A187" t="s">
        <v>196</v>
      </c>
      <c r="B187">
        <v>6</v>
      </c>
      <c r="C187" t="s">
        <v>10</v>
      </c>
      <c r="D187" cm="1">
        <f t="array" ref="D187">_xlfn.IFS(oceny5[[#This Row],[Wynik]]&gt;=$G$3,$I$3,oceny5[[#This Row],[Wynik]]&gt;=$G$4,$I$4,oceny5[[#This Row],[Wynik]]&gt;=$G$5,$I$5,oceny5[[#This Row],[Wynik]]&gt;=$G$6,$I$6,oceny5[[#This Row],[Wynik]]&gt;=$G$7,$I$7)</f>
        <v>2</v>
      </c>
      <c r="E187" t="str">
        <f>VLOOKUP(oceny5[[#This Row],[ocena]],$I$3:$J$7,2,FALSE)</f>
        <v>niedostateczny</v>
      </c>
    </row>
    <row r="188" spans="1:5" x14ac:dyDescent="0.3">
      <c r="A188" t="s">
        <v>197</v>
      </c>
      <c r="B188">
        <v>40</v>
      </c>
      <c r="C188" t="s">
        <v>14</v>
      </c>
      <c r="D188" cm="1">
        <f t="array" ref="D188">_xlfn.IFS(oceny5[[#This Row],[Wynik]]&gt;=$G$3,$I$3,oceny5[[#This Row],[Wynik]]&gt;=$G$4,$I$4,oceny5[[#This Row],[Wynik]]&gt;=$G$5,$I$5,oceny5[[#This Row],[Wynik]]&gt;=$G$6,$I$6,oceny5[[#This Row],[Wynik]]&gt;=$G$7,$I$7)</f>
        <v>2</v>
      </c>
      <c r="E188" t="str">
        <f>VLOOKUP(oceny5[[#This Row],[ocena]],$I$3:$J$7,2,FALSE)</f>
        <v>niedostateczny</v>
      </c>
    </row>
    <row r="189" spans="1:5" x14ac:dyDescent="0.3">
      <c r="A189" t="s">
        <v>198</v>
      </c>
      <c r="B189">
        <v>36</v>
      </c>
      <c r="C189" t="s">
        <v>12</v>
      </c>
      <c r="D189" cm="1">
        <f t="array" ref="D189">_xlfn.IFS(oceny5[[#This Row],[Wynik]]&gt;=$G$3,$I$3,oceny5[[#This Row],[Wynik]]&gt;=$G$4,$I$4,oceny5[[#This Row],[Wynik]]&gt;=$G$5,$I$5,oceny5[[#This Row],[Wynik]]&gt;=$G$6,$I$6,oceny5[[#This Row],[Wynik]]&gt;=$G$7,$I$7)</f>
        <v>2</v>
      </c>
      <c r="E189" t="str">
        <f>VLOOKUP(oceny5[[#This Row],[ocena]],$I$3:$J$7,2,FALSE)</f>
        <v>niedostateczny</v>
      </c>
    </row>
    <row r="190" spans="1:5" x14ac:dyDescent="0.3">
      <c r="A190" t="s">
        <v>199</v>
      </c>
      <c r="B190">
        <v>39</v>
      </c>
      <c r="C190" t="s">
        <v>10</v>
      </c>
      <c r="D190" cm="1">
        <f t="array" ref="D190">_xlfn.IFS(oceny5[[#This Row],[Wynik]]&gt;=$G$3,$I$3,oceny5[[#This Row],[Wynik]]&gt;=$G$4,$I$4,oceny5[[#This Row],[Wynik]]&gt;=$G$5,$I$5,oceny5[[#This Row],[Wynik]]&gt;=$G$6,$I$6,oceny5[[#This Row],[Wynik]]&gt;=$G$7,$I$7)</f>
        <v>2</v>
      </c>
      <c r="E190" t="str">
        <f>VLOOKUP(oceny5[[#This Row],[ocena]],$I$3:$J$7,2,FALSE)</f>
        <v>niedostateczny</v>
      </c>
    </row>
    <row r="191" spans="1:5" x14ac:dyDescent="0.3">
      <c r="A191" t="s">
        <v>200</v>
      </c>
      <c r="B191">
        <v>1</v>
      </c>
      <c r="C191" t="s">
        <v>16</v>
      </c>
      <c r="D191" cm="1">
        <f t="array" ref="D191">_xlfn.IFS(oceny5[[#This Row],[Wynik]]&gt;=$G$3,$I$3,oceny5[[#This Row],[Wynik]]&gt;=$G$4,$I$4,oceny5[[#This Row],[Wynik]]&gt;=$G$5,$I$5,oceny5[[#This Row],[Wynik]]&gt;=$G$6,$I$6,oceny5[[#This Row],[Wynik]]&gt;=$G$7,$I$7)</f>
        <v>2</v>
      </c>
      <c r="E191" t="str">
        <f>VLOOKUP(oceny5[[#This Row],[ocena]],$I$3:$J$7,2,FALSE)</f>
        <v>niedostateczny</v>
      </c>
    </row>
    <row r="192" spans="1:5" x14ac:dyDescent="0.3">
      <c r="A192" t="s">
        <v>201</v>
      </c>
      <c r="B192">
        <v>58</v>
      </c>
      <c r="C192" t="s">
        <v>14</v>
      </c>
      <c r="D192" cm="1">
        <f t="array" ref="D192">_xlfn.IFS(oceny5[[#This Row],[Wynik]]&gt;=$G$3,$I$3,oceny5[[#This Row],[Wynik]]&gt;=$G$4,$I$4,oceny5[[#This Row],[Wynik]]&gt;=$G$5,$I$5,oceny5[[#This Row],[Wynik]]&gt;=$G$6,$I$6,oceny5[[#This Row],[Wynik]]&gt;=$G$7,$I$7)</f>
        <v>4</v>
      </c>
      <c r="E192" t="str">
        <f>VLOOKUP(oceny5[[#This Row],[ocena]],$I$3:$J$7,2,FALSE)</f>
        <v>dobry</v>
      </c>
    </row>
    <row r="193" spans="1:5" x14ac:dyDescent="0.3">
      <c r="A193" t="s">
        <v>202</v>
      </c>
      <c r="B193">
        <v>85</v>
      </c>
      <c r="C193" t="s">
        <v>14</v>
      </c>
      <c r="D193" cm="1">
        <f t="array" ref="D193">_xlfn.IFS(oceny5[[#This Row],[Wynik]]&gt;=$G$3,$I$3,oceny5[[#This Row],[Wynik]]&gt;=$G$4,$I$4,oceny5[[#This Row],[Wynik]]&gt;=$G$5,$I$5,oceny5[[#This Row],[Wynik]]&gt;=$G$6,$I$6,oceny5[[#This Row],[Wynik]]&gt;=$G$7,$I$7)</f>
        <v>5</v>
      </c>
      <c r="E193" t="str">
        <f>VLOOKUP(oceny5[[#This Row],[ocena]],$I$3:$J$7,2,FALSE)</f>
        <v>bardzo dobry</v>
      </c>
    </row>
    <row r="194" spans="1:5" x14ac:dyDescent="0.3">
      <c r="A194" t="s">
        <v>203</v>
      </c>
      <c r="B194">
        <v>75</v>
      </c>
      <c r="C194" t="s">
        <v>14</v>
      </c>
      <c r="D194" cm="1">
        <f t="array" ref="D194">_xlfn.IFS(oceny5[[#This Row],[Wynik]]&gt;=$G$3,$I$3,oceny5[[#This Row],[Wynik]]&gt;=$G$4,$I$4,oceny5[[#This Row],[Wynik]]&gt;=$G$5,$I$5,oceny5[[#This Row],[Wynik]]&gt;=$G$6,$I$6,oceny5[[#This Row],[Wynik]]&gt;=$G$7,$I$7)</f>
        <v>4</v>
      </c>
      <c r="E194" t="str">
        <f>VLOOKUP(oceny5[[#This Row],[ocena]],$I$3:$J$7,2,FALSE)</f>
        <v>dobry</v>
      </c>
    </row>
    <row r="195" spans="1:5" x14ac:dyDescent="0.3">
      <c r="A195" t="s">
        <v>204</v>
      </c>
      <c r="B195">
        <v>45</v>
      </c>
      <c r="C195" t="s">
        <v>10</v>
      </c>
      <c r="D195" cm="1">
        <f t="array" ref="D195">_xlfn.IFS(oceny5[[#This Row],[Wynik]]&gt;=$G$3,$I$3,oceny5[[#This Row],[Wynik]]&gt;=$G$4,$I$4,oceny5[[#This Row],[Wynik]]&gt;=$G$5,$I$5,oceny5[[#This Row],[Wynik]]&gt;=$G$6,$I$6,oceny5[[#This Row],[Wynik]]&gt;=$G$7,$I$7)</f>
        <v>3</v>
      </c>
      <c r="E195" t="str">
        <f>VLOOKUP(oceny5[[#This Row],[ocena]],$I$3:$J$7,2,FALSE)</f>
        <v>dostateczny</v>
      </c>
    </row>
    <row r="196" spans="1:5" x14ac:dyDescent="0.3">
      <c r="A196" t="s">
        <v>205</v>
      </c>
      <c r="B196">
        <v>5</v>
      </c>
      <c r="C196" t="s">
        <v>12</v>
      </c>
      <c r="D196" cm="1">
        <f t="array" ref="D196">_xlfn.IFS(oceny5[[#This Row],[Wynik]]&gt;=$G$3,$I$3,oceny5[[#This Row],[Wynik]]&gt;=$G$4,$I$4,oceny5[[#This Row],[Wynik]]&gt;=$G$5,$I$5,oceny5[[#This Row],[Wynik]]&gt;=$G$6,$I$6,oceny5[[#This Row],[Wynik]]&gt;=$G$7,$I$7)</f>
        <v>2</v>
      </c>
      <c r="E196" t="str">
        <f>VLOOKUP(oceny5[[#This Row],[ocena]],$I$3:$J$7,2,FALSE)</f>
        <v>niedostateczny</v>
      </c>
    </row>
    <row r="197" spans="1:5" x14ac:dyDescent="0.3">
      <c r="A197" t="s">
        <v>206</v>
      </c>
      <c r="B197">
        <v>48</v>
      </c>
      <c r="C197" t="s">
        <v>12</v>
      </c>
      <c r="D197" cm="1">
        <f t="array" ref="D197">_xlfn.IFS(oceny5[[#This Row],[Wynik]]&gt;=$G$3,$I$3,oceny5[[#This Row],[Wynik]]&gt;=$G$4,$I$4,oceny5[[#This Row],[Wynik]]&gt;=$G$5,$I$5,oceny5[[#This Row],[Wynik]]&gt;=$G$6,$I$6,oceny5[[#This Row],[Wynik]]&gt;=$G$7,$I$7)</f>
        <v>3</v>
      </c>
      <c r="E197" t="str">
        <f>VLOOKUP(oceny5[[#This Row],[ocena]],$I$3:$J$7,2,FALSE)</f>
        <v>dostateczny</v>
      </c>
    </row>
    <row r="198" spans="1:5" x14ac:dyDescent="0.3">
      <c r="A198" t="s">
        <v>207</v>
      </c>
      <c r="B198">
        <v>3</v>
      </c>
      <c r="C198" t="s">
        <v>35</v>
      </c>
      <c r="D198" cm="1">
        <f t="array" ref="D198">_xlfn.IFS(oceny5[[#This Row],[Wynik]]&gt;=$G$3,$I$3,oceny5[[#This Row],[Wynik]]&gt;=$G$4,$I$4,oceny5[[#This Row],[Wynik]]&gt;=$G$5,$I$5,oceny5[[#This Row],[Wynik]]&gt;=$G$6,$I$6,oceny5[[#This Row],[Wynik]]&gt;=$G$7,$I$7)</f>
        <v>2</v>
      </c>
      <c r="E198" t="str">
        <f>VLOOKUP(oceny5[[#This Row],[ocena]],$I$3:$J$7,2,FALSE)</f>
        <v>niedostateczny</v>
      </c>
    </row>
    <row r="199" spans="1:5" x14ac:dyDescent="0.3">
      <c r="A199" t="s">
        <v>208</v>
      </c>
      <c r="B199">
        <v>44</v>
      </c>
      <c r="C199" t="s">
        <v>16</v>
      </c>
      <c r="D199" cm="1">
        <f t="array" ref="D199">_xlfn.IFS(oceny5[[#This Row],[Wynik]]&gt;=$G$3,$I$3,oceny5[[#This Row],[Wynik]]&gt;=$G$4,$I$4,oceny5[[#This Row],[Wynik]]&gt;=$G$5,$I$5,oceny5[[#This Row],[Wynik]]&gt;=$G$6,$I$6,oceny5[[#This Row],[Wynik]]&gt;=$G$7,$I$7)</f>
        <v>3</v>
      </c>
      <c r="E199" t="str">
        <f>VLOOKUP(oceny5[[#This Row],[ocena]],$I$3:$J$7,2,FALSE)</f>
        <v>dostateczny</v>
      </c>
    </row>
    <row r="200" spans="1:5" x14ac:dyDescent="0.3">
      <c r="A200" t="s">
        <v>209</v>
      </c>
      <c r="B200">
        <v>46</v>
      </c>
      <c r="C200" t="s">
        <v>12</v>
      </c>
      <c r="D200" cm="1">
        <f t="array" ref="D200">_xlfn.IFS(oceny5[[#This Row],[Wynik]]&gt;=$G$3,$I$3,oceny5[[#This Row],[Wynik]]&gt;=$G$4,$I$4,oceny5[[#This Row],[Wynik]]&gt;=$G$5,$I$5,oceny5[[#This Row],[Wynik]]&gt;=$G$6,$I$6,oceny5[[#This Row],[Wynik]]&gt;=$G$7,$I$7)</f>
        <v>3</v>
      </c>
      <c r="E200" t="str">
        <f>VLOOKUP(oceny5[[#This Row],[ocena]],$I$3:$J$7,2,FALSE)</f>
        <v>dostateczny</v>
      </c>
    </row>
    <row r="201" spans="1:5" x14ac:dyDescent="0.3">
      <c r="A201" t="s">
        <v>210</v>
      </c>
      <c r="B201">
        <v>13</v>
      </c>
      <c r="C201" t="s">
        <v>8</v>
      </c>
      <c r="D201" cm="1">
        <f t="array" ref="D201">_xlfn.IFS(oceny5[[#This Row],[Wynik]]&gt;=$G$3,$I$3,oceny5[[#This Row],[Wynik]]&gt;=$G$4,$I$4,oceny5[[#This Row],[Wynik]]&gt;=$G$5,$I$5,oceny5[[#This Row],[Wynik]]&gt;=$G$6,$I$6,oceny5[[#This Row],[Wynik]]&gt;=$G$7,$I$7)</f>
        <v>2</v>
      </c>
      <c r="E201" t="str">
        <f>VLOOKUP(oceny5[[#This Row],[ocena]],$I$3:$J$7,2,FALSE)</f>
        <v>niedostateczny</v>
      </c>
    </row>
    <row r="202" spans="1:5" x14ac:dyDescent="0.3">
      <c r="A202" t="s">
        <v>211</v>
      </c>
      <c r="B202">
        <v>7</v>
      </c>
      <c r="C202" t="s">
        <v>16</v>
      </c>
      <c r="D202" cm="1">
        <f t="array" ref="D202">_xlfn.IFS(oceny5[[#This Row],[Wynik]]&gt;=$G$3,$I$3,oceny5[[#This Row],[Wynik]]&gt;=$G$4,$I$4,oceny5[[#This Row],[Wynik]]&gt;=$G$5,$I$5,oceny5[[#This Row],[Wynik]]&gt;=$G$6,$I$6,oceny5[[#This Row],[Wynik]]&gt;=$G$7,$I$7)</f>
        <v>2</v>
      </c>
      <c r="E202" t="str">
        <f>VLOOKUP(oceny5[[#This Row],[ocena]],$I$3:$J$7,2,FALSE)</f>
        <v>niedostateczny</v>
      </c>
    </row>
    <row r="203" spans="1:5" x14ac:dyDescent="0.3">
      <c r="A203" t="s">
        <v>212</v>
      </c>
      <c r="B203">
        <v>29</v>
      </c>
      <c r="C203" t="s">
        <v>12</v>
      </c>
      <c r="D203" cm="1">
        <f t="array" ref="D203">_xlfn.IFS(oceny5[[#This Row],[Wynik]]&gt;=$G$3,$I$3,oceny5[[#This Row],[Wynik]]&gt;=$G$4,$I$4,oceny5[[#This Row],[Wynik]]&gt;=$G$5,$I$5,oceny5[[#This Row],[Wynik]]&gt;=$G$6,$I$6,oceny5[[#This Row],[Wynik]]&gt;=$G$7,$I$7)</f>
        <v>2</v>
      </c>
      <c r="E203" t="str">
        <f>VLOOKUP(oceny5[[#This Row],[ocena]],$I$3:$J$7,2,FALSE)</f>
        <v>niedostateczny</v>
      </c>
    </row>
    <row r="204" spans="1:5" x14ac:dyDescent="0.3">
      <c r="A204" t="s">
        <v>213</v>
      </c>
      <c r="B204">
        <v>39</v>
      </c>
      <c r="C204" t="s">
        <v>6</v>
      </c>
      <c r="D204" cm="1">
        <f t="array" ref="D204">_xlfn.IFS(oceny5[[#This Row],[Wynik]]&gt;=$G$3,$I$3,oceny5[[#This Row],[Wynik]]&gt;=$G$4,$I$4,oceny5[[#This Row],[Wynik]]&gt;=$G$5,$I$5,oceny5[[#This Row],[Wynik]]&gt;=$G$6,$I$6,oceny5[[#This Row],[Wynik]]&gt;=$G$7,$I$7)</f>
        <v>2</v>
      </c>
      <c r="E204" t="str">
        <f>VLOOKUP(oceny5[[#This Row],[ocena]],$I$3:$J$7,2,FALSE)</f>
        <v>niedostateczny</v>
      </c>
    </row>
    <row r="205" spans="1:5" x14ac:dyDescent="0.3">
      <c r="A205" t="s">
        <v>214</v>
      </c>
      <c r="B205">
        <v>11</v>
      </c>
      <c r="C205" t="s">
        <v>35</v>
      </c>
      <c r="D205" cm="1">
        <f t="array" ref="D205">_xlfn.IFS(oceny5[[#This Row],[Wynik]]&gt;=$G$3,$I$3,oceny5[[#This Row],[Wynik]]&gt;=$G$4,$I$4,oceny5[[#This Row],[Wynik]]&gt;=$G$5,$I$5,oceny5[[#This Row],[Wynik]]&gt;=$G$6,$I$6,oceny5[[#This Row],[Wynik]]&gt;=$G$7,$I$7)</f>
        <v>2</v>
      </c>
      <c r="E205" t="str">
        <f>VLOOKUP(oceny5[[#This Row],[ocena]],$I$3:$J$7,2,FALSE)</f>
        <v>niedostateczny</v>
      </c>
    </row>
    <row r="206" spans="1:5" x14ac:dyDescent="0.3">
      <c r="A206" t="s">
        <v>215</v>
      </c>
      <c r="B206">
        <v>94</v>
      </c>
      <c r="C206" t="s">
        <v>12</v>
      </c>
      <c r="D206" cm="1">
        <f t="array" ref="D206">_xlfn.IFS(oceny5[[#This Row],[Wynik]]&gt;=$G$3,$I$3,oceny5[[#This Row],[Wynik]]&gt;=$G$4,$I$4,oceny5[[#This Row],[Wynik]]&gt;=$G$5,$I$5,oceny5[[#This Row],[Wynik]]&gt;=$G$6,$I$6,oceny5[[#This Row],[Wynik]]&gt;=$G$7,$I$7)</f>
        <v>6</v>
      </c>
      <c r="E206" t="str">
        <f>VLOOKUP(oceny5[[#This Row],[ocena]],$I$3:$J$7,2,FALSE)</f>
        <v>celujący</v>
      </c>
    </row>
    <row r="207" spans="1:5" x14ac:dyDescent="0.3">
      <c r="A207" t="s">
        <v>216</v>
      </c>
      <c r="B207">
        <v>13</v>
      </c>
      <c r="C207" t="s">
        <v>35</v>
      </c>
      <c r="D207" cm="1">
        <f t="array" ref="D207">_xlfn.IFS(oceny5[[#This Row],[Wynik]]&gt;=$G$3,$I$3,oceny5[[#This Row],[Wynik]]&gt;=$G$4,$I$4,oceny5[[#This Row],[Wynik]]&gt;=$G$5,$I$5,oceny5[[#This Row],[Wynik]]&gt;=$G$6,$I$6,oceny5[[#This Row],[Wynik]]&gt;=$G$7,$I$7)</f>
        <v>2</v>
      </c>
      <c r="E207" t="str">
        <f>VLOOKUP(oceny5[[#This Row],[ocena]],$I$3:$J$7,2,FALSE)</f>
        <v>niedostateczny</v>
      </c>
    </row>
    <row r="208" spans="1:5" x14ac:dyDescent="0.3">
      <c r="A208" t="s">
        <v>217</v>
      </c>
      <c r="B208">
        <v>9</v>
      </c>
      <c r="C208" t="s">
        <v>35</v>
      </c>
      <c r="D208" cm="1">
        <f t="array" ref="D208">_xlfn.IFS(oceny5[[#This Row],[Wynik]]&gt;=$G$3,$I$3,oceny5[[#This Row],[Wynik]]&gt;=$G$4,$I$4,oceny5[[#This Row],[Wynik]]&gt;=$G$5,$I$5,oceny5[[#This Row],[Wynik]]&gt;=$G$6,$I$6,oceny5[[#This Row],[Wynik]]&gt;=$G$7,$I$7)</f>
        <v>2</v>
      </c>
      <c r="E208" t="str">
        <f>VLOOKUP(oceny5[[#This Row],[ocena]],$I$3:$J$7,2,FALSE)</f>
        <v>niedostateczny</v>
      </c>
    </row>
    <row r="209" spans="1:5" x14ac:dyDescent="0.3">
      <c r="A209" t="s">
        <v>218</v>
      </c>
      <c r="B209">
        <v>73</v>
      </c>
      <c r="C209" t="s">
        <v>12</v>
      </c>
      <c r="D209" cm="1">
        <f t="array" ref="D209">_xlfn.IFS(oceny5[[#This Row],[Wynik]]&gt;=$G$3,$I$3,oceny5[[#This Row],[Wynik]]&gt;=$G$4,$I$4,oceny5[[#This Row],[Wynik]]&gt;=$G$5,$I$5,oceny5[[#This Row],[Wynik]]&gt;=$G$6,$I$6,oceny5[[#This Row],[Wynik]]&gt;=$G$7,$I$7)</f>
        <v>4</v>
      </c>
      <c r="E209" t="str">
        <f>VLOOKUP(oceny5[[#This Row],[ocena]],$I$3:$J$7,2,FALSE)</f>
        <v>dobry</v>
      </c>
    </row>
    <row r="210" spans="1:5" x14ac:dyDescent="0.3">
      <c r="A210" t="s">
        <v>219</v>
      </c>
      <c r="B210">
        <v>89</v>
      </c>
      <c r="C210" t="s">
        <v>12</v>
      </c>
      <c r="D210" cm="1">
        <f t="array" ref="D210">_xlfn.IFS(oceny5[[#This Row],[Wynik]]&gt;=$G$3,$I$3,oceny5[[#This Row],[Wynik]]&gt;=$G$4,$I$4,oceny5[[#This Row],[Wynik]]&gt;=$G$5,$I$5,oceny5[[#This Row],[Wynik]]&gt;=$G$6,$I$6,oceny5[[#This Row],[Wynik]]&gt;=$G$7,$I$7)</f>
        <v>5</v>
      </c>
      <c r="E210" t="str">
        <f>VLOOKUP(oceny5[[#This Row],[ocena]],$I$3:$J$7,2,FALSE)</f>
        <v>bardzo dobry</v>
      </c>
    </row>
    <row r="211" spans="1:5" x14ac:dyDescent="0.3">
      <c r="A211" t="s">
        <v>220</v>
      </c>
      <c r="B211">
        <v>94</v>
      </c>
      <c r="C211" t="s">
        <v>8</v>
      </c>
      <c r="D211" cm="1">
        <f t="array" ref="D211">_xlfn.IFS(oceny5[[#This Row],[Wynik]]&gt;=$G$3,$I$3,oceny5[[#This Row],[Wynik]]&gt;=$G$4,$I$4,oceny5[[#This Row],[Wynik]]&gt;=$G$5,$I$5,oceny5[[#This Row],[Wynik]]&gt;=$G$6,$I$6,oceny5[[#This Row],[Wynik]]&gt;=$G$7,$I$7)</f>
        <v>6</v>
      </c>
      <c r="E211" t="str">
        <f>VLOOKUP(oceny5[[#This Row],[ocena]],$I$3:$J$7,2,FALSE)</f>
        <v>celujący</v>
      </c>
    </row>
    <row r="212" spans="1:5" x14ac:dyDescent="0.3">
      <c r="A212" t="s">
        <v>221</v>
      </c>
      <c r="B212">
        <v>3</v>
      </c>
      <c r="C212" t="s">
        <v>12</v>
      </c>
      <c r="D212" cm="1">
        <f t="array" ref="D212">_xlfn.IFS(oceny5[[#This Row],[Wynik]]&gt;=$G$3,$I$3,oceny5[[#This Row],[Wynik]]&gt;=$G$4,$I$4,oceny5[[#This Row],[Wynik]]&gt;=$G$5,$I$5,oceny5[[#This Row],[Wynik]]&gt;=$G$6,$I$6,oceny5[[#This Row],[Wynik]]&gt;=$G$7,$I$7)</f>
        <v>2</v>
      </c>
      <c r="E212" t="str">
        <f>VLOOKUP(oceny5[[#This Row],[ocena]],$I$3:$J$7,2,FALSE)</f>
        <v>niedostateczny</v>
      </c>
    </row>
    <row r="213" spans="1:5" x14ac:dyDescent="0.3">
      <c r="A213" t="s">
        <v>222</v>
      </c>
      <c r="B213">
        <v>97</v>
      </c>
      <c r="C213" t="s">
        <v>35</v>
      </c>
      <c r="D213" cm="1">
        <f t="array" ref="D213">_xlfn.IFS(oceny5[[#This Row],[Wynik]]&gt;=$G$3,$I$3,oceny5[[#This Row],[Wynik]]&gt;=$G$4,$I$4,oceny5[[#This Row],[Wynik]]&gt;=$G$5,$I$5,oceny5[[#This Row],[Wynik]]&gt;=$G$6,$I$6,oceny5[[#This Row],[Wynik]]&gt;=$G$7,$I$7)</f>
        <v>6</v>
      </c>
      <c r="E213" t="str">
        <f>VLOOKUP(oceny5[[#This Row],[ocena]],$I$3:$J$7,2,FALSE)</f>
        <v>celujący</v>
      </c>
    </row>
    <row r="214" spans="1:5" x14ac:dyDescent="0.3">
      <c r="A214" t="s">
        <v>223</v>
      </c>
      <c r="B214">
        <v>43</v>
      </c>
      <c r="C214" t="s">
        <v>35</v>
      </c>
      <c r="D214" cm="1">
        <f t="array" ref="D214">_xlfn.IFS(oceny5[[#This Row],[Wynik]]&gt;=$G$3,$I$3,oceny5[[#This Row],[Wynik]]&gt;=$G$4,$I$4,oceny5[[#This Row],[Wynik]]&gt;=$G$5,$I$5,oceny5[[#This Row],[Wynik]]&gt;=$G$6,$I$6,oceny5[[#This Row],[Wynik]]&gt;=$G$7,$I$7)</f>
        <v>3</v>
      </c>
      <c r="E214" t="str">
        <f>VLOOKUP(oceny5[[#This Row],[ocena]],$I$3:$J$7,2,FALSE)</f>
        <v>dostateczny</v>
      </c>
    </row>
    <row r="215" spans="1:5" x14ac:dyDescent="0.3">
      <c r="A215" t="s">
        <v>224</v>
      </c>
      <c r="B215">
        <v>86</v>
      </c>
      <c r="C215" t="s">
        <v>35</v>
      </c>
      <c r="D215" cm="1">
        <f t="array" ref="D215">_xlfn.IFS(oceny5[[#This Row],[Wynik]]&gt;=$G$3,$I$3,oceny5[[#This Row],[Wynik]]&gt;=$G$4,$I$4,oceny5[[#This Row],[Wynik]]&gt;=$G$5,$I$5,oceny5[[#This Row],[Wynik]]&gt;=$G$6,$I$6,oceny5[[#This Row],[Wynik]]&gt;=$G$7,$I$7)</f>
        <v>5</v>
      </c>
      <c r="E215" t="str">
        <f>VLOOKUP(oceny5[[#This Row],[ocena]],$I$3:$J$7,2,FALSE)</f>
        <v>bardzo dobry</v>
      </c>
    </row>
    <row r="216" spans="1:5" x14ac:dyDescent="0.3">
      <c r="A216" t="s">
        <v>225</v>
      </c>
      <c r="B216">
        <v>80</v>
      </c>
      <c r="C216" t="s">
        <v>12</v>
      </c>
      <c r="D216" cm="1">
        <f t="array" ref="D216">_xlfn.IFS(oceny5[[#This Row],[Wynik]]&gt;=$G$3,$I$3,oceny5[[#This Row],[Wynik]]&gt;=$G$4,$I$4,oceny5[[#This Row],[Wynik]]&gt;=$G$5,$I$5,oceny5[[#This Row],[Wynik]]&gt;=$G$6,$I$6,oceny5[[#This Row],[Wynik]]&gt;=$G$7,$I$7)</f>
        <v>5</v>
      </c>
      <c r="E216" t="str">
        <f>VLOOKUP(oceny5[[#This Row],[ocena]],$I$3:$J$7,2,FALSE)</f>
        <v>bardzo dobry</v>
      </c>
    </row>
    <row r="217" spans="1:5" x14ac:dyDescent="0.3">
      <c r="A217" t="s">
        <v>226</v>
      </c>
      <c r="B217">
        <v>36</v>
      </c>
      <c r="C217" t="s">
        <v>8</v>
      </c>
      <c r="D217" cm="1">
        <f t="array" ref="D217">_xlfn.IFS(oceny5[[#This Row],[Wynik]]&gt;=$G$3,$I$3,oceny5[[#This Row],[Wynik]]&gt;=$G$4,$I$4,oceny5[[#This Row],[Wynik]]&gt;=$G$5,$I$5,oceny5[[#This Row],[Wynik]]&gt;=$G$6,$I$6,oceny5[[#This Row],[Wynik]]&gt;=$G$7,$I$7)</f>
        <v>2</v>
      </c>
      <c r="E217" t="str">
        <f>VLOOKUP(oceny5[[#This Row],[ocena]],$I$3:$J$7,2,FALSE)</f>
        <v>niedostateczny</v>
      </c>
    </row>
    <row r="218" spans="1:5" x14ac:dyDescent="0.3">
      <c r="A218" t="s">
        <v>227</v>
      </c>
      <c r="B218">
        <v>94</v>
      </c>
      <c r="C218" t="s">
        <v>16</v>
      </c>
      <c r="D218" cm="1">
        <f t="array" ref="D218">_xlfn.IFS(oceny5[[#This Row],[Wynik]]&gt;=$G$3,$I$3,oceny5[[#This Row],[Wynik]]&gt;=$G$4,$I$4,oceny5[[#This Row],[Wynik]]&gt;=$G$5,$I$5,oceny5[[#This Row],[Wynik]]&gt;=$G$6,$I$6,oceny5[[#This Row],[Wynik]]&gt;=$G$7,$I$7)</f>
        <v>6</v>
      </c>
      <c r="E218" t="str">
        <f>VLOOKUP(oceny5[[#This Row],[ocena]],$I$3:$J$7,2,FALSE)</f>
        <v>celujący</v>
      </c>
    </row>
    <row r="219" spans="1:5" x14ac:dyDescent="0.3">
      <c r="A219" t="s">
        <v>228</v>
      </c>
      <c r="B219">
        <v>12</v>
      </c>
      <c r="C219" t="s">
        <v>6</v>
      </c>
      <c r="D219" cm="1">
        <f t="array" ref="D219">_xlfn.IFS(oceny5[[#This Row],[Wynik]]&gt;=$G$3,$I$3,oceny5[[#This Row],[Wynik]]&gt;=$G$4,$I$4,oceny5[[#This Row],[Wynik]]&gt;=$G$5,$I$5,oceny5[[#This Row],[Wynik]]&gt;=$G$6,$I$6,oceny5[[#This Row],[Wynik]]&gt;=$G$7,$I$7)</f>
        <v>2</v>
      </c>
      <c r="E219" t="str">
        <f>VLOOKUP(oceny5[[#This Row],[ocena]],$I$3:$J$7,2,FALSE)</f>
        <v>niedostateczny</v>
      </c>
    </row>
    <row r="220" spans="1:5" x14ac:dyDescent="0.3">
      <c r="A220" t="s">
        <v>229</v>
      </c>
      <c r="B220">
        <v>99</v>
      </c>
      <c r="C220" t="s">
        <v>10</v>
      </c>
      <c r="D220" cm="1">
        <f t="array" ref="D220">_xlfn.IFS(oceny5[[#This Row],[Wynik]]&gt;=$G$3,$I$3,oceny5[[#This Row],[Wynik]]&gt;=$G$4,$I$4,oceny5[[#This Row],[Wynik]]&gt;=$G$5,$I$5,oceny5[[#This Row],[Wynik]]&gt;=$G$6,$I$6,oceny5[[#This Row],[Wynik]]&gt;=$G$7,$I$7)</f>
        <v>6</v>
      </c>
      <c r="E220" t="str">
        <f>VLOOKUP(oceny5[[#This Row],[ocena]],$I$3:$J$7,2,FALSE)</f>
        <v>celujący</v>
      </c>
    </row>
    <row r="221" spans="1:5" x14ac:dyDescent="0.3">
      <c r="A221" t="s">
        <v>230</v>
      </c>
      <c r="B221">
        <v>33</v>
      </c>
      <c r="C221" t="s">
        <v>16</v>
      </c>
      <c r="D221" cm="1">
        <f t="array" ref="D221">_xlfn.IFS(oceny5[[#This Row],[Wynik]]&gt;=$G$3,$I$3,oceny5[[#This Row],[Wynik]]&gt;=$G$4,$I$4,oceny5[[#This Row],[Wynik]]&gt;=$G$5,$I$5,oceny5[[#This Row],[Wynik]]&gt;=$G$6,$I$6,oceny5[[#This Row],[Wynik]]&gt;=$G$7,$I$7)</f>
        <v>2</v>
      </c>
      <c r="E221" t="str">
        <f>VLOOKUP(oceny5[[#This Row],[ocena]],$I$3:$J$7,2,FALSE)</f>
        <v>niedostateczny</v>
      </c>
    </row>
    <row r="222" spans="1:5" x14ac:dyDescent="0.3">
      <c r="A222" t="s">
        <v>231</v>
      </c>
      <c r="B222">
        <v>53</v>
      </c>
      <c r="C222" t="s">
        <v>35</v>
      </c>
      <c r="D222" cm="1">
        <f t="array" ref="D222">_xlfn.IFS(oceny5[[#This Row],[Wynik]]&gt;=$G$3,$I$3,oceny5[[#This Row],[Wynik]]&gt;=$G$4,$I$4,oceny5[[#This Row],[Wynik]]&gt;=$G$5,$I$5,oceny5[[#This Row],[Wynik]]&gt;=$G$6,$I$6,oceny5[[#This Row],[Wynik]]&gt;=$G$7,$I$7)</f>
        <v>4</v>
      </c>
      <c r="E222" t="str">
        <f>VLOOKUP(oceny5[[#This Row],[ocena]],$I$3:$J$7,2,FALSE)</f>
        <v>dobry</v>
      </c>
    </row>
    <row r="223" spans="1:5" x14ac:dyDescent="0.3">
      <c r="A223" t="s">
        <v>232</v>
      </c>
      <c r="B223">
        <v>39</v>
      </c>
      <c r="C223" t="s">
        <v>12</v>
      </c>
      <c r="D223" cm="1">
        <f t="array" ref="D223">_xlfn.IFS(oceny5[[#This Row],[Wynik]]&gt;=$G$3,$I$3,oceny5[[#This Row],[Wynik]]&gt;=$G$4,$I$4,oceny5[[#This Row],[Wynik]]&gt;=$G$5,$I$5,oceny5[[#This Row],[Wynik]]&gt;=$G$6,$I$6,oceny5[[#This Row],[Wynik]]&gt;=$G$7,$I$7)</f>
        <v>2</v>
      </c>
      <c r="E223" t="str">
        <f>VLOOKUP(oceny5[[#This Row],[ocena]],$I$3:$J$7,2,FALSE)</f>
        <v>niedostateczny</v>
      </c>
    </row>
    <row r="224" spans="1:5" x14ac:dyDescent="0.3">
      <c r="A224" t="s">
        <v>233</v>
      </c>
      <c r="B224">
        <v>62</v>
      </c>
      <c r="C224" t="s">
        <v>35</v>
      </c>
      <c r="D224" cm="1">
        <f t="array" ref="D224">_xlfn.IFS(oceny5[[#This Row],[Wynik]]&gt;=$G$3,$I$3,oceny5[[#This Row],[Wynik]]&gt;=$G$4,$I$4,oceny5[[#This Row],[Wynik]]&gt;=$G$5,$I$5,oceny5[[#This Row],[Wynik]]&gt;=$G$6,$I$6,oceny5[[#This Row],[Wynik]]&gt;=$G$7,$I$7)</f>
        <v>4</v>
      </c>
      <c r="E224" t="str">
        <f>VLOOKUP(oceny5[[#This Row],[ocena]],$I$3:$J$7,2,FALSE)</f>
        <v>dobry</v>
      </c>
    </row>
    <row r="225" spans="1:5" x14ac:dyDescent="0.3">
      <c r="A225" t="s">
        <v>234</v>
      </c>
      <c r="B225">
        <v>99</v>
      </c>
      <c r="C225" t="s">
        <v>8</v>
      </c>
      <c r="D225" cm="1">
        <f t="array" ref="D225">_xlfn.IFS(oceny5[[#This Row],[Wynik]]&gt;=$G$3,$I$3,oceny5[[#This Row],[Wynik]]&gt;=$G$4,$I$4,oceny5[[#This Row],[Wynik]]&gt;=$G$5,$I$5,oceny5[[#This Row],[Wynik]]&gt;=$G$6,$I$6,oceny5[[#This Row],[Wynik]]&gt;=$G$7,$I$7)</f>
        <v>6</v>
      </c>
      <c r="E225" t="str">
        <f>VLOOKUP(oceny5[[#This Row],[ocena]],$I$3:$J$7,2,FALSE)</f>
        <v>celujący</v>
      </c>
    </row>
    <row r="226" spans="1:5" x14ac:dyDescent="0.3">
      <c r="A226" t="s">
        <v>235</v>
      </c>
      <c r="B226">
        <v>31</v>
      </c>
      <c r="C226" t="s">
        <v>12</v>
      </c>
      <c r="D226" cm="1">
        <f t="array" ref="D226">_xlfn.IFS(oceny5[[#This Row],[Wynik]]&gt;=$G$3,$I$3,oceny5[[#This Row],[Wynik]]&gt;=$G$4,$I$4,oceny5[[#This Row],[Wynik]]&gt;=$G$5,$I$5,oceny5[[#This Row],[Wynik]]&gt;=$G$6,$I$6,oceny5[[#This Row],[Wynik]]&gt;=$G$7,$I$7)</f>
        <v>2</v>
      </c>
      <c r="E226" t="str">
        <f>VLOOKUP(oceny5[[#This Row],[ocena]],$I$3:$J$7,2,FALSE)</f>
        <v>niedostateczny</v>
      </c>
    </row>
    <row r="227" spans="1:5" x14ac:dyDescent="0.3">
      <c r="A227" t="s">
        <v>236</v>
      </c>
      <c r="B227">
        <v>49</v>
      </c>
      <c r="C227" t="s">
        <v>35</v>
      </c>
      <c r="D227" cm="1">
        <f t="array" ref="D227">_xlfn.IFS(oceny5[[#This Row],[Wynik]]&gt;=$G$3,$I$3,oceny5[[#This Row],[Wynik]]&gt;=$G$4,$I$4,oceny5[[#This Row],[Wynik]]&gt;=$G$5,$I$5,oceny5[[#This Row],[Wynik]]&gt;=$G$6,$I$6,oceny5[[#This Row],[Wynik]]&gt;=$G$7,$I$7)</f>
        <v>3</v>
      </c>
      <c r="E227" t="str">
        <f>VLOOKUP(oceny5[[#This Row],[ocena]],$I$3:$J$7,2,FALSE)</f>
        <v>dostateczny</v>
      </c>
    </row>
    <row r="228" spans="1:5" x14ac:dyDescent="0.3">
      <c r="A228" t="s">
        <v>237</v>
      </c>
      <c r="B228">
        <v>43</v>
      </c>
      <c r="C228" t="s">
        <v>12</v>
      </c>
      <c r="D228" cm="1">
        <f t="array" ref="D228">_xlfn.IFS(oceny5[[#This Row],[Wynik]]&gt;=$G$3,$I$3,oceny5[[#This Row],[Wynik]]&gt;=$G$4,$I$4,oceny5[[#This Row],[Wynik]]&gt;=$G$5,$I$5,oceny5[[#This Row],[Wynik]]&gt;=$G$6,$I$6,oceny5[[#This Row],[Wynik]]&gt;=$G$7,$I$7)</f>
        <v>3</v>
      </c>
      <c r="E228" t="str">
        <f>VLOOKUP(oceny5[[#This Row],[ocena]],$I$3:$J$7,2,FALSE)</f>
        <v>dostateczny</v>
      </c>
    </row>
    <row r="229" spans="1:5" x14ac:dyDescent="0.3">
      <c r="A229" t="s">
        <v>238</v>
      </c>
      <c r="B229">
        <v>12</v>
      </c>
      <c r="C229" t="s">
        <v>16</v>
      </c>
      <c r="D229" cm="1">
        <f t="array" ref="D229">_xlfn.IFS(oceny5[[#This Row],[Wynik]]&gt;=$G$3,$I$3,oceny5[[#This Row],[Wynik]]&gt;=$G$4,$I$4,oceny5[[#This Row],[Wynik]]&gt;=$G$5,$I$5,oceny5[[#This Row],[Wynik]]&gt;=$G$6,$I$6,oceny5[[#This Row],[Wynik]]&gt;=$G$7,$I$7)</f>
        <v>2</v>
      </c>
      <c r="E229" t="str">
        <f>VLOOKUP(oceny5[[#This Row],[ocena]],$I$3:$J$7,2,FALSE)</f>
        <v>niedostateczny</v>
      </c>
    </row>
    <row r="230" spans="1:5" x14ac:dyDescent="0.3">
      <c r="A230" t="s">
        <v>239</v>
      </c>
      <c r="B230">
        <v>97</v>
      </c>
      <c r="C230" t="s">
        <v>10</v>
      </c>
      <c r="D230" cm="1">
        <f t="array" ref="D230">_xlfn.IFS(oceny5[[#This Row],[Wynik]]&gt;=$G$3,$I$3,oceny5[[#This Row],[Wynik]]&gt;=$G$4,$I$4,oceny5[[#This Row],[Wynik]]&gt;=$G$5,$I$5,oceny5[[#This Row],[Wynik]]&gt;=$G$6,$I$6,oceny5[[#This Row],[Wynik]]&gt;=$G$7,$I$7)</f>
        <v>6</v>
      </c>
      <c r="E230" t="str">
        <f>VLOOKUP(oceny5[[#This Row],[ocena]],$I$3:$J$7,2,FALSE)</f>
        <v>celujący</v>
      </c>
    </row>
    <row r="231" spans="1:5" x14ac:dyDescent="0.3">
      <c r="A231" t="s">
        <v>240</v>
      </c>
      <c r="B231">
        <v>12</v>
      </c>
      <c r="C231" t="s">
        <v>6</v>
      </c>
      <c r="D231" cm="1">
        <f t="array" ref="D231">_xlfn.IFS(oceny5[[#This Row],[Wynik]]&gt;=$G$3,$I$3,oceny5[[#This Row],[Wynik]]&gt;=$G$4,$I$4,oceny5[[#This Row],[Wynik]]&gt;=$G$5,$I$5,oceny5[[#This Row],[Wynik]]&gt;=$G$6,$I$6,oceny5[[#This Row],[Wynik]]&gt;=$G$7,$I$7)</f>
        <v>2</v>
      </c>
      <c r="E231" t="str">
        <f>VLOOKUP(oceny5[[#This Row],[ocena]],$I$3:$J$7,2,FALSE)</f>
        <v>niedostateczny</v>
      </c>
    </row>
    <row r="232" spans="1:5" x14ac:dyDescent="0.3">
      <c r="A232" t="s">
        <v>241</v>
      </c>
      <c r="B232">
        <v>5</v>
      </c>
      <c r="C232" t="s">
        <v>35</v>
      </c>
      <c r="D232" cm="1">
        <f t="array" ref="D232">_xlfn.IFS(oceny5[[#This Row],[Wynik]]&gt;=$G$3,$I$3,oceny5[[#This Row],[Wynik]]&gt;=$G$4,$I$4,oceny5[[#This Row],[Wynik]]&gt;=$G$5,$I$5,oceny5[[#This Row],[Wynik]]&gt;=$G$6,$I$6,oceny5[[#This Row],[Wynik]]&gt;=$G$7,$I$7)</f>
        <v>2</v>
      </c>
      <c r="E232" t="str">
        <f>VLOOKUP(oceny5[[#This Row],[ocena]],$I$3:$J$7,2,FALSE)</f>
        <v>niedostateczny</v>
      </c>
    </row>
    <row r="233" spans="1:5" x14ac:dyDescent="0.3">
      <c r="A233" t="s">
        <v>242</v>
      </c>
      <c r="B233">
        <v>92</v>
      </c>
      <c r="C233" t="s">
        <v>8</v>
      </c>
      <c r="D233" cm="1">
        <f t="array" ref="D233">_xlfn.IFS(oceny5[[#This Row],[Wynik]]&gt;=$G$3,$I$3,oceny5[[#This Row],[Wynik]]&gt;=$G$4,$I$4,oceny5[[#This Row],[Wynik]]&gt;=$G$5,$I$5,oceny5[[#This Row],[Wynik]]&gt;=$G$6,$I$6,oceny5[[#This Row],[Wynik]]&gt;=$G$7,$I$7)</f>
        <v>6</v>
      </c>
      <c r="E233" t="str">
        <f>VLOOKUP(oceny5[[#This Row],[ocena]],$I$3:$J$7,2,FALSE)</f>
        <v>celujący</v>
      </c>
    </row>
    <row r="234" spans="1:5" x14ac:dyDescent="0.3">
      <c r="A234" t="s">
        <v>243</v>
      </c>
      <c r="B234">
        <v>14</v>
      </c>
      <c r="C234" t="s">
        <v>35</v>
      </c>
      <c r="D234" cm="1">
        <f t="array" ref="D234">_xlfn.IFS(oceny5[[#This Row],[Wynik]]&gt;=$G$3,$I$3,oceny5[[#This Row],[Wynik]]&gt;=$G$4,$I$4,oceny5[[#This Row],[Wynik]]&gt;=$G$5,$I$5,oceny5[[#This Row],[Wynik]]&gt;=$G$6,$I$6,oceny5[[#This Row],[Wynik]]&gt;=$G$7,$I$7)</f>
        <v>2</v>
      </c>
      <c r="E234" t="str">
        <f>VLOOKUP(oceny5[[#This Row],[ocena]],$I$3:$J$7,2,FALSE)</f>
        <v>niedostateczny</v>
      </c>
    </row>
    <row r="235" spans="1:5" x14ac:dyDescent="0.3">
      <c r="A235" t="s">
        <v>244</v>
      </c>
      <c r="B235">
        <v>24</v>
      </c>
      <c r="C235" t="s">
        <v>16</v>
      </c>
      <c r="D235" cm="1">
        <f t="array" ref="D235">_xlfn.IFS(oceny5[[#This Row],[Wynik]]&gt;=$G$3,$I$3,oceny5[[#This Row],[Wynik]]&gt;=$G$4,$I$4,oceny5[[#This Row],[Wynik]]&gt;=$G$5,$I$5,oceny5[[#This Row],[Wynik]]&gt;=$G$6,$I$6,oceny5[[#This Row],[Wynik]]&gt;=$G$7,$I$7)</f>
        <v>2</v>
      </c>
      <c r="E235" t="str">
        <f>VLOOKUP(oceny5[[#This Row],[ocena]],$I$3:$J$7,2,FALSE)</f>
        <v>niedostateczny</v>
      </c>
    </row>
    <row r="236" spans="1:5" x14ac:dyDescent="0.3">
      <c r="A236" t="s">
        <v>245</v>
      </c>
      <c r="B236">
        <v>80</v>
      </c>
      <c r="C236" t="s">
        <v>35</v>
      </c>
      <c r="D236" cm="1">
        <f t="array" ref="D236">_xlfn.IFS(oceny5[[#This Row],[Wynik]]&gt;=$G$3,$I$3,oceny5[[#This Row],[Wynik]]&gt;=$G$4,$I$4,oceny5[[#This Row],[Wynik]]&gt;=$G$5,$I$5,oceny5[[#This Row],[Wynik]]&gt;=$G$6,$I$6,oceny5[[#This Row],[Wynik]]&gt;=$G$7,$I$7)</f>
        <v>5</v>
      </c>
      <c r="E236" t="str">
        <f>VLOOKUP(oceny5[[#This Row],[ocena]],$I$3:$J$7,2,FALSE)</f>
        <v>bardzo dobry</v>
      </c>
    </row>
    <row r="237" spans="1:5" x14ac:dyDescent="0.3">
      <c r="A237" t="s">
        <v>246</v>
      </c>
      <c r="B237">
        <v>11</v>
      </c>
      <c r="C237" t="s">
        <v>8</v>
      </c>
      <c r="D237" cm="1">
        <f t="array" ref="D237">_xlfn.IFS(oceny5[[#This Row],[Wynik]]&gt;=$G$3,$I$3,oceny5[[#This Row],[Wynik]]&gt;=$G$4,$I$4,oceny5[[#This Row],[Wynik]]&gt;=$G$5,$I$5,oceny5[[#This Row],[Wynik]]&gt;=$G$6,$I$6,oceny5[[#This Row],[Wynik]]&gt;=$G$7,$I$7)</f>
        <v>2</v>
      </c>
      <c r="E237" t="str">
        <f>VLOOKUP(oceny5[[#This Row],[ocena]],$I$3:$J$7,2,FALSE)</f>
        <v>niedostateczny</v>
      </c>
    </row>
    <row r="238" spans="1:5" x14ac:dyDescent="0.3">
      <c r="A238" t="s">
        <v>247</v>
      </c>
      <c r="B238">
        <v>9</v>
      </c>
      <c r="C238" t="s">
        <v>12</v>
      </c>
      <c r="D238" cm="1">
        <f t="array" ref="D238">_xlfn.IFS(oceny5[[#This Row],[Wynik]]&gt;=$G$3,$I$3,oceny5[[#This Row],[Wynik]]&gt;=$G$4,$I$4,oceny5[[#This Row],[Wynik]]&gt;=$G$5,$I$5,oceny5[[#This Row],[Wynik]]&gt;=$G$6,$I$6,oceny5[[#This Row],[Wynik]]&gt;=$G$7,$I$7)</f>
        <v>2</v>
      </c>
      <c r="E238" t="str">
        <f>VLOOKUP(oceny5[[#This Row],[ocena]],$I$3:$J$7,2,FALSE)</f>
        <v>niedostateczny</v>
      </c>
    </row>
    <row r="239" spans="1:5" x14ac:dyDescent="0.3">
      <c r="A239" t="s">
        <v>248</v>
      </c>
      <c r="B239">
        <v>77</v>
      </c>
      <c r="C239" t="s">
        <v>10</v>
      </c>
      <c r="D239" cm="1">
        <f t="array" ref="D239">_xlfn.IFS(oceny5[[#This Row],[Wynik]]&gt;=$G$3,$I$3,oceny5[[#This Row],[Wynik]]&gt;=$G$4,$I$4,oceny5[[#This Row],[Wynik]]&gt;=$G$5,$I$5,oceny5[[#This Row],[Wynik]]&gt;=$G$6,$I$6,oceny5[[#This Row],[Wynik]]&gt;=$G$7,$I$7)</f>
        <v>4</v>
      </c>
      <c r="E239" t="str">
        <f>VLOOKUP(oceny5[[#This Row],[ocena]],$I$3:$J$7,2,FALSE)</f>
        <v>dobry</v>
      </c>
    </row>
    <row r="240" spans="1:5" x14ac:dyDescent="0.3">
      <c r="A240" t="s">
        <v>249</v>
      </c>
      <c r="B240">
        <v>79</v>
      </c>
      <c r="C240" t="s">
        <v>16</v>
      </c>
      <c r="D240" cm="1">
        <f t="array" ref="D240">_xlfn.IFS(oceny5[[#This Row],[Wynik]]&gt;=$G$3,$I$3,oceny5[[#This Row],[Wynik]]&gt;=$G$4,$I$4,oceny5[[#This Row],[Wynik]]&gt;=$G$5,$I$5,oceny5[[#This Row],[Wynik]]&gt;=$G$6,$I$6,oceny5[[#This Row],[Wynik]]&gt;=$G$7,$I$7)</f>
        <v>4</v>
      </c>
      <c r="E240" t="str">
        <f>VLOOKUP(oceny5[[#This Row],[ocena]],$I$3:$J$7,2,FALSE)</f>
        <v>dobry</v>
      </c>
    </row>
    <row r="241" spans="1:5" x14ac:dyDescent="0.3">
      <c r="A241" t="s">
        <v>250</v>
      </c>
      <c r="B241">
        <v>3</v>
      </c>
      <c r="C241" t="s">
        <v>8</v>
      </c>
      <c r="D241" cm="1">
        <f t="array" ref="D241">_xlfn.IFS(oceny5[[#This Row],[Wynik]]&gt;=$G$3,$I$3,oceny5[[#This Row],[Wynik]]&gt;=$G$4,$I$4,oceny5[[#This Row],[Wynik]]&gt;=$G$5,$I$5,oceny5[[#This Row],[Wynik]]&gt;=$G$6,$I$6,oceny5[[#This Row],[Wynik]]&gt;=$G$7,$I$7)</f>
        <v>2</v>
      </c>
      <c r="E241" t="str">
        <f>VLOOKUP(oceny5[[#This Row],[ocena]],$I$3:$J$7,2,FALSE)</f>
        <v>niedostateczny</v>
      </c>
    </row>
    <row r="242" spans="1:5" x14ac:dyDescent="0.3">
      <c r="A242" t="s">
        <v>251</v>
      </c>
      <c r="B242">
        <v>70</v>
      </c>
      <c r="C242" t="s">
        <v>4</v>
      </c>
      <c r="D242" cm="1">
        <f t="array" ref="D242">_xlfn.IFS(oceny5[[#This Row],[Wynik]]&gt;=$G$3,$I$3,oceny5[[#This Row],[Wynik]]&gt;=$G$4,$I$4,oceny5[[#This Row],[Wynik]]&gt;=$G$5,$I$5,oceny5[[#This Row],[Wynik]]&gt;=$G$6,$I$6,oceny5[[#This Row],[Wynik]]&gt;=$G$7,$I$7)</f>
        <v>4</v>
      </c>
      <c r="E242" t="str">
        <f>VLOOKUP(oceny5[[#This Row],[ocena]],$I$3:$J$7,2,FALSE)</f>
        <v>dobry</v>
      </c>
    </row>
    <row r="243" spans="1:5" x14ac:dyDescent="0.3">
      <c r="A243" t="s">
        <v>252</v>
      </c>
      <c r="B243">
        <v>13</v>
      </c>
      <c r="C243" t="s">
        <v>4</v>
      </c>
      <c r="D243" cm="1">
        <f t="array" ref="D243">_xlfn.IFS(oceny5[[#This Row],[Wynik]]&gt;=$G$3,$I$3,oceny5[[#This Row],[Wynik]]&gt;=$G$4,$I$4,oceny5[[#This Row],[Wynik]]&gt;=$G$5,$I$5,oceny5[[#This Row],[Wynik]]&gt;=$G$6,$I$6,oceny5[[#This Row],[Wynik]]&gt;=$G$7,$I$7)</f>
        <v>2</v>
      </c>
      <c r="E243" t="str">
        <f>VLOOKUP(oceny5[[#This Row],[ocena]],$I$3:$J$7,2,FALSE)</f>
        <v>niedostateczny</v>
      </c>
    </row>
    <row r="244" spans="1:5" x14ac:dyDescent="0.3">
      <c r="A244" t="s">
        <v>253</v>
      </c>
      <c r="B244">
        <v>77</v>
      </c>
      <c r="C244" t="s">
        <v>12</v>
      </c>
      <c r="D244" cm="1">
        <f t="array" ref="D244">_xlfn.IFS(oceny5[[#This Row],[Wynik]]&gt;=$G$3,$I$3,oceny5[[#This Row],[Wynik]]&gt;=$G$4,$I$4,oceny5[[#This Row],[Wynik]]&gt;=$G$5,$I$5,oceny5[[#This Row],[Wynik]]&gt;=$G$6,$I$6,oceny5[[#This Row],[Wynik]]&gt;=$G$7,$I$7)</f>
        <v>4</v>
      </c>
      <c r="E244" t="str">
        <f>VLOOKUP(oceny5[[#This Row],[ocena]],$I$3:$J$7,2,FALSE)</f>
        <v>dobry</v>
      </c>
    </row>
    <row r="245" spans="1:5" x14ac:dyDescent="0.3">
      <c r="A245" t="s">
        <v>254</v>
      </c>
      <c r="B245">
        <v>93</v>
      </c>
      <c r="C245" t="s">
        <v>4</v>
      </c>
      <c r="D245" cm="1">
        <f t="array" ref="D245">_xlfn.IFS(oceny5[[#This Row],[Wynik]]&gt;=$G$3,$I$3,oceny5[[#This Row],[Wynik]]&gt;=$G$4,$I$4,oceny5[[#This Row],[Wynik]]&gt;=$G$5,$I$5,oceny5[[#This Row],[Wynik]]&gt;=$G$6,$I$6,oceny5[[#This Row],[Wynik]]&gt;=$G$7,$I$7)</f>
        <v>6</v>
      </c>
      <c r="E245" t="str">
        <f>VLOOKUP(oceny5[[#This Row],[ocena]],$I$3:$J$7,2,FALSE)</f>
        <v>celujący</v>
      </c>
    </row>
    <row r="246" spans="1:5" x14ac:dyDescent="0.3">
      <c r="A246" t="s">
        <v>255</v>
      </c>
      <c r="B246">
        <v>58</v>
      </c>
      <c r="C246" t="s">
        <v>8</v>
      </c>
      <c r="D246" cm="1">
        <f t="array" ref="D246">_xlfn.IFS(oceny5[[#This Row],[Wynik]]&gt;=$G$3,$I$3,oceny5[[#This Row],[Wynik]]&gt;=$G$4,$I$4,oceny5[[#This Row],[Wynik]]&gt;=$G$5,$I$5,oceny5[[#This Row],[Wynik]]&gt;=$G$6,$I$6,oceny5[[#This Row],[Wynik]]&gt;=$G$7,$I$7)</f>
        <v>4</v>
      </c>
      <c r="E246" t="str">
        <f>VLOOKUP(oceny5[[#This Row],[ocena]],$I$3:$J$7,2,FALSE)</f>
        <v>dobry</v>
      </c>
    </row>
    <row r="247" spans="1:5" x14ac:dyDescent="0.3">
      <c r="A247" t="s">
        <v>256</v>
      </c>
      <c r="B247">
        <v>48</v>
      </c>
      <c r="C247" t="s">
        <v>16</v>
      </c>
      <c r="D247" cm="1">
        <f t="array" ref="D247">_xlfn.IFS(oceny5[[#This Row],[Wynik]]&gt;=$G$3,$I$3,oceny5[[#This Row],[Wynik]]&gt;=$G$4,$I$4,oceny5[[#This Row],[Wynik]]&gt;=$G$5,$I$5,oceny5[[#This Row],[Wynik]]&gt;=$G$6,$I$6,oceny5[[#This Row],[Wynik]]&gt;=$G$7,$I$7)</f>
        <v>3</v>
      </c>
      <c r="E247" t="str">
        <f>VLOOKUP(oceny5[[#This Row],[ocena]],$I$3:$J$7,2,FALSE)</f>
        <v>dostateczny</v>
      </c>
    </row>
    <row r="248" spans="1:5" x14ac:dyDescent="0.3">
      <c r="A248" t="s">
        <v>257</v>
      </c>
      <c r="B248">
        <v>16</v>
      </c>
      <c r="C248" t="s">
        <v>12</v>
      </c>
      <c r="D248" cm="1">
        <f t="array" ref="D248">_xlfn.IFS(oceny5[[#This Row],[Wynik]]&gt;=$G$3,$I$3,oceny5[[#This Row],[Wynik]]&gt;=$G$4,$I$4,oceny5[[#This Row],[Wynik]]&gt;=$G$5,$I$5,oceny5[[#This Row],[Wynik]]&gt;=$G$6,$I$6,oceny5[[#This Row],[Wynik]]&gt;=$G$7,$I$7)</f>
        <v>2</v>
      </c>
      <c r="E248" t="str">
        <f>VLOOKUP(oceny5[[#This Row],[ocena]],$I$3:$J$7,2,FALSE)</f>
        <v>niedostateczny</v>
      </c>
    </row>
    <row r="249" spans="1:5" x14ac:dyDescent="0.3">
      <c r="A249" t="s">
        <v>258</v>
      </c>
      <c r="B249">
        <v>24</v>
      </c>
      <c r="C249" t="s">
        <v>12</v>
      </c>
      <c r="D249" cm="1">
        <f t="array" ref="D249">_xlfn.IFS(oceny5[[#This Row],[Wynik]]&gt;=$G$3,$I$3,oceny5[[#This Row],[Wynik]]&gt;=$G$4,$I$4,oceny5[[#This Row],[Wynik]]&gt;=$G$5,$I$5,oceny5[[#This Row],[Wynik]]&gt;=$G$6,$I$6,oceny5[[#This Row],[Wynik]]&gt;=$G$7,$I$7)</f>
        <v>2</v>
      </c>
      <c r="E249" t="str">
        <f>VLOOKUP(oceny5[[#This Row],[ocena]],$I$3:$J$7,2,FALSE)</f>
        <v>niedostateczny</v>
      </c>
    </row>
    <row r="250" spans="1:5" x14ac:dyDescent="0.3">
      <c r="A250" t="s">
        <v>259</v>
      </c>
      <c r="B250">
        <v>63</v>
      </c>
      <c r="C250" t="s">
        <v>10</v>
      </c>
      <c r="D250" cm="1">
        <f t="array" ref="D250">_xlfn.IFS(oceny5[[#This Row],[Wynik]]&gt;=$G$3,$I$3,oceny5[[#This Row],[Wynik]]&gt;=$G$4,$I$4,oceny5[[#This Row],[Wynik]]&gt;=$G$5,$I$5,oceny5[[#This Row],[Wynik]]&gt;=$G$6,$I$6,oceny5[[#This Row],[Wynik]]&gt;=$G$7,$I$7)</f>
        <v>4</v>
      </c>
      <c r="E250" t="str">
        <f>VLOOKUP(oceny5[[#This Row],[ocena]],$I$3:$J$7,2,FALSE)</f>
        <v>dobry</v>
      </c>
    </row>
    <row r="251" spans="1:5" x14ac:dyDescent="0.3">
      <c r="A251" t="s">
        <v>260</v>
      </c>
      <c r="B251">
        <v>66</v>
      </c>
      <c r="C251" t="s">
        <v>8</v>
      </c>
      <c r="D251" cm="1">
        <f t="array" ref="D251">_xlfn.IFS(oceny5[[#This Row],[Wynik]]&gt;=$G$3,$I$3,oceny5[[#This Row],[Wynik]]&gt;=$G$4,$I$4,oceny5[[#This Row],[Wynik]]&gt;=$G$5,$I$5,oceny5[[#This Row],[Wynik]]&gt;=$G$6,$I$6,oceny5[[#This Row],[Wynik]]&gt;=$G$7,$I$7)</f>
        <v>4</v>
      </c>
      <c r="E251" t="str">
        <f>VLOOKUP(oceny5[[#This Row],[ocena]],$I$3:$J$7,2,FALSE)</f>
        <v>dobry</v>
      </c>
    </row>
  </sheetData>
  <mergeCells count="1">
    <mergeCell ref="G1:H1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6573-1BD7-4250-A1FC-5C13D9A865E3}">
  <dimension ref="A1:I251"/>
  <sheetViews>
    <sheetView topLeftCell="A2" workbookViewId="0">
      <selection activeCell="G9" sqref="G9"/>
    </sheetView>
  </sheetViews>
  <sheetFormatPr defaultRowHeight="14.4" x14ac:dyDescent="0.3"/>
  <cols>
    <col min="1" max="1" width="11.44140625" bestFit="1" customWidth="1"/>
    <col min="2" max="2" width="9" bestFit="1" customWidth="1"/>
    <col min="3" max="3" width="11.44140625" bestFit="1" customWidth="1"/>
    <col min="6" max="6" width="4.44140625" bestFit="1" customWidth="1"/>
    <col min="7" max="7" width="4.6640625" bestFit="1" customWidth="1"/>
    <col min="8" max="8" width="2" bestFit="1" customWidth="1"/>
    <col min="9" max="9" width="1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F1" s="5" t="s">
        <v>261</v>
      </c>
      <c r="G1" s="5"/>
      <c r="H1" s="5" t="s">
        <v>264</v>
      </c>
      <c r="I1" s="5"/>
    </row>
    <row r="2" spans="1:9" x14ac:dyDescent="0.3">
      <c r="A2" t="s">
        <v>3</v>
      </c>
      <c r="B2">
        <v>62</v>
      </c>
      <c r="C2" t="s">
        <v>4</v>
      </c>
      <c r="F2" t="s">
        <v>262</v>
      </c>
      <c r="G2" t="s">
        <v>263</v>
      </c>
      <c r="H2" s="5"/>
      <c r="I2" s="5"/>
    </row>
    <row r="3" spans="1:9" x14ac:dyDescent="0.3">
      <c r="A3" t="s">
        <v>5</v>
      </c>
      <c r="B3">
        <v>92</v>
      </c>
      <c r="C3" t="s">
        <v>6</v>
      </c>
      <c r="F3">
        <v>90</v>
      </c>
      <c r="G3">
        <v>100</v>
      </c>
      <c r="H3">
        <v>6</v>
      </c>
      <c r="I3" t="s">
        <v>265</v>
      </c>
    </row>
    <row r="4" spans="1:9" x14ac:dyDescent="0.3">
      <c r="A4" t="s">
        <v>7</v>
      </c>
      <c r="B4">
        <v>52</v>
      </c>
      <c r="C4" t="s">
        <v>8</v>
      </c>
      <c r="F4">
        <v>80</v>
      </c>
      <c r="G4">
        <v>89</v>
      </c>
      <c r="H4">
        <v>5</v>
      </c>
      <c r="I4" t="s">
        <v>266</v>
      </c>
    </row>
    <row r="5" spans="1:9" x14ac:dyDescent="0.3">
      <c r="A5" t="s">
        <v>9</v>
      </c>
      <c r="B5">
        <v>60</v>
      </c>
      <c r="C5" t="s">
        <v>10</v>
      </c>
      <c r="F5">
        <v>51</v>
      </c>
      <c r="G5">
        <v>79</v>
      </c>
      <c r="H5">
        <v>4</v>
      </c>
      <c r="I5" t="s">
        <v>267</v>
      </c>
    </row>
    <row r="6" spans="1:9" x14ac:dyDescent="0.3">
      <c r="A6" t="s">
        <v>11</v>
      </c>
      <c r="B6">
        <v>81</v>
      </c>
      <c r="C6" t="s">
        <v>12</v>
      </c>
      <c r="F6">
        <v>41</v>
      </c>
      <c r="G6">
        <v>50</v>
      </c>
      <c r="H6">
        <v>3</v>
      </c>
      <c r="I6" t="s">
        <v>268</v>
      </c>
    </row>
    <row r="7" spans="1:9" x14ac:dyDescent="0.3">
      <c r="A7" t="s">
        <v>13</v>
      </c>
      <c r="B7">
        <v>66</v>
      </c>
      <c r="C7" t="s">
        <v>14</v>
      </c>
      <c r="F7">
        <v>0</v>
      </c>
      <c r="G7">
        <v>40</v>
      </c>
      <c r="H7">
        <v>2</v>
      </c>
      <c r="I7" t="s">
        <v>269</v>
      </c>
    </row>
    <row r="8" spans="1:9" x14ac:dyDescent="0.3">
      <c r="A8" t="s">
        <v>15</v>
      </c>
      <c r="B8">
        <v>63</v>
      </c>
      <c r="C8" t="s">
        <v>16</v>
      </c>
    </row>
    <row r="9" spans="1:9" x14ac:dyDescent="0.3">
      <c r="A9" t="s">
        <v>17</v>
      </c>
      <c r="B9">
        <v>100</v>
      </c>
      <c r="C9" t="s">
        <v>10</v>
      </c>
    </row>
    <row r="10" spans="1:9" x14ac:dyDescent="0.3">
      <c r="A10" t="s">
        <v>18</v>
      </c>
      <c r="B10">
        <v>46</v>
      </c>
      <c r="C10" t="s">
        <v>8</v>
      </c>
    </row>
    <row r="11" spans="1:9" x14ac:dyDescent="0.3">
      <c r="A11" t="s">
        <v>19</v>
      </c>
      <c r="B11">
        <v>87</v>
      </c>
      <c r="C11" t="s">
        <v>4</v>
      </c>
    </row>
    <row r="12" spans="1:9" x14ac:dyDescent="0.3">
      <c r="A12" t="s">
        <v>20</v>
      </c>
      <c r="B12">
        <v>93</v>
      </c>
      <c r="C12" t="s">
        <v>12</v>
      </c>
    </row>
    <row r="13" spans="1:9" x14ac:dyDescent="0.3">
      <c r="A13" t="s">
        <v>21</v>
      </c>
      <c r="B13">
        <v>84</v>
      </c>
      <c r="C13" t="s">
        <v>6</v>
      </c>
    </row>
    <row r="14" spans="1:9" x14ac:dyDescent="0.3">
      <c r="A14" t="s">
        <v>22</v>
      </c>
      <c r="B14">
        <v>44</v>
      </c>
      <c r="C14" t="s">
        <v>10</v>
      </c>
    </row>
    <row r="15" spans="1:9" x14ac:dyDescent="0.3">
      <c r="A15" t="s">
        <v>23</v>
      </c>
      <c r="B15">
        <v>71</v>
      </c>
      <c r="C15" t="s">
        <v>8</v>
      </c>
    </row>
    <row r="16" spans="1:9" x14ac:dyDescent="0.3">
      <c r="A16" t="s">
        <v>24</v>
      </c>
      <c r="B16">
        <v>100</v>
      </c>
      <c r="C16" t="s">
        <v>10</v>
      </c>
    </row>
    <row r="17" spans="1:3" x14ac:dyDescent="0.3">
      <c r="A17" t="s">
        <v>25</v>
      </c>
      <c r="B17">
        <v>40</v>
      </c>
      <c r="C17" t="s">
        <v>8</v>
      </c>
    </row>
    <row r="18" spans="1:3" x14ac:dyDescent="0.3">
      <c r="A18" t="s">
        <v>26</v>
      </c>
      <c r="B18">
        <v>35</v>
      </c>
      <c r="C18" t="s">
        <v>8</v>
      </c>
    </row>
    <row r="19" spans="1:3" x14ac:dyDescent="0.3">
      <c r="A19" t="s">
        <v>27</v>
      </c>
      <c r="B19">
        <v>73</v>
      </c>
      <c r="C19" t="s">
        <v>8</v>
      </c>
    </row>
    <row r="20" spans="1:3" x14ac:dyDescent="0.3">
      <c r="A20" t="s">
        <v>28</v>
      </c>
      <c r="B20">
        <v>99</v>
      </c>
      <c r="C20" t="s">
        <v>10</v>
      </c>
    </row>
    <row r="21" spans="1:3" x14ac:dyDescent="0.3">
      <c r="A21" t="s">
        <v>29</v>
      </c>
      <c r="B21">
        <v>88</v>
      </c>
      <c r="C21" t="s">
        <v>14</v>
      </c>
    </row>
    <row r="22" spans="1:3" x14ac:dyDescent="0.3">
      <c r="A22" t="s">
        <v>30</v>
      </c>
      <c r="B22">
        <v>90</v>
      </c>
      <c r="C22" t="s">
        <v>16</v>
      </c>
    </row>
    <row r="23" spans="1:3" x14ac:dyDescent="0.3">
      <c r="A23" t="s">
        <v>31</v>
      </c>
      <c r="B23">
        <v>90</v>
      </c>
      <c r="C23" t="s">
        <v>6</v>
      </c>
    </row>
    <row r="24" spans="1:3" x14ac:dyDescent="0.3">
      <c r="A24" t="s">
        <v>32</v>
      </c>
      <c r="B24">
        <v>44</v>
      </c>
      <c r="C24" t="s">
        <v>12</v>
      </c>
    </row>
    <row r="25" spans="1:3" x14ac:dyDescent="0.3">
      <c r="A25" t="s">
        <v>33</v>
      </c>
      <c r="B25">
        <v>74</v>
      </c>
      <c r="C25" t="s">
        <v>16</v>
      </c>
    </row>
    <row r="26" spans="1:3" x14ac:dyDescent="0.3">
      <c r="A26" t="s">
        <v>34</v>
      </c>
      <c r="B26">
        <v>46</v>
      </c>
      <c r="C26" t="s">
        <v>35</v>
      </c>
    </row>
    <row r="27" spans="1:3" x14ac:dyDescent="0.3">
      <c r="A27" t="s">
        <v>36</v>
      </c>
      <c r="B27">
        <v>74</v>
      </c>
      <c r="C27" t="s">
        <v>16</v>
      </c>
    </row>
    <row r="28" spans="1:3" x14ac:dyDescent="0.3">
      <c r="A28" t="s">
        <v>37</v>
      </c>
      <c r="B28">
        <v>92</v>
      </c>
      <c r="C28" t="s">
        <v>10</v>
      </c>
    </row>
    <row r="29" spans="1:3" x14ac:dyDescent="0.3">
      <c r="A29" t="s">
        <v>38</v>
      </c>
      <c r="B29">
        <v>31</v>
      </c>
      <c r="C29" t="s">
        <v>6</v>
      </c>
    </row>
    <row r="30" spans="1:3" x14ac:dyDescent="0.3">
      <c r="A30" t="s">
        <v>39</v>
      </c>
      <c r="B30">
        <v>51</v>
      </c>
      <c r="C30" t="s">
        <v>14</v>
      </c>
    </row>
    <row r="31" spans="1:3" x14ac:dyDescent="0.3">
      <c r="A31" t="s">
        <v>40</v>
      </c>
      <c r="B31">
        <v>59</v>
      </c>
      <c r="C31" t="s">
        <v>8</v>
      </c>
    </row>
    <row r="32" spans="1:3" x14ac:dyDescent="0.3">
      <c r="A32" t="s">
        <v>41</v>
      </c>
      <c r="B32">
        <v>85</v>
      </c>
      <c r="C32" t="s">
        <v>14</v>
      </c>
    </row>
    <row r="33" spans="1:3" x14ac:dyDescent="0.3">
      <c r="A33" t="s">
        <v>42</v>
      </c>
      <c r="B33">
        <v>63</v>
      </c>
      <c r="C33" t="s">
        <v>8</v>
      </c>
    </row>
    <row r="34" spans="1:3" x14ac:dyDescent="0.3">
      <c r="A34" t="s">
        <v>43</v>
      </c>
      <c r="B34">
        <v>60</v>
      </c>
      <c r="C34" t="s">
        <v>10</v>
      </c>
    </row>
    <row r="35" spans="1:3" x14ac:dyDescent="0.3">
      <c r="A35" t="s">
        <v>44</v>
      </c>
      <c r="B35">
        <v>83</v>
      </c>
      <c r="C35" t="s">
        <v>6</v>
      </c>
    </row>
    <row r="36" spans="1:3" x14ac:dyDescent="0.3">
      <c r="A36" t="s">
        <v>45</v>
      </c>
      <c r="B36">
        <v>72</v>
      </c>
      <c r="C36" t="s">
        <v>14</v>
      </c>
    </row>
    <row r="37" spans="1:3" x14ac:dyDescent="0.3">
      <c r="A37" t="s">
        <v>46</v>
      </c>
      <c r="B37">
        <v>94</v>
      </c>
      <c r="C37" t="s">
        <v>35</v>
      </c>
    </row>
    <row r="38" spans="1:3" x14ac:dyDescent="0.3">
      <c r="A38" t="s">
        <v>47</v>
      </c>
      <c r="B38">
        <v>92</v>
      </c>
      <c r="C38" t="s">
        <v>12</v>
      </c>
    </row>
    <row r="39" spans="1:3" x14ac:dyDescent="0.3">
      <c r="A39" t="s">
        <v>48</v>
      </c>
      <c r="B39">
        <v>92</v>
      </c>
      <c r="C39" t="s">
        <v>16</v>
      </c>
    </row>
    <row r="40" spans="1:3" x14ac:dyDescent="0.3">
      <c r="A40" t="s">
        <v>49</v>
      </c>
      <c r="B40">
        <v>59</v>
      </c>
      <c r="C40" t="s">
        <v>12</v>
      </c>
    </row>
    <row r="41" spans="1:3" x14ac:dyDescent="0.3">
      <c r="A41" t="s">
        <v>50</v>
      </c>
      <c r="B41">
        <v>51</v>
      </c>
      <c r="C41" t="s">
        <v>16</v>
      </c>
    </row>
    <row r="42" spans="1:3" x14ac:dyDescent="0.3">
      <c r="A42" t="s">
        <v>51</v>
      </c>
      <c r="B42">
        <v>45</v>
      </c>
      <c r="C42" t="s">
        <v>10</v>
      </c>
    </row>
    <row r="43" spans="1:3" x14ac:dyDescent="0.3">
      <c r="A43" t="s">
        <v>52</v>
      </c>
      <c r="B43">
        <v>89</v>
      </c>
      <c r="C43" t="s">
        <v>4</v>
      </c>
    </row>
    <row r="44" spans="1:3" x14ac:dyDescent="0.3">
      <c r="A44" t="s">
        <v>53</v>
      </c>
      <c r="B44">
        <v>51</v>
      </c>
      <c r="C44" t="s">
        <v>35</v>
      </c>
    </row>
    <row r="45" spans="1:3" x14ac:dyDescent="0.3">
      <c r="A45" t="s">
        <v>54</v>
      </c>
      <c r="B45">
        <v>84</v>
      </c>
      <c r="C45" t="s">
        <v>14</v>
      </c>
    </row>
    <row r="46" spans="1:3" x14ac:dyDescent="0.3">
      <c r="A46" t="s">
        <v>55</v>
      </c>
      <c r="B46">
        <v>32</v>
      </c>
      <c r="C46" t="s">
        <v>6</v>
      </c>
    </row>
    <row r="47" spans="1:3" x14ac:dyDescent="0.3">
      <c r="A47" t="s">
        <v>56</v>
      </c>
      <c r="B47">
        <v>73</v>
      </c>
      <c r="C47" t="s">
        <v>35</v>
      </c>
    </row>
    <row r="48" spans="1:3" x14ac:dyDescent="0.3">
      <c r="A48" t="s">
        <v>57</v>
      </c>
      <c r="B48">
        <v>44</v>
      </c>
      <c r="C48" t="s">
        <v>14</v>
      </c>
    </row>
    <row r="49" spans="1:3" x14ac:dyDescent="0.3">
      <c r="A49" t="s">
        <v>58</v>
      </c>
      <c r="B49">
        <v>81</v>
      </c>
      <c r="C49" t="s">
        <v>35</v>
      </c>
    </row>
    <row r="50" spans="1:3" x14ac:dyDescent="0.3">
      <c r="A50" t="s">
        <v>59</v>
      </c>
      <c r="B50">
        <v>76</v>
      </c>
      <c r="C50" t="s">
        <v>12</v>
      </c>
    </row>
    <row r="51" spans="1:3" x14ac:dyDescent="0.3">
      <c r="A51" t="s">
        <v>60</v>
      </c>
      <c r="B51">
        <v>89</v>
      </c>
      <c r="C51" t="s">
        <v>16</v>
      </c>
    </row>
    <row r="52" spans="1:3" x14ac:dyDescent="0.3">
      <c r="A52" t="s">
        <v>61</v>
      </c>
      <c r="B52">
        <v>83</v>
      </c>
      <c r="C52" t="s">
        <v>14</v>
      </c>
    </row>
    <row r="53" spans="1:3" x14ac:dyDescent="0.3">
      <c r="A53" t="s">
        <v>62</v>
      </c>
      <c r="B53">
        <v>24</v>
      </c>
      <c r="C53" t="s">
        <v>4</v>
      </c>
    </row>
    <row r="54" spans="1:3" x14ac:dyDescent="0.3">
      <c r="A54" t="s">
        <v>63</v>
      </c>
      <c r="B54">
        <v>99</v>
      </c>
      <c r="C54" t="s">
        <v>16</v>
      </c>
    </row>
    <row r="55" spans="1:3" x14ac:dyDescent="0.3">
      <c r="A55" t="s">
        <v>64</v>
      </c>
      <c r="B55">
        <v>98</v>
      </c>
      <c r="C55" t="s">
        <v>6</v>
      </c>
    </row>
    <row r="56" spans="1:3" x14ac:dyDescent="0.3">
      <c r="A56" t="s">
        <v>65</v>
      </c>
      <c r="B56">
        <v>92</v>
      </c>
      <c r="C56" t="s">
        <v>8</v>
      </c>
    </row>
    <row r="57" spans="1:3" x14ac:dyDescent="0.3">
      <c r="A57" t="s">
        <v>66</v>
      </c>
      <c r="B57">
        <v>41</v>
      </c>
      <c r="C57" t="s">
        <v>8</v>
      </c>
    </row>
    <row r="58" spans="1:3" x14ac:dyDescent="0.3">
      <c r="A58" t="s">
        <v>67</v>
      </c>
      <c r="B58">
        <v>77</v>
      </c>
      <c r="C58" t="s">
        <v>4</v>
      </c>
    </row>
    <row r="59" spans="1:3" x14ac:dyDescent="0.3">
      <c r="A59" t="s">
        <v>68</v>
      </c>
      <c r="B59">
        <v>84</v>
      </c>
      <c r="C59" t="s">
        <v>6</v>
      </c>
    </row>
    <row r="60" spans="1:3" x14ac:dyDescent="0.3">
      <c r="A60" t="s">
        <v>69</v>
      </c>
      <c r="B60">
        <v>98</v>
      </c>
      <c r="C60" t="s">
        <v>6</v>
      </c>
    </row>
    <row r="61" spans="1:3" x14ac:dyDescent="0.3">
      <c r="A61" t="s">
        <v>70</v>
      </c>
      <c r="B61">
        <v>67</v>
      </c>
      <c r="C61" t="s">
        <v>6</v>
      </c>
    </row>
    <row r="62" spans="1:3" x14ac:dyDescent="0.3">
      <c r="A62" t="s">
        <v>71</v>
      </c>
      <c r="B62">
        <v>78</v>
      </c>
      <c r="C62" t="s">
        <v>6</v>
      </c>
    </row>
    <row r="63" spans="1:3" x14ac:dyDescent="0.3">
      <c r="A63" t="s">
        <v>72</v>
      </c>
      <c r="B63">
        <v>59</v>
      </c>
      <c r="C63" t="s">
        <v>10</v>
      </c>
    </row>
    <row r="64" spans="1:3" x14ac:dyDescent="0.3">
      <c r="A64" t="s">
        <v>73</v>
      </c>
      <c r="B64">
        <v>95</v>
      </c>
      <c r="C64" t="s">
        <v>16</v>
      </c>
    </row>
    <row r="65" spans="1:3" x14ac:dyDescent="0.3">
      <c r="A65" t="s">
        <v>74</v>
      </c>
      <c r="B65">
        <v>34</v>
      </c>
      <c r="C65" t="s">
        <v>14</v>
      </c>
    </row>
    <row r="66" spans="1:3" x14ac:dyDescent="0.3">
      <c r="A66" t="s">
        <v>75</v>
      </c>
      <c r="B66">
        <v>54</v>
      </c>
      <c r="C66" t="s">
        <v>12</v>
      </c>
    </row>
    <row r="67" spans="1:3" x14ac:dyDescent="0.3">
      <c r="A67" t="s">
        <v>76</v>
      </c>
      <c r="B67">
        <v>64</v>
      </c>
      <c r="C67" t="s">
        <v>10</v>
      </c>
    </row>
    <row r="68" spans="1:3" x14ac:dyDescent="0.3">
      <c r="A68" t="s">
        <v>77</v>
      </c>
      <c r="B68">
        <v>44</v>
      </c>
      <c r="C68" t="s">
        <v>4</v>
      </c>
    </row>
    <row r="69" spans="1:3" x14ac:dyDescent="0.3">
      <c r="A69" t="s">
        <v>78</v>
      </c>
      <c r="B69">
        <v>45</v>
      </c>
      <c r="C69" t="s">
        <v>4</v>
      </c>
    </row>
    <row r="70" spans="1:3" x14ac:dyDescent="0.3">
      <c r="A70" t="s">
        <v>79</v>
      </c>
      <c r="B70">
        <v>22</v>
      </c>
      <c r="C70" t="s">
        <v>8</v>
      </c>
    </row>
    <row r="71" spans="1:3" x14ac:dyDescent="0.3">
      <c r="A71" t="s">
        <v>80</v>
      </c>
      <c r="B71">
        <v>61</v>
      </c>
      <c r="C71" t="s">
        <v>14</v>
      </c>
    </row>
    <row r="72" spans="1:3" x14ac:dyDescent="0.3">
      <c r="A72" t="s">
        <v>81</v>
      </c>
      <c r="B72">
        <v>23</v>
      </c>
      <c r="C72" t="s">
        <v>14</v>
      </c>
    </row>
    <row r="73" spans="1:3" x14ac:dyDescent="0.3">
      <c r="A73" t="s">
        <v>82</v>
      </c>
      <c r="B73">
        <v>26</v>
      </c>
      <c r="C73" t="s">
        <v>4</v>
      </c>
    </row>
    <row r="74" spans="1:3" x14ac:dyDescent="0.3">
      <c r="A74" t="s">
        <v>83</v>
      </c>
      <c r="B74">
        <v>65</v>
      </c>
      <c r="C74" t="s">
        <v>35</v>
      </c>
    </row>
    <row r="75" spans="1:3" x14ac:dyDescent="0.3">
      <c r="A75" t="s">
        <v>84</v>
      </c>
      <c r="B75">
        <v>64</v>
      </c>
      <c r="C75" t="s">
        <v>16</v>
      </c>
    </row>
    <row r="76" spans="1:3" x14ac:dyDescent="0.3">
      <c r="A76" t="s">
        <v>85</v>
      </c>
      <c r="B76">
        <v>80</v>
      </c>
      <c r="C76" t="s">
        <v>12</v>
      </c>
    </row>
    <row r="77" spans="1:3" x14ac:dyDescent="0.3">
      <c r="A77" t="s">
        <v>86</v>
      </c>
      <c r="B77">
        <v>49</v>
      </c>
      <c r="C77" t="s">
        <v>35</v>
      </c>
    </row>
    <row r="78" spans="1:3" x14ac:dyDescent="0.3">
      <c r="A78" t="s">
        <v>87</v>
      </c>
      <c r="B78">
        <v>24</v>
      </c>
      <c r="C78" t="s">
        <v>35</v>
      </c>
    </row>
    <row r="79" spans="1:3" x14ac:dyDescent="0.3">
      <c r="A79" t="s">
        <v>88</v>
      </c>
      <c r="B79">
        <v>78</v>
      </c>
      <c r="C79" t="s">
        <v>4</v>
      </c>
    </row>
    <row r="80" spans="1:3" x14ac:dyDescent="0.3">
      <c r="A80" t="s">
        <v>89</v>
      </c>
      <c r="B80">
        <v>26</v>
      </c>
      <c r="C80" t="s">
        <v>16</v>
      </c>
    </row>
    <row r="81" spans="1:3" x14ac:dyDescent="0.3">
      <c r="A81" t="s">
        <v>90</v>
      </c>
      <c r="B81">
        <v>87</v>
      </c>
      <c r="C81" t="s">
        <v>4</v>
      </c>
    </row>
    <row r="82" spans="1:3" x14ac:dyDescent="0.3">
      <c r="A82" t="s">
        <v>91</v>
      </c>
      <c r="B82">
        <v>34</v>
      </c>
      <c r="C82" t="s">
        <v>10</v>
      </c>
    </row>
    <row r="83" spans="1:3" x14ac:dyDescent="0.3">
      <c r="A83" t="s">
        <v>92</v>
      </c>
      <c r="B83">
        <v>72</v>
      </c>
      <c r="C83" t="s">
        <v>14</v>
      </c>
    </row>
    <row r="84" spans="1:3" x14ac:dyDescent="0.3">
      <c r="A84" t="s">
        <v>93</v>
      </c>
      <c r="B84">
        <v>61</v>
      </c>
      <c r="C84" t="s">
        <v>10</v>
      </c>
    </row>
    <row r="85" spans="1:3" x14ac:dyDescent="0.3">
      <c r="A85" t="s">
        <v>94</v>
      </c>
      <c r="B85">
        <v>89</v>
      </c>
      <c r="C85" t="s">
        <v>10</v>
      </c>
    </row>
    <row r="86" spans="1:3" x14ac:dyDescent="0.3">
      <c r="A86" t="s">
        <v>95</v>
      </c>
      <c r="B86">
        <v>23</v>
      </c>
      <c r="C86" t="s">
        <v>10</v>
      </c>
    </row>
    <row r="87" spans="1:3" x14ac:dyDescent="0.3">
      <c r="A87" t="s">
        <v>96</v>
      </c>
      <c r="B87">
        <v>9</v>
      </c>
      <c r="C87" t="s">
        <v>6</v>
      </c>
    </row>
    <row r="88" spans="1:3" x14ac:dyDescent="0.3">
      <c r="A88" t="s">
        <v>97</v>
      </c>
      <c r="B88">
        <v>5</v>
      </c>
      <c r="C88" t="s">
        <v>6</v>
      </c>
    </row>
    <row r="89" spans="1:3" x14ac:dyDescent="0.3">
      <c r="A89" t="s">
        <v>98</v>
      </c>
      <c r="B89">
        <v>91</v>
      </c>
      <c r="C89" t="s">
        <v>14</v>
      </c>
    </row>
    <row r="90" spans="1:3" x14ac:dyDescent="0.3">
      <c r="A90" t="s">
        <v>99</v>
      </c>
      <c r="B90">
        <v>76</v>
      </c>
      <c r="C90" t="s">
        <v>12</v>
      </c>
    </row>
    <row r="91" spans="1:3" x14ac:dyDescent="0.3">
      <c r="A91" t="s">
        <v>100</v>
      </c>
      <c r="B91">
        <v>57</v>
      </c>
      <c r="C91" t="s">
        <v>4</v>
      </c>
    </row>
    <row r="92" spans="1:3" x14ac:dyDescent="0.3">
      <c r="A92" t="s">
        <v>101</v>
      </c>
      <c r="B92">
        <v>44</v>
      </c>
      <c r="C92" t="s">
        <v>14</v>
      </c>
    </row>
    <row r="93" spans="1:3" x14ac:dyDescent="0.3">
      <c r="A93" t="s">
        <v>102</v>
      </c>
      <c r="B93">
        <v>77</v>
      </c>
      <c r="C93" t="s">
        <v>8</v>
      </c>
    </row>
    <row r="94" spans="1:3" x14ac:dyDescent="0.3">
      <c r="A94" t="s">
        <v>103</v>
      </c>
      <c r="B94">
        <v>29</v>
      </c>
      <c r="C94" t="s">
        <v>12</v>
      </c>
    </row>
    <row r="95" spans="1:3" x14ac:dyDescent="0.3">
      <c r="A95" t="s">
        <v>104</v>
      </c>
      <c r="B95">
        <v>10</v>
      </c>
      <c r="C95" t="s">
        <v>12</v>
      </c>
    </row>
    <row r="96" spans="1:3" x14ac:dyDescent="0.3">
      <c r="A96" t="s">
        <v>105</v>
      </c>
      <c r="B96">
        <v>85</v>
      </c>
      <c r="C96" t="s">
        <v>4</v>
      </c>
    </row>
    <row r="97" spans="1:3" x14ac:dyDescent="0.3">
      <c r="A97" t="s">
        <v>106</v>
      </c>
      <c r="B97">
        <v>14</v>
      </c>
      <c r="C97" t="s">
        <v>14</v>
      </c>
    </row>
    <row r="98" spans="1:3" x14ac:dyDescent="0.3">
      <c r="A98" t="s">
        <v>107</v>
      </c>
      <c r="B98">
        <v>87</v>
      </c>
      <c r="C98" t="s">
        <v>6</v>
      </c>
    </row>
    <row r="99" spans="1:3" x14ac:dyDescent="0.3">
      <c r="A99" t="s">
        <v>108</v>
      </c>
      <c r="B99">
        <v>86</v>
      </c>
      <c r="C99" t="s">
        <v>4</v>
      </c>
    </row>
    <row r="100" spans="1:3" x14ac:dyDescent="0.3">
      <c r="A100" t="s">
        <v>109</v>
      </c>
      <c r="B100">
        <v>77</v>
      </c>
      <c r="C100" t="s">
        <v>10</v>
      </c>
    </row>
    <row r="101" spans="1:3" x14ac:dyDescent="0.3">
      <c r="A101" t="s">
        <v>110</v>
      </c>
      <c r="B101">
        <v>31</v>
      </c>
      <c r="C101" t="s">
        <v>4</v>
      </c>
    </row>
    <row r="102" spans="1:3" x14ac:dyDescent="0.3">
      <c r="A102" t="s">
        <v>111</v>
      </c>
      <c r="B102">
        <v>28</v>
      </c>
      <c r="C102" t="s">
        <v>4</v>
      </c>
    </row>
    <row r="103" spans="1:3" x14ac:dyDescent="0.3">
      <c r="A103" t="s">
        <v>112</v>
      </c>
      <c r="B103">
        <v>42</v>
      </c>
      <c r="C103" t="s">
        <v>4</v>
      </c>
    </row>
    <row r="104" spans="1:3" x14ac:dyDescent="0.3">
      <c r="A104" t="s">
        <v>113</v>
      </c>
      <c r="B104">
        <v>22</v>
      </c>
      <c r="C104" t="s">
        <v>4</v>
      </c>
    </row>
    <row r="105" spans="1:3" x14ac:dyDescent="0.3">
      <c r="A105" t="s">
        <v>114</v>
      </c>
      <c r="B105">
        <v>93</v>
      </c>
      <c r="C105" t="s">
        <v>4</v>
      </c>
    </row>
    <row r="106" spans="1:3" x14ac:dyDescent="0.3">
      <c r="A106" t="s">
        <v>115</v>
      </c>
      <c r="B106">
        <v>24</v>
      </c>
      <c r="C106" t="s">
        <v>6</v>
      </c>
    </row>
    <row r="107" spans="1:3" x14ac:dyDescent="0.3">
      <c r="A107" t="s">
        <v>116</v>
      </c>
      <c r="B107">
        <v>94</v>
      </c>
      <c r="C107" t="s">
        <v>4</v>
      </c>
    </row>
    <row r="108" spans="1:3" x14ac:dyDescent="0.3">
      <c r="A108" t="s">
        <v>117</v>
      </c>
      <c r="B108">
        <v>38</v>
      </c>
      <c r="C108" t="s">
        <v>4</v>
      </c>
    </row>
    <row r="109" spans="1:3" x14ac:dyDescent="0.3">
      <c r="A109" t="s">
        <v>118</v>
      </c>
      <c r="B109">
        <v>43</v>
      </c>
      <c r="C109" t="s">
        <v>4</v>
      </c>
    </row>
    <row r="110" spans="1:3" x14ac:dyDescent="0.3">
      <c r="A110" t="s">
        <v>119</v>
      </c>
      <c r="B110">
        <v>25</v>
      </c>
      <c r="C110" t="s">
        <v>14</v>
      </c>
    </row>
    <row r="111" spans="1:3" x14ac:dyDescent="0.3">
      <c r="A111" t="s">
        <v>120</v>
      </c>
      <c r="B111">
        <v>60</v>
      </c>
      <c r="C111" t="s">
        <v>35</v>
      </c>
    </row>
    <row r="112" spans="1:3" x14ac:dyDescent="0.3">
      <c r="A112" t="s">
        <v>121</v>
      </c>
      <c r="B112">
        <v>75</v>
      </c>
      <c r="C112" t="s">
        <v>16</v>
      </c>
    </row>
    <row r="113" spans="1:3" x14ac:dyDescent="0.3">
      <c r="A113" t="s">
        <v>122</v>
      </c>
      <c r="B113">
        <v>3</v>
      </c>
      <c r="C113" t="s">
        <v>4</v>
      </c>
    </row>
    <row r="114" spans="1:3" x14ac:dyDescent="0.3">
      <c r="A114" t="s">
        <v>123</v>
      </c>
      <c r="B114">
        <v>74</v>
      </c>
      <c r="C114" t="s">
        <v>6</v>
      </c>
    </row>
    <row r="115" spans="1:3" x14ac:dyDescent="0.3">
      <c r="A115" t="s">
        <v>124</v>
      </c>
      <c r="B115">
        <v>40</v>
      </c>
      <c r="C115" t="s">
        <v>12</v>
      </c>
    </row>
    <row r="116" spans="1:3" x14ac:dyDescent="0.3">
      <c r="A116" t="s">
        <v>125</v>
      </c>
      <c r="B116">
        <v>2</v>
      </c>
      <c r="C116" t="s">
        <v>4</v>
      </c>
    </row>
    <row r="117" spans="1:3" x14ac:dyDescent="0.3">
      <c r="A117" t="s">
        <v>126</v>
      </c>
      <c r="B117">
        <v>58</v>
      </c>
      <c r="C117" t="s">
        <v>10</v>
      </c>
    </row>
    <row r="118" spans="1:3" x14ac:dyDescent="0.3">
      <c r="A118" t="s">
        <v>127</v>
      </c>
      <c r="B118">
        <v>6</v>
      </c>
      <c r="C118" t="s">
        <v>4</v>
      </c>
    </row>
    <row r="119" spans="1:3" x14ac:dyDescent="0.3">
      <c r="A119" t="s">
        <v>128</v>
      </c>
      <c r="B119">
        <v>32</v>
      </c>
      <c r="C119" t="s">
        <v>6</v>
      </c>
    </row>
    <row r="120" spans="1:3" x14ac:dyDescent="0.3">
      <c r="A120" t="s">
        <v>129</v>
      </c>
      <c r="B120">
        <v>70</v>
      </c>
      <c r="C120" t="s">
        <v>12</v>
      </c>
    </row>
    <row r="121" spans="1:3" x14ac:dyDescent="0.3">
      <c r="A121" t="s">
        <v>130</v>
      </c>
      <c r="B121">
        <v>14</v>
      </c>
      <c r="C121" t="s">
        <v>10</v>
      </c>
    </row>
    <row r="122" spans="1:3" x14ac:dyDescent="0.3">
      <c r="A122" t="s">
        <v>131</v>
      </c>
      <c r="B122">
        <v>23</v>
      </c>
      <c r="C122" t="s">
        <v>14</v>
      </c>
    </row>
    <row r="123" spans="1:3" x14ac:dyDescent="0.3">
      <c r="A123" t="s">
        <v>132</v>
      </c>
      <c r="B123">
        <v>100</v>
      </c>
      <c r="C123" t="s">
        <v>4</v>
      </c>
    </row>
    <row r="124" spans="1:3" x14ac:dyDescent="0.3">
      <c r="A124" t="s">
        <v>133</v>
      </c>
      <c r="B124">
        <v>80</v>
      </c>
      <c r="C124" t="s">
        <v>35</v>
      </c>
    </row>
    <row r="125" spans="1:3" x14ac:dyDescent="0.3">
      <c r="A125" t="s">
        <v>134</v>
      </c>
      <c r="B125">
        <v>22</v>
      </c>
      <c r="C125" t="s">
        <v>16</v>
      </c>
    </row>
    <row r="126" spans="1:3" x14ac:dyDescent="0.3">
      <c r="A126" t="s">
        <v>135</v>
      </c>
      <c r="B126">
        <v>92</v>
      </c>
      <c r="C126" t="s">
        <v>8</v>
      </c>
    </row>
    <row r="127" spans="1:3" x14ac:dyDescent="0.3">
      <c r="A127" t="s">
        <v>136</v>
      </c>
      <c r="B127">
        <v>69</v>
      </c>
      <c r="C127" t="s">
        <v>8</v>
      </c>
    </row>
    <row r="128" spans="1:3" x14ac:dyDescent="0.3">
      <c r="A128" t="s">
        <v>137</v>
      </c>
      <c r="B128">
        <v>76</v>
      </c>
      <c r="C128" t="s">
        <v>6</v>
      </c>
    </row>
    <row r="129" spans="1:3" x14ac:dyDescent="0.3">
      <c r="A129" t="s">
        <v>138</v>
      </c>
      <c r="B129">
        <v>57</v>
      </c>
      <c r="C129" t="s">
        <v>35</v>
      </c>
    </row>
    <row r="130" spans="1:3" x14ac:dyDescent="0.3">
      <c r="A130" t="s">
        <v>139</v>
      </c>
      <c r="B130">
        <v>48</v>
      </c>
      <c r="C130" t="s">
        <v>14</v>
      </c>
    </row>
    <row r="131" spans="1:3" x14ac:dyDescent="0.3">
      <c r="A131" t="s">
        <v>140</v>
      </c>
      <c r="B131">
        <v>22</v>
      </c>
      <c r="C131" t="s">
        <v>14</v>
      </c>
    </row>
    <row r="132" spans="1:3" x14ac:dyDescent="0.3">
      <c r="A132" t="s">
        <v>141</v>
      </c>
      <c r="B132">
        <v>72</v>
      </c>
      <c r="C132" t="s">
        <v>6</v>
      </c>
    </row>
    <row r="133" spans="1:3" x14ac:dyDescent="0.3">
      <c r="A133" t="s">
        <v>142</v>
      </c>
      <c r="B133">
        <v>25</v>
      </c>
      <c r="C133" t="s">
        <v>12</v>
      </c>
    </row>
    <row r="134" spans="1:3" x14ac:dyDescent="0.3">
      <c r="A134" t="s">
        <v>143</v>
      </c>
      <c r="B134">
        <v>65</v>
      </c>
      <c r="C134" t="s">
        <v>14</v>
      </c>
    </row>
    <row r="135" spans="1:3" x14ac:dyDescent="0.3">
      <c r="A135" t="s">
        <v>144</v>
      </c>
      <c r="B135">
        <v>14</v>
      </c>
      <c r="C135" t="s">
        <v>12</v>
      </c>
    </row>
    <row r="136" spans="1:3" x14ac:dyDescent="0.3">
      <c r="A136" t="s">
        <v>145</v>
      </c>
      <c r="B136">
        <v>16</v>
      </c>
      <c r="C136" t="s">
        <v>8</v>
      </c>
    </row>
    <row r="137" spans="1:3" x14ac:dyDescent="0.3">
      <c r="A137" t="s">
        <v>146</v>
      </c>
      <c r="B137">
        <v>77</v>
      </c>
      <c r="C137" t="s">
        <v>8</v>
      </c>
    </row>
    <row r="138" spans="1:3" x14ac:dyDescent="0.3">
      <c r="A138" t="s">
        <v>147</v>
      </c>
      <c r="B138">
        <v>49</v>
      </c>
      <c r="C138" t="s">
        <v>14</v>
      </c>
    </row>
    <row r="139" spans="1:3" x14ac:dyDescent="0.3">
      <c r="A139" t="s">
        <v>148</v>
      </c>
      <c r="B139">
        <v>39</v>
      </c>
      <c r="C139" t="s">
        <v>12</v>
      </c>
    </row>
    <row r="140" spans="1:3" x14ac:dyDescent="0.3">
      <c r="A140" t="s">
        <v>149</v>
      </c>
      <c r="B140">
        <v>29</v>
      </c>
      <c r="C140" t="s">
        <v>10</v>
      </c>
    </row>
    <row r="141" spans="1:3" x14ac:dyDescent="0.3">
      <c r="A141" t="s">
        <v>150</v>
      </c>
      <c r="B141">
        <v>38</v>
      </c>
      <c r="C141" t="s">
        <v>10</v>
      </c>
    </row>
    <row r="142" spans="1:3" x14ac:dyDescent="0.3">
      <c r="A142" t="s">
        <v>151</v>
      </c>
      <c r="B142">
        <v>61</v>
      </c>
      <c r="C142" t="s">
        <v>10</v>
      </c>
    </row>
    <row r="143" spans="1:3" x14ac:dyDescent="0.3">
      <c r="A143" t="s">
        <v>152</v>
      </c>
      <c r="B143">
        <v>72</v>
      </c>
      <c r="C143" t="s">
        <v>14</v>
      </c>
    </row>
    <row r="144" spans="1:3" x14ac:dyDescent="0.3">
      <c r="A144" t="s">
        <v>153</v>
      </c>
      <c r="B144">
        <v>8</v>
      </c>
      <c r="C144" t="s">
        <v>16</v>
      </c>
    </row>
    <row r="145" spans="1:3" x14ac:dyDescent="0.3">
      <c r="A145" t="s">
        <v>154</v>
      </c>
      <c r="B145">
        <v>88</v>
      </c>
      <c r="C145" t="s">
        <v>6</v>
      </c>
    </row>
    <row r="146" spans="1:3" x14ac:dyDescent="0.3">
      <c r="A146" t="s">
        <v>155</v>
      </c>
      <c r="B146">
        <v>6</v>
      </c>
      <c r="C146" t="s">
        <v>16</v>
      </c>
    </row>
    <row r="147" spans="1:3" x14ac:dyDescent="0.3">
      <c r="A147" t="s">
        <v>156</v>
      </c>
      <c r="B147">
        <v>5</v>
      </c>
      <c r="C147" t="s">
        <v>16</v>
      </c>
    </row>
    <row r="148" spans="1:3" x14ac:dyDescent="0.3">
      <c r="A148" t="s">
        <v>157</v>
      </c>
      <c r="B148">
        <v>24</v>
      </c>
      <c r="C148" t="s">
        <v>16</v>
      </c>
    </row>
    <row r="149" spans="1:3" x14ac:dyDescent="0.3">
      <c r="A149" t="s">
        <v>158</v>
      </c>
      <c r="B149">
        <v>84</v>
      </c>
      <c r="C149" t="s">
        <v>16</v>
      </c>
    </row>
    <row r="150" spans="1:3" x14ac:dyDescent="0.3">
      <c r="A150" t="s">
        <v>159</v>
      </c>
      <c r="B150">
        <v>25</v>
      </c>
      <c r="C150" t="s">
        <v>14</v>
      </c>
    </row>
    <row r="151" spans="1:3" x14ac:dyDescent="0.3">
      <c r="A151" t="s">
        <v>160</v>
      </c>
      <c r="B151">
        <v>26</v>
      </c>
      <c r="C151" t="s">
        <v>14</v>
      </c>
    </row>
    <row r="152" spans="1:3" x14ac:dyDescent="0.3">
      <c r="A152" t="s">
        <v>161</v>
      </c>
      <c r="B152">
        <v>7</v>
      </c>
      <c r="C152" t="s">
        <v>8</v>
      </c>
    </row>
    <row r="153" spans="1:3" x14ac:dyDescent="0.3">
      <c r="A153" t="s">
        <v>162</v>
      </c>
      <c r="B153">
        <v>34</v>
      </c>
      <c r="C153" t="s">
        <v>8</v>
      </c>
    </row>
    <row r="154" spans="1:3" x14ac:dyDescent="0.3">
      <c r="A154" t="s">
        <v>163</v>
      </c>
      <c r="B154">
        <v>77</v>
      </c>
      <c r="C154" t="s">
        <v>8</v>
      </c>
    </row>
    <row r="155" spans="1:3" x14ac:dyDescent="0.3">
      <c r="A155" t="s">
        <v>164</v>
      </c>
      <c r="B155">
        <v>46</v>
      </c>
      <c r="C155" t="s">
        <v>6</v>
      </c>
    </row>
    <row r="156" spans="1:3" x14ac:dyDescent="0.3">
      <c r="A156" t="s">
        <v>165</v>
      </c>
      <c r="B156">
        <v>27</v>
      </c>
      <c r="C156" t="s">
        <v>10</v>
      </c>
    </row>
    <row r="157" spans="1:3" x14ac:dyDescent="0.3">
      <c r="A157" t="s">
        <v>166</v>
      </c>
      <c r="B157">
        <v>49</v>
      </c>
      <c r="C157" t="s">
        <v>10</v>
      </c>
    </row>
    <row r="158" spans="1:3" x14ac:dyDescent="0.3">
      <c r="A158" t="s">
        <v>167</v>
      </c>
      <c r="B158">
        <v>78</v>
      </c>
      <c r="C158" t="s">
        <v>16</v>
      </c>
    </row>
    <row r="159" spans="1:3" x14ac:dyDescent="0.3">
      <c r="A159" t="s">
        <v>168</v>
      </c>
      <c r="B159">
        <v>57</v>
      </c>
      <c r="C159" t="s">
        <v>6</v>
      </c>
    </row>
    <row r="160" spans="1:3" x14ac:dyDescent="0.3">
      <c r="A160" t="s">
        <v>169</v>
      </c>
      <c r="B160">
        <v>35</v>
      </c>
      <c r="C160" t="s">
        <v>35</v>
      </c>
    </row>
    <row r="161" spans="1:3" x14ac:dyDescent="0.3">
      <c r="A161" t="s">
        <v>170</v>
      </c>
      <c r="B161">
        <v>26</v>
      </c>
      <c r="C161" t="s">
        <v>6</v>
      </c>
    </row>
    <row r="162" spans="1:3" x14ac:dyDescent="0.3">
      <c r="A162" t="s">
        <v>171</v>
      </c>
      <c r="B162">
        <v>33</v>
      </c>
      <c r="C162" t="s">
        <v>6</v>
      </c>
    </row>
    <row r="163" spans="1:3" x14ac:dyDescent="0.3">
      <c r="A163" t="s">
        <v>172</v>
      </c>
      <c r="B163">
        <v>2</v>
      </c>
      <c r="C163" t="s">
        <v>35</v>
      </c>
    </row>
    <row r="164" spans="1:3" x14ac:dyDescent="0.3">
      <c r="A164" t="s">
        <v>173</v>
      </c>
      <c r="B164">
        <v>94</v>
      </c>
      <c r="C164" t="s">
        <v>35</v>
      </c>
    </row>
    <row r="165" spans="1:3" x14ac:dyDescent="0.3">
      <c r="A165" t="s">
        <v>174</v>
      </c>
      <c r="B165">
        <v>77</v>
      </c>
      <c r="C165" t="s">
        <v>16</v>
      </c>
    </row>
    <row r="166" spans="1:3" x14ac:dyDescent="0.3">
      <c r="A166" t="s">
        <v>175</v>
      </c>
      <c r="B166">
        <v>19</v>
      </c>
      <c r="C166" t="s">
        <v>12</v>
      </c>
    </row>
    <row r="167" spans="1:3" x14ac:dyDescent="0.3">
      <c r="A167" t="s">
        <v>176</v>
      </c>
      <c r="B167">
        <v>13</v>
      </c>
      <c r="C167" t="s">
        <v>8</v>
      </c>
    </row>
    <row r="168" spans="1:3" x14ac:dyDescent="0.3">
      <c r="A168" t="s">
        <v>177</v>
      </c>
      <c r="B168">
        <v>42</v>
      </c>
      <c r="C168" t="s">
        <v>8</v>
      </c>
    </row>
    <row r="169" spans="1:3" x14ac:dyDescent="0.3">
      <c r="A169" t="s">
        <v>178</v>
      </c>
      <c r="B169">
        <v>77</v>
      </c>
      <c r="C169" t="s">
        <v>16</v>
      </c>
    </row>
    <row r="170" spans="1:3" x14ac:dyDescent="0.3">
      <c r="A170" t="s">
        <v>179</v>
      </c>
      <c r="B170">
        <v>68</v>
      </c>
      <c r="C170" t="s">
        <v>12</v>
      </c>
    </row>
    <row r="171" spans="1:3" x14ac:dyDescent="0.3">
      <c r="A171" t="s">
        <v>180</v>
      </c>
      <c r="B171">
        <v>30</v>
      </c>
      <c r="C171" t="s">
        <v>12</v>
      </c>
    </row>
    <row r="172" spans="1:3" x14ac:dyDescent="0.3">
      <c r="A172" t="s">
        <v>181</v>
      </c>
      <c r="B172">
        <v>4</v>
      </c>
      <c r="C172" t="s">
        <v>35</v>
      </c>
    </row>
    <row r="173" spans="1:3" x14ac:dyDescent="0.3">
      <c r="A173" t="s">
        <v>182</v>
      </c>
      <c r="B173">
        <v>17</v>
      </c>
      <c r="C173" t="s">
        <v>14</v>
      </c>
    </row>
    <row r="174" spans="1:3" x14ac:dyDescent="0.3">
      <c r="A174" t="s">
        <v>183</v>
      </c>
      <c r="B174">
        <v>99</v>
      </c>
      <c r="C174" t="s">
        <v>16</v>
      </c>
    </row>
    <row r="175" spans="1:3" x14ac:dyDescent="0.3">
      <c r="A175" t="s">
        <v>184</v>
      </c>
      <c r="B175">
        <v>67</v>
      </c>
      <c r="C175" t="s">
        <v>10</v>
      </c>
    </row>
    <row r="176" spans="1:3" x14ac:dyDescent="0.3">
      <c r="A176" t="s">
        <v>185</v>
      </c>
      <c r="B176">
        <v>56</v>
      </c>
      <c r="C176" t="s">
        <v>14</v>
      </c>
    </row>
    <row r="177" spans="1:3" x14ac:dyDescent="0.3">
      <c r="A177" t="s">
        <v>186</v>
      </c>
      <c r="B177">
        <v>55</v>
      </c>
      <c r="C177" t="s">
        <v>12</v>
      </c>
    </row>
    <row r="178" spans="1:3" x14ac:dyDescent="0.3">
      <c r="A178" t="s">
        <v>187</v>
      </c>
      <c r="B178">
        <v>57</v>
      </c>
      <c r="C178" t="s">
        <v>10</v>
      </c>
    </row>
    <row r="179" spans="1:3" x14ac:dyDescent="0.3">
      <c r="A179" t="s">
        <v>188</v>
      </c>
      <c r="B179">
        <v>70</v>
      </c>
      <c r="C179" t="s">
        <v>8</v>
      </c>
    </row>
    <row r="180" spans="1:3" x14ac:dyDescent="0.3">
      <c r="A180" t="s">
        <v>189</v>
      </c>
      <c r="B180">
        <v>30</v>
      </c>
      <c r="C180" t="s">
        <v>8</v>
      </c>
    </row>
    <row r="181" spans="1:3" x14ac:dyDescent="0.3">
      <c r="A181" t="s">
        <v>190</v>
      </c>
      <c r="B181">
        <v>49</v>
      </c>
      <c r="C181" t="s">
        <v>8</v>
      </c>
    </row>
    <row r="182" spans="1:3" x14ac:dyDescent="0.3">
      <c r="A182" t="s">
        <v>191</v>
      </c>
      <c r="B182">
        <v>44</v>
      </c>
      <c r="C182" t="s">
        <v>14</v>
      </c>
    </row>
    <row r="183" spans="1:3" x14ac:dyDescent="0.3">
      <c r="A183" t="s">
        <v>192</v>
      </c>
      <c r="B183">
        <v>19</v>
      </c>
      <c r="C183" t="s">
        <v>14</v>
      </c>
    </row>
    <row r="184" spans="1:3" x14ac:dyDescent="0.3">
      <c r="A184" t="s">
        <v>193</v>
      </c>
      <c r="B184">
        <v>91</v>
      </c>
      <c r="C184" t="s">
        <v>6</v>
      </c>
    </row>
    <row r="185" spans="1:3" x14ac:dyDescent="0.3">
      <c r="A185" t="s">
        <v>194</v>
      </c>
      <c r="B185">
        <v>13</v>
      </c>
      <c r="C185" t="s">
        <v>6</v>
      </c>
    </row>
    <row r="186" spans="1:3" x14ac:dyDescent="0.3">
      <c r="A186" t="s">
        <v>195</v>
      </c>
      <c r="B186">
        <v>18</v>
      </c>
      <c r="C186" t="s">
        <v>6</v>
      </c>
    </row>
    <row r="187" spans="1:3" x14ac:dyDescent="0.3">
      <c r="A187" t="s">
        <v>196</v>
      </c>
      <c r="B187">
        <v>6</v>
      </c>
      <c r="C187" t="s">
        <v>10</v>
      </c>
    </row>
    <row r="188" spans="1:3" x14ac:dyDescent="0.3">
      <c r="A188" t="s">
        <v>197</v>
      </c>
      <c r="B188">
        <v>40</v>
      </c>
      <c r="C188" t="s">
        <v>14</v>
      </c>
    </row>
    <row r="189" spans="1:3" x14ac:dyDescent="0.3">
      <c r="A189" t="s">
        <v>198</v>
      </c>
      <c r="B189">
        <v>36</v>
      </c>
      <c r="C189" t="s">
        <v>12</v>
      </c>
    </row>
    <row r="190" spans="1:3" x14ac:dyDescent="0.3">
      <c r="A190" t="s">
        <v>199</v>
      </c>
      <c r="B190">
        <v>39</v>
      </c>
      <c r="C190" t="s">
        <v>10</v>
      </c>
    </row>
    <row r="191" spans="1:3" x14ac:dyDescent="0.3">
      <c r="A191" t="s">
        <v>200</v>
      </c>
      <c r="B191">
        <v>1</v>
      </c>
      <c r="C191" t="s">
        <v>16</v>
      </c>
    </row>
    <row r="192" spans="1:3" x14ac:dyDescent="0.3">
      <c r="A192" t="s">
        <v>201</v>
      </c>
      <c r="B192">
        <v>58</v>
      </c>
      <c r="C192" t="s">
        <v>14</v>
      </c>
    </row>
    <row r="193" spans="1:3" x14ac:dyDescent="0.3">
      <c r="A193" t="s">
        <v>202</v>
      </c>
      <c r="B193">
        <v>85</v>
      </c>
      <c r="C193" t="s">
        <v>14</v>
      </c>
    </row>
    <row r="194" spans="1:3" x14ac:dyDescent="0.3">
      <c r="A194" t="s">
        <v>203</v>
      </c>
      <c r="B194">
        <v>75</v>
      </c>
      <c r="C194" t="s">
        <v>14</v>
      </c>
    </row>
    <row r="195" spans="1:3" x14ac:dyDescent="0.3">
      <c r="A195" t="s">
        <v>204</v>
      </c>
      <c r="B195">
        <v>45</v>
      </c>
      <c r="C195" t="s">
        <v>10</v>
      </c>
    </row>
    <row r="196" spans="1:3" x14ac:dyDescent="0.3">
      <c r="A196" t="s">
        <v>205</v>
      </c>
      <c r="B196">
        <v>5</v>
      </c>
      <c r="C196" t="s">
        <v>12</v>
      </c>
    </row>
    <row r="197" spans="1:3" x14ac:dyDescent="0.3">
      <c r="A197" t="s">
        <v>206</v>
      </c>
      <c r="B197">
        <v>48</v>
      </c>
      <c r="C197" t="s">
        <v>12</v>
      </c>
    </row>
    <row r="198" spans="1:3" x14ac:dyDescent="0.3">
      <c r="A198" t="s">
        <v>207</v>
      </c>
      <c r="B198">
        <v>3</v>
      </c>
      <c r="C198" t="s">
        <v>35</v>
      </c>
    </row>
    <row r="199" spans="1:3" x14ac:dyDescent="0.3">
      <c r="A199" t="s">
        <v>208</v>
      </c>
      <c r="B199">
        <v>44</v>
      </c>
      <c r="C199" t="s">
        <v>16</v>
      </c>
    </row>
    <row r="200" spans="1:3" x14ac:dyDescent="0.3">
      <c r="A200" t="s">
        <v>209</v>
      </c>
      <c r="B200">
        <v>46</v>
      </c>
      <c r="C200" t="s">
        <v>12</v>
      </c>
    </row>
    <row r="201" spans="1:3" x14ac:dyDescent="0.3">
      <c r="A201" t="s">
        <v>210</v>
      </c>
      <c r="B201">
        <v>13</v>
      </c>
      <c r="C201" t="s">
        <v>8</v>
      </c>
    </row>
    <row r="202" spans="1:3" x14ac:dyDescent="0.3">
      <c r="A202" t="s">
        <v>211</v>
      </c>
      <c r="B202">
        <v>7</v>
      </c>
      <c r="C202" t="s">
        <v>16</v>
      </c>
    </row>
    <row r="203" spans="1:3" x14ac:dyDescent="0.3">
      <c r="A203" t="s">
        <v>212</v>
      </c>
      <c r="B203">
        <v>29</v>
      </c>
      <c r="C203" t="s">
        <v>12</v>
      </c>
    </row>
    <row r="204" spans="1:3" x14ac:dyDescent="0.3">
      <c r="A204" t="s">
        <v>213</v>
      </c>
      <c r="B204">
        <v>39</v>
      </c>
      <c r="C204" t="s">
        <v>6</v>
      </c>
    </row>
    <row r="205" spans="1:3" x14ac:dyDescent="0.3">
      <c r="A205" t="s">
        <v>214</v>
      </c>
      <c r="B205">
        <v>11</v>
      </c>
      <c r="C205" t="s">
        <v>35</v>
      </c>
    </row>
    <row r="206" spans="1:3" x14ac:dyDescent="0.3">
      <c r="A206" t="s">
        <v>215</v>
      </c>
      <c r="B206">
        <v>94</v>
      </c>
      <c r="C206" t="s">
        <v>12</v>
      </c>
    </row>
    <row r="207" spans="1:3" x14ac:dyDescent="0.3">
      <c r="A207" t="s">
        <v>216</v>
      </c>
      <c r="B207">
        <v>13</v>
      </c>
      <c r="C207" t="s">
        <v>35</v>
      </c>
    </row>
    <row r="208" spans="1:3" x14ac:dyDescent="0.3">
      <c r="A208" t="s">
        <v>217</v>
      </c>
      <c r="B208">
        <v>9</v>
      </c>
      <c r="C208" t="s">
        <v>35</v>
      </c>
    </row>
    <row r="209" spans="1:3" x14ac:dyDescent="0.3">
      <c r="A209" t="s">
        <v>218</v>
      </c>
      <c r="B209">
        <v>73</v>
      </c>
      <c r="C209" t="s">
        <v>12</v>
      </c>
    </row>
    <row r="210" spans="1:3" x14ac:dyDescent="0.3">
      <c r="A210" t="s">
        <v>219</v>
      </c>
      <c r="B210">
        <v>89</v>
      </c>
      <c r="C210" t="s">
        <v>12</v>
      </c>
    </row>
    <row r="211" spans="1:3" x14ac:dyDescent="0.3">
      <c r="A211" t="s">
        <v>220</v>
      </c>
      <c r="B211">
        <v>94</v>
      </c>
      <c r="C211" t="s">
        <v>8</v>
      </c>
    </row>
    <row r="212" spans="1:3" x14ac:dyDescent="0.3">
      <c r="A212" t="s">
        <v>221</v>
      </c>
      <c r="B212">
        <v>3</v>
      </c>
      <c r="C212" t="s">
        <v>12</v>
      </c>
    </row>
    <row r="213" spans="1:3" x14ac:dyDescent="0.3">
      <c r="A213" t="s">
        <v>222</v>
      </c>
      <c r="B213">
        <v>97</v>
      </c>
      <c r="C213" t="s">
        <v>35</v>
      </c>
    </row>
    <row r="214" spans="1:3" x14ac:dyDescent="0.3">
      <c r="A214" t="s">
        <v>223</v>
      </c>
      <c r="B214">
        <v>43</v>
      </c>
      <c r="C214" t="s">
        <v>35</v>
      </c>
    </row>
    <row r="215" spans="1:3" x14ac:dyDescent="0.3">
      <c r="A215" t="s">
        <v>224</v>
      </c>
      <c r="B215">
        <v>86</v>
      </c>
      <c r="C215" t="s">
        <v>35</v>
      </c>
    </row>
    <row r="216" spans="1:3" x14ac:dyDescent="0.3">
      <c r="A216" t="s">
        <v>225</v>
      </c>
      <c r="B216">
        <v>80</v>
      </c>
      <c r="C216" t="s">
        <v>12</v>
      </c>
    </row>
    <row r="217" spans="1:3" x14ac:dyDescent="0.3">
      <c r="A217" t="s">
        <v>226</v>
      </c>
      <c r="B217">
        <v>36</v>
      </c>
      <c r="C217" t="s">
        <v>8</v>
      </c>
    </row>
    <row r="218" spans="1:3" x14ac:dyDescent="0.3">
      <c r="A218" t="s">
        <v>227</v>
      </c>
      <c r="B218">
        <v>94</v>
      </c>
      <c r="C218" t="s">
        <v>16</v>
      </c>
    </row>
    <row r="219" spans="1:3" x14ac:dyDescent="0.3">
      <c r="A219" t="s">
        <v>228</v>
      </c>
      <c r="B219">
        <v>12</v>
      </c>
      <c r="C219" t="s">
        <v>6</v>
      </c>
    </row>
    <row r="220" spans="1:3" x14ac:dyDescent="0.3">
      <c r="A220" t="s">
        <v>229</v>
      </c>
      <c r="B220">
        <v>99</v>
      </c>
      <c r="C220" t="s">
        <v>10</v>
      </c>
    </row>
    <row r="221" spans="1:3" x14ac:dyDescent="0.3">
      <c r="A221" t="s">
        <v>230</v>
      </c>
      <c r="B221">
        <v>33</v>
      </c>
      <c r="C221" t="s">
        <v>16</v>
      </c>
    </row>
    <row r="222" spans="1:3" x14ac:dyDescent="0.3">
      <c r="A222" t="s">
        <v>231</v>
      </c>
      <c r="B222">
        <v>53</v>
      </c>
      <c r="C222" t="s">
        <v>35</v>
      </c>
    </row>
    <row r="223" spans="1:3" x14ac:dyDescent="0.3">
      <c r="A223" t="s">
        <v>232</v>
      </c>
      <c r="B223">
        <v>39</v>
      </c>
      <c r="C223" t="s">
        <v>12</v>
      </c>
    </row>
    <row r="224" spans="1:3" x14ac:dyDescent="0.3">
      <c r="A224" t="s">
        <v>233</v>
      </c>
      <c r="B224">
        <v>62</v>
      </c>
      <c r="C224" t="s">
        <v>35</v>
      </c>
    </row>
    <row r="225" spans="1:3" x14ac:dyDescent="0.3">
      <c r="A225" t="s">
        <v>234</v>
      </c>
      <c r="B225">
        <v>99</v>
      </c>
      <c r="C225" t="s">
        <v>8</v>
      </c>
    </row>
    <row r="226" spans="1:3" x14ac:dyDescent="0.3">
      <c r="A226" t="s">
        <v>235</v>
      </c>
      <c r="B226">
        <v>31</v>
      </c>
      <c r="C226" t="s">
        <v>12</v>
      </c>
    </row>
    <row r="227" spans="1:3" x14ac:dyDescent="0.3">
      <c r="A227" t="s">
        <v>236</v>
      </c>
      <c r="B227">
        <v>49</v>
      </c>
      <c r="C227" t="s">
        <v>35</v>
      </c>
    </row>
    <row r="228" spans="1:3" x14ac:dyDescent="0.3">
      <c r="A228" t="s">
        <v>237</v>
      </c>
      <c r="B228">
        <v>43</v>
      </c>
      <c r="C228" t="s">
        <v>12</v>
      </c>
    </row>
    <row r="229" spans="1:3" x14ac:dyDescent="0.3">
      <c r="A229" t="s">
        <v>238</v>
      </c>
      <c r="B229">
        <v>12</v>
      </c>
      <c r="C229" t="s">
        <v>16</v>
      </c>
    </row>
    <row r="230" spans="1:3" x14ac:dyDescent="0.3">
      <c r="A230" t="s">
        <v>239</v>
      </c>
      <c r="B230">
        <v>97</v>
      </c>
      <c r="C230" t="s">
        <v>10</v>
      </c>
    </row>
    <row r="231" spans="1:3" x14ac:dyDescent="0.3">
      <c r="A231" t="s">
        <v>240</v>
      </c>
      <c r="B231">
        <v>12</v>
      </c>
      <c r="C231" t="s">
        <v>6</v>
      </c>
    </row>
    <row r="232" spans="1:3" x14ac:dyDescent="0.3">
      <c r="A232" t="s">
        <v>241</v>
      </c>
      <c r="B232">
        <v>5</v>
      </c>
      <c r="C232" t="s">
        <v>35</v>
      </c>
    </row>
    <row r="233" spans="1:3" x14ac:dyDescent="0.3">
      <c r="A233" t="s">
        <v>242</v>
      </c>
      <c r="B233">
        <v>92</v>
      </c>
      <c r="C233" t="s">
        <v>8</v>
      </c>
    </row>
    <row r="234" spans="1:3" x14ac:dyDescent="0.3">
      <c r="A234" t="s">
        <v>243</v>
      </c>
      <c r="B234">
        <v>14</v>
      </c>
      <c r="C234" t="s">
        <v>35</v>
      </c>
    </row>
    <row r="235" spans="1:3" x14ac:dyDescent="0.3">
      <c r="A235" t="s">
        <v>244</v>
      </c>
      <c r="B235">
        <v>24</v>
      </c>
      <c r="C235" t="s">
        <v>16</v>
      </c>
    </row>
    <row r="236" spans="1:3" x14ac:dyDescent="0.3">
      <c r="A236" t="s">
        <v>245</v>
      </c>
      <c r="B236">
        <v>80</v>
      </c>
      <c r="C236" t="s">
        <v>35</v>
      </c>
    </row>
    <row r="237" spans="1:3" x14ac:dyDescent="0.3">
      <c r="A237" t="s">
        <v>246</v>
      </c>
      <c r="B237">
        <v>11</v>
      </c>
      <c r="C237" t="s">
        <v>8</v>
      </c>
    </row>
    <row r="238" spans="1:3" x14ac:dyDescent="0.3">
      <c r="A238" t="s">
        <v>247</v>
      </c>
      <c r="B238">
        <v>9</v>
      </c>
      <c r="C238" t="s">
        <v>12</v>
      </c>
    </row>
    <row r="239" spans="1:3" x14ac:dyDescent="0.3">
      <c r="A239" t="s">
        <v>248</v>
      </c>
      <c r="B239">
        <v>77</v>
      </c>
      <c r="C239" t="s">
        <v>10</v>
      </c>
    </row>
    <row r="240" spans="1:3" x14ac:dyDescent="0.3">
      <c r="A240" t="s">
        <v>249</v>
      </c>
      <c r="B240">
        <v>79</v>
      </c>
      <c r="C240" t="s">
        <v>16</v>
      </c>
    </row>
    <row r="241" spans="1:3" x14ac:dyDescent="0.3">
      <c r="A241" t="s">
        <v>250</v>
      </c>
      <c r="B241">
        <v>3</v>
      </c>
      <c r="C241" t="s">
        <v>8</v>
      </c>
    </row>
    <row r="242" spans="1:3" x14ac:dyDescent="0.3">
      <c r="A242" t="s">
        <v>251</v>
      </c>
      <c r="B242">
        <v>70</v>
      </c>
      <c r="C242" t="s">
        <v>4</v>
      </c>
    </row>
    <row r="243" spans="1:3" x14ac:dyDescent="0.3">
      <c r="A243" t="s">
        <v>252</v>
      </c>
      <c r="B243">
        <v>13</v>
      </c>
      <c r="C243" t="s">
        <v>4</v>
      </c>
    </row>
    <row r="244" spans="1:3" x14ac:dyDescent="0.3">
      <c r="A244" t="s">
        <v>253</v>
      </c>
      <c r="B244">
        <v>77</v>
      </c>
      <c r="C244" t="s">
        <v>12</v>
      </c>
    </row>
    <row r="245" spans="1:3" x14ac:dyDescent="0.3">
      <c r="A245" t="s">
        <v>254</v>
      </c>
      <c r="B245">
        <v>93</v>
      </c>
      <c r="C245" t="s">
        <v>4</v>
      </c>
    </row>
    <row r="246" spans="1:3" x14ac:dyDescent="0.3">
      <c r="A246" t="s">
        <v>255</v>
      </c>
      <c r="B246">
        <v>58</v>
      </c>
      <c r="C246" t="s">
        <v>8</v>
      </c>
    </row>
    <row r="247" spans="1:3" x14ac:dyDescent="0.3">
      <c r="A247" t="s">
        <v>256</v>
      </c>
      <c r="B247">
        <v>48</v>
      </c>
      <c r="C247" t="s">
        <v>16</v>
      </c>
    </row>
    <row r="248" spans="1:3" x14ac:dyDescent="0.3">
      <c r="A248" t="s">
        <v>257</v>
      </c>
      <c r="B248">
        <v>16</v>
      </c>
      <c r="C248" t="s">
        <v>12</v>
      </c>
    </row>
    <row r="249" spans="1:3" x14ac:dyDescent="0.3">
      <c r="A249" t="s">
        <v>258</v>
      </c>
      <c r="B249">
        <v>24</v>
      </c>
      <c r="C249" t="s">
        <v>12</v>
      </c>
    </row>
    <row r="250" spans="1:3" x14ac:dyDescent="0.3">
      <c r="A250" t="s">
        <v>259</v>
      </c>
      <c r="B250">
        <v>63</v>
      </c>
      <c r="C250" t="s">
        <v>10</v>
      </c>
    </row>
    <row r="251" spans="1:3" x14ac:dyDescent="0.3">
      <c r="A251" t="s">
        <v>260</v>
      </c>
      <c r="B251">
        <v>66</v>
      </c>
      <c r="C251" t="s">
        <v>8</v>
      </c>
    </row>
  </sheetData>
  <mergeCells count="2">
    <mergeCell ref="F1:G1"/>
    <mergeCell ref="H1:I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5750E-72A7-4733-9704-AB77668740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2025-10-27T11:42:45Z</dcterms:modified>
</cp:coreProperties>
</file>